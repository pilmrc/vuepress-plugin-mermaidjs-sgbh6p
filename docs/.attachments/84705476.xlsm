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jabil-my.sharepoint.com/personal/jianggi_fam_jabil_com/Documents/Projects/JGP QLMS/QDMS/BA Functional Testing/"/>
    </mc:Choice>
  </mc:AlternateContent>
  <xr:revisionPtr revIDLastSave="67" documentId="13_ncr:1_{4F163112-FD01-4461-8D70-7EF1141FCF54}" xr6:coauthVersionLast="45" xr6:coauthVersionMax="45" xr10:uidLastSave="{67A3C598-9C1A-4C86-9089-0E2F9C69C3DA}"/>
  <bookViews>
    <workbookView xWindow="-108" yWindow="-108" windowWidth="23256" windowHeight="12576" tabRatio="408" xr2:uid="{00000000-000D-0000-FFFF-FFFF00000000}"/>
  </bookViews>
  <sheets>
    <sheet name="Cav1_" sheetId="57" r:id="rId1"/>
    <sheet name="CAV2_" sheetId="58" r:id="rId2"/>
  </sheets>
  <externalReferences>
    <externalReference r:id="rId3"/>
  </externalReferences>
  <definedNames>
    <definedName name="_xlnm._FilterDatabase" localSheetId="0" hidden="1">Cav1_!$A$8:$W$51</definedName>
    <definedName name="_xlnm._FilterDatabase" localSheetId="1" hidden="1">CAV2_!$A$8:$W$51</definedName>
    <definedName name="DISTINTERVAL" localSheetId="0">OFFSET(#REF!,1,0,#REF!,1)</definedName>
    <definedName name="DISTINTERVAL" localSheetId="1">OFFSET(#REF!,1,0,#REF!,1)</definedName>
    <definedName name="DISTINTERVAL">OFFSET(#REF!,1,0,#REF!,1)</definedName>
    <definedName name="DISTINTERVAL1" localSheetId="0">OFFSET(#REF!,1,0,#REF!,1)</definedName>
    <definedName name="DISTINTERVAL1" localSheetId="1">OFFSET(#REF!,1,0,#REF!,1)</definedName>
    <definedName name="DISTINTERVAL1">OFFSET(#REF!,1,0,#REF!,1)</definedName>
    <definedName name="GroupInterval" localSheetId="0">OFFSET(#REF!,1,0,#REF!,1)</definedName>
    <definedName name="GroupInterval" localSheetId="1">OFFSET(#REF!,1,0,#REF!,1)</definedName>
    <definedName name="GroupInterval">OFFSET(#REF!,1,0,#REF!,1)</definedName>
    <definedName name="GroupInterval1" localSheetId="0">OFFSET(#REF!,1,0,#REF!,1)</definedName>
    <definedName name="GroupInterval1" localSheetId="1">OFFSET(#REF!,1,0,#REF!,1)</definedName>
    <definedName name="GroupInterval1">OFFSET(#REF!,1,0,#REF!,1)</definedName>
    <definedName name="Histogram" localSheetId="0">OFFSET(#REF!,1,0,#REF!,1)</definedName>
    <definedName name="Histogram" localSheetId="1">OFFSET(#REF!,1,0,#REF!,1)</definedName>
    <definedName name="Histogram">OFFSET(#REF!,1,0,#REF!,1)</definedName>
    <definedName name="Histogram1" localSheetId="0">OFFSET(#REF!,1,0,#REF!,1)</definedName>
    <definedName name="Histogram1" localSheetId="1">OFFSET(#REF!,1,0,#REF!,1)</definedName>
    <definedName name="Histogram1">OFFSET(#REF!,1,0,#REF!,1)</definedName>
    <definedName name="NORMDIST" localSheetId="0">OFFSET(#REF!,1,0,#REF!,1)</definedName>
    <definedName name="NORMDIST" localSheetId="1">OFFSET(#REF!,1,0,#REF!,1)</definedName>
    <definedName name="NORMDIST">OFFSET(#REF!,1,0,#REF!,1)</definedName>
    <definedName name="NORMDIST1" localSheetId="0">OFFSET(#REF!,1,0,#REF!,1)</definedName>
    <definedName name="NORMDIST1" localSheetId="1">OFFSET(#REF!,1,0,#REF!,1)</definedName>
    <definedName name="NORMDIST1">OFFSET(#REF!,1,0,#REF!,1)</definedName>
    <definedName name="rngCpkData">#REF!</definedName>
    <definedName name="rngCpkData2">#REF!</definedName>
    <definedName name="rngDropSource">'[1]Box Plot'!$AE$2:$AE$12</definedName>
    <definedName name="rngListSource">'[1]Box Plot'!$Z$2</definedName>
    <definedName name="rngStartLSL">#REF!</definedName>
    <definedName name="rngStartNominal">#REF!</definedName>
    <definedName name="rngStartPoint">#REF!</definedName>
    <definedName name="rngStartUSL">#REF!</definedName>
  </definedNames>
  <calcPr calcId="191029"/>
  <customWorkbookViews>
    <customWorkbookView name="Zhang Zhengjun - Personal View" guid="{05A1B552-4CBE-0449-9BDE-AF4BEEEA0B22}" mergeInterval="0" personalView="1" yWindow="105" windowWidth="1428" windowHeight="728" tabRatio="584" activeSheetId="6"/>
    <customWorkbookView name="Robert York - Personal View" guid="{971DFF50-E2D6-A94D-B32C-4DBE6112B19F}" mergeInterval="0" personalView="1" xWindow="105" yWindow="210" windowWidth="974" windowHeight="522" tabRatio="584" activeSheetId="1"/>
    <customWorkbookView name="Ji Kim - Personal View" guid="{7F83E96C-9D43-5446-8F0B-917FE1EF3DB5}" mergeInterval="0" personalView="1" xWindow="105" yWindow="210" windowWidth="974" windowHeight="522" tabRatio="584" activeSheetId="2" showFormulaBar="0" showComments="commIndAndComment"/>
    <customWorkbookView name="Martin Wong - Personal View" guid="{6130BAA2-550F-11DD-9262-0017F2D249BE}" mergeInterval="0" personalView="1" xWindow="188" yWindow="318" windowWidth="1176" windowHeight="603" tabRatio="58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973" i="58" l="1"/>
  <c r="R973" i="58"/>
  <c r="T973" i="58" s="1"/>
  <c r="Q973" i="58"/>
  <c r="P973" i="58"/>
  <c r="O973" i="58"/>
  <c r="N973" i="58"/>
  <c r="M973" i="58"/>
  <c r="L973" i="58"/>
  <c r="S972" i="58"/>
  <c r="R972" i="58"/>
  <c r="T972" i="58" s="1"/>
  <c r="Q972" i="58"/>
  <c r="P972" i="58"/>
  <c r="O972" i="58"/>
  <c r="N972" i="58"/>
  <c r="M972" i="58"/>
  <c r="L972" i="58"/>
  <c r="S971" i="58"/>
  <c r="T971" i="58" s="1"/>
  <c r="R971" i="58"/>
  <c r="Q971" i="58"/>
  <c r="P971" i="58"/>
  <c r="O971" i="58"/>
  <c r="N971" i="58"/>
  <c r="M971" i="58"/>
  <c r="L971" i="58"/>
  <c r="T970" i="58"/>
  <c r="S970" i="58"/>
  <c r="R970" i="58"/>
  <c r="Q970" i="58"/>
  <c r="P970" i="58"/>
  <c r="O970" i="58"/>
  <c r="N970" i="58"/>
  <c r="M970" i="58"/>
  <c r="L970" i="58"/>
  <c r="S969" i="58"/>
  <c r="R969" i="58"/>
  <c r="T969" i="58" s="1"/>
  <c r="Q969" i="58"/>
  <c r="P969" i="58"/>
  <c r="O969" i="58"/>
  <c r="N969" i="58"/>
  <c r="M969" i="58"/>
  <c r="L969" i="58"/>
  <c r="S968" i="58"/>
  <c r="R968" i="58"/>
  <c r="T968" i="58" s="1"/>
  <c r="Q968" i="58"/>
  <c r="P968" i="58"/>
  <c r="O968" i="58"/>
  <c r="N968" i="58"/>
  <c r="M968" i="58"/>
  <c r="L968" i="58"/>
  <c r="S967" i="58"/>
  <c r="T967" i="58" s="1"/>
  <c r="R967" i="58"/>
  <c r="Q967" i="58"/>
  <c r="P967" i="58"/>
  <c r="O967" i="58"/>
  <c r="N967" i="58"/>
  <c r="M967" i="58"/>
  <c r="L967" i="58"/>
  <c r="T966" i="58"/>
  <c r="S966" i="58"/>
  <c r="R966" i="58"/>
  <c r="Q966" i="58"/>
  <c r="P966" i="58"/>
  <c r="O966" i="58"/>
  <c r="N966" i="58"/>
  <c r="M966" i="58"/>
  <c r="L966" i="58"/>
  <c r="S965" i="58"/>
  <c r="R965" i="58"/>
  <c r="T965" i="58" s="1"/>
  <c r="Q965" i="58"/>
  <c r="P965" i="58"/>
  <c r="O965" i="58"/>
  <c r="N965" i="58"/>
  <c r="M965" i="58"/>
  <c r="L965" i="58"/>
  <c r="S964" i="58"/>
  <c r="R964" i="58"/>
  <c r="T964" i="58" s="1"/>
  <c r="Q964" i="58"/>
  <c r="P964" i="58"/>
  <c r="O964" i="58"/>
  <c r="N964" i="58"/>
  <c r="M964" i="58"/>
  <c r="L964" i="58"/>
  <c r="S963" i="58"/>
  <c r="T963" i="58" s="1"/>
  <c r="R963" i="58"/>
  <c r="Q963" i="58"/>
  <c r="P963" i="58"/>
  <c r="O963" i="58"/>
  <c r="N963" i="58"/>
  <c r="M963" i="58"/>
  <c r="L963" i="58"/>
  <c r="T962" i="58"/>
  <c r="S962" i="58"/>
  <c r="R962" i="58"/>
  <c r="Q962" i="58"/>
  <c r="P962" i="58"/>
  <c r="O962" i="58"/>
  <c r="N962" i="58"/>
  <c r="M962" i="58"/>
  <c r="L962" i="58"/>
  <c r="S961" i="58"/>
  <c r="R961" i="58"/>
  <c r="T961" i="58" s="1"/>
  <c r="Q961" i="58"/>
  <c r="P961" i="58"/>
  <c r="O961" i="58"/>
  <c r="N961" i="58"/>
  <c r="M961" i="58"/>
  <c r="L961" i="58"/>
  <c r="S960" i="58"/>
  <c r="R960" i="58"/>
  <c r="T960" i="58" s="1"/>
  <c r="Q960" i="58"/>
  <c r="P960" i="58"/>
  <c r="O960" i="58"/>
  <c r="N960" i="58"/>
  <c r="M960" i="58"/>
  <c r="L960" i="58"/>
  <c r="S959" i="58"/>
  <c r="T959" i="58" s="1"/>
  <c r="R959" i="58"/>
  <c r="Q959" i="58"/>
  <c r="P959" i="58"/>
  <c r="O959" i="58"/>
  <c r="N959" i="58"/>
  <c r="M959" i="58"/>
  <c r="L959" i="58"/>
  <c r="T958" i="58"/>
  <c r="S958" i="58"/>
  <c r="R958" i="58"/>
  <c r="Q958" i="58"/>
  <c r="P958" i="58"/>
  <c r="O958" i="58"/>
  <c r="N958" i="58"/>
  <c r="M958" i="58"/>
  <c r="L958" i="58"/>
  <c r="S957" i="58"/>
  <c r="R957" i="58"/>
  <c r="T957" i="58" s="1"/>
  <c r="Q957" i="58"/>
  <c r="P957" i="58"/>
  <c r="O957" i="58"/>
  <c r="N957" i="58"/>
  <c r="M957" i="58"/>
  <c r="L957" i="58"/>
  <c r="S956" i="58"/>
  <c r="R956" i="58"/>
  <c r="T956" i="58" s="1"/>
  <c r="Q956" i="58"/>
  <c r="P956" i="58"/>
  <c r="O956" i="58"/>
  <c r="N956" i="58"/>
  <c r="M956" i="58"/>
  <c r="L956" i="58"/>
  <c r="S955" i="58"/>
  <c r="T955" i="58" s="1"/>
  <c r="R955" i="58"/>
  <c r="Q955" i="58"/>
  <c r="P955" i="58"/>
  <c r="O955" i="58"/>
  <c r="N955" i="58"/>
  <c r="M955" i="58"/>
  <c r="L955" i="58"/>
  <c r="T954" i="58"/>
  <c r="S954" i="58"/>
  <c r="R954" i="58"/>
  <c r="Q954" i="58"/>
  <c r="P954" i="58"/>
  <c r="O954" i="58"/>
  <c r="N954" i="58"/>
  <c r="M954" i="58"/>
  <c r="L954" i="58"/>
  <c r="S953" i="58"/>
  <c r="R953" i="58"/>
  <c r="T953" i="58" s="1"/>
  <c r="Q953" i="58"/>
  <c r="P953" i="58"/>
  <c r="O953" i="58"/>
  <c r="N953" i="58"/>
  <c r="M953" i="58"/>
  <c r="L953" i="58"/>
  <c r="S952" i="58"/>
  <c r="R952" i="58"/>
  <c r="Q952" i="58"/>
  <c r="P952" i="58"/>
  <c r="O952" i="58"/>
  <c r="N952" i="58"/>
  <c r="M952" i="58"/>
  <c r="L952" i="58"/>
  <c r="T951" i="58"/>
  <c r="S951" i="58"/>
  <c r="R951" i="58"/>
  <c r="Q951" i="58"/>
  <c r="P951" i="58"/>
  <c r="O951" i="58"/>
  <c r="N951" i="58"/>
  <c r="M951" i="58"/>
  <c r="L951" i="58"/>
  <c r="T950" i="58"/>
  <c r="S950" i="58"/>
  <c r="R950" i="58"/>
  <c r="Q950" i="58"/>
  <c r="P950" i="58"/>
  <c r="O950" i="58"/>
  <c r="N950" i="58"/>
  <c r="M950" i="58"/>
  <c r="L950" i="58"/>
  <c r="S949" i="58"/>
  <c r="R949" i="58"/>
  <c r="T949" i="58" s="1"/>
  <c r="Q949" i="58"/>
  <c r="P949" i="58"/>
  <c r="O949" i="58"/>
  <c r="N949" i="58"/>
  <c r="M949" i="58"/>
  <c r="L949" i="58"/>
  <c r="S948" i="58"/>
  <c r="R948" i="58"/>
  <c r="T948" i="58" s="1"/>
  <c r="Q948" i="58"/>
  <c r="P948" i="58"/>
  <c r="O948" i="58"/>
  <c r="N948" i="58"/>
  <c r="M948" i="58"/>
  <c r="L948" i="58"/>
  <c r="S947" i="58"/>
  <c r="T947" i="58" s="1"/>
  <c r="R947" i="58"/>
  <c r="Q947" i="58"/>
  <c r="P947" i="58"/>
  <c r="O947" i="58"/>
  <c r="N947" i="58"/>
  <c r="M947" i="58"/>
  <c r="L947" i="58"/>
  <c r="T946" i="58"/>
  <c r="S946" i="58"/>
  <c r="R946" i="58"/>
  <c r="Q946" i="58"/>
  <c r="P946" i="58"/>
  <c r="O946" i="58"/>
  <c r="N946" i="58"/>
  <c r="M946" i="58"/>
  <c r="L946" i="58"/>
  <c r="S945" i="58"/>
  <c r="R945" i="58"/>
  <c r="T945" i="58" s="1"/>
  <c r="Q945" i="58"/>
  <c r="P945" i="58"/>
  <c r="O945" i="58"/>
  <c r="N945" i="58"/>
  <c r="M945" i="58"/>
  <c r="L945" i="58"/>
  <c r="S944" i="58"/>
  <c r="R944" i="58"/>
  <c r="T944" i="58" s="1"/>
  <c r="Q944" i="58"/>
  <c r="P944" i="58"/>
  <c r="O944" i="58"/>
  <c r="N944" i="58"/>
  <c r="M944" i="58"/>
  <c r="L944" i="58"/>
  <c r="S943" i="58"/>
  <c r="T943" i="58" s="1"/>
  <c r="R943" i="58"/>
  <c r="Q943" i="58"/>
  <c r="P943" i="58"/>
  <c r="O943" i="58"/>
  <c r="N943" i="58"/>
  <c r="M943" i="58"/>
  <c r="L943" i="58"/>
  <c r="T942" i="58"/>
  <c r="S942" i="58"/>
  <c r="R942" i="58"/>
  <c r="Q942" i="58"/>
  <c r="P942" i="58"/>
  <c r="O942" i="58"/>
  <c r="N942" i="58"/>
  <c r="M942" i="58"/>
  <c r="L942" i="58"/>
  <c r="S941" i="58"/>
  <c r="R941" i="58"/>
  <c r="T941" i="58" s="1"/>
  <c r="Q941" i="58"/>
  <c r="P941" i="58"/>
  <c r="O941" i="58"/>
  <c r="N941" i="58"/>
  <c r="M941" i="58"/>
  <c r="L941" i="58"/>
  <c r="S940" i="58"/>
  <c r="R940" i="58"/>
  <c r="T940" i="58" s="1"/>
  <c r="Q940" i="58"/>
  <c r="P940" i="58"/>
  <c r="O940" i="58"/>
  <c r="N940" i="58"/>
  <c r="M940" i="58"/>
  <c r="L940" i="58"/>
  <c r="S939" i="58"/>
  <c r="T939" i="58" s="1"/>
  <c r="R939" i="58"/>
  <c r="Q939" i="58"/>
  <c r="P939" i="58"/>
  <c r="O939" i="58"/>
  <c r="N939" i="58"/>
  <c r="M939" i="58"/>
  <c r="L939" i="58"/>
  <c r="T938" i="58"/>
  <c r="S938" i="58"/>
  <c r="R938" i="58"/>
  <c r="Q938" i="58"/>
  <c r="P938" i="58"/>
  <c r="O938" i="58"/>
  <c r="N938" i="58"/>
  <c r="M938" i="58"/>
  <c r="L938" i="58"/>
  <c r="S937" i="58"/>
  <c r="R937" i="58"/>
  <c r="T937" i="58" s="1"/>
  <c r="Q937" i="58"/>
  <c r="P937" i="58"/>
  <c r="O937" i="58"/>
  <c r="N937" i="58"/>
  <c r="M937" i="58"/>
  <c r="L937" i="58"/>
  <c r="S936" i="58"/>
  <c r="R936" i="58"/>
  <c r="T936" i="58" s="1"/>
  <c r="Q936" i="58"/>
  <c r="P936" i="58"/>
  <c r="O936" i="58"/>
  <c r="N936" i="58"/>
  <c r="M936" i="58"/>
  <c r="L936" i="58"/>
  <c r="S935" i="58"/>
  <c r="T935" i="58" s="1"/>
  <c r="R935" i="58"/>
  <c r="Q935" i="58"/>
  <c r="P935" i="58"/>
  <c r="O935" i="58"/>
  <c r="N935" i="58"/>
  <c r="M935" i="58"/>
  <c r="L935" i="58"/>
  <c r="T934" i="58"/>
  <c r="S934" i="58"/>
  <c r="R934" i="58"/>
  <c r="Q934" i="58"/>
  <c r="P934" i="58"/>
  <c r="O934" i="58"/>
  <c r="N934" i="58"/>
  <c r="M934" i="58"/>
  <c r="L934" i="58"/>
  <c r="S933" i="58"/>
  <c r="R933" i="58"/>
  <c r="T933" i="58" s="1"/>
  <c r="Q933" i="58"/>
  <c r="P933" i="58"/>
  <c r="O933" i="58"/>
  <c r="N933" i="58"/>
  <c r="M933" i="58"/>
  <c r="L933" i="58"/>
  <c r="S932" i="58"/>
  <c r="R932" i="58"/>
  <c r="T932" i="58" s="1"/>
  <c r="Q932" i="58"/>
  <c r="P932" i="58"/>
  <c r="O932" i="58"/>
  <c r="N932" i="58"/>
  <c r="M932" i="58"/>
  <c r="L932" i="58"/>
  <c r="S931" i="58"/>
  <c r="T931" i="58" s="1"/>
  <c r="R931" i="58"/>
  <c r="Q931" i="58"/>
  <c r="P931" i="58"/>
  <c r="O931" i="58"/>
  <c r="N931" i="58"/>
  <c r="M931" i="58"/>
  <c r="L931" i="58"/>
  <c r="T930" i="58"/>
  <c r="S930" i="58"/>
  <c r="R930" i="58"/>
  <c r="Q930" i="58"/>
  <c r="P930" i="58"/>
  <c r="O930" i="58"/>
  <c r="N930" i="58"/>
  <c r="M930" i="58"/>
  <c r="L930" i="58"/>
  <c r="S929" i="58"/>
  <c r="R929" i="58"/>
  <c r="T929" i="58" s="1"/>
  <c r="Q929" i="58"/>
  <c r="P929" i="58"/>
  <c r="O929" i="58"/>
  <c r="N929" i="58"/>
  <c r="M929" i="58"/>
  <c r="L929" i="58"/>
  <c r="S928" i="58"/>
  <c r="R928" i="58"/>
  <c r="Q928" i="58"/>
  <c r="P928" i="58"/>
  <c r="O928" i="58"/>
  <c r="N928" i="58"/>
  <c r="M928" i="58"/>
  <c r="L928" i="58"/>
  <c r="T927" i="58"/>
  <c r="S927" i="58"/>
  <c r="R927" i="58"/>
  <c r="Q927" i="58"/>
  <c r="P927" i="58"/>
  <c r="O927" i="58"/>
  <c r="N927" i="58"/>
  <c r="M927" i="58"/>
  <c r="L927" i="58"/>
  <c r="T926" i="58"/>
  <c r="S926" i="58"/>
  <c r="R926" i="58"/>
  <c r="Q926" i="58"/>
  <c r="P926" i="58"/>
  <c r="O926" i="58"/>
  <c r="N926" i="58"/>
  <c r="M926" i="58"/>
  <c r="L926" i="58"/>
  <c r="S925" i="58"/>
  <c r="R925" i="58"/>
  <c r="T925" i="58" s="1"/>
  <c r="Q925" i="58"/>
  <c r="P925" i="58"/>
  <c r="O925" i="58"/>
  <c r="N925" i="58"/>
  <c r="M925" i="58"/>
  <c r="L925" i="58"/>
  <c r="S924" i="58"/>
  <c r="R924" i="58"/>
  <c r="T924" i="58" s="1"/>
  <c r="Q924" i="58"/>
  <c r="P924" i="58"/>
  <c r="O924" i="58"/>
  <c r="N924" i="58"/>
  <c r="M924" i="58"/>
  <c r="L924" i="58"/>
  <c r="S923" i="58"/>
  <c r="T923" i="58" s="1"/>
  <c r="R923" i="58"/>
  <c r="Q923" i="58"/>
  <c r="P923" i="58"/>
  <c r="O923" i="58"/>
  <c r="N923" i="58"/>
  <c r="M923" i="58"/>
  <c r="L923" i="58"/>
  <c r="T922" i="58"/>
  <c r="S922" i="58"/>
  <c r="R922" i="58"/>
  <c r="Q922" i="58"/>
  <c r="P922" i="58"/>
  <c r="O922" i="58"/>
  <c r="N922" i="58"/>
  <c r="M922" i="58"/>
  <c r="L922" i="58"/>
  <c r="S921" i="58"/>
  <c r="R921" i="58"/>
  <c r="T921" i="58" s="1"/>
  <c r="Q921" i="58"/>
  <c r="P921" i="58"/>
  <c r="O921" i="58"/>
  <c r="N921" i="58"/>
  <c r="M921" i="58"/>
  <c r="L921" i="58"/>
  <c r="S920" i="58"/>
  <c r="R920" i="58"/>
  <c r="Q920" i="58"/>
  <c r="P920" i="58"/>
  <c r="O920" i="58"/>
  <c r="N920" i="58"/>
  <c r="M920" i="58"/>
  <c r="L920" i="58"/>
  <c r="T919" i="58"/>
  <c r="S919" i="58"/>
  <c r="R919" i="58"/>
  <c r="Q919" i="58"/>
  <c r="P919" i="58"/>
  <c r="O919" i="58"/>
  <c r="N919" i="58"/>
  <c r="M919" i="58"/>
  <c r="L919" i="58"/>
  <c r="T918" i="58"/>
  <c r="S918" i="58"/>
  <c r="R918" i="58"/>
  <c r="Q918" i="58"/>
  <c r="P918" i="58"/>
  <c r="O918" i="58"/>
  <c r="N918" i="58"/>
  <c r="M918" i="58"/>
  <c r="L918" i="58"/>
  <c r="S917" i="58"/>
  <c r="R917" i="58"/>
  <c r="T917" i="58" s="1"/>
  <c r="Q917" i="58"/>
  <c r="P917" i="58"/>
  <c r="O917" i="58"/>
  <c r="N917" i="58"/>
  <c r="M917" i="58"/>
  <c r="L917" i="58"/>
  <c r="S916" i="58"/>
  <c r="R916" i="58"/>
  <c r="T916" i="58" s="1"/>
  <c r="Q916" i="58"/>
  <c r="P916" i="58"/>
  <c r="O916" i="58"/>
  <c r="N916" i="58"/>
  <c r="M916" i="58"/>
  <c r="L916" i="58"/>
  <c r="S915" i="58"/>
  <c r="T915" i="58" s="1"/>
  <c r="R915" i="58"/>
  <c r="Q915" i="58"/>
  <c r="P915" i="58"/>
  <c r="O915" i="58"/>
  <c r="N915" i="58"/>
  <c r="M915" i="58"/>
  <c r="L915" i="58"/>
  <c r="T914" i="58"/>
  <c r="S914" i="58"/>
  <c r="R914" i="58"/>
  <c r="Q914" i="58"/>
  <c r="P914" i="58"/>
  <c r="O914" i="58"/>
  <c r="N914" i="58"/>
  <c r="M914" i="58"/>
  <c r="L914" i="58"/>
  <c r="S913" i="58"/>
  <c r="R913" i="58"/>
  <c r="T913" i="58" s="1"/>
  <c r="Q913" i="58"/>
  <c r="P913" i="58"/>
  <c r="O913" i="58"/>
  <c r="N913" i="58"/>
  <c r="M913" i="58"/>
  <c r="L913" i="58"/>
  <c r="S912" i="58"/>
  <c r="R912" i="58"/>
  <c r="T912" i="58" s="1"/>
  <c r="Q912" i="58"/>
  <c r="P912" i="58"/>
  <c r="O912" i="58"/>
  <c r="N912" i="58"/>
  <c r="M912" i="58"/>
  <c r="L912" i="58"/>
  <c r="S911" i="58"/>
  <c r="T911" i="58" s="1"/>
  <c r="R911" i="58"/>
  <c r="Q911" i="58"/>
  <c r="P911" i="58"/>
  <c r="O911" i="58"/>
  <c r="N911" i="58"/>
  <c r="M911" i="58"/>
  <c r="L911" i="58"/>
  <c r="T910" i="58"/>
  <c r="S910" i="58"/>
  <c r="R910" i="58"/>
  <c r="Q910" i="58"/>
  <c r="P910" i="58"/>
  <c r="O910" i="58"/>
  <c r="N910" i="58"/>
  <c r="M910" i="58"/>
  <c r="L910" i="58"/>
  <c r="S909" i="58"/>
  <c r="R909" i="58"/>
  <c r="T909" i="58" s="1"/>
  <c r="Q909" i="58"/>
  <c r="P909" i="58"/>
  <c r="O909" i="58"/>
  <c r="N909" i="58"/>
  <c r="M909" i="58"/>
  <c r="L909" i="58"/>
  <c r="S908" i="58"/>
  <c r="R908" i="58"/>
  <c r="T908" i="58" s="1"/>
  <c r="Q908" i="58"/>
  <c r="P908" i="58"/>
  <c r="O908" i="58"/>
  <c r="N908" i="58"/>
  <c r="M908" i="58"/>
  <c r="L908" i="58"/>
  <c r="S907" i="58"/>
  <c r="T907" i="58" s="1"/>
  <c r="R907" i="58"/>
  <c r="Q907" i="58"/>
  <c r="P907" i="58"/>
  <c r="O907" i="58"/>
  <c r="N907" i="58"/>
  <c r="M907" i="58"/>
  <c r="L907" i="58"/>
  <c r="T906" i="58"/>
  <c r="S906" i="58"/>
  <c r="R906" i="58"/>
  <c r="Q906" i="58"/>
  <c r="P906" i="58"/>
  <c r="O906" i="58"/>
  <c r="N906" i="58"/>
  <c r="M906" i="58"/>
  <c r="L906" i="58"/>
  <c r="S905" i="58"/>
  <c r="R905" i="58"/>
  <c r="T905" i="58" s="1"/>
  <c r="Q905" i="58"/>
  <c r="P905" i="58"/>
  <c r="O905" i="58"/>
  <c r="N905" i="58"/>
  <c r="M905" i="58"/>
  <c r="L905" i="58"/>
  <c r="S904" i="58"/>
  <c r="R904" i="58"/>
  <c r="T904" i="58" s="1"/>
  <c r="Q904" i="58"/>
  <c r="P904" i="58"/>
  <c r="O904" i="58"/>
  <c r="N904" i="58"/>
  <c r="M904" i="58"/>
  <c r="L904" i="58"/>
  <c r="S903" i="58"/>
  <c r="T903" i="58" s="1"/>
  <c r="R903" i="58"/>
  <c r="Q903" i="58"/>
  <c r="P903" i="58"/>
  <c r="O903" i="58"/>
  <c r="N903" i="58"/>
  <c r="M903" i="58"/>
  <c r="L903" i="58"/>
  <c r="T902" i="58"/>
  <c r="S902" i="58"/>
  <c r="R902" i="58"/>
  <c r="Q902" i="58"/>
  <c r="P902" i="58"/>
  <c r="O902" i="58"/>
  <c r="N902" i="58"/>
  <c r="M902" i="58"/>
  <c r="L902" i="58"/>
  <c r="S901" i="58"/>
  <c r="R901" i="58"/>
  <c r="T901" i="58" s="1"/>
  <c r="Q901" i="58"/>
  <c r="P901" i="58"/>
  <c r="O901" i="58"/>
  <c r="N901" i="58"/>
  <c r="M901" i="58"/>
  <c r="L901" i="58"/>
  <c r="S900" i="58"/>
  <c r="R900" i="58"/>
  <c r="T900" i="58" s="1"/>
  <c r="Q900" i="58"/>
  <c r="P900" i="58"/>
  <c r="O900" i="58"/>
  <c r="N900" i="58"/>
  <c r="M900" i="58"/>
  <c r="L900" i="58"/>
  <c r="S899" i="58"/>
  <c r="T899" i="58" s="1"/>
  <c r="R899" i="58"/>
  <c r="Q899" i="58"/>
  <c r="P899" i="58"/>
  <c r="O899" i="58"/>
  <c r="N899" i="58"/>
  <c r="M899" i="58"/>
  <c r="L899" i="58"/>
  <c r="T898" i="58"/>
  <c r="S898" i="58"/>
  <c r="R898" i="58"/>
  <c r="Q898" i="58"/>
  <c r="P898" i="58"/>
  <c r="O898" i="58"/>
  <c r="N898" i="58"/>
  <c r="M898" i="58"/>
  <c r="L898" i="58"/>
  <c r="S897" i="58"/>
  <c r="R897" i="58"/>
  <c r="T897" i="58" s="1"/>
  <c r="Q897" i="58"/>
  <c r="P897" i="58"/>
  <c r="O897" i="58"/>
  <c r="N897" i="58"/>
  <c r="M897" i="58"/>
  <c r="L897" i="58"/>
  <c r="S896" i="58"/>
  <c r="R896" i="58"/>
  <c r="Q896" i="58"/>
  <c r="P896" i="58"/>
  <c r="O896" i="58"/>
  <c r="N896" i="58"/>
  <c r="M896" i="58"/>
  <c r="L896" i="58"/>
  <c r="T895" i="58"/>
  <c r="S895" i="58"/>
  <c r="R895" i="58"/>
  <c r="Q895" i="58"/>
  <c r="P895" i="58"/>
  <c r="O895" i="58"/>
  <c r="N895" i="58"/>
  <c r="M895" i="58"/>
  <c r="L895" i="58"/>
  <c r="T894" i="58"/>
  <c r="S894" i="58"/>
  <c r="R894" i="58"/>
  <c r="Q894" i="58"/>
  <c r="P894" i="58"/>
  <c r="O894" i="58"/>
  <c r="N894" i="58"/>
  <c r="M894" i="58"/>
  <c r="L894" i="58"/>
  <c r="S893" i="58"/>
  <c r="R893" i="58"/>
  <c r="T893" i="58" s="1"/>
  <c r="Q893" i="58"/>
  <c r="P893" i="58"/>
  <c r="O893" i="58"/>
  <c r="N893" i="58"/>
  <c r="M893" i="58"/>
  <c r="L893" i="58"/>
  <c r="S892" i="58"/>
  <c r="R892" i="58"/>
  <c r="T892" i="58" s="1"/>
  <c r="Q892" i="58"/>
  <c r="P892" i="58"/>
  <c r="O892" i="58"/>
  <c r="N892" i="58"/>
  <c r="M892" i="58"/>
  <c r="L892" i="58"/>
  <c r="S891" i="58"/>
  <c r="T891" i="58" s="1"/>
  <c r="R891" i="58"/>
  <c r="Q891" i="58"/>
  <c r="P891" i="58"/>
  <c r="O891" i="58"/>
  <c r="N891" i="58"/>
  <c r="M891" i="58"/>
  <c r="L891" i="58"/>
  <c r="T890" i="58"/>
  <c r="S890" i="58"/>
  <c r="R890" i="58"/>
  <c r="Q890" i="58"/>
  <c r="P890" i="58"/>
  <c r="O890" i="58"/>
  <c r="N890" i="58"/>
  <c r="M890" i="58"/>
  <c r="L890" i="58"/>
  <c r="S889" i="58"/>
  <c r="R889" i="58"/>
  <c r="T889" i="58" s="1"/>
  <c r="Q889" i="58"/>
  <c r="P889" i="58"/>
  <c r="O889" i="58"/>
  <c r="N889" i="58"/>
  <c r="M889" i="58"/>
  <c r="L889" i="58"/>
  <c r="S888" i="58"/>
  <c r="R888" i="58"/>
  <c r="Q888" i="58"/>
  <c r="P888" i="58"/>
  <c r="O888" i="58"/>
  <c r="N888" i="58"/>
  <c r="M888" i="58"/>
  <c r="L888" i="58"/>
  <c r="T887" i="58"/>
  <c r="S887" i="58"/>
  <c r="R887" i="58"/>
  <c r="Q887" i="58"/>
  <c r="P887" i="58"/>
  <c r="O887" i="58"/>
  <c r="N887" i="58"/>
  <c r="M887" i="58"/>
  <c r="L887" i="58"/>
  <c r="T886" i="58"/>
  <c r="S886" i="58"/>
  <c r="R886" i="58"/>
  <c r="Q886" i="58"/>
  <c r="P886" i="58"/>
  <c r="O886" i="58"/>
  <c r="N886" i="58"/>
  <c r="M886" i="58"/>
  <c r="L886" i="58"/>
  <c r="S885" i="58"/>
  <c r="R885" i="58"/>
  <c r="T885" i="58" s="1"/>
  <c r="Q885" i="58"/>
  <c r="P885" i="58"/>
  <c r="O885" i="58"/>
  <c r="N885" i="58"/>
  <c r="M885" i="58"/>
  <c r="L885" i="58"/>
  <c r="S884" i="58"/>
  <c r="R884" i="58"/>
  <c r="T884" i="58" s="1"/>
  <c r="Q884" i="58"/>
  <c r="P884" i="58"/>
  <c r="O884" i="58"/>
  <c r="N884" i="58"/>
  <c r="M884" i="58"/>
  <c r="L884" i="58"/>
  <c r="S883" i="58"/>
  <c r="T883" i="58" s="1"/>
  <c r="R883" i="58"/>
  <c r="Q883" i="58"/>
  <c r="P883" i="58"/>
  <c r="O883" i="58"/>
  <c r="N883" i="58"/>
  <c r="M883" i="58"/>
  <c r="L883" i="58"/>
  <c r="T882" i="58"/>
  <c r="S882" i="58"/>
  <c r="R882" i="58"/>
  <c r="Q882" i="58"/>
  <c r="P882" i="58"/>
  <c r="O882" i="58"/>
  <c r="N882" i="58"/>
  <c r="M882" i="58"/>
  <c r="L882" i="58"/>
  <c r="S881" i="58"/>
  <c r="R881" i="58"/>
  <c r="T881" i="58" s="1"/>
  <c r="Q881" i="58"/>
  <c r="P881" i="58"/>
  <c r="O881" i="58"/>
  <c r="N881" i="58"/>
  <c r="M881" i="58"/>
  <c r="L881" i="58"/>
  <c r="S880" i="58"/>
  <c r="R880" i="58"/>
  <c r="T880" i="58" s="1"/>
  <c r="Q880" i="58"/>
  <c r="P880" i="58"/>
  <c r="O880" i="58"/>
  <c r="N880" i="58"/>
  <c r="M880" i="58"/>
  <c r="L880" i="58"/>
  <c r="S879" i="58"/>
  <c r="T879" i="58" s="1"/>
  <c r="R879" i="58"/>
  <c r="Q879" i="58"/>
  <c r="P879" i="58"/>
  <c r="O879" i="58"/>
  <c r="N879" i="58"/>
  <c r="M879" i="58"/>
  <c r="L879" i="58"/>
  <c r="T878" i="58"/>
  <c r="S878" i="58"/>
  <c r="R878" i="58"/>
  <c r="Q878" i="58"/>
  <c r="P878" i="58"/>
  <c r="O878" i="58"/>
  <c r="N878" i="58"/>
  <c r="M878" i="58"/>
  <c r="L878" i="58"/>
  <c r="S877" i="58"/>
  <c r="R877" i="58"/>
  <c r="T877" i="58" s="1"/>
  <c r="Q877" i="58"/>
  <c r="P877" i="58"/>
  <c r="O877" i="58"/>
  <c r="N877" i="58"/>
  <c r="M877" i="58"/>
  <c r="L877" i="58"/>
  <c r="S876" i="58"/>
  <c r="R876" i="58"/>
  <c r="T876" i="58" s="1"/>
  <c r="Q876" i="58"/>
  <c r="P876" i="58"/>
  <c r="O876" i="58"/>
  <c r="N876" i="58"/>
  <c r="M876" i="58"/>
  <c r="L876" i="58"/>
  <c r="S875" i="58"/>
  <c r="T875" i="58" s="1"/>
  <c r="R875" i="58"/>
  <c r="Q875" i="58"/>
  <c r="P875" i="58"/>
  <c r="O875" i="58"/>
  <c r="N875" i="58"/>
  <c r="M875" i="58"/>
  <c r="L875" i="58"/>
  <c r="T874" i="58"/>
  <c r="S874" i="58"/>
  <c r="R874" i="58"/>
  <c r="Q874" i="58"/>
  <c r="P874" i="58"/>
  <c r="O874" i="58"/>
  <c r="N874" i="58"/>
  <c r="M874" i="58"/>
  <c r="L874" i="58"/>
  <c r="S873" i="58"/>
  <c r="R873" i="58"/>
  <c r="T873" i="58" s="1"/>
  <c r="Q873" i="58"/>
  <c r="P873" i="58"/>
  <c r="O873" i="58"/>
  <c r="N873" i="58"/>
  <c r="M873" i="58"/>
  <c r="L873" i="58"/>
  <c r="S872" i="58"/>
  <c r="R872" i="58"/>
  <c r="T872" i="58" s="1"/>
  <c r="Q872" i="58"/>
  <c r="P872" i="58"/>
  <c r="O872" i="58"/>
  <c r="N872" i="58"/>
  <c r="M872" i="58"/>
  <c r="L872" i="58"/>
  <c r="S871" i="58"/>
  <c r="T871" i="58" s="1"/>
  <c r="R871" i="58"/>
  <c r="Q871" i="58"/>
  <c r="P871" i="58"/>
  <c r="O871" i="58"/>
  <c r="N871" i="58"/>
  <c r="M871" i="58"/>
  <c r="L871" i="58"/>
  <c r="T870" i="58"/>
  <c r="S870" i="58"/>
  <c r="R870" i="58"/>
  <c r="Q870" i="58"/>
  <c r="P870" i="58"/>
  <c r="O870" i="58"/>
  <c r="N870" i="58"/>
  <c r="M870" i="58"/>
  <c r="L870" i="58"/>
  <c r="S869" i="58"/>
  <c r="R869" i="58"/>
  <c r="T869" i="58" s="1"/>
  <c r="Q869" i="58"/>
  <c r="P869" i="58"/>
  <c r="O869" i="58"/>
  <c r="N869" i="58"/>
  <c r="M869" i="58"/>
  <c r="L869" i="58"/>
  <c r="S868" i="58"/>
  <c r="R868" i="58"/>
  <c r="T868" i="58" s="1"/>
  <c r="Q868" i="58"/>
  <c r="P868" i="58"/>
  <c r="O868" i="58"/>
  <c r="N868" i="58"/>
  <c r="M868" i="58"/>
  <c r="L868" i="58"/>
  <c r="S867" i="58"/>
  <c r="T867" i="58" s="1"/>
  <c r="R867" i="58"/>
  <c r="Q867" i="58"/>
  <c r="P867" i="58"/>
  <c r="O867" i="58"/>
  <c r="N867" i="58"/>
  <c r="M867" i="58"/>
  <c r="L867" i="58"/>
  <c r="T866" i="58"/>
  <c r="S866" i="58"/>
  <c r="R866" i="58"/>
  <c r="Q866" i="58"/>
  <c r="P866" i="58"/>
  <c r="O866" i="58"/>
  <c r="N866" i="58"/>
  <c r="M866" i="58"/>
  <c r="L866" i="58"/>
  <c r="S865" i="58"/>
  <c r="R865" i="58"/>
  <c r="T865" i="58" s="1"/>
  <c r="Q865" i="58"/>
  <c r="P865" i="58"/>
  <c r="O865" i="58"/>
  <c r="N865" i="58"/>
  <c r="M865" i="58"/>
  <c r="L865" i="58"/>
  <c r="S864" i="58"/>
  <c r="R864" i="58"/>
  <c r="Q864" i="58"/>
  <c r="P864" i="58"/>
  <c r="O864" i="58"/>
  <c r="N864" i="58"/>
  <c r="M864" i="58"/>
  <c r="L864" i="58"/>
  <c r="T863" i="58"/>
  <c r="S863" i="58"/>
  <c r="R863" i="58"/>
  <c r="Q863" i="58"/>
  <c r="P863" i="58"/>
  <c r="O863" i="58"/>
  <c r="N863" i="58"/>
  <c r="M863" i="58"/>
  <c r="L863" i="58"/>
  <c r="T862" i="58"/>
  <c r="S862" i="58"/>
  <c r="R862" i="58"/>
  <c r="Q862" i="58"/>
  <c r="P862" i="58"/>
  <c r="O862" i="58"/>
  <c r="N862" i="58"/>
  <c r="M862" i="58"/>
  <c r="L862" i="58"/>
  <c r="S861" i="58"/>
  <c r="R861" i="58"/>
  <c r="T861" i="58" s="1"/>
  <c r="Q861" i="58"/>
  <c r="P861" i="58"/>
  <c r="O861" i="58"/>
  <c r="N861" i="58"/>
  <c r="M861" i="58"/>
  <c r="L861" i="58"/>
  <c r="S860" i="58"/>
  <c r="R860" i="58"/>
  <c r="T860" i="58" s="1"/>
  <c r="Q860" i="58"/>
  <c r="P860" i="58"/>
  <c r="O860" i="58"/>
  <c r="N860" i="58"/>
  <c r="M860" i="58"/>
  <c r="L860" i="58"/>
  <c r="S859" i="58"/>
  <c r="T859" i="58" s="1"/>
  <c r="R859" i="58"/>
  <c r="Q859" i="58"/>
  <c r="P859" i="58"/>
  <c r="O859" i="58"/>
  <c r="N859" i="58"/>
  <c r="M859" i="58"/>
  <c r="L859" i="58"/>
  <c r="T858" i="58"/>
  <c r="S858" i="58"/>
  <c r="R858" i="58"/>
  <c r="Q858" i="58"/>
  <c r="P858" i="58"/>
  <c r="O858" i="58"/>
  <c r="N858" i="58"/>
  <c r="M858" i="58"/>
  <c r="L858" i="58"/>
  <c r="S857" i="58"/>
  <c r="R857" i="58"/>
  <c r="T857" i="58" s="1"/>
  <c r="Q857" i="58"/>
  <c r="P857" i="58"/>
  <c r="O857" i="58"/>
  <c r="N857" i="58"/>
  <c r="M857" i="58"/>
  <c r="L857" i="58"/>
  <c r="S856" i="58"/>
  <c r="R856" i="58"/>
  <c r="Q856" i="58"/>
  <c r="P856" i="58"/>
  <c r="O856" i="58"/>
  <c r="N856" i="58"/>
  <c r="M856" i="58"/>
  <c r="L856" i="58"/>
  <c r="T855" i="58"/>
  <c r="S855" i="58"/>
  <c r="R855" i="58"/>
  <c r="Q855" i="58"/>
  <c r="P855" i="58"/>
  <c r="O855" i="58"/>
  <c r="N855" i="58"/>
  <c r="M855" i="58"/>
  <c r="L855" i="58"/>
  <c r="T854" i="58"/>
  <c r="S854" i="58"/>
  <c r="R854" i="58"/>
  <c r="Q854" i="58"/>
  <c r="P854" i="58"/>
  <c r="O854" i="58"/>
  <c r="N854" i="58"/>
  <c r="M854" i="58"/>
  <c r="L854" i="58"/>
  <c r="S853" i="58"/>
  <c r="R853" i="58"/>
  <c r="T853" i="58" s="1"/>
  <c r="Q853" i="58"/>
  <c r="P853" i="58"/>
  <c r="O853" i="58"/>
  <c r="N853" i="58"/>
  <c r="M853" i="58"/>
  <c r="L853" i="58"/>
  <c r="S852" i="58"/>
  <c r="R852" i="58"/>
  <c r="T852" i="58" s="1"/>
  <c r="Q852" i="58"/>
  <c r="P852" i="58"/>
  <c r="O852" i="58"/>
  <c r="N852" i="58"/>
  <c r="M852" i="58"/>
  <c r="L852" i="58"/>
  <c r="S851" i="58"/>
  <c r="T851" i="58" s="1"/>
  <c r="R851" i="58"/>
  <c r="Q851" i="58"/>
  <c r="P851" i="58"/>
  <c r="O851" i="58"/>
  <c r="N851" i="58"/>
  <c r="M851" i="58"/>
  <c r="L851" i="58"/>
  <c r="T850" i="58"/>
  <c r="S850" i="58"/>
  <c r="R850" i="58"/>
  <c r="Q850" i="58"/>
  <c r="P850" i="58"/>
  <c r="O850" i="58"/>
  <c r="N850" i="58"/>
  <c r="M850" i="58"/>
  <c r="L850" i="58"/>
  <c r="S849" i="58"/>
  <c r="R849" i="58"/>
  <c r="T849" i="58" s="1"/>
  <c r="Q849" i="58"/>
  <c r="P849" i="58"/>
  <c r="O849" i="58"/>
  <c r="N849" i="58"/>
  <c r="M849" i="58"/>
  <c r="L849" i="58"/>
  <c r="S848" i="58"/>
  <c r="R848" i="58"/>
  <c r="T848" i="58" s="1"/>
  <c r="Q848" i="58"/>
  <c r="P848" i="58"/>
  <c r="O848" i="58"/>
  <c r="N848" i="58"/>
  <c r="M848" i="58"/>
  <c r="L848" i="58"/>
  <c r="S847" i="58"/>
  <c r="T847" i="58" s="1"/>
  <c r="R847" i="58"/>
  <c r="Q847" i="58"/>
  <c r="P847" i="58"/>
  <c r="O847" i="58"/>
  <c r="N847" i="58"/>
  <c r="M847" i="58"/>
  <c r="L847" i="58"/>
  <c r="T846" i="58"/>
  <c r="S846" i="58"/>
  <c r="R846" i="58"/>
  <c r="Q846" i="58"/>
  <c r="P846" i="58"/>
  <c r="O846" i="58"/>
  <c r="N846" i="58"/>
  <c r="M846" i="58"/>
  <c r="L846" i="58"/>
  <c r="S845" i="58"/>
  <c r="R845" i="58"/>
  <c r="T845" i="58" s="1"/>
  <c r="Q845" i="58"/>
  <c r="P845" i="58"/>
  <c r="O845" i="58"/>
  <c r="N845" i="58"/>
  <c r="M845" i="58"/>
  <c r="L845" i="58"/>
  <c r="S844" i="58"/>
  <c r="R844" i="58"/>
  <c r="T844" i="58" s="1"/>
  <c r="Q844" i="58"/>
  <c r="P844" i="58"/>
  <c r="O844" i="58"/>
  <c r="N844" i="58"/>
  <c r="M844" i="58"/>
  <c r="L844" i="58"/>
  <c r="S843" i="58"/>
  <c r="T843" i="58" s="1"/>
  <c r="R843" i="58"/>
  <c r="Q843" i="58"/>
  <c r="P843" i="58"/>
  <c r="O843" i="58"/>
  <c r="N843" i="58"/>
  <c r="M843" i="58"/>
  <c r="L843" i="58"/>
  <c r="T842" i="58"/>
  <c r="S842" i="58"/>
  <c r="R842" i="58"/>
  <c r="Q842" i="58"/>
  <c r="P842" i="58"/>
  <c r="O842" i="58"/>
  <c r="N842" i="58"/>
  <c r="M842" i="58"/>
  <c r="L842" i="58"/>
  <c r="S841" i="58"/>
  <c r="R841" i="58"/>
  <c r="T841" i="58" s="1"/>
  <c r="Q841" i="58"/>
  <c r="P841" i="58"/>
  <c r="O841" i="58"/>
  <c r="N841" i="58"/>
  <c r="M841" i="58"/>
  <c r="L841" i="58"/>
  <c r="S840" i="58"/>
  <c r="R840" i="58"/>
  <c r="T840" i="58" s="1"/>
  <c r="Q840" i="58"/>
  <c r="P840" i="58"/>
  <c r="O840" i="58"/>
  <c r="N840" i="58"/>
  <c r="M840" i="58"/>
  <c r="L840" i="58"/>
  <c r="S839" i="58"/>
  <c r="T839" i="58" s="1"/>
  <c r="R839" i="58"/>
  <c r="Q839" i="58"/>
  <c r="P839" i="58"/>
  <c r="O839" i="58"/>
  <c r="N839" i="58"/>
  <c r="M839" i="58"/>
  <c r="L839" i="58"/>
  <c r="T838" i="58"/>
  <c r="S838" i="58"/>
  <c r="R838" i="58"/>
  <c r="Q838" i="58"/>
  <c r="P838" i="58"/>
  <c r="O838" i="58"/>
  <c r="N838" i="58"/>
  <c r="M838" i="58"/>
  <c r="L838" i="58"/>
  <c r="S837" i="58"/>
  <c r="R837" i="58"/>
  <c r="T837" i="58" s="1"/>
  <c r="Q837" i="58"/>
  <c r="P837" i="58"/>
  <c r="O837" i="58"/>
  <c r="N837" i="58"/>
  <c r="M837" i="58"/>
  <c r="L837" i="58"/>
  <c r="S836" i="58"/>
  <c r="R836" i="58"/>
  <c r="T836" i="58" s="1"/>
  <c r="Q836" i="58"/>
  <c r="P836" i="58"/>
  <c r="O836" i="58"/>
  <c r="N836" i="58"/>
  <c r="M836" i="58"/>
  <c r="L836" i="58"/>
  <c r="S835" i="58"/>
  <c r="T835" i="58" s="1"/>
  <c r="R835" i="58"/>
  <c r="Q835" i="58"/>
  <c r="P835" i="58"/>
  <c r="O835" i="58"/>
  <c r="N835" i="58"/>
  <c r="M835" i="58"/>
  <c r="L835" i="58"/>
  <c r="T834" i="58"/>
  <c r="S834" i="58"/>
  <c r="R834" i="58"/>
  <c r="Q834" i="58"/>
  <c r="P834" i="58"/>
  <c r="O834" i="58"/>
  <c r="N834" i="58"/>
  <c r="M834" i="58"/>
  <c r="L834" i="58"/>
  <c r="S833" i="58"/>
  <c r="R833" i="58"/>
  <c r="T833" i="58" s="1"/>
  <c r="Q833" i="58"/>
  <c r="P833" i="58"/>
  <c r="O833" i="58"/>
  <c r="N833" i="58"/>
  <c r="M833" i="58"/>
  <c r="L833" i="58"/>
  <c r="S832" i="58"/>
  <c r="R832" i="58"/>
  <c r="Q832" i="58"/>
  <c r="P832" i="58"/>
  <c r="O832" i="58"/>
  <c r="N832" i="58"/>
  <c r="M832" i="58"/>
  <c r="L832" i="58"/>
  <c r="T831" i="58"/>
  <c r="S831" i="58"/>
  <c r="R831" i="58"/>
  <c r="Q831" i="58"/>
  <c r="P831" i="58"/>
  <c r="O831" i="58"/>
  <c r="N831" i="58"/>
  <c r="M831" i="58"/>
  <c r="L831" i="58"/>
  <c r="T830" i="58"/>
  <c r="S830" i="58"/>
  <c r="R830" i="58"/>
  <c r="Q830" i="58"/>
  <c r="P830" i="58"/>
  <c r="O830" i="58"/>
  <c r="N830" i="58"/>
  <c r="M830" i="58"/>
  <c r="L830" i="58"/>
  <c r="S829" i="58"/>
  <c r="R829" i="58"/>
  <c r="T829" i="58" s="1"/>
  <c r="Q829" i="58"/>
  <c r="P829" i="58"/>
  <c r="O829" i="58"/>
  <c r="N829" i="58"/>
  <c r="M829" i="58"/>
  <c r="L829" i="58"/>
  <c r="S828" i="58"/>
  <c r="R828" i="58"/>
  <c r="T828" i="58" s="1"/>
  <c r="Q828" i="58"/>
  <c r="P828" i="58"/>
  <c r="O828" i="58"/>
  <c r="N828" i="58"/>
  <c r="M828" i="58"/>
  <c r="L828" i="58"/>
  <c r="S827" i="58"/>
  <c r="T827" i="58" s="1"/>
  <c r="R827" i="58"/>
  <c r="Q827" i="58"/>
  <c r="P827" i="58"/>
  <c r="O827" i="58"/>
  <c r="N827" i="58"/>
  <c r="M827" i="58"/>
  <c r="L827" i="58"/>
  <c r="T826" i="58"/>
  <c r="S826" i="58"/>
  <c r="R826" i="58"/>
  <c r="Q826" i="58"/>
  <c r="P826" i="58"/>
  <c r="O826" i="58"/>
  <c r="N826" i="58"/>
  <c r="M826" i="58"/>
  <c r="L826" i="58"/>
  <c r="S825" i="58"/>
  <c r="R825" i="58"/>
  <c r="T825" i="58" s="1"/>
  <c r="Q825" i="58"/>
  <c r="P825" i="58"/>
  <c r="O825" i="58"/>
  <c r="N825" i="58"/>
  <c r="M825" i="58"/>
  <c r="L825" i="58"/>
  <c r="S824" i="58"/>
  <c r="R824" i="58"/>
  <c r="Q824" i="58"/>
  <c r="P824" i="58"/>
  <c r="O824" i="58"/>
  <c r="N824" i="58"/>
  <c r="M824" i="58"/>
  <c r="L824" i="58"/>
  <c r="T823" i="58"/>
  <c r="S823" i="58"/>
  <c r="R823" i="58"/>
  <c r="Q823" i="58"/>
  <c r="P823" i="58"/>
  <c r="O823" i="58"/>
  <c r="N823" i="58"/>
  <c r="M823" i="58"/>
  <c r="L823" i="58"/>
  <c r="T822" i="58"/>
  <c r="S822" i="58"/>
  <c r="R822" i="58"/>
  <c r="Q822" i="58"/>
  <c r="P822" i="58"/>
  <c r="O822" i="58"/>
  <c r="N822" i="58"/>
  <c r="M822" i="58"/>
  <c r="L822" i="58"/>
  <c r="S821" i="58"/>
  <c r="R821" i="58"/>
  <c r="T821" i="58" s="1"/>
  <c r="Q821" i="58"/>
  <c r="P821" i="58"/>
  <c r="O821" i="58"/>
  <c r="N821" i="58"/>
  <c r="M821" i="58"/>
  <c r="L821" i="58"/>
  <c r="S820" i="58"/>
  <c r="R820" i="58"/>
  <c r="T820" i="58" s="1"/>
  <c r="Q820" i="58"/>
  <c r="P820" i="58"/>
  <c r="O820" i="58"/>
  <c r="N820" i="58"/>
  <c r="M820" i="58"/>
  <c r="L820" i="58"/>
  <c r="S819" i="58"/>
  <c r="T819" i="58" s="1"/>
  <c r="R819" i="58"/>
  <c r="Q819" i="58"/>
  <c r="P819" i="58"/>
  <c r="O819" i="58"/>
  <c r="N819" i="58"/>
  <c r="M819" i="58"/>
  <c r="L819" i="58"/>
  <c r="T818" i="58"/>
  <c r="S818" i="58"/>
  <c r="R818" i="58"/>
  <c r="Q818" i="58"/>
  <c r="P818" i="58"/>
  <c r="O818" i="58"/>
  <c r="N818" i="58"/>
  <c r="M818" i="58"/>
  <c r="L818" i="58"/>
  <c r="S817" i="58"/>
  <c r="R817" i="58"/>
  <c r="T817" i="58" s="1"/>
  <c r="Q817" i="58"/>
  <c r="P817" i="58"/>
  <c r="O817" i="58"/>
  <c r="N817" i="58"/>
  <c r="M817" i="58"/>
  <c r="L817" i="58"/>
  <c r="S816" i="58"/>
  <c r="R816" i="58"/>
  <c r="T816" i="58" s="1"/>
  <c r="Q816" i="58"/>
  <c r="P816" i="58"/>
  <c r="O816" i="58"/>
  <c r="N816" i="58"/>
  <c r="M816" i="58"/>
  <c r="L816" i="58"/>
  <c r="S815" i="58"/>
  <c r="T815" i="58" s="1"/>
  <c r="R815" i="58"/>
  <c r="Q815" i="58"/>
  <c r="P815" i="58"/>
  <c r="O815" i="58"/>
  <c r="N815" i="58"/>
  <c r="M815" i="58"/>
  <c r="L815" i="58"/>
  <c r="T814" i="58"/>
  <c r="S814" i="58"/>
  <c r="R814" i="58"/>
  <c r="Q814" i="58"/>
  <c r="P814" i="58"/>
  <c r="O814" i="58"/>
  <c r="N814" i="58"/>
  <c r="M814" i="58"/>
  <c r="L814" i="58"/>
  <c r="S813" i="58"/>
  <c r="R813" i="58"/>
  <c r="T813" i="58" s="1"/>
  <c r="Q813" i="58"/>
  <c r="P813" i="58"/>
  <c r="O813" i="58"/>
  <c r="N813" i="58"/>
  <c r="M813" i="58"/>
  <c r="L813" i="58"/>
  <c r="S812" i="58"/>
  <c r="R812" i="58"/>
  <c r="T812" i="58" s="1"/>
  <c r="Q812" i="58"/>
  <c r="P812" i="58"/>
  <c r="O812" i="58"/>
  <c r="N812" i="58"/>
  <c r="M812" i="58"/>
  <c r="L812" i="58"/>
  <c r="S811" i="58"/>
  <c r="T811" i="58" s="1"/>
  <c r="R811" i="58"/>
  <c r="Q811" i="58"/>
  <c r="P811" i="58"/>
  <c r="O811" i="58"/>
  <c r="N811" i="58"/>
  <c r="M811" i="58"/>
  <c r="L811" i="58"/>
  <c r="T810" i="58"/>
  <c r="S810" i="58"/>
  <c r="R810" i="58"/>
  <c r="Q810" i="58"/>
  <c r="P810" i="58"/>
  <c r="O810" i="58"/>
  <c r="N810" i="58"/>
  <c r="M810" i="58"/>
  <c r="L810" i="58"/>
  <c r="S809" i="58"/>
  <c r="R809" i="58"/>
  <c r="T809" i="58" s="1"/>
  <c r="Q809" i="58"/>
  <c r="P809" i="58"/>
  <c r="O809" i="58"/>
  <c r="N809" i="58"/>
  <c r="M809" i="58"/>
  <c r="L809" i="58"/>
  <c r="S808" i="58"/>
  <c r="R808" i="58"/>
  <c r="T808" i="58" s="1"/>
  <c r="Q808" i="58"/>
  <c r="P808" i="58"/>
  <c r="O808" i="58"/>
  <c r="N808" i="58"/>
  <c r="M808" i="58"/>
  <c r="L808" i="58"/>
  <c r="S807" i="58"/>
  <c r="T807" i="58" s="1"/>
  <c r="R807" i="58"/>
  <c r="Q807" i="58"/>
  <c r="P807" i="58"/>
  <c r="O807" i="58"/>
  <c r="N807" i="58"/>
  <c r="M807" i="58"/>
  <c r="L807" i="58"/>
  <c r="T806" i="58"/>
  <c r="S806" i="58"/>
  <c r="R806" i="58"/>
  <c r="Q806" i="58"/>
  <c r="P806" i="58"/>
  <c r="O806" i="58"/>
  <c r="N806" i="58"/>
  <c r="M806" i="58"/>
  <c r="L806" i="58"/>
  <c r="S805" i="58"/>
  <c r="R805" i="58"/>
  <c r="T805" i="58" s="1"/>
  <c r="Q805" i="58"/>
  <c r="P805" i="58"/>
  <c r="O805" i="58"/>
  <c r="N805" i="58"/>
  <c r="M805" i="58"/>
  <c r="L805" i="58"/>
  <c r="S804" i="58"/>
  <c r="R804" i="58"/>
  <c r="T804" i="58" s="1"/>
  <c r="Q804" i="58"/>
  <c r="P804" i="58"/>
  <c r="O804" i="58"/>
  <c r="N804" i="58"/>
  <c r="M804" i="58"/>
  <c r="L804" i="58"/>
  <c r="S803" i="58"/>
  <c r="T803" i="58" s="1"/>
  <c r="R803" i="58"/>
  <c r="Q803" i="58"/>
  <c r="P803" i="58"/>
  <c r="O803" i="58"/>
  <c r="N803" i="58"/>
  <c r="M803" i="58"/>
  <c r="L803" i="58"/>
  <c r="T802" i="58"/>
  <c r="S802" i="58"/>
  <c r="R802" i="58"/>
  <c r="Q802" i="58"/>
  <c r="P802" i="58"/>
  <c r="O802" i="58"/>
  <c r="N802" i="58"/>
  <c r="M802" i="58"/>
  <c r="L802" i="58"/>
  <c r="S801" i="58"/>
  <c r="R801" i="58"/>
  <c r="T801" i="58" s="1"/>
  <c r="Q801" i="58"/>
  <c r="P801" i="58"/>
  <c r="O801" i="58"/>
  <c r="N801" i="58"/>
  <c r="M801" i="58"/>
  <c r="L801" i="58"/>
  <c r="S800" i="58"/>
  <c r="R800" i="58"/>
  <c r="Q800" i="58"/>
  <c r="P800" i="58"/>
  <c r="O800" i="58"/>
  <c r="N800" i="58"/>
  <c r="M800" i="58"/>
  <c r="L800" i="58"/>
  <c r="T799" i="58"/>
  <c r="S799" i="58"/>
  <c r="R799" i="58"/>
  <c r="Q799" i="58"/>
  <c r="P799" i="58"/>
  <c r="O799" i="58"/>
  <c r="N799" i="58"/>
  <c r="M799" i="58"/>
  <c r="L799" i="58"/>
  <c r="T798" i="58"/>
  <c r="S798" i="58"/>
  <c r="R798" i="58"/>
  <c r="Q798" i="58"/>
  <c r="P798" i="58"/>
  <c r="O798" i="58"/>
  <c r="N798" i="58"/>
  <c r="M798" i="58"/>
  <c r="L798" i="58"/>
  <c r="S797" i="58"/>
  <c r="R797" i="58"/>
  <c r="T797" i="58" s="1"/>
  <c r="Q797" i="58"/>
  <c r="P797" i="58"/>
  <c r="O797" i="58"/>
  <c r="N797" i="58"/>
  <c r="M797" i="58"/>
  <c r="L797" i="58"/>
  <c r="S796" i="58"/>
  <c r="R796" i="58"/>
  <c r="T796" i="58" s="1"/>
  <c r="Q796" i="58"/>
  <c r="P796" i="58"/>
  <c r="O796" i="58"/>
  <c r="N796" i="58"/>
  <c r="M796" i="58"/>
  <c r="L796" i="58"/>
  <c r="S795" i="58"/>
  <c r="T795" i="58" s="1"/>
  <c r="R795" i="58"/>
  <c r="Q795" i="58"/>
  <c r="P795" i="58"/>
  <c r="O795" i="58"/>
  <c r="N795" i="58"/>
  <c r="M795" i="58"/>
  <c r="L795" i="58"/>
  <c r="T794" i="58"/>
  <c r="S794" i="58"/>
  <c r="R794" i="58"/>
  <c r="Q794" i="58"/>
  <c r="P794" i="58"/>
  <c r="O794" i="58"/>
  <c r="N794" i="58"/>
  <c r="M794" i="58"/>
  <c r="L794" i="58"/>
  <c r="S793" i="58"/>
  <c r="R793" i="58"/>
  <c r="T793" i="58" s="1"/>
  <c r="Q793" i="58"/>
  <c r="P793" i="58"/>
  <c r="O793" i="58"/>
  <c r="N793" i="58"/>
  <c r="M793" i="58"/>
  <c r="L793" i="58"/>
  <c r="S792" i="58"/>
  <c r="R792" i="58"/>
  <c r="Q792" i="58"/>
  <c r="P792" i="58"/>
  <c r="O792" i="58"/>
  <c r="N792" i="58"/>
  <c r="M792" i="58"/>
  <c r="L792" i="58"/>
  <c r="T791" i="58"/>
  <c r="S791" i="58"/>
  <c r="R791" i="58"/>
  <c r="Q791" i="58"/>
  <c r="P791" i="58"/>
  <c r="O791" i="58"/>
  <c r="N791" i="58"/>
  <c r="M791" i="58"/>
  <c r="L791" i="58"/>
  <c r="T790" i="58"/>
  <c r="S790" i="58"/>
  <c r="R790" i="58"/>
  <c r="Q790" i="58"/>
  <c r="P790" i="58"/>
  <c r="O790" i="58"/>
  <c r="N790" i="58"/>
  <c r="M790" i="58"/>
  <c r="L790" i="58"/>
  <c r="S789" i="58"/>
  <c r="R789" i="58"/>
  <c r="T789" i="58" s="1"/>
  <c r="Q789" i="58"/>
  <c r="P789" i="58"/>
  <c r="O789" i="58"/>
  <c r="N789" i="58"/>
  <c r="M789" i="58"/>
  <c r="L789" i="58"/>
  <c r="S788" i="58"/>
  <c r="R788" i="58"/>
  <c r="T788" i="58" s="1"/>
  <c r="Q788" i="58"/>
  <c r="P788" i="58"/>
  <c r="O788" i="58"/>
  <c r="N788" i="58"/>
  <c r="M788" i="58"/>
  <c r="L788" i="58"/>
  <c r="S787" i="58"/>
  <c r="T787" i="58" s="1"/>
  <c r="R787" i="58"/>
  <c r="Q787" i="58"/>
  <c r="P787" i="58"/>
  <c r="O787" i="58"/>
  <c r="N787" i="58"/>
  <c r="M787" i="58"/>
  <c r="L787" i="58"/>
  <c r="T786" i="58"/>
  <c r="S786" i="58"/>
  <c r="R786" i="58"/>
  <c r="Q786" i="58"/>
  <c r="P786" i="58"/>
  <c r="O786" i="58"/>
  <c r="N786" i="58"/>
  <c r="M786" i="58"/>
  <c r="L786" i="58"/>
  <c r="S785" i="58"/>
  <c r="R785" i="58"/>
  <c r="T785" i="58" s="1"/>
  <c r="Q785" i="58"/>
  <c r="P785" i="58"/>
  <c r="O785" i="58"/>
  <c r="N785" i="58"/>
  <c r="M785" i="58"/>
  <c r="L785" i="58"/>
  <c r="S784" i="58"/>
  <c r="R784" i="58"/>
  <c r="T784" i="58" s="1"/>
  <c r="Q784" i="58"/>
  <c r="P784" i="58"/>
  <c r="O784" i="58"/>
  <c r="N784" i="58"/>
  <c r="M784" i="58"/>
  <c r="L784" i="58"/>
  <c r="S783" i="58"/>
  <c r="T783" i="58" s="1"/>
  <c r="R783" i="58"/>
  <c r="Q783" i="58"/>
  <c r="P783" i="58"/>
  <c r="O783" i="58"/>
  <c r="N783" i="58"/>
  <c r="M783" i="58"/>
  <c r="L783" i="58"/>
  <c r="T782" i="58"/>
  <c r="S782" i="58"/>
  <c r="R782" i="58"/>
  <c r="Q782" i="58"/>
  <c r="P782" i="58"/>
  <c r="O782" i="58"/>
  <c r="N782" i="58"/>
  <c r="M782" i="58"/>
  <c r="L782" i="58"/>
  <c r="S781" i="58"/>
  <c r="R781" i="58"/>
  <c r="T781" i="58" s="1"/>
  <c r="Q781" i="58"/>
  <c r="P781" i="58"/>
  <c r="O781" i="58"/>
  <c r="N781" i="58"/>
  <c r="M781" i="58"/>
  <c r="L781" i="58"/>
  <c r="S780" i="58"/>
  <c r="R780" i="58"/>
  <c r="T780" i="58" s="1"/>
  <c r="Q780" i="58"/>
  <c r="P780" i="58"/>
  <c r="O780" i="58"/>
  <c r="N780" i="58"/>
  <c r="M780" i="58"/>
  <c r="L780" i="58"/>
  <c r="S779" i="58"/>
  <c r="T779" i="58" s="1"/>
  <c r="R779" i="58"/>
  <c r="Q779" i="58"/>
  <c r="P779" i="58"/>
  <c r="O779" i="58"/>
  <c r="N779" i="58"/>
  <c r="M779" i="58"/>
  <c r="L779" i="58"/>
  <c r="T778" i="58"/>
  <c r="S778" i="58"/>
  <c r="R778" i="58"/>
  <c r="Q778" i="58"/>
  <c r="P778" i="58"/>
  <c r="O778" i="58"/>
  <c r="N778" i="58"/>
  <c r="M778" i="58"/>
  <c r="L778" i="58"/>
  <c r="S777" i="58"/>
  <c r="R777" i="58"/>
  <c r="T777" i="58" s="1"/>
  <c r="Q777" i="58"/>
  <c r="P777" i="58"/>
  <c r="O777" i="58"/>
  <c r="N777" i="58"/>
  <c r="M777" i="58"/>
  <c r="L777" i="58"/>
  <c r="S776" i="58"/>
  <c r="R776" i="58"/>
  <c r="T776" i="58" s="1"/>
  <c r="Q776" i="58"/>
  <c r="P776" i="58"/>
  <c r="O776" i="58"/>
  <c r="N776" i="58"/>
  <c r="M776" i="58"/>
  <c r="L776" i="58"/>
  <c r="S775" i="58"/>
  <c r="T775" i="58" s="1"/>
  <c r="R775" i="58"/>
  <c r="Q775" i="58"/>
  <c r="P775" i="58"/>
  <c r="O775" i="58"/>
  <c r="N775" i="58"/>
  <c r="M775" i="58"/>
  <c r="L775" i="58"/>
  <c r="T774" i="58"/>
  <c r="S774" i="58"/>
  <c r="R774" i="58"/>
  <c r="Q774" i="58"/>
  <c r="P774" i="58"/>
  <c r="O774" i="58"/>
  <c r="N774" i="58"/>
  <c r="M774" i="58"/>
  <c r="L774" i="58"/>
  <c r="S773" i="58"/>
  <c r="R773" i="58"/>
  <c r="T773" i="58" s="1"/>
  <c r="Q773" i="58"/>
  <c r="P773" i="58"/>
  <c r="O773" i="58"/>
  <c r="N773" i="58"/>
  <c r="M773" i="58"/>
  <c r="L773" i="58"/>
  <c r="S772" i="58"/>
  <c r="R772" i="58"/>
  <c r="T772" i="58" s="1"/>
  <c r="Q772" i="58"/>
  <c r="P772" i="58"/>
  <c r="O772" i="58"/>
  <c r="N772" i="58"/>
  <c r="M772" i="58"/>
  <c r="L772" i="58"/>
  <c r="S771" i="58"/>
  <c r="T771" i="58" s="1"/>
  <c r="R771" i="58"/>
  <c r="Q771" i="58"/>
  <c r="P771" i="58"/>
  <c r="O771" i="58"/>
  <c r="N771" i="58"/>
  <c r="M771" i="58"/>
  <c r="L771" i="58"/>
  <c r="T770" i="58"/>
  <c r="S770" i="58"/>
  <c r="R770" i="58"/>
  <c r="Q770" i="58"/>
  <c r="P770" i="58"/>
  <c r="O770" i="58"/>
  <c r="N770" i="58"/>
  <c r="M770" i="58"/>
  <c r="L770" i="58"/>
  <c r="S769" i="58"/>
  <c r="R769" i="58"/>
  <c r="T769" i="58" s="1"/>
  <c r="Q769" i="58"/>
  <c r="P769" i="58"/>
  <c r="O769" i="58"/>
  <c r="N769" i="58"/>
  <c r="M769" i="58"/>
  <c r="L769" i="58"/>
  <c r="S768" i="58"/>
  <c r="R768" i="58"/>
  <c r="Q768" i="58"/>
  <c r="P768" i="58"/>
  <c r="O768" i="58"/>
  <c r="N768" i="58"/>
  <c r="M768" i="58"/>
  <c r="L768" i="58"/>
  <c r="T767" i="58"/>
  <c r="S767" i="58"/>
  <c r="R767" i="58"/>
  <c r="Q767" i="58"/>
  <c r="P767" i="58"/>
  <c r="O767" i="58"/>
  <c r="N767" i="58"/>
  <c r="M767" i="58"/>
  <c r="L767" i="58"/>
  <c r="T766" i="58"/>
  <c r="S766" i="58"/>
  <c r="R766" i="58"/>
  <c r="Q766" i="58"/>
  <c r="P766" i="58"/>
  <c r="O766" i="58"/>
  <c r="N766" i="58"/>
  <c r="M766" i="58"/>
  <c r="L766" i="58"/>
  <c r="S765" i="58"/>
  <c r="R765" i="58"/>
  <c r="T765" i="58" s="1"/>
  <c r="Q765" i="58"/>
  <c r="P765" i="58"/>
  <c r="O765" i="58"/>
  <c r="N765" i="58"/>
  <c r="M765" i="58"/>
  <c r="L765" i="58"/>
  <c r="S764" i="58"/>
  <c r="R764" i="58"/>
  <c r="T764" i="58" s="1"/>
  <c r="Q764" i="58"/>
  <c r="P764" i="58"/>
  <c r="O764" i="58"/>
  <c r="N764" i="58"/>
  <c r="M764" i="58"/>
  <c r="L764" i="58"/>
  <c r="S763" i="58"/>
  <c r="T763" i="58" s="1"/>
  <c r="R763" i="58"/>
  <c r="Q763" i="58"/>
  <c r="P763" i="58"/>
  <c r="O763" i="58"/>
  <c r="N763" i="58"/>
  <c r="M763" i="58"/>
  <c r="L763" i="58"/>
  <c r="T762" i="58"/>
  <c r="S762" i="58"/>
  <c r="R762" i="58"/>
  <c r="Q762" i="58"/>
  <c r="P762" i="58"/>
  <c r="O762" i="58"/>
  <c r="N762" i="58"/>
  <c r="M762" i="58"/>
  <c r="L762" i="58"/>
  <c r="S761" i="58"/>
  <c r="R761" i="58"/>
  <c r="T761" i="58" s="1"/>
  <c r="Q761" i="58"/>
  <c r="P761" i="58"/>
  <c r="O761" i="58"/>
  <c r="N761" i="58"/>
  <c r="M761" i="58"/>
  <c r="L761" i="58"/>
  <c r="S760" i="58"/>
  <c r="R760" i="58"/>
  <c r="Q760" i="58"/>
  <c r="P760" i="58"/>
  <c r="O760" i="58"/>
  <c r="N760" i="58"/>
  <c r="M760" i="58"/>
  <c r="L760" i="58"/>
  <c r="T759" i="58"/>
  <c r="S759" i="58"/>
  <c r="R759" i="58"/>
  <c r="Q759" i="58"/>
  <c r="P759" i="58"/>
  <c r="O759" i="58"/>
  <c r="N759" i="58"/>
  <c r="M759" i="58"/>
  <c r="L759" i="58"/>
  <c r="T758" i="58"/>
  <c r="S758" i="58"/>
  <c r="R758" i="58"/>
  <c r="Q758" i="58"/>
  <c r="P758" i="58"/>
  <c r="O758" i="58"/>
  <c r="N758" i="58"/>
  <c r="M758" i="58"/>
  <c r="L758" i="58"/>
  <c r="S757" i="58"/>
  <c r="R757" i="58"/>
  <c r="T757" i="58" s="1"/>
  <c r="Q757" i="58"/>
  <c r="P757" i="58"/>
  <c r="O757" i="58"/>
  <c r="N757" i="58"/>
  <c r="M757" i="58"/>
  <c r="L757" i="58"/>
  <c r="S756" i="58"/>
  <c r="R756" i="58"/>
  <c r="T756" i="58" s="1"/>
  <c r="Q756" i="58"/>
  <c r="P756" i="58"/>
  <c r="O756" i="58"/>
  <c r="N756" i="58"/>
  <c r="M756" i="58"/>
  <c r="L756" i="58"/>
  <c r="S755" i="58"/>
  <c r="T755" i="58" s="1"/>
  <c r="R755" i="58"/>
  <c r="Q755" i="58"/>
  <c r="P755" i="58"/>
  <c r="O755" i="58"/>
  <c r="N755" i="58"/>
  <c r="M755" i="58"/>
  <c r="L755" i="58"/>
  <c r="T754" i="58"/>
  <c r="S754" i="58"/>
  <c r="R754" i="58"/>
  <c r="Q754" i="58"/>
  <c r="P754" i="58"/>
  <c r="O754" i="58"/>
  <c r="N754" i="58"/>
  <c r="M754" i="58"/>
  <c r="L754" i="58"/>
  <c r="S753" i="58"/>
  <c r="R753" i="58"/>
  <c r="T753" i="58" s="1"/>
  <c r="Q753" i="58"/>
  <c r="P753" i="58"/>
  <c r="O753" i="58"/>
  <c r="N753" i="58"/>
  <c r="M753" i="58"/>
  <c r="L753" i="58"/>
  <c r="S752" i="58"/>
  <c r="R752" i="58"/>
  <c r="T752" i="58" s="1"/>
  <c r="Q752" i="58"/>
  <c r="P752" i="58"/>
  <c r="O752" i="58"/>
  <c r="N752" i="58"/>
  <c r="M752" i="58"/>
  <c r="L752" i="58"/>
  <c r="S751" i="58"/>
  <c r="T751" i="58" s="1"/>
  <c r="R751" i="58"/>
  <c r="Q751" i="58"/>
  <c r="P751" i="58"/>
  <c r="O751" i="58"/>
  <c r="N751" i="58"/>
  <c r="M751" i="58"/>
  <c r="L751" i="58"/>
  <c r="T750" i="58"/>
  <c r="S750" i="58"/>
  <c r="R750" i="58"/>
  <c r="Q750" i="58"/>
  <c r="P750" i="58"/>
  <c r="O750" i="58"/>
  <c r="N750" i="58"/>
  <c r="M750" i="58"/>
  <c r="L750" i="58"/>
  <c r="S749" i="58"/>
  <c r="R749" i="58"/>
  <c r="T749" i="58" s="1"/>
  <c r="Q749" i="58"/>
  <c r="P749" i="58"/>
  <c r="O749" i="58"/>
  <c r="N749" i="58"/>
  <c r="M749" i="58"/>
  <c r="L749" i="58"/>
  <c r="S748" i="58"/>
  <c r="R748" i="58"/>
  <c r="T748" i="58" s="1"/>
  <c r="Q748" i="58"/>
  <c r="P748" i="58"/>
  <c r="O748" i="58"/>
  <c r="N748" i="58"/>
  <c r="M748" i="58"/>
  <c r="L748" i="58"/>
  <c r="S747" i="58"/>
  <c r="T747" i="58" s="1"/>
  <c r="R747" i="58"/>
  <c r="Q747" i="58"/>
  <c r="P747" i="58"/>
  <c r="O747" i="58"/>
  <c r="N747" i="58"/>
  <c r="M747" i="58"/>
  <c r="L747" i="58"/>
  <c r="T746" i="58"/>
  <c r="S746" i="58"/>
  <c r="R746" i="58"/>
  <c r="Q746" i="58"/>
  <c r="P746" i="58"/>
  <c r="O746" i="58"/>
  <c r="N746" i="58"/>
  <c r="M746" i="58"/>
  <c r="L746" i="58"/>
  <c r="S745" i="58"/>
  <c r="R745" i="58"/>
  <c r="T745" i="58" s="1"/>
  <c r="Q745" i="58"/>
  <c r="P745" i="58"/>
  <c r="O745" i="58"/>
  <c r="N745" i="58"/>
  <c r="M745" i="58"/>
  <c r="L745" i="58"/>
  <c r="S744" i="58"/>
  <c r="R744" i="58"/>
  <c r="T744" i="58" s="1"/>
  <c r="Q744" i="58"/>
  <c r="P744" i="58"/>
  <c r="O744" i="58"/>
  <c r="N744" i="58"/>
  <c r="M744" i="58"/>
  <c r="L744" i="58"/>
  <c r="S743" i="58"/>
  <c r="T743" i="58" s="1"/>
  <c r="R743" i="58"/>
  <c r="Q743" i="58"/>
  <c r="P743" i="58"/>
  <c r="O743" i="58"/>
  <c r="N743" i="58"/>
  <c r="M743" i="58"/>
  <c r="L743" i="58"/>
  <c r="T742" i="58"/>
  <c r="S742" i="58"/>
  <c r="R742" i="58"/>
  <c r="Q742" i="58"/>
  <c r="P742" i="58"/>
  <c r="O742" i="58"/>
  <c r="N742" i="58"/>
  <c r="M742" i="58"/>
  <c r="L742" i="58"/>
  <c r="S741" i="58"/>
  <c r="R741" i="58"/>
  <c r="T741" i="58" s="1"/>
  <c r="Q741" i="58"/>
  <c r="P741" i="58"/>
  <c r="O741" i="58"/>
  <c r="N741" i="58"/>
  <c r="M741" i="58"/>
  <c r="L741" i="58"/>
  <c r="S740" i="58"/>
  <c r="R740" i="58"/>
  <c r="T740" i="58" s="1"/>
  <c r="Q740" i="58"/>
  <c r="P740" i="58"/>
  <c r="O740" i="58"/>
  <c r="N740" i="58"/>
  <c r="M740" i="58"/>
  <c r="L740" i="58"/>
  <c r="S739" i="58"/>
  <c r="T739" i="58" s="1"/>
  <c r="R739" i="58"/>
  <c r="Q739" i="58"/>
  <c r="P739" i="58"/>
  <c r="O739" i="58"/>
  <c r="N739" i="58"/>
  <c r="M739" i="58"/>
  <c r="L739" i="58"/>
  <c r="T738" i="58"/>
  <c r="S738" i="58"/>
  <c r="R738" i="58"/>
  <c r="Q738" i="58"/>
  <c r="P738" i="58"/>
  <c r="O738" i="58"/>
  <c r="N738" i="58"/>
  <c r="M738" i="58"/>
  <c r="L738" i="58"/>
  <c r="S737" i="58"/>
  <c r="R737" i="58"/>
  <c r="T737" i="58" s="1"/>
  <c r="Q737" i="58"/>
  <c r="P737" i="58"/>
  <c r="O737" i="58"/>
  <c r="N737" i="58"/>
  <c r="M737" i="58"/>
  <c r="L737" i="58"/>
  <c r="S736" i="58"/>
  <c r="R736" i="58"/>
  <c r="Q736" i="58"/>
  <c r="P736" i="58"/>
  <c r="O736" i="58"/>
  <c r="N736" i="58"/>
  <c r="M736" i="58"/>
  <c r="L736" i="58"/>
  <c r="T735" i="58"/>
  <c r="S735" i="58"/>
  <c r="R735" i="58"/>
  <c r="Q735" i="58"/>
  <c r="P735" i="58"/>
  <c r="O735" i="58"/>
  <c r="N735" i="58"/>
  <c r="M735" i="58"/>
  <c r="L735" i="58"/>
  <c r="T734" i="58"/>
  <c r="S734" i="58"/>
  <c r="R734" i="58"/>
  <c r="Q734" i="58"/>
  <c r="P734" i="58"/>
  <c r="O734" i="58"/>
  <c r="N734" i="58"/>
  <c r="M734" i="58"/>
  <c r="L734" i="58"/>
  <c r="S733" i="58"/>
  <c r="R733" i="58"/>
  <c r="T733" i="58" s="1"/>
  <c r="Q733" i="58"/>
  <c r="P733" i="58"/>
  <c r="O733" i="58"/>
  <c r="N733" i="58"/>
  <c r="M733" i="58"/>
  <c r="L733" i="58"/>
  <c r="S732" i="58"/>
  <c r="R732" i="58"/>
  <c r="T732" i="58" s="1"/>
  <c r="Q732" i="58"/>
  <c r="P732" i="58"/>
  <c r="O732" i="58"/>
  <c r="N732" i="58"/>
  <c r="M732" i="58"/>
  <c r="L732" i="58"/>
  <c r="S731" i="58"/>
  <c r="T731" i="58" s="1"/>
  <c r="R731" i="58"/>
  <c r="Q731" i="58"/>
  <c r="P731" i="58"/>
  <c r="O731" i="58"/>
  <c r="N731" i="58"/>
  <c r="M731" i="58"/>
  <c r="L731" i="58"/>
  <c r="T730" i="58"/>
  <c r="S730" i="58"/>
  <c r="R730" i="58"/>
  <c r="Q730" i="58"/>
  <c r="P730" i="58"/>
  <c r="O730" i="58"/>
  <c r="N730" i="58"/>
  <c r="M730" i="58"/>
  <c r="L730" i="58"/>
  <c r="S729" i="58"/>
  <c r="R729" i="58"/>
  <c r="T729" i="58" s="1"/>
  <c r="Q729" i="58"/>
  <c r="P729" i="58"/>
  <c r="O729" i="58"/>
  <c r="N729" i="58"/>
  <c r="M729" i="58"/>
  <c r="L729" i="58"/>
  <c r="S728" i="58"/>
  <c r="R728" i="58"/>
  <c r="Q728" i="58"/>
  <c r="P728" i="58"/>
  <c r="O728" i="58"/>
  <c r="N728" i="58"/>
  <c r="M728" i="58"/>
  <c r="L728" i="58"/>
  <c r="T727" i="58"/>
  <c r="S727" i="58"/>
  <c r="R727" i="58"/>
  <c r="Q727" i="58"/>
  <c r="P727" i="58"/>
  <c r="O727" i="58"/>
  <c r="N727" i="58"/>
  <c r="M727" i="58"/>
  <c r="L727" i="58"/>
  <c r="T726" i="58"/>
  <c r="S726" i="58"/>
  <c r="R726" i="58"/>
  <c r="Q726" i="58"/>
  <c r="P726" i="58"/>
  <c r="O726" i="58"/>
  <c r="N726" i="58"/>
  <c r="M726" i="58"/>
  <c r="L726" i="58"/>
  <c r="S725" i="58"/>
  <c r="R725" i="58"/>
  <c r="T725" i="58" s="1"/>
  <c r="Q725" i="58"/>
  <c r="P725" i="58"/>
  <c r="O725" i="58"/>
  <c r="N725" i="58"/>
  <c r="M725" i="58"/>
  <c r="L725" i="58"/>
  <c r="S724" i="58"/>
  <c r="R724" i="58"/>
  <c r="T724" i="58" s="1"/>
  <c r="Q724" i="58"/>
  <c r="P724" i="58"/>
  <c r="O724" i="58"/>
  <c r="N724" i="58"/>
  <c r="M724" i="58"/>
  <c r="L724" i="58"/>
  <c r="S723" i="58"/>
  <c r="T723" i="58" s="1"/>
  <c r="R723" i="58"/>
  <c r="Q723" i="58"/>
  <c r="P723" i="58"/>
  <c r="O723" i="58"/>
  <c r="N723" i="58"/>
  <c r="M723" i="58"/>
  <c r="L723" i="58"/>
  <c r="T722" i="58"/>
  <c r="S722" i="58"/>
  <c r="R722" i="58"/>
  <c r="Q722" i="58"/>
  <c r="P722" i="58"/>
  <c r="O722" i="58"/>
  <c r="N722" i="58"/>
  <c r="M722" i="58"/>
  <c r="L722" i="58"/>
  <c r="S721" i="58"/>
  <c r="R721" i="58"/>
  <c r="T721" i="58" s="1"/>
  <c r="Q721" i="58"/>
  <c r="P721" i="58"/>
  <c r="O721" i="58"/>
  <c r="N721" i="58"/>
  <c r="M721" i="58"/>
  <c r="L721" i="58"/>
  <c r="S720" i="58"/>
  <c r="R720" i="58"/>
  <c r="T720" i="58" s="1"/>
  <c r="Q720" i="58"/>
  <c r="P720" i="58"/>
  <c r="O720" i="58"/>
  <c r="N720" i="58"/>
  <c r="M720" i="58"/>
  <c r="L720" i="58"/>
  <c r="S719" i="58"/>
  <c r="T719" i="58" s="1"/>
  <c r="R719" i="58"/>
  <c r="Q719" i="58"/>
  <c r="P719" i="58"/>
  <c r="O719" i="58"/>
  <c r="N719" i="58"/>
  <c r="M719" i="58"/>
  <c r="L719" i="58"/>
  <c r="T718" i="58"/>
  <c r="S718" i="58"/>
  <c r="R718" i="58"/>
  <c r="Q718" i="58"/>
  <c r="P718" i="58"/>
  <c r="O718" i="58"/>
  <c r="N718" i="58"/>
  <c r="M718" i="58"/>
  <c r="L718" i="58"/>
  <c r="S717" i="58"/>
  <c r="R717" i="58"/>
  <c r="T717" i="58" s="1"/>
  <c r="Q717" i="58"/>
  <c r="P717" i="58"/>
  <c r="O717" i="58"/>
  <c r="N717" i="58"/>
  <c r="M717" i="58"/>
  <c r="L717" i="58"/>
  <c r="S716" i="58"/>
  <c r="R716" i="58"/>
  <c r="T716" i="58" s="1"/>
  <c r="Q716" i="58"/>
  <c r="P716" i="58"/>
  <c r="O716" i="58"/>
  <c r="N716" i="58"/>
  <c r="M716" i="58"/>
  <c r="L716" i="58"/>
  <c r="S715" i="58"/>
  <c r="T715" i="58" s="1"/>
  <c r="R715" i="58"/>
  <c r="Q715" i="58"/>
  <c r="P715" i="58"/>
  <c r="O715" i="58"/>
  <c r="N715" i="58"/>
  <c r="M715" i="58"/>
  <c r="L715" i="58"/>
  <c r="T714" i="58"/>
  <c r="S714" i="58"/>
  <c r="R714" i="58"/>
  <c r="Q714" i="58"/>
  <c r="P714" i="58"/>
  <c r="O714" i="58"/>
  <c r="N714" i="58"/>
  <c r="M714" i="58"/>
  <c r="L714" i="58"/>
  <c r="S713" i="58"/>
  <c r="R713" i="58"/>
  <c r="T713" i="58" s="1"/>
  <c r="Q713" i="58"/>
  <c r="P713" i="58"/>
  <c r="O713" i="58"/>
  <c r="N713" i="58"/>
  <c r="M713" i="58"/>
  <c r="L713" i="58"/>
  <c r="S712" i="58"/>
  <c r="R712" i="58"/>
  <c r="T712" i="58" s="1"/>
  <c r="Q712" i="58"/>
  <c r="P712" i="58"/>
  <c r="O712" i="58"/>
  <c r="N712" i="58"/>
  <c r="M712" i="58"/>
  <c r="L712" i="58"/>
  <c r="S711" i="58"/>
  <c r="T711" i="58" s="1"/>
  <c r="R711" i="58"/>
  <c r="Q711" i="58"/>
  <c r="P711" i="58"/>
  <c r="O711" i="58"/>
  <c r="N711" i="58"/>
  <c r="M711" i="58"/>
  <c r="L711" i="58"/>
  <c r="T710" i="58"/>
  <c r="S710" i="58"/>
  <c r="R710" i="58"/>
  <c r="Q710" i="58"/>
  <c r="P710" i="58"/>
  <c r="O710" i="58"/>
  <c r="N710" i="58"/>
  <c r="M710" i="58"/>
  <c r="L710" i="58"/>
  <c r="S709" i="58"/>
  <c r="R709" i="58"/>
  <c r="T709" i="58" s="1"/>
  <c r="Q709" i="58"/>
  <c r="P709" i="58"/>
  <c r="O709" i="58"/>
  <c r="N709" i="58"/>
  <c r="M709" i="58"/>
  <c r="L709" i="58"/>
  <c r="S708" i="58"/>
  <c r="R708" i="58"/>
  <c r="T708" i="58" s="1"/>
  <c r="Q708" i="58"/>
  <c r="P708" i="58"/>
  <c r="O708" i="58"/>
  <c r="N708" i="58"/>
  <c r="M708" i="58"/>
  <c r="L708" i="58"/>
  <c r="S707" i="58"/>
  <c r="T707" i="58" s="1"/>
  <c r="R707" i="58"/>
  <c r="Q707" i="58"/>
  <c r="P707" i="58"/>
  <c r="O707" i="58"/>
  <c r="N707" i="58"/>
  <c r="M707" i="58"/>
  <c r="L707" i="58"/>
  <c r="T706" i="58"/>
  <c r="S706" i="58"/>
  <c r="R706" i="58"/>
  <c r="Q706" i="58"/>
  <c r="P706" i="58"/>
  <c r="O706" i="58"/>
  <c r="N706" i="58"/>
  <c r="M706" i="58"/>
  <c r="L706" i="58"/>
  <c r="S705" i="58"/>
  <c r="R705" i="58"/>
  <c r="T705" i="58" s="1"/>
  <c r="Q705" i="58"/>
  <c r="P705" i="58"/>
  <c r="O705" i="58"/>
  <c r="N705" i="58"/>
  <c r="M705" i="58"/>
  <c r="L705" i="58"/>
  <c r="S704" i="58"/>
  <c r="R704" i="58"/>
  <c r="Q704" i="58"/>
  <c r="P704" i="58"/>
  <c r="O704" i="58"/>
  <c r="N704" i="58"/>
  <c r="M704" i="58"/>
  <c r="L704" i="58"/>
  <c r="T703" i="58"/>
  <c r="S703" i="58"/>
  <c r="R703" i="58"/>
  <c r="Q703" i="58"/>
  <c r="P703" i="58"/>
  <c r="O703" i="58"/>
  <c r="N703" i="58"/>
  <c r="M703" i="58"/>
  <c r="L703" i="58"/>
  <c r="T702" i="58"/>
  <c r="S702" i="58"/>
  <c r="R702" i="58"/>
  <c r="Q702" i="58"/>
  <c r="P702" i="58"/>
  <c r="O702" i="58"/>
  <c r="N702" i="58"/>
  <c r="M702" i="58"/>
  <c r="L702" i="58"/>
  <c r="S701" i="58"/>
  <c r="R701" i="58"/>
  <c r="T701" i="58" s="1"/>
  <c r="Q701" i="58"/>
  <c r="P701" i="58"/>
  <c r="O701" i="58"/>
  <c r="N701" i="58"/>
  <c r="M701" i="58"/>
  <c r="L701" i="58"/>
  <c r="S700" i="58"/>
  <c r="R700" i="58"/>
  <c r="T700" i="58" s="1"/>
  <c r="Q700" i="58"/>
  <c r="P700" i="58"/>
  <c r="O700" i="58"/>
  <c r="N700" i="58"/>
  <c r="M700" i="58"/>
  <c r="L700" i="58"/>
  <c r="S699" i="58"/>
  <c r="T699" i="58" s="1"/>
  <c r="R699" i="58"/>
  <c r="Q699" i="58"/>
  <c r="P699" i="58"/>
  <c r="O699" i="58"/>
  <c r="N699" i="58"/>
  <c r="M699" i="58"/>
  <c r="L699" i="58"/>
  <c r="T698" i="58"/>
  <c r="S698" i="58"/>
  <c r="R698" i="58"/>
  <c r="Q698" i="58"/>
  <c r="P698" i="58"/>
  <c r="O698" i="58"/>
  <c r="N698" i="58"/>
  <c r="M698" i="58"/>
  <c r="L698" i="58"/>
  <c r="S697" i="58"/>
  <c r="R697" i="58"/>
  <c r="T697" i="58" s="1"/>
  <c r="Q697" i="58"/>
  <c r="P697" i="58"/>
  <c r="O697" i="58"/>
  <c r="N697" i="58"/>
  <c r="M697" i="58"/>
  <c r="L697" i="58"/>
  <c r="S696" i="58"/>
  <c r="R696" i="58"/>
  <c r="Q696" i="58"/>
  <c r="P696" i="58"/>
  <c r="O696" i="58"/>
  <c r="N696" i="58"/>
  <c r="M696" i="58"/>
  <c r="L696" i="58"/>
  <c r="T695" i="58"/>
  <c r="S695" i="58"/>
  <c r="R695" i="58"/>
  <c r="Q695" i="58"/>
  <c r="P695" i="58"/>
  <c r="O695" i="58"/>
  <c r="N695" i="58"/>
  <c r="M695" i="58"/>
  <c r="L695" i="58"/>
  <c r="T694" i="58"/>
  <c r="S694" i="58"/>
  <c r="R694" i="58"/>
  <c r="Q694" i="58"/>
  <c r="P694" i="58"/>
  <c r="O694" i="58"/>
  <c r="N694" i="58"/>
  <c r="M694" i="58"/>
  <c r="L694" i="58"/>
  <c r="S693" i="58"/>
  <c r="R693" i="58"/>
  <c r="T693" i="58" s="1"/>
  <c r="Q693" i="58"/>
  <c r="P693" i="58"/>
  <c r="O693" i="58"/>
  <c r="N693" i="58"/>
  <c r="M693" i="58"/>
  <c r="L693" i="58"/>
  <c r="S692" i="58"/>
  <c r="R692" i="58"/>
  <c r="T692" i="58" s="1"/>
  <c r="Q692" i="58"/>
  <c r="P692" i="58"/>
  <c r="O692" i="58"/>
  <c r="N692" i="58"/>
  <c r="M692" i="58"/>
  <c r="L692" i="58"/>
  <c r="S691" i="58"/>
  <c r="T691" i="58" s="1"/>
  <c r="R691" i="58"/>
  <c r="Q691" i="58"/>
  <c r="P691" i="58"/>
  <c r="O691" i="58"/>
  <c r="N691" i="58"/>
  <c r="M691" i="58"/>
  <c r="L691" i="58"/>
  <c r="T690" i="58"/>
  <c r="S690" i="58"/>
  <c r="R690" i="58"/>
  <c r="Q690" i="58"/>
  <c r="P690" i="58"/>
  <c r="O690" i="58"/>
  <c r="N690" i="58"/>
  <c r="M690" i="58"/>
  <c r="L690" i="58"/>
  <c r="S689" i="58"/>
  <c r="R689" i="58"/>
  <c r="T689" i="58" s="1"/>
  <c r="Q689" i="58"/>
  <c r="P689" i="58"/>
  <c r="O689" i="58"/>
  <c r="N689" i="58"/>
  <c r="M689" i="58"/>
  <c r="L689" i="58"/>
  <c r="S688" i="58"/>
  <c r="R688" i="58"/>
  <c r="T688" i="58" s="1"/>
  <c r="Q688" i="58"/>
  <c r="P688" i="58"/>
  <c r="O688" i="58"/>
  <c r="N688" i="58"/>
  <c r="M688" i="58"/>
  <c r="L688" i="58"/>
  <c r="S687" i="58"/>
  <c r="T687" i="58" s="1"/>
  <c r="R687" i="58"/>
  <c r="Q687" i="58"/>
  <c r="P687" i="58"/>
  <c r="O687" i="58"/>
  <c r="N687" i="58"/>
  <c r="M687" i="58"/>
  <c r="L687" i="58"/>
  <c r="T686" i="58"/>
  <c r="S686" i="58"/>
  <c r="R686" i="58"/>
  <c r="Q686" i="58"/>
  <c r="P686" i="58"/>
  <c r="O686" i="58"/>
  <c r="N686" i="58"/>
  <c r="M686" i="58"/>
  <c r="L686" i="58"/>
  <c r="S685" i="58"/>
  <c r="R685" i="58"/>
  <c r="T685" i="58" s="1"/>
  <c r="Q685" i="58"/>
  <c r="P685" i="58"/>
  <c r="O685" i="58"/>
  <c r="N685" i="58"/>
  <c r="M685" i="58"/>
  <c r="L685" i="58"/>
  <c r="S684" i="58"/>
  <c r="R684" i="58"/>
  <c r="T684" i="58" s="1"/>
  <c r="Q684" i="58"/>
  <c r="P684" i="58"/>
  <c r="O684" i="58"/>
  <c r="N684" i="58"/>
  <c r="M684" i="58"/>
  <c r="L684" i="58"/>
  <c r="S683" i="58"/>
  <c r="T683" i="58" s="1"/>
  <c r="R683" i="58"/>
  <c r="Q683" i="58"/>
  <c r="P683" i="58"/>
  <c r="O683" i="58"/>
  <c r="N683" i="58"/>
  <c r="M683" i="58"/>
  <c r="L683" i="58"/>
  <c r="T682" i="58"/>
  <c r="S682" i="58"/>
  <c r="R682" i="58"/>
  <c r="Q682" i="58"/>
  <c r="P682" i="58"/>
  <c r="O682" i="58"/>
  <c r="N682" i="58"/>
  <c r="M682" i="58"/>
  <c r="L682" i="58"/>
  <c r="S681" i="58"/>
  <c r="R681" i="58"/>
  <c r="T681" i="58" s="1"/>
  <c r="Q681" i="58"/>
  <c r="P681" i="58"/>
  <c r="O681" i="58"/>
  <c r="N681" i="58"/>
  <c r="M681" i="58"/>
  <c r="L681" i="58"/>
  <c r="S680" i="58"/>
  <c r="R680" i="58"/>
  <c r="T680" i="58" s="1"/>
  <c r="Q680" i="58"/>
  <c r="P680" i="58"/>
  <c r="O680" i="58"/>
  <c r="N680" i="58"/>
  <c r="M680" i="58"/>
  <c r="L680" i="58"/>
  <c r="S679" i="58"/>
  <c r="T679" i="58" s="1"/>
  <c r="R679" i="58"/>
  <c r="Q679" i="58"/>
  <c r="P679" i="58"/>
  <c r="O679" i="58"/>
  <c r="N679" i="58"/>
  <c r="M679" i="58"/>
  <c r="L679" i="58"/>
  <c r="T678" i="58"/>
  <c r="S678" i="58"/>
  <c r="R678" i="58"/>
  <c r="Q678" i="58"/>
  <c r="P678" i="58"/>
  <c r="O678" i="58"/>
  <c r="N678" i="58"/>
  <c r="M678" i="58"/>
  <c r="L678" i="58"/>
  <c r="S677" i="58"/>
  <c r="R677" i="58"/>
  <c r="T677" i="58" s="1"/>
  <c r="Q677" i="58"/>
  <c r="P677" i="58"/>
  <c r="O677" i="58"/>
  <c r="N677" i="58"/>
  <c r="M677" i="58"/>
  <c r="L677" i="58"/>
  <c r="S676" i="58"/>
  <c r="R676" i="58"/>
  <c r="T676" i="58" s="1"/>
  <c r="Q676" i="58"/>
  <c r="P676" i="58"/>
  <c r="O676" i="58"/>
  <c r="N676" i="58"/>
  <c r="M676" i="58"/>
  <c r="L676" i="58"/>
  <c r="S675" i="58"/>
  <c r="T675" i="58" s="1"/>
  <c r="R675" i="58"/>
  <c r="Q675" i="58"/>
  <c r="P675" i="58"/>
  <c r="O675" i="58"/>
  <c r="N675" i="58"/>
  <c r="M675" i="58"/>
  <c r="L675" i="58"/>
  <c r="T674" i="58"/>
  <c r="S674" i="58"/>
  <c r="R674" i="58"/>
  <c r="Q674" i="58"/>
  <c r="P674" i="58"/>
  <c r="O674" i="58"/>
  <c r="N674" i="58"/>
  <c r="M674" i="58"/>
  <c r="L674" i="58"/>
  <c r="S673" i="58"/>
  <c r="R673" i="58"/>
  <c r="T673" i="58" s="1"/>
  <c r="Q673" i="58"/>
  <c r="P673" i="58"/>
  <c r="O673" i="58"/>
  <c r="N673" i="58"/>
  <c r="M673" i="58"/>
  <c r="L673" i="58"/>
  <c r="S672" i="58"/>
  <c r="R672" i="58"/>
  <c r="Q672" i="58"/>
  <c r="P672" i="58"/>
  <c r="O672" i="58"/>
  <c r="N672" i="58"/>
  <c r="M672" i="58"/>
  <c r="L672" i="58"/>
  <c r="T671" i="58"/>
  <c r="S671" i="58"/>
  <c r="R671" i="58"/>
  <c r="Q671" i="58"/>
  <c r="P671" i="58"/>
  <c r="O671" i="58"/>
  <c r="N671" i="58"/>
  <c r="M671" i="58"/>
  <c r="L671" i="58"/>
  <c r="T670" i="58"/>
  <c r="S670" i="58"/>
  <c r="R670" i="58"/>
  <c r="Q670" i="58"/>
  <c r="P670" i="58"/>
  <c r="O670" i="58"/>
  <c r="N670" i="58"/>
  <c r="M670" i="58"/>
  <c r="L670" i="58"/>
  <c r="S669" i="58"/>
  <c r="R669" i="58"/>
  <c r="T669" i="58" s="1"/>
  <c r="Q669" i="58"/>
  <c r="P669" i="58"/>
  <c r="O669" i="58"/>
  <c r="N669" i="58"/>
  <c r="M669" i="58"/>
  <c r="L669" i="58"/>
  <c r="S668" i="58"/>
  <c r="R668" i="58"/>
  <c r="T668" i="58" s="1"/>
  <c r="Q668" i="58"/>
  <c r="P668" i="58"/>
  <c r="O668" i="58"/>
  <c r="N668" i="58"/>
  <c r="M668" i="58"/>
  <c r="L668" i="58"/>
  <c r="S667" i="58"/>
  <c r="T667" i="58" s="1"/>
  <c r="R667" i="58"/>
  <c r="Q667" i="58"/>
  <c r="P667" i="58"/>
  <c r="O667" i="58"/>
  <c r="N667" i="58"/>
  <c r="M667" i="58"/>
  <c r="L667" i="58"/>
  <c r="T666" i="58"/>
  <c r="S666" i="58"/>
  <c r="R666" i="58"/>
  <c r="Q666" i="58"/>
  <c r="P666" i="58"/>
  <c r="O666" i="58"/>
  <c r="N666" i="58"/>
  <c r="M666" i="58"/>
  <c r="L666" i="58"/>
  <c r="S665" i="58"/>
  <c r="R665" i="58"/>
  <c r="T665" i="58" s="1"/>
  <c r="Q665" i="58"/>
  <c r="P665" i="58"/>
  <c r="O665" i="58"/>
  <c r="N665" i="58"/>
  <c r="M665" i="58"/>
  <c r="L665" i="58"/>
  <c r="S664" i="58"/>
  <c r="R664" i="58"/>
  <c r="Q664" i="58"/>
  <c r="P664" i="58"/>
  <c r="O664" i="58"/>
  <c r="N664" i="58"/>
  <c r="M664" i="58"/>
  <c r="L664" i="58"/>
  <c r="T663" i="58"/>
  <c r="S663" i="58"/>
  <c r="R663" i="58"/>
  <c r="Q663" i="58"/>
  <c r="P663" i="58"/>
  <c r="O663" i="58"/>
  <c r="N663" i="58"/>
  <c r="M663" i="58"/>
  <c r="L663" i="58"/>
  <c r="T662" i="58"/>
  <c r="S662" i="58"/>
  <c r="R662" i="58"/>
  <c r="Q662" i="58"/>
  <c r="P662" i="58"/>
  <c r="O662" i="58"/>
  <c r="N662" i="58"/>
  <c r="M662" i="58"/>
  <c r="L662" i="58"/>
  <c r="S661" i="58"/>
  <c r="R661" i="58"/>
  <c r="T661" i="58" s="1"/>
  <c r="Q661" i="58"/>
  <c r="P661" i="58"/>
  <c r="O661" i="58"/>
  <c r="N661" i="58"/>
  <c r="M661" i="58"/>
  <c r="L661" i="58"/>
  <c r="S660" i="58"/>
  <c r="R660" i="58"/>
  <c r="T660" i="58" s="1"/>
  <c r="Q660" i="58"/>
  <c r="P660" i="58"/>
  <c r="O660" i="58"/>
  <c r="N660" i="58"/>
  <c r="M660" i="58"/>
  <c r="L660" i="58"/>
  <c r="S659" i="58"/>
  <c r="T659" i="58" s="1"/>
  <c r="R659" i="58"/>
  <c r="Q659" i="58"/>
  <c r="P659" i="58"/>
  <c r="O659" i="58"/>
  <c r="N659" i="58"/>
  <c r="M659" i="58"/>
  <c r="L659" i="58"/>
  <c r="T658" i="58"/>
  <c r="S658" i="58"/>
  <c r="R658" i="58"/>
  <c r="Q658" i="58"/>
  <c r="P658" i="58"/>
  <c r="O658" i="58"/>
  <c r="N658" i="58"/>
  <c r="M658" i="58"/>
  <c r="L658" i="58"/>
  <c r="S657" i="58"/>
  <c r="R657" i="58"/>
  <c r="T657" i="58" s="1"/>
  <c r="Q657" i="58"/>
  <c r="P657" i="58"/>
  <c r="O657" i="58"/>
  <c r="N657" i="58"/>
  <c r="M657" i="58"/>
  <c r="L657" i="58"/>
  <c r="S656" i="58"/>
  <c r="R656" i="58"/>
  <c r="T656" i="58" s="1"/>
  <c r="Q656" i="58"/>
  <c r="P656" i="58"/>
  <c r="O656" i="58"/>
  <c r="N656" i="58"/>
  <c r="M656" i="58"/>
  <c r="L656" i="58"/>
  <c r="S655" i="58"/>
  <c r="T655" i="58" s="1"/>
  <c r="R655" i="58"/>
  <c r="Q655" i="58"/>
  <c r="P655" i="58"/>
  <c r="O655" i="58"/>
  <c r="N655" i="58"/>
  <c r="M655" i="58"/>
  <c r="L655" i="58"/>
  <c r="T654" i="58"/>
  <c r="S654" i="58"/>
  <c r="R654" i="58"/>
  <c r="Q654" i="58"/>
  <c r="P654" i="58"/>
  <c r="O654" i="58"/>
  <c r="N654" i="58"/>
  <c r="M654" i="58"/>
  <c r="L654" i="58"/>
  <c r="S653" i="58"/>
  <c r="R653" i="58"/>
  <c r="T653" i="58" s="1"/>
  <c r="Q653" i="58"/>
  <c r="P653" i="58"/>
  <c r="O653" i="58"/>
  <c r="N653" i="58"/>
  <c r="M653" i="58"/>
  <c r="L653" i="58"/>
  <c r="S652" i="58"/>
  <c r="R652" i="58"/>
  <c r="T652" i="58" s="1"/>
  <c r="Q652" i="58"/>
  <c r="P652" i="58"/>
  <c r="O652" i="58"/>
  <c r="N652" i="58"/>
  <c r="M652" i="58"/>
  <c r="L652" i="58"/>
  <c r="S651" i="58"/>
  <c r="T651" i="58" s="1"/>
  <c r="R651" i="58"/>
  <c r="Q651" i="58"/>
  <c r="P651" i="58"/>
  <c r="O651" i="58"/>
  <c r="N651" i="58"/>
  <c r="M651" i="58"/>
  <c r="L651" i="58"/>
  <c r="T650" i="58"/>
  <c r="S650" i="58"/>
  <c r="R650" i="58"/>
  <c r="Q650" i="58"/>
  <c r="P650" i="58"/>
  <c r="O650" i="58"/>
  <c r="N650" i="58"/>
  <c r="M650" i="58"/>
  <c r="L650" i="58"/>
  <c r="S649" i="58"/>
  <c r="R649" i="58"/>
  <c r="T649" i="58" s="1"/>
  <c r="Q649" i="58"/>
  <c r="P649" i="58"/>
  <c r="O649" i="58"/>
  <c r="N649" i="58"/>
  <c r="M649" i="58"/>
  <c r="L649" i="58"/>
  <c r="S648" i="58"/>
  <c r="R648" i="58"/>
  <c r="T648" i="58" s="1"/>
  <c r="Q648" i="58"/>
  <c r="P648" i="58"/>
  <c r="O648" i="58"/>
  <c r="N648" i="58"/>
  <c r="M648" i="58"/>
  <c r="L648" i="58"/>
  <c r="S647" i="58"/>
  <c r="T647" i="58" s="1"/>
  <c r="R647" i="58"/>
  <c r="Q647" i="58"/>
  <c r="P647" i="58"/>
  <c r="O647" i="58"/>
  <c r="N647" i="58"/>
  <c r="M647" i="58"/>
  <c r="L647" i="58"/>
  <c r="T646" i="58"/>
  <c r="S646" i="58"/>
  <c r="R646" i="58"/>
  <c r="Q646" i="58"/>
  <c r="P646" i="58"/>
  <c r="O646" i="58"/>
  <c r="N646" i="58"/>
  <c r="M646" i="58"/>
  <c r="L646" i="58"/>
  <c r="S645" i="58"/>
  <c r="R645" i="58"/>
  <c r="T645" i="58" s="1"/>
  <c r="Q645" i="58"/>
  <c r="P645" i="58"/>
  <c r="O645" i="58"/>
  <c r="N645" i="58"/>
  <c r="M645" i="58"/>
  <c r="L645" i="58"/>
  <c r="S644" i="58"/>
  <c r="R644" i="58"/>
  <c r="T644" i="58" s="1"/>
  <c r="Q644" i="58"/>
  <c r="P644" i="58"/>
  <c r="O644" i="58"/>
  <c r="N644" i="58"/>
  <c r="M644" i="58"/>
  <c r="L644" i="58"/>
  <c r="S643" i="58"/>
  <c r="T643" i="58" s="1"/>
  <c r="R643" i="58"/>
  <c r="Q643" i="58"/>
  <c r="P643" i="58"/>
  <c r="O643" i="58"/>
  <c r="N643" i="58"/>
  <c r="M643" i="58"/>
  <c r="L643" i="58"/>
  <c r="T642" i="58"/>
  <c r="S642" i="58"/>
  <c r="R642" i="58"/>
  <c r="Q642" i="58"/>
  <c r="P642" i="58"/>
  <c r="O642" i="58"/>
  <c r="N642" i="58"/>
  <c r="M642" i="58"/>
  <c r="L642" i="58"/>
  <c r="S641" i="58"/>
  <c r="R641" i="58"/>
  <c r="T641" i="58" s="1"/>
  <c r="Q641" i="58"/>
  <c r="P641" i="58"/>
  <c r="O641" i="58"/>
  <c r="N641" i="58"/>
  <c r="M641" i="58"/>
  <c r="L641" i="58"/>
  <c r="S640" i="58"/>
  <c r="R640" i="58"/>
  <c r="Q640" i="58"/>
  <c r="P640" i="58"/>
  <c r="O640" i="58"/>
  <c r="N640" i="58"/>
  <c r="M640" i="58"/>
  <c r="L640" i="58"/>
  <c r="T639" i="58"/>
  <c r="S639" i="58"/>
  <c r="R639" i="58"/>
  <c r="Q639" i="58"/>
  <c r="P639" i="58"/>
  <c r="O639" i="58"/>
  <c r="N639" i="58"/>
  <c r="M639" i="58"/>
  <c r="L639" i="58"/>
  <c r="T638" i="58"/>
  <c r="S638" i="58"/>
  <c r="R638" i="58"/>
  <c r="Q638" i="58"/>
  <c r="P638" i="58"/>
  <c r="O638" i="58"/>
  <c r="N638" i="58"/>
  <c r="M638" i="58"/>
  <c r="L638" i="58"/>
  <c r="S637" i="58"/>
  <c r="R637" i="58"/>
  <c r="T637" i="58" s="1"/>
  <c r="Q637" i="58"/>
  <c r="P637" i="58"/>
  <c r="O637" i="58"/>
  <c r="N637" i="58"/>
  <c r="M637" i="58"/>
  <c r="L637" i="58"/>
  <c r="S636" i="58"/>
  <c r="R636" i="58"/>
  <c r="T636" i="58" s="1"/>
  <c r="Q636" i="58"/>
  <c r="P636" i="58"/>
  <c r="O636" i="58"/>
  <c r="N636" i="58"/>
  <c r="M636" i="58"/>
  <c r="L636" i="58"/>
  <c r="S635" i="58"/>
  <c r="T635" i="58" s="1"/>
  <c r="R635" i="58"/>
  <c r="Q635" i="58"/>
  <c r="P635" i="58"/>
  <c r="O635" i="58"/>
  <c r="N635" i="58"/>
  <c r="M635" i="58"/>
  <c r="L635" i="58"/>
  <c r="T634" i="58"/>
  <c r="S634" i="58"/>
  <c r="R634" i="58"/>
  <c r="Q634" i="58"/>
  <c r="P634" i="58"/>
  <c r="O634" i="58"/>
  <c r="N634" i="58"/>
  <c r="M634" i="58"/>
  <c r="L634" i="58"/>
  <c r="S633" i="58"/>
  <c r="R633" i="58"/>
  <c r="T633" i="58" s="1"/>
  <c r="Q633" i="58"/>
  <c r="P633" i="58"/>
  <c r="O633" i="58"/>
  <c r="N633" i="58"/>
  <c r="M633" i="58"/>
  <c r="L633" i="58"/>
  <c r="S632" i="58"/>
  <c r="R632" i="58"/>
  <c r="T632" i="58" s="1"/>
  <c r="Q632" i="58"/>
  <c r="P632" i="58"/>
  <c r="O632" i="58"/>
  <c r="N632" i="58"/>
  <c r="M632" i="58"/>
  <c r="L632" i="58"/>
  <c r="S631" i="58"/>
  <c r="R631" i="58"/>
  <c r="T631" i="58" s="1"/>
  <c r="Q631" i="58"/>
  <c r="P631" i="58"/>
  <c r="O631" i="58"/>
  <c r="N631" i="58"/>
  <c r="M631" i="58"/>
  <c r="L631" i="58"/>
  <c r="S630" i="58"/>
  <c r="T630" i="58" s="1"/>
  <c r="R630" i="58"/>
  <c r="Q630" i="58"/>
  <c r="P630" i="58"/>
  <c r="O630" i="58"/>
  <c r="N630" i="58"/>
  <c r="M630" i="58"/>
  <c r="L630" i="58"/>
  <c r="T629" i="58"/>
  <c r="S629" i="58"/>
  <c r="R629" i="58"/>
  <c r="Q629" i="58"/>
  <c r="P629" i="58"/>
  <c r="O629" i="58"/>
  <c r="N629" i="58"/>
  <c r="M629" i="58"/>
  <c r="L629" i="58"/>
  <c r="S628" i="58"/>
  <c r="R628" i="58"/>
  <c r="Q628" i="58"/>
  <c r="P628" i="58"/>
  <c r="O628" i="58"/>
  <c r="N628" i="58"/>
  <c r="M628" i="58"/>
  <c r="L628" i="58"/>
  <c r="S627" i="58"/>
  <c r="R627" i="58"/>
  <c r="T627" i="58" s="1"/>
  <c r="Q627" i="58"/>
  <c r="P627" i="58"/>
  <c r="O627" i="58"/>
  <c r="N627" i="58"/>
  <c r="M627" i="58"/>
  <c r="L627" i="58"/>
  <c r="S626" i="58"/>
  <c r="T626" i="58" s="1"/>
  <c r="R626" i="58"/>
  <c r="Q626" i="58"/>
  <c r="P626" i="58"/>
  <c r="O626" i="58"/>
  <c r="N626" i="58"/>
  <c r="M626" i="58"/>
  <c r="L626" i="58"/>
  <c r="T625" i="58"/>
  <c r="S625" i="58"/>
  <c r="R625" i="58"/>
  <c r="Q625" i="58"/>
  <c r="P625" i="58"/>
  <c r="O625" i="58"/>
  <c r="N625" i="58"/>
  <c r="M625" i="58"/>
  <c r="L625" i="58"/>
  <c r="S624" i="58"/>
  <c r="R624" i="58"/>
  <c r="Q624" i="58"/>
  <c r="P624" i="58"/>
  <c r="O624" i="58"/>
  <c r="N624" i="58"/>
  <c r="M624" i="58"/>
  <c r="L624" i="58"/>
  <c r="T623" i="58"/>
  <c r="S623" i="58"/>
  <c r="R623" i="58"/>
  <c r="Q623" i="58"/>
  <c r="P623" i="58"/>
  <c r="O623" i="58"/>
  <c r="N623" i="58"/>
  <c r="M623" i="58"/>
  <c r="L623" i="58"/>
  <c r="T622" i="58"/>
  <c r="S622" i="58"/>
  <c r="R622" i="58"/>
  <c r="Q622" i="58"/>
  <c r="P622" i="58"/>
  <c r="O622" i="58"/>
  <c r="N622" i="58"/>
  <c r="M622" i="58"/>
  <c r="L622" i="58"/>
  <c r="S621" i="58"/>
  <c r="R621" i="58"/>
  <c r="T621" i="58" s="1"/>
  <c r="Q621" i="58"/>
  <c r="P621" i="58"/>
  <c r="O621" i="58"/>
  <c r="N621" i="58"/>
  <c r="M621" i="58"/>
  <c r="L621" i="58"/>
  <c r="S620" i="58"/>
  <c r="R620" i="58"/>
  <c r="T620" i="58" s="1"/>
  <c r="Q620" i="58"/>
  <c r="P620" i="58"/>
  <c r="O620" i="58"/>
  <c r="N620" i="58"/>
  <c r="M620" i="58"/>
  <c r="L620" i="58"/>
  <c r="S619" i="58"/>
  <c r="T619" i="58" s="1"/>
  <c r="R619" i="58"/>
  <c r="Q619" i="58"/>
  <c r="P619" i="58"/>
  <c r="O619" i="58"/>
  <c r="N619" i="58"/>
  <c r="M619" i="58"/>
  <c r="L619" i="58"/>
  <c r="T618" i="58"/>
  <c r="S618" i="58"/>
  <c r="R618" i="58"/>
  <c r="Q618" i="58"/>
  <c r="P618" i="58"/>
  <c r="O618" i="58"/>
  <c r="N618" i="58"/>
  <c r="M618" i="58"/>
  <c r="L618" i="58"/>
  <c r="S617" i="58"/>
  <c r="R617" i="58"/>
  <c r="T617" i="58" s="1"/>
  <c r="Q617" i="58"/>
  <c r="P617" i="58"/>
  <c r="O617" i="58"/>
  <c r="N617" i="58"/>
  <c r="M617" i="58"/>
  <c r="L617" i="58"/>
  <c r="S616" i="58"/>
  <c r="R616" i="58"/>
  <c r="T616" i="58" s="1"/>
  <c r="Q616" i="58"/>
  <c r="P616" i="58"/>
  <c r="O616" i="58"/>
  <c r="N616" i="58"/>
  <c r="M616" i="58"/>
  <c r="L616" i="58"/>
  <c r="S615" i="58"/>
  <c r="R615" i="58"/>
  <c r="T615" i="58" s="1"/>
  <c r="Q615" i="58"/>
  <c r="P615" i="58"/>
  <c r="O615" i="58"/>
  <c r="N615" i="58"/>
  <c r="M615" i="58"/>
  <c r="L615" i="58"/>
  <c r="S614" i="58"/>
  <c r="T614" i="58" s="1"/>
  <c r="R614" i="58"/>
  <c r="Q614" i="58"/>
  <c r="P614" i="58"/>
  <c r="O614" i="58"/>
  <c r="N614" i="58"/>
  <c r="M614" i="58"/>
  <c r="L614" i="58"/>
  <c r="T613" i="58"/>
  <c r="S613" i="58"/>
  <c r="R613" i="58"/>
  <c r="Q613" i="58"/>
  <c r="P613" i="58"/>
  <c r="O613" i="58"/>
  <c r="N613" i="58"/>
  <c r="M613" i="58"/>
  <c r="L613" i="58"/>
  <c r="S612" i="58"/>
  <c r="R612" i="58"/>
  <c r="Q612" i="58"/>
  <c r="P612" i="58"/>
  <c r="O612" i="58"/>
  <c r="N612" i="58"/>
  <c r="M612" i="58"/>
  <c r="L612" i="58"/>
  <c r="S611" i="58"/>
  <c r="R611" i="58"/>
  <c r="T611" i="58" s="1"/>
  <c r="Q611" i="58"/>
  <c r="P611" i="58"/>
  <c r="O611" i="58"/>
  <c r="N611" i="58"/>
  <c r="M611" i="58"/>
  <c r="L611" i="58"/>
  <c r="S610" i="58"/>
  <c r="T610" i="58" s="1"/>
  <c r="R610" i="58"/>
  <c r="Q610" i="58"/>
  <c r="P610" i="58"/>
  <c r="O610" i="58"/>
  <c r="N610" i="58"/>
  <c r="M610" i="58"/>
  <c r="L610" i="58"/>
  <c r="T609" i="58"/>
  <c r="S609" i="58"/>
  <c r="R609" i="58"/>
  <c r="Q609" i="58"/>
  <c r="P609" i="58"/>
  <c r="O609" i="58"/>
  <c r="N609" i="58"/>
  <c r="M609" i="58"/>
  <c r="L609" i="58"/>
  <c r="S608" i="58"/>
  <c r="R608" i="58"/>
  <c r="Q608" i="58"/>
  <c r="P608" i="58"/>
  <c r="O608" i="58"/>
  <c r="N608" i="58"/>
  <c r="M608" i="58"/>
  <c r="L608" i="58"/>
  <c r="T607" i="58"/>
  <c r="S607" i="58"/>
  <c r="R607" i="58"/>
  <c r="Q607" i="58"/>
  <c r="P607" i="58"/>
  <c r="O607" i="58"/>
  <c r="N607" i="58"/>
  <c r="M607" i="58"/>
  <c r="L607" i="58"/>
  <c r="T606" i="58"/>
  <c r="S606" i="58"/>
  <c r="R606" i="58"/>
  <c r="Q606" i="58"/>
  <c r="P606" i="58"/>
  <c r="O606" i="58"/>
  <c r="N606" i="58"/>
  <c r="M606" i="58"/>
  <c r="L606" i="58"/>
  <c r="S605" i="58"/>
  <c r="R605" i="58"/>
  <c r="T605" i="58" s="1"/>
  <c r="Q605" i="58"/>
  <c r="P605" i="58"/>
  <c r="O605" i="58"/>
  <c r="N605" i="58"/>
  <c r="M605" i="58"/>
  <c r="L605" i="58"/>
  <c r="S604" i="58"/>
  <c r="R604" i="58"/>
  <c r="T604" i="58" s="1"/>
  <c r="Q604" i="58"/>
  <c r="P604" i="58"/>
  <c r="O604" i="58"/>
  <c r="N604" i="58"/>
  <c r="M604" i="58"/>
  <c r="L604" i="58"/>
  <c r="S603" i="58"/>
  <c r="T603" i="58" s="1"/>
  <c r="R603" i="58"/>
  <c r="Q603" i="58"/>
  <c r="P603" i="58"/>
  <c r="O603" i="58"/>
  <c r="N603" i="58"/>
  <c r="M603" i="58"/>
  <c r="L603" i="58"/>
  <c r="T602" i="58"/>
  <c r="S602" i="58"/>
  <c r="R602" i="58"/>
  <c r="Q602" i="58"/>
  <c r="P602" i="58"/>
  <c r="O602" i="58"/>
  <c r="N602" i="58"/>
  <c r="M602" i="58"/>
  <c r="L602" i="58"/>
  <c r="S601" i="58"/>
  <c r="R601" i="58"/>
  <c r="T601" i="58" s="1"/>
  <c r="Q601" i="58"/>
  <c r="P601" i="58"/>
  <c r="O601" i="58"/>
  <c r="N601" i="58"/>
  <c r="M601" i="58"/>
  <c r="L601" i="58"/>
  <c r="S600" i="58"/>
  <c r="R600" i="58"/>
  <c r="T600" i="58" s="1"/>
  <c r="Q600" i="58"/>
  <c r="P600" i="58"/>
  <c r="O600" i="58"/>
  <c r="N600" i="58"/>
  <c r="M600" i="58"/>
  <c r="L600" i="58"/>
  <c r="S599" i="58"/>
  <c r="R599" i="58"/>
  <c r="T599" i="58" s="1"/>
  <c r="Q599" i="58"/>
  <c r="P599" i="58"/>
  <c r="O599" i="58"/>
  <c r="N599" i="58"/>
  <c r="M599" i="58"/>
  <c r="L599" i="58"/>
  <c r="S598" i="58"/>
  <c r="T598" i="58" s="1"/>
  <c r="R598" i="58"/>
  <c r="Q598" i="58"/>
  <c r="P598" i="58"/>
  <c r="O598" i="58"/>
  <c r="N598" i="58"/>
  <c r="M598" i="58"/>
  <c r="L598" i="58"/>
  <c r="T597" i="58"/>
  <c r="S597" i="58"/>
  <c r="R597" i="58"/>
  <c r="Q597" i="58"/>
  <c r="P597" i="58"/>
  <c r="O597" i="58"/>
  <c r="N597" i="58"/>
  <c r="M597" i="58"/>
  <c r="L597" i="58"/>
  <c r="S596" i="58"/>
  <c r="R596" i="58"/>
  <c r="Q596" i="58"/>
  <c r="P596" i="58"/>
  <c r="O596" i="58"/>
  <c r="N596" i="58"/>
  <c r="M596" i="58"/>
  <c r="L596" i="58"/>
  <c r="S595" i="58"/>
  <c r="R595" i="58"/>
  <c r="T595" i="58" s="1"/>
  <c r="Q595" i="58"/>
  <c r="P595" i="58"/>
  <c r="O595" i="58"/>
  <c r="N595" i="58"/>
  <c r="M595" i="58"/>
  <c r="L595" i="58"/>
  <c r="S594" i="58"/>
  <c r="T594" i="58" s="1"/>
  <c r="R594" i="58"/>
  <c r="Q594" i="58"/>
  <c r="P594" i="58"/>
  <c r="O594" i="58"/>
  <c r="N594" i="58"/>
  <c r="M594" i="58"/>
  <c r="L594" i="58"/>
  <c r="T593" i="58"/>
  <c r="S593" i="58"/>
  <c r="R593" i="58"/>
  <c r="Q593" i="58"/>
  <c r="P593" i="58"/>
  <c r="O593" i="58"/>
  <c r="N593" i="58"/>
  <c r="M593" i="58"/>
  <c r="L593" i="58"/>
  <c r="S592" i="58"/>
  <c r="R592" i="58"/>
  <c r="Q592" i="58"/>
  <c r="P592" i="58"/>
  <c r="O592" i="58"/>
  <c r="N592" i="58"/>
  <c r="M592" i="58"/>
  <c r="L592" i="58"/>
  <c r="T591" i="58"/>
  <c r="S591" i="58"/>
  <c r="R591" i="58"/>
  <c r="Q591" i="58"/>
  <c r="P591" i="58"/>
  <c r="O591" i="58"/>
  <c r="N591" i="58"/>
  <c r="M591" i="58"/>
  <c r="L591" i="58"/>
  <c r="T590" i="58"/>
  <c r="S590" i="58"/>
  <c r="R590" i="58"/>
  <c r="Q590" i="58"/>
  <c r="P590" i="58"/>
  <c r="O590" i="58"/>
  <c r="N590" i="58"/>
  <c r="M590" i="58"/>
  <c r="L590" i="58"/>
  <c r="S589" i="58"/>
  <c r="R589" i="58"/>
  <c r="T589" i="58" s="1"/>
  <c r="Q589" i="58"/>
  <c r="P589" i="58"/>
  <c r="O589" i="58"/>
  <c r="N589" i="58"/>
  <c r="M589" i="58"/>
  <c r="L589" i="58"/>
  <c r="S588" i="58"/>
  <c r="R588" i="58"/>
  <c r="T588" i="58" s="1"/>
  <c r="Q588" i="58"/>
  <c r="P588" i="58"/>
  <c r="O588" i="58"/>
  <c r="N588" i="58"/>
  <c r="M588" i="58"/>
  <c r="L588" i="58"/>
  <c r="S587" i="58"/>
  <c r="T587" i="58" s="1"/>
  <c r="R587" i="58"/>
  <c r="Q587" i="58"/>
  <c r="P587" i="58"/>
  <c r="O587" i="58"/>
  <c r="N587" i="58"/>
  <c r="M587" i="58"/>
  <c r="L587" i="58"/>
  <c r="T586" i="58"/>
  <c r="S586" i="58"/>
  <c r="R586" i="58"/>
  <c r="Q586" i="58"/>
  <c r="P586" i="58"/>
  <c r="O586" i="58"/>
  <c r="N586" i="58"/>
  <c r="M586" i="58"/>
  <c r="L586" i="58"/>
  <c r="S585" i="58"/>
  <c r="R585" i="58"/>
  <c r="T585" i="58" s="1"/>
  <c r="Q585" i="58"/>
  <c r="P585" i="58"/>
  <c r="O585" i="58"/>
  <c r="N585" i="58"/>
  <c r="M585" i="58"/>
  <c r="L585" i="58"/>
  <c r="S584" i="58"/>
  <c r="R584" i="58"/>
  <c r="T584" i="58" s="1"/>
  <c r="Q584" i="58"/>
  <c r="P584" i="58"/>
  <c r="O584" i="58"/>
  <c r="N584" i="58"/>
  <c r="M584" i="58"/>
  <c r="L584" i="58"/>
  <c r="S583" i="58"/>
  <c r="R583" i="58"/>
  <c r="T583" i="58" s="1"/>
  <c r="Q583" i="58"/>
  <c r="P583" i="58"/>
  <c r="O583" i="58"/>
  <c r="N583" i="58"/>
  <c r="M583" i="58"/>
  <c r="L583" i="58"/>
  <c r="S582" i="58"/>
  <c r="T582" i="58" s="1"/>
  <c r="R582" i="58"/>
  <c r="Q582" i="58"/>
  <c r="P582" i="58"/>
  <c r="O582" i="58"/>
  <c r="N582" i="58"/>
  <c r="M582" i="58"/>
  <c r="L582" i="58"/>
  <c r="T581" i="58"/>
  <c r="S581" i="58"/>
  <c r="R581" i="58"/>
  <c r="Q581" i="58"/>
  <c r="P581" i="58"/>
  <c r="O581" i="58"/>
  <c r="N581" i="58"/>
  <c r="M581" i="58"/>
  <c r="L581" i="58"/>
  <c r="S580" i="58"/>
  <c r="R580" i="58"/>
  <c r="Q580" i="58"/>
  <c r="P580" i="58"/>
  <c r="O580" i="58"/>
  <c r="N580" i="58"/>
  <c r="M580" i="58"/>
  <c r="L580" i="58"/>
  <c r="S579" i="58"/>
  <c r="R579" i="58"/>
  <c r="T579" i="58" s="1"/>
  <c r="Q579" i="58"/>
  <c r="P579" i="58"/>
  <c r="O579" i="58"/>
  <c r="N579" i="58"/>
  <c r="M579" i="58"/>
  <c r="L579" i="58"/>
  <c r="S578" i="58"/>
  <c r="T578" i="58" s="1"/>
  <c r="R578" i="58"/>
  <c r="Q578" i="58"/>
  <c r="P578" i="58"/>
  <c r="O578" i="58"/>
  <c r="N578" i="58"/>
  <c r="M578" i="58"/>
  <c r="L578" i="58"/>
  <c r="T577" i="58"/>
  <c r="S577" i="58"/>
  <c r="R577" i="58"/>
  <c r="Q577" i="58"/>
  <c r="P577" i="58"/>
  <c r="O577" i="58"/>
  <c r="N577" i="58"/>
  <c r="M577" i="58"/>
  <c r="L577" i="58"/>
  <c r="S576" i="58"/>
  <c r="R576" i="58"/>
  <c r="Q576" i="58"/>
  <c r="P576" i="58"/>
  <c r="O576" i="58"/>
  <c r="N576" i="58"/>
  <c r="M576" i="58"/>
  <c r="L576" i="58"/>
  <c r="T575" i="58"/>
  <c r="S575" i="58"/>
  <c r="R575" i="58"/>
  <c r="Q575" i="58"/>
  <c r="P575" i="58"/>
  <c r="O575" i="58"/>
  <c r="N575" i="58"/>
  <c r="M575" i="58"/>
  <c r="L575" i="58"/>
  <c r="T574" i="58"/>
  <c r="S574" i="58"/>
  <c r="R574" i="58"/>
  <c r="Q574" i="58"/>
  <c r="P574" i="58"/>
  <c r="O574" i="58"/>
  <c r="N574" i="58"/>
  <c r="M574" i="58"/>
  <c r="L574" i="58"/>
  <c r="S573" i="58"/>
  <c r="R573" i="58"/>
  <c r="T573" i="58" s="1"/>
  <c r="Q573" i="58"/>
  <c r="P573" i="58"/>
  <c r="O573" i="58"/>
  <c r="N573" i="58"/>
  <c r="M573" i="58"/>
  <c r="L573" i="58"/>
  <c r="S572" i="58"/>
  <c r="R572" i="58"/>
  <c r="T572" i="58" s="1"/>
  <c r="Q572" i="58"/>
  <c r="P572" i="58"/>
  <c r="O572" i="58"/>
  <c r="N572" i="58"/>
  <c r="M572" i="58"/>
  <c r="L572" i="58"/>
  <c r="S571" i="58"/>
  <c r="T571" i="58" s="1"/>
  <c r="R571" i="58"/>
  <c r="Q571" i="58"/>
  <c r="P571" i="58"/>
  <c r="O571" i="58"/>
  <c r="N571" i="58"/>
  <c r="M571" i="58"/>
  <c r="L571" i="58"/>
  <c r="T570" i="58"/>
  <c r="S570" i="58"/>
  <c r="R570" i="58"/>
  <c r="Q570" i="58"/>
  <c r="P570" i="58"/>
  <c r="O570" i="58"/>
  <c r="N570" i="58"/>
  <c r="M570" i="58"/>
  <c r="L570" i="58"/>
  <c r="S569" i="58"/>
  <c r="R569" i="58"/>
  <c r="T569" i="58" s="1"/>
  <c r="Q569" i="58"/>
  <c r="P569" i="58"/>
  <c r="O569" i="58"/>
  <c r="N569" i="58"/>
  <c r="M569" i="58"/>
  <c r="L569" i="58"/>
  <c r="S568" i="58"/>
  <c r="R568" i="58"/>
  <c r="T568" i="58" s="1"/>
  <c r="Q568" i="58"/>
  <c r="P568" i="58"/>
  <c r="O568" i="58"/>
  <c r="N568" i="58"/>
  <c r="M568" i="58"/>
  <c r="L568" i="58"/>
  <c r="S567" i="58"/>
  <c r="R567" i="58"/>
  <c r="Q567" i="58"/>
  <c r="P567" i="58"/>
  <c r="O567" i="58"/>
  <c r="N567" i="58"/>
  <c r="M567" i="58"/>
  <c r="L567" i="58"/>
  <c r="T566" i="58"/>
  <c r="S566" i="58"/>
  <c r="R566" i="58"/>
  <c r="Q566" i="58"/>
  <c r="P566" i="58"/>
  <c r="O566" i="58"/>
  <c r="N566" i="58"/>
  <c r="M566" i="58"/>
  <c r="L566" i="58"/>
  <c r="T565" i="58"/>
  <c r="S565" i="58"/>
  <c r="R565" i="58"/>
  <c r="Q565" i="58"/>
  <c r="P565" i="58"/>
  <c r="O565" i="58"/>
  <c r="N565" i="58"/>
  <c r="M565" i="58"/>
  <c r="L565" i="58"/>
  <c r="S564" i="58"/>
  <c r="R564" i="58"/>
  <c r="Q564" i="58"/>
  <c r="P564" i="58"/>
  <c r="O564" i="58"/>
  <c r="N564" i="58"/>
  <c r="M564" i="58"/>
  <c r="L564" i="58"/>
  <c r="S563" i="58"/>
  <c r="R563" i="58"/>
  <c r="T563" i="58" s="1"/>
  <c r="Q563" i="58"/>
  <c r="P563" i="58"/>
  <c r="O563" i="58"/>
  <c r="N563" i="58"/>
  <c r="M563" i="58"/>
  <c r="L563" i="58"/>
  <c r="S562" i="58"/>
  <c r="T562" i="58" s="1"/>
  <c r="R562" i="58"/>
  <c r="Q562" i="58"/>
  <c r="P562" i="58"/>
  <c r="O562" i="58"/>
  <c r="N562" i="58"/>
  <c r="M562" i="58"/>
  <c r="L562" i="58"/>
  <c r="T561" i="58"/>
  <c r="S561" i="58"/>
  <c r="R561" i="58"/>
  <c r="Q561" i="58"/>
  <c r="P561" i="58"/>
  <c r="O561" i="58"/>
  <c r="N561" i="58"/>
  <c r="M561" i="58"/>
  <c r="L561" i="58"/>
  <c r="S560" i="58"/>
  <c r="R560" i="58"/>
  <c r="Q560" i="58"/>
  <c r="P560" i="58"/>
  <c r="O560" i="58"/>
  <c r="N560" i="58"/>
  <c r="M560" i="58"/>
  <c r="L560" i="58"/>
  <c r="T559" i="58"/>
  <c r="S559" i="58"/>
  <c r="R559" i="58"/>
  <c r="Q559" i="58"/>
  <c r="P559" i="58"/>
  <c r="O559" i="58"/>
  <c r="N559" i="58"/>
  <c r="M559" i="58"/>
  <c r="L559" i="58"/>
  <c r="T558" i="58"/>
  <c r="S558" i="58"/>
  <c r="R558" i="58"/>
  <c r="Q558" i="58"/>
  <c r="P558" i="58"/>
  <c r="O558" i="58"/>
  <c r="N558" i="58"/>
  <c r="M558" i="58"/>
  <c r="L558" i="58"/>
  <c r="S557" i="58"/>
  <c r="R557" i="58"/>
  <c r="T557" i="58" s="1"/>
  <c r="Q557" i="58"/>
  <c r="P557" i="58"/>
  <c r="O557" i="58"/>
  <c r="N557" i="58"/>
  <c r="M557" i="58"/>
  <c r="L557" i="58"/>
  <c r="S556" i="58"/>
  <c r="R556" i="58"/>
  <c r="T556" i="58" s="1"/>
  <c r="Q556" i="58"/>
  <c r="P556" i="58"/>
  <c r="O556" i="58"/>
  <c r="N556" i="58"/>
  <c r="M556" i="58"/>
  <c r="L556" i="58"/>
  <c r="S555" i="58"/>
  <c r="T555" i="58" s="1"/>
  <c r="R555" i="58"/>
  <c r="Q555" i="58"/>
  <c r="P555" i="58"/>
  <c r="O555" i="58"/>
  <c r="N555" i="58"/>
  <c r="M555" i="58"/>
  <c r="L555" i="58"/>
  <c r="T554" i="58"/>
  <c r="S554" i="58"/>
  <c r="R554" i="58"/>
  <c r="Q554" i="58"/>
  <c r="P554" i="58"/>
  <c r="O554" i="58"/>
  <c r="N554" i="58"/>
  <c r="M554" i="58"/>
  <c r="L554" i="58"/>
  <c r="S553" i="58"/>
  <c r="R553" i="58"/>
  <c r="T553" i="58" s="1"/>
  <c r="Q553" i="58"/>
  <c r="P553" i="58"/>
  <c r="O553" i="58"/>
  <c r="N553" i="58"/>
  <c r="M553" i="58"/>
  <c r="L553" i="58"/>
  <c r="S552" i="58"/>
  <c r="R552" i="58"/>
  <c r="T552" i="58" s="1"/>
  <c r="Q552" i="58"/>
  <c r="P552" i="58"/>
  <c r="O552" i="58"/>
  <c r="N552" i="58"/>
  <c r="M552" i="58"/>
  <c r="L552" i="58"/>
  <c r="S551" i="58"/>
  <c r="R551" i="58"/>
  <c r="T551" i="58" s="1"/>
  <c r="Q551" i="58"/>
  <c r="P551" i="58"/>
  <c r="O551" i="58"/>
  <c r="N551" i="58"/>
  <c r="M551" i="58"/>
  <c r="L551" i="58"/>
  <c r="S550" i="58"/>
  <c r="T550" i="58" s="1"/>
  <c r="R550" i="58"/>
  <c r="Q550" i="58"/>
  <c r="P550" i="58"/>
  <c r="O550" i="58"/>
  <c r="N550" i="58"/>
  <c r="M550" i="58"/>
  <c r="L550" i="58"/>
  <c r="T549" i="58"/>
  <c r="S549" i="58"/>
  <c r="R549" i="58"/>
  <c r="Q549" i="58"/>
  <c r="P549" i="58"/>
  <c r="O549" i="58"/>
  <c r="N549" i="58"/>
  <c r="M549" i="58"/>
  <c r="L549" i="58"/>
  <c r="S548" i="58"/>
  <c r="R548" i="58"/>
  <c r="Q548" i="58"/>
  <c r="P548" i="58"/>
  <c r="O548" i="58"/>
  <c r="N548" i="58"/>
  <c r="M548" i="58"/>
  <c r="L548" i="58"/>
  <c r="S547" i="58"/>
  <c r="R547" i="58"/>
  <c r="T547" i="58" s="1"/>
  <c r="Q547" i="58"/>
  <c r="P547" i="58"/>
  <c r="O547" i="58"/>
  <c r="N547" i="58"/>
  <c r="M547" i="58"/>
  <c r="L547" i="58"/>
  <c r="S546" i="58"/>
  <c r="T546" i="58" s="1"/>
  <c r="R546" i="58"/>
  <c r="Q546" i="58"/>
  <c r="P546" i="58"/>
  <c r="O546" i="58"/>
  <c r="N546" i="58"/>
  <c r="M546" i="58"/>
  <c r="L546" i="58"/>
  <c r="T545" i="58"/>
  <c r="S545" i="58"/>
  <c r="R545" i="58"/>
  <c r="Q545" i="58"/>
  <c r="P545" i="58"/>
  <c r="O545" i="58"/>
  <c r="N545" i="58"/>
  <c r="M545" i="58"/>
  <c r="L545" i="58"/>
  <c r="S544" i="58"/>
  <c r="R544" i="58"/>
  <c r="Q544" i="58"/>
  <c r="P544" i="58"/>
  <c r="O544" i="58"/>
  <c r="N544" i="58"/>
  <c r="M544" i="58"/>
  <c r="L544" i="58"/>
  <c r="T543" i="58"/>
  <c r="S543" i="58"/>
  <c r="R543" i="58"/>
  <c r="Q543" i="58"/>
  <c r="P543" i="58"/>
  <c r="O543" i="58"/>
  <c r="N543" i="58"/>
  <c r="M543" i="58"/>
  <c r="L543" i="58"/>
  <c r="T542" i="58"/>
  <c r="S542" i="58"/>
  <c r="R542" i="58"/>
  <c r="Q542" i="58"/>
  <c r="P542" i="58"/>
  <c r="O542" i="58"/>
  <c r="N542" i="58"/>
  <c r="M542" i="58"/>
  <c r="L542" i="58"/>
  <c r="S541" i="58"/>
  <c r="R541" i="58"/>
  <c r="T541" i="58" s="1"/>
  <c r="Q541" i="58"/>
  <c r="P541" i="58"/>
  <c r="O541" i="58"/>
  <c r="N541" i="58"/>
  <c r="M541" i="58"/>
  <c r="L541" i="58"/>
  <c r="S540" i="58"/>
  <c r="R540" i="58"/>
  <c r="Q540" i="58"/>
  <c r="P540" i="58"/>
  <c r="O540" i="58"/>
  <c r="N540" i="58"/>
  <c r="M540" i="58"/>
  <c r="L540" i="58"/>
  <c r="T539" i="58"/>
  <c r="S539" i="58"/>
  <c r="Q539" i="58"/>
  <c r="P539" i="58"/>
  <c r="R539" i="58" s="1"/>
  <c r="O539" i="58"/>
  <c r="N539" i="58"/>
  <c r="M539" i="58"/>
  <c r="L539" i="58"/>
  <c r="T538" i="58"/>
  <c r="S538" i="58"/>
  <c r="Q538" i="58"/>
  <c r="P538" i="58"/>
  <c r="R538" i="58" s="1"/>
  <c r="O538" i="58"/>
  <c r="N538" i="58"/>
  <c r="M538" i="58"/>
  <c r="L538" i="58"/>
  <c r="Q537" i="58"/>
  <c r="S537" i="58" s="1"/>
  <c r="P537" i="58"/>
  <c r="R537" i="58" s="1"/>
  <c r="T537" i="58" s="1"/>
  <c r="O537" i="58"/>
  <c r="N537" i="58"/>
  <c r="M537" i="58"/>
  <c r="L537" i="58"/>
  <c r="S536" i="58"/>
  <c r="R536" i="58"/>
  <c r="T536" i="58" s="1"/>
  <c r="Q536" i="58"/>
  <c r="P536" i="58"/>
  <c r="O536" i="58"/>
  <c r="N536" i="58"/>
  <c r="M536" i="58"/>
  <c r="L536" i="58"/>
  <c r="S535" i="58"/>
  <c r="Q535" i="58"/>
  <c r="P535" i="58"/>
  <c r="R535" i="58" s="1"/>
  <c r="T535" i="58" s="1"/>
  <c r="O535" i="58"/>
  <c r="N535" i="58"/>
  <c r="M535" i="58"/>
  <c r="L535" i="58"/>
  <c r="Q534" i="58"/>
  <c r="S534" i="58" s="1"/>
  <c r="T534" i="58" s="1"/>
  <c r="P534" i="58"/>
  <c r="R534" i="58" s="1"/>
  <c r="O534" i="58"/>
  <c r="N534" i="58"/>
  <c r="M534" i="58"/>
  <c r="L534" i="58"/>
  <c r="T533" i="58"/>
  <c r="Q533" i="58"/>
  <c r="S533" i="58" s="1"/>
  <c r="P533" i="58"/>
  <c r="R533" i="58" s="1"/>
  <c r="O533" i="58"/>
  <c r="N533" i="58"/>
  <c r="M533" i="58"/>
  <c r="L533" i="58"/>
  <c r="R532" i="58"/>
  <c r="Q532" i="58"/>
  <c r="S532" i="58" s="1"/>
  <c r="P532" i="58"/>
  <c r="O532" i="58"/>
  <c r="N532" i="58"/>
  <c r="M532" i="58"/>
  <c r="L532" i="58"/>
  <c r="S531" i="58"/>
  <c r="R531" i="58"/>
  <c r="T531" i="58" s="1"/>
  <c r="Q531" i="58"/>
  <c r="P531" i="58"/>
  <c r="O531" i="58"/>
  <c r="N531" i="58"/>
  <c r="M531" i="58"/>
  <c r="L531" i="58"/>
  <c r="S530" i="58"/>
  <c r="Q530" i="58"/>
  <c r="P530" i="58"/>
  <c r="R530" i="58" s="1"/>
  <c r="O530" i="58"/>
  <c r="N530" i="58"/>
  <c r="M530" i="58"/>
  <c r="L530" i="58"/>
  <c r="Q529" i="58"/>
  <c r="S529" i="58" s="1"/>
  <c r="P529" i="58"/>
  <c r="R529" i="58" s="1"/>
  <c r="O529" i="58"/>
  <c r="N529" i="58"/>
  <c r="M529" i="58"/>
  <c r="L529" i="58"/>
  <c r="R528" i="58"/>
  <c r="T528" i="58" s="1"/>
  <c r="Q528" i="58"/>
  <c r="S528" i="58" s="1"/>
  <c r="P528" i="58"/>
  <c r="O528" i="58"/>
  <c r="N528" i="58"/>
  <c r="M528" i="58"/>
  <c r="L528" i="58"/>
  <c r="S527" i="58"/>
  <c r="R527" i="58"/>
  <c r="T527" i="58" s="1"/>
  <c r="Q527" i="58"/>
  <c r="P527" i="58"/>
  <c r="O527" i="58"/>
  <c r="N527" i="58"/>
  <c r="M527" i="58"/>
  <c r="L527" i="58"/>
  <c r="S526" i="58"/>
  <c r="T526" i="58" s="1"/>
  <c r="Q526" i="58"/>
  <c r="P526" i="58"/>
  <c r="R526" i="58" s="1"/>
  <c r="O526" i="58"/>
  <c r="N526" i="58"/>
  <c r="M526" i="58"/>
  <c r="L526" i="58"/>
  <c r="R525" i="58"/>
  <c r="T525" i="58" s="1"/>
  <c r="Q525" i="58"/>
  <c r="S525" i="58" s="1"/>
  <c r="P525" i="58"/>
  <c r="O525" i="58"/>
  <c r="N525" i="58"/>
  <c r="M525" i="58"/>
  <c r="L525" i="58"/>
  <c r="S524" i="58"/>
  <c r="R524" i="58"/>
  <c r="T524" i="58" s="1"/>
  <c r="Q524" i="58"/>
  <c r="P524" i="58"/>
  <c r="O524" i="58"/>
  <c r="N524" i="58"/>
  <c r="M524" i="58"/>
  <c r="L524" i="58"/>
  <c r="S523" i="58"/>
  <c r="Q523" i="58"/>
  <c r="P523" i="58"/>
  <c r="R523" i="58" s="1"/>
  <c r="T523" i="58" s="1"/>
  <c r="O523" i="58"/>
  <c r="N523" i="58"/>
  <c r="M523" i="58"/>
  <c r="L523" i="58"/>
  <c r="T522" i="58"/>
  <c r="S522" i="58"/>
  <c r="Q522" i="58"/>
  <c r="P522" i="58"/>
  <c r="R522" i="58" s="1"/>
  <c r="O522" i="58"/>
  <c r="N522" i="58"/>
  <c r="M522" i="58"/>
  <c r="L522" i="58"/>
  <c r="Q521" i="58"/>
  <c r="S521" i="58" s="1"/>
  <c r="P521" i="58"/>
  <c r="R521" i="58" s="1"/>
  <c r="T521" i="58" s="1"/>
  <c r="O521" i="58"/>
  <c r="N521" i="58"/>
  <c r="M521" i="58"/>
  <c r="L521" i="58"/>
  <c r="S520" i="58"/>
  <c r="R520" i="58"/>
  <c r="Q520" i="58"/>
  <c r="P520" i="58"/>
  <c r="O520" i="58"/>
  <c r="N520" i="58"/>
  <c r="M520" i="58"/>
  <c r="L520" i="58"/>
  <c r="T519" i="58"/>
  <c r="S519" i="58"/>
  <c r="Q519" i="58"/>
  <c r="P519" i="58"/>
  <c r="R519" i="58" s="1"/>
  <c r="O519" i="58"/>
  <c r="N519" i="58"/>
  <c r="M519" i="58"/>
  <c r="L519" i="58"/>
  <c r="Q518" i="58"/>
  <c r="S518" i="58" s="1"/>
  <c r="P518" i="58"/>
  <c r="R518" i="58" s="1"/>
  <c r="T518" i="58" s="1"/>
  <c r="O518" i="58"/>
  <c r="N518" i="58"/>
  <c r="M518" i="58"/>
  <c r="L518" i="58"/>
  <c r="Q517" i="58"/>
  <c r="S517" i="58" s="1"/>
  <c r="T517" i="58" s="1"/>
  <c r="P517" i="58"/>
  <c r="R517" i="58" s="1"/>
  <c r="O517" i="58"/>
  <c r="N517" i="58"/>
  <c r="M517" i="58"/>
  <c r="L517" i="58"/>
  <c r="S516" i="58"/>
  <c r="R516" i="58"/>
  <c r="Q516" i="58"/>
  <c r="P516" i="58"/>
  <c r="O516" i="58"/>
  <c r="N516" i="58"/>
  <c r="M516" i="58"/>
  <c r="L516" i="58"/>
  <c r="T515" i="58"/>
  <c r="S515" i="58"/>
  <c r="Q515" i="58"/>
  <c r="P515" i="58"/>
  <c r="R515" i="58" s="1"/>
  <c r="O515" i="58"/>
  <c r="N515" i="58"/>
  <c r="M515" i="58"/>
  <c r="L515" i="58"/>
  <c r="Q514" i="58"/>
  <c r="S514" i="58" s="1"/>
  <c r="P514" i="58"/>
  <c r="R514" i="58" s="1"/>
  <c r="O514" i="58"/>
  <c r="N514" i="58"/>
  <c r="M514" i="58"/>
  <c r="L514" i="58"/>
  <c r="R513" i="58"/>
  <c r="T513" i="58" s="1"/>
  <c r="Q513" i="58"/>
  <c r="S513" i="58" s="1"/>
  <c r="P513" i="58"/>
  <c r="O513" i="58"/>
  <c r="N513" i="58"/>
  <c r="M513" i="58"/>
  <c r="L513" i="58"/>
  <c r="R512" i="58"/>
  <c r="Q512" i="58"/>
  <c r="S512" i="58" s="1"/>
  <c r="P512" i="58"/>
  <c r="O512" i="58"/>
  <c r="N512" i="58"/>
  <c r="M512" i="58"/>
  <c r="L512" i="58"/>
  <c r="S511" i="58"/>
  <c r="R511" i="58"/>
  <c r="Q511" i="58"/>
  <c r="P511" i="58"/>
  <c r="O511" i="58"/>
  <c r="N511" i="58"/>
  <c r="M511" i="58"/>
  <c r="L511" i="58"/>
  <c r="Q510" i="58"/>
  <c r="S510" i="58" s="1"/>
  <c r="T510" i="58" s="1"/>
  <c r="P510" i="58"/>
  <c r="R510" i="58" s="1"/>
  <c r="O510" i="58"/>
  <c r="N510" i="58"/>
  <c r="M510" i="58"/>
  <c r="L510" i="58"/>
  <c r="R509" i="58"/>
  <c r="Q509" i="58"/>
  <c r="S509" i="58" s="1"/>
  <c r="T509" i="58" s="1"/>
  <c r="P509" i="58"/>
  <c r="O509" i="58"/>
  <c r="N509" i="58"/>
  <c r="M509" i="58"/>
  <c r="L509" i="58"/>
  <c r="R508" i="58"/>
  <c r="Q508" i="58"/>
  <c r="S508" i="58" s="1"/>
  <c r="P508" i="58"/>
  <c r="O508" i="58"/>
  <c r="N508" i="58"/>
  <c r="M508" i="58"/>
  <c r="L508" i="58"/>
  <c r="S507" i="58"/>
  <c r="R507" i="58"/>
  <c r="T507" i="58" s="1"/>
  <c r="Q507" i="58"/>
  <c r="P507" i="58"/>
  <c r="O507" i="58"/>
  <c r="N507" i="58"/>
  <c r="M507" i="58"/>
  <c r="L507" i="58"/>
  <c r="S506" i="58"/>
  <c r="Q506" i="58"/>
  <c r="P506" i="58"/>
  <c r="R506" i="58" s="1"/>
  <c r="O506" i="58"/>
  <c r="N506" i="58"/>
  <c r="M506" i="58"/>
  <c r="L506" i="58"/>
  <c r="R505" i="58"/>
  <c r="T505" i="58" s="1"/>
  <c r="Q505" i="58"/>
  <c r="S505" i="58" s="1"/>
  <c r="P505" i="58"/>
  <c r="O505" i="58"/>
  <c r="N505" i="58"/>
  <c r="M505" i="58"/>
  <c r="L505" i="58"/>
  <c r="S504" i="58"/>
  <c r="R504" i="58"/>
  <c r="T504" i="58" s="1"/>
  <c r="Q504" i="58"/>
  <c r="P504" i="58"/>
  <c r="O504" i="58"/>
  <c r="N504" i="58"/>
  <c r="M504" i="58"/>
  <c r="L504" i="58"/>
  <c r="S503" i="58"/>
  <c r="Q503" i="58"/>
  <c r="P503" i="58"/>
  <c r="R503" i="58" s="1"/>
  <c r="T503" i="58" s="1"/>
  <c r="O503" i="58"/>
  <c r="N503" i="58"/>
  <c r="M503" i="58"/>
  <c r="L503" i="58"/>
  <c r="Q502" i="58"/>
  <c r="S502" i="58" s="1"/>
  <c r="P502" i="58"/>
  <c r="R502" i="58" s="1"/>
  <c r="O502" i="58"/>
  <c r="N502" i="58"/>
  <c r="M502" i="58"/>
  <c r="L502" i="58"/>
  <c r="Q501" i="58"/>
  <c r="S501" i="58" s="1"/>
  <c r="P501" i="58"/>
  <c r="R501" i="58" s="1"/>
  <c r="T501" i="58" s="1"/>
  <c r="O501" i="58"/>
  <c r="N501" i="58"/>
  <c r="M501" i="58"/>
  <c r="L501" i="58"/>
  <c r="S500" i="58"/>
  <c r="R500" i="58"/>
  <c r="Q500" i="58"/>
  <c r="P500" i="58"/>
  <c r="O500" i="58"/>
  <c r="N500" i="58"/>
  <c r="M500" i="58"/>
  <c r="L500" i="58"/>
  <c r="S499" i="58"/>
  <c r="Q499" i="58"/>
  <c r="P499" i="58"/>
  <c r="R499" i="58" s="1"/>
  <c r="T499" i="58" s="1"/>
  <c r="O499" i="58"/>
  <c r="N499" i="58"/>
  <c r="M499" i="58"/>
  <c r="L499" i="58"/>
  <c r="S498" i="58"/>
  <c r="Q498" i="58"/>
  <c r="P498" i="58"/>
  <c r="R498" i="58" s="1"/>
  <c r="T498" i="58" s="1"/>
  <c r="O498" i="58"/>
  <c r="N498" i="58"/>
  <c r="M498" i="58"/>
  <c r="L498" i="58"/>
  <c r="Q497" i="58"/>
  <c r="S497" i="58" s="1"/>
  <c r="P497" i="58"/>
  <c r="R497" i="58" s="1"/>
  <c r="T497" i="58" s="1"/>
  <c r="O497" i="58"/>
  <c r="N497" i="58"/>
  <c r="M497" i="58"/>
  <c r="L497" i="58"/>
  <c r="R496" i="58"/>
  <c r="T496" i="58" s="1"/>
  <c r="Q496" i="58"/>
  <c r="S496" i="58" s="1"/>
  <c r="P496" i="58"/>
  <c r="O496" i="58"/>
  <c r="N496" i="58"/>
  <c r="M496" i="58"/>
  <c r="L496" i="58"/>
  <c r="S495" i="58"/>
  <c r="R495" i="58"/>
  <c r="T495" i="58" s="1"/>
  <c r="Q495" i="58"/>
  <c r="P495" i="58"/>
  <c r="O495" i="58"/>
  <c r="N495" i="58"/>
  <c r="M495" i="58"/>
  <c r="L495" i="58"/>
  <c r="S494" i="58"/>
  <c r="T494" i="58" s="1"/>
  <c r="Q494" i="58"/>
  <c r="P494" i="58"/>
  <c r="R494" i="58" s="1"/>
  <c r="O494" i="58"/>
  <c r="N494" i="58"/>
  <c r="M494" i="58"/>
  <c r="L494" i="58"/>
  <c r="R493" i="58"/>
  <c r="T493" i="58" s="1"/>
  <c r="Q493" i="58"/>
  <c r="S493" i="58" s="1"/>
  <c r="P493" i="58"/>
  <c r="O493" i="58"/>
  <c r="N493" i="58"/>
  <c r="M493" i="58"/>
  <c r="L493" i="58"/>
  <c r="R492" i="58"/>
  <c r="T492" i="58" s="1"/>
  <c r="Q492" i="58"/>
  <c r="S492" i="58" s="1"/>
  <c r="P492" i="58"/>
  <c r="O492" i="58"/>
  <c r="N492" i="58"/>
  <c r="M492" i="58"/>
  <c r="L492" i="58"/>
  <c r="S491" i="58"/>
  <c r="R491" i="58"/>
  <c r="Q491" i="58"/>
  <c r="P491" i="58"/>
  <c r="O491" i="58"/>
  <c r="N491" i="58"/>
  <c r="M491" i="58"/>
  <c r="L491" i="58"/>
  <c r="T490" i="58"/>
  <c r="S490" i="58"/>
  <c r="Q490" i="58"/>
  <c r="P490" i="58"/>
  <c r="R490" i="58" s="1"/>
  <c r="O490" i="58"/>
  <c r="N490" i="58"/>
  <c r="M490" i="58"/>
  <c r="L490" i="58"/>
  <c r="T489" i="58"/>
  <c r="R489" i="58"/>
  <c r="Q489" i="58"/>
  <c r="S489" i="58" s="1"/>
  <c r="P489" i="58"/>
  <c r="O489" i="58"/>
  <c r="N489" i="58"/>
  <c r="M489" i="58"/>
  <c r="L489" i="58"/>
  <c r="S488" i="58"/>
  <c r="R488" i="58"/>
  <c r="Q488" i="58"/>
  <c r="P488" i="58"/>
  <c r="O488" i="58"/>
  <c r="N488" i="58"/>
  <c r="M488" i="58"/>
  <c r="L488" i="58"/>
  <c r="T487" i="58"/>
  <c r="S487" i="58"/>
  <c r="Q487" i="58"/>
  <c r="P487" i="58"/>
  <c r="R487" i="58" s="1"/>
  <c r="O487" i="58"/>
  <c r="N487" i="58"/>
  <c r="M487" i="58"/>
  <c r="L487" i="58"/>
  <c r="T486" i="58"/>
  <c r="Q486" i="58"/>
  <c r="S486" i="58" s="1"/>
  <c r="P486" i="58"/>
  <c r="R486" i="58" s="1"/>
  <c r="O486" i="58"/>
  <c r="N486" i="58"/>
  <c r="M486" i="58"/>
  <c r="L486" i="58"/>
  <c r="Q485" i="58"/>
  <c r="S485" i="58" s="1"/>
  <c r="P485" i="58"/>
  <c r="R485" i="58" s="1"/>
  <c r="O485" i="58"/>
  <c r="N485" i="58"/>
  <c r="M485" i="58"/>
  <c r="L485" i="58"/>
  <c r="R484" i="58"/>
  <c r="Q484" i="58"/>
  <c r="S484" i="58" s="1"/>
  <c r="P484" i="58"/>
  <c r="O484" i="58"/>
  <c r="N484" i="58"/>
  <c r="M484" i="58"/>
  <c r="L484" i="58"/>
  <c r="S483" i="58"/>
  <c r="R483" i="58"/>
  <c r="T483" i="58" s="1"/>
  <c r="Q483" i="58"/>
  <c r="P483" i="58"/>
  <c r="O483" i="58"/>
  <c r="N483" i="58"/>
  <c r="M483" i="58"/>
  <c r="L483" i="58"/>
  <c r="Q482" i="58"/>
  <c r="S482" i="58" s="1"/>
  <c r="P482" i="58"/>
  <c r="R482" i="58" s="1"/>
  <c r="O482" i="58"/>
  <c r="N482" i="58"/>
  <c r="M482" i="58"/>
  <c r="L482" i="58"/>
  <c r="Q481" i="58"/>
  <c r="S481" i="58" s="1"/>
  <c r="P481" i="58"/>
  <c r="R481" i="58" s="1"/>
  <c r="T481" i="58" s="1"/>
  <c r="O481" i="58"/>
  <c r="N481" i="58"/>
  <c r="M481" i="58"/>
  <c r="L481" i="58"/>
  <c r="R480" i="58"/>
  <c r="Q480" i="58"/>
  <c r="S480" i="58" s="1"/>
  <c r="P480" i="58"/>
  <c r="O480" i="58"/>
  <c r="N480" i="58"/>
  <c r="M480" i="58"/>
  <c r="L480" i="58"/>
  <c r="S479" i="58"/>
  <c r="R479" i="58"/>
  <c r="Q479" i="58"/>
  <c r="P479" i="58"/>
  <c r="O479" i="58"/>
  <c r="N479" i="58"/>
  <c r="M479" i="58"/>
  <c r="L479" i="58"/>
  <c r="T478" i="58"/>
  <c r="Q478" i="58"/>
  <c r="S478" i="58" s="1"/>
  <c r="P478" i="58"/>
  <c r="R478" i="58" s="1"/>
  <c r="O478" i="58"/>
  <c r="N478" i="58"/>
  <c r="M478" i="58"/>
  <c r="L478" i="58"/>
  <c r="T477" i="58"/>
  <c r="R477" i="58"/>
  <c r="Q477" i="58"/>
  <c r="S477" i="58" s="1"/>
  <c r="P477" i="58"/>
  <c r="O477" i="58"/>
  <c r="N477" i="58"/>
  <c r="M477" i="58"/>
  <c r="L477" i="58"/>
  <c r="S476" i="58"/>
  <c r="R476" i="58"/>
  <c r="Q476" i="58"/>
  <c r="P476" i="58"/>
  <c r="O476" i="58"/>
  <c r="N476" i="58"/>
  <c r="M476" i="58"/>
  <c r="L476" i="58"/>
  <c r="S475" i="58"/>
  <c r="Q475" i="58"/>
  <c r="P475" i="58"/>
  <c r="R475" i="58" s="1"/>
  <c r="T475" i="58" s="1"/>
  <c r="O475" i="58"/>
  <c r="N475" i="58"/>
  <c r="M475" i="58"/>
  <c r="L475" i="58"/>
  <c r="S474" i="58"/>
  <c r="Q474" i="58"/>
  <c r="P474" i="58"/>
  <c r="R474" i="58" s="1"/>
  <c r="T474" i="58" s="1"/>
  <c r="O474" i="58"/>
  <c r="N474" i="58"/>
  <c r="M474" i="58"/>
  <c r="L474" i="58"/>
  <c r="Q473" i="58"/>
  <c r="S473" i="58" s="1"/>
  <c r="P473" i="58"/>
  <c r="R473" i="58" s="1"/>
  <c r="T473" i="58" s="1"/>
  <c r="O473" i="58"/>
  <c r="N473" i="58"/>
  <c r="M473" i="58"/>
  <c r="L473" i="58"/>
  <c r="S472" i="58"/>
  <c r="R472" i="58"/>
  <c r="T472" i="58" s="1"/>
  <c r="Q472" i="58"/>
  <c r="P472" i="58"/>
  <c r="O472" i="58"/>
  <c r="N472" i="58"/>
  <c r="M472" i="58"/>
  <c r="L472" i="58"/>
  <c r="S471" i="58"/>
  <c r="Q471" i="58"/>
  <c r="P471" i="58"/>
  <c r="R471" i="58" s="1"/>
  <c r="T471" i="58" s="1"/>
  <c r="O471" i="58"/>
  <c r="N471" i="58"/>
  <c r="M471" i="58"/>
  <c r="L471" i="58"/>
  <c r="Q470" i="58"/>
  <c r="S470" i="58" s="1"/>
  <c r="T470" i="58" s="1"/>
  <c r="P470" i="58"/>
  <c r="R470" i="58" s="1"/>
  <c r="O470" i="58"/>
  <c r="N470" i="58"/>
  <c r="M470" i="58"/>
  <c r="L470" i="58"/>
  <c r="T469" i="58"/>
  <c r="Q469" i="58"/>
  <c r="S469" i="58" s="1"/>
  <c r="P469" i="58"/>
  <c r="R469" i="58" s="1"/>
  <c r="O469" i="58"/>
  <c r="N469" i="58"/>
  <c r="M469" i="58"/>
  <c r="L469" i="58"/>
  <c r="R468" i="58"/>
  <c r="Q468" i="58"/>
  <c r="S468" i="58" s="1"/>
  <c r="P468" i="58"/>
  <c r="O468" i="58"/>
  <c r="N468" i="58"/>
  <c r="M468" i="58"/>
  <c r="L468" i="58"/>
  <c r="S467" i="58"/>
  <c r="R467" i="58"/>
  <c r="T467" i="58" s="1"/>
  <c r="Q467" i="58"/>
  <c r="P467" i="58"/>
  <c r="O467" i="58"/>
  <c r="N467" i="58"/>
  <c r="M467" i="58"/>
  <c r="L467" i="58"/>
  <c r="S466" i="58"/>
  <c r="Q466" i="58"/>
  <c r="P466" i="58"/>
  <c r="R466" i="58" s="1"/>
  <c r="O466" i="58"/>
  <c r="N466" i="58"/>
  <c r="M466" i="58"/>
  <c r="L466" i="58"/>
  <c r="Q465" i="58"/>
  <c r="S465" i="58" s="1"/>
  <c r="P465" i="58"/>
  <c r="R465" i="58" s="1"/>
  <c r="O465" i="58"/>
  <c r="N465" i="58"/>
  <c r="M465" i="58"/>
  <c r="L465" i="58"/>
  <c r="R464" i="58"/>
  <c r="T464" i="58" s="1"/>
  <c r="Q464" i="58"/>
  <c r="S464" i="58" s="1"/>
  <c r="P464" i="58"/>
  <c r="O464" i="58"/>
  <c r="N464" i="58"/>
  <c r="M464" i="58"/>
  <c r="L464" i="58"/>
  <c r="S463" i="58"/>
  <c r="Q463" i="58"/>
  <c r="P463" i="58"/>
  <c r="R463" i="58" s="1"/>
  <c r="T463" i="58" s="1"/>
  <c r="O463" i="58"/>
  <c r="N463" i="58"/>
  <c r="M463" i="58"/>
  <c r="L463" i="58"/>
  <c r="S462" i="58"/>
  <c r="Q462" i="58"/>
  <c r="P462" i="58"/>
  <c r="R462" i="58" s="1"/>
  <c r="T462" i="58" s="1"/>
  <c r="O462" i="58"/>
  <c r="N462" i="58"/>
  <c r="M462" i="58"/>
  <c r="L462" i="58"/>
  <c r="Q461" i="58"/>
  <c r="S461" i="58" s="1"/>
  <c r="P461" i="58"/>
  <c r="R461" i="58" s="1"/>
  <c r="T461" i="58" s="1"/>
  <c r="O461" i="58"/>
  <c r="N461" i="58"/>
  <c r="M461" i="58"/>
  <c r="L461" i="58"/>
  <c r="S460" i="58"/>
  <c r="R460" i="58"/>
  <c r="T460" i="58" s="1"/>
  <c r="Q460" i="58"/>
  <c r="P460" i="58"/>
  <c r="O460" i="58"/>
  <c r="N460" i="58"/>
  <c r="M460" i="58"/>
  <c r="L460" i="58"/>
  <c r="S459" i="58"/>
  <c r="Q459" i="58"/>
  <c r="P459" i="58"/>
  <c r="R459" i="58" s="1"/>
  <c r="T459" i="58" s="1"/>
  <c r="O459" i="58"/>
  <c r="N459" i="58"/>
  <c r="M459" i="58"/>
  <c r="L459" i="58"/>
  <c r="Q458" i="58"/>
  <c r="S458" i="58" s="1"/>
  <c r="T458" i="58" s="1"/>
  <c r="P458" i="58"/>
  <c r="R458" i="58" s="1"/>
  <c r="O458" i="58"/>
  <c r="N458" i="58"/>
  <c r="M458" i="58"/>
  <c r="L458" i="58"/>
  <c r="Q457" i="58"/>
  <c r="S457" i="58" s="1"/>
  <c r="P457" i="58"/>
  <c r="R457" i="58" s="1"/>
  <c r="O457" i="58"/>
  <c r="N457" i="58"/>
  <c r="M457" i="58"/>
  <c r="L457" i="58"/>
  <c r="R456" i="58"/>
  <c r="Q456" i="58"/>
  <c r="S456" i="58" s="1"/>
  <c r="P456" i="58"/>
  <c r="O456" i="58"/>
  <c r="N456" i="58"/>
  <c r="M456" i="58"/>
  <c r="L456" i="58"/>
  <c r="S455" i="58"/>
  <c r="R455" i="58"/>
  <c r="T455" i="58" s="1"/>
  <c r="Q455" i="58"/>
  <c r="P455" i="58"/>
  <c r="O455" i="58"/>
  <c r="N455" i="58"/>
  <c r="M455" i="58"/>
  <c r="L455" i="58"/>
  <c r="S454" i="58"/>
  <c r="Q454" i="58"/>
  <c r="P454" i="58"/>
  <c r="R454" i="58" s="1"/>
  <c r="O454" i="58"/>
  <c r="N454" i="58"/>
  <c r="M454" i="58"/>
  <c r="L454" i="58"/>
  <c r="R453" i="58"/>
  <c r="T453" i="58" s="1"/>
  <c r="Q453" i="58"/>
  <c r="S453" i="58" s="1"/>
  <c r="P453" i="58"/>
  <c r="O453" i="58"/>
  <c r="N453" i="58"/>
  <c r="M453" i="58"/>
  <c r="L453" i="58"/>
  <c r="R452" i="58"/>
  <c r="Q452" i="58"/>
  <c r="S452" i="58" s="1"/>
  <c r="P452" i="58"/>
  <c r="O452" i="58"/>
  <c r="N452" i="58"/>
  <c r="M452" i="58"/>
  <c r="L452" i="58"/>
  <c r="S451" i="58"/>
  <c r="R451" i="58"/>
  <c r="Q451" i="58"/>
  <c r="P451" i="58"/>
  <c r="O451" i="58"/>
  <c r="N451" i="58"/>
  <c r="M451" i="58"/>
  <c r="L451" i="58"/>
  <c r="T450" i="58"/>
  <c r="Q450" i="58"/>
  <c r="S450" i="58" s="1"/>
  <c r="P450" i="58"/>
  <c r="R450" i="58" s="1"/>
  <c r="O450" i="58"/>
  <c r="N450" i="58"/>
  <c r="M450" i="58"/>
  <c r="L450" i="58"/>
  <c r="T449" i="58"/>
  <c r="R449" i="58"/>
  <c r="Q449" i="58"/>
  <c r="S449" i="58" s="1"/>
  <c r="P449" i="58"/>
  <c r="O449" i="58"/>
  <c r="N449" i="58"/>
  <c r="M449" i="58"/>
  <c r="L449" i="58"/>
  <c r="S448" i="58"/>
  <c r="R448" i="58"/>
  <c r="Q448" i="58"/>
  <c r="P448" i="58"/>
  <c r="O448" i="58"/>
  <c r="N448" i="58"/>
  <c r="M448" i="58"/>
  <c r="L448" i="58"/>
  <c r="S447" i="58"/>
  <c r="Q447" i="58"/>
  <c r="P447" i="58"/>
  <c r="R447" i="58" s="1"/>
  <c r="T447" i="58" s="1"/>
  <c r="O447" i="58"/>
  <c r="N447" i="58"/>
  <c r="M447" i="58"/>
  <c r="L447" i="58"/>
  <c r="S446" i="58"/>
  <c r="Q446" i="58"/>
  <c r="P446" i="58"/>
  <c r="R446" i="58" s="1"/>
  <c r="T446" i="58" s="1"/>
  <c r="O446" i="58"/>
  <c r="N446" i="58"/>
  <c r="M446" i="58"/>
  <c r="L446" i="58"/>
  <c r="Q445" i="58"/>
  <c r="S445" i="58" s="1"/>
  <c r="P445" i="58"/>
  <c r="R445" i="58" s="1"/>
  <c r="T445" i="58" s="1"/>
  <c r="O445" i="58"/>
  <c r="N445" i="58"/>
  <c r="M445" i="58"/>
  <c r="L445" i="58"/>
  <c r="S444" i="58"/>
  <c r="R444" i="58"/>
  <c r="T444" i="58" s="1"/>
  <c r="Q444" i="58"/>
  <c r="P444" i="58"/>
  <c r="O444" i="58"/>
  <c r="N444" i="58"/>
  <c r="M444" i="58"/>
  <c r="L444" i="58"/>
  <c r="S443" i="58"/>
  <c r="Q443" i="58"/>
  <c r="P443" i="58"/>
  <c r="R443" i="58" s="1"/>
  <c r="T443" i="58" s="1"/>
  <c r="O443" i="58"/>
  <c r="N443" i="58"/>
  <c r="M443" i="58"/>
  <c r="L443" i="58"/>
  <c r="Q442" i="58"/>
  <c r="S442" i="58" s="1"/>
  <c r="T442" i="58" s="1"/>
  <c r="P442" i="58"/>
  <c r="R442" i="58" s="1"/>
  <c r="O442" i="58"/>
  <c r="N442" i="58"/>
  <c r="M442" i="58"/>
  <c r="L442" i="58"/>
  <c r="Q441" i="58"/>
  <c r="S441" i="58" s="1"/>
  <c r="P441" i="58"/>
  <c r="R441" i="58" s="1"/>
  <c r="T441" i="58" s="1"/>
  <c r="O441" i="58"/>
  <c r="N441" i="58"/>
  <c r="M441" i="58"/>
  <c r="L441" i="58"/>
  <c r="R440" i="58"/>
  <c r="Q440" i="58"/>
  <c r="S440" i="58" s="1"/>
  <c r="P440" i="58"/>
  <c r="O440" i="58"/>
  <c r="N440" i="58"/>
  <c r="M440" i="58"/>
  <c r="L440" i="58"/>
  <c r="S439" i="58"/>
  <c r="R439" i="58"/>
  <c r="T439" i="58" s="1"/>
  <c r="Q439" i="58"/>
  <c r="P439" i="58"/>
  <c r="O439" i="58"/>
  <c r="N439" i="58"/>
  <c r="M439" i="58"/>
  <c r="L439" i="58"/>
  <c r="S438" i="58"/>
  <c r="Q438" i="58"/>
  <c r="P438" i="58"/>
  <c r="R438" i="58" s="1"/>
  <c r="O438" i="58"/>
  <c r="N438" i="58"/>
  <c r="M438" i="58"/>
  <c r="L438" i="58"/>
  <c r="R437" i="58"/>
  <c r="T437" i="58" s="1"/>
  <c r="Q437" i="58"/>
  <c r="S437" i="58" s="1"/>
  <c r="P437" i="58"/>
  <c r="O437" i="58"/>
  <c r="N437" i="58"/>
  <c r="M437" i="58"/>
  <c r="L437" i="58"/>
  <c r="R436" i="58"/>
  <c r="T436" i="58" s="1"/>
  <c r="Q436" i="58"/>
  <c r="S436" i="58" s="1"/>
  <c r="P436" i="58"/>
  <c r="O436" i="58"/>
  <c r="N436" i="58"/>
  <c r="M436" i="58"/>
  <c r="L436" i="58"/>
  <c r="S435" i="58"/>
  <c r="R435" i="58"/>
  <c r="Q435" i="58"/>
  <c r="P435" i="58"/>
  <c r="O435" i="58"/>
  <c r="N435" i="58"/>
  <c r="M435" i="58"/>
  <c r="L435" i="58"/>
  <c r="T434" i="58"/>
  <c r="Q434" i="58"/>
  <c r="S434" i="58" s="1"/>
  <c r="P434" i="58"/>
  <c r="R434" i="58" s="1"/>
  <c r="O434" i="58"/>
  <c r="N434" i="58"/>
  <c r="M434" i="58"/>
  <c r="L434" i="58"/>
  <c r="T433" i="58"/>
  <c r="R433" i="58"/>
  <c r="Q433" i="58"/>
  <c r="S433" i="58" s="1"/>
  <c r="P433" i="58"/>
  <c r="O433" i="58"/>
  <c r="N433" i="58"/>
  <c r="M433" i="58"/>
  <c r="L433" i="58"/>
  <c r="S432" i="58"/>
  <c r="R432" i="58"/>
  <c r="Q432" i="58"/>
  <c r="P432" i="58"/>
  <c r="O432" i="58"/>
  <c r="N432" i="58"/>
  <c r="M432" i="58"/>
  <c r="L432" i="58"/>
  <c r="T431" i="58"/>
  <c r="S431" i="58"/>
  <c r="Q431" i="58"/>
  <c r="P431" i="58"/>
  <c r="R431" i="58" s="1"/>
  <c r="O431" i="58"/>
  <c r="N431" i="58"/>
  <c r="M431" i="58"/>
  <c r="L431" i="58"/>
  <c r="S430" i="58"/>
  <c r="Q430" i="58"/>
  <c r="P430" i="58"/>
  <c r="R430" i="58" s="1"/>
  <c r="T430" i="58" s="1"/>
  <c r="O430" i="58"/>
  <c r="N430" i="58"/>
  <c r="M430" i="58"/>
  <c r="L430" i="58"/>
  <c r="Q429" i="58"/>
  <c r="S429" i="58" s="1"/>
  <c r="P429" i="58"/>
  <c r="R429" i="58" s="1"/>
  <c r="T429" i="58" s="1"/>
  <c r="O429" i="58"/>
  <c r="N429" i="58"/>
  <c r="M429" i="58"/>
  <c r="L429" i="58"/>
  <c r="S428" i="58"/>
  <c r="R428" i="58"/>
  <c r="T428" i="58" s="1"/>
  <c r="Q428" i="58"/>
  <c r="P428" i="58"/>
  <c r="O428" i="58"/>
  <c r="N428" i="58"/>
  <c r="M428" i="58"/>
  <c r="L428" i="58"/>
  <c r="S427" i="58"/>
  <c r="Q427" i="58"/>
  <c r="P427" i="58"/>
  <c r="R427" i="58" s="1"/>
  <c r="T427" i="58" s="1"/>
  <c r="O427" i="58"/>
  <c r="N427" i="58"/>
  <c r="M427" i="58"/>
  <c r="L427" i="58"/>
  <c r="Q426" i="58"/>
  <c r="S426" i="58" s="1"/>
  <c r="T426" i="58" s="1"/>
  <c r="P426" i="58"/>
  <c r="R426" i="58" s="1"/>
  <c r="O426" i="58"/>
  <c r="N426" i="58"/>
  <c r="M426" i="58"/>
  <c r="L426" i="58"/>
  <c r="Q425" i="58"/>
  <c r="S425" i="58" s="1"/>
  <c r="P425" i="58"/>
  <c r="R425" i="58" s="1"/>
  <c r="O425" i="58"/>
  <c r="N425" i="58"/>
  <c r="M425" i="58"/>
  <c r="L425" i="58"/>
  <c r="R424" i="58"/>
  <c r="Q424" i="58"/>
  <c r="S424" i="58" s="1"/>
  <c r="P424" i="58"/>
  <c r="O424" i="58"/>
  <c r="N424" i="58"/>
  <c r="M424" i="58"/>
  <c r="L424" i="58"/>
  <c r="S423" i="58"/>
  <c r="R423" i="58"/>
  <c r="T423" i="58" s="1"/>
  <c r="Q423" i="58"/>
  <c r="P423" i="58"/>
  <c r="O423" i="58"/>
  <c r="N423" i="58"/>
  <c r="M423" i="58"/>
  <c r="L423" i="58"/>
  <c r="S422" i="58"/>
  <c r="Q422" i="58"/>
  <c r="P422" i="58"/>
  <c r="R422" i="58" s="1"/>
  <c r="T422" i="58" s="1"/>
  <c r="O422" i="58"/>
  <c r="N422" i="58"/>
  <c r="M422" i="58"/>
  <c r="L422" i="58"/>
  <c r="R421" i="58"/>
  <c r="T421" i="58" s="1"/>
  <c r="Q421" i="58"/>
  <c r="S421" i="58" s="1"/>
  <c r="P421" i="58"/>
  <c r="O421" i="58"/>
  <c r="N421" i="58"/>
  <c r="M421" i="58"/>
  <c r="L421" i="58"/>
  <c r="R420" i="58"/>
  <c r="T420" i="58" s="1"/>
  <c r="Q420" i="58"/>
  <c r="S420" i="58" s="1"/>
  <c r="P420" i="58"/>
  <c r="O420" i="58"/>
  <c r="N420" i="58"/>
  <c r="M420" i="58"/>
  <c r="L420" i="58"/>
  <c r="S419" i="58"/>
  <c r="R419" i="58"/>
  <c r="Q419" i="58"/>
  <c r="P419" i="58"/>
  <c r="O419" i="58"/>
  <c r="N419" i="58"/>
  <c r="M419" i="58"/>
  <c r="L419" i="58"/>
  <c r="T418" i="58"/>
  <c r="Q418" i="58"/>
  <c r="S418" i="58" s="1"/>
  <c r="P418" i="58"/>
  <c r="R418" i="58" s="1"/>
  <c r="O418" i="58"/>
  <c r="N418" i="58"/>
  <c r="M418" i="58"/>
  <c r="L418" i="58"/>
  <c r="T417" i="58"/>
  <c r="R417" i="58"/>
  <c r="Q417" i="58"/>
  <c r="S417" i="58" s="1"/>
  <c r="P417" i="58"/>
  <c r="O417" i="58"/>
  <c r="N417" i="58"/>
  <c r="M417" i="58"/>
  <c r="L417" i="58"/>
  <c r="S416" i="58"/>
  <c r="R416" i="58"/>
  <c r="Q416" i="58"/>
  <c r="P416" i="58"/>
  <c r="O416" i="58"/>
  <c r="N416" i="58"/>
  <c r="M416" i="58"/>
  <c r="L416" i="58"/>
  <c r="S415" i="58"/>
  <c r="Q415" i="58"/>
  <c r="P415" i="58"/>
  <c r="R415" i="58" s="1"/>
  <c r="T415" i="58" s="1"/>
  <c r="O415" i="58"/>
  <c r="N415" i="58"/>
  <c r="M415" i="58"/>
  <c r="L415" i="58"/>
  <c r="S414" i="58"/>
  <c r="Q414" i="58"/>
  <c r="P414" i="58"/>
  <c r="R414" i="58" s="1"/>
  <c r="T414" i="58" s="1"/>
  <c r="O414" i="58"/>
  <c r="N414" i="58"/>
  <c r="M414" i="58"/>
  <c r="L414" i="58"/>
  <c r="Q413" i="58"/>
  <c r="S413" i="58" s="1"/>
  <c r="P413" i="58"/>
  <c r="R413" i="58" s="1"/>
  <c r="T413" i="58" s="1"/>
  <c r="O413" i="58"/>
  <c r="N413" i="58"/>
  <c r="M413" i="58"/>
  <c r="L413" i="58"/>
  <c r="S412" i="58"/>
  <c r="R412" i="58"/>
  <c r="T412" i="58" s="1"/>
  <c r="Q412" i="58"/>
  <c r="P412" i="58"/>
  <c r="O412" i="58"/>
  <c r="N412" i="58"/>
  <c r="M412" i="58"/>
  <c r="L412" i="58"/>
  <c r="S411" i="58"/>
  <c r="Q411" i="58"/>
  <c r="P411" i="58"/>
  <c r="R411" i="58" s="1"/>
  <c r="T411" i="58" s="1"/>
  <c r="O411" i="58"/>
  <c r="N411" i="58"/>
  <c r="M411" i="58"/>
  <c r="L411" i="58"/>
  <c r="Q410" i="58"/>
  <c r="S410" i="58" s="1"/>
  <c r="T410" i="58" s="1"/>
  <c r="P410" i="58"/>
  <c r="R410" i="58" s="1"/>
  <c r="O410" i="58"/>
  <c r="N410" i="58"/>
  <c r="M410" i="58"/>
  <c r="L410" i="58"/>
  <c r="Q409" i="58"/>
  <c r="S409" i="58" s="1"/>
  <c r="P409" i="58"/>
  <c r="R409" i="58" s="1"/>
  <c r="O409" i="58"/>
  <c r="N409" i="58"/>
  <c r="M409" i="58"/>
  <c r="L409" i="58"/>
  <c r="R408" i="58"/>
  <c r="Q408" i="58"/>
  <c r="S408" i="58" s="1"/>
  <c r="P408" i="58"/>
  <c r="O408" i="58"/>
  <c r="N408" i="58"/>
  <c r="M408" i="58"/>
  <c r="L408" i="58"/>
  <c r="S407" i="58"/>
  <c r="R407" i="58"/>
  <c r="T407" i="58" s="1"/>
  <c r="Q407" i="58"/>
  <c r="P407" i="58"/>
  <c r="O407" i="58"/>
  <c r="N407" i="58"/>
  <c r="M407" i="58"/>
  <c r="L407" i="58"/>
  <c r="S406" i="58"/>
  <c r="Q406" i="58"/>
  <c r="P406" i="58"/>
  <c r="R406" i="58" s="1"/>
  <c r="T406" i="58" s="1"/>
  <c r="O406" i="58"/>
  <c r="N406" i="58"/>
  <c r="M406" i="58"/>
  <c r="L406" i="58"/>
  <c r="R405" i="58"/>
  <c r="T405" i="58" s="1"/>
  <c r="Q405" i="58"/>
  <c r="S405" i="58" s="1"/>
  <c r="P405" i="58"/>
  <c r="O405" i="58"/>
  <c r="N405" i="58"/>
  <c r="M405" i="58"/>
  <c r="L405" i="58"/>
  <c r="R404" i="58"/>
  <c r="T404" i="58" s="1"/>
  <c r="Q404" i="58"/>
  <c r="S404" i="58" s="1"/>
  <c r="P404" i="58"/>
  <c r="O404" i="58"/>
  <c r="N404" i="58"/>
  <c r="M404" i="58"/>
  <c r="L404" i="58"/>
  <c r="S403" i="58"/>
  <c r="R403" i="58"/>
  <c r="T403" i="58" s="1"/>
  <c r="Q403" i="58"/>
  <c r="P403" i="58"/>
  <c r="O403" i="58"/>
  <c r="N403" i="58"/>
  <c r="M403" i="58"/>
  <c r="L403" i="58"/>
  <c r="T402" i="58"/>
  <c r="S402" i="58"/>
  <c r="Q402" i="58"/>
  <c r="P402" i="58"/>
  <c r="R402" i="58" s="1"/>
  <c r="O402" i="58"/>
  <c r="N402" i="58"/>
  <c r="M402" i="58"/>
  <c r="L402" i="58"/>
  <c r="T401" i="58"/>
  <c r="S401" i="58"/>
  <c r="Q401" i="58"/>
  <c r="P401" i="58"/>
  <c r="R401" i="58" s="1"/>
  <c r="O401" i="58"/>
  <c r="N401" i="58"/>
  <c r="M401" i="58"/>
  <c r="L401" i="58"/>
  <c r="Q400" i="58"/>
  <c r="S400" i="58" s="1"/>
  <c r="P400" i="58"/>
  <c r="R400" i="58" s="1"/>
  <c r="T400" i="58" s="1"/>
  <c r="O400" i="58"/>
  <c r="N400" i="58"/>
  <c r="M400" i="58"/>
  <c r="L400" i="58"/>
  <c r="R399" i="58"/>
  <c r="T399" i="58" s="1"/>
  <c r="Q399" i="58"/>
  <c r="S399" i="58" s="1"/>
  <c r="P399" i="58"/>
  <c r="O399" i="58"/>
  <c r="N399" i="58"/>
  <c r="M399" i="58"/>
  <c r="L399" i="58"/>
  <c r="S398" i="58"/>
  <c r="R398" i="58"/>
  <c r="Q398" i="58"/>
  <c r="P398" i="58"/>
  <c r="O398" i="58"/>
  <c r="N398" i="58"/>
  <c r="M398" i="58"/>
  <c r="L398" i="58"/>
  <c r="S397" i="58"/>
  <c r="Q397" i="58"/>
  <c r="P397" i="58"/>
  <c r="R397" i="58" s="1"/>
  <c r="T397" i="58" s="1"/>
  <c r="O397" i="58"/>
  <c r="N397" i="58"/>
  <c r="M397" i="58"/>
  <c r="L397" i="58"/>
  <c r="Q396" i="58"/>
  <c r="S396" i="58" s="1"/>
  <c r="P396" i="58"/>
  <c r="R396" i="58" s="1"/>
  <c r="T396" i="58" s="1"/>
  <c r="O396" i="58"/>
  <c r="N396" i="58"/>
  <c r="M396" i="58"/>
  <c r="L396" i="58"/>
  <c r="Q395" i="58"/>
  <c r="S395" i="58" s="1"/>
  <c r="P395" i="58"/>
  <c r="R395" i="58" s="1"/>
  <c r="T395" i="58" s="1"/>
  <c r="O395" i="58"/>
  <c r="N395" i="58"/>
  <c r="M395" i="58"/>
  <c r="L395" i="58"/>
  <c r="R394" i="58"/>
  <c r="Q394" i="58"/>
  <c r="S394" i="58" s="1"/>
  <c r="P394" i="58"/>
  <c r="O394" i="58"/>
  <c r="N394" i="58"/>
  <c r="M394" i="58"/>
  <c r="L394" i="58"/>
  <c r="S393" i="58"/>
  <c r="Q393" i="58"/>
  <c r="P393" i="58"/>
  <c r="R393" i="58" s="1"/>
  <c r="T393" i="58" s="1"/>
  <c r="O393" i="58"/>
  <c r="N393" i="58"/>
  <c r="M393" i="58"/>
  <c r="L393" i="58"/>
  <c r="Q392" i="58"/>
  <c r="S392" i="58" s="1"/>
  <c r="P392" i="58"/>
  <c r="R392" i="58" s="1"/>
  <c r="T392" i="58" s="1"/>
  <c r="O392" i="58"/>
  <c r="N392" i="58"/>
  <c r="M392" i="58"/>
  <c r="L392" i="58"/>
  <c r="Q391" i="58"/>
  <c r="S391" i="58" s="1"/>
  <c r="P391" i="58"/>
  <c r="R391" i="58" s="1"/>
  <c r="T391" i="58" s="1"/>
  <c r="O391" i="58"/>
  <c r="N391" i="58"/>
  <c r="M391" i="58"/>
  <c r="L391" i="58"/>
  <c r="R390" i="58"/>
  <c r="Q390" i="58"/>
  <c r="S390" i="58" s="1"/>
  <c r="P390" i="58"/>
  <c r="O390" i="58"/>
  <c r="N390" i="58"/>
  <c r="M390" i="58"/>
  <c r="L390" i="58"/>
  <c r="S389" i="58"/>
  <c r="R389" i="58"/>
  <c r="T389" i="58" s="1"/>
  <c r="Q389" i="58"/>
  <c r="P389" i="58"/>
  <c r="O389" i="58"/>
  <c r="N389" i="58"/>
  <c r="M389" i="58"/>
  <c r="L389" i="58"/>
  <c r="S388" i="58"/>
  <c r="T388" i="58" s="1"/>
  <c r="Q388" i="58"/>
  <c r="P388" i="58"/>
  <c r="R388" i="58" s="1"/>
  <c r="O388" i="58"/>
  <c r="N388" i="58"/>
  <c r="M388" i="58"/>
  <c r="L388" i="58"/>
  <c r="R387" i="58"/>
  <c r="T387" i="58" s="1"/>
  <c r="Q387" i="58"/>
  <c r="S387" i="58" s="1"/>
  <c r="P387" i="58"/>
  <c r="O387" i="58"/>
  <c r="N387" i="58"/>
  <c r="M387" i="58"/>
  <c r="L387" i="58"/>
  <c r="R386" i="58"/>
  <c r="T386" i="58" s="1"/>
  <c r="Q386" i="58"/>
  <c r="S386" i="58" s="1"/>
  <c r="P386" i="58"/>
  <c r="O386" i="58"/>
  <c r="N386" i="58"/>
  <c r="M386" i="58"/>
  <c r="L386" i="58"/>
  <c r="S385" i="58"/>
  <c r="R385" i="58"/>
  <c r="T385" i="58" s="1"/>
  <c r="Q385" i="58"/>
  <c r="P385" i="58"/>
  <c r="O385" i="58"/>
  <c r="N385" i="58"/>
  <c r="M385" i="58"/>
  <c r="L385" i="58"/>
  <c r="T384" i="58"/>
  <c r="S384" i="58"/>
  <c r="Q384" i="58"/>
  <c r="P384" i="58"/>
  <c r="R384" i="58" s="1"/>
  <c r="O384" i="58"/>
  <c r="N384" i="58"/>
  <c r="M384" i="58"/>
  <c r="L384" i="58"/>
  <c r="Q383" i="58"/>
  <c r="S383" i="58" s="1"/>
  <c r="P383" i="58"/>
  <c r="R383" i="58" s="1"/>
  <c r="T383" i="58" s="1"/>
  <c r="O383" i="58"/>
  <c r="N383" i="58"/>
  <c r="M383" i="58"/>
  <c r="L383" i="58"/>
  <c r="S382" i="58"/>
  <c r="R382" i="58"/>
  <c r="Q382" i="58"/>
  <c r="P382" i="58"/>
  <c r="O382" i="58"/>
  <c r="N382" i="58"/>
  <c r="M382" i="58"/>
  <c r="L382" i="58"/>
  <c r="T381" i="58"/>
  <c r="S381" i="58"/>
  <c r="Q381" i="58"/>
  <c r="P381" i="58"/>
  <c r="R381" i="58" s="1"/>
  <c r="O381" i="58"/>
  <c r="N381" i="58"/>
  <c r="M381" i="58"/>
  <c r="L381" i="58"/>
  <c r="Q380" i="58"/>
  <c r="S380" i="58" s="1"/>
  <c r="P380" i="58"/>
  <c r="R380" i="58" s="1"/>
  <c r="O380" i="58"/>
  <c r="N380" i="58"/>
  <c r="M380" i="58"/>
  <c r="L380" i="58"/>
  <c r="Q379" i="58"/>
  <c r="S379" i="58" s="1"/>
  <c r="P379" i="58"/>
  <c r="R379" i="58" s="1"/>
  <c r="T379" i="58" s="1"/>
  <c r="O379" i="58"/>
  <c r="N379" i="58"/>
  <c r="M379" i="58"/>
  <c r="L379" i="58"/>
  <c r="R378" i="58"/>
  <c r="Q378" i="58"/>
  <c r="S378" i="58" s="1"/>
  <c r="P378" i="58"/>
  <c r="O378" i="58"/>
  <c r="N378" i="58"/>
  <c r="M378" i="58"/>
  <c r="L378" i="58"/>
  <c r="S377" i="58"/>
  <c r="R377" i="58"/>
  <c r="T377" i="58" s="1"/>
  <c r="Q377" i="58"/>
  <c r="P377" i="58"/>
  <c r="O377" i="58"/>
  <c r="N377" i="58"/>
  <c r="M377" i="58"/>
  <c r="L377" i="58"/>
  <c r="Q376" i="58"/>
  <c r="S376" i="58" s="1"/>
  <c r="P376" i="58"/>
  <c r="R376" i="58" s="1"/>
  <c r="T376" i="58" s="1"/>
  <c r="O376" i="58"/>
  <c r="N376" i="58"/>
  <c r="M376" i="58"/>
  <c r="L376" i="58"/>
  <c r="R375" i="58"/>
  <c r="Q375" i="58"/>
  <c r="S375" i="58" s="1"/>
  <c r="P375" i="58"/>
  <c r="O375" i="58"/>
  <c r="N375" i="58"/>
  <c r="M375" i="58"/>
  <c r="L375" i="58"/>
  <c r="R374" i="58"/>
  <c r="Q374" i="58"/>
  <c r="S374" i="58" s="1"/>
  <c r="P374" i="58"/>
  <c r="O374" i="58"/>
  <c r="N374" i="58"/>
  <c r="M374" i="58"/>
  <c r="L374" i="58"/>
  <c r="S373" i="58"/>
  <c r="R373" i="58"/>
  <c r="T373" i="58" s="1"/>
  <c r="Q373" i="58"/>
  <c r="P373" i="58"/>
  <c r="O373" i="58"/>
  <c r="N373" i="58"/>
  <c r="M373" i="58"/>
  <c r="L373" i="58"/>
  <c r="S372" i="58"/>
  <c r="T372" i="58" s="1"/>
  <c r="Q372" i="58"/>
  <c r="P372" i="58"/>
  <c r="R372" i="58" s="1"/>
  <c r="O372" i="58"/>
  <c r="N372" i="58"/>
  <c r="M372" i="58"/>
  <c r="L372" i="58"/>
  <c r="R371" i="58"/>
  <c r="T371" i="58" s="1"/>
  <c r="Q371" i="58"/>
  <c r="S371" i="58" s="1"/>
  <c r="P371" i="58"/>
  <c r="O371" i="58"/>
  <c r="N371" i="58"/>
  <c r="M371" i="58"/>
  <c r="L371" i="58"/>
  <c r="S370" i="58"/>
  <c r="R370" i="58"/>
  <c r="T370" i="58" s="1"/>
  <c r="Q370" i="58"/>
  <c r="P370" i="58"/>
  <c r="O370" i="58"/>
  <c r="N370" i="58"/>
  <c r="M370" i="58"/>
  <c r="L370" i="58"/>
  <c r="S369" i="58"/>
  <c r="Q369" i="58"/>
  <c r="P369" i="58"/>
  <c r="R369" i="58" s="1"/>
  <c r="T369" i="58" s="1"/>
  <c r="O369" i="58"/>
  <c r="N369" i="58"/>
  <c r="M369" i="58"/>
  <c r="L369" i="58"/>
  <c r="T368" i="58"/>
  <c r="S368" i="58"/>
  <c r="Q368" i="58"/>
  <c r="P368" i="58"/>
  <c r="R368" i="58" s="1"/>
  <c r="O368" i="58"/>
  <c r="N368" i="58"/>
  <c r="M368" i="58"/>
  <c r="L368" i="58"/>
  <c r="Q367" i="58"/>
  <c r="S367" i="58" s="1"/>
  <c r="P367" i="58"/>
  <c r="R367" i="58" s="1"/>
  <c r="T367" i="58" s="1"/>
  <c r="O367" i="58"/>
  <c r="N367" i="58"/>
  <c r="M367" i="58"/>
  <c r="L367" i="58"/>
  <c r="R366" i="58"/>
  <c r="Q366" i="58"/>
  <c r="S366" i="58" s="1"/>
  <c r="P366" i="58"/>
  <c r="O366" i="58"/>
  <c r="N366" i="58"/>
  <c r="M366" i="58"/>
  <c r="L366" i="58"/>
  <c r="S365" i="58"/>
  <c r="R365" i="58"/>
  <c r="T365" i="58" s="1"/>
  <c r="Q365" i="58"/>
  <c r="P365" i="58"/>
  <c r="O365" i="58"/>
  <c r="N365" i="58"/>
  <c r="M365" i="58"/>
  <c r="L365" i="58"/>
  <c r="S364" i="58"/>
  <c r="Q364" i="58"/>
  <c r="P364" i="58"/>
  <c r="R364" i="58" s="1"/>
  <c r="O364" i="58"/>
  <c r="N364" i="58"/>
  <c r="M364" i="58"/>
  <c r="L364" i="58"/>
  <c r="Q363" i="58"/>
  <c r="S363" i="58" s="1"/>
  <c r="P363" i="58"/>
  <c r="R363" i="58" s="1"/>
  <c r="T363" i="58" s="1"/>
  <c r="O363" i="58"/>
  <c r="N363" i="58"/>
  <c r="M363" i="58"/>
  <c r="L363" i="58"/>
  <c r="R362" i="58"/>
  <c r="T362" i="58" s="1"/>
  <c r="Q362" i="58"/>
  <c r="S362" i="58" s="1"/>
  <c r="P362" i="58"/>
  <c r="O362" i="58"/>
  <c r="N362" i="58"/>
  <c r="M362" i="58"/>
  <c r="L362" i="58"/>
  <c r="S361" i="58"/>
  <c r="R361" i="58"/>
  <c r="T361" i="58" s="1"/>
  <c r="Q361" i="58"/>
  <c r="P361" i="58"/>
  <c r="O361" i="58"/>
  <c r="N361" i="58"/>
  <c r="M361" i="58"/>
  <c r="L361" i="58"/>
  <c r="S360" i="58"/>
  <c r="Q360" i="58"/>
  <c r="P360" i="58"/>
  <c r="R360" i="58" s="1"/>
  <c r="O360" i="58"/>
  <c r="N360" i="58"/>
  <c r="M360" i="58"/>
  <c r="L360" i="58"/>
  <c r="T359" i="58"/>
  <c r="Q359" i="58"/>
  <c r="S359" i="58" s="1"/>
  <c r="P359" i="58"/>
  <c r="R359" i="58" s="1"/>
  <c r="O359" i="58"/>
  <c r="N359" i="58"/>
  <c r="M359" i="58"/>
  <c r="L359" i="58"/>
  <c r="R358" i="58"/>
  <c r="Q358" i="58"/>
  <c r="S358" i="58" s="1"/>
  <c r="P358" i="58"/>
  <c r="O358" i="58"/>
  <c r="N358" i="58"/>
  <c r="M358" i="58"/>
  <c r="L358" i="58"/>
  <c r="S357" i="58"/>
  <c r="R357" i="58"/>
  <c r="T357" i="58" s="1"/>
  <c r="Q357" i="58"/>
  <c r="P357" i="58"/>
  <c r="O357" i="58"/>
  <c r="N357" i="58"/>
  <c r="M357" i="58"/>
  <c r="L357" i="58"/>
  <c r="S356" i="58"/>
  <c r="Q356" i="58"/>
  <c r="P356" i="58"/>
  <c r="R356" i="58" s="1"/>
  <c r="T356" i="58" s="1"/>
  <c r="O356" i="58"/>
  <c r="N356" i="58"/>
  <c r="M356" i="58"/>
  <c r="L356" i="58"/>
  <c r="Q355" i="58"/>
  <c r="S355" i="58" s="1"/>
  <c r="T355" i="58" s="1"/>
  <c r="P355" i="58"/>
  <c r="R355" i="58" s="1"/>
  <c r="O355" i="58"/>
  <c r="N355" i="58"/>
  <c r="M355" i="58"/>
  <c r="L355" i="58"/>
  <c r="R354" i="58"/>
  <c r="T354" i="58" s="1"/>
  <c r="Q354" i="58"/>
  <c r="S354" i="58" s="1"/>
  <c r="P354" i="58"/>
  <c r="O354" i="58"/>
  <c r="N354" i="58"/>
  <c r="M354" i="58"/>
  <c r="L354" i="58"/>
  <c r="S353" i="58"/>
  <c r="R353" i="58"/>
  <c r="T353" i="58" s="1"/>
  <c r="Q353" i="58"/>
  <c r="P353" i="58"/>
  <c r="O353" i="58"/>
  <c r="N353" i="58"/>
  <c r="M353" i="58"/>
  <c r="L353" i="58"/>
  <c r="S352" i="58"/>
  <c r="Q352" i="58"/>
  <c r="P352" i="58"/>
  <c r="R352" i="58" s="1"/>
  <c r="T352" i="58" s="1"/>
  <c r="O352" i="58"/>
  <c r="N352" i="58"/>
  <c r="M352" i="58"/>
  <c r="L352" i="58"/>
  <c r="Q351" i="58"/>
  <c r="S351" i="58" s="1"/>
  <c r="P351" i="58"/>
  <c r="R351" i="58" s="1"/>
  <c r="T351" i="58" s="1"/>
  <c r="O351" i="58"/>
  <c r="N351" i="58"/>
  <c r="M351" i="58"/>
  <c r="L351" i="58"/>
  <c r="R350" i="58"/>
  <c r="Q350" i="58"/>
  <c r="S350" i="58" s="1"/>
  <c r="P350" i="58"/>
  <c r="O350" i="58"/>
  <c r="N350" i="58"/>
  <c r="M350" i="58"/>
  <c r="L350" i="58"/>
  <c r="S349" i="58"/>
  <c r="R349" i="58"/>
  <c r="T349" i="58" s="1"/>
  <c r="Q349" i="58"/>
  <c r="P349" i="58"/>
  <c r="O349" i="58"/>
  <c r="N349" i="58"/>
  <c r="M349" i="58"/>
  <c r="L349" i="58"/>
  <c r="S348" i="58"/>
  <c r="Q348" i="58"/>
  <c r="P348" i="58"/>
  <c r="R348" i="58" s="1"/>
  <c r="O348" i="58"/>
  <c r="N348" i="58"/>
  <c r="M348" i="58"/>
  <c r="L348" i="58"/>
  <c r="Q347" i="58"/>
  <c r="S347" i="58" s="1"/>
  <c r="P347" i="58"/>
  <c r="R347" i="58" s="1"/>
  <c r="T347" i="58" s="1"/>
  <c r="O347" i="58"/>
  <c r="N347" i="58"/>
  <c r="M347" i="58"/>
  <c r="L347" i="58"/>
  <c r="R346" i="58"/>
  <c r="T346" i="58" s="1"/>
  <c r="Q346" i="58"/>
  <c r="S346" i="58" s="1"/>
  <c r="P346" i="58"/>
  <c r="O346" i="58"/>
  <c r="N346" i="58"/>
  <c r="M346" i="58"/>
  <c r="L346" i="58"/>
  <c r="S345" i="58"/>
  <c r="R345" i="58"/>
  <c r="T345" i="58" s="1"/>
  <c r="Q345" i="58"/>
  <c r="P345" i="58"/>
  <c r="O345" i="58"/>
  <c r="N345" i="58"/>
  <c r="M345" i="58"/>
  <c r="L345" i="58"/>
  <c r="S344" i="58"/>
  <c r="Q344" i="58"/>
  <c r="P344" i="58"/>
  <c r="R344" i="58" s="1"/>
  <c r="O344" i="58"/>
  <c r="N344" i="58"/>
  <c r="M344" i="58"/>
  <c r="L344" i="58"/>
  <c r="T343" i="58"/>
  <c r="Q343" i="58"/>
  <c r="S343" i="58" s="1"/>
  <c r="P343" i="58"/>
  <c r="R343" i="58" s="1"/>
  <c r="O343" i="58"/>
  <c r="N343" i="58"/>
  <c r="M343" i="58"/>
  <c r="L343" i="58"/>
  <c r="R342" i="58"/>
  <c r="Q342" i="58"/>
  <c r="S342" i="58" s="1"/>
  <c r="P342" i="58"/>
  <c r="O342" i="58"/>
  <c r="N342" i="58"/>
  <c r="M342" i="58"/>
  <c r="L342" i="58"/>
  <c r="S341" i="58"/>
  <c r="R341" i="58"/>
  <c r="T341" i="58" s="1"/>
  <c r="Q341" i="58"/>
  <c r="P341" i="58"/>
  <c r="O341" i="58"/>
  <c r="N341" i="58"/>
  <c r="M341" i="58"/>
  <c r="L341" i="58"/>
  <c r="S340" i="58"/>
  <c r="Q340" i="58"/>
  <c r="P340" i="58"/>
  <c r="R340" i="58" s="1"/>
  <c r="T340" i="58" s="1"/>
  <c r="O340" i="58"/>
  <c r="N340" i="58"/>
  <c r="M340" i="58"/>
  <c r="L340" i="58"/>
  <c r="Q339" i="58"/>
  <c r="S339" i="58" s="1"/>
  <c r="T339" i="58" s="1"/>
  <c r="P339" i="58"/>
  <c r="R339" i="58" s="1"/>
  <c r="O339" i="58"/>
  <c r="N339" i="58"/>
  <c r="M339" i="58"/>
  <c r="L339" i="58"/>
  <c r="R338" i="58"/>
  <c r="T338" i="58" s="1"/>
  <c r="Q338" i="58"/>
  <c r="S338" i="58" s="1"/>
  <c r="P338" i="58"/>
  <c r="O338" i="58"/>
  <c r="N338" i="58"/>
  <c r="M338" i="58"/>
  <c r="L338" i="58"/>
  <c r="S337" i="58"/>
  <c r="R337" i="58"/>
  <c r="T337" i="58" s="1"/>
  <c r="Q337" i="58"/>
  <c r="P337" i="58"/>
  <c r="O337" i="58"/>
  <c r="N337" i="58"/>
  <c r="M337" i="58"/>
  <c r="L337" i="58"/>
  <c r="S336" i="58"/>
  <c r="Q336" i="58"/>
  <c r="P336" i="58"/>
  <c r="R336" i="58" s="1"/>
  <c r="T336" i="58" s="1"/>
  <c r="O336" i="58"/>
  <c r="N336" i="58"/>
  <c r="M336" i="58"/>
  <c r="L336" i="58"/>
  <c r="Q335" i="58"/>
  <c r="S335" i="58" s="1"/>
  <c r="P335" i="58"/>
  <c r="R335" i="58" s="1"/>
  <c r="T335" i="58" s="1"/>
  <c r="O335" i="58"/>
  <c r="N335" i="58"/>
  <c r="M335" i="58"/>
  <c r="L335" i="58"/>
  <c r="R334" i="58"/>
  <c r="T334" i="58" s="1"/>
  <c r="Q334" i="58"/>
  <c r="S334" i="58" s="1"/>
  <c r="P334" i="58"/>
  <c r="O334" i="58"/>
  <c r="N334" i="58"/>
  <c r="M334" i="58"/>
  <c r="L334" i="58"/>
  <c r="S333" i="58"/>
  <c r="R333" i="58"/>
  <c r="T333" i="58" s="1"/>
  <c r="Q333" i="58"/>
  <c r="P333" i="58"/>
  <c r="O333" i="58"/>
  <c r="N333" i="58"/>
  <c r="M333" i="58"/>
  <c r="L333" i="58"/>
  <c r="S332" i="58"/>
  <c r="Q332" i="58"/>
  <c r="P332" i="58"/>
  <c r="R332" i="58" s="1"/>
  <c r="O332" i="58"/>
  <c r="N332" i="58"/>
  <c r="M332" i="58"/>
  <c r="L332" i="58"/>
  <c r="Q331" i="58"/>
  <c r="S331" i="58" s="1"/>
  <c r="P331" i="58"/>
  <c r="R331" i="58" s="1"/>
  <c r="T331" i="58" s="1"/>
  <c r="O331" i="58"/>
  <c r="N331" i="58"/>
  <c r="M331" i="58"/>
  <c r="L331" i="58"/>
  <c r="R330" i="58"/>
  <c r="T330" i="58" s="1"/>
  <c r="Q330" i="58"/>
  <c r="S330" i="58" s="1"/>
  <c r="P330" i="58"/>
  <c r="O330" i="58"/>
  <c r="N330" i="58"/>
  <c r="M330" i="58"/>
  <c r="L330" i="58"/>
  <c r="S329" i="58"/>
  <c r="R329" i="58"/>
  <c r="T329" i="58" s="1"/>
  <c r="Q329" i="58"/>
  <c r="P329" i="58"/>
  <c r="O329" i="58"/>
  <c r="N329" i="58"/>
  <c r="M329" i="58"/>
  <c r="L329" i="58"/>
  <c r="S328" i="58"/>
  <c r="Q328" i="58"/>
  <c r="P328" i="58"/>
  <c r="R328" i="58" s="1"/>
  <c r="O328" i="58"/>
  <c r="N328" i="58"/>
  <c r="M328" i="58"/>
  <c r="L328" i="58"/>
  <c r="T327" i="58"/>
  <c r="Q327" i="58"/>
  <c r="S327" i="58" s="1"/>
  <c r="P327" i="58"/>
  <c r="R327" i="58" s="1"/>
  <c r="O327" i="58"/>
  <c r="N327" i="58"/>
  <c r="M327" i="58"/>
  <c r="L327" i="58"/>
  <c r="R326" i="58"/>
  <c r="Q326" i="58"/>
  <c r="S326" i="58" s="1"/>
  <c r="P326" i="58"/>
  <c r="O326" i="58"/>
  <c r="N326" i="58"/>
  <c r="M326" i="58"/>
  <c r="L326" i="58"/>
  <c r="S325" i="58"/>
  <c r="R325" i="58"/>
  <c r="T325" i="58" s="1"/>
  <c r="Q325" i="58"/>
  <c r="P325" i="58"/>
  <c r="O325" i="58"/>
  <c r="N325" i="58"/>
  <c r="M325" i="58"/>
  <c r="L325" i="58"/>
  <c r="S324" i="58"/>
  <c r="Q324" i="58"/>
  <c r="P324" i="58"/>
  <c r="R324" i="58" s="1"/>
  <c r="T324" i="58" s="1"/>
  <c r="O324" i="58"/>
  <c r="N324" i="58"/>
  <c r="M324" i="58"/>
  <c r="L324" i="58"/>
  <c r="T323" i="58"/>
  <c r="Q323" i="58"/>
  <c r="S323" i="58" s="1"/>
  <c r="P323" i="58"/>
  <c r="R323" i="58" s="1"/>
  <c r="O323" i="58"/>
  <c r="N323" i="58"/>
  <c r="M323" i="58"/>
  <c r="L323" i="58"/>
  <c r="R322" i="58"/>
  <c r="T322" i="58" s="1"/>
  <c r="Q322" i="58"/>
  <c r="S322" i="58" s="1"/>
  <c r="P322" i="58"/>
  <c r="O322" i="58"/>
  <c r="N322" i="58"/>
  <c r="M322" i="58"/>
  <c r="L322" i="58"/>
  <c r="S321" i="58"/>
  <c r="R321" i="58"/>
  <c r="T321" i="58" s="1"/>
  <c r="Q321" i="58"/>
  <c r="P321" i="58"/>
  <c r="O321" i="58"/>
  <c r="N321" i="58"/>
  <c r="M321" i="58"/>
  <c r="L321" i="58"/>
  <c r="S320" i="58"/>
  <c r="Q320" i="58"/>
  <c r="P320" i="58"/>
  <c r="R320" i="58" s="1"/>
  <c r="T320" i="58" s="1"/>
  <c r="O320" i="58"/>
  <c r="N320" i="58"/>
  <c r="M320" i="58"/>
  <c r="L320" i="58"/>
  <c r="Q319" i="58"/>
  <c r="S319" i="58" s="1"/>
  <c r="P319" i="58"/>
  <c r="R319" i="58" s="1"/>
  <c r="T319" i="58" s="1"/>
  <c r="O319" i="58"/>
  <c r="N319" i="58"/>
  <c r="M319" i="58"/>
  <c r="L319" i="58"/>
  <c r="R318" i="58"/>
  <c r="T318" i="58" s="1"/>
  <c r="Q318" i="58"/>
  <c r="S318" i="58" s="1"/>
  <c r="P318" i="58"/>
  <c r="O318" i="58"/>
  <c r="N318" i="58"/>
  <c r="M318" i="58"/>
  <c r="L318" i="58"/>
  <c r="S317" i="58"/>
  <c r="R317" i="58"/>
  <c r="T317" i="58" s="1"/>
  <c r="Q317" i="58"/>
  <c r="P317" i="58"/>
  <c r="O317" i="58"/>
  <c r="N317" i="58"/>
  <c r="M317" i="58"/>
  <c r="L317" i="58"/>
  <c r="S316" i="58"/>
  <c r="Q316" i="58"/>
  <c r="P316" i="58"/>
  <c r="R316" i="58" s="1"/>
  <c r="O316" i="58"/>
  <c r="N316" i="58"/>
  <c r="M316" i="58"/>
  <c r="L316" i="58"/>
  <c r="Q315" i="58"/>
  <c r="S315" i="58" s="1"/>
  <c r="P315" i="58"/>
  <c r="R315" i="58" s="1"/>
  <c r="T315" i="58" s="1"/>
  <c r="O315" i="58"/>
  <c r="N315" i="58"/>
  <c r="M315" i="58"/>
  <c r="L315" i="58"/>
  <c r="R314" i="58"/>
  <c r="T314" i="58" s="1"/>
  <c r="Q314" i="58"/>
  <c r="S314" i="58" s="1"/>
  <c r="P314" i="58"/>
  <c r="O314" i="58"/>
  <c r="N314" i="58"/>
  <c r="M314" i="58"/>
  <c r="L314" i="58"/>
  <c r="S313" i="58"/>
  <c r="R313" i="58"/>
  <c r="T313" i="58" s="1"/>
  <c r="Q313" i="58"/>
  <c r="P313" i="58"/>
  <c r="O313" i="58"/>
  <c r="N313" i="58"/>
  <c r="M313" i="58"/>
  <c r="L313" i="58"/>
  <c r="S312" i="58"/>
  <c r="Q312" i="58"/>
  <c r="P312" i="58"/>
  <c r="R312" i="58" s="1"/>
  <c r="O312" i="58"/>
  <c r="N312" i="58"/>
  <c r="M312" i="58"/>
  <c r="L312" i="58"/>
  <c r="T311" i="58"/>
  <c r="Q311" i="58"/>
  <c r="S311" i="58" s="1"/>
  <c r="P311" i="58"/>
  <c r="R311" i="58" s="1"/>
  <c r="O311" i="58"/>
  <c r="N311" i="58"/>
  <c r="M311" i="58"/>
  <c r="L311" i="58"/>
  <c r="R310" i="58"/>
  <c r="Q310" i="58"/>
  <c r="S310" i="58" s="1"/>
  <c r="P310" i="58"/>
  <c r="O310" i="58"/>
  <c r="N310" i="58"/>
  <c r="M310" i="58"/>
  <c r="L310" i="58"/>
  <c r="S309" i="58"/>
  <c r="R309" i="58"/>
  <c r="T309" i="58" s="1"/>
  <c r="Q309" i="58"/>
  <c r="P309" i="58"/>
  <c r="O309" i="58"/>
  <c r="N309" i="58"/>
  <c r="M309" i="58"/>
  <c r="L309" i="58"/>
  <c r="S308" i="58"/>
  <c r="Q308" i="58"/>
  <c r="P308" i="58"/>
  <c r="R308" i="58" s="1"/>
  <c r="T308" i="58" s="1"/>
  <c r="O308" i="58"/>
  <c r="N308" i="58"/>
  <c r="M308" i="58"/>
  <c r="L308" i="58"/>
  <c r="T307" i="58"/>
  <c r="Q307" i="58"/>
  <c r="S307" i="58" s="1"/>
  <c r="P307" i="58"/>
  <c r="R307" i="58" s="1"/>
  <c r="O307" i="58"/>
  <c r="N307" i="58"/>
  <c r="M307" i="58"/>
  <c r="L307" i="58"/>
  <c r="R306" i="58"/>
  <c r="T306" i="58" s="1"/>
  <c r="Q306" i="58"/>
  <c r="S306" i="58" s="1"/>
  <c r="P306" i="58"/>
  <c r="O306" i="58"/>
  <c r="N306" i="58"/>
  <c r="M306" i="58"/>
  <c r="L306" i="58"/>
  <c r="S305" i="58"/>
  <c r="R305" i="58"/>
  <c r="T305" i="58" s="1"/>
  <c r="Q305" i="58"/>
  <c r="P305" i="58"/>
  <c r="O305" i="58"/>
  <c r="N305" i="58"/>
  <c r="M305" i="58"/>
  <c r="L305" i="58"/>
  <c r="S304" i="58"/>
  <c r="Q304" i="58"/>
  <c r="P304" i="58"/>
  <c r="R304" i="58" s="1"/>
  <c r="T304" i="58" s="1"/>
  <c r="O304" i="58"/>
  <c r="N304" i="58"/>
  <c r="M304" i="58"/>
  <c r="L304" i="58"/>
  <c r="Q303" i="58"/>
  <c r="S303" i="58" s="1"/>
  <c r="P303" i="58"/>
  <c r="R303" i="58" s="1"/>
  <c r="T303" i="58" s="1"/>
  <c r="O303" i="58"/>
  <c r="N303" i="58"/>
  <c r="M303" i="58"/>
  <c r="L303" i="58"/>
  <c r="R302" i="58"/>
  <c r="T302" i="58" s="1"/>
  <c r="Q302" i="58"/>
  <c r="S302" i="58" s="1"/>
  <c r="P302" i="58"/>
  <c r="O302" i="58"/>
  <c r="N302" i="58"/>
  <c r="M302" i="58"/>
  <c r="L302" i="58"/>
  <c r="S301" i="58"/>
  <c r="R301" i="58"/>
  <c r="T301" i="58" s="1"/>
  <c r="Q301" i="58"/>
  <c r="P301" i="58"/>
  <c r="O301" i="58"/>
  <c r="N301" i="58"/>
  <c r="M301" i="58"/>
  <c r="L301" i="58"/>
  <c r="S300" i="58"/>
  <c r="Q300" i="58"/>
  <c r="P300" i="58"/>
  <c r="R300" i="58" s="1"/>
  <c r="O300" i="58"/>
  <c r="N300" i="58"/>
  <c r="M300" i="58"/>
  <c r="L300" i="58"/>
  <c r="Q299" i="58"/>
  <c r="S299" i="58" s="1"/>
  <c r="P299" i="58"/>
  <c r="R299" i="58" s="1"/>
  <c r="T299" i="58" s="1"/>
  <c r="O299" i="58"/>
  <c r="N299" i="58"/>
  <c r="M299" i="58"/>
  <c r="L299" i="58"/>
  <c r="R298" i="58"/>
  <c r="T298" i="58" s="1"/>
  <c r="Q298" i="58"/>
  <c r="S298" i="58" s="1"/>
  <c r="P298" i="58"/>
  <c r="O298" i="58"/>
  <c r="N298" i="58"/>
  <c r="M298" i="58"/>
  <c r="L298" i="58"/>
  <c r="S297" i="58"/>
  <c r="R297" i="58"/>
  <c r="T297" i="58" s="1"/>
  <c r="Q297" i="58"/>
  <c r="P297" i="58"/>
  <c r="O297" i="58"/>
  <c r="N297" i="58"/>
  <c r="M297" i="58"/>
  <c r="L297" i="58"/>
  <c r="S296" i="58"/>
  <c r="Q296" i="58"/>
  <c r="P296" i="58"/>
  <c r="R296" i="58" s="1"/>
  <c r="O296" i="58"/>
  <c r="N296" i="58"/>
  <c r="M296" i="58"/>
  <c r="L296" i="58"/>
  <c r="T295" i="58"/>
  <c r="Q295" i="58"/>
  <c r="S295" i="58" s="1"/>
  <c r="P295" i="58"/>
  <c r="R295" i="58" s="1"/>
  <c r="O295" i="58"/>
  <c r="N295" i="58"/>
  <c r="M295" i="58"/>
  <c r="L295" i="58"/>
  <c r="R294" i="58"/>
  <c r="Q294" i="58"/>
  <c r="S294" i="58" s="1"/>
  <c r="P294" i="58"/>
  <c r="O294" i="58"/>
  <c r="N294" i="58"/>
  <c r="M294" i="58"/>
  <c r="L294" i="58"/>
  <c r="S293" i="58"/>
  <c r="R293" i="58"/>
  <c r="T293" i="58" s="1"/>
  <c r="Q293" i="58"/>
  <c r="P293" i="58"/>
  <c r="O293" i="58"/>
  <c r="N293" i="58"/>
  <c r="M293" i="58"/>
  <c r="L293" i="58"/>
  <c r="S292" i="58"/>
  <c r="Q292" i="58"/>
  <c r="P292" i="58"/>
  <c r="R292" i="58" s="1"/>
  <c r="T292" i="58" s="1"/>
  <c r="O292" i="58"/>
  <c r="N292" i="58"/>
  <c r="M292" i="58"/>
  <c r="L292" i="58"/>
  <c r="T291" i="58"/>
  <c r="Q291" i="58"/>
  <c r="S291" i="58" s="1"/>
  <c r="P291" i="58"/>
  <c r="R291" i="58" s="1"/>
  <c r="O291" i="58"/>
  <c r="N291" i="58"/>
  <c r="M291" i="58"/>
  <c r="L291" i="58"/>
  <c r="R290" i="58"/>
  <c r="T290" i="58" s="1"/>
  <c r="Q290" i="58"/>
  <c r="S290" i="58" s="1"/>
  <c r="P290" i="58"/>
  <c r="O290" i="58"/>
  <c r="N290" i="58"/>
  <c r="M290" i="58"/>
  <c r="L290" i="58"/>
  <c r="S289" i="58"/>
  <c r="R289" i="58"/>
  <c r="T289" i="58" s="1"/>
  <c r="Q289" i="58"/>
  <c r="P289" i="58"/>
  <c r="O289" i="58"/>
  <c r="N289" i="58"/>
  <c r="M289" i="58"/>
  <c r="L289" i="58"/>
  <c r="S288" i="58"/>
  <c r="Q288" i="58"/>
  <c r="P288" i="58"/>
  <c r="R288" i="58" s="1"/>
  <c r="T288" i="58" s="1"/>
  <c r="O288" i="58"/>
  <c r="N288" i="58"/>
  <c r="M288" i="58"/>
  <c r="L288" i="58"/>
  <c r="Q287" i="58"/>
  <c r="S287" i="58" s="1"/>
  <c r="P287" i="58"/>
  <c r="R287" i="58" s="1"/>
  <c r="T287" i="58" s="1"/>
  <c r="O287" i="58"/>
  <c r="N287" i="58"/>
  <c r="M287" i="58"/>
  <c r="L287" i="58"/>
  <c r="R286" i="58"/>
  <c r="T286" i="58" s="1"/>
  <c r="Q286" i="58"/>
  <c r="S286" i="58" s="1"/>
  <c r="P286" i="58"/>
  <c r="O286" i="58"/>
  <c r="N286" i="58"/>
  <c r="M286" i="58"/>
  <c r="L286" i="58"/>
  <c r="S285" i="58"/>
  <c r="R285" i="58"/>
  <c r="T285" i="58" s="1"/>
  <c r="Q285" i="58"/>
  <c r="P285" i="58"/>
  <c r="O285" i="58"/>
  <c r="N285" i="58"/>
  <c r="M285" i="58"/>
  <c r="L285" i="58"/>
  <c r="S284" i="58"/>
  <c r="Q284" i="58"/>
  <c r="P284" i="58"/>
  <c r="R284" i="58" s="1"/>
  <c r="O284" i="58"/>
  <c r="N284" i="58"/>
  <c r="M284" i="58"/>
  <c r="L284" i="58"/>
  <c r="Q283" i="58"/>
  <c r="S283" i="58" s="1"/>
  <c r="P283" i="58"/>
  <c r="R283" i="58" s="1"/>
  <c r="T283" i="58" s="1"/>
  <c r="O283" i="58"/>
  <c r="N283" i="58"/>
  <c r="M283" i="58"/>
  <c r="L283" i="58"/>
  <c r="R282" i="58"/>
  <c r="T282" i="58" s="1"/>
  <c r="Q282" i="58"/>
  <c r="S282" i="58" s="1"/>
  <c r="P282" i="58"/>
  <c r="O282" i="58"/>
  <c r="N282" i="58"/>
  <c r="M282" i="58"/>
  <c r="L282" i="58"/>
  <c r="S281" i="58"/>
  <c r="R281" i="58"/>
  <c r="T281" i="58" s="1"/>
  <c r="Q281" i="58"/>
  <c r="P281" i="58"/>
  <c r="O281" i="58"/>
  <c r="N281" i="58"/>
  <c r="M281" i="58"/>
  <c r="L281" i="58"/>
  <c r="S280" i="58"/>
  <c r="Q280" i="58"/>
  <c r="P280" i="58"/>
  <c r="R280" i="58" s="1"/>
  <c r="O280" i="58"/>
  <c r="N280" i="58"/>
  <c r="M280" i="58"/>
  <c r="L280" i="58"/>
  <c r="T279" i="58"/>
  <c r="Q279" i="58"/>
  <c r="S279" i="58" s="1"/>
  <c r="P279" i="58"/>
  <c r="R279" i="58" s="1"/>
  <c r="O279" i="58"/>
  <c r="N279" i="58"/>
  <c r="M279" i="58"/>
  <c r="L279" i="58"/>
  <c r="R278" i="58"/>
  <c r="Q278" i="58"/>
  <c r="S278" i="58" s="1"/>
  <c r="P278" i="58"/>
  <c r="O278" i="58"/>
  <c r="N278" i="58"/>
  <c r="M278" i="58"/>
  <c r="L278" i="58"/>
  <c r="S277" i="58"/>
  <c r="R277" i="58"/>
  <c r="T277" i="58" s="1"/>
  <c r="Q277" i="58"/>
  <c r="P277" i="58"/>
  <c r="O277" i="58"/>
  <c r="N277" i="58"/>
  <c r="M277" i="58"/>
  <c r="L277" i="58"/>
  <c r="S276" i="58"/>
  <c r="Q276" i="58"/>
  <c r="P276" i="58"/>
  <c r="R276" i="58" s="1"/>
  <c r="T276" i="58" s="1"/>
  <c r="O276" i="58"/>
  <c r="N276" i="58"/>
  <c r="M276" i="58"/>
  <c r="L276" i="58"/>
  <c r="T275" i="58"/>
  <c r="Q275" i="58"/>
  <c r="S275" i="58" s="1"/>
  <c r="P275" i="58"/>
  <c r="R275" i="58" s="1"/>
  <c r="O275" i="58"/>
  <c r="N275" i="58"/>
  <c r="M275" i="58"/>
  <c r="L275" i="58"/>
  <c r="R274" i="58"/>
  <c r="T274" i="58" s="1"/>
  <c r="Q274" i="58"/>
  <c r="S274" i="58" s="1"/>
  <c r="P274" i="58"/>
  <c r="O274" i="58"/>
  <c r="N274" i="58"/>
  <c r="M274" i="58"/>
  <c r="L274" i="58"/>
  <c r="S273" i="58"/>
  <c r="R273" i="58"/>
  <c r="T273" i="58" s="1"/>
  <c r="Q273" i="58"/>
  <c r="P273" i="58"/>
  <c r="O273" i="58"/>
  <c r="N273" i="58"/>
  <c r="M273" i="58"/>
  <c r="L273" i="58"/>
  <c r="S272" i="58"/>
  <c r="Q272" i="58"/>
  <c r="P272" i="58"/>
  <c r="R272" i="58" s="1"/>
  <c r="T272" i="58" s="1"/>
  <c r="O272" i="58"/>
  <c r="N272" i="58"/>
  <c r="M272" i="58"/>
  <c r="L272" i="58"/>
  <c r="Q271" i="58"/>
  <c r="S271" i="58" s="1"/>
  <c r="P271" i="58"/>
  <c r="R271" i="58" s="1"/>
  <c r="T271" i="58" s="1"/>
  <c r="O271" i="58"/>
  <c r="N271" i="58"/>
  <c r="M271" i="58"/>
  <c r="L271" i="58"/>
  <c r="R270" i="58"/>
  <c r="T270" i="58" s="1"/>
  <c r="Q270" i="58"/>
  <c r="S270" i="58" s="1"/>
  <c r="P270" i="58"/>
  <c r="O270" i="58"/>
  <c r="N270" i="58"/>
  <c r="M270" i="58"/>
  <c r="L270" i="58"/>
  <c r="S269" i="58"/>
  <c r="R269" i="58"/>
  <c r="T269" i="58" s="1"/>
  <c r="Q269" i="58"/>
  <c r="P269" i="58"/>
  <c r="O269" i="58"/>
  <c r="N269" i="58"/>
  <c r="M269" i="58"/>
  <c r="L269" i="58"/>
  <c r="S268" i="58"/>
  <c r="Q268" i="58"/>
  <c r="P268" i="58"/>
  <c r="R268" i="58" s="1"/>
  <c r="O268" i="58"/>
  <c r="N268" i="58"/>
  <c r="M268" i="58"/>
  <c r="L268" i="58"/>
  <c r="Q267" i="58"/>
  <c r="S267" i="58" s="1"/>
  <c r="P267" i="58"/>
  <c r="R267" i="58" s="1"/>
  <c r="T267" i="58" s="1"/>
  <c r="O267" i="58"/>
  <c r="N267" i="58"/>
  <c r="M267" i="58"/>
  <c r="L267" i="58"/>
  <c r="R266" i="58"/>
  <c r="T266" i="58" s="1"/>
  <c r="Q266" i="58"/>
  <c r="S266" i="58" s="1"/>
  <c r="P266" i="58"/>
  <c r="O266" i="58"/>
  <c r="N266" i="58"/>
  <c r="M266" i="58"/>
  <c r="L266" i="58"/>
  <c r="S265" i="58"/>
  <c r="R265" i="58"/>
  <c r="T265" i="58" s="1"/>
  <c r="Q265" i="58"/>
  <c r="P265" i="58"/>
  <c r="O265" i="58"/>
  <c r="N265" i="58"/>
  <c r="M265" i="58"/>
  <c r="L265" i="58"/>
  <c r="S264" i="58"/>
  <c r="Q264" i="58"/>
  <c r="P264" i="58"/>
  <c r="R264" i="58" s="1"/>
  <c r="O264" i="58"/>
  <c r="N264" i="58"/>
  <c r="M264" i="58"/>
  <c r="L264" i="58"/>
  <c r="T263" i="58"/>
  <c r="Q263" i="58"/>
  <c r="S263" i="58" s="1"/>
  <c r="P263" i="58"/>
  <c r="R263" i="58" s="1"/>
  <c r="O263" i="58"/>
  <c r="N263" i="58"/>
  <c r="M263" i="58"/>
  <c r="L263" i="58"/>
  <c r="R262" i="58"/>
  <c r="Q262" i="58"/>
  <c r="S262" i="58" s="1"/>
  <c r="P262" i="58"/>
  <c r="O262" i="58"/>
  <c r="N262" i="58"/>
  <c r="M262" i="58"/>
  <c r="L262" i="58"/>
  <c r="S261" i="58"/>
  <c r="R261" i="58"/>
  <c r="T261" i="58" s="1"/>
  <c r="Q261" i="58"/>
  <c r="P261" i="58"/>
  <c r="O261" i="58"/>
  <c r="N261" i="58"/>
  <c r="M261" i="58"/>
  <c r="L261" i="58"/>
  <c r="S260" i="58"/>
  <c r="Q260" i="58"/>
  <c r="P260" i="58"/>
  <c r="R260" i="58" s="1"/>
  <c r="T260" i="58" s="1"/>
  <c r="O260" i="58"/>
  <c r="N260" i="58"/>
  <c r="M260" i="58"/>
  <c r="L260" i="58"/>
  <c r="T259" i="58"/>
  <c r="Q259" i="58"/>
  <c r="S259" i="58" s="1"/>
  <c r="P259" i="58"/>
  <c r="R259" i="58" s="1"/>
  <c r="O259" i="58"/>
  <c r="N259" i="58"/>
  <c r="M259" i="58"/>
  <c r="L259" i="58"/>
  <c r="R258" i="58"/>
  <c r="T258" i="58" s="1"/>
  <c r="Q258" i="58"/>
  <c r="S258" i="58" s="1"/>
  <c r="P258" i="58"/>
  <c r="O258" i="58"/>
  <c r="N258" i="58"/>
  <c r="M258" i="58"/>
  <c r="L258" i="58"/>
  <c r="S257" i="58"/>
  <c r="R257" i="58"/>
  <c r="T257" i="58" s="1"/>
  <c r="Q257" i="58"/>
  <c r="P257" i="58"/>
  <c r="O257" i="58"/>
  <c r="N257" i="58"/>
  <c r="M257" i="58"/>
  <c r="L257" i="58"/>
  <c r="S256" i="58"/>
  <c r="Q256" i="58"/>
  <c r="P256" i="58"/>
  <c r="R256" i="58" s="1"/>
  <c r="T256" i="58" s="1"/>
  <c r="O256" i="58"/>
  <c r="N256" i="58"/>
  <c r="M256" i="58"/>
  <c r="L256" i="58"/>
  <c r="Q255" i="58"/>
  <c r="S255" i="58" s="1"/>
  <c r="P255" i="58"/>
  <c r="R255" i="58" s="1"/>
  <c r="T255" i="58" s="1"/>
  <c r="O255" i="58"/>
  <c r="N255" i="58"/>
  <c r="M255" i="58"/>
  <c r="L255" i="58"/>
  <c r="R254" i="58"/>
  <c r="T254" i="58" s="1"/>
  <c r="Q254" i="58"/>
  <c r="S254" i="58" s="1"/>
  <c r="P254" i="58"/>
  <c r="O254" i="58"/>
  <c r="N254" i="58"/>
  <c r="M254" i="58"/>
  <c r="L254" i="58"/>
  <c r="S253" i="58"/>
  <c r="R253" i="58"/>
  <c r="T253" i="58" s="1"/>
  <c r="Q253" i="58"/>
  <c r="P253" i="58"/>
  <c r="O253" i="58"/>
  <c r="N253" i="58"/>
  <c r="M253" i="58"/>
  <c r="L253" i="58"/>
  <c r="S252" i="58"/>
  <c r="Q252" i="58"/>
  <c r="P252" i="58"/>
  <c r="R252" i="58" s="1"/>
  <c r="O252" i="58"/>
  <c r="N252" i="58"/>
  <c r="M252" i="58"/>
  <c r="L252" i="58"/>
  <c r="Q251" i="58"/>
  <c r="S251" i="58" s="1"/>
  <c r="P251" i="58"/>
  <c r="R251" i="58" s="1"/>
  <c r="T251" i="58" s="1"/>
  <c r="O251" i="58"/>
  <c r="N251" i="58"/>
  <c r="M251" i="58"/>
  <c r="L251" i="58"/>
  <c r="R250" i="58"/>
  <c r="T250" i="58" s="1"/>
  <c r="Q250" i="58"/>
  <c r="S250" i="58" s="1"/>
  <c r="P250" i="58"/>
  <c r="O250" i="58"/>
  <c r="N250" i="58"/>
  <c r="M250" i="58"/>
  <c r="L250" i="58"/>
  <c r="S249" i="58"/>
  <c r="R249" i="58"/>
  <c r="T249" i="58" s="1"/>
  <c r="Q249" i="58"/>
  <c r="P249" i="58"/>
  <c r="O249" i="58"/>
  <c r="N249" i="58"/>
  <c r="M249" i="58"/>
  <c r="L249" i="58"/>
  <c r="S248" i="58"/>
  <c r="Q248" i="58"/>
  <c r="P248" i="58"/>
  <c r="R248" i="58" s="1"/>
  <c r="O248" i="58"/>
  <c r="N248" i="58"/>
  <c r="M248" i="58"/>
  <c r="L248" i="58"/>
  <c r="T247" i="58"/>
  <c r="Q247" i="58"/>
  <c r="S247" i="58" s="1"/>
  <c r="P247" i="58"/>
  <c r="R247" i="58" s="1"/>
  <c r="O247" i="58"/>
  <c r="N247" i="58"/>
  <c r="M247" i="58"/>
  <c r="L247" i="58"/>
  <c r="R246" i="58"/>
  <c r="Q246" i="58"/>
  <c r="S246" i="58" s="1"/>
  <c r="P246" i="58"/>
  <c r="O246" i="58"/>
  <c r="N246" i="58"/>
  <c r="M246" i="58"/>
  <c r="L246" i="58"/>
  <c r="S245" i="58"/>
  <c r="R245" i="58"/>
  <c r="T245" i="58" s="1"/>
  <c r="Q245" i="58"/>
  <c r="P245" i="58"/>
  <c r="O245" i="58"/>
  <c r="N245" i="58"/>
  <c r="M245" i="58"/>
  <c r="L245" i="58"/>
  <c r="S244" i="58"/>
  <c r="Q244" i="58"/>
  <c r="P244" i="58"/>
  <c r="R244" i="58" s="1"/>
  <c r="T244" i="58" s="1"/>
  <c r="O244" i="58"/>
  <c r="N244" i="58"/>
  <c r="M244" i="58"/>
  <c r="L244" i="58"/>
  <c r="T243" i="58"/>
  <c r="Q243" i="58"/>
  <c r="S243" i="58" s="1"/>
  <c r="P243" i="58"/>
  <c r="R243" i="58" s="1"/>
  <c r="O243" i="58"/>
  <c r="N243" i="58"/>
  <c r="M243" i="58"/>
  <c r="L243" i="58"/>
  <c r="R242" i="58"/>
  <c r="T242" i="58" s="1"/>
  <c r="Q242" i="58"/>
  <c r="S242" i="58" s="1"/>
  <c r="P242" i="58"/>
  <c r="O242" i="58"/>
  <c r="N242" i="58"/>
  <c r="M242" i="58"/>
  <c r="L242" i="58"/>
  <c r="S241" i="58"/>
  <c r="R241" i="58"/>
  <c r="T241" i="58" s="1"/>
  <c r="Q241" i="58"/>
  <c r="P241" i="58"/>
  <c r="O241" i="58"/>
  <c r="N241" i="58"/>
  <c r="M241" i="58"/>
  <c r="L241" i="58"/>
  <c r="S240" i="58"/>
  <c r="Q240" i="58"/>
  <c r="P240" i="58"/>
  <c r="R240" i="58" s="1"/>
  <c r="T240" i="58" s="1"/>
  <c r="O240" i="58"/>
  <c r="N240" i="58"/>
  <c r="M240" i="58"/>
  <c r="L240" i="58"/>
  <c r="Q239" i="58"/>
  <c r="S239" i="58" s="1"/>
  <c r="P239" i="58"/>
  <c r="R239" i="58" s="1"/>
  <c r="T239" i="58" s="1"/>
  <c r="O239" i="58"/>
  <c r="N239" i="58"/>
  <c r="M239" i="58"/>
  <c r="L239" i="58"/>
  <c r="R238" i="58"/>
  <c r="T238" i="58" s="1"/>
  <c r="Q238" i="58"/>
  <c r="S238" i="58" s="1"/>
  <c r="P238" i="58"/>
  <c r="O238" i="58"/>
  <c r="N238" i="58"/>
  <c r="M238" i="58"/>
  <c r="L238" i="58"/>
  <c r="S237" i="58"/>
  <c r="R237" i="58"/>
  <c r="T237" i="58" s="1"/>
  <c r="Q237" i="58"/>
  <c r="P237" i="58"/>
  <c r="O237" i="58"/>
  <c r="N237" i="58"/>
  <c r="M237" i="58"/>
  <c r="L237" i="58"/>
  <c r="S236" i="58"/>
  <c r="Q236" i="58"/>
  <c r="P236" i="58"/>
  <c r="R236" i="58" s="1"/>
  <c r="O236" i="58"/>
  <c r="N236" i="58"/>
  <c r="M236" i="58"/>
  <c r="L236" i="58"/>
  <c r="Q235" i="58"/>
  <c r="S235" i="58" s="1"/>
  <c r="P235" i="58"/>
  <c r="R235" i="58" s="1"/>
  <c r="T235" i="58" s="1"/>
  <c r="O235" i="58"/>
  <c r="N235" i="58"/>
  <c r="M235" i="58"/>
  <c r="L235" i="58"/>
  <c r="R234" i="58"/>
  <c r="T234" i="58" s="1"/>
  <c r="Q234" i="58"/>
  <c r="S234" i="58" s="1"/>
  <c r="P234" i="58"/>
  <c r="O234" i="58"/>
  <c r="N234" i="58"/>
  <c r="M234" i="58"/>
  <c r="L234" i="58"/>
  <c r="S233" i="58"/>
  <c r="R233" i="58"/>
  <c r="T233" i="58" s="1"/>
  <c r="Q233" i="58"/>
  <c r="P233" i="58"/>
  <c r="O233" i="58"/>
  <c r="N233" i="58"/>
  <c r="M233" i="58"/>
  <c r="L233" i="58"/>
  <c r="S232" i="58"/>
  <c r="Q232" i="58"/>
  <c r="P232" i="58"/>
  <c r="R232" i="58" s="1"/>
  <c r="O232" i="58"/>
  <c r="N232" i="58"/>
  <c r="M232" i="58"/>
  <c r="L232" i="58"/>
  <c r="T231" i="58"/>
  <c r="Q231" i="58"/>
  <c r="S231" i="58" s="1"/>
  <c r="P231" i="58"/>
  <c r="R231" i="58" s="1"/>
  <c r="O231" i="58"/>
  <c r="N231" i="58"/>
  <c r="M231" i="58"/>
  <c r="L231" i="58"/>
  <c r="R230" i="58"/>
  <c r="Q230" i="58"/>
  <c r="S230" i="58" s="1"/>
  <c r="P230" i="58"/>
  <c r="O230" i="58"/>
  <c r="N230" i="58"/>
  <c r="M230" i="58"/>
  <c r="L230" i="58"/>
  <c r="S229" i="58"/>
  <c r="R229" i="58"/>
  <c r="T229" i="58" s="1"/>
  <c r="Q229" i="58"/>
  <c r="P229" i="58"/>
  <c r="O229" i="58"/>
  <c r="N229" i="58"/>
  <c r="M229" i="58"/>
  <c r="L229" i="58"/>
  <c r="S228" i="58"/>
  <c r="Q228" i="58"/>
  <c r="P228" i="58"/>
  <c r="R228" i="58" s="1"/>
  <c r="T228" i="58" s="1"/>
  <c r="O228" i="58"/>
  <c r="N228" i="58"/>
  <c r="M228" i="58"/>
  <c r="L228" i="58"/>
  <c r="T227" i="58"/>
  <c r="Q227" i="58"/>
  <c r="S227" i="58" s="1"/>
  <c r="P227" i="58"/>
  <c r="R227" i="58" s="1"/>
  <c r="O227" i="58"/>
  <c r="N227" i="58"/>
  <c r="M227" i="58"/>
  <c r="L227" i="58"/>
  <c r="R226" i="58"/>
  <c r="T226" i="58" s="1"/>
  <c r="Q226" i="58"/>
  <c r="S226" i="58" s="1"/>
  <c r="P226" i="58"/>
  <c r="O226" i="58"/>
  <c r="N226" i="58"/>
  <c r="M226" i="58"/>
  <c r="L226" i="58"/>
  <c r="S225" i="58"/>
  <c r="R225" i="58"/>
  <c r="T225" i="58" s="1"/>
  <c r="Q225" i="58"/>
  <c r="P225" i="58"/>
  <c r="O225" i="58"/>
  <c r="N225" i="58"/>
  <c r="M225" i="58"/>
  <c r="L225" i="58"/>
  <c r="S224" i="58"/>
  <c r="Q224" i="58"/>
  <c r="P224" i="58"/>
  <c r="R224" i="58" s="1"/>
  <c r="T224" i="58" s="1"/>
  <c r="O224" i="58"/>
  <c r="N224" i="58"/>
  <c r="M224" i="58"/>
  <c r="L224" i="58"/>
  <c r="Q223" i="58"/>
  <c r="S223" i="58" s="1"/>
  <c r="P223" i="58"/>
  <c r="R223" i="58" s="1"/>
  <c r="T223" i="58" s="1"/>
  <c r="O223" i="58"/>
  <c r="N223" i="58"/>
  <c r="M223" i="58"/>
  <c r="L223" i="58"/>
  <c r="R222" i="58"/>
  <c r="T222" i="58" s="1"/>
  <c r="Q222" i="58"/>
  <c r="S222" i="58" s="1"/>
  <c r="P222" i="58"/>
  <c r="O222" i="58"/>
  <c r="N222" i="58"/>
  <c r="M222" i="58"/>
  <c r="L222" i="58"/>
  <c r="S221" i="58"/>
  <c r="R221" i="58"/>
  <c r="T221" i="58" s="1"/>
  <c r="Q221" i="58"/>
  <c r="P221" i="58"/>
  <c r="O221" i="58"/>
  <c r="N221" i="58"/>
  <c r="M221" i="58"/>
  <c r="L221" i="58"/>
  <c r="S220" i="58"/>
  <c r="Q220" i="58"/>
  <c r="P220" i="58"/>
  <c r="R220" i="58" s="1"/>
  <c r="O220" i="58"/>
  <c r="N220" i="58"/>
  <c r="M220" i="58"/>
  <c r="L220" i="58"/>
  <c r="Q219" i="58"/>
  <c r="S219" i="58" s="1"/>
  <c r="P219" i="58"/>
  <c r="R219" i="58" s="1"/>
  <c r="T219" i="58" s="1"/>
  <c r="O219" i="58"/>
  <c r="N219" i="58"/>
  <c r="M219" i="58"/>
  <c r="L219" i="58"/>
  <c r="R218" i="58"/>
  <c r="T218" i="58" s="1"/>
  <c r="Q218" i="58"/>
  <c r="S218" i="58" s="1"/>
  <c r="P218" i="58"/>
  <c r="O218" i="58"/>
  <c r="N218" i="58"/>
  <c r="M218" i="58"/>
  <c r="L218" i="58"/>
  <c r="S217" i="58"/>
  <c r="R217" i="58"/>
  <c r="T217" i="58" s="1"/>
  <c r="Q217" i="58"/>
  <c r="P217" i="58"/>
  <c r="O217" i="58"/>
  <c r="N217" i="58"/>
  <c r="M217" i="58"/>
  <c r="L217" i="58"/>
  <c r="S216" i="58"/>
  <c r="Q216" i="58"/>
  <c r="P216" i="58"/>
  <c r="R216" i="58" s="1"/>
  <c r="O216" i="58"/>
  <c r="N216" i="58"/>
  <c r="M216" i="58"/>
  <c r="L216" i="58"/>
  <c r="T215" i="58"/>
  <c r="Q215" i="58"/>
  <c r="S215" i="58" s="1"/>
  <c r="P215" i="58"/>
  <c r="R215" i="58" s="1"/>
  <c r="O215" i="58"/>
  <c r="N215" i="58"/>
  <c r="M215" i="58"/>
  <c r="L215" i="58"/>
  <c r="R214" i="58"/>
  <c r="Q214" i="58"/>
  <c r="S214" i="58" s="1"/>
  <c r="P214" i="58"/>
  <c r="O214" i="58"/>
  <c r="N214" i="58"/>
  <c r="M214" i="58"/>
  <c r="L214" i="58"/>
  <c r="S213" i="58"/>
  <c r="R213" i="58"/>
  <c r="T213" i="58" s="1"/>
  <c r="Q213" i="58"/>
  <c r="P213" i="58"/>
  <c r="O213" i="58"/>
  <c r="N213" i="58"/>
  <c r="M213" i="58"/>
  <c r="L213" i="58"/>
  <c r="S212" i="58"/>
  <c r="Q212" i="58"/>
  <c r="P212" i="58"/>
  <c r="R212" i="58" s="1"/>
  <c r="T212" i="58" s="1"/>
  <c r="O212" i="58"/>
  <c r="N212" i="58"/>
  <c r="M212" i="58"/>
  <c r="L212" i="58"/>
  <c r="T211" i="58"/>
  <c r="Q211" i="58"/>
  <c r="S211" i="58" s="1"/>
  <c r="P211" i="58"/>
  <c r="R211" i="58" s="1"/>
  <c r="O211" i="58"/>
  <c r="N211" i="58"/>
  <c r="M211" i="58"/>
  <c r="L211" i="58"/>
  <c r="R210" i="58"/>
  <c r="T210" i="58" s="1"/>
  <c r="Q210" i="58"/>
  <c r="S210" i="58" s="1"/>
  <c r="P210" i="58"/>
  <c r="O210" i="58"/>
  <c r="N210" i="58"/>
  <c r="M210" i="58"/>
  <c r="L210" i="58"/>
  <c r="S209" i="58"/>
  <c r="R209" i="58"/>
  <c r="T209" i="58" s="1"/>
  <c r="Q209" i="58"/>
  <c r="P209" i="58"/>
  <c r="O209" i="58"/>
  <c r="N209" i="58"/>
  <c r="M209" i="58"/>
  <c r="L209" i="58"/>
  <c r="S208" i="58"/>
  <c r="Q208" i="58"/>
  <c r="P208" i="58"/>
  <c r="R208" i="58" s="1"/>
  <c r="T208" i="58" s="1"/>
  <c r="O208" i="58"/>
  <c r="N208" i="58"/>
  <c r="M208" i="58"/>
  <c r="L208" i="58"/>
  <c r="Q207" i="58"/>
  <c r="S207" i="58" s="1"/>
  <c r="P207" i="58"/>
  <c r="R207" i="58" s="1"/>
  <c r="T207" i="58" s="1"/>
  <c r="O207" i="58"/>
  <c r="N207" i="58"/>
  <c r="M207" i="58"/>
  <c r="L207" i="58"/>
  <c r="R206" i="58"/>
  <c r="T206" i="58" s="1"/>
  <c r="Q206" i="58"/>
  <c r="S206" i="58" s="1"/>
  <c r="P206" i="58"/>
  <c r="O206" i="58"/>
  <c r="N206" i="58"/>
  <c r="M206" i="58"/>
  <c r="L206" i="58"/>
  <c r="S205" i="58"/>
  <c r="R205" i="58"/>
  <c r="T205" i="58" s="1"/>
  <c r="Q205" i="58"/>
  <c r="P205" i="58"/>
  <c r="O205" i="58"/>
  <c r="N205" i="58"/>
  <c r="M205" i="58"/>
  <c r="L205" i="58"/>
  <c r="S204" i="58"/>
  <c r="Q204" i="58"/>
  <c r="P204" i="58"/>
  <c r="R204" i="58" s="1"/>
  <c r="O204" i="58"/>
  <c r="N204" i="58"/>
  <c r="M204" i="58"/>
  <c r="L204" i="58"/>
  <c r="Q203" i="58"/>
  <c r="S203" i="58" s="1"/>
  <c r="P203" i="58"/>
  <c r="R203" i="58" s="1"/>
  <c r="T203" i="58" s="1"/>
  <c r="O203" i="58"/>
  <c r="N203" i="58"/>
  <c r="M203" i="58"/>
  <c r="L203" i="58"/>
  <c r="R202" i="58"/>
  <c r="T202" i="58" s="1"/>
  <c r="Q202" i="58"/>
  <c r="S202" i="58" s="1"/>
  <c r="P202" i="58"/>
  <c r="O202" i="58"/>
  <c r="N202" i="58"/>
  <c r="M202" i="58"/>
  <c r="L202" i="58"/>
  <c r="S201" i="58"/>
  <c r="R201" i="58"/>
  <c r="T201" i="58" s="1"/>
  <c r="Q201" i="58"/>
  <c r="P201" i="58"/>
  <c r="O201" i="58"/>
  <c r="N201" i="58"/>
  <c r="M201" i="58"/>
  <c r="L201" i="58"/>
  <c r="S200" i="58"/>
  <c r="Q200" i="58"/>
  <c r="P200" i="58"/>
  <c r="R200" i="58" s="1"/>
  <c r="O200" i="58"/>
  <c r="N200" i="58"/>
  <c r="M200" i="58"/>
  <c r="L200" i="58"/>
  <c r="T199" i="58"/>
  <c r="Q199" i="58"/>
  <c r="S199" i="58" s="1"/>
  <c r="P199" i="58"/>
  <c r="R199" i="58" s="1"/>
  <c r="O199" i="58"/>
  <c r="N199" i="58"/>
  <c r="M199" i="58"/>
  <c r="L199" i="58"/>
  <c r="R198" i="58"/>
  <c r="Q198" i="58"/>
  <c r="S198" i="58" s="1"/>
  <c r="P198" i="58"/>
  <c r="O198" i="58"/>
  <c r="N198" i="58"/>
  <c r="M198" i="58"/>
  <c r="L198" i="58"/>
  <c r="S197" i="58"/>
  <c r="R197" i="58"/>
  <c r="T197" i="58" s="1"/>
  <c r="Q197" i="58"/>
  <c r="P197" i="58"/>
  <c r="O197" i="58"/>
  <c r="N197" i="58"/>
  <c r="M197" i="58"/>
  <c r="L197" i="58"/>
  <c r="S196" i="58"/>
  <c r="Q196" i="58"/>
  <c r="P196" i="58"/>
  <c r="R196" i="58" s="1"/>
  <c r="T196" i="58" s="1"/>
  <c r="O196" i="58"/>
  <c r="N196" i="58"/>
  <c r="M196" i="58"/>
  <c r="L196" i="58"/>
  <c r="T195" i="58"/>
  <c r="Q195" i="58"/>
  <c r="S195" i="58" s="1"/>
  <c r="P195" i="58"/>
  <c r="R195" i="58" s="1"/>
  <c r="O195" i="58"/>
  <c r="N195" i="58"/>
  <c r="M195" i="58"/>
  <c r="L195" i="58"/>
  <c r="R194" i="58"/>
  <c r="T194" i="58" s="1"/>
  <c r="Q194" i="58"/>
  <c r="S194" i="58" s="1"/>
  <c r="P194" i="58"/>
  <c r="O194" i="58"/>
  <c r="N194" i="58"/>
  <c r="M194" i="58"/>
  <c r="L194" i="58"/>
  <c r="S193" i="58"/>
  <c r="R193" i="58"/>
  <c r="T193" i="58" s="1"/>
  <c r="Q193" i="58"/>
  <c r="P193" i="58"/>
  <c r="O193" i="58"/>
  <c r="N193" i="58"/>
  <c r="M193" i="58"/>
  <c r="L193" i="58"/>
  <c r="S192" i="58"/>
  <c r="Q192" i="58"/>
  <c r="P192" i="58"/>
  <c r="R192" i="58" s="1"/>
  <c r="T192" i="58" s="1"/>
  <c r="O192" i="58"/>
  <c r="N192" i="58"/>
  <c r="M192" i="58"/>
  <c r="L192" i="58"/>
  <c r="Q191" i="58"/>
  <c r="S191" i="58" s="1"/>
  <c r="P191" i="58"/>
  <c r="R191" i="58" s="1"/>
  <c r="T191" i="58" s="1"/>
  <c r="O191" i="58"/>
  <c r="N191" i="58"/>
  <c r="M191" i="58"/>
  <c r="L191" i="58"/>
  <c r="R190" i="58"/>
  <c r="T190" i="58" s="1"/>
  <c r="Q190" i="58"/>
  <c r="S190" i="58" s="1"/>
  <c r="P190" i="58"/>
  <c r="O190" i="58"/>
  <c r="N190" i="58"/>
  <c r="M190" i="58"/>
  <c r="L190" i="58"/>
  <c r="S189" i="58"/>
  <c r="R189" i="58"/>
  <c r="T189" i="58" s="1"/>
  <c r="Q189" i="58"/>
  <c r="P189" i="58"/>
  <c r="O189" i="58"/>
  <c r="N189" i="58"/>
  <c r="M189" i="58"/>
  <c r="L189" i="58"/>
  <c r="S188" i="58"/>
  <c r="Q188" i="58"/>
  <c r="P188" i="58"/>
  <c r="R188" i="58" s="1"/>
  <c r="O188" i="58"/>
  <c r="N188" i="58"/>
  <c r="M188" i="58"/>
  <c r="L188" i="58"/>
  <c r="Q187" i="58"/>
  <c r="S187" i="58" s="1"/>
  <c r="P187" i="58"/>
  <c r="R187" i="58" s="1"/>
  <c r="T187" i="58" s="1"/>
  <c r="O187" i="58"/>
  <c r="N187" i="58"/>
  <c r="M187" i="58"/>
  <c r="L187" i="58"/>
  <c r="R186" i="58"/>
  <c r="T186" i="58" s="1"/>
  <c r="Q186" i="58"/>
  <c r="S186" i="58" s="1"/>
  <c r="P186" i="58"/>
  <c r="O186" i="58"/>
  <c r="N186" i="58"/>
  <c r="M186" i="58"/>
  <c r="L186" i="58"/>
  <c r="S185" i="58"/>
  <c r="R185" i="58"/>
  <c r="T185" i="58" s="1"/>
  <c r="Q185" i="58"/>
  <c r="P185" i="58"/>
  <c r="O185" i="58"/>
  <c r="N185" i="58"/>
  <c r="M185" i="58"/>
  <c r="L185" i="58"/>
  <c r="S184" i="58"/>
  <c r="Q184" i="58"/>
  <c r="P184" i="58"/>
  <c r="R184" i="58" s="1"/>
  <c r="O184" i="58"/>
  <c r="N184" i="58"/>
  <c r="M184" i="58"/>
  <c r="L184" i="58"/>
  <c r="T183" i="58"/>
  <c r="Q183" i="58"/>
  <c r="S183" i="58" s="1"/>
  <c r="P183" i="58"/>
  <c r="R183" i="58" s="1"/>
  <c r="O183" i="58"/>
  <c r="N183" i="58"/>
  <c r="M183" i="58"/>
  <c r="L183" i="58"/>
  <c r="R182" i="58"/>
  <c r="Q182" i="58"/>
  <c r="S182" i="58" s="1"/>
  <c r="P182" i="58"/>
  <c r="O182" i="58"/>
  <c r="N182" i="58"/>
  <c r="M182" i="58"/>
  <c r="L182" i="58"/>
  <c r="S181" i="58"/>
  <c r="R181" i="58"/>
  <c r="T181" i="58" s="1"/>
  <c r="Q181" i="58"/>
  <c r="P181" i="58"/>
  <c r="O181" i="58"/>
  <c r="N181" i="58"/>
  <c r="M181" i="58"/>
  <c r="L181" i="58"/>
  <c r="S180" i="58"/>
  <c r="Q180" i="58"/>
  <c r="P180" i="58"/>
  <c r="R180" i="58" s="1"/>
  <c r="T180" i="58" s="1"/>
  <c r="O180" i="58"/>
  <c r="N180" i="58"/>
  <c r="M180" i="58"/>
  <c r="L180" i="58"/>
  <c r="T179" i="58"/>
  <c r="Q179" i="58"/>
  <c r="S179" i="58" s="1"/>
  <c r="P179" i="58"/>
  <c r="R179" i="58" s="1"/>
  <c r="O179" i="58"/>
  <c r="N179" i="58"/>
  <c r="M179" i="58"/>
  <c r="L179" i="58"/>
  <c r="R178" i="58"/>
  <c r="T178" i="58" s="1"/>
  <c r="Q178" i="58"/>
  <c r="S178" i="58" s="1"/>
  <c r="P178" i="58"/>
  <c r="O178" i="58"/>
  <c r="N178" i="58"/>
  <c r="M178" i="58"/>
  <c r="L178" i="58"/>
  <c r="S177" i="58"/>
  <c r="R177" i="58"/>
  <c r="T177" i="58" s="1"/>
  <c r="Q177" i="58"/>
  <c r="P177" i="58"/>
  <c r="O177" i="58"/>
  <c r="N177" i="58"/>
  <c r="M177" i="58"/>
  <c r="L177" i="58"/>
  <c r="S176" i="58"/>
  <c r="Q176" i="58"/>
  <c r="P176" i="58"/>
  <c r="R176" i="58" s="1"/>
  <c r="T176" i="58" s="1"/>
  <c r="O176" i="58"/>
  <c r="N176" i="58"/>
  <c r="M176" i="58"/>
  <c r="L176" i="58"/>
  <c r="Q175" i="58"/>
  <c r="S175" i="58" s="1"/>
  <c r="P175" i="58"/>
  <c r="R175" i="58" s="1"/>
  <c r="T175" i="58" s="1"/>
  <c r="O175" i="58"/>
  <c r="N175" i="58"/>
  <c r="M175" i="58"/>
  <c r="L175" i="58"/>
  <c r="R174" i="58"/>
  <c r="T174" i="58" s="1"/>
  <c r="Q174" i="58"/>
  <c r="S174" i="58" s="1"/>
  <c r="P174" i="58"/>
  <c r="O174" i="58"/>
  <c r="N174" i="58"/>
  <c r="M174" i="58"/>
  <c r="L174" i="58"/>
  <c r="S173" i="58"/>
  <c r="R173" i="58"/>
  <c r="T173" i="58" s="1"/>
  <c r="Q173" i="58"/>
  <c r="P173" i="58"/>
  <c r="O173" i="58"/>
  <c r="N173" i="58"/>
  <c r="M173" i="58"/>
  <c r="L173" i="58"/>
  <c r="S172" i="58"/>
  <c r="Q172" i="58"/>
  <c r="P172" i="58"/>
  <c r="R172" i="58" s="1"/>
  <c r="O172" i="58"/>
  <c r="N172" i="58"/>
  <c r="M172" i="58"/>
  <c r="L172" i="58"/>
  <c r="Q171" i="58"/>
  <c r="S171" i="58" s="1"/>
  <c r="P171" i="58"/>
  <c r="R171" i="58" s="1"/>
  <c r="T171" i="58" s="1"/>
  <c r="O171" i="58"/>
  <c r="N171" i="58"/>
  <c r="M171" i="58"/>
  <c r="L171" i="58"/>
  <c r="R170" i="58"/>
  <c r="Q170" i="58"/>
  <c r="S170" i="58" s="1"/>
  <c r="P170" i="58"/>
  <c r="O170" i="58"/>
  <c r="N170" i="58"/>
  <c r="M170" i="58"/>
  <c r="L170" i="58"/>
  <c r="S169" i="58"/>
  <c r="R169" i="58"/>
  <c r="T169" i="58" s="1"/>
  <c r="Q169" i="58"/>
  <c r="P169" i="58"/>
  <c r="O169" i="58"/>
  <c r="N169" i="58"/>
  <c r="M169" i="58"/>
  <c r="L169" i="58"/>
  <c r="S168" i="58"/>
  <c r="Q168" i="58"/>
  <c r="P168" i="58"/>
  <c r="R168" i="58" s="1"/>
  <c r="T168" i="58" s="1"/>
  <c r="O168" i="58"/>
  <c r="N168" i="58"/>
  <c r="M168" i="58"/>
  <c r="L168" i="58"/>
  <c r="R167" i="58"/>
  <c r="T167" i="58" s="1"/>
  <c r="Q167" i="58"/>
  <c r="S167" i="58" s="1"/>
  <c r="P167" i="58"/>
  <c r="O167" i="58"/>
  <c r="N167" i="58"/>
  <c r="M167" i="58"/>
  <c r="L167" i="58"/>
  <c r="R166" i="58"/>
  <c r="Q166" i="58"/>
  <c r="S166" i="58" s="1"/>
  <c r="P166" i="58"/>
  <c r="O166" i="58"/>
  <c r="N166" i="58"/>
  <c r="M166" i="58"/>
  <c r="L166" i="58"/>
  <c r="S165" i="58"/>
  <c r="R165" i="58"/>
  <c r="T165" i="58" s="1"/>
  <c r="Q165" i="58"/>
  <c r="P165" i="58"/>
  <c r="O165" i="58"/>
  <c r="N165" i="58"/>
  <c r="M165" i="58"/>
  <c r="L165" i="58"/>
  <c r="T164" i="58"/>
  <c r="S164" i="58"/>
  <c r="Q164" i="58"/>
  <c r="P164" i="58"/>
  <c r="R164" i="58" s="1"/>
  <c r="O164" i="58"/>
  <c r="N164" i="58"/>
  <c r="M164" i="58"/>
  <c r="L164" i="58"/>
  <c r="T163" i="58"/>
  <c r="R163" i="58"/>
  <c r="Q163" i="58"/>
  <c r="S163" i="58" s="1"/>
  <c r="P163" i="58"/>
  <c r="O163" i="58"/>
  <c r="N163" i="58"/>
  <c r="M163" i="58"/>
  <c r="L163" i="58"/>
  <c r="S162" i="58"/>
  <c r="R162" i="58"/>
  <c r="Q162" i="58"/>
  <c r="P162" i="58"/>
  <c r="O162" i="58"/>
  <c r="N162" i="58"/>
  <c r="M162" i="58"/>
  <c r="L162" i="58"/>
  <c r="S161" i="58"/>
  <c r="Q161" i="58"/>
  <c r="P161" i="58"/>
  <c r="R161" i="58" s="1"/>
  <c r="T161" i="58" s="1"/>
  <c r="O161" i="58"/>
  <c r="N161" i="58"/>
  <c r="M161" i="58"/>
  <c r="L161" i="58"/>
  <c r="S160" i="58"/>
  <c r="Q160" i="58"/>
  <c r="P160" i="58"/>
  <c r="R160" i="58" s="1"/>
  <c r="T160" i="58" s="1"/>
  <c r="O160" i="58"/>
  <c r="N160" i="58"/>
  <c r="M160" i="58"/>
  <c r="L160" i="58"/>
  <c r="Q159" i="58"/>
  <c r="S159" i="58" s="1"/>
  <c r="P159" i="58"/>
  <c r="R159" i="58" s="1"/>
  <c r="T159" i="58" s="1"/>
  <c r="O159" i="58"/>
  <c r="N159" i="58"/>
  <c r="M159" i="58"/>
  <c r="L159" i="58"/>
  <c r="S158" i="58"/>
  <c r="R158" i="58"/>
  <c r="Q158" i="58"/>
  <c r="P158" i="58"/>
  <c r="O158" i="58"/>
  <c r="N158" i="58"/>
  <c r="M158" i="58"/>
  <c r="L158" i="58"/>
  <c r="S157" i="58"/>
  <c r="Q157" i="58"/>
  <c r="P157" i="58"/>
  <c r="R157" i="58" s="1"/>
  <c r="T157" i="58" s="1"/>
  <c r="O157" i="58"/>
  <c r="N157" i="58"/>
  <c r="M157" i="58"/>
  <c r="L157" i="58"/>
  <c r="Q156" i="58"/>
  <c r="S156" i="58" s="1"/>
  <c r="P156" i="58"/>
  <c r="R156" i="58" s="1"/>
  <c r="T156" i="58" s="1"/>
  <c r="O156" i="58"/>
  <c r="N156" i="58"/>
  <c r="M156" i="58"/>
  <c r="L156" i="58"/>
  <c r="Q155" i="58"/>
  <c r="S155" i="58" s="1"/>
  <c r="P155" i="58"/>
  <c r="R155" i="58" s="1"/>
  <c r="T155" i="58" s="1"/>
  <c r="O155" i="58"/>
  <c r="N155" i="58"/>
  <c r="M155" i="58"/>
  <c r="L155" i="58"/>
  <c r="R154" i="58"/>
  <c r="Q154" i="58"/>
  <c r="S154" i="58" s="1"/>
  <c r="P154" i="58"/>
  <c r="O154" i="58"/>
  <c r="N154" i="58"/>
  <c r="M154" i="58"/>
  <c r="L154" i="58"/>
  <c r="S153" i="58"/>
  <c r="R153" i="58"/>
  <c r="T153" i="58" s="1"/>
  <c r="Q153" i="58"/>
  <c r="P153" i="58"/>
  <c r="O153" i="58"/>
  <c r="N153" i="58"/>
  <c r="M153" i="58"/>
  <c r="L153" i="58"/>
  <c r="S152" i="58"/>
  <c r="Q152" i="58"/>
  <c r="P152" i="58"/>
  <c r="R152" i="58" s="1"/>
  <c r="T152" i="58" s="1"/>
  <c r="O152" i="58"/>
  <c r="N152" i="58"/>
  <c r="M152" i="58"/>
  <c r="L152" i="58"/>
  <c r="R151" i="58"/>
  <c r="T151" i="58" s="1"/>
  <c r="Q151" i="58"/>
  <c r="S151" i="58" s="1"/>
  <c r="P151" i="58"/>
  <c r="O151" i="58"/>
  <c r="N151" i="58"/>
  <c r="M151" i="58"/>
  <c r="L151" i="58"/>
  <c r="R150" i="58"/>
  <c r="Q150" i="58"/>
  <c r="S150" i="58" s="1"/>
  <c r="P150" i="58"/>
  <c r="O150" i="58"/>
  <c r="N150" i="58"/>
  <c r="M150" i="58"/>
  <c r="L150" i="58"/>
  <c r="S149" i="58"/>
  <c r="R149" i="58"/>
  <c r="T149" i="58" s="1"/>
  <c r="Q149" i="58"/>
  <c r="P149" i="58"/>
  <c r="O149" i="58"/>
  <c r="N149" i="58"/>
  <c r="M149" i="58"/>
  <c r="L149" i="58"/>
  <c r="T148" i="58"/>
  <c r="S148" i="58"/>
  <c r="Q148" i="58"/>
  <c r="P148" i="58"/>
  <c r="R148" i="58" s="1"/>
  <c r="O148" i="58"/>
  <c r="N148" i="58"/>
  <c r="M148" i="58"/>
  <c r="L148" i="58"/>
  <c r="T147" i="58"/>
  <c r="R147" i="58"/>
  <c r="Q147" i="58"/>
  <c r="S147" i="58" s="1"/>
  <c r="P147" i="58"/>
  <c r="O147" i="58"/>
  <c r="N147" i="58"/>
  <c r="M147" i="58"/>
  <c r="L147" i="58"/>
  <c r="S146" i="58"/>
  <c r="R146" i="58"/>
  <c r="Q146" i="58"/>
  <c r="P146" i="58"/>
  <c r="O146" i="58"/>
  <c r="N146" i="58"/>
  <c r="M146" i="58"/>
  <c r="L146" i="58"/>
  <c r="S145" i="58"/>
  <c r="Q145" i="58"/>
  <c r="P145" i="58"/>
  <c r="R145" i="58" s="1"/>
  <c r="T145" i="58" s="1"/>
  <c r="O145" i="58"/>
  <c r="N145" i="58"/>
  <c r="M145" i="58"/>
  <c r="L145" i="58"/>
  <c r="S144" i="58"/>
  <c r="Q144" i="58"/>
  <c r="P144" i="58"/>
  <c r="R144" i="58" s="1"/>
  <c r="T144" i="58" s="1"/>
  <c r="O144" i="58"/>
  <c r="N144" i="58"/>
  <c r="M144" i="58"/>
  <c r="L144" i="58"/>
  <c r="Q143" i="58"/>
  <c r="S143" i="58" s="1"/>
  <c r="P143" i="58"/>
  <c r="R143" i="58" s="1"/>
  <c r="T143" i="58" s="1"/>
  <c r="O143" i="58"/>
  <c r="N143" i="58"/>
  <c r="M143" i="58"/>
  <c r="L143" i="58"/>
  <c r="S142" i="58"/>
  <c r="R142" i="58"/>
  <c r="Q142" i="58"/>
  <c r="P142" i="58"/>
  <c r="O142" i="58"/>
  <c r="N142" i="58"/>
  <c r="M142" i="58"/>
  <c r="L142" i="58"/>
  <c r="S141" i="58"/>
  <c r="Q141" i="58"/>
  <c r="P141" i="58"/>
  <c r="R141" i="58" s="1"/>
  <c r="T141" i="58" s="1"/>
  <c r="O141" i="58"/>
  <c r="N141" i="58"/>
  <c r="M141" i="58"/>
  <c r="L141" i="58"/>
  <c r="Q140" i="58"/>
  <c r="S140" i="58" s="1"/>
  <c r="P140" i="58"/>
  <c r="R140" i="58" s="1"/>
  <c r="T140" i="58" s="1"/>
  <c r="O140" i="58"/>
  <c r="N140" i="58"/>
  <c r="M140" i="58"/>
  <c r="L140" i="58"/>
  <c r="Q139" i="58"/>
  <c r="S139" i="58" s="1"/>
  <c r="P139" i="58"/>
  <c r="R139" i="58" s="1"/>
  <c r="T139" i="58" s="1"/>
  <c r="O139" i="58"/>
  <c r="N139" i="58"/>
  <c r="M139" i="58"/>
  <c r="L139" i="58"/>
  <c r="R138" i="58"/>
  <c r="Q138" i="58"/>
  <c r="S138" i="58" s="1"/>
  <c r="P138" i="58"/>
  <c r="O138" i="58"/>
  <c r="N138" i="58"/>
  <c r="M138" i="58"/>
  <c r="L138" i="58"/>
  <c r="R137" i="58"/>
  <c r="Q137" i="58"/>
  <c r="S137" i="58" s="1"/>
  <c r="P137" i="58"/>
  <c r="O137" i="58"/>
  <c r="N137" i="58"/>
  <c r="M137" i="58"/>
  <c r="L137" i="58"/>
  <c r="S136" i="58"/>
  <c r="R136" i="58"/>
  <c r="T136" i="58" s="1"/>
  <c r="Q136" i="58"/>
  <c r="P136" i="58"/>
  <c r="O136" i="58"/>
  <c r="N136" i="58"/>
  <c r="M136" i="58"/>
  <c r="L136" i="58"/>
  <c r="S135" i="58"/>
  <c r="Q135" i="58"/>
  <c r="P135" i="58"/>
  <c r="R135" i="58" s="1"/>
  <c r="T135" i="58" s="1"/>
  <c r="O135" i="58"/>
  <c r="N135" i="58"/>
  <c r="M135" i="58"/>
  <c r="L135" i="58"/>
  <c r="Q134" i="58"/>
  <c r="S134" i="58" s="1"/>
  <c r="P134" i="58"/>
  <c r="R134" i="58" s="1"/>
  <c r="T134" i="58" s="1"/>
  <c r="O134" i="58"/>
  <c r="N134" i="58"/>
  <c r="M134" i="58"/>
  <c r="L134" i="58"/>
  <c r="R133" i="58"/>
  <c r="Q133" i="58"/>
  <c r="S133" i="58" s="1"/>
  <c r="P133" i="58"/>
  <c r="O133" i="58"/>
  <c r="N133" i="58"/>
  <c r="M133" i="58"/>
  <c r="L133" i="58"/>
  <c r="S132" i="58"/>
  <c r="R132" i="58"/>
  <c r="T132" i="58" s="1"/>
  <c r="Q132" i="58"/>
  <c r="P132" i="58"/>
  <c r="O132" i="58"/>
  <c r="N132" i="58"/>
  <c r="M132" i="58"/>
  <c r="L132" i="58"/>
  <c r="S131" i="58"/>
  <c r="Q131" i="58"/>
  <c r="P131" i="58"/>
  <c r="R131" i="58" s="1"/>
  <c r="T131" i="58" s="1"/>
  <c r="O131" i="58"/>
  <c r="N131" i="58"/>
  <c r="M131" i="58"/>
  <c r="L131" i="58"/>
  <c r="Q130" i="58"/>
  <c r="S130" i="58" s="1"/>
  <c r="P130" i="58"/>
  <c r="R130" i="58" s="1"/>
  <c r="T130" i="58" s="1"/>
  <c r="O130" i="58"/>
  <c r="N130" i="58"/>
  <c r="M130" i="58"/>
  <c r="L130" i="58"/>
  <c r="R129" i="58"/>
  <c r="Q129" i="58"/>
  <c r="S129" i="58" s="1"/>
  <c r="P129" i="58"/>
  <c r="O129" i="58"/>
  <c r="N129" i="58"/>
  <c r="M129" i="58"/>
  <c r="L129" i="58"/>
  <c r="S128" i="58"/>
  <c r="R128" i="58"/>
  <c r="T128" i="58" s="1"/>
  <c r="Q128" i="58"/>
  <c r="P128" i="58"/>
  <c r="O128" i="58"/>
  <c r="N128" i="58"/>
  <c r="M128" i="58"/>
  <c r="L128" i="58"/>
  <c r="S127" i="58"/>
  <c r="Q127" i="58"/>
  <c r="P127" i="58"/>
  <c r="R127" i="58" s="1"/>
  <c r="T127" i="58" s="1"/>
  <c r="O127" i="58"/>
  <c r="N127" i="58"/>
  <c r="M127" i="58"/>
  <c r="L127" i="58"/>
  <c r="Q126" i="58"/>
  <c r="S126" i="58" s="1"/>
  <c r="P126" i="58"/>
  <c r="R126" i="58" s="1"/>
  <c r="T126" i="58" s="1"/>
  <c r="O126" i="58"/>
  <c r="N126" i="58"/>
  <c r="M126" i="58"/>
  <c r="L126" i="58"/>
  <c r="R125" i="58"/>
  <c r="Q125" i="58"/>
  <c r="S125" i="58" s="1"/>
  <c r="P125" i="58"/>
  <c r="O125" i="58"/>
  <c r="N125" i="58"/>
  <c r="M125" i="58"/>
  <c r="L125" i="58"/>
  <c r="S124" i="58"/>
  <c r="R124" i="58"/>
  <c r="T124" i="58" s="1"/>
  <c r="Q124" i="58"/>
  <c r="P124" i="58"/>
  <c r="O124" i="58"/>
  <c r="N124" i="58"/>
  <c r="M124" i="58"/>
  <c r="L124" i="58"/>
  <c r="S123" i="58"/>
  <c r="Q123" i="58"/>
  <c r="P123" i="58"/>
  <c r="R123" i="58" s="1"/>
  <c r="T123" i="58" s="1"/>
  <c r="O123" i="58"/>
  <c r="N123" i="58"/>
  <c r="M123" i="58"/>
  <c r="L123" i="58"/>
  <c r="Q122" i="58"/>
  <c r="S122" i="58" s="1"/>
  <c r="P122" i="58"/>
  <c r="R122" i="58" s="1"/>
  <c r="T122" i="58" s="1"/>
  <c r="O122" i="58"/>
  <c r="N122" i="58"/>
  <c r="M122" i="58"/>
  <c r="L122" i="58"/>
  <c r="R121" i="58"/>
  <c r="Q121" i="58"/>
  <c r="S121" i="58" s="1"/>
  <c r="P121" i="58"/>
  <c r="O121" i="58"/>
  <c r="N121" i="58"/>
  <c r="M121" i="58"/>
  <c r="L121" i="58"/>
  <c r="S120" i="58"/>
  <c r="R120" i="58"/>
  <c r="T120" i="58" s="1"/>
  <c r="Q120" i="58"/>
  <c r="P120" i="58"/>
  <c r="O120" i="58"/>
  <c r="N120" i="58"/>
  <c r="M120" i="58"/>
  <c r="L120" i="58"/>
  <c r="S119" i="58"/>
  <c r="Q119" i="58"/>
  <c r="P119" i="58"/>
  <c r="R119" i="58" s="1"/>
  <c r="T119" i="58" s="1"/>
  <c r="O119" i="58"/>
  <c r="N119" i="58"/>
  <c r="M119" i="58"/>
  <c r="L119" i="58"/>
  <c r="Q118" i="58"/>
  <c r="S118" i="58" s="1"/>
  <c r="P118" i="58"/>
  <c r="R118" i="58" s="1"/>
  <c r="T118" i="58" s="1"/>
  <c r="O118" i="58"/>
  <c r="N118" i="58"/>
  <c r="M118" i="58"/>
  <c r="L118" i="58"/>
  <c r="R117" i="58"/>
  <c r="Q117" i="58"/>
  <c r="S117" i="58" s="1"/>
  <c r="P117" i="58"/>
  <c r="O117" i="58"/>
  <c r="N117" i="58"/>
  <c r="M117" i="58"/>
  <c r="L117" i="58"/>
  <c r="S116" i="58"/>
  <c r="R116" i="58"/>
  <c r="T116" i="58" s="1"/>
  <c r="Q116" i="58"/>
  <c r="P116" i="58"/>
  <c r="O116" i="58"/>
  <c r="N116" i="58"/>
  <c r="M116" i="58"/>
  <c r="L116" i="58"/>
  <c r="S115" i="58"/>
  <c r="Q115" i="58"/>
  <c r="P115" i="58"/>
  <c r="R115" i="58" s="1"/>
  <c r="T115" i="58" s="1"/>
  <c r="O115" i="58"/>
  <c r="N115" i="58"/>
  <c r="M115" i="58"/>
  <c r="L115" i="58"/>
  <c r="Q114" i="58"/>
  <c r="S114" i="58" s="1"/>
  <c r="P114" i="58"/>
  <c r="R114" i="58" s="1"/>
  <c r="T114" i="58" s="1"/>
  <c r="O114" i="58"/>
  <c r="N114" i="58"/>
  <c r="M114" i="58"/>
  <c r="L114" i="58"/>
  <c r="R113" i="58"/>
  <c r="Q113" i="58"/>
  <c r="S113" i="58" s="1"/>
  <c r="P113" i="58"/>
  <c r="O113" i="58"/>
  <c r="N113" i="58"/>
  <c r="M113" i="58"/>
  <c r="L113" i="58"/>
  <c r="S112" i="58"/>
  <c r="R112" i="58"/>
  <c r="T112" i="58" s="1"/>
  <c r="Q112" i="58"/>
  <c r="P112" i="58"/>
  <c r="O112" i="58"/>
  <c r="N112" i="58"/>
  <c r="M112" i="58"/>
  <c r="L112" i="58"/>
  <c r="S111" i="58"/>
  <c r="Q111" i="58"/>
  <c r="P111" i="58"/>
  <c r="R111" i="58" s="1"/>
  <c r="T111" i="58" s="1"/>
  <c r="O111" i="58"/>
  <c r="N111" i="58"/>
  <c r="M111" i="58"/>
  <c r="L111" i="58"/>
  <c r="Q110" i="58"/>
  <c r="S110" i="58" s="1"/>
  <c r="P110" i="58"/>
  <c r="R110" i="58" s="1"/>
  <c r="T110" i="58" s="1"/>
  <c r="O110" i="58"/>
  <c r="N110" i="58"/>
  <c r="M110" i="58"/>
  <c r="L110" i="58"/>
  <c r="R109" i="58"/>
  <c r="Q109" i="58"/>
  <c r="S109" i="58" s="1"/>
  <c r="P109" i="58"/>
  <c r="O109" i="58"/>
  <c r="N109" i="58"/>
  <c r="M109" i="58"/>
  <c r="L109" i="58"/>
  <c r="S108" i="58"/>
  <c r="R108" i="58"/>
  <c r="T108" i="58" s="1"/>
  <c r="Q108" i="58"/>
  <c r="P108" i="58"/>
  <c r="O108" i="58"/>
  <c r="N108" i="58"/>
  <c r="M108" i="58"/>
  <c r="L108" i="58"/>
  <c r="S107" i="58"/>
  <c r="Q107" i="58"/>
  <c r="P107" i="58"/>
  <c r="R107" i="58" s="1"/>
  <c r="T107" i="58" s="1"/>
  <c r="O107" i="58"/>
  <c r="N107" i="58"/>
  <c r="M107" i="58"/>
  <c r="L107" i="58"/>
  <c r="Q106" i="58"/>
  <c r="S106" i="58" s="1"/>
  <c r="P106" i="58"/>
  <c r="R106" i="58" s="1"/>
  <c r="T106" i="58" s="1"/>
  <c r="O106" i="58"/>
  <c r="N106" i="58"/>
  <c r="M106" i="58"/>
  <c r="L106" i="58"/>
  <c r="R105" i="58"/>
  <c r="Q105" i="58"/>
  <c r="S105" i="58" s="1"/>
  <c r="P105" i="58"/>
  <c r="O105" i="58"/>
  <c r="N105" i="58"/>
  <c r="M105" i="58"/>
  <c r="L105" i="58"/>
  <c r="S104" i="58"/>
  <c r="R104" i="58"/>
  <c r="T104" i="58" s="1"/>
  <c r="Q104" i="58"/>
  <c r="P104" i="58"/>
  <c r="O104" i="58"/>
  <c r="N104" i="58"/>
  <c r="M104" i="58"/>
  <c r="L104" i="58"/>
  <c r="S103" i="58"/>
  <c r="Q103" i="58"/>
  <c r="P103" i="58"/>
  <c r="R103" i="58" s="1"/>
  <c r="T103" i="58" s="1"/>
  <c r="O103" i="58"/>
  <c r="N103" i="58"/>
  <c r="M103" i="58"/>
  <c r="L103" i="58"/>
  <c r="Q102" i="58"/>
  <c r="S102" i="58" s="1"/>
  <c r="P102" i="58"/>
  <c r="R102" i="58" s="1"/>
  <c r="T102" i="58" s="1"/>
  <c r="O102" i="58"/>
  <c r="N102" i="58"/>
  <c r="M102" i="58"/>
  <c r="L102" i="58"/>
  <c r="R101" i="58"/>
  <c r="Q101" i="58"/>
  <c r="S101" i="58" s="1"/>
  <c r="P101" i="58"/>
  <c r="O101" i="58"/>
  <c r="N101" i="58"/>
  <c r="M101" i="58"/>
  <c r="L101" i="58"/>
  <c r="S100" i="58"/>
  <c r="R100" i="58"/>
  <c r="T100" i="58" s="1"/>
  <c r="Q100" i="58"/>
  <c r="P100" i="58"/>
  <c r="O100" i="58"/>
  <c r="N100" i="58"/>
  <c r="M100" i="58"/>
  <c r="L100" i="58"/>
  <c r="S99" i="58"/>
  <c r="Q99" i="58"/>
  <c r="P99" i="58"/>
  <c r="R99" i="58" s="1"/>
  <c r="T99" i="58" s="1"/>
  <c r="O99" i="58"/>
  <c r="N99" i="58"/>
  <c r="M99" i="58"/>
  <c r="L99" i="58"/>
  <c r="Q98" i="58"/>
  <c r="S98" i="58" s="1"/>
  <c r="P98" i="58"/>
  <c r="R98" i="58" s="1"/>
  <c r="T98" i="58" s="1"/>
  <c r="O98" i="58"/>
  <c r="N98" i="58"/>
  <c r="M98" i="58"/>
  <c r="L98" i="58"/>
  <c r="R97" i="58"/>
  <c r="Q97" i="58"/>
  <c r="S97" i="58" s="1"/>
  <c r="P97" i="58"/>
  <c r="O97" i="58"/>
  <c r="N97" i="58"/>
  <c r="M97" i="58"/>
  <c r="L97" i="58"/>
  <c r="S96" i="58"/>
  <c r="R96" i="58"/>
  <c r="T96" i="58" s="1"/>
  <c r="Q96" i="58"/>
  <c r="P96" i="58"/>
  <c r="O96" i="58"/>
  <c r="N96" i="58"/>
  <c r="M96" i="58"/>
  <c r="L96" i="58"/>
  <c r="S95" i="58"/>
  <c r="Q95" i="58"/>
  <c r="P95" i="58"/>
  <c r="R95" i="58" s="1"/>
  <c r="T95" i="58" s="1"/>
  <c r="O95" i="58"/>
  <c r="N95" i="58"/>
  <c r="M95" i="58"/>
  <c r="L95" i="58"/>
  <c r="Q94" i="58"/>
  <c r="S94" i="58" s="1"/>
  <c r="P94" i="58"/>
  <c r="R94" i="58" s="1"/>
  <c r="T94" i="58" s="1"/>
  <c r="O94" i="58"/>
  <c r="N94" i="58"/>
  <c r="M94" i="58"/>
  <c r="L94" i="58"/>
  <c r="R93" i="58"/>
  <c r="Q93" i="58"/>
  <c r="S93" i="58" s="1"/>
  <c r="P93" i="58"/>
  <c r="O93" i="58"/>
  <c r="N93" i="58"/>
  <c r="M93" i="58"/>
  <c r="L93" i="58"/>
  <c r="S92" i="58"/>
  <c r="R92" i="58"/>
  <c r="T92" i="58" s="1"/>
  <c r="Q92" i="58"/>
  <c r="P92" i="58"/>
  <c r="O92" i="58"/>
  <c r="N92" i="58"/>
  <c r="M92" i="58"/>
  <c r="L92" i="58"/>
  <c r="S91" i="58"/>
  <c r="Q91" i="58"/>
  <c r="P91" i="58"/>
  <c r="R91" i="58" s="1"/>
  <c r="T91" i="58" s="1"/>
  <c r="O91" i="58"/>
  <c r="N91" i="58"/>
  <c r="M91" i="58"/>
  <c r="L91" i="58"/>
  <c r="Q90" i="58"/>
  <c r="S90" i="58" s="1"/>
  <c r="P90" i="58"/>
  <c r="R90" i="58" s="1"/>
  <c r="T90" i="58" s="1"/>
  <c r="O90" i="58"/>
  <c r="N90" i="58"/>
  <c r="M90" i="58"/>
  <c r="L90" i="58"/>
  <c r="R89" i="58"/>
  <c r="Q89" i="58"/>
  <c r="S89" i="58" s="1"/>
  <c r="P89" i="58"/>
  <c r="O89" i="58"/>
  <c r="N89" i="58"/>
  <c r="M89" i="58"/>
  <c r="L89" i="58"/>
  <c r="S88" i="58"/>
  <c r="R88" i="58"/>
  <c r="T88" i="58" s="1"/>
  <c r="Q88" i="58"/>
  <c r="P88" i="58"/>
  <c r="O88" i="58"/>
  <c r="N88" i="58"/>
  <c r="M88" i="58"/>
  <c r="L88" i="58"/>
  <c r="S87" i="58"/>
  <c r="Q87" i="58"/>
  <c r="P87" i="58"/>
  <c r="R87" i="58" s="1"/>
  <c r="T87" i="58" s="1"/>
  <c r="O87" i="58"/>
  <c r="N87" i="58"/>
  <c r="M87" i="58"/>
  <c r="L87" i="58"/>
  <c r="Q86" i="58"/>
  <c r="S86" i="58" s="1"/>
  <c r="P86" i="58"/>
  <c r="R86" i="58" s="1"/>
  <c r="T86" i="58" s="1"/>
  <c r="O86" i="58"/>
  <c r="N86" i="58"/>
  <c r="M86" i="58"/>
  <c r="L86" i="58"/>
  <c r="R85" i="58"/>
  <c r="Q85" i="58"/>
  <c r="S85" i="58" s="1"/>
  <c r="P85" i="58"/>
  <c r="O85" i="58"/>
  <c r="N85" i="58"/>
  <c r="M85" i="58"/>
  <c r="L85" i="58"/>
  <c r="S84" i="58"/>
  <c r="R84" i="58"/>
  <c r="T84" i="58" s="1"/>
  <c r="Q84" i="58"/>
  <c r="P84" i="58"/>
  <c r="O84" i="58"/>
  <c r="N84" i="58"/>
  <c r="M84" i="58"/>
  <c r="L84" i="58"/>
  <c r="S83" i="58"/>
  <c r="Q83" i="58"/>
  <c r="P83" i="58"/>
  <c r="R83" i="58" s="1"/>
  <c r="T83" i="58" s="1"/>
  <c r="O83" i="58"/>
  <c r="N83" i="58"/>
  <c r="M83" i="58"/>
  <c r="L83" i="58"/>
  <c r="Q82" i="58"/>
  <c r="S82" i="58" s="1"/>
  <c r="P82" i="58"/>
  <c r="R82" i="58" s="1"/>
  <c r="T82" i="58" s="1"/>
  <c r="O82" i="58"/>
  <c r="N82" i="58"/>
  <c r="M82" i="58"/>
  <c r="L82" i="58"/>
  <c r="R81" i="58"/>
  <c r="Q81" i="58"/>
  <c r="S81" i="58" s="1"/>
  <c r="P81" i="58"/>
  <c r="O81" i="58"/>
  <c r="N81" i="58"/>
  <c r="M81" i="58"/>
  <c r="L81" i="58"/>
  <c r="S80" i="58"/>
  <c r="R80" i="58"/>
  <c r="T80" i="58" s="1"/>
  <c r="Q80" i="58"/>
  <c r="P80" i="58"/>
  <c r="O80" i="58"/>
  <c r="N80" i="58"/>
  <c r="M80" i="58"/>
  <c r="L80" i="58"/>
  <c r="S79" i="58"/>
  <c r="Q79" i="58"/>
  <c r="P79" i="58"/>
  <c r="R79" i="58" s="1"/>
  <c r="T79" i="58" s="1"/>
  <c r="O79" i="58"/>
  <c r="N79" i="58"/>
  <c r="M79" i="58"/>
  <c r="L79" i="58"/>
  <c r="Q78" i="58"/>
  <c r="S78" i="58" s="1"/>
  <c r="P78" i="58"/>
  <c r="R78" i="58" s="1"/>
  <c r="T78" i="58" s="1"/>
  <c r="O78" i="58"/>
  <c r="N78" i="58"/>
  <c r="M78" i="58"/>
  <c r="L78" i="58"/>
  <c r="R77" i="58"/>
  <c r="Q77" i="58"/>
  <c r="S77" i="58" s="1"/>
  <c r="P77" i="58"/>
  <c r="O77" i="58"/>
  <c r="N77" i="58"/>
  <c r="M77" i="58"/>
  <c r="L77" i="58"/>
  <c r="S76" i="58"/>
  <c r="R76" i="58"/>
  <c r="T76" i="58" s="1"/>
  <c r="Q76" i="58"/>
  <c r="P76" i="58"/>
  <c r="O76" i="58"/>
  <c r="N76" i="58"/>
  <c r="M76" i="58"/>
  <c r="L76" i="58"/>
  <c r="S75" i="58"/>
  <c r="Q75" i="58"/>
  <c r="P75" i="58"/>
  <c r="R75" i="58" s="1"/>
  <c r="T75" i="58" s="1"/>
  <c r="O75" i="58"/>
  <c r="N75" i="58"/>
  <c r="M75" i="58"/>
  <c r="L75" i="58"/>
  <c r="Q74" i="58"/>
  <c r="S74" i="58" s="1"/>
  <c r="P74" i="58"/>
  <c r="R74" i="58" s="1"/>
  <c r="T74" i="58" s="1"/>
  <c r="O74" i="58"/>
  <c r="N74" i="58"/>
  <c r="M74" i="58"/>
  <c r="L74" i="58"/>
  <c r="R73" i="58"/>
  <c r="Q73" i="58"/>
  <c r="S73" i="58" s="1"/>
  <c r="P73" i="58"/>
  <c r="O73" i="58"/>
  <c r="N73" i="58"/>
  <c r="M73" i="58"/>
  <c r="L73" i="58"/>
  <c r="S72" i="58"/>
  <c r="R72" i="58"/>
  <c r="T72" i="58" s="1"/>
  <c r="Q72" i="58"/>
  <c r="P72" i="58"/>
  <c r="O72" i="58"/>
  <c r="N72" i="58"/>
  <c r="M72" i="58"/>
  <c r="L72" i="58"/>
  <c r="S71" i="58"/>
  <c r="Q71" i="58"/>
  <c r="P71" i="58"/>
  <c r="R71" i="58" s="1"/>
  <c r="T71" i="58" s="1"/>
  <c r="O71" i="58"/>
  <c r="N71" i="58"/>
  <c r="M71" i="58"/>
  <c r="L71" i="58"/>
  <c r="Q70" i="58"/>
  <c r="S70" i="58" s="1"/>
  <c r="P70" i="58"/>
  <c r="R70" i="58" s="1"/>
  <c r="T70" i="58" s="1"/>
  <c r="O70" i="58"/>
  <c r="N70" i="58"/>
  <c r="M70" i="58"/>
  <c r="L70" i="58"/>
  <c r="R69" i="58"/>
  <c r="Q69" i="58"/>
  <c r="S69" i="58" s="1"/>
  <c r="P69" i="58"/>
  <c r="O69" i="58"/>
  <c r="N69" i="58"/>
  <c r="M69" i="58"/>
  <c r="L69" i="58"/>
  <c r="S68" i="58"/>
  <c r="R68" i="58"/>
  <c r="T68" i="58" s="1"/>
  <c r="Q68" i="58"/>
  <c r="P68" i="58"/>
  <c r="O68" i="58"/>
  <c r="N68" i="58"/>
  <c r="M68" i="58"/>
  <c r="L68" i="58"/>
  <c r="S67" i="58"/>
  <c r="Q67" i="58"/>
  <c r="P67" i="58"/>
  <c r="R67" i="58" s="1"/>
  <c r="T67" i="58" s="1"/>
  <c r="O67" i="58"/>
  <c r="N67" i="58"/>
  <c r="M67" i="58"/>
  <c r="L67" i="58"/>
  <c r="Q66" i="58"/>
  <c r="S66" i="58" s="1"/>
  <c r="P66" i="58"/>
  <c r="R66" i="58" s="1"/>
  <c r="T66" i="58" s="1"/>
  <c r="O66" i="58"/>
  <c r="N66" i="58"/>
  <c r="M66" i="58"/>
  <c r="L66" i="58"/>
  <c r="R65" i="58"/>
  <c r="Q65" i="58"/>
  <c r="S65" i="58" s="1"/>
  <c r="P65" i="58"/>
  <c r="O65" i="58"/>
  <c r="N65" i="58"/>
  <c r="M65" i="58"/>
  <c r="L65" i="58"/>
  <c r="S64" i="58"/>
  <c r="R64" i="58"/>
  <c r="T64" i="58" s="1"/>
  <c r="Q64" i="58"/>
  <c r="P64" i="58"/>
  <c r="O64" i="58"/>
  <c r="N64" i="58"/>
  <c r="M64" i="58"/>
  <c r="L64" i="58"/>
  <c r="S63" i="58"/>
  <c r="Q63" i="58"/>
  <c r="P63" i="58"/>
  <c r="R63" i="58" s="1"/>
  <c r="T63" i="58" s="1"/>
  <c r="O63" i="58"/>
  <c r="N63" i="58"/>
  <c r="M63" i="58"/>
  <c r="L63" i="58"/>
  <c r="Q62" i="58"/>
  <c r="S62" i="58" s="1"/>
  <c r="P62" i="58"/>
  <c r="R62" i="58" s="1"/>
  <c r="T62" i="58" s="1"/>
  <c r="O62" i="58"/>
  <c r="N62" i="58"/>
  <c r="M62" i="58"/>
  <c r="L62" i="58"/>
  <c r="R61" i="58"/>
  <c r="Q61" i="58"/>
  <c r="S61" i="58" s="1"/>
  <c r="P61" i="58"/>
  <c r="O61" i="58"/>
  <c r="N61" i="58"/>
  <c r="M61" i="58"/>
  <c r="L61" i="58"/>
  <c r="S60" i="58"/>
  <c r="R60" i="58"/>
  <c r="T60" i="58" s="1"/>
  <c r="Q60" i="58"/>
  <c r="P60" i="58"/>
  <c r="O60" i="58"/>
  <c r="N60" i="58"/>
  <c r="M60" i="58"/>
  <c r="L60" i="58"/>
  <c r="S59" i="58"/>
  <c r="Q59" i="58"/>
  <c r="P59" i="58"/>
  <c r="R59" i="58" s="1"/>
  <c r="T59" i="58" s="1"/>
  <c r="O59" i="58"/>
  <c r="N59" i="58"/>
  <c r="M59" i="58"/>
  <c r="L59" i="58"/>
  <c r="Q58" i="58"/>
  <c r="S58" i="58" s="1"/>
  <c r="P58" i="58"/>
  <c r="R58" i="58" s="1"/>
  <c r="T58" i="58" s="1"/>
  <c r="O58" i="58"/>
  <c r="N58" i="58"/>
  <c r="M58" i="58"/>
  <c r="L58" i="58"/>
  <c r="R57" i="58"/>
  <c r="Q57" i="58"/>
  <c r="S57" i="58" s="1"/>
  <c r="P57" i="58"/>
  <c r="O57" i="58"/>
  <c r="N57" i="58"/>
  <c r="M57" i="58"/>
  <c r="L57" i="58"/>
  <c r="S56" i="58"/>
  <c r="R56" i="58"/>
  <c r="T56" i="58" s="1"/>
  <c r="Q56" i="58"/>
  <c r="P56" i="58"/>
  <c r="O56" i="58"/>
  <c r="N56" i="58"/>
  <c r="M56" i="58"/>
  <c r="L56" i="58"/>
  <c r="S55" i="58"/>
  <c r="Q55" i="58"/>
  <c r="P55" i="58"/>
  <c r="R55" i="58" s="1"/>
  <c r="T55" i="58" s="1"/>
  <c r="O55" i="58"/>
  <c r="N55" i="58"/>
  <c r="M55" i="58"/>
  <c r="L55" i="58"/>
  <c r="Q54" i="58"/>
  <c r="S54" i="58" s="1"/>
  <c r="P54" i="58"/>
  <c r="R54" i="58" s="1"/>
  <c r="T54" i="58" s="1"/>
  <c r="O54" i="58"/>
  <c r="N54" i="58"/>
  <c r="M54" i="58"/>
  <c r="L54" i="58"/>
  <c r="R53" i="58"/>
  <c r="Q53" i="58"/>
  <c r="S53" i="58" s="1"/>
  <c r="P53" i="58"/>
  <c r="O53" i="58"/>
  <c r="N53" i="58"/>
  <c r="M53" i="58"/>
  <c r="L53" i="58"/>
  <c r="S52" i="58"/>
  <c r="R52" i="58"/>
  <c r="T52" i="58" s="1"/>
  <c r="Q52" i="58"/>
  <c r="P52" i="58"/>
  <c r="O52" i="58"/>
  <c r="N52" i="58"/>
  <c r="M52" i="58"/>
  <c r="L52" i="58"/>
  <c r="S51" i="58"/>
  <c r="Q51" i="58"/>
  <c r="P51" i="58"/>
  <c r="R51" i="58" s="1"/>
  <c r="T51" i="58" s="1"/>
  <c r="O51" i="58"/>
  <c r="N51" i="58"/>
  <c r="M51" i="58"/>
  <c r="L51" i="58"/>
  <c r="Q50" i="58"/>
  <c r="S50" i="58" s="1"/>
  <c r="P50" i="58"/>
  <c r="R50" i="58" s="1"/>
  <c r="T50" i="58" s="1"/>
  <c r="O50" i="58"/>
  <c r="N50" i="58"/>
  <c r="M50" i="58"/>
  <c r="L50" i="58"/>
  <c r="R49" i="58"/>
  <c r="Q49" i="58"/>
  <c r="S49" i="58" s="1"/>
  <c r="P49" i="58"/>
  <c r="O49" i="58"/>
  <c r="N49" i="58"/>
  <c r="M49" i="58"/>
  <c r="L49" i="58"/>
  <c r="S48" i="58"/>
  <c r="R48" i="58"/>
  <c r="T48" i="58" s="1"/>
  <c r="Q48" i="58"/>
  <c r="P48" i="58"/>
  <c r="O48" i="58"/>
  <c r="N48" i="58"/>
  <c r="M48" i="58"/>
  <c r="L48" i="58"/>
  <c r="S47" i="58"/>
  <c r="Q47" i="58"/>
  <c r="P47" i="58"/>
  <c r="R47" i="58" s="1"/>
  <c r="T47" i="58" s="1"/>
  <c r="O47" i="58"/>
  <c r="N47" i="58"/>
  <c r="M47" i="58"/>
  <c r="L47" i="58"/>
  <c r="Q46" i="58"/>
  <c r="S46" i="58" s="1"/>
  <c r="P46" i="58"/>
  <c r="R46" i="58" s="1"/>
  <c r="T46" i="58" s="1"/>
  <c r="O46" i="58"/>
  <c r="N46" i="58"/>
  <c r="M46" i="58"/>
  <c r="L46" i="58"/>
  <c r="R45" i="58"/>
  <c r="Q45" i="58"/>
  <c r="S45" i="58" s="1"/>
  <c r="P45" i="58"/>
  <c r="O45" i="58"/>
  <c r="N45" i="58"/>
  <c r="M45" i="58"/>
  <c r="L45" i="58"/>
  <c r="S44" i="58"/>
  <c r="R44" i="58"/>
  <c r="T44" i="58" s="1"/>
  <c r="Q44" i="58"/>
  <c r="P44" i="58"/>
  <c r="O44" i="58"/>
  <c r="N44" i="58"/>
  <c r="M44" i="58"/>
  <c r="L44" i="58"/>
  <c r="S43" i="58"/>
  <c r="Q43" i="58"/>
  <c r="P43" i="58"/>
  <c r="R43" i="58" s="1"/>
  <c r="T43" i="58" s="1"/>
  <c r="O43" i="58"/>
  <c r="N43" i="58"/>
  <c r="M43" i="58"/>
  <c r="L43" i="58"/>
  <c r="Q42" i="58"/>
  <c r="S42" i="58" s="1"/>
  <c r="P42" i="58"/>
  <c r="R42" i="58" s="1"/>
  <c r="T42" i="58" s="1"/>
  <c r="O42" i="58"/>
  <c r="N42" i="58"/>
  <c r="M42" i="58"/>
  <c r="L42" i="58"/>
  <c r="R41" i="58"/>
  <c r="Q41" i="58"/>
  <c r="S41" i="58" s="1"/>
  <c r="P41" i="58"/>
  <c r="O41" i="58"/>
  <c r="N41" i="58"/>
  <c r="M41" i="58"/>
  <c r="L41" i="58"/>
  <c r="S40" i="58"/>
  <c r="R40" i="58"/>
  <c r="T40" i="58" s="1"/>
  <c r="Q40" i="58"/>
  <c r="P40" i="58"/>
  <c r="O40" i="58"/>
  <c r="N40" i="58"/>
  <c r="M40" i="58"/>
  <c r="L40" i="58"/>
  <c r="S39" i="58"/>
  <c r="Q39" i="58"/>
  <c r="P39" i="58"/>
  <c r="R39" i="58" s="1"/>
  <c r="T39" i="58" s="1"/>
  <c r="O39" i="58"/>
  <c r="N39" i="58"/>
  <c r="M39" i="58"/>
  <c r="L39" i="58"/>
  <c r="Q38" i="58"/>
  <c r="S38" i="58" s="1"/>
  <c r="P38" i="58"/>
  <c r="R38" i="58" s="1"/>
  <c r="T38" i="58" s="1"/>
  <c r="O38" i="58"/>
  <c r="N38" i="58"/>
  <c r="M38" i="58"/>
  <c r="L38" i="58"/>
  <c r="R37" i="58"/>
  <c r="Q37" i="58"/>
  <c r="S37" i="58" s="1"/>
  <c r="P37" i="58"/>
  <c r="O37" i="58"/>
  <c r="N37" i="58"/>
  <c r="M37" i="58"/>
  <c r="L37" i="58"/>
  <c r="S36" i="58"/>
  <c r="R36" i="58"/>
  <c r="T36" i="58" s="1"/>
  <c r="Q36" i="58"/>
  <c r="P36" i="58"/>
  <c r="O36" i="58"/>
  <c r="N36" i="58"/>
  <c r="M36" i="58"/>
  <c r="L36" i="58"/>
  <c r="S35" i="58"/>
  <c r="Q35" i="58"/>
  <c r="P35" i="58"/>
  <c r="R35" i="58" s="1"/>
  <c r="T35" i="58" s="1"/>
  <c r="O35" i="58"/>
  <c r="N35" i="58"/>
  <c r="M35" i="58"/>
  <c r="L35" i="58"/>
  <c r="Q34" i="58"/>
  <c r="S34" i="58" s="1"/>
  <c r="P34" i="58"/>
  <c r="R34" i="58" s="1"/>
  <c r="T34" i="58" s="1"/>
  <c r="O34" i="58"/>
  <c r="N34" i="58"/>
  <c r="M34" i="58"/>
  <c r="L34" i="58"/>
  <c r="R33" i="58"/>
  <c r="Q33" i="58"/>
  <c r="S33" i="58" s="1"/>
  <c r="P33" i="58"/>
  <c r="O33" i="58"/>
  <c r="N33" i="58"/>
  <c r="M33" i="58"/>
  <c r="L33" i="58"/>
  <c r="S32" i="58"/>
  <c r="R32" i="58"/>
  <c r="T32" i="58" s="1"/>
  <c r="Q32" i="58"/>
  <c r="P32" i="58"/>
  <c r="O32" i="58"/>
  <c r="N32" i="58"/>
  <c r="M32" i="58"/>
  <c r="L32" i="58"/>
  <c r="S31" i="58"/>
  <c r="Q31" i="58"/>
  <c r="P31" i="58"/>
  <c r="R31" i="58" s="1"/>
  <c r="T31" i="58" s="1"/>
  <c r="O31" i="58"/>
  <c r="N31" i="58"/>
  <c r="M31" i="58"/>
  <c r="L31" i="58"/>
  <c r="Q30" i="58"/>
  <c r="S30" i="58" s="1"/>
  <c r="P30" i="58"/>
  <c r="R30" i="58" s="1"/>
  <c r="T30" i="58" s="1"/>
  <c r="O30" i="58"/>
  <c r="N30" i="58"/>
  <c r="M30" i="58"/>
  <c r="L30" i="58"/>
  <c r="R29" i="58"/>
  <c r="Q29" i="58"/>
  <c r="S29" i="58" s="1"/>
  <c r="P29" i="58"/>
  <c r="O29" i="58"/>
  <c r="N29" i="58"/>
  <c r="M29" i="58"/>
  <c r="L29" i="58"/>
  <c r="S28" i="58"/>
  <c r="R28" i="58"/>
  <c r="T28" i="58" s="1"/>
  <c r="Q28" i="58"/>
  <c r="P28" i="58"/>
  <c r="O28" i="58"/>
  <c r="N28" i="58"/>
  <c r="M28" i="58"/>
  <c r="L28" i="58"/>
  <c r="S27" i="58"/>
  <c r="Q27" i="58"/>
  <c r="P27" i="58"/>
  <c r="R27" i="58" s="1"/>
  <c r="T27" i="58" s="1"/>
  <c r="O27" i="58"/>
  <c r="N27" i="58"/>
  <c r="M27" i="58"/>
  <c r="L27" i="58"/>
  <c r="Q26" i="58"/>
  <c r="S26" i="58" s="1"/>
  <c r="P26" i="58"/>
  <c r="R26" i="58" s="1"/>
  <c r="T26" i="58" s="1"/>
  <c r="O26" i="58"/>
  <c r="N26" i="58"/>
  <c r="M26" i="58"/>
  <c r="L26" i="58"/>
  <c r="R25" i="58"/>
  <c r="Q25" i="58"/>
  <c r="S25" i="58" s="1"/>
  <c r="P25" i="58"/>
  <c r="O25" i="58"/>
  <c r="N25" i="58"/>
  <c r="M25" i="58"/>
  <c r="L25" i="58"/>
  <c r="S24" i="58"/>
  <c r="R24" i="58"/>
  <c r="T24" i="58" s="1"/>
  <c r="Q24" i="58"/>
  <c r="P24" i="58"/>
  <c r="O24" i="58"/>
  <c r="N24" i="58"/>
  <c r="M24" i="58"/>
  <c r="L24" i="58"/>
  <c r="S23" i="58"/>
  <c r="Q23" i="58"/>
  <c r="P23" i="58"/>
  <c r="R23" i="58" s="1"/>
  <c r="T23" i="58" s="1"/>
  <c r="O23" i="58"/>
  <c r="N23" i="58"/>
  <c r="M23" i="58"/>
  <c r="L23" i="58"/>
  <c r="Q22" i="58"/>
  <c r="S22" i="58" s="1"/>
  <c r="P22" i="58"/>
  <c r="R22" i="58" s="1"/>
  <c r="T22" i="58" s="1"/>
  <c r="O22" i="58"/>
  <c r="N22" i="58"/>
  <c r="M22" i="58"/>
  <c r="L22" i="58"/>
  <c r="R21" i="58"/>
  <c r="Q21" i="58"/>
  <c r="S21" i="58" s="1"/>
  <c r="P21" i="58"/>
  <c r="O21" i="58"/>
  <c r="N21" i="58"/>
  <c r="M21" i="58"/>
  <c r="L21" i="58"/>
  <c r="S20" i="58"/>
  <c r="R20" i="58"/>
  <c r="T20" i="58" s="1"/>
  <c r="Q20" i="58"/>
  <c r="P20" i="58"/>
  <c r="O20" i="58"/>
  <c r="N20" i="58"/>
  <c r="M20" i="58"/>
  <c r="L20" i="58"/>
  <c r="S19" i="58"/>
  <c r="Q19" i="58"/>
  <c r="P19" i="58"/>
  <c r="R19" i="58" s="1"/>
  <c r="T19" i="58" s="1"/>
  <c r="O19" i="58"/>
  <c r="N19" i="58"/>
  <c r="M19" i="58"/>
  <c r="L19" i="58"/>
  <c r="Q18" i="58"/>
  <c r="S18" i="58" s="1"/>
  <c r="P18" i="58"/>
  <c r="R18" i="58" s="1"/>
  <c r="T18" i="58" s="1"/>
  <c r="O18" i="58"/>
  <c r="N18" i="58"/>
  <c r="M18" i="58"/>
  <c r="L18" i="58"/>
  <c r="Q17" i="58"/>
  <c r="S17" i="58" s="1"/>
  <c r="P17" i="58"/>
  <c r="R17" i="58" s="1"/>
  <c r="O17" i="58"/>
  <c r="N17" i="58"/>
  <c r="M17" i="58"/>
  <c r="L17" i="58"/>
  <c r="S16" i="58"/>
  <c r="R16" i="58"/>
  <c r="T16" i="58" s="1"/>
  <c r="Q16" i="58"/>
  <c r="P16" i="58"/>
  <c r="O16" i="58"/>
  <c r="N16" i="58"/>
  <c r="M16" i="58"/>
  <c r="L16" i="58"/>
  <c r="S15" i="58"/>
  <c r="Q15" i="58"/>
  <c r="P15" i="58"/>
  <c r="R15" i="58" s="1"/>
  <c r="T15" i="58" s="1"/>
  <c r="O15" i="58"/>
  <c r="N15" i="58"/>
  <c r="M15" i="58"/>
  <c r="L15" i="58"/>
  <c r="Q14" i="58"/>
  <c r="S14" i="58" s="1"/>
  <c r="P14" i="58"/>
  <c r="R14" i="58" s="1"/>
  <c r="T14" i="58" s="1"/>
  <c r="O14" i="58"/>
  <c r="N14" i="58"/>
  <c r="M14" i="58"/>
  <c r="L14" i="58"/>
  <c r="R13" i="58"/>
  <c r="Q13" i="58"/>
  <c r="S13" i="58" s="1"/>
  <c r="P13" i="58"/>
  <c r="O13" i="58"/>
  <c r="N13" i="58"/>
  <c r="M13" i="58"/>
  <c r="L13" i="58"/>
  <c r="S12" i="58"/>
  <c r="R12" i="58"/>
  <c r="T12" i="58" s="1"/>
  <c r="Q12" i="58"/>
  <c r="P12" i="58"/>
  <c r="O12" i="58"/>
  <c r="N12" i="58"/>
  <c r="M12" i="58"/>
  <c r="L12" i="58"/>
  <c r="S11" i="58"/>
  <c r="Q11" i="58"/>
  <c r="P11" i="58"/>
  <c r="R11" i="58" s="1"/>
  <c r="T11" i="58" s="1"/>
  <c r="O11" i="58"/>
  <c r="N11" i="58"/>
  <c r="M11" i="58"/>
  <c r="L11" i="58"/>
  <c r="Q10" i="58"/>
  <c r="S10" i="58" s="1"/>
  <c r="P10" i="58"/>
  <c r="R10" i="58" s="1"/>
  <c r="T10" i="58" s="1"/>
  <c r="O10" i="58"/>
  <c r="N10" i="58"/>
  <c r="M10" i="58"/>
  <c r="L10" i="58"/>
  <c r="R9" i="58"/>
  <c r="Q9" i="58"/>
  <c r="S9" i="58" s="1"/>
  <c r="P9" i="58"/>
  <c r="O9" i="58"/>
  <c r="N9" i="58"/>
  <c r="M9" i="58"/>
  <c r="L9" i="58"/>
  <c r="T9" i="58" l="1"/>
  <c r="T13" i="58"/>
  <c r="T17" i="58"/>
  <c r="T21" i="58"/>
  <c r="T25" i="58"/>
  <c r="T29" i="58"/>
  <c r="T33" i="58"/>
  <c r="T37" i="58"/>
  <c r="T41" i="58"/>
  <c r="T45" i="58"/>
  <c r="T49" i="58"/>
  <c r="T53" i="58"/>
  <c r="T57" i="58"/>
  <c r="T61" i="58"/>
  <c r="T65" i="58"/>
  <c r="T69" i="58"/>
  <c r="T73" i="58"/>
  <c r="T77" i="58"/>
  <c r="T81" i="58"/>
  <c r="T85" i="58"/>
  <c r="T89" i="58"/>
  <c r="T93" i="58"/>
  <c r="T97" i="58"/>
  <c r="T101" i="58"/>
  <c r="T105" i="58"/>
  <c r="T109" i="58"/>
  <c r="T113" i="58"/>
  <c r="T117" i="58"/>
  <c r="T121" i="58"/>
  <c r="T125" i="58"/>
  <c r="T129" i="58"/>
  <c r="T133" i="58"/>
  <c r="T137" i="58"/>
  <c r="T166" i="58"/>
  <c r="T138" i="58"/>
  <c r="T154" i="58"/>
  <c r="T170" i="58"/>
  <c r="T182" i="58"/>
  <c r="T184" i="58"/>
  <c r="T198" i="58"/>
  <c r="T200" i="58"/>
  <c r="T214" i="58"/>
  <c r="T216" i="58"/>
  <c r="T230" i="58"/>
  <c r="T232" i="58"/>
  <c r="T246" i="58"/>
  <c r="T248" i="58"/>
  <c r="T262" i="58"/>
  <c r="T264" i="58"/>
  <c r="T278" i="58"/>
  <c r="T280" i="58"/>
  <c r="T294" i="58"/>
  <c r="T296" i="58"/>
  <c r="T310" i="58"/>
  <c r="T312" i="58"/>
  <c r="T326" i="58"/>
  <c r="T328" i="58"/>
  <c r="T342" i="58"/>
  <c r="T344" i="58"/>
  <c r="T358" i="58"/>
  <c r="T360" i="58"/>
  <c r="T375" i="58"/>
  <c r="T380" i="58"/>
  <c r="T142" i="58"/>
  <c r="T158" i="58"/>
  <c r="T172" i="58"/>
  <c r="T188" i="58"/>
  <c r="T204" i="58"/>
  <c r="T220" i="58"/>
  <c r="T236" i="58"/>
  <c r="T252" i="58"/>
  <c r="T268" i="58"/>
  <c r="T284" i="58"/>
  <c r="T300" i="58"/>
  <c r="T316" i="58"/>
  <c r="T332" i="58"/>
  <c r="T348" i="58"/>
  <c r="T364" i="58"/>
  <c r="T150" i="58"/>
  <c r="T146" i="58"/>
  <c r="T162" i="58"/>
  <c r="T350" i="58"/>
  <c r="T366" i="58"/>
  <c r="T374" i="58"/>
  <c r="T390" i="58"/>
  <c r="T425" i="58"/>
  <c r="T451" i="58"/>
  <c r="T452" i="58"/>
  <c r="T454" i="58"/>
  <c r="T465" i="58"/>
  <c r="T378" i="58"/>
  <c r="T394" i="58"/>
  <c r="T409" i="58"/>
  <c r="T435" i="58"/>
  <c r="T438" i="58"/>
  <c r="T491" i="58"/>
  <c r="T502" i="58"/>
  <c r="T506" i="58"/>
  <c r="T382" i="58"/>
  <c r="T398" i="58"/>
  <c r="T419" i="58"/>
  <c r="T457" i="58"/>
  <c r="T485" i="58"/>
  <c r="T529" i="58"/>
  <c r="T408" i="58"/>
  <c r="T424" i="58"/>
  <c r="T440" i="58"/>
  <c r="T456" i="58"/>
  <c r="T508" i="58"/>
  <c r="T511" i="58"/>
  <c r="T512" i="58"/>
  <c r="T514" i="58"/>
  <c r="T520" i="58"/>
  <c r="T540" i="58"/>
  <c r="T567" i="58"/>
  <c r="T466" i="58"/>
  <c r="T530" i="58"/>
  <c r="T416" i="58"/>
  <c r="T432" i="58"/>
  <c r="T448" i="58"/>
  <c r="T476" i="58"/>
  <c r="T479" i="58"/>
  <c r="T480" i="58"/>
  <c r="T482" i="58"/>
  <c r="T488" i="58"/>
  <c r="T468" i="58"/>
  <c r="T484" i="58"/>
  <c r="T500" i="58"/>
  <c r="T516" i="58"/>
  <c r="T532" i="58"/>
  <c r="T548" i="58"/>
  <c r="T564" i="58"/>
  <c r="T580" i="58"/>
  <c r="T596" i="58"/>
  <c r="T612" i="58"/>
  <c r="T628" i="58"/>
  <c r="T640" i="58"/>
  <c r="T672" i="58"/>
  <c r="T704" i="58"/>
  <c r="T736" i="58"/>
  <c r="T768" i="58"/>
  <c r="T800" i="58"/>
  <c r="T832" i="58"/>
  <c r="T864" i="58"/>
  <c r="T896" i="58"/>
  <c r="T928" i="58"/>
  <c r="T544" i="58"/>
  <c r="T560" i="58"/>
  <c r="T576" i="58"/>
  <c r="T592" i="58"/>
  <c r="T608" i="58"/>
  <c r="T624" i="58"/>
  <c r="T664" i="58"/>
  <c r="T696" i="58"/>
  <c r="T728" i="58"/>
  <c r="T760" i="58"/>
  <c r="T792" i="58"/>
  <c r="T824" i="58"/>
  <c r="T856" i="58"/>
  <c r="T888" i="58"/>
  <c r="T920" i="58"/>
  <c r="T952" i="58"/>
  <c r="Q16" i="57"/>
  <c r="S16" i="57" s="1"/>
  <c r="P16" i="57"/>
  <c r="R16" i="57" s="1"/>
  <c r="O16" i="57"/>
  <c r="N16" i="57"/>
  <c r="M16" i="57"/>
  <c r="L16" i="57"/>
  <c r="Q15" i="57"/>
  <c r="S15" i="57" s="1"/>
  <c r="P15" i="57"/>
  <c r="R15" i="57" s="1"/>
  <c r="O15" i="57"/>
  <c r="N15" i="57"/>
  <c r="M15" i="57"/>
  <c r="L15" i="57"/>
  <c r="Q13" i="57"/>
  <c r="S13" i="57" s="1"/>
  <c r="P13" i="57"/>
  <c r="R13" i="57" s="1"/>
  <c r="O13" i="57"/>
  <c r="N13" i="57"/>
  <c r="M13" i="57"/>
  <c r="L13" i="57"/>
  <c r="Q12" i="57"/>
  <c r="S12" i="57" s="1"/>
  <c r="P12" i="57"/>
  <c r="R12" i="57" s="1"/>
  <c r="O12" i="57"/>
  <c r="N12" i="57"/>
  <c r="M12" i="57"/>
  <c r="L12" i="57"/>
  <c r="T15" i="57" l="1"/>
  <c r="T16" i="57"/>
  <c r="T12" i="57"/>
  <c r="T13" i="57"/>
  <c r="L62" i="57"/>
  <c r="M62" i="57"/>
  <c r="N62" i="57"/>
  <c r="O62" i="57"/>
  <c r="P62" i="57"/>
  <c r="R62" i="57" s="1"/>
  <c r="Q62" i="57"/>
  <c r="S62" i="57" s="1"/>
  <c r="L63" i="57"/>
  <c r="M63" i="57"/>
  <c r="N63" i="57"/>
  <c r="O63" i="57"/>
  <c r="P63" i="57"/>
  <c r="R63" i="57" s="1"/>
  <c r="Q63" i="57"/>
  <c r="S63" i="57" s="1"/>
  <c r="L64" i="57"/>
  <c r="M64" i="57"/>
  <c r="N64" i="57"/>
  <c r="O64" i="57"/>
  <c r="P64" i="57"/>
  <c r="R64" i="57" s="1"/>
  <c r="Q64" i="57"/>
  <c r="S64" i="57" s="1"/>
  <c r="L65" i="57"/>
  <c r="M65" i="57"/>
  <c r="N65" i="57"/>
  <c r="O65" i="57"/>
  <c r="P65" i="57"/>
  <c r="R65" i="57" s="1"/>
  <c r="Q65" i="57"/>
  <c r="S65" i="57" s="1"/>
  <c r="L66" i="57"/>
  <c r="M66" i="57"/>
  <c r="N66" i="57"/>
  <c r="O66" i="57"/>
  <c r="P66" i="57"/>
  <c r="R66" i="57" s="1"/>
  <c r="Q66" i="57"/>
  <c r="S66" i="57" s="1"/>
  <c r="L67" i="57"/>
  <c r="M67" i="57"/>
  <c r="N67" i="57"/>
  <c r="O67" i="57"/>
  <c r="P67" i="57"/>
  <c r="R67" i="57" s="1"/>
  <c r="Q67" i="57"/>
  <c r="S67" i="57" s="1"/>
  <c r="L68" i="57"/>
  <c r="M68" i="57"/>
  <c r="N68" i="57"/>
  <c r="O68" i="57"/>
  <c r="P68" i="57"/>
  <c r="R68" i="57" s="1"/>
  <c r="Q68" i="57"/>
  <c r="S68" i="57" s="1"/>
  <c r="L69" i="57"/>
  <c r="M69" i="57"/>
  <c r="N69" i="57"/>
  <c r="O69" i="57"/>
  <c r="P69" i="57"/>
  <c r="R69" i="57" s="1"/>
  <c r="Q69" i="57"/>
  <c r="S69" i="57" s="1"/>
  <c r="L70" i="57"/>
  <c r="M70" i="57"/>
  <c r="N70" i="57"/>
  <c r="O70" i="57"/>
  <c r="P70" i="57"/>
  <c r="R70" i="57" s="1"/>
  <c r="Q70" i="57"/>
  <c r="S70" i="57" s="1"/>
  <c r="L71" i="57"/>
  <c r="M71" i="57"/>
  <c r="N71" i="57"/>
  <c r="O71" i="57"/>
  <c r="P71" i="57"/>
  <c r="R71" i="57" s="1"/>
  <c r="Q71" i="57"/>
  <c r="S71" i="57" s="1"/>
  <c r="L72" i="57"/>
  <c r="M72" i="57"/>
  <c r="N72" i="57"/>
  <c r="O72" i="57"/>
  <c r="P72" i="57"/>
  <c r="R72" i="57" s="1"/>
  <c r="Q72" i="57"/>
  <c r="S72" i="57" s="1"/>
  <c r="L73" i="57"/>
  <c r="M73" i="57"/>
  <c r="N73" i="57"/>
  <c r="O73" i="57"/>
  <c r="P73" i="57"/>
  <c r="R73" i="57" s="1"/>
  <c r="Q73" i="57"/>
  <c r="S73" i="57" s="1"/>
  <c r="L74" i="57"/>
  <c r="M74" i="57"/>
  <c r="N74" i="57"/>
  <c r="O74" i="57"/>
  <c r="P74" i="57"/>
  <c r="R74" i="57" s="1"/>
  <c r="Q74" i="57"/>
  <c r="S74" i="57" s="1"/>
  <c r="L75" i="57"/>
  <c r="M75" i="57"/>
  <c r="N75" i="57"/>
  <c r="O75" i="57"/>
  <c r="P75" i="57"/>
  <c r="R75" i="57" s="1"/>
  <c r="Q75" i="57"/>
  <c r="S75" i="57" s="1"/>
  <c r="L76" i="57"/>
  <c r="M76" i="57"/>
  <c r="N76" i="57"/>
  <c r="O76" i="57"/>
  <c r="P76" i="57"/>
  <c r="R76" i="57" s="1"/>
  <c r="Q76" i="57"/>
  <c r="S76" i="57" s="1"/>
  <c r="L77" i="57"/>
  <c r="M77" i="57"/>
  <c r="N77" i="57"/>
  <c r="O77" i="57"/>
  <c r="P77" i="57"/>
  <c r="R77" i="57" s="1"/>
  <c r="Q77" i="57"/>
  <c r="S77" i="57" s="1"/>
  <c r="L78" i="57"/>
  <c r="M78" i="57"/>
  <c r="N78" i="57"/>
  <c r="O78" i="57"/>
  <c r="P78" i="57"/>
  <c r="R78" i="57" s="1"/>
  <c r="Q78" i="57"/>
  <c r="S78" i="57" s="1"/>
  <c r="L79" i="57"/>
  <c r="M79" i="57"/>
  <c r="N79" i="57"/>
  <c r="O79" i="57"/>
  <c r="P79" i="57"/>
  <c r="R79" i="57" s="1"/>
  <c r="Q79" i="57"/>
  <c r="S79" i="57" s="1"/>
  <c r="L80" i="57"/>
  <c r="M80" i="57"/>
  <c r="N80" i="57"/>
  <c r="O80" i="57"/>
  <c r="P80" i="57"/>
  <c r="R80" i="57" s="1"/>
  <c r="Q80" i="57"/>
  <c r="S80" i="57" s="1"/>
  <c r="L81" i="57"/>
  <c r="M81" i="57"/>
  <c r="N81" i="57"/>
  <c r="O81" i="57"/>
  <c r="P81" i="57"/>
  <c r="R81" i="57" s="1"/>
  <c r="Q81" i="57"/>
  <c r="S81" i="57" s="1"/>
  <c r="L82" i="57"/>
  <c r="M82" i="57"/>
  <c r="N82" i="57"/>
  <c r="O82" i="57"/>
  <c r="P82" i="57"/>
  <c r="R82" i="57" s="1"/>
  <c r="Q82" i="57"/>
  <c r="S82" i="57" s="1"/>
  <c r="L83" i="57"/>
  <c r="M83" i="57"/>
  <c r="N83" i="57"/>
  <c r="O83" i="57"/>
  <c r="P83" i="57"/>
  <c r="R83" i="57" s="1"/>
  <c r="Q83" i="57"/>
  <c r="S83" i="57" s="1"/>
  <c r="L84" i="57"/>
  <c r="M84" i="57"/>
  <c r="N84" i="57"/>
  <c r="O84" i="57"/>
  <c r="P84" i="57"/>
  <c r="R84" i="57" s="1"/>
  <c r="Q84" i="57"/>
  <c r="S84" i="57" s="1"/>
  <c r="L85" i="57"/>
  <c r="M85" i="57"/>
  <c r="N85" i="57"/>
  <c r="O85" i="57"/>
  <c r="P85" i="57"/>
  <c r="R85" i="57" s="1"/>
  <c r="Q85" i="57"/>
  <c r="S85" i="57" s="1"/>
  <c r="L86" i="57"/>
  <c r="M86" i="57"/>
  <c r="N86" i="57"/>
  <c r="O86" i="57"/>
  <c r="P86" i="57"/>
  <c r="R86" i="57" s="1"/>
  <c r="Q86" i="57"/>
  <c r="S86" i="57" s="1"/>
  <c r="L87" i="57"/>
  <c r="M87" i="57"/>
  <c r="N87" i="57"/>
  <c r="O87" i="57"/>
  <c r="P87" i="57"/>
  <c r="R87" i="57" s="1"/>
  <c r="Q87" i="57"/>
  <c r="S87" i="57" s="1"/>
  <c r="L88" i="57"/>
  <c r="M88" i="57"/>
  <c r="N88" i="57"/>
  <c r="O88" i="57"/>
  <c r="P88" i="57"/>
  <c r="R88" i="57" s="1"/>
  <c r="Q88" i="57"/>
  <c r="S88" i="57" s="1"/>
  <c r="L89" i="57"/>
  <c r="M89" i="57"/>
  <c r="N89" i="57"/>
  <c r="O89" i="57"/>
  <c r="P89" i="57"/>
  <c r="R89" i="57" s="1"/>
  <c r="Q89" i="57"/>
  <c r="S89" i="57" s="1"/>
  <c r="L90" i="57"/>
  <c r="M90" i="57"/>
  <c r="N90" i="57"/>
  <c r="O90" i="57"/>
  <c r="P90" i="57"/>
  <c r="R90" i="57" s="1"/>
  <c r="Q90" i="57"/>
  <c r="S90" i="57" s="1"/>
  <c r="L91" i="57"/>
  <c r="M91" i="57"/>
  <c r="N91" i="57"/>
  <c r="O91" i="57"/>
  <c r="P91" i="57"/>
  <c r="R91" i="57" s="1"/>
  <c r="Q91" i="57"/>
  <c r="S91" i="57" s="1"/>
  <c r="L92" i="57"/>
  <c r="M92" i="57"/>
  <c r="N92" i="57"/>
  <c r="O92" i="57"/>
  <c r="P92" i="57"/>
  <c r="R92" i="57" s="1"/>
  <c r="Q92" i="57"/>
  <c r="S92" i="57" s="1"/>
  <c r="L93" i="57"/>
  <c r="M93" i="57"/>
  <c r="N93" i="57"/>
  <c r="O93" i="57"/>
  <c r="P93" i="57"/>
  <c r="R93" i="57" s="1"/>
  <c r="Q93" i="57"/>
  <c r="S93" i="57" s="1"/>
  <c r="L94" i="57"/>
  <c r="M94" i="57"/>
  <c r="N94" i="57"/>
  <c r="O94" i="57"/>
  <c r="P94" i="57"/>
  <c r="R94" i="57" s="1"/>
  <c r="Q94" i="57"/>
  <c r="S94" i="57" s="1"/>
  <c r="L95" i="57"/>
  <c r="M95" i="57"/>
  <c r="N95" i="57"/>
  <c r="O95" i="57"/>
  <c r="P95" i="57"/>
  <c r="R95" i="57" s="1"/>
  <c r="Q95" i="57"/>
  <c r="S95" i="57" s="1"/>
  <c r="L96" i="57"/>
  <c r="M96" i="57"/>
  <c r="N96" i="57"/>
  <c r="O96" i="57"/>
  <c r="P96" i="57"/>
  <c r="R96" i="57" s="1"/>
  <c r="Q96" i="57"/>
  <c r="S96" i="57" s="1"/>
  <c r="L97" i="57"/>
  <c r="M97" i="57"/>
  <c r="N97" i="57"/>
  <c r="O97" i="57"/>
  <c r="P97" i="57"/>
  <c r="R97" i="57" s="1"/>
  <c r="Q97" i="57"/>
  <c r="S97" i="57" s="1"/>
  <c r="L98" i="57"/>
  <c r="M98" i="57"/>
  <c r="N98" i="57"/>
  <c r="O98" i="57"/>
  <c r="P98" i="57"/>
  <c r="R98" i="57" s="1"/>
  <c r="Q98" i="57"/>
  <c r="S98" i="57" s="1"/>
  <c r="L99" i="57"/>
  <c r="M99" i="57"/>
  <c r="N99" i="57"/>
  <c r="O99" i="57"/>
  <c r="P99" i="57"/>
  <c r="R99" i="57" s="1"/>
  <c r="Q99" i="57"/>
  <c r="S99" i="57" s="1"/>
  <c r="L100" i="57"/>
  <c r="M100" i="57"/>
  <c r="N100" i="57"/>
  <c r="O100" i="57"/>
  <c r="P100" i="57"/>
  <c r="R100" i="57" s="1"/>
  <c r="Q100" i="57"/>
  <c r="S100" i="57" s="1"/>
  <c r="L101" i="57"/>
  <c r="M101" i="57"/>
  <c r="N101" i="57"/>
  <c r="O101" i="57"/>
  <c r="P101" i="57"/>
  <c r="R101" i="57" s="1"/>
  <c r="Q101" i="57"/>
  <c r="S101" i="57" s="1"/>
  <c r="L102" i="57"/>
  <c r="M102" i="57"/>
  <c r="N102" i="57"/>
  <c r="O102" i="57"/>
  <c r="P102" i="57"/>
  <c r="R102" i="57" s="1"/>
  <c r="Q102" i="57"/>
  <c r="S102" i="57" s="1"/>
  <c r="L103" i="57"/>
  <c r="M103" i="57"/>
  <c r="N103" i="57"/>
  <c r="O103" i="57"/>
  <c r="P103" i="57"/>
  <c r="R103" i="57" s="1"/>
  <c r="Q103" i="57"/>
  <c r="S103" i="57" s="1"/>
  <c r="L104" i="57"/>
  <c r="M104" i="57"/>
  <c r="N104" i="57"/>
  <c r="O104" i="57"/>
  <c r="P104" i="57"/>
  <c r="R104" i="57" s="1"/>
  <c r="Q104" i="57"/>
  <c r="S104" i="57" s="1"/>
  <c r="L105" i="57"/>
  <c r="M105" i="57"/>
  <c r="N105" i="57"/>
  <c r="O105" i="57"/>
  <c r="P105" i="57"/>
  <c r="R105" i="57" s="1"/>
  <c r="Q105" i="57"/>
  <c r="S105" i="57" s="1"/>
  <c r="L106" i="57"/>
  <c r="M106" i="57"/>
  <c r="N106" i="57"/>
  <c r="O106" i="57"/>
  <c r="P106" i="57"/>
  <c r="R106" i="57" s="1"/>
  <c r="Q106" i="57"/>
  <c r="S106" i="57" s="1"/>
  <c r="L107" i="57"/>
  <c r="M107" i="57"/>
  <c r="N107" i="57"/>
  <c r="O107" i="57"/>
  <c r="P107" i="57"/>
  <c r="R107" i="57" s="1"/>
  <c r="Q107" i="57"/>
  <c r="S107" i="57" s="1"/>
  <c r="L108" i="57"/>
  <c r="M108" i="57"/>
  <c r="N108" i="57"/>
  <c r="O108" i="57"/>
  <c r="P108" i="57"/>
  <c r="R108" i="57" s="1"/>
  <c r="Q108" i="57"/>
  <c r="S108" i="57" s="1"/>
  <c r="L109" i="57"/>
  <c r="M109" i="57"/>
  <c r="N109" i="57"/>
  <c r="O109" i="57"/>
  <c r="P109" i="57"/>
  <c r="R109" i="57" s="1"/>
  <c r="Q109" i="57"/>
  <c r="S109" i="57" s="1"/>
  <c r="L110" i="57"/>
  <c r="M110" i="57"/>
  <c r="N110" i="57"/>
  <c r="O110" i="57"/>
  <c r="P110" i="57"/>
  <c r="R110" i="57" s="1"/>
  <c r="Q110" i="57"/>
  <c r="S110" i="57" s="1"/>
  <c r="L111" i="57"/>
  <c r="M111" i="57"/>
  <c r="N111" i="57"/>
  <c r="O111" i="57"/>
  <c r="P111" i="57"/>
  <c r="R111" i="57" s="1"/>
  <c r="Q111" i="57"/>
  <c r="S111" i="57" s="1"/>
  <c r="L112" i="57"/>
  <c r="M112" i="57"/>
  <c r="N112" i="57"/>
  <c r="O112" i="57"/>
  <c r="P112" i="57"/>
  <c r="R112" i="57" s="1"/>
  <c r="Q112" i="57"/>
  <c r="S112" i="57" s="1"/>
  <c r="L113" i="57"/>
  <c r="M113" i="57"/>
  <c r="N113" i="57"/>
  <c r="O113" i="57"/>
  <c r="P113" i="57"/>
  <c r="R113" i="57" s="1"/>
  <c r="Q113" i="57"/>
  <c r="S113" i="57" s="1"/>
  <c r="L114" i="57"/>
  <c r="M114" i="57"/>
  <c r="N114" i="57"/>
  <c r="O114" i="57"/>
  <c r="P114" i="57"/>
  <c r="R114" i="57" s="1"/>
  <c r="Q114" i="57"/>
  <c r="S114" i="57" s="1"/>
  <c r="L115" i="57"/>
  <c r="M115" i="57"/>
  <c r="N115" i="57"/>
  <c r="O115" i="57"/>
  <c r="P115" i="57"/>
  <c r="R115" i="57" s="1"/>
  <c r="Q115" i="57"/>
  <c r="S115" i="57" s="1"/>
  <c r="L116" i="57"/>
  <c r="M116" i="57"/>
  <c r="N116" i="57"/>
  <c r="O116" i="57"/>
  <c r="P116" i="57"/>
  <c r="R116" i="57" s="1"/>
  <c r="Q116" i="57"/>
  <c r="S116" i="57" s="1"/>
  <c r="L117" i="57"/>
  <c r="M117" i="57"/>
  <c r="N117" i="57"/>
  <c r="O117" i="57"/>
  <c r="P117" i="57"/>
  <c r="R117" i="57" s="1"/>
  <c r="Q117" i="57"/>
  <c r="S117" i="57" s="1"/>
  <c r="L118" i="57"/>
  <c r="M118" i="57"/>
  <c r="N118" i="57"/>
  <c r="O118" i="57"/>
  <c r="P118" i="57"/>
  <c r="R118" i="57" s="1"/>
  <c r="Q118" i="57"/>
  <c r="S118" i="57" s="1"/>
  <c r="L119" i="57"/>
  <c r="M119" i="57"/>
  <c r="N119" i="57"/>
  <c r="O119" i="57"/>
  <c r="P119" i="57"/>
  <c r="R119" i="57" s="1"/>
  <c r="Q119" i="57"/>
  <c r="S119" i="57" s="1"/>
  <c r="L120" i="57"/>
  <c r="M120" i="57"/>
  <c r="N120" i="57"/>
  <c r="O120" i="57"/>
  <c r="P120" i="57"/>
  <c r="R120" i="57" s="1"/>
  <c r="Q120" i="57"/>
  <c r="S120" i="57" s="1"/>
  <c r="L121" i="57"/>
  <c r="M121" i="57"/>
  <c r="N121" i="57"/>
  <c r="O121" i="57"/>
  <c r="P121" i="57"/>
  <c r="R121" i="57" s="1"/>
  <c r="Q121" i="57"/>
  <c r="S121" i="57" s="1"/>
  <c r="L122" i="57"/>
  <c r="M122" i="57"/>
  <c r="N122" i="57"/>
  <c r="O122" i="57"/>
  <c r="P122" i="57"/>
  <c r="R122" i="57" s="1"/>
  <c r="Q122" i="57"/>
  <c r="S122" i="57" s="1"/>
  <c r="L123" i="57"/>
  <c r="M123" i="57"/>
  <c r="N123" i="57"/>
  <c r="O123" i="57"/>
  <c r="P123" i="57"/>
  <c r="R123" i="57" s="1"/>
  <c r="Q123" i="57"/>
  <c r="S123" i="57" s="1"/>
  <c r="L124" i="57"/>
  <c r="M124" i="57"/>
  <c r="N124" i="57"/>
  <c r="O124" i="57"/>
  <c r="P124" i="57"/>
  <c r="R124" i="57" s="1"/>
  <c r="Q124" i="57"/>
  <c r="S124" i="57" s="1"/>
  <c r="L125" i="57"/>
  <c r="M125" i="57"/>
  <c r="N125" i="57"/>
  <c r="O125" i="57"/>
  <c r="P125" i="57"/>
  <c r="R125" i="57" s="1"/>
  <c r="Q125" i="57"/>
  <c r="S125" i="57" s="1"/>
  <c r="L126" i="57"/>
  <c r="M126" i="57"/>
  <c r="N126" i="57"/>
  <c r="O126" i="57"/>
  <c r="P126" i="57"/>
  <c r="R126" i="57" s="1"/>
  <c r="Q126" i="57"/>
  <c r="S126" i="57" s="1"/>
  <c r="L127" i="57"/>
  <c r="M127" i="57"/>
  <c r="N127" i="57"/>
  <c r="O127" i="57"/>
  <c r="P127" i="57"/>
  <c r="R127" i="57" s="1"/>
  <c r="Q127" i="57"/>
  <c r="S127" i="57" s="1"/>
  <c r="L128" i="57"/>
  <c r="M128" i="57"/>
  <c r="N128" i="57"/>
  <c r="O128" i="57"/>
  <c r="P128" i="57"/>
  <c r="R128" i="57" s="1"/>
  <c r="Q128" i="57"/>
  <c r="S128" i="57" s="1"/>
  <c r="L129" i="57"/>
  <c r="M129" i="57"/>
  <c r="N129" i="57"/>
  <c r="O129" i="57"/>
  <c r="P129" i="57"/>
  <c r="R129" i="57" s="1"/>
  <c r="Q129" i="57"/>
  <c r="S129" i="57" s="1"/>
  <c r="L130" i="57"/>
  <c r="M130" i="57"/>
  <c r="N130" i="57"/>
  <c r="O130" i="57"/>
  <c r="P130" i="57"/>
  <c r="R130" i="57" s="1"/>
  <c r="Q130" i="57"/>
  <c r="S130" i="57" s="1"/>
  <c r="L131" i="57"/>
  <c r="M131" i="57"/>
  <c r="N131" i="57"/>
  <c r="O131" i="57"/>
  <c r="P131" i="57"/>
  <c r="R131" i="57" s="1"/>
  <c r="Q131" i="57"/>
  <c r="S131" i="57" s="1"/>
  <c r="L132" i="57"/>
  <c r="M132" i="57"/>
  <c r="N132" i="57"/>
  <c r="O132" i="57"/>
  <c r="P132" i="57"/>
  <c r="R132" i="57" s="1"/>
  <c r="Q132" i="57"/>
  <c r="S132" i="57" s="1"/>
  <c r="L133" i="57"/>
  <c r="M133" i="57"/>
  <c r="N133" i="57"/>
  <c r="O133" i="57"/>
  <c r="P133" i="57"/>
  <c r="R133" i="57" s="1"/>
  <c r="Q133" i="57"/>
  <c r="S133" i="57" s="1"/>
  <c r="L134" i="57"/>
  <c r="M134" i="57"/>
  <c r="N134" i="57"/>
  <c r="O134" i="57"/>
  <c r="P134" i="57"/>
  <c r="R134" i="57" s="1"/>
  <c r="Q134" i="57"/>
  <c r="S134" i="57" s="1"/>
  <c r="L135" i="57"/>
  <c r="M135" i="57"/>
  <c r="N135" i="57"/>
  <c r="O135" i="57"/>
  <c r="P135" i="57"/>
  <c r="R135" i="57" s="1"/>
  <c r="Q135" i="57"/>
  <c r="S135" i="57" s="1"/>
  <c r="L136" i="57"/>
  <c r="M136" i="57"/>
  <c r="N136" i="57"/>
  <c r="O136" i="57"/>
  <c r="P136" i="57"/>
  <c r="R136" i="57" s="1"/>
  <c r="Q136" i="57"/>
  <c r="S136" i="57" s="1"/>
  <c r="L137" i="57"/>
  <c r="M137" i="57"/>
  <c r="N137" i="57"/>
  <c r="O137" i="57"/>
  <c r="P137" i="57"/>
  <c r="R137" i="57" s="1"/>
  <c r="Q137" i="57"/>
  <c r="S137" i="57" s="1"/>
  <c r="L138" i="57"/>
  <c r="M138" i="57"/>
  <c r="N138" i="57"/>
  <c r="O138" i="57"/>
  <c r="P138" i="57"/>
  <c r="R138" i="57" s="1"/>
  <c r="Q138" i="57"/>
  <c r="S138" i="57" s="1"/>
  <c r="L139" i="57"/>
  <c r="M139" i="57"/>
  <c r="N139" i="57"/>
  <c r="O139" i="57"/>
  <c r="P139" i="57"/>
  <c r="R139" i="57" s="1"/>
  <c r="Q139" i="57"/>
  <c r="S139" i="57" s="1"/>
  <c r="L140" i="57"/>
  <c r="M140" i="57"/>
  <c r="N140" i="57"/>
  <c r="O140" i="57"/>
  <c r="P140" i="57"/>
  <c r="R140" i="57" s="1"/>
  <c r="Q140" i="57"/>
  <c r="S140" i="57" s="1"/>
  <c r="L141" i="57"/>
  <c r="M141" i="57"/>
  <c r="N141" i="57"/>
  <c r="O141" i="57"/>
  <c r="P141" i="57"/>
  <c r="R141" i="57" s="1"/>
  <c r="Q141" i="57"/>
  <c r="S141" i="57" s="1"/>
  <c r="L142" i="57"/>
  <c r="M142" i="57"/>
  <c r="N142" i="57"/>
  <c r="O142" i="57"/>
  <c r="P142" i="57"/>
  <c r="R142" i="57" s="1"/>
  <c r="Q142" i="57"/>
  <c r="S142" i="57" s="1"/>
  <c r="L143" i="57"/>
  <c r="M143" i="57"/>
  <c r="N143" i="57"/>
  <c r="O143" i="57"/>
  <c r="P143" i="57"/>
  <c r="R143" i="57" s="1"/>
  <c r="Q143" i="57"/>
  <c r="S143" i="57" s="1"/>
  <c r="L144" i="57"/>
  <c r="M144" i="57"/>
  <c r="N144" i="57"/>
  <c r="O144" i="57"/>
  <c r="P144" i="57"/>
  <c r="R144" i="57" s="1"/>
  <c r="Q144" i="57"/>
  <c r="S144" i="57" s="1"/>
  <c r="L145" i="57"/>
  <c r="M145" i="57"/>
  <c r="N145" i="57"/>
  <c r="O145" i="57"/>
  <c r="P145" i="57"/>
  <c r="R145" i="57" s="1"/>
  <c r="Q145" i="57"/>
  <c r="S145" i="57" s="1"/>
  <c r="L146" i="57"/>
  <c r="M146" i="57"/>
  <c r="N146" i="57"/>
  <c r="O146" i="57"/>
  <c r="P146" i="57"/>
  <c r="R146" i="57" s="1"/>
  <c r="Q146" i="57"/>
  <c r="S146" i="57" s="1"/>
  <c r="L147" i="57"/>
  <c r="M147" i="57"/>
  <c r="N147" i="57"/>
  <c r="O147" i="57"/>
  <c r="P147" i="57"/>
  <c r="R147" i="57" s="1"/>
  <c r="Q147" i="57"/>
  <c r="S147" i="57" s="1"/>
  <c r="L148" i="57"/>
  <c r="M148" i="57"/>
  <c r="N148" i="57"/>
  <c r="O148" i="57"/>
  <c r="P148" i="57"/>
  <c r="R148" i="57" s="1"/>
  <c r="Q148" i="57"/>
  <c r="S148" i="57" s="1"/>
  <c r="L149" i="57"/>
  <c r="M149" i="57"/>
  <c r="N149" i="57"/>
  <c r="O149" i="57"/>
  <c r="P149" i="57"/>
  <c r="R149" i="57" s="1"/>
  <c r="Q149" i="57"/>
  <c r="S149" i="57" s="1"/>
  <c r="L150" i="57"/>
  <c r="M150" i="57"/>
  <c r="N150" i="57"/>
  <c r="O150" i="57"/>
  <c r="P150" i="57"/>
  <c r="R150" i="57" s="1"/>
  <c r="Q150" i="57"/>
  <c r="S150" i="57" s="1"/>
  <c r="L151" i="57"/>
  <c r="M151" i="57"/>
  <c r="N151" i="57"/>
  <c r="O151" i="57"/>
  <c r="P151" i="57"/>
  <c r="R151" i="57" s="1"/>
  <c r="Q151" i="57"/>
  <c r="S151" i="57" s="1"/>
  <c r="L152" i="57"/>
  <c r="M152" i="57"/>
  <c r="N152" i="57"/>
  <c r="O152" i="57"/>
  <c r="P152" i="57"/>
  <c r="R152" i="57" s="1"/>
  <c r="Q152" i="57"/>
  <c r="S152" i="57" s="1"/>
  <c r="L153" i="57"/>
  <c r="M153" i="57"/>
  <c r="N153" i="57"/>
  <c r="O153" i="57"/>
  <c r="P153" i="57"/>
  <c r="R153" i="57" s="1"/>
  <c r="Q153" i="57"/>
  <c r="S153" i="57" s="1"/>
  <c r="L154" i="57"/>
  <c r="M154" i="57"/>
  <c r="N154" i="57"/>
  <c r="O154" i="57"/>
  <c r="P154" i="57"/>
  <c r="R154" i="57" s="1"/>
  <c r="Q154" i="57"/>
  <c r="S154" i="57" s="1"/>
  <c r="L155" i="57"/>
  <c r="M155" i="57"/>
  <c r="N155" i="57"/>
  <c r="O155" i="57"/>
  <c r="P155" i="57"/>
  <c r="R155" i="57" s="1"/>
  <c r="Q155" i="57"/>
  <c r="S155" i="57" s="1"/>
  <c r="L156" i="57"/>
  <c r="M156" i="57"/>
  <c r="N156" i="57"/>
  <c r="O156" i="57"/>
  <c r="P156" i="57"/>
  <c r="R156" i="57" s="1"/>
  <c r="Q156" i="57"/>
  <c r="S156" i="57" s="1"/>
  <c r="L157" i="57"/>
  <c r="M157" i="57"/>
  <c r="N157" i="57"/>
  <c r="O157" i="57"/>
  <c r="P157" i="57"/>
  <c r="R157" i="57" s="1"/>
  <c r="Q157" i="57"/>
  <c r="S157" i="57" s="1"/>
  <c r="L158" i="57"/>
  <c r="M158" i="57"/>
  <c r="N158" i="57"/>
  <c r="O158" i="57"/>
  <c r="P158" i="57"/>
  <c r="R158" i="57" s="1"/>
  <c r="Q158" i="57"/>
  <c r="S158" i="57" s="1"/>
  <c r="L159" i="57"/>
  <c r="M159" i="57"/>
  <c r="N159" i="57"/>
  <c r="O159" i="57"/>
  <c r="P159" i="57"/>
  <c r="R159" i="57" s="1"/>
  <c r="Q159" i="57"/>
  <c r="S159" i="57" s="1"/>
  <c r="L160" i="57"/>
  <c r="M160" i="57"/>
  <c r="N160" i="57"/>
  <c r="O160" i="57"/>
  <c r="P160" i="57"/>
  <c r="R160" i="57" s="1"/>
  <c r="Q160" i="57"/>
  <c r="S160" i="57" s="1"/>
  <c r="L161" i="57"/>
  <c r="M161" i="57"/>
  <c r="N161" i="57"/>
  <c r="O161" i="57"/>
  <c r="P161" i="57"/>
  <c r="R161" i="57" s="1"/>
  <c r="Q161" i="57"/>
  <c r="S161" i="57" s="1"/>
  <c r="L162" i="57"/>
  <c r="M162" i="57"/>
  <c r="N162" i="57"/>
  <c r="O162" i="57"/>
  <c r="P162" i="57"/>
  <c r="R162" i="57" s="1"/>
  <c r="Q162" i="57"/>
  <c r="S162" i="57" s="1"/>
  <c r="L163" i="57"/>
  <c r="M163" i="57"/>
  <c r="N163" i="57"/>
  <c r="O163" i="57"/>
  <c r="P163" i="57"/>
  <c r="R163" i="57" s="1"/>
  <c r="Q163" i="57"/>
  <c r="S163" i="57" s="1"/>
  <c r="L164" i="57"/>
  <c r="M164" i="57"/>
  <c r="N164" i="57"/>
  <c r="O164" i="57"/>
  <c r="P164" i="57"/>
  <c r="R164" i="57" s="1"/>
  <c r="Q164" i="57"/>
  <c r="S164" i="57" s="1"/>
  <c r="L165" i="57"/>
  <c r="M165" i="57"/>
  <c r="N165" i="57"/>
  <c r="O165" i="57"/>
  <c r="P165" i="57"/>
  <c r="R165" i="57" s="1"/>
  <c r="Q165" i="57"/>
  <c r="S165" i="57" s="1"/>
  <c r="L166" i="57"/>
  <c r="M166" i="57"/>
  <c r="N166" i="57"/>
  <c r="O166" i="57"/>
  <c r="P166" i="57"/>
  <c r="R166" i="57" s="1"/>
  <c r="Q166" i="57"/>
  <c r="S166" i="57" s="1"/>
  <c r="L167" i="57"/>
  <c r="M167" i="57"/>
  <c r="N167" i="57"/>
  <c r="O167" i="57"/>
  <c r="P167" i="57"/>
  <c r="R167" i="57" s="1"/>
  <c r="Q167" i="57"/>
  <c r="S167" i="57" s="1"/>
  <c r="L168" i="57"/>
  <c r="M168" i="57"/>
  <c r="N168" i="57"/>
  <c r="O168" i="57"/>
  <c r="P168" i="57"/>
  <c r="R168" i="57" s="1"/>
  <c r="Q168" i="57"/>
  <c r="S168" i="57" s="1"/>
  <c r="L169" i="57"/>
  <c r="M169" i="57"/>
  <c r="N169" i="57"/>
  <c r="O169" i="57"/>
  <c r="P169" i="57"/>
  <c r="R169" i="57" s="1"/>
  <c r="Q169" i="57"/>
  <c r="S169" i="57" s="1"/>
  <c r="L170" i="57"/>
  <c r="M170" i="57"/>
  <c r="N170" i="57"/>
  <c r="O170" i="57"/>
  <c r="P170" i="57"/>
  <c r="R170" i="57" s="1"/>
  <c r="Q170" i="57"/>
  <c r="S170" i="57" s="1"/>
  <c r="L171" i="57"/>
  <c r="M171" i="57"/>
  <c r="N171" i="57"/>
  <c r="O171" i="57"/>
  <c r="P171" i="57"/>
  <c r="R171" i="57" s="1"/>
  <c r="Q171" i="57"/>
  <c r="S171" i="57" s="1"/>
  <c r="L172" i="57"/>
  <c r="M172" i="57"/>
  <c r="N172" i="57"/>
  <c r="O172" i="57"/>
  <c r="P172" i="57"/>
  <c r="R172" i="57" s="1"/>
  <c r="Q172" i="57"/>
  <c r="S172" i="57" s="1"/>
  <c r="L173" i="57"/>
  <c r="M173" i="57"/>
  <c r="N173" i="57"/>
  <c r="O173" i="57"/>
  <c r="P173" i="57"/>
  <c r="R173" i="57" s="1"/>
  <c r="Q173" i="57"/>
  <c r="S173" i="57" s="1"/>
  <c r="L174" i="57"/>
  <c r="M174" i="57"/>
  <c r="N174" i="57"/>
  <c r="O174" i="57"/>
  <c r="P174" i="57"/>
  <c r="R174" i="57" s="1"/>
  <c r="Q174" i="57"/>
  <c r="S174" i="57" s="1"/>
  <c r="L175" i="57"/>
  <c r="M175" i="57"/>
  <c r="N175" i="57"/>
  <c r="O175" i="57"/>
  <c r="P175" i="57"/>
  <c r="R175" i="57" s="1"/>
  <c r="Q175" i="57"/>
  <c r="S175" i="57" s="1"/>
  <c r="L176" i="57"/>
  <c r="M176" i="57"/>
  <c r="N176" i="57"/>
  <c r="O176" i="57"/>
  <c r="P176" i="57"/>
  <c r="R176" i="57" s="1"/>
  <c r="Q176" i="57"/>
  <c r="S176" i="57" s="1"/>
  <c r="L177" i="57"/>
  <c r="M177" i="57"/>
  <c r="N177" i="57"/>
  <c r="O177" i="57"/>
  <c r="P177" i="57"/>
  <c r="R177" i="57" s="1"/>
  <c r="Q177" i="57"/>
  <c r="S177" i="57" s="1"/>
  <c r="L178" i="57"/>
  <c r="M178" i="57"/>
  <c r="N178" i="57"/>
  <c r="O178" i="57"/>
  <c r="P178" i="57"/>
  <c r="R178" i="57" s="1"/>
  <c r="Q178" i="57"/>
  <c r="S178" i="57" s="1"/>
  <c r="L179" i="57"/>
  <c r="M179" i="57"/>
  <c r="N179" i="57"/>
  <c r="O179" i="57"/>
  <c r="P179" i="57"/>
  <c r="R179" i="57" s="1"/>
  <c r="Q179" i="57"/>
  <c r="S179" i="57" s="1"/>
  <c r="L180" i="57"/>
  <c r="M180" i="57"/>
  <c r="N180" i="57"/>
  <c r="O180" i="57"/>
  <c r="P180" i="57"/>
  <c r="R180" i="57" s="1"/>
  <c r="Q180" i="57"/>
  <c r="S180" i="57" s="1"/>
  <c r="L181" i="57"/>
  <c r="M181" i="57"/>
  <c r="N181" i="57"/>
  <c r="O181" i="57"/>
  <c r="P181" i="57"/>
  <c r="R181" i="57" s="1"/>
  <c r="Q181" i="57"/>
  <c r="S181" i="57" s="1"/>
  <c r="L182" i="57"/>
  <c r="M182" i="57"/>
  <c r="N182" i="57"/>
  <c r="O182" i="57"/>
  <c r="P182" i="57"/>
  <c r="R182" i="57" s="1"/>
  <c r="Q182" i="57"/>
  <c r="S182" i="57" s="1"/>
  <c r="L183" i="57"/>
  <c r="M183" i="57"/>
  <c r="N183" i="57"/>
  <c r="O183" i="57"/>
  <c r="P183" i="57"/>
  <c r="R183" i="57" s="1"/>
  <c r="Q183" i="57"/>
  <c r="S183" i="57" s="1"/>
  <c r="L184" i="57"/>
  <c r="M184" i="57"/>
  <c r="N184" i="57"/>
  <c r="O184" i="57"/>
  <c r="P184" i="57"/>
  <c r="R184" i="57" s="1"/>
  <c r="Q184" i="57"/>
  <c r="S184" i="57" s="1"/>
  <c r="L185" i="57"/>
  <c r="M185" i="57"/>
  <c r="N185" i="57"/>
  <c r="O185" i="57"/>
  <c r="P185" i="57"/>
  <c r="R185" i="57" s="1"/>
  <c r="Q185" i="57"/>
  <c r="S185" i="57" s="1"/>
  <c r="L186" i="57"/>
  <c r="M186" i="57"/>
  <c r="N186" i="57"/>
  <c r="O186" i="57"/>
  <c r="P186" i="57"/>
  <c r="R186" i="57" s="1"/>
  <c r="Q186" i="57"/>
  <c r="S186" i="57" s="1"/>
  <c r="L187" i="57"/>
  <c r="M187" i="57"/>
  <c r="N187" i="57"/>
  <c r="O187" i="57"/>
  <c r="P187" i="57"/>
  <c r="R187" i="57" s="1"/>
  <c r="Q187" i="57"/>
  <c r="S187" i="57" s="1"/>
  <c r="L188" i="57"/>
  <c r="M188" i="57"/>
  <c r="N188" i="57"/>
  <c r="O188" i="57"/>
  <c r="P188" i="57"/>
  <c r="R188" i="57" s="1"/>
  <c r="Q188" i="57"/>
  <c r="S188" i="57" s="1"/>
  <c r="L189" i="57"/>
  <c r="M189" i="57"/>
  <c r="N189" i="57"/>
  <c r="O189" i="57"/>
  <c r="P189" i="57"/>
  <c r="R189" i="57" s="1"/>
  <c r="Q189" i="57"/>
  <c r="S189" i="57" s="1"/>
  <c r="L190" i="57"/>
  <c r="M190" i="57"/>
  <c r="N190" i="57"/>
  <c r="O190" i="57"/>
  <c r="P190" i="57"/>
  <c r="R190" i="57" s="1"/>
  <c r="Q190" i="57"/>
  <c r="S190" i="57" s="1"/>
  <c r="L191" i="57"/>
  <c r="M191" i="57"/>
  <c r="N191" i="57"/>
  <c r="O191" i="57"/>
  <c r="P191" i="57"/>
  <c r="R191" i="57" s="1"/>
  <c r="Q191" i="57"/>
  <c r="S191" i="57" s="1"/>
  <c r="L192" i="57"/>
  <c r="M192" i="57"/>
  <c r="N192" i="57"/>
  <c r="O192" i="57"/>
  <c r="P192" i="57"/>
  <c r="R192" i="57" s="1"/>
  <c r="Q192" i="57"/>
  <c r="S192" i="57" s="1"/>
  <c r="L193" i="57"/>
  <c r="M193" i="57"/>
  <c r="N193" i="57"/>
  <c r="O193" i="57"/>
  <c r="P193" i="57"/>
  <c r="R193" i="57" s="1"/>
  <c r="Q193" i="57"/>
  <c r="S193" i="57" s="1"/>
  <c r="L194" i="57"/>
  <c r="M194" i="57"/>
  <c r="N194" i="57"/>
  <c r="O194" i="57"/>
  <c r="P194" i="57"/>
  <c r="R194" i="57" s="1"/>
  <c r="Q194" i="57"/>
  <c r="S194" i="57" s="1"/>
  <c r="L195" i="57"/>
  <c r="M195" i="57"/>
  <c r="N195" i="57"/>
  <c r="O195" i="57"/>
  <c r="P195" i="57"/>
  <c r="R195" i="57" s="1"/>
  <c r="Q195" i="57"/>
  <c r="S195" i="57" s="1"/>
  <c r="L196" i="57"/>
  <c r="M196" i="57"/>
  <c r="N196" i="57"/>
  <c r="O196" i="57"/>
  <c r="P196" i="57"/>
  <c r="R196" i="57" s="1"/>
  <c r="Q196" i="57"/>
  <c r="S196" i="57" s="1"/>
  <c r="L197" i="57"/>
  <c r="M197" i="57"/>
  <c r="N197" i="57"/>
  <c r="O197" i="57"/>
  <c r="P197" i="57"/>
  <c r="R197" i="57" s="1"/>
  <c r="Q197" i="57"/>
  <c r="S197" i="57" s="1"/>
  <c r="L198" i="57"/>
  <c r="M198" i="57"/>
  <c r="N198" i="57"/>
  <c r="O198" i="57"/>
  <c r="P198" i="57"/>
  <c r="R198" i="57" s="1"/>
  <c r="Q198" i="57"/>
  <c r="S198" i="57" s="1"/>
  <c r="L199" i="57"/>
  <c r="M199" i="57"/>
  <c r="N199" i="57"/>
  <c r="O199" i="57"/>
  <c r="P199" i="57"/>
  <c r="R199" i="57" s="1"/>
  <c r="Q199" i="57"/>
  <c r="S199" i="57" s="1"/>
  <c r="L200" i="57"/>
  <c r="M200" i="57"/>
  <c r="N200" i="57"/>
  <c r="O200" i="57"/>
  <c r="P200" i="57"/>
  <c r="R200" i="57" s="1"/>
  <c r="Q200" i="57"/>
  <c r="S200" i="57" s="1"/>
  <c r="L201" i="57"/>
  <c r="M201" i="57"/>
  <c r="N201" i="57"/>
  <c r="O201" i="57"/>
  <c r="P201" i="57"/>
  <c r="R201" i="57" s="1"/>
  <c r="Q201" i="57"/>
  <c r="S201" i="57" s="1"/>
  <c r="L202" i="57"/>
  <c r="M202" i="57"/>
  <c r="N202" i="57"/>
  <c r="O202" i="57"/>
  <c r="P202" i="57"/>
  <c r="R202" i="57" s="1"/>
  <c r="Q202" i="57"/>
  <c r="S202" i="57" s="1"/>
  <c r="L203" i="57"/>
  <c r="M203" i="57"/>
  <c r="N203" i="57"/>
  <c r="O203" i="57"/>
  <c r="P203" i="57"/>
  <c r="R203" i="57" s="1"/>
  <c r="Q203" i="57"/>
  <c r="S203" i="57" s="1"/>
  <c r="L204" i="57"/>
  <c r="M204" i="57"/>
  <c r="N204" i="57"/>
  <c r="O204" i="57"/>
  <c r="P204" i="57"/>
  <c r="R204" i="57" s="1"/>
  <c r="Q204" i="57"/>
  <c r="S204" i="57" s="1"/>
  <c r="L205" i="57"/>
  <c r="M205" i="57"/>
  <c r="N205" i="57"/>
  <c r="O205" i="57"/>
  <c r="P205" i="57"/>
  <c r="R205" i="57" s="1"/>
  <c r="Q205" i="57"/>
  <c r="S205" i="57" s="1"/>
  <c r="L206" i="57"/>
  <c r="M206" i="57"/>
  <c r="N206" i="57"/>
  <c r="O206" i="57"/>
  <c r="P206" i="57"/>
  <c r="R206" i="57" s="1"/>
  <c r="Q206" i="57"/>
  <c r="S206" i="57" s="1"/>
  <c r="L207" i="57"/>
  <c r="M207" i="57"/>
  <c r="N207" i="57"/>
  <c r="O207" i="57"/>
  <c r="P207" i="57"/>
  <c r="R207" i="57" s="1"/>
  <c r="Q207" i="57"/>
  <c r="S207" i="57" s="1"/>
  <c r="L208" i="57"/>
  <c r="M208" i="57"/>
  <c r="N208" i="57"/>
  <c r="O208" i="57"/>
  <c r="P208" i="57"/>
  <c r="R208" i="57" s="1"/>
  <c r="Q208" i="57"/>
  <c r="S208" i="57" s="1"/>
  <c r="L209" i="57"/>
  <c r="M209" i="57"/>
  <c r="N209" i="57"/>
  <c r="O209" i="57"/>
  <c r="P209" i="57"/>
  <c r="R209" i="57" s="1"/>
  <c r="Q209" i="57"/>
  <c r="S209" i="57" s="1"/>
  <c r="L210" i="57"/>
  <c r="M210" i="57"/>
  <c r="N210" i="57"/>
  <c r="O210" i="57"/>
  <c r="P210" i="57"/>
  <c r="R210" i="57" s="1"/>
  <c r="Q210" i="57"/>
  <c r="S210" i="57" s="1"/>
  <c r="L211" i="57"/>
  <c r="M211" i="57"/>
  <c r="N211" i="57"/>
  <c r="O211" i="57"/>
  <c r="P211" i="57"/>
  <c r="R211" i="57" s="1"/>
  <c r="Q211" i="57"/>
  <c r="S211" i="57" s="1"/>
  <c r="L212" i="57"/>
  <c r="M212" i="57"/>
  <c r="N212" i="57"/>
  <c r="O212" i="57"/>
  <c r="P212" i="57"/>
  <c r="R212" i="57" s="1"/>
  <c r="Q212" i="57"/>
  <c r="S212" i="57" s="1"/>
  <c r="L213" i="57"/>
  <c r="M213" i="57"/>
  <c r="N213" i="57"/>
  <c r="O213" i="57"/>
  <c r="P213" i="57"/>
  <c r="R213" i="57" s="1"/>
  <c r="Q213" i="57"/>
  <c r="S213" i="57" s="1"/>
  <c r="L214" i="57"/>
  <c r="M214" i="57"/>
  <c r="N214" i="57"/>
  <c r="O214" i="57"/>
  <c r="P214" i="57"/>
  <c r="R214" i="57" s="1"/>
  <c r="Q214" i="57"/>
  <c r="S214" i="57" s="1"/>
  <c r="L215" i="57"/>
  <c r="M215" i="57"/>
  <c r="N215" i="57"/>
  <c r="O215" i="57"/>
  <c r="P215" i="57"/>
  <c r="R215" i="57" s="1"/>
  <c r="Q215" i="57"/>
  <c r="S215" i="57" s="1"/>
  <c r="L216" i="57"/>
  <c r="M216" i="57"/>
  <c r="N216" i="57"/>
  <c r="O216" i="57"/>
  <c r="P216" i="57"/>
  <c r="R216" i="57" s="1"/>
  <c r="Q216" i="57"/>
  <c r="S216" i="57" s="1"/>
  <c r="L217" i="57"/>
  <c r="M217" i="57"/>
  <c r="N217" i="57"/>
  <c r="O217" i="57"/>
  <c r="P217" i="57"/>
  <c r="R217" i="57" s="1"/>
  <c r="Q217" i="57"/>
  <c r="S217" i="57" s="1"/>
  <c r="L218" i="57"/>
  <c r="M218" i="57"/>
  <c r="N218" i="57"/>
  <c r="O218" i="57"/>
  <c r="P218" i="57"/>
  <c r="R218" i="57" s="1"/>
  <c r="Q218" i="57"/>
  <c r="S218" i="57" s="1"/>
  <c r="L219" i="57"/>
  <c r="M219" i="57"/>
  <c r="N219" i="57"/>
  <c r="O219" i="57"/>
  <c r="P219" i="57"/>
  <c r="R219" i="57" s="1"/>
  <c r="Q219" i="57"/>
  <c r="S219" i="57" s="1"/>
  <c r="L220" i="57"/>
  <c r="M220" i="57"/>
  <c r="N220" i="57"/>
  <c r="O220" i="57"/>
  <c r="P220" i="57"/>
  <c r="R220" i="57" s="1"/>
  <c r="Q220" i="57"/>
  <c r="S220" i="57" s="1"/>
  <c r="L221" i="57"/>
  <c r="M221" i="57"/>
  <c r="N221" i="57"/>
  <c r="O221" i="57"/>
  <c r="P221" i="57"/>
  <c r="R221" i="57" s="1"/>
  <c r="Q221" i="57"/>
  <c r="S221" i="57" s="1"/>
  <c r="L222" i="57"/>
  <c r="M222" i="57"/>
  <c r="N222" i="57"/>
  <c r="O222" i="57"/>
  <c r="P222" i="57"/>
  <c r="R222" i="57" s="1"/>
  <c r="Q222" i="57"/>
  <c r="S222" i="57" s="1"/>
  <c r="L223" i="57"/>
  <c r="M223" i="57"/>
  <c r="N223" i="57"/>
  <c r="O223" i="57"/>
  <c r="P223" i="57"/>
  <c r="R223" i="57" s="1"/>
  <c r="Q223" i="57"/>
  <c r="S223" i="57" s="1"/>
  <c r="L224" i="57"/>
  <c r="M224" i="57"/>
  <c r="N224" i="57"/>
  <c r="O224" i="57"/>
  <c r="P224" i="57"/>
  <c r="R224" i="57" s="1"/>
  <c r="Q224" i="57"/>
  <c r="S224" i="57" s="1"/>
  <c r="L225" i="57"/>
  <c r="M225" i="57"/>
  <c r="N225" i="57"/>
  <c r="O225" i="57"/>
  <c r="P225" i="57"/>
  <c r="R225" i="57" s="1"/>
  <c r="Q225" i="57"/>
  <c r="S225" i="57" s="1"/>
  <c r="L226" i="57"/>
  <c r="M226" i="57"/>
  <c r="N226" i="57"/>
  <c r="O226" i="57"/>
  <c r="P226" i="57"/>
  <c r="R226" i="57" s="1"/>
  <c r="Q226" i="57"/>
  <c r="S226" i="57" s="1"/>
  <c r="L227" i="57"/>
  <c r="M227" i="57"/>
  <c r="N227" i="57"/>
  <c r="O227" i="57"/>
  <c r="P227" i="57"/>
  <c r="R227" i="57" s="1"/>
  <c r="Q227" i="57"/>
  <c r="S227" i="57" s="1"/>
  <c r="L228" i="57"/>
  <c r="M228" i="57"/>
  <c r="N228" i="57"/>
  <c r="O228" i="57"/>
  <c r="P228" i="57"/>
  <c r="R228" i="57" s="1"/>
  <c r="Q228" i="57"/>
  <c r="S228" i="57" s="1"/>
  <c r="L229" i="57"/>
  <c r="M229" i="57"/>
  <c r="N229" i="57"/>
  <c r="O229" i="57"/>
  <c r="P229" i="57"/>
  <c r="R229" i="57" s="1"/>
  <c r="Q229" i="57"/>
  <c r="S229" i="57" s="1"/>
  <c r="L230" i="57"/>
  <c r="M230" i="57"/>
  <c r="N230" i="57"/>
  <c r="O230" i="57"/>
  <c r="P230" i="57"/>
  <c r="R230" i="57" s="1"/>
  <c r="Q230" i="57"/>
  <c r="S230" i="57" s="1"/>
  <c r="L231" i="57"/>
  <c r="M231" i="57"/>
  <c r="N231" i="57"/>
  <c r="O231" i="57"/>
  <c r="P231" i="57"/>
  <c r="R231" i="57" s="1"/>
  <c r="Q231" i="57"/>
  <c r="S231" i="57" s="1"/>
  <c r="L232" i="57"/>
  <c r="M232" i="57"/>
  <c r="N232" i="57"/>
  <c r="O232" i="57"/>
  <c r="P232" i="57"/>
  <c r="R232" i="57" s="1"/>
  <c r="Q232" i="57"/>
  <c r="S232" i="57" s="1"/>
  <c r="L233" i="57"/>
  <c r="M233" i="57"/>
  <c r="N233" i="57"/>
  <c r="O233" i="57"/>
  <c r="P233" i="57"/>
  <c r="R233" i="57" s="1"/>
  <c r="Q233" i="57"/>
  <c r="S233" i="57" s="1"/>
  <c r="L234" i="57"/>
  <c r="M234" i="57"/>
  <c r="N234" i="57"/>
  <c r="O234" i="57"/>
  <c r="P234" i="57"/>
  <c r="R234" i="57" s="1"/>
  <c r="Q234" i="57"/>
  <c r="S234" i="57" s="1"/>
  <c r="L235" i="57"/>
  <c r="M235" i="57"/>
  <c r="N235" i="57"/>
  <c r="O235" i="57"/>
  <c r="P235" i="57"/>
  <c r="R235" i="57" s="1"/>
  <c r="Q235" i="57"/>
  <c r="S235" i="57" s="1"/>
  <c r="L236" i="57"/>
  <c r="M236" i="57"/>
  <c r="N236" i="57"/>
  <c r="O236" i="57"/>
  <c r="P236" i="57"/>
  <c r="R236" i="57" s="1"/>
  <c r="Q236" i="57"/>
  <c r="S236" i="57" s="1"/>
  <c r="L237" i="57"/>
  <c r="M237" i="57"/>
  <c r="N237" i="57"/>
  <c r="O237" i="57"/>
  <c r="P237" i="57"/>
  <c r="R237" i="57" s="1"/>
  <c r="Q237" i="57"/>
  <c r="S237" i="57" s="1"/>
  <c r="L238" i="57"/>
  <c r="M238" i="57"/>
  <c r="N238" i="57"/>
  <c r="O238" i="57"/>
  <c r="P238" i="57"/>
  <c r="R238" i="57" s="1"/>
  <c r="Q238" i="57"/>
  <c r="S238" i="57" s="1"/>
  <c r="L239" i="57"/>
  <c r="M239" i="57"/>
  <c r="N239" i="57"/>
  <c r="O239" i="57"/>
  <c r="P239" i="57"/>
  <c r="R239" i="57" s="1"/>
  <c r="Q239" i="57"/>
  <c r="S239" i="57" s="1"/>
  <c r="L240" i="57"/>
  <c r="M240" i="57"/>
  <c r="N240" i="57"/>
  <c r="O240" i="57"/>
  <c r="P240" i="57"/>
  <c r="R240" i="57" s="1"/>
  <c r="Q240" i="57"/>
  <c r="S240" i="57" s="1"/>
  <c r="L241" i="57"/>
  <c r="M241" i="57"/>
  <c r="N241" i="57"/>
  <c r="O241" i="57"/>
  <c r="P241" i="57"/>
  <c r="R241" i="57" s="1"/>
  <c r="Q241" i="57"/>
  <c r="S241" i="57" s="1"/>
  <c r="L242" i="57"/>
  <c r="M242" i="57"/>
  <c r="N242" i="57"/>
  <c r="O242" i="57"/>
  <c r="P242" i="57"/>
  <c r="R242" i="57" s="1"/>
  <c r="Q242" i="57"/>
  <c r="S242" i="57" s="1"/>
  <c r="L243" i="57"/>
  <c r="M243" i="57"/>
  <c r="N243" i="57"/>
  <c r="O243" i="57"/>
  <c r="P243" i="57"/>
  <c r="R243" i="57" s="1"/>
  <c r="Q243" i="57"/>
  <c r="S243" i="57" s="1"/>
  <c r="L244" i="57"/>
  <c r="M244" i="57"/>
  <c r="N244" i="57"/>
  <c r="O244" i="57"/>
  <c r="P244" i="57"/>
  <c r="R244" i="57" s="1"/>
  <c r="Q244" i="57"/>
  <c r="S244" i="57" s="1"/>
  <c r="L245" i="57"/>
  <c r="M245" i="57"/>
  <c r="N245" i="57"/>
  <c r="O245" i="57"/>
  <c r="P245" i="57"/>
  <c r="R245" i="57" s="1"/>
  <c r="Q245" i="57"/>
  <c r="S245" i="57" s="1"/>
  <c r="L246" i="57"/>
  <c r="M246" i="57"/>
  <c r="N246" i="57"/>
  <c r="O246" i="57"/>
  <c r="P246" i="57"/>
  <c r="R246" i="57" s="1"/>
  <c r="Q246" i="57"/>
  <c r="S246" i="57" s="1"/>
  <c r="L247" i="57"/>
  <c r="M247" i="57"/>
  <c r="N247" i="57"/>
  <c r="O247" i="57"/>
  <c r="P247" i="57"/>
  <c r="R247" i="57" s="1"/>
  <c r="Q247" i="57"/>
  <c r="S247" i="57" s="1"/>
  <c r="L248" i="57"/>
  <c r="M248" i="57"/>
  <c r="N248" i="57"/>
  <c r="O248" i="57"/>
  <c r="P248" i="57"/>
  <c r="R248" i="57" s="1"/>
  <c r="Q248" i="57"/>
  <c r="S248" i="57" s="1"/>
  <c r="L249" i="57"/>
  <c r="M249" i="57"/>
  <c r="N249" i="57"/>
  <c r="O249" i="57"/>
  <c r="P249" i="57"/>
  <c r="R249" i="57" s="1"/>
  <c r="Q249" i="57"/>
  <c r="S249" i="57" s="1"/>
  <c r="L250" i="57"/>
  <c r="M250" i="57"/>
  <c r="N250" i="57"/>
  <c r="O250" i="57"/>
  <c r="P250" i="57"/>
  <c r="R250" i="57" s="1"/>
  <c r="Q250" i="57"/>
  <c r="S250" i="57" s="1"/>
  <c r="L251" i="57"/>
  <c r="M251" i="57"/>
  <c r="N251" i="57"/>
  <c r="O251" i="57"/>
  <c r="P251" i="57"/>
  <c r="R251" i="57" s="1"/>
  <c r="Q251" i="57"/>
  <c r="S251" i="57" s="1"/>
  <c r="L252" i="57"/>
  <c r="M252" i="57"/>
  <c r="N252" i="57"/>
  <c r="O252" i="57"/>
  <c r="P252" i="57"/>
  <c r="R252" i="57" s="1"/>
  <c r="Q252" i="57"/>
  <c r="S252" i="57" s="1"/>
  <c r="L253" i="57"/>
  <c r="M253" i="57"/>
  <c r="N253" i="57"/>
  <c r="O253" i="57"/>
  <c r="P253" i="57"/>
  <c r="R253" i="57" s="1"/>
  <c r="Q253" i="57"/>
  <c r="S253" i="57" s="1"/>
  <c r="L254" i="57"/>
  <c r="M254" i="57"/>
  <c r="N254" i="57"/>
  <c r="O254" i="57"/>
  <c r="P254" i="57"/>
  <c r="R254" i="57" s="1"/>
  <c r="Q254" i="57"/>
  <c r="S254" i="57" s="1"/>
  <c r="L255" i="57"/>
  <c r="M255" i="57"/>
  <c r="N255" i="57"/>
  <c r="O255" i="57"/>
  <c r="P255" i="57"/>
  <c r="R255" i="57" s="1"/>
  <c r="Q255" i="57"/>
  <c r="S255" i="57" s="1"/>
  <c r="L256" i="57"/>
  <c r="M256" i="57"/>
  <c r="N256" i="57"/>
  <c r="O256" i="57"/>
  <c r="P256" i="57"/>
  <c r="R256" i="57" s="1"/>
  <c r="Q256" i="57"/>
  <c r="S256" i="57" s="1"/>
  <c r="L257" i="57"/>
  <c r="M257" i="57"/>
  <c r="N257" i="57"/>
  <c r="O257" i="57"/>
  <c r="P257" i="57"/>
  <c r="R257" i="57" s="1"/>
  <c r="Q257" i="57"/>
  <c r="S257" i="57" s="1"/>
  <c r="L258" i="57"/>
  <c r="M258" i="57"/>
  <c r="N258" i="57"/>
  <c r="O258" i="57"/>
  <c r="P258" i="57"/>
  <c r="R258" i="57" s="1"/>
  <c r="Q258" i="57"/>
  <c r="S258" i="57" s="1"/>
  <c r="L259" i="57"/>
  <c r="M259" i="57"/>
  <c r="N259" i="57"/>
  <c r="O259" i="57"/>
  <c r="P259" i="57"/>
  <c r="R259" i="57" s="1"/>
  <c r="Q259" i="57"/>
  <c r="S259" i="57" s="1"/>
  <c r="L260" i="57"/>
  <c r="M260" i="57"/>
  <c r="N260" i="57"/>
  <c r="O260" i="57"/>
  <c r="P260" i="57"/>
  <c r="R260" i="57" s="1"/>
  <c r="Q260" i="57"/>
  <c r="S260" i="57" s="1"/>
  <c r="L261" i="57"/>
  <c r="M261" i="57"/>
  <c r="N261" i="57"/>
  <c r="O261" i="57"/>
  <c r="P261" i="57"/>
  <c r="R261" i="57" s="1"/>
  <c r="Q261" i="57"/>
  <c r="S261" i="57" s="1"/>
  <c r="L262" i="57"/>
  <c r="M262" i="57"/>
  <c r="N262" i="57"/>
  <c r="O262" i="57"/>
  <c r="P262" i="57"/>
  <c r="R262" i="57" s="1"/>
  <c r="Q262" i="57"/>
  <c r="S262" i="57" s="1"/>
  <c r="L263" i="57"/>
  <c r="M263" i="57"/>
  <c r="N263" i="57"/>
  <c r="O263" i="57"/>
  <c r="P263" i="57"/>
  <c r="R263" i="57" s="1"/>
  <c r="Q263" i="57"/>
  <c r="S263" i="57" s="1"/>
  <c r="L264" i="57"/>
  <c r="M264" i="57"/>
  <c r="N264" i="57"/>
  <c r="O264" i="57"/>
  <c r="P264" i="57"/>
  <c r="R264" i="57" s="1"/>
  <c r="Q264" i="57"/>
  <c r="S264" i="57" s="1"/>
  <c r="L265" i="57"/>
  <c r="M265" i="57"/>
  <c r="N265" i="57"/>
  <c r="O265" i="57"/>
  <c r="P265" i="57"/>
  <c r="R265" i="57" s="1"/>
  <c r="Q265" i="57"/>
  <c r="S265" i="57" s="1"/>
  <c r="L266" i="57"/>
  <c r="M266" i="57"/>
  <c r="N266" i="57"/>
  <c r="O266" i="57"/>
  <c r="P266" i="57"/>
  <c r="R266" i="57" s="1"/>
  <c r="Q266" i="57"/>
  <c r="S266" i="57" s="1"/>
  <c r="L267" i="57"/>
  <c r="M267" i="57"/>
  <c r="N267" i="57"/>
  <c r="O267" i="57"/>
  <c r="P267" i="57"/>
  <c r="R267" i="57" s="1"/>
  <c r="Q267" i="57"/>
  <c r="S267" i="57" s="1"/>
  <c r="L268" i="57"/>
  <c r="M268" i="57"/>
  <c r="N268" i="57"/>
  <c r="O268" i="57"/>
  <c r="P268" i="57"/>
  <c r="R268" i="57" s="1"/>
  <c r="Q268" i="57"/>
  <c r="S268" i="57" s="1"/>
  <c r="L269" i="57"/>
  <c r="M269" i="57"/>
  <c r="N269" i="57"/>
  <c r="O269" i="57"/>
  <c r="P269" i="57"/>
  <c r="R269" i="57" s="1"/>
  <c r="Q269" i="57"/>
  <c r="S269" i="57" s="1"/>
  <c r="L270" i="57"/>
  <c r="M270" i="57"/>
  <c r="N270" i="57"/>
  <c r="O270" i="57"/>
  <c r="P270" i="57"/>
  <c r="R270" i="57" s="1"/>
  <c r="Q270" i="57"/>
  <c r="S270" i="57" s="1"/>
  <c r="L271" i="57"/>
  <c r="M271" i="57"/>
  <c r="N271" i="57"/>
  <c r="O271" i="57"/>
  <c r="P271" i="57"/>
  <c r="R271" i="57" s="1"/>
  <c r="Q271" i="57"/>
  <c r="S271" i="57" s="1"/>
  <c r="L272" i="57"/>
  <c r="M272" i="57"/>
  <c r="N272" i="57"/>
  <c r="O272" i="57"/>
  <c r="P272" i="57"/>
  <c r="R272" i="57" s="1"/>
  <c r="Q272" i="57"/>
  <c r="S272" i="57" s="1"/>
  <c r="L273" i="57"/>
  <c r="M273" i="57"/>
  <c r="N273" i="57"/>
  <c r="O273" i="57"/>
  <c r="P273" i="57"/>
  <c r="R273" i="57" s="1"/>
  <c r="Q273" i="57"/>
  <c r="S273" i="57" s="1"/>
  <c r="L274" i="57"/>
  <c r="M274" i="57"/>
  <c r="N274" i="57"/>
  <c r="O274" i="57"/>
  <c r="P274" i="57"/>
  <c r="R274" i="57" s="1"/>
  <c r="Q274" i="57"/>
  <c r="S274" i="57" s="1"/>
  <c r="L275" i="57"/>
  <c r="M275" i="57"/>
  <c r="N275" i="57"/>
  <c r="O275" i="57"/>
  <c r="P275" i="57"/>
  <c r="R275" i="57" s="1"/>
  <c r="Q275" i="57"/>
  <c r="S275" i="57" s="1"/>
  <c r="L276" i="57"/>
  <c r="M276" i="57"/>
  <c r="N276" i="57"/>
  <c r="O276" i="57"/>
  <c r="P276" i="57"/>
  <c r="R276" i="57" s="1"/>
  <c r="Q276" i="57"/>
  <c r="S276" i="57" s="1"/>
  <c r="L277" i="57"/>
  <c r="M277" i="57"/>
  <c r="N277" i="57"/>
  <c r="O277" i="57"/>
  <c r="P277" i="57"/>
  <c r="R277" i="57" s="1"/>
  <c r="Q277" i="57"/>
  <c r="S277" i="57" s="1"/>
  <c r="L278" i="57"/>
  <c r="M278" i="57"/>
  <c r="N278" i="57"/>
  <c r="O278" i="57"/>
  <c r="P278" i="57"/>
  <c r="R278" i="57" s="1"/>
  <c r="Q278" i="57"/>
  <c r="S278" i="57" s="1"/>
  <c r="L279" i="57"/>
  <c r="M279" i="57"/>
  <c r="N279" i="57"/>
  <c r="O279" i="57"/>
  <c r="P279" i="57"/>
  <c r="R279" i="57" s="1"/>
  <c r="Q279" i="57"/>
  <c r="S279" i="57" s="1"/>
  <c r="L280" i="57"/>
  <c r="M280" i="57"/>
  <c r="N280" i="57"/>
  <c r="O280" i="57"/>
  <c r="P280" i="57"/>
  <c r="R280" i="57" s="1"/>
  <c r="Q280" i="57"/>
  <c r="S280" i="57" s="1"/>
  <c r="L281" i="57"/>
  <c r="M281" i="57"/>
  <c r="N281" i="57"/>
  <c r="O281" i="57"/>
  <c r="P281" i="57"/>
  <c r="R281" i="57" s="1"/>
  <c r="Q281" i="57"/>
  <c r="S281" i="57" s="1"/>
  <c r="L282" i="57"/>
  <c r="M282" i="57"/>
  <c r="N282" i="57"/>
  <c r="O282" i="57"/>
  <c r="P282" i="57"/>
  <c r="R282" i="57" s="1"/>
  <c r="Q282" i="57"/>
  <c r="S282" i="57" s="1"/>
  <c r="L283" i="57"/>
  <c r="M283" i="57"/>
  <c r="N283" i="57"/>
  <c r="O283" i="57"/>
  <c r="P283" i="57"/>
  <c r="R283" i="57" s="1"/>
  <c r="Q283" i="57"/>
  <c r="S283" i="57" s="1"/>
  <c r="L284" i="57"/>
  <c r="M284" i="57"/>
  <c r="N284" i="57"/>
  <c r="O284" i="57"/>
  <c r="P284" i="57"/>
  <c r="R284" i="57" s="1"/>
  <c r="Q284" i="57"/>
  <c r="S284" i="57" s="1"/>
  <c r="L285" i="57"/>
  <c r="M285" i="57"/>
  <c r="N285" i="57"/>
  <c r="O285" i="57"/>
  <c r="P285" i="57"/>
  <c r="R285" i="57" s="1"/>
  <c r="Q285" i="57"/>
  <c r="S285" i="57" s="1"/>
  <c r="L286" i="57"/>
  <c r="M286" i="57"/>
  <c r="N286" i="57"/>
  <c r="O286" i="57"/>
  <c r="P286" i="57"/>
  <c r="R286" i="57" s="1"/>
  <c r="Q286" i="57"/>
  <c r="S286" i="57" s="1"/>
  <c r="L287" i="57"/>
  <c r="M287" i="57"/>
  <c r="N287" i="57"/>
  <c r="O287" i="57"/>
  <c r="P287" i="57"/>
  <c r="R287" i="57" s="1"/>
  <c r="Q287" i="57"/>
  <c r="S287" i="57" s="1"/>
  <c r="L288" i="57"/>
  <c r="M288" i="57"/>
  <c r="N288" i="57"/>
  <c r="O288" i="57"/>
  <c r="P288" i="57"/>
  <c r="R288" i="57" s="1"/>
  <c r="Q288" i="57"/>
  <c r="S288" i="57" s="1"/>
  <c r="L289" i="57"/>
  <c r="M289" i="57"/>
  <c r="N289" i="57"/>
  <c r="O289" i="57"/>
  <c r="P289" i="57"/>
  <c r="R289" i="57" s="1"/>
  <c r="Q289" i="57"/>
  <c r="S289" i="57" s="1"/>
  <c r="L290" i="57"/>
  <c r="M290" i="57"/>
  <c r="N290" i="57"/>
  <c r="O290" i="57"/>
  <c r="P290" i="57"/>
  <c r="R290" i="57" s="1"/>
  <c r="Q290" i="57"/>
  <c r="S290" i="57" s="1"/>
  <c r="L291" i="57"/>
  <c r="M291" i="57"/>
  <c r="N291" i="57"/>
  <c r="O291" i="57"/>
  <c r="P291" i="57"/>
  <c r="R291" i="57" s="1"/>
  <c r="Q291" i="57"/>
  <c r="S291" i="57" s="1"/>
  <c r="L292" i="57"/>
  <c r="M292" i="57"/>
  <c r="N292" i="57"/>
  <c r="O292" i="57"/>
  <c r="P292" i="57"/>
  <c r="R292" i="57" s="1"/>
  <c r="Q292" i="57"/>
  <c r="S292" i="57" s="1"/>
  <c r="L293" i="57"/>
  <c r="M293" i="57"/>
  <c r="N293" i="57"/>
  <c r="O293" i="57"/>
  <c r="P293" i="57"/>
  <c r="R293" i="57" s="1"/>
  <c r="Q293" i="57"/>
  <c r="S293" i="57" s="1"/>
  <c r="L294" i="57"/>
  <c r="M294" i="57"/>
  <c r="N294" i="57"/>
  <c r="O294" i="57"/>
  <c r="P294" i="57"/>
  <c r="R294" i="57" s="1"/>
  <c r="Q294" i="57"/>
  <c r="S294" i="57" s="1"/>
  <c r="L295" i="57"/>
  <c r="M295" i="57"/>
  <c r="N295" i="57"/>
  <c r="O295" i="57"/>
  <c r="P295" i="57"/>
  <c r="R295" i="57" s="1"/>
  <c r="Q295" i="57"/>
  <c r="S295" i="57" s="1"/>
  <c r="L296" i="57"/>
  <c r="M296" i="57"/>
  <c r="N296" i="57"/>
  <c r="O296" i="57"/>
  <c r="P296" i="57"/>
  <c r="R296" i="57" s="1"/>
  <c r="Q296" i="57"/>
  <c r="S296" i="57" s="1"/>
  <c r="L297" i="57"/>
  <c r="M297" i="57"/>
  <c r="N297" i="57"/>
  <c r="O297" i="57"/>
  <c r="P297" i="57"/>
  <c r="R297" i="57" s="1"/>
  <c r="Q297" i="57"/>
  <c r="S297" i="57" s="1"/>
  <c r="L298" i="57"/>
  <c r="M298" i="57"/>
  <c r="N298" i="57"/>
  <c r="O298" i="57"/>
  <c r="P298" i="57"/>
  <c r="R298" i="57" s="1"/>
  <c r="Q298" i="57"/>
  <c r="S298" i="57" s="1"/>
  <c r="L299" i="57"/>
  <c r="M299" i="57"/>
  <c r="N299" i="57"/>
  <c r="O299" i="57"/>
  <c r="P299" i="57"/>
  <c r="R299" i="57" s="1"/>
  <c r="Q299" i="57"/>
  <c r="S299" i="57" s="1"/>
  <c r="L300" i="57"/>
  <c r="M300" i="57"/>
  <c r="N300" i="57"/>
  <c r="O300" i="57"/>
  <c r="P300" i="57"/>
  <c r="R300" i="57" s="1"/>
  <c r="Q300" i="57"/>
  <c r="S300" i="57" s="1"/>
  <c r="L301" i="57"/>
  <c r="M301" i="57"/>
  <c r="N301" i="57"/>
  <c r="O301" i="57"/>
  <c r="P301" i="57"/>
  <c r="R301" i="57" s="1"/>
  <c r="Q301" i="57"/>
  <c r="S301" i="57" s="1"/>
  <c r="L302" i="57"/>
  <c r="M302" i="57"/>
  <c r="N302" i="57"/>
  <c r="O302" i="57"/>
  <c r="P302" i="57"/>
  <c r="R302" i="57" s="1"/>
  <c r="Q302" i="57"/>
  <c r="S302" i="57" s="1"/>
  <c r="L303" i="57"/>
  <c r="M303" i="57"/>
  <c r="N303" i="57"/>
  <c r="O303" i="57"/>
  <c r="P303" i="57"/>
  <c r="R303" i="57" s="1"/>
  <c r="Q303" i="57"/>
  <c r="S303" i="57" s="1"/>
  <c r="L304" i="57"/>
  <c r="M304" i="57"/>
  <c r="N304" i="57"/>
  <c r="O304" i="57"/>
  <c r="P304" i="57"/>
  <c r="R304" i="57" s="1"/>
  <c r="Q304" i="57"/>
  <c r="S304" i="57" s="1"/>
  <c r="L305" i="57"/>
  <c r="M305" i="57"/>
  <c r="N305" i="57"/>
  <c r="O305" i="57"/>
  <c r="P305" i="57"/>
  <c r="R305" i="57" s="1"/>
  <c r="Q305" i="57"/>
  <c r="S305" i="57" s="1"/>
  <c r="L306" i="57"/>
  <c r="M306" i="57"/>
  <c r="N306" i="57"/>
  <c r="O306" i="57"/>
  <c r="P306" i="57"/>
  <c r="R306" i="57" s="1"/>
  <c r="Q306" i="57"/>
  <c r="S306" i="57" s="1"/>
  <c r="L307" i="57"/>
  <c r="M307" i="57"/>
  <c r="N307" i="57"/>
  <c r="O307" i="57"/>
  <c r="P307" i="57"/>
  <c r="R307" i="57" s="1"/>
  <c r="Q307" i="57"/>
  <c r="S307" i="57" s="1"/>
  <c r="L308" i="57"/>
  <c r="M308" i="57"/>
  <c r="N308" i="57"/>
  <c r="O308" i="57"/>
  <c r="P308" i="57"/>
  <c r="R308" i="57" s="1"/>
  <c r="Q308" i="57"/>
  <c r="S308" i="57" s="1"/>
  <c r="L309" i="57"/>
  <c r="M309" i="57"/>
  <c r="N309" i="57"/>
  <c r="O309" i="57"/>
  <c r="P309" i="57"/>
  <c r="R309" i="57" s="1"/>
  <c r="Q309" i="57"/>
  <c r="S309" i="57" s="1"/>
  <c r="L310" i="57"/>
  <c r="M310" i="57"/>
  <c r="N310" i="57"/>
  <c r="O310" i="57"/>
  <c r="P310" i="57"/>
  <c r="R310" i="57" s="1"/>
  <c r="Q310" i="57"/>
  <c r="S310" i="57" s="1"/>
  <c r="L311" i="57"/>
  <c r="M311" i="57"/>
  <c r="N311" i="57"/>
  <c r="O311" i="57"/>
  <c r="P311" i="57"/>
  <c r="R311" i="57" s="1"/>
  <c r="Q311" i="57"/>
  <c r="S311" i="57" s="1"/>
  <c r="L312" i="57"/>
  <c r="M312" i="57"/>
  <c r="N312" i="57"/>
  <c r="O312" i="57"/>
  <c r="P312" i="57"/>
  <c r="R312" i="57" s="1"/>
  <c r="Q312" i="57"/>
  <c r="S312" i="57" s="1"/>
  <c r="L313" i="57"/>
  <c r="M313" i="57"/>
  <c r="N313" i="57"/>
  <c r="O313" i="57"/>
  <c r="P313" i="57"/>
  <c r="R313" i="57" s="1"/>
  <c r="Q313" i="57"/>
  <c r="S313" i="57" s="1"/>
  <c r="L314" i="57"/>
  <c r="M314" i="57"/>
  <c r="N314" i="57"/>
  <c r="O314" i="57"/>
  <c r="P314" i="57"/>
  <c r="R314" i="57" s="1"/>
  <c r="Q314" i="57"/>
  <c r="S314" i="57" s="1"/>
  <c r="L315" i="57"/>
  <c r="M315" i="57"/>
  <c r="N315" i="57"/>
  <c r="O315" i="57"/>
  <c r="P315" i="57"/>
  <c r="R315" i="57" s="1"/>
  <c r="Q315" i="57"/>
  <c r="S315" i="57" s="1"/>
  <c r="L316" i="57"/>
  <c r="M316" i="57"/>
  <c r="N316" i="57"/>
  <c r="O316" i="57"/>
  <c r="P316" i="57"/>
  <c r="R316" i="57" s="1"/>
  <c r="Q316" i="57"/>
  <c r="S316" i="57" s="1"/>
  <c r="L317" i="57"/>
  <c r="M317" i="57"/>
  <c r="N317" i="57"/>
  <c r="O317" i="57"/>
  <c r="P317" i="57"/>
  <c r="R317" i="57" s="1"/>
  <c r="Q317" i="57"/>
  <c r="S317" i="57" s="1"/>
  <c r="L318" i="57"/>
  <c r="M318" i="57"/>
  <c r="N318" i="57"/>
  <c r="O318" i="57"/>
  <c r="P318" i="57"/>
  <c r="R318" i="57" s="1"/>
  <c r="Q318" i="57"/>
  <c r="S318" i="57" s="1"/>
  <c r="L319" i="57"/>
  <c r="M319" i="57"/>
  <c r="N319" i="57"/>
  <c r="O319" i="57"/>
  <c r="P319" i="57"/>
  <c r="R319" i="57" s="1"/>
  <c r="Q319" i="57"/>
  <c r="S319" i="57" s="1"/>
  <c r="L320" i="57"/>
  <c r="M320" i="57"/>
  <c r="N320" i="57"/>
  <c r="O320" i="57"/>
  <c r="P320" i="57"/>
  <c r="R320" i="57" s="1"/>
  <c r="Q320" i="57"/>
  <c r="S320" i="57" s="1"/>
  <c r="L321" i="57"/>
  <c r="M321" i="57"/>
  <c r="N321" i="57"/>
  <c r="O321" i="57"/>
  <c r="P321" i="57"/>
  <c r="R321" i="57" s="1"/>
  <c r="Q321" i="57"/>
  <c r="S321" i="57" s="1"/>
  <c r="L322" i="57"/>
  <c r="M322" i="57"/>
  <c r="N322" i="57"/>
  <c r="O322" i="57"/>
  <c r="P322" i="57"/>
  <c r="R322" i="57" s="1"/>
  <c r="Q322" i="57"/>
  <c r="S322" i="57" s="1"/>
  <c r="L323" i="57"/>
  <c r="M323" i="57"/>
  <c r="N323" i="57"/>
  <c r="O323" i="57"/>
  <c r="P323" i="57"/>
  <c r="R323" i="57" s="1"/>
  <c r="Q323" i="57"/>
  <c r="S323" i="57" s="1"/>
  <c r="L324" i="57"/>
  <c r="M324" i="57"/>
  <c r="N324" i="57"/>
  <c r="O324" i="57"/>
  <c r="P324" i="57"/>
  <c r="R324" i="57" s="1"/>
  <c r="Q324" i="57"/>
  <c r="S324" i="57" s="1"/>
  <c r="L325" i="57"/>
  <c r="M325" i="57"/>
  <c r="N325" i="57"/>
  <c r="O325" i="57"/>
  <c r="P325" i="57"/>
  <c r="R325" i="57" s="1"/>
  <c r="Q325" i="57"/>
  <c r="S325" i="57" s="1"/>
  <c r="L326" i="57"/>
  <c r="M326" i="57"/>
  <c r="N326" i="57"/>
  <c r="O326" i="57"/>
  <c r="P326" i="57"/>
  <c r="R326" i="57" s="1"/>
  <c r="Q326" i="57"/>
  <c r="S326" i="57" s="1"/>
  <c r="L327" i="57"/>
  <c r="M327" i="57"/>
  <c r="N327" i="57"/>
  <c r="O327" i="57"/>
  <c r="P327" i="57"/>
  <c r="R327" i="57" s="1"/>
  <c r="Q327" i="57"/>
  <c r="S327" i="57" s="1"/>
  <c r="L328" i="57"/>
  <c r="M328" i="57"/>
  <c r="N328" i="57"/>
  <c r="O328" i="57"/>
  <c r="P328" i="57"/>
  <c r="R328" i="57" s="1"/>
  <c r="Q328" i="57"/>
  <c r="S328" i="57" s="1"/>
  <c r="L329" i="57"/>
  <c r="M329" i="57"/>
  <c r="N329" i="57"/>
  <c r="O329" i="57"/>
  <c r="P329" i="57"/>
  <c r="R329" i="57" s="1"/>
  <c r="Q329" i="57"/>
  <c r="S329" i="57" s="1"/>
  <c r="L330" i="57"/>
  <c r="M330" i="57"/>
  <c r="N330" i="57"/>
  <c r="O330" i="57"/>
  <c r="P330" i="57"/>
  <c r="R330" i="57" s="1"/>
  <c r="Q330" i="57"/>
  <c r="S330" i="57" s="1"/>
  <c r="L331" i="57"/>
  <c r="M331" i="57"/>
  <c r="N331" i="57"/>
  <c r="O331" i="57"/>
  <c r="P331" i="57"/>
  <c r="R331" i="57" s="1"/>
  <c r="Q331" i="57"/>
  <c r="S331" i="57" s="1"/>
  <c r="L332" i="57"/>
  <c r="M332" i="57"/>
  <c r="N332" i="57"/>
  <c r="O332" i="57"/>
  <c r="P332" i="57"/>
  <c r="R332" i="57" s="1"/>
  <c r="Q332" i="57"/>
  <c r="S332" i="57" s="1"/>
  <c r="L333" i="57"/>
  <c r="M333" i="57"/>
  <c r="N333" i="57"/>
  <c r="O333" i="57"/>
  <c r="P333" i="57"/>
  <c r="R333" i="57" s="1"/>
  <c r="Q333" i="57"/>
  <c r="S333" i="57" s="1"/>
  <c r="L334" i="57"/>
  <c r="M334" i="57"/>
  <c r="N334" i="57"/>
  <c r="O334" i="57"/>
  <c r="P334" i="57"/>
  <c r="R334" i="57" s="1"/>
  <c r="Q334" i="57"/>
  <c r="S334" i="57" s="1"/>
  <c r="L335" i="57"/>
  <c r="M335" i="57"/>
  <c r="N335" i="57"/>
  <c r="O335" i="57"/>
  <c r="P335" i="57"/>
  <c r="R335" i="57" s="1"/>
  <c r="Q335" i="57"/>
  <c r="S335" i="57" s="1"/>
  <c r="L336" i="57"/>
  <c r="M336" i="57"/>
  <c r="N336" i="57"/>
  <c r="O336" i="57"/>
  <c r="P336" i="57"/>
  <c r="R336" i="57" s="1"/>
  <c r="Q336" i="57"/>
  <c r="S336" i="57" s="1"/>
  <c r="L337" i="57"/>
  <c r="M337" i="57"/>
  <c r="N337" i="57"/>
  <c r="O337" i="57"/>
  <c r="P337" i="57"/>
  <c r="R337" i="57" s="1"/>
  <c r="Q337" i="57"/>
  <c r="S337" i="57" s="1"/>
  <c r="L338" i="57"/>
  <c r="M338" i="57"/>
  <c r="N338" i="57"/>
  <c r="O338" i="57"/>
  <c r="P338" i="57"/>
  <c r="R338" i="57" s="1"/>
  <c r="Q338" i="57"/>
  <c r="S338" i="57" s="1"/>
  <c r="L339" i="57"/>
  <c r="M339" i="57"/>
  <c r="N339" i="57"/>
  <c r="O339" i="57"/>
  <c r="P339" i="57"/>
  <c r="R339" i="57" s="1"/>
  <c r="Q339" i="57"/>
  <c r="S339" i="57" s="1"/>
  <c r="L340" i="57"/>
  <c r="M340" i="57"/>
  <c r="N340" i="57"/>
  <c r="O340" i="57"/>
  <c r="P340" i="57"/>
  <c r="R340" i="57" s="1"/>
  <c r="Q340" i="57"/>
  <c r="S340" i="57" s="1"/>
  <c r="L341" i="57"/>
  <c r="M341" i="57"/>
  <c r="N341" i="57"/>
  <c r="O341" i="57"/>
  <c r="P341" i="57"/>
  <c r="R341" i="57" s="1"/>
  <c r="Q341" i="57"/>
  <c r="S341" i="57" s="1"/>
  <c r="L342" i="57"/>
  <c r="M342" i="57"/>
  <c r="N342" i="57"/>
  <c r="O342" i="57"/>
  <c r="P342" i="57"/>
  <c r="R342" i="57" s="1"/>
  <c r="Q342" i="57"/>
  <c r="S342" i="57" s="1"/>
  <c r="L343" i="57"/>
  <c r="M343" i="57"/>
  <c r="N343" i="57"/>
  <c r="O343" i="57"/>
  <c r="P343" i="57"/>
  <c r="R343" i="57" s="1"/>
  <c r="Q343" i="57"/>
  <c r="S343" i="57" s="1"/>
  <c r="L344" i="57"/>
  <c r="M344" i="57"/>
  <c r="N344" i="57"/>
  <c r="O344" i="57"/>
  <c r="P344" i="57"/>
  <c r="R344" i="57" s="1"/>
  <c r="Q344" i="57"/>
  <c r="S344" i="57" s="1"/>
  <c r="L345" i="57"/>
  <c r="M345" i="57"/>
  <c r="N345" i="57"/>
  <c r="O345" i="57"/>
  <c r="P345" i="57"/>
  <c r="R345" i="57" s="1"/>
  <c r="Q345" i="57"/>
  <c r="S345" i="57" s="1"/>
  <c r="L346" i="57"/>
  <c r="M346" i="57"/>
  <c r="N346" i="57"/>
  <c r="O346" i="57"/>
  <c r="P346" i="57"/>
  <c r="R346" i="57" s="1"/>
  <c r="Q346" i="57"/>
  <c r="S346" i="57" s="1"/>
  <c r="L347" i="57"/>
  <c r="M347" i="57"/>
  <c r="N347" i="57"/>
  <c r="O347" i="57"/>
  <c r="P347" i="57"/>
  <c r="R347" i="57" s="1"/>
  <c r="Q347" i="57"/>
  <c r="S347" i="57" s="1"/>
  <c r="L348" i="57"/>
  <c r="M348" i="57"/>
  <c r="N348" i="57"/>
  <c r="O348" i="57"/>
  <c r="P348" i="57"/>
  <c r="R348" i="57" s="1"/>
  <c r="Q348" i="57"/>
  <c r="S348" i="57" s="1"/>
  <c r="L349" i="57"/>
  <c r="M349" i="57"/>
  <c r="N349" i="57"/>
  <c r="O349" i="57"/>
  <c r="P349" i="57"/>
  <c r="R349" i="57" s="1"/>
  <c r="Q349" i="57"/>
  <c r="S349" i="57" s="1"/>
  <c r="L350" i="57"/>
  <c r="M350" i="57"/>
  <c r="N350" i="57"/>
  <c r="O350" i="57"/>
  <c r="P350" i="57"/>
  <c r="R350" i="57" s="1"/>
  <c r="Q350" i="57"/>
  <c r="S350" i="57" s="1"/>
  <c r="L351" i="57"/>
  <c r="M351" i="57"/>
  <c r="N351" i="57"/>
  <c r="O351" i="57"/>
  <c r="P351" i="57"/>
  <c r="R351" i="57" s="1"/>
  <c r="Q351" i="57"/>
  <c r="S351" i="57" s="1"/>
  <c r="L352" i="57"/>
  <c r="M352" i="57"/>
  <c r="N352" i="57"/>
  <c r="O352" i="57"/>
  <c r="P352" i="57"/>
  <c r="R352" i="57" s="1"/>
  <c r="Q352" i="57"/>
  <c r="S352" i="57" s="1"/>
  <c r="L353" i="57"/>
  <c r="M353" i="57"/>
  <c r="N353" i="57"/>
  <c r="O353" i="57"/>
  <c r="P353" i="57"/>
  <c r="R353" i="57" s="1"/>
  <c r="Q353" i="57"/>
  <c r="S353" i="57" s="1"/>
  <c r="L354" i="57"/>
  <c r="M354" i="57"/>
  <c r="N354" i="57"/>
  <c r="O354" i="57"/>
  <c r="P354" i="57"/>
  <c r="R354" i="57" s="1"/>
  <c r="Q354" i="57"/>
  <c r="S354" i="57" s="1"/>
  <c r="L355" i="57"/>
  <c r="M355" i="57"/>
  <c r="N355" i="57"/>
  <c r="O355" i="57"/>
  <c r="P355" i="57"/>
  <c r="R355" i="57" s="1"/>
  <c r="Q355" i="57"/>
  <c r="S355" i="57" s="1"/>
  <c r="L356" i="57"/>
  <c r="M356" i="57"/>
  <c r="N356" i="57"/>
  <c r="O356" i="57"/>
  <c r="P356" i="57"/>
  <c r="R356" i="57" s="1"/>
  <c r="Q356" i="57"/>
  <c r="S356" i="57" s="1"/>
  <c r="L357" i="57"/>
  <c r="M357" i="57"/>
  <c r="N357" i="57"/>
  <c r="O357" i="57"/>
  <c r="P357" i="57"/>
  <c r="R357" i="57" s="1"/>
  <c r="Q357" i="57"/>
  <c r="S357" i="57" s="1"/>
  <c r="L358" i="57"/>
  <c r="M358" i="57"/>
  <c r="N358" i="57"/>
  <c r="O358" i="57"/>
  <c r="P358" i="57"/>
  <c r="R358" i="57" s="1"/>
  <c r="Q358" i="57"/>
  <c r="S358" i="57" s="1"/>
  <c r="L359" i="57"/>
  <c r="M359" i="57"/>
  <c r="N359" i="57"/>
  <c r="O359" i="57"/>
  <c r="P359" i="57"/>
  <c r="R359" i="57" s="1"/>
  <c r="Q359" i="57"/>
  <c r="S359" i="57" s="1"/>
  <c r="L360" i="57"/>
  <c r="M360" i="57"/>
  <c r="N360" i="57"/>
  <c r="O360" i="57"/>
  <c r="P360" i="57"/>
  <c r="R360" i="57" s="1"/>
  <c r="Q360" i="57"/>
  <c r="S360" i="57" s="1"/>
  <c r="L361" i="57"/>
  <c r="M361" i="57"/>
  <c r="N361" i="57"/>
  <c r="O361" i="57"/>
  <c r="P361" i="57"/>
  <c r="R361" i="57" s="1"/>
  <c r="Q361" i="57"/>
  <c r="S361" i="57" s="1"/>
  <c r="L362" i="57"/>
  <c r="M362" i="57"/>
  <c r="N362" i="57"/>
  <c r="O362" i="57"/>
  <c r="P362" i="57"/>
  <c r="R362" i="57" s="1"/>
  <c r="Q362" i="57"/>
  <c r="S362" i="57" s="1"/>
  <c r="L363" i="57"/>
  <c r="M363" i="57"/>
  <c r="N363" i="57"/>
  <c r="O363" i="57"/>
  <c r="P363" i="57"/>
  <c r="R363" i="57" s="1"/>
  <c r="Q363" i="57"/>
  <c r="S363" i="57" s="1"/>
  <c r="L364" i="57"/>
  <c r="M364" i="57"/>
  <c r="N364" i="57"/>
  <c r="O364" i="57"/>
  <c r="P364" i="57"/>
  <c r="R364" i="57" s="1"/>
  <c r="Q364" i="57"/>
  <c r="S364" i="57" s="1"/>
  <c r="L365" i="57"/>
  <c r="M365" i="57"/>
  <c r="N365" i="57"/>
  <c r="O365" i="57"/>
  <c r="P365" i="57"/>
  <c r="R365" i="57" s="1"/>
  <c r="Q365" i="57"/>
  <c r="S365" i="57" s="1"/>
  <c r="L366" i="57"/>
  <c r="M366" i="57"/>
  <c r="N366" i="57"/>
  <c r="O366" i="57"/>
  <c r="P366" i="57"/>
  <c r="R366" i="57" s="1"/>
  <c r="Q366" i="57"/>
  <c r="S366" i="57" s="1"/>
  <c r="L367" i="57"/>
  <c r="M367" i="57"/>
  <c r="N367" i="57"/>
  <c r="O367" i="57"/>
  <c r="P367" i="57"/>
  <c r="R367" i="57" s="1"/>
  <c r="Q367" i="57"/>
  <c r="S367" i="57" s="1"/>
  <c r="L368" i="57"/>
  <c r="M368" i="57"/>
  <c r="N368" i="57"/>
  <c r="O368" i="57"/>
  <c r="P368" i="57"/>
  <c r="R368" i="57" s="1"/>
  <c r="Q368" i="57"/>
  <c r="S368" i="57" s="1"/>
  <c r="L369" i="57"/>
  <c r="M369" i="57"/>
  <c r="N369" i="57"/>
  <c r="O369" i="57"/>
  <c r="P369" i="57"/>
  <c r="R369" i="57" s="1"/>
  <c r="Q369" i="57"/>
  <c r="S369" i="57" s="1"/>
  <c r="L370" i="57"/>
  <c r="M370" i="57"/>
  <c r="N370" i="57"/>
  <c r="O370" i="57"/>
  <c r="P370" i="57"/>
  <c r="R370" i="57" s="1"/>
  <c r="Q370" i="57"/>
  <c r="S370" i="57" s="1"/>
  <c r="L371" i="57"/>
  <c r="M371" i="57"/>
  <c r="N371" i="57"/>
  <c r="O371" i="57"/>
  <c r="P371" i="57"/>
  <c r="R371" i="57" s="1"/>
  <c r="Q371" i="57"/>
  <c r="S371" i="57" s="1"/>
  <c r="L372" i="57"/>
  <c r="M372" i="57"/>
  <c r="N372" i="57"/>
  <c r="O372" i="57"/>
  <c r="P372" i="57"/>
  <c r="R372" i="57" s="1"/>
  <c r="Q372" i="57"/>
  <c r="S372" i="57" s="1"/>
  <c r="L373" i="57"/>
  <c r="M373" i="57"/>
  <c r="N373" i="57"/>
  <c r="O373" i="57"/>
  <c r="P373" i="57"/>
  <c r="R373" i="57" s="1"/>
  <c r="Q373" i="57"/>
  <c r="S373" i="57" s="1"/>
  <c r="L374" i="57"/>
  <c r="M374" i="57"/>
  <c r="N374" i="57"/>
  <c r="O374" i="57"/>
  <c r="P374" i="57"/>
  <c r="R374" i="57" s="1"/>
  <c r="Q374" i="57"/>
  <c r="S374" i="57" s="1"/>
  <c r="L375" i="57"/>
  <c r="M375" i="57"/>
  <c r="N375" i="57"/>
  <c r="O375" i="57"/>
  <c r="P375" i="57"/>
  <c r="R375" i="57" s="1"/>
  <c r="Q375" i="57"/>
  <c r="S375" i="57" s="1"/>
  <c r="L376" i="57"/>
  <c r="M376" i="57"/>
  <c r="N376" i="57"/>
  <c r="O376" i="57"/>
  <c r="P376" i="57"/>
  <c r="R376" i="57" s="1"/>
  <c r="Q376" i="57"/>
  <c r="S376" i="57" s="1"/>
  <c r="L377" i="57"/>
  <c r="M377" i="57"/>
  <c r="N377" i="57"/>
  <c r="O377" i="57"/>
  <c r="P377" i="57"/>
  <c r="R377" i="57" s="1"/>
  <c r="Q377" i="57"/>
  <c r="S377" i="57" s="1"/>
  <c r="L378" i="57"/>
  <c r="M378" i="57"/>
  <c r="N378" i="57"/>
  <c r="O378" i="57"/>
  <c r="P378" i="57"/>
  <c r="R378" i="57" s="1"/>
  <c r="Q378" i="57"/>
  <c r="S378" i="57" s="1"/>
  <c r="L379" i="57"/>
  <c r="M379" i="57"/>
  <c r="N379" i="57"/>
  <c r="O379" i="57"/>
  <c r="P379" i="57"/>
  <c r="R379" i="57" s="1"/>
  <c r="Q379" i="57"/>
  <c r="S379" i="57" s="1"/>
  <c r="L380" i="57"/>
  <c r="M380" i="57"/>
  <c r="N380" i="57"/>
  <c r="O380" i="57"/>
  <c r="P380" i="57"/>
  <c r="R380" i="57" s="1"/>
  <c r="Q380" i="57"/>
  <c r="S380" i="57" s="1"/>
  <c r="L381" i="57"/>
  <c r="M381" i="57"/>
  <c r="N381" i="57"/>
  <c r="O381" i="57"/>
  <c r="P381" i="57"/>
  <c r="R381" i="57" s="1"/>
  <c r="Q381" i="57"/>
  <c r="S381" i="57" s="1"/>
  <c r="L382" i="57"/>
  <c r="M382" i="57"/>
  <c r="N382" i="57"/>
  <c r="O382" i="57"/>
  <c r="P382" i="57"/>
  <c r="R382" i="57" s="1"/>
  <c r="Q382" i="57"/>
  <c r="S382" i="57" s="1"/>
  <c r="L383" i="57"/>
  <c r="M383" i="57"/>
  <c r="N383" i="57"/>
  <c r="O383" i="57"/>
  <c r="P383" i="57"/>
  <c r="R383" i="57" s="1"/>
  <c r="Q383" i="57"/>
  <c r="S383" i="57" s="1"/>
  <c r="L384" i="57"/>
  <c r="M384" i="57"/>
  <c r="N384" i="57"/>
  <c r="O384" i="57"/>
  <c r="P384" i="57"/>
  <c r="R384" i="57" s="1"/>
  <c r="Q384" i="57"/>
  <c r="S384" i="57" s="1"/>
  <c r="L385" i="57"/>
  <c r="M385" i="57"/>
  <c r="N385" i="57"/>
  <c r="O385" i="57"/>
  <c r="P385" i="57"/>
  <c r="R385" i="57" s="1"/>
  <c r="Q385" i="57"/>
  <c r="S385" i="57" s="1"/>
  <c r="L386" i="57"/>
  <c r="M386" i="57"/>
  <c r="N386" i="57"/>
  <c r="O386" i="57"/>
  <c r="P386" i="57"/>
  <c r="R386" i="57" s="1"/>
  <c r="Q386" i="57"/>
  <c r="S386" i="57" s="1"/>
  <c r="L387" i="57"/>
  <c r="M387" i="57"/>
  <c r="N387" i="57"/>
  <c r="O387" i="57"/>
  <c r="P387" i="57"/>
  <c r="R387" i="57" s="1"/>
  <c r="Q387" i="57"/>
  <c r="S387" i="57" s="1"/>
  <c r="L388" i="57"/>
  <c r="M388" i="57"/>
  <c r="N388" i="57"/>
  <c r="O388" i="57"/>
  <c r="P388" i="57"/>
  <c r="R388" i="57" s="1"/>
  <c r="Q388" i="57"/>
  <c r="S388" i="57" s="1"/>
  <c r="L389" i="57"/>
  <c r="M389" i="57"/>
  <c r="N389" i="57"/>
  <c r="O389" i="57"/>
  <c r="P389" i="57"/>
  <c r="R389" i="57" s="1"/>
  <c r="Q389" i="57"/>
  <c r="S389" i="57" s="1"/>
  <c r="L390" i="57"/>
  <c r="M390" i="57"/>
  <c r="N390" i="57"/>
  <c r="O390" i="57"/>
  <c r="P390" i="57"/>
  <c r="R390" i="57" s="1"/>
  <c r="Q390" i="57"/>
  <c r="S390" i="57" s="1"/>
  <c r="L391" i="57"/>
  <c r="M391" i="57"/>
  <c r="N391" i="57"/>
  <c r="O391" i="57"/>
  <c r="P391" i="57"/>
  <c r="R391" i="57" s="1"/>
  <c r="Q391" i="57"/>
  <c r="S391" i="57" s="1"/>
  <c r="L392" i="57"/>
  <c r="M392" i="57"/>
  <c r="N392" i="57"/>
  <c r="O392" i="57"/>
  <c r="P392" i="57"/>
  <c r="R392" i="57" s="1"/>
  <c r="Q392" i="57"/>
  <c r="S392" i="57" s="1"/>
  <c r="L393" i="57"/>
  <c r="M393" i="57"/>
  <c r="N393" i="57"/>
  <c r="O393" i="57"/>
  <c r="P393" i="57"/>
  <c r="R393" i="57" s="1"/>
  <c r="Q393" i="57"/>
  <c r="S393" i="57" s="1"/>
  <c r="L394" i="57"/>
  <c r="M394" i="57"/>
  <c r="N394" i="57"/>
  <c r="O394" i="57"/>
  <c r="P394" i="57"/>
  <c r="R394" i="57" s="1"/>
  <c r="Q394" i="57"/>
  <c r="S394" i="57" s="1"/>
  <c r="L395" i="57"/>
  <c r="M395" i="57"/>
  <c r="N395" i="57"/>
  <c r="O395" i="57"/>
  <c r="P395" i="57"/>
  <c r="R395" i="57" s="1"/>
  <c r="Q395" i="57"/>
  <c r="S395" i="57" s="1"/>
  <c r="L396" i="57"/>
  <c r="M396" i="57"/>
  <c r="N396" i="57"/>
  <c r="O396" i="57"/>
  <c r="P396" i="57"/>
  <c r="R396" i="57" s="1"/>
  <c r="Q396" i="57"/>
  <c r="S396" i="57" s="1"/>
  <c r="L397" i="57"/>
  <c r="M397" i="57"/>
  <c r="N397" i="57"/>
  <c r="O397" i="57"/>
  <c r="P397" i="57"/>
  <c r="R397" i="57" s="1"/>
  <c r="Q397" i="57"/>
  <c r="S397" i="57" s="1"/>
  <c r="L398" i="57"/>
  <c r="M398" i="57"/>
  <c r="N398" i="57"/>
  <c r="O398" i="57"/>
  <c r="P398" i="57"/>
  <c r="R398" i="57" s="1"/>
  <c r="Q398" i="57"/>
  <c r="S398" i="57" s="1"/>
  <c r="L399" i="57"/>
  <c r="M399" i="57"/>
  <c r="N399" i="57"/>
  <c r="O399" i="57"/>
  <c r="P399" i="57"/>
  <c r="R399" i="57" s="1"/>
  <c r="Q399" i="57"/>
  <c r="S399" i="57" s="1"/>
  <c r="L400" i="57"/>
  <c r="M400" i="57"/>
  <c r="N400" i="57"/>
  <c r="O400" i="57"/>
  <c r="P400" i="57"/>
  <c r="R400" i="57" s="1"/>
  <c r="Q400" i="57"/>
  <c r="S400" i="57" s="1"/>
  <c r="L401" i="57"/>
  <c r="M401" i="57"/>
  <c r="N401" i="57"/>
  <c r="O401" i="57"/>
  <c r="P401" i="57"/>
  <c r="R401" i="57" s="1"/>
  <c r="Q401" i="57"/>
  <c r="S401" i="57" s="1"/>
  <c r="L402" i="57"/>
  <c r="M402" i="57"/>
  <c r="N402" i="57"/>
  <c r="O402" i="57"/>
  <c r="P402" i="57"/>
  <c r="R402" i="57" s="1"/>
  <c r="Q402" i="57"/>
  <c r="S402" i="57" s="1"/>
  <c r="L403" i="57"/>
  <c r="M403" i="57"/>
  <c r="N403" i="57"/>
  <c r="O403" i="57"/>
  <c r="P403" i="57"/>
  <c r="R403" i="57" s="1"/>
  <c r="Q403" i="57"/>
  <c r="S403" i="57" s="1"/>
  <c r="L404" i="57"/>
  <c r="M404" i="57"/>
  <c r="N404" i="57"/>
  <c r="O404" i="57"/>
  <c r="P404" i="57"/>
  <c r="R404" i="57" s="1"/>
  <c r="Q404" i="57"/>
  <c r="S404" i="57" s="1"/>
  <c r="L405" i="57"/>
  <c r="M405" i="57"/>
  <c r="N405" i="57"/>
  <c r="O405" i="57"/>
  <c r="P405" i="57"/>
  <c r="R405" i="57" s="1"/>
  <c r="Q405" i="57"/>
  <c r="S405" i="57" s="1"/>
  <c r="L406" i="57"/>
  <c r="M406" i="57"/>
  <c r="N406" i="57"/>
  <c r="O406" i="57"/>
  <c r="P406" i="57"/>
  <c r="R406" i="57" s="1"/>
  <c r="Q406" i="57"/>
  <c r="S406" i="57" s="1"/>
  <c r="L407" i="57"/>
  <c r="M407" i="57"/>
  <c r="N407" i="57"/>
  <c r="O407" i="57"/>
  <c r="P407" i="57"/>
  <c r="R407" i="57" s="1"/>
  <c r="Q407" i="57"/>
  <c r="S407" i="57" s="1"/>
  <c r="L408" i="57"/>
  <c r="M408" i="57"/>
  <c r="N408" i="57"/>
  <c r="O408" i="57"/>
  <c r="P408" i="57"/>
  <c r="R408" i="57" s="1"/>
  <c r="Q408" i="57"/>
  <c r="S408" i="57" s="1"/>
  <c r="L409" i="57"/>
  <c r="M409" i="57"/>
  <c r="N409" i="57"/>
  <c r="O409" i="57"/>
  <c r="P409" i="57"/>
  <c r="R409" i="57" s="1"/>
  <c r="Q409" i="57"/>
  <c r="S409" i="57" s="1"/>
  <c r="L410" i="57"/>
  <c r="M410" i="57"/>
  <c r="N410" i="57"/>
  <c r="O410" i="57"/>
  <c r="P410" i="57"/>
  <c r="R410" i="57" s="1"/>
  <c r="Q410" i="57"/>
  <c r="S410" i="57" s="1"/>
  <c r="L411" i="57"/>
  <c r="M411" i="57"/>
  <c r="N411" i="57"/>
  <c r="O411" i="57"/>
  <c r="P411" i="57"/>
  <c r="R411" i="57" s="1"/>
  <c r="Q411" i="57"/>
  <c r="S411" i="57" s="1"/>
  <c r="L412" i="57"/>
  <c r="M412" i="57"/>
  <c r="N412" i="57"/>
  <c r="O412" i="57"/>
  <c r="P412" i="57"/>
  <c r="R412" i="57" s="1"/>
  <c r="Q412" i="57"/>
  <c r="S412" i="57" s="1"/>
  <c r="L413" i="57"/>
  <c r="M413" i="57"/>
  <c r="N413" i="57"/>
  <c r="O413" i="57"/>
  <c r="P413" i="57"/>
  <c r="R413" i="57" s="1"/>
  <c r="Q413" i="57"/>
  <c r="S413" i="57" s="1"/>
  <c r="L414" i="57"/>
  <c r="M414" i="57"/>
  <c r="N414" i="57"/>
  <c r="O414" i="57"/>
  <c r="P414" i="57"/>
  <c r="R414" i="57" s="1"/>
  <c r="Q414" i="57"/>
  <c r="S414" i="57" s="1"/>
  <c r="L415" i="57"/>
  <c r="M415" i="57"/>
  <c r="N415" i="57"/>
  <c r="O415" i="57"/>
  <c r="P415" i="57"/>
  <c r="R415" i="57" s="1"/>
  <c r="Q415" i="57"/>
  <c r="S415" i="57" s="1"/>
  <c r="L416" i="57"/>
  <c r="M416" i="57"/>
  <c r="N416" i="57"/>
  <c r="O416" i="57"/>
  <c r="P416" i="57"/>
  <c r="R416" i="57" s="1"/>
  <c r="Q416" i="57"/>
  <c r="S416" i="57" s="1"/>
  <c r="L417" i="57"/>
  <c r="M417" i="57"/>
  <c r="N417" i="57"/>
  <c r="O417" i="57"/>
  <c r="P417" i="57"/>
  <c r="R417" i="57" s="1"/>
  <c r="Q417" i="57"/>
  <c r="S417" i="57" s="1"/>
  <c r="L418" i="57"/>
  <c r="M418" i="57"/>
  <c r="N418" i="57"/>
  <c r="O418" i="57"/>
  <c r="P418" i="57"/>
  <c r="R418" i="57" s="1"/>
  <c r="Q418" i="57"/>
  <c r="S418" i="57" s="1"/>
  <c r="L419" i="57"/>
  <c r="M419" i="57"/>
  <c r="N419" i="57"/>
  <c r="O419" i="57"/>
  <c r="P419" i="57"/>
  <c r="R419" i="57" s="1"/>
  <c r="Q419" i="57"/>
  <c r="S419" i="57" s="1"/>
  <c r="L420" i="57"/>
  <c r="M420" i="57"/>
  <c r="N420" i="57"/>
  <c r="O420" i="57"/>
  <c r="P420" i="57"/>
  <c r="R420" i="57" s="1"/>
  <c r="Q420" i="57"/>
  <c r="S420" i="57" s="1"/>
  <c r="L421" i="57"/>
  <c r="M421" i="57"/>
  <c r="N421" i="57"/>
  <c r="O421" i="57"/>
  <c r="P421" i="57"/>
  <c r="R421" i="57" s="1"/>
  <c r="Q421" i="57"/>
  <c r="S421" i="57" s="1"/>
  <c r="L422" i="57"/>
  <c r="M422" i="57"/>
  <c r="N422" i="57"/>
  <c r="O422" i="57"/>
  <c r="P422" i="57"/>
  <c r="R422" i="57" s="1"/>
  <c r="Q422" i="57"/>
  <c r="S422" i="57" s="1"/>
  <c r="L423" i="57"/>
  <c r="M423" i="57"/>
  <c r="N423" i="57"/>
  <c r="O423" i="57"/>
  <c r="P423" i="57"/>
  <c r="R423" i="57" s="1"/>
  <c r="Q423" i="57"/>
  <c r="S423" i="57" s="1"/>
  <c r="L424" i="57"/>
  <c r="M424" i="57"/>
  <c r="N424" i="57"/>
  <c r="O424" i="57"/>
  <c r="P424" i="57"/>
  <c r="R424" i="57" s="1"/>
  <c r="Q424" i="57"/>
  <c r="S424" i="57" s="1"/>
  <c r="L425" i="57"/>
  <c r="M425" i="57"/>
  <c r="N425" i="57"/>
  <c r="O425" i="57"/>
  <c r="P425" i="57"/>
  <c r="R425" i="57" s="1"/>
  <c r="Q425" i="57"/>
  <c r="S425" i="57" s="1"/>
  <c r="L426" i="57"/>
  <c r="M426" i="57"/>
  <c r="N426" i="57"/>
  <c r="O426" i="57"/>
  <c r="P426" i="57"/>
  <c r="R426" i="57" s="1"/>
  <c r="Q426" i="57"/>
  <c r="S426" i="57" s="1"/>
  <c r="L427" i="57"/>
  <c r="M427" i="57"/>
  <c r="N427" i="57"/>
  <c r="O427" i="57"/>
  <c r="P427" i="57"/>
  <c r="R427" i="57" s="1"/>
  <c r="Q427" i="57"/>
  <c r="S427" i="57" s="1"/>
  <c r="L428" i="57"/>
  <c r="M428" i="57"/>
  <c r="N428" i="57"/>
  <c r="O428" i="57"/>
  <c r="P428" i="57"/>
  <c r="R428" i="57" s="1"/>
  <c r="Q428" i="57"/>
  <c r="S428" i="57" s="1"/>
  <c r="L429" i="57"/>
  <c r="M429" i="57"/>
  <c r="N429" i="57"/>
  <c r="O429" i="57"/>
  <c r="P429" i="57"/>
  <c r="R429" i="57" s="1"/>
  <c r="Q429" i="57"/>
  <c r="S429" i="57" s="1"/>
  <c r="L430" i="57"/>
  <c r="M430" i="57"/>
  <c r="N430" i="57"/>
  <c r="O430" i="57"/>
  <c r="P430" i="57"/>
  <c r="R430" i="57" s="1"/>
  <c r="Q430" i="57"/>
  <c r="S430" i="57" s="1"/>
  <c r="L431" i="57"/>
  <c r="M431" i="57"/>
  <c r="N431" i="57"/>
  <c r="O431" i="57"/>
  <c r="P431" i="57"/>
  <c r="R431" i="57" s="1"/>
  <c r="Q431" i="57"/>
  <c r="S431" i="57" s="1"/>
  <c r="L432" i="57"/>
  <c r="M432" i="57"/>
  <c r="N432" i="57"/>
  <c r="O432" i="57"/>
  <c r="P432" i="57"/>
  <c r="R432" i="57" s="1"/>
  <c r="Q432" i="57"/>
  <c r="S432" i="57" s="1"/>
  <c r="L433" i="57"/>
  <c r="M433" i="57"/>
  <c r="N433" i="57"/>
  <c r="O433" i="57"/>
  <c r="P433" i="57"/>
  <c r="R433" i="57" s="1"/>
  <c r="Q433" i="57"/>
  <c r="S433" i="57" s="1"/>
  <c r="L434" i="57"/>
  <c r="M434" i="57"/>
  <c r="N434" i="57"/>
  <c r="O434" i="57"/>
  <c r="P434" i="57"/>
  <c r="R434" i="57" s="1"/>
  <c r="Q434" i="57"/>
  <c r="S434" i="57" s="1"/>
  <c r="L435" i="57"/>
  <c r="M435" i="57"/>
  <c r="N435" i="57"/>
  <c r="O435" i="57"/>
  <c r="P435" i="57"/>
  <c r="R435" i="57" s="1"/>
  <c r="Q435" i="57"/>
  <c r="S435" i="57" s="1"/>
  <c r="L436" i="57"/>
  <c r="M436" i="57"/>
  <c r="N436" i="57"/>
  <c r="O436" i="57"/>
  <c r="P436" i="57"/>
  <c r="R436" i="57" s="1"/>
  <c r="Q436" i="57"/>
  <c r="S436" i="57" s="1"/>
  <c r="L437" i="57"/>
  <c r="M437" i="57"/>
  <c r="N437" i="57"/>
  <c r="O437" i="57"/>
  <c r="P437" i="57"/>
  <c r="R437" i="57" s="1"/>
  <c r="Q437" i="57"/>
  <c r="S437" i="57" s="1"/>
  <c r="L438" i="57"/>
  <c r="M438" i="57"/>
  <c r="N438" i="57"/>
  <c r="O438" i="57"/>
  <c r="P438" i="57"/>
  <c r="R438" i="57" s="1"/>
  <c r="Q438" i="57"/>
  <c r="S438" i="57" s="1"/>
  <c r="L439" i="57"/>
  <c r="M439" i="57"/>
  <c r="N439" i="57"/>
  <c r="O439" i="57"/>
  <c r="P439" i="57"/>
  <c r="R439" i="57" s="1"/>
  <c r="Q439" i="57"/>
  <c r="S439" i="57" s="1"/>
  <c r="L440" i="57"/>
  <c r="M440" i="57"/>
  <c r="N440" i="57"/>
  <c r="O440" i="57"/>
  <c r="P440" i="57"/>
  <c r="R440" i="57" s="1"/>
  <c r="Q440" i="57"/>
  <c r="S440" i="57" s="1"/>
  <c r="L441" i="57"/>
  <c r="M441" i="57"/>
  <c r="N441" i="57"/>
  <c r="O441" i="57"/>
  <c r="P441" i="57"/>
  <c r="R441" i="57" s="1"/>
  <c r="Q441" i="57"/>
  <c r="S441" i="57" s="1"/>
  <c r="L442" i="57"/>
  <c r="M442" i="57"/>
  <c r="N442" i="57"/>
  <c r="O442" i="57"/>
  <c r="P442" i="57"/>
  <c r="R442" i="57" s="1"/>
  <c r="Q442" i="57"/>
  <c r="S442" i="57" s="1"/>
  <c r="L443" i="57"/>
  <c r="M443" i="57"/>
  <c r="N443" i="57"/>
  <c r="O443" i="57"/>
  <c r="P443" i="57"/>
  <c r="R443" i="57" s="1"/>
  <c r="Q443" i="57"/>
  <c r="S443" i="57" s="1"/>
  <c r="L444" i="57"/>
  <c r="M444" i="57"/>
  <c r="N444" i="57"/>
  <c r="O444" i="57"/>
  <c r="P444" i="57"/>
  <c r="R444" i="57" s="1"/>
  <c r="Q444" i="57"/>
  <c r="S444" i="57" s="1"/>
  <c r="L445" i="57"/>
  <c r="M445" i="57"/>
  <c r="N445" i="57"/>
  <c r="O445" i="57"/>
  <c r="P445" i="57"/>
  <c r="R445" i="57" s="1"/>
  <c r="Q445" i="57"/>
  <c r="S445" i="57" s="1"/>
  <c r="L446" i="57"/>
  <c r="M446" i="57"/>
  <c r="N446" i="57"/>
  <c r="O446" i="57"/>
  <c r="P446" i="57"/>
  <c r="R446" i="57" s="1"/>
  <c r="Q446" i="57"/>
  <c r="S446" i="57" s="1"/>
  <c r="L447" i="57"/>
  <c r="M447" i="57"/>
  <c r="N447" i="57"/>
  <c r="O447" i="57"/>
  <c r="P447" i="57"/>
  <c r="R447" i="57" s="1"/>
  <c r="Q447" i="57"/>
  <c r="S447" i="57" s="1"/>
  <c r="L448" i="57"/>
  <c r="M448" i="57"/>
  <c r="N448" i="57"/>
  <c r="O448" i="57"/>
  <c r="P448" i="57"/>
  <c r="R448" i="57" s="1"/>
  <c r="Q448" i="57"/>
  <c r="S448" i="57" s="1"/>
  <c r="L449" i="57"/>
  <c r="M449" i="57"/>
  <c r="N449" i="57"/>
  <c r="O449" i="57"/>
  <c r="P449" i="57"/>
  <c r="R449" i="57" s="1"/>
  <c r="Q449" i="57"/>
  <c r="S449" i="57" s="1"/>
  <c r="L450" i="57"/>
  <c r="M450" i="57"/>
  <c r="N450" i="57"/>
  <c r="O450" i="57"/>
  <c r="P450" i="57"/>
  <c r="R450" i="57" s="1"/>
  <c r="Q450" i="57"/>
  <c r="S450" i="57" s="1"/>
  <c r="L451" i="57"/>
  <c r="M451" i="57"/>
  <c r="N451" i="57"/>
  <c r="O451" i="57"/>
  <c r="P451" i="57"/>
  <c r="R451" i="57" s="1"/>
  <c r="Q451" i="57"/>
  <c r="S451" i="57" s="1"/>
  <c r="L452" i="57"/>
  <c r="M452" i="57"/>
  <c r="N452" i="57"/>
  <c r="O452" i="57"/>
  <c r="P452" i="57"/>
  <c r="R452" i="57" s="1"/>
  <c r="Q452" i="57"/>
  <c r="S452" i="57" s="1"/>
  <c r="L453" i="57"/>
  <c r="M453" i="57"/>
  <c r="N453" i="57"/>
  <c r="O453" i="57"/>
  <c r="P453" i="57"/>
  <c r="R453" i="57" s="1"/>
  <c r="Q453" i="57"/>
  <c r="S453" i="57" s="1"/>
  <c r="L454" i="57"/>
  <c r="M454" i="57"/>
  <c r="N454" i="57"/>
  <c r="O454" i="57"/>
  <c r="P454" i="57"/>
  <c r="R454" i="57" s="1"/>
  <c r="Q454" i="57"/>
  <c r="S454" i="57" s="1"/>
  <c r="L455" i="57"/>
  <c r="M455" i="57"/>
  <c r="N455" i="57"/>
  <c r="O455" i="57"/>
  <c r="P455" i="57"/>
  <c r="R455" i="57" s="1"/>
  <c r="Q455" i="57"/>
  <c r="S455" i="57" s="1"/>
  <c r="L456" i="57"/>
  <c r="M456" i="57"/>
  <c r="N456" i="57"/>
  <c r="O456" i="57"/>
  <c r="P456" i="57"/>
  <c r="R456" i="57" s="1"/>
  <c r="Q456" i="57"/>
  <c r="S456" i="57" s="1"/>
  <c r="L457" i="57"/>
  <c r="M457" i="57"/>
  <c r="N457" i="57"/>
  <c r="O457" i="57"/>
  <c r="P457" i="57"/>
  <c r="R457" i="57" s="1"/>
  <c r="Q457" i="57"/>
  <c r="S457" i="57" s="1"/>
  <c r="L458" i="57"/>
  <c r="M458" i="57"/>
  <c r="N458" i="57"/>
  <c r="O458" i="57"/>
  <c r="P458" i="57"/>
  <c r="R458" i="57" s="1"/>
  <c r="Q458" i="57"/>
  <c r="S458" i="57" s="1"/>
  <c r="L459" i="57"/>
  <c r="M459" i="57"/>
  <c r="N459" i="57"/>
  <c r="O459" i="57"/>
  <c r="P459" i="57"/>
  <c r="R459" i="57" s="1"/>
  <c r="Q459" i="57"/>
  <c r="S459" i="57" s="1"/>
  <c r="L460" i="57"/>
  <c r="M460" i="57"/>
  <c r="N460" i="57"/>
  <c r="O460" i="57"/>
  <c r="P460" i="57"/>
  <c r="R460" i="57" s="1"/>
  <c r="Q460" i="57"/>
  <c r="S460" i="57" s="1"/>
  <c r="L461" i="57"/>
  <c r="M461" i="57"/>
  <c r="N461" i="57"/>
  <c r="O461" i="57"/>
  <c r="P461" i="57"/>
  <c r="R461" i="57" s="1"/>
  <c r="Q461" i="57"/>
  <c r="S461" i="57" s="1"/>
  <c r="L462" i="57"/>
  <c r="M462" i="57"/>
  <c r="N462" i="57"/>
  <c r="O462" i="57"/>
  <c r="P462" i="57"/>
  <c r="R462" i="57" s="1"/>
  <c r="Q462" i="57"/>
  <c r="S462" i="57" s="1"/>
  <c r="L463" i="57"/>
  <c r="M463" i="57"/>
  <c r="N463" i="57"/>
  <c r="O463" i="57"/>
  <c r="P463" i="57"/>
  <c r="R463" i="57" s="1"/>
  <c r="Q463" i="57"/>
  <c r="S463" i="57" s="1"/>
  <c r="L464" i="57"/>
  <c r="M464" i="57"/>
  <c r="N464" i="57"/>
  <c r="O464" i="57"/>
  <c r="P464" i="57"/>
  <c r="R464" i="57" s="1"/>
  <c r="Q464" i="57"/>
  <c r="S464" i="57" s="1"/>
  <c r="L465" i="57"/>
  <c r="M465" i="57"/>
  <c r="N465" i="57"/>
  <c r="O465" i="57"/>
  <c r="P465" i="57"/>
  <c r="R465" i="57" s="1"/>
  <c r="Q465" i="57"/>
  <c r="S465" i="57" s="1"/>
  <c r="L466" i="57"/>
  <c r="M466" i="57"/>
  <c r="N466" i="57"/>
  <c r="O466" i="57"/>
  <c r="P466" i="57"/>
  <c r="R466" i="57" s="1"/>
  <c r="Q466" i="57"/>
  <c r="S466" i="57" s="1"/>
  <c r="L467" i="57"/>
  <c r="M467" i="57"/>
  <c r="N467" i="57"/>
  <c r="O467" i="57"/>
  <c r="P467" i="57"/>
  <c r="R467" i="57" s="1"/>
  <c r="Q467" i="57"/>
  <c r="S467" i="57" s="1"/>
  <c r="L468" i="57"/>
  <c r="M468" i="57"/>
  <c r="N468" i="57"/>
  <c r="O468" i="57"/>
  <c r="P468" i="57"/>
  <c r="R468" i="57" s="1"/>
  <c r="Q468" i="57"/>
  <c r="S468" i="57" s="1"/>
  <c r="L469" i="57"/>
  <c r="M469" i="57"/>
  <c r="N469" i="57"/>
  <c r="O469" i="57"/>
  <c r="P469" i="57"/>
  <c r="R469" i="57" s="1"/>
  <c r="Q469" i="57"/>
  <c r="S469" i="57" s="1"/>
  <c r="L470" i="57"/>
  <c r="M470" i="57"/>
  <c r="N470" i="57"/>
  <c r="O470" i="57"/>
  <c r="P470" i="57"/>
  <c r="R470" i="57" s="1"/>
  <c r="Q470" i="57"/>
  <c r="S470" i="57" s="1"/>
  <c r="L471" i="57"/>
  <c r="M471" i="57"/>
  <c r="N471" i="57"/>
  <c r="O471" i="57"/>
  <c r="P471" i="57"/>
  <c r="R471" i="57" s="1"/>
  <c r="Q471" i="57"/>
  <c r="S471" i="57" s="1"/>
  <c r="L472" i="57"/>
  <c r="M472" i="57"/>
  <c r="N472" i="57"/>
  <c r="O472" i="57"/>
  <c r="P472" i="57"/>
  <c r="R472" i="57" s="1"/>
  <c r="Q472" i="57"/>
  <c r="S472" i="57" s="1"/>
  <c r="L473" i="57"/>
  <c r="M473" i="57"/>
  <c r="N473" i="57"/>
  <c r="O473" i="57"/>
  <c r="P473" i="57"/>
  <c r="R473" i="57" s="1"/>
  <c r="Q473" i="57"/>
  <c r="S473" i="57" s="1"/>
  <c r="L474" i="57"/>
  <c r="M474" i="57"/>
  <c r="N474" i="57"/>
  <c r="O474" i="57"/>
  <c r="P474" i="57"/>
  <c r="R474" i="57" s="1"/>
  <c r="Q474" i="57"/>
  <c r="S474" i="57" s="1"/>
  <c r="L475" i="57"/>
  <c r="M475" i="57"/>
  <c r="N475" i="57"/>
  <c r="O475" i="57"/>
  <c r="P475" i="57"/>
  <c r="R475" i="57" s="1"/>
  <c r="Q475" i="57"/>
  <c r="S475" i="57" s="1"/>
  <c r="L476" i="57"/>
  <c r="M476" i="57"/>
  <c r="N476" i="57"/>
  <c r="O476" i="57"/>
  <c r="P476" i="57"/>
  <c r="R476" i="57" s="1"/>
  <c r="Q476" i="57"/>
  <c r="S476" i="57" s="1"/>
  <c r="L477" i="57"/>
  <c r="M477" i="57"/>
  <c r="N477" i="57"/>
  <c r="O477" i="57"/>
  <c r="P477" i="57"/>
  <c r="R477" i="57" s="1"/>
  <c r="Q477" i="57"/>
  <c r="S477" i="57" s="1"/>
  <c r="L478" i="57"/>
  <c r="M478" i="57"/>
  <c r="N478" i="57"/>
  <c r="O478" i="57"/>
  <c r="P478" i="57"/>
  <c r="R478" i="57" s="1"/>
  <c r="Q478" i="57"/>
  <c r="S478" i="57" s="1"/>
  <c r="L479" i="57"/>
  <c r="M479" i="57"/>
  <c r="N479" i="57"/>
  <c r="O479" i="57"/>
  <c r="P479" i="57"/>
  <c r="R479" i="57" s="1"/>
  <c r="Q479" i="57"/>
  <c r="S479" i="57" s="1"/>
  <c r="L480" i="57"/>
  <c r="M480" i="57"/>
  <c r="N480" i="57"/>
  <c r="O480" i="57"/>
  <c r="P480" i="57"/>
  <c r="R480" i="57" s="1"/>
  <c r="Q480" i="57"/>
  <c r="S480" i="57" s="1"/>
  <c r="L481" i="57"/>
  <c r="M481" i="57"/>
  <c r="N481" i="57"/>
  <c r="O481" i="57"/>
  <c r="P481" i="57"/>
  <c r="R481" i="57" s="1"/>
  <c r="Q481" i="57"/>
  <c r="S481" i="57" s="1"/>
  <c r="L482" i="57"/>
  <c r="M482" i="57"/>
  <c r="N482" i="57"/>
  <c r="O482" i="57"/>
  <c r="P482" i="57"/>
  <c r="R482" i="57" s="1"/>
  <c r="Q482" i="57"/>
  <c r="S482" i="57" s="1"/>
  <c r="L483" i="57"/>
  <c r="M483" i="57"/>
  <c r="N483" i="57"/>
  <c r="O483" i="57"/>
  <c r="P483" i="57"/>
  <c r="R483" i="57" s="1"/>
  <c r="Q483" i="57"/>
  <c r="S483" i="57" s="1"/>
  <c r="L484" i="57"/>
  <c r="M484" i="57"/>
  <c r="N484" i="57"/>
  <c r="O484" i="57"/>
  <c r="P484" i="57"/>
  <c r="R484" i="57" s="1"/>
  <c r="Q484" i="57"/>
  <c r="S484" i="57" s="1"/>
  <c r="L485" i="57"/>
  <c r="M485" i="57"/>
  <c r="N485" i="57"/>
  <c r="O485" i="57"/>
  <c r="P485" i="57"/>
  <c r="R485" i="57" s="1"/>
  <c r="Q485" i="57"/>
  <c r="S485" i="57" s="1"/>
  <c r="L486" i="57"/>
  <c r="M486" i="57"/>
  <c r="N486" i="57"/>
  <c r="O486" i="57"/>
  <c r="P486" i="57"/>
  <c r="R486" i="57" s="1"/>
  <c r="Q486" i="57"/>
  <c r="S486" i="57" s="1"/>
  <c r="L487" i="57"/>
  <c r="M487" i="57"/>
  <c r="N487" i="57"/>
  <c r="O487" i="57"/>
  <c r="P487" i="57"/>
  <c r="R487" i="57" s="1"/>
  <c r="Q487" i="57"/>
  <c r="S487" i="57" s="1"/>
  <c r="L488" i="57"/>
  <c r="M488" i="57"/>
  <c r="N488" i="57"/>
  <c r="O488" i="57"/>
  <c r="P488" i="57"/>
  <c r="R488" i="57" s="1"/>
  <c r="Q488" i="57"/>
  <c r="S488" i="57" s="1"/>
  <c r="L489" i="57"/>
  <c r="M489" i="57"/>
  <c r="N489" i="57"/>
  <c r="O489" i="57"/>
  <c r="P489" i="57"/>
  <c r="R489" i="57" s="1"/>
  <c r="Q489" i="57"/>
  <c r="S489" i="57" s="1"/>
  <c r="L490" i="57"/>
  <c r="M490" i="57"/>
  <c r="N490" i="57"/>
  <c r="O490" i="57"/>
  <c r="P490" i="57"/>
  <c r="R490" i="57" s="1"/>
  <c r="Q490" i="57"/>
  <c r="S490" i="57" s="1"/>
  <c r="L491" i="57"/>
  <c r="M491" i="57"/>
  <c r="N491" i="57"/>
  <c r="O491" i="57"/>
  <c r="P491" i="57"/>
  <c r="R491" i="57" s="1"/>
  <c r="Q491" i="57"/>
  <c r="S491" i="57" s="1"/>
  <c r="L492" i="57"/>
  <c r="M492" i="57"/>
  <c r="N492" i="57"/>
  <c r="O492" i="57"/>
  <c r="P492" i="57"/>
  <c r="R492" i="57" s="1"/>
  <c r="Q492" i="57"/>
  <c r="S492" i="57" s="1"/>
  <c r="L493" i="57"/>
  <c r="M493" i="57"/>
  <c r="N493" i="57"/>
  <c r="O493" i="57"/>
  <c r="P493" i="57"/>
  <c r="R493" i="57" s="1"/>
  <c r="Q493" i="57"/>
  <c r="S493" i="57" s="1"/>
  <c r="L494" i="57"/>
  <c r="M494" i="57"/>
  <c r="N494" i="57"/>
  <c r="O494" i="57"/>
  <c r="P494" i="57"/>
  <c r="R494" i="57" s="1"/>
  <c r="Q494" i="57"/>
  <c r="S494" i="57" s="1"/>
  <c r="L495" i="57"/>
  <c r="M495" i="57"/>
  <c r="N495" i="57"/>
  <c r="O495" i="57"/>
  <c r="P495" i="57"/>
  <c r="R495" i="57" s="1"/>
  <c r="Q495" i="57"/>
  <c r="S495" i="57" s="1"/>
  <c r="L496" i="57"/>
  <c r="M496" i="57"/>
  <c r="N496" i="57"/>
  <c r="O496" i="57"/>
  <c r="P496" i="57"/>
  <c r="R496" i="57" s="1"/>
  <c r="Q496" i="57"/>
  <c r="S496" i="57" s="1"/>
  <c r="L497" i="57"/>
  <c r="M497" i="57"/>
  <c r="N497" i="57"/>
  <c r="O497" i="57"/>
  <c r="P497" i="57"/>
  <c r="R497" i="57" s="1"/>
  <c r="Q497" i="57"/>
  <c r="S497" i="57" s="1"/>
  <c r="L498" i="57"/>
  <c r="M498" i="57"/>
  <c r="N498" i="57"/>
  <c r="O498" i="57"/>
  <c r="P498" i="57"/>
  <c r="R498" i="57" s="1"/>
  <c r="Q498" i="57"/>
  <c r="S498" i="57" s="1"/>
  <c r="L499" i="57"/>
  <c r="M499" i="57"/>
  <c r="N499" i="57"/>
  <c r="O499" i="57"/>
  <c r="P499" i="57"/>
  <c r="R499" i="57" s="1"/>
  <c r="Q499" i="57"/>
  <c r="S499" i="57" s="1"/>
  <c r="L500" i="57"/>
  <c r="M500" i="57"/>
  <c r="N500" i="57"/>
  <c r="O500" i="57"/>
  <c r="P500" i="57"/>
  <c r="R500" i="57" s="1"/>
  <c r="Q500" i="57"/>
  <c r="S500" i="57" s="1"/>
  <c r="L501" i="57"/>
  <c r="M501" i="57"/>
  <c r="N501" i="57"/>
  <c r="O501" i="57"/>
  <c r="P501" i="57"/>
  <c r="R501" i="57" s="1"/>
  <c r="Q501" i="57"/>
  <c r="S501" i="57" s="1"/>
  <c r="L502" i="57"/>
  <c r="M502" i="57"/>
  <c r="N502" i="57"/>
  <c r="O502" i="57"/>
  <c r="P502" i="57"/>
  <c r="R502" i="57" s="1"/>
  <c r="Q502" i="57"/>
  <c r="S502" i="57" s="1"/>
  <c r="L503" i="57"/>
  <c r="M503" i="57"/>
  <c r="N503" i="57"/>
  <c r="O503" i="57"/>
  <c r="P503" i="57"/>
  <c r="R503" i="57" s="1"/>
  <c r="Q503" i="57"/>
  <c r="S503" i="57" s="1"/>
  <c r="L504" i="57"/>
  <c r="M504" i="57"/>
  <c r="N504" i="57"/>
  <c r="O504" i="57"/>
  <c r="P504" i="57"/>
  <c r="R504" i="57" s="1"/>
  <c r="Q504" i="57"/>
  <c r="S504" i="57" s="1"/>
  <c r="L505" i="57"/>
  <c r="M505" i="57"/>
  <c r="N505" i="57"/>
  <c r="O505" i="57"/>
  <c r="P505" i="57"/>
  <c r="R505" i="57" s="1"/>
  <c r="Q505" i="57"/>
  <c r="S505" i="57" s="1"/>
  <c r="L506" i="57"/>
  <c r="M506" i="57"/>
  <c r="N506" i="57"/>
  <c r="O506" i="57"/>
  <c r="P506" i="57"/>
  <c r="R506" i="57" s="1"/>
  <c r="Q506" i="57"/>
  <c r="S506" i="57" s="1"/>
  <c r="L507" i="57"/>
  <c r="M507" i="57"/>
  <c r="N507" i="57"/>
  <c r="O507" i="57"/>
  <c r="P507" i="57"/>
  <c r="R507" i="57" s="1"/>
  <c r="Q507" i="57"/>
  <c r="S507" i="57" s="1"/>
  <c r="L508" i="57"/>
  <c r="M508" i="57"/>
  <c r="N508" i="57"/>
  <c r="O508" i="57"/>
  <c r="P508" i="57"/>
  <c r="R508" i="57" s="1"/>
  <c r="Q508" i="57"/>
  <c r="S508" i="57" s="1"/>
  <c r="L509" i="57"/>
  <c r="M509" i="57"/>
  <c r="N509" i="57"/>
  <c r="O509" i="57"/>
  <c r="P509" i="57"/>
  <c r="R509" i="57" s="1"/>
  <c r="Q509" i="57"/>
  <c r="S509" i="57" s="1"/>
  <c r="L510" i="57"/>
  <c r="M510" i="57"/>
  <c r="N510" i="57"/>
  <c r="O510" i="57"/>
  <c r="P510" i="57"/>
  <c r="R510" i="57" s="1"/>
  <c r="Q510" i="57"/>
  <c r="S510" i="57" s="1"/>
  <c r="L511" i="57"/>
  <c r="M511" i="57"/>
  <c r="N511" i="57"/>
  <c r="O511" i="57"/>
  <c r="P511" i="57"/>
  <c r="R511" i="57" s="1"/>
  <c r="Q511" i="57"/>
  <c r="S511" i="57" s="1"/>
  <c r="L512" i="57"/>
  <c r="M512" i="57"/>
  <c r="N512" i="57"/>
  <c r="O512" i="57"/>
  <c r="P512" i="57"/>
  <c r="R512" i="57" s="1"/>
  <c r="Q512" i="57"/>
  <c r="S512" i="57" s="1"/>
  <c r="L513" i="57"/>
  <c r="M513" i="57"/>
  <c r="N513" i="57"/>
  <c r="O513" i="57"/>
  <c r="P513" i="57"/>
  <c r="R513" i="57" s="1"/>
  <c r="Q513" i="57"/>
  <c r="S513" i="57" s="1"/>
  <c r="L514" i="57"/>
  <c r="M514" i="57"/>
  <c r="N514" i="57"/>
  <c r="O514" i="57"/>
  <c r="P514" i="57"/>
  <c r="R514" i="57" s="1"/>
  <c r="Q514" i="57"/>
  <c r="S514" i="57" s="1"/>
  <c r="L515" i="57"/>
  <c r="M515" i="57"/>
  <c r="N515" i="57"/>
  <c r="O515" i="57"/>
  <c r="P515" i="57"/>
  <c r="R515" i="57" s="1"/>
  <c r="Q515" i="57"/>
  <c r="S515" i="57" s="1"/>
  <c r="L516" i="57"/>
  <c r="M516" i="57"/>
  <c r="N516" i="57"/>
  <c r="O516" i="57"/>
  <c r="P516" i="57"/>
  <c r="R516" i="57" s="1"/>
  <c r="Q516" i="57"/>
  <c r="S516" i="57" s="1"/>
  <c r="L517" i="57"/>
  <c r="M517" i="57"/>
  <c r="N517" i="57"/>
  <c r="O517" i="57"/>
  <c r="P517" i="57"/>
  <c r="R517" i="57" s="1"/>
  <c r="Q517" i="57"/>
  <c r="S517" i="57" s="1"/>
  <c r="L518" i="57"/>
  <c r="M518" i="57"/>
  <c r="N518" i="57"/>
  <c r="O518" i="57"/>
  <c r="P518" i="57"/>
  <c r="R518" i="57" s="1"/>
  <c r="Q518" i="57"/>
  <c r="S518" i="57" s="1"/>
  <c r="L519" i="57"/>
  <c r="M519" i="57"/>
  <c r="N519" i="57"/>
  <c r="O519" i="57"/>
  <c r="P519" i="57"/>
  <c r="R519" i="57" s="1"/>
  <c r="Q519" i="57"/>
  <c r="S519" i="57" s="1"/>
  <c r="L520" i="57"/>
  <c r="M520" i="57"/>
  <c r="N520" i="57"/>
  <c r="O520" i="57"/>
  <c r="P520" i="57"/>
  <c r="R520" i="57" s="1"/>
  <c r="Q520" i="57"/>
  <c r="S520" i="57" s="1"/>
  <c r="L521" i="57"/>
  <c r="M521" i="57"/>
  <c r="N521" i="57"/>
  <c r="O521" i="57"/>
  <c r="P521" i="57"/>
  <c r="R521" i="57" s="1"/>
  <c r="Q521" i="57"/>
  <c r="S521" i="57" s="1"/>
  <c r="L522" i="57"/>
  <c r="M522" i="57"/>
  <c r="N522" i="57"/>
  <c r="O522" i="57"/>
  <c r="P522" i="57"/>
  <c r="R522" i="57" s="1"/>
  <c r="Q522" i="57"/>
  <c r="S522" i="57" s="1"/>
  <c r="L523" i="57"/>
  <c r="M523" i="57"/>
  <c r="N523" i="57"/>
  <c r="O523" i="57"/>
  <c r="P523" i="57"/>
  <c r="R523" i="57" s="1"/>
  <c r="Q523" i="57"/>
  <c r="S523" i="57" s="1"/>
  <c r="L524" i="57"/>
  <c r="M524" i="57"/>
  <c r="N524" i="57"/>
  <c r="O524" i="57"/>
  <c r="P524" i="57"/>
  <c r="R524" i="57" s="1"/>
  <c r="Q524" i="57"/>
  <c r="S524" i="57" s="1"/>
  <c r="L525" i="57"/>
  <c r="M525" i="57"/>
  <c r="N525" i="57"/>
  <c r="O525" i="57"/>
  <c r="P525" i="57"/>
  <c r="R525" i="57" s="1"/>
  <c r="Q525" i="57"/>
  <c r="S525" i="57" s="1"/>
  <c r="L526" i="57"/>
  <c r="M526" i="57"/>
  <c r="N526" i="57"/>
  <c r="O526" i="57"/>
  <c r="P526" i="57"/>
  <c r="R526" i="57" s="1"/>
  <c r="Q526" i="57"/>
  <c r="S526" i="57" s="1"/>
  <c r="L527" i="57"/>
  <c r="M527" i="57"/>
  <c r="N527" i="57"/>
  <c r="O527" i="57"/>
  <c r="P527" i="57"/>
  <c r="R527" i="57" s="1"/>
  <c r="Q527" i="57"/>
  <c r="S527" i="57" s="1"/>
  <c r="L528" i="57"/>
  <c r="M528" i="57"/>
  <c r="N528" i="57"/>
  <c r="O528" i="57"/>
  <c r="P528" i="57"/>
  <c r="R528" i="57" s="1"/>
  <c r="Q528" i="57"/>
  <c r="S528" i="57" s="1"/>
  <c r="L529" i="57"/>
  <c r="M529" i="57"/>
  <c r="N529" i="57"/>
  <c r="O529" i="57"/>
  <c r="P529" i="57"/>
  <c r="R529" i="57" s="1"/>
  <c r="Q529" i="57"/>
  <c r="S529" i="57" s="1"/>
  <c r="L530" i="57"/>
  <c r="M530" i="57"/>
  <c r="N530" i="57"/>
  <c r="O530" i="57"/>
  <c r="P530" i="57"/>
  <c r="R530" i="57" s="1"/>
  <c r="Q530" i="57"/>
  <c r="S530" i="57" s="1"/>
  <c r="L531" i="57"/>
  <c r="M531" i="57"/>
  <c r="N531" i="57"/>
  <c r="O531" i="57"/>
  <c r="P531" i="57"/>
  <c r="R531" i="57" s="1"/>
  <c r="Q531" i="57"/>
  <c r="S531" i="57" s="1"/>
  <c r="L532" i="57"/>
  <c r="M532" i="57"/>
  <c r="N532" i="57"/>
  <c r="O532" i="57"/>
  <c r="P532" i="57"/>
  <c r="R532" i="57" s="1"/>
  <c r="Q532" i="57"/>
  <c r="S532" i="57" s="1"/>
  <c r="L533" i="57"/>
  <c r="M533" i="57"/>
  <c r="N533" i="57"/>
  <c r="O533" i="57"/>
  <c r="P533" i="57"/>
  <c r="R533" i="57" s="1"/>
  <c r="Q533" i="57"/>
  <c r="S533" i="57" s="1"/>
  <c r="L534" i="57"/>
  <c r="M534" i="57"/>
  <c r="N534" i="57"/>
  <c r="O534" i="57"/>
  <c r="P534" i="57"/>
  <c r="R534" i="57" s="1"/>
  <c r="Q534" i="57"/>
  <c r="S534" i="57" s="1"/>
  <c r="L535" i="57"/>
  <c r="M535" i="57"/>
  <c r="N535" i="57"/>
  <c r="O535" i="57"/>
  <c r="P535" i="57"/>
  <c r="R535" i="57" s="1"/>
  <c r="Q535" i="57"/>
  <c r="S535" i="57" s="1"/>
  <c r="L536" i="57"/>
  <c r="M536" i="57"/>
  <c r="N536" i="57"/>
  <c r="O536" i="57"/>
  <c r="P536" i="57"/>
  <c r="R536" i="57" s="1"/>
  <c r="Q536" i="57"/>
  <c r="S536" i="57" s="1"/>
  <c r="L537" i="57"/>
  <c r="M537" i="57"/>
  <c r="N537" i="57"/>
  <c r="O537" i="57"/>
  <c r="P537" i="57"/>
  <c r="R537" i="57" s="1"/>
  <c r="Q537" i="57"/>
  <c r="S537" i="57" s="1"/>
  <c r="L538" i="57"/>
  <c r="M538" i="57"/>
  <c r="N538" i="57"/>
  <c r="O538" i="57"/>
  <c r="P538" i="57"/>
  <c r="R538" i="57" s="1"/>
  <c r="Q538" i="57"/>
  <c r="S538" i="57" s="1"/>
  <c r="L539" i="57"/>
  <c r="M539" i="57"/>
  <c r="N539" i="57"/>
  <c r="O539" i="57"/>
  <c r="P539" i="57"/>
  <c r="R539" i="57" s="1"/>
  <c r="Q539" i="57"/>
  <c r="S539" i="57" s="1"/>
  <c r="L540" i="57"/>
  <c r="M540" i="57"/>
  <c r="N540" i="57"/>
  <c r="O540" i="57"/>
  <c r="P540" i="57"/>
  <c r="R540" i="57" s="1"/>
  <c r="Q540" i="57"/>
  <c r="S540" i="57" s="1"/>
  <c r="L541" i="57"/>
  <c r="M541" i="57"/>
  <c r="N541" i="57"/>
  <c r="O541" i="57"/>
  <c r="P541" i="57"/>
  <c r="Q541" i="57"/>
  <c r="R541" i="57"/>
  <c r="S541" i="57"/>
  <c r="L542" i="57"/>
  <c r="M542" i="57"/>
  <c r="N542" i="57"/>
  <c r="O542" i="57"/>
  <c r="P542" i="57"/>
  <c r="Q542" i="57"/>
  <c r="R542" i="57"/>
  <c r="S542" i="57"/>
  <c r="L543" i="57"/>
  <c r="M543" i="57"/>
  <c r="N543" i="57"/>
  <c r="O543" i="57"/>
  <c r="P543" i="57"/>
  <c r="Q543" i="57"/>
  <c r="R543" i="57"/>
  <c r="S543" i="57"/>
  <c r="L544" i="57"/>
  <c r="M544" i="57"/>
  <c r="N544" i="57"/>
  <c r="O544" i="57"/>
  <c r="P544" i="57"/>
  <c r="Q544" i="57"/>
  <c r="R544" i="57"/>
  <c r="T544" i="57" s="1"/>
  <c r="S544" i="57"/>
  <c r="L545" i="57"/>
  <c r="M545" i="57"/>
  <c r="N545" i="57"/>
  <c r="O545" i="57"/>
  <c r="P545" i="57"/>
  <c r="Q545" i="57"/>
  <c r="R545" i="57"/>
  <c r="S545" i="57"/>
  <c r="L546" i="57"/>
  <c r="M546" i="57"/>
  <c r="N546" i="57"/>
  <c r="O546" i="57"/>
  <c r="P546" i="57"/>
  <c r="Q546" i="57"/>
  <c r="R546" i="57"/>
  <c r="S546" i="57"/>
  <c r="L547" i="57"/>
  <c r="M547" i="57"/>
  <c r="N547" i="57"/>
  <c r="O547" i="57"/>
  <c r="P547" i="57"/>
  <c r="Q547" i="57"/>
  <c r="R547" i="57"/>
  <c r="T547" i="57" s="1"/>
  <c r="S547" i="57"/>
  <c r="L548" i="57"/>
  <c r="M548" i="57"/>
  <c r="N548" i="57"/>
  <c r="O548" i="57"/>
  <c r="P548" i="57"/>
  <c r="Q548" i="57"/>
  <c r="R548" i="57"/>
  <c r="S548" i="57"/>
  <c r="L549" i="57"/>
  <c r="M549" i="57"/>
  <c r="N549" i="57"/>
  <c r="O549" i="57"/>
  <c r="P549" i="57"/>
  <c r="Q549" i="57"/>
  <c r="R549" i="57"/>
  <c r="S549" i="57"/>
  <c r="L550" i="57"/>
  <c r="M550" i="57"/>
  <c r="N550" i="57"/>
  <c r="O550" i="57"/>
  <c r="P550" i="57"/>
  <c r="Q550" i="57"/>
  <c r="R550" i="57"/>
  <c r="S550" i="57"/>
  <c r="L551" i="57"/>
  <c r="M551" i="57"/>
  <c r="N551" i="57"/>
  <c r="O551" i="57"/>
  <c r="P551" i="57"/>
  <c r="Q551" i="57"/>
  <c r="R551" i="57"/>
  <c r="S551" i="57"/>
  <c r="L552" i="57"/>
  <c r="M552" i="57"/>
  <c r="N552" i="57"/>
  <c r="O552" i="57"/>
  <c r="P552" i="57"/>
  <c r="Q552" i="57"/>
  <c r="R552" i="57"/>
  <c r="T552" i="57" s="1"/>
  <c r="S552" i="57"/>
  <c r="L553" i="57"/>
  <c r="M553" i="57"/>
  <c r="N553" i="57"/>
  <c r="O553" i="57"/>
  <c r="P553" i="57"/>
  <c r="Q553" i="57"/>
  <c r="R553" i="57"/>
  <c r="S553" i="57"/>
  <c r="L554" i="57"/>
  <c r="M554" i="57"/>
  <c r="N554" i="57"/>
  <c r="O554" i="57"/>
  <c r="P554" i="57"/>
  <c r="Q554" i="57"/>
  <c r="R554" i="57"/>
  <c r="S554" i="57"/>
  <c r="L555" i="57"/>
  <c r="M555" i="57"/>
  <c r="N555" i="57"/>
  <c r="O555" i="57"/>
  <c r="P555" i="57"/>
  <c r="Q555" i="57"/>
  <c r="R555" i="57"/>
  <c r="S555" i="57"/>
  <c r="L556" i="57"/>
  <c r="M556" i="57"/>
  <c r="N556" i="57"/>
  <c r="O556" i="57"/>
  <c r="P556" i="57"/>
  <c r="Q556" i="57"/>
  <c r="R556" i="57"/>
  <c r="S556" i="57"/>
  <c r="L557" i="57"/>
  <c r="M557" i="57"/>
  <c r="N557" i="57"/>
  <c r="O557" i="57"/>
  <c r="P557" i="57"/>
  <c r="Q557" i="57"/>
  <c r="R557" i="57"/>
  <c r="S557" i="57"/>
  <c r="L558" i="57"/>
  <c r="M558" i="57"/>
  <c r="N558" i="57"/>
  <c r="O558" i="57"/>
  <c r="P558" i="57"/>
  <c r="Q558" i="57"/>
  <c r="R558" i="57"/>
  <c r="S558" i="57"/>
  <c r="L559" i="57"/>
  <c r="M559" i="57"/>
  <c r="N559" i="57"/>
  <c r="O559" i="57"/>
  <c r="P559" i="57"/>
  <c r="Q559" i="57"/>
  <c r="R559" i="57"/>
  <c r="S559" i="57"/>
  <c r="L560" i="57"/>
  <c r="M560" i="57"/>
  <c r="N560" i="57"/>
  <c r="O560" i="57"/>
  <c r="P560" i="57"/>
  <c r="Q560" i="57"/>
  <c r="R560" i="57"/>
  <c r="S560" i="57"/>
  <c r="L561" i="57"/>
  <c r="M561" i="57"/>
  <c r="N561" i="57"/>
  <c r="O561" i="57"/>
  <c r="P561" i="57"/>
  <c r="Q561" i="57"/>
  <c r="R561" i="57"/>
  <c r="S561" i="57"/>
  <c r="L562" i="57"/>
  <c r="M562" i="57"/>
  <c r="N562" i="57"/>
  <c r="O562" i="57"/>
  <c r="P562" i="57"/>
  <c r="Q562" i="57"/>
  <c r="R562" i="57"/>
  <c r="S562" i="57"/>
  <c r="L563" i="57"/>
  <c r="M563" i="57"/>
  <c r="N563" i="57"/>
  <c r="O563" i="57"/>
  <c r="P563" i="57"/>
  <c r="Q563" i="57"/>
  <c r="R563" i="57"/>
  <c r="S563" i="57"/>
  <c r="L564" i="57"/>
  <c r="M564" i="57"/>
  <c r="N564" i="57"/>
  <c r="O564" i="57"/>
  <c r="P564" i="57"/>
  <c r="Q564" i="57"/>
  <c r="R564" i="57"/>
  <c r="S564" i="57"/>
  <c r="L565" i="57"/>
  <c r="M565" i="57"/>
  <c r="N565" i="57"/>
  <c r="O565" i="57"/>
  <c r="P565" i="57"/>
  <c r="Q565" i="57"/>
  <c r="R565" i="57"/>
  <c r="S565" i="57"/>
  <c r="T565" i="57" s="1"/>
  <c r="L566" i="57"/>
  <c r="M566" i="57"/>
  <c r="N566" i="57"/>
  <c r="O566" i="57"/>
  <c r="P566" i="57"/>
  <c r="Q566" i="57"/>
  <c r="R566" i="57"/>
  <c r="S566" i="57"/>
  <c r="L567" i="57"/>
  <c r="M567" i="57"/>
  <c r="N567" i="57"/>
  <c r="O567" i="57"/>
  <c r="P567" i="57"/>
  <c r="Q567" i="57"/>
  <c r="R567" i="57"/>
  <c r="S567" i="57"/>
  <c r="L568" i="57"/>
  <c r="M568" i="57"/>
  <c r="N568" i="57"/>
  <c r="O568" i="57"/>
  <c r="P568" i="57"/>
  <c r="Q568" i="57"/>
  <c r="R568" i="57"/>
  <c r="S568" i="57"/>
  <c r="T568" i="57"/>
  <c r="L569" i="57"/>
  <c r="M569" i="57"/>
  <c r="N569" i="57"/>
  <c r="O569" i="57"/>
  <c r="P569" i="57"/>
  <c r="Q569" i="57"/>
  <c r="R569" i="57"/>
  <c r="S569" i="57"/>
  <c r="T569" i="57" s="1"/>
  <c r="L570" i="57"/>
  <c r="M570" i="57"/>
  <c r="N570" i="57"/>
  <c r="O570" i="57"/>
  <c r="P570" i="57"/>
  <c r="Q570" i="57"/>
  <c r="R570" i="57"/>
  <c r="S570" i="57"/>
  <c r="L571" i="57"/>
  <c r="M571" i="57"/>
  <c r="N571" i="57"/>
  <c r="O571" i="57"/>
  <c r="P571" i="57"/>
  <c r="Q571" i="57"/>
  <c r="R571" i="57"/>
  <c r="S571" i="57"/>
  <c r="L572" i="57"/>
  <c r="M572" i="57"/>
  <c r="N572" i="57"/>
  <c r="O572" i="57"/>
  <c r="P572" i="57"/>
  <c r="Q572" i="57"/>
  <c r="R572" i="57"/>
  <c r="S572" i="57"/>
  <c r="L573" i="57"/>
  <c r="M573" i="57"/>
  <c r="N573" i="57"/>
  <c r="O573" i="57"/>
  <c r="P573" i="57"/>
  <c r="Q573" i="57"/>
  <c r="R573" i="57"/>
  <c r="S573" i="57"/>
  <c r="L574" i="57"/>
  <c r="M574" i="57"/>
  <c r="N574" i="57"/>
  <c r="O574" i="57"/>
  <c r="P574" i="57"/>
  <c r="Q574" i="57"/>
  <c r="R574" i="57"/>
  <c r="S574" i="57"/>
  <c r="L575" i="57"/>
  <c r="M575" i="57"/>
  <c r="N575" i="57"/>
  <c r="O575" i="57"/>
  <c r="P575" i="57"/>
  <c r="Q575" i="57"/>
  <c r="R575" i="57"/>
  <c r="S575" i="57"/>
  <c r="L576" i="57"/>
  <c r="M576" i="57"/>
  <c r="N576" i="57"/>
  <c r="O576" i="57"/>
  <c r="P576" i="57"/>
  <c r="Q576" i="57"/>
  <c r="R576" i="57"/>
  <c r="S576" i="57"/>
  <c r="L577" i="57"/>
  <c r="M577" i="57"/>
  <c r="N577" i="57"/>
  <c r="O577" i="57"/>
  <c r="P577" i="57"/>
  <c r="Q577" i="57"/>
  <c r="R577" i="57"/>
  <c r="S577" i="57"/>
  <c r="T577" i="57" s="1"/>
  <c r="L578" i="57"/>
  <c r="M578" i="57"/>
  <c r="N578" i="57"/>
  <c r="O578" i="57"/>
  <c r="P578" i="57"/>
  <c r="Q578" i="57"/>
  <c r="R578" i="57"/>
  <c r="S578" i="57"/>
  <c r="L579" i="57"/>
  <c r="M579" i="57"/>
  <c r="N579" i="57"/>
  <c r="O579" i="57"/>
  <c r="P579" i="57"/>
  <c r="Q579" i="57"/>
  <c r="R579" i="57"/>
  <c r="S579" i="57"/>
  <c r="L580" i="57"/>
  <c r="M580" i="57"/>
  <c r="N580" i="57"/>
  <c r="O580" i="57"/>
  <c r="P580" i="57"/>
  <c r="Q580" i="57"/>
  <c r="R580" i="57"/>
  <c r="S580" i="57"/>
  <c r="L581" i="57"/>
  <c r="M581" i="57"/>
  <c r="N581" i="57"/>
  <c r="O581" i="57"/>
  <c r="P581" i="57"/>
  <c r="Q581" i="57"/>
  <c r="R581" i="57"/>
  <c r="S581" i="57"/>
  <c r="L582" i="57"/>
  <c r="M582" i="57"/>
  <c r="N582" i="57"/>
  <c r="O582" i="57"/>
  <c r="P582" i="57"/>
  <c r="Q582" i="57"/>
  <c r="R582" i="57"/>
  <c r="S582" i="57"/>
  <c r="L583" i="57"/>
  <c r="M583" i="57"/>
  <c r="N583" i="57"/>
  <c r="O583" i="57"/>
  <c r="P583" i="57"/>
  <c r="Q583" i="57"/>
  <c r="R583" i="57"/>
  <c r="S583" i="57"/>
  <c r="L584" i="57"/>
  <c r="M584" i="57"/>
  <c r="N584" i="57"/>
  <c r="O584" i="57"/>
  <c r="P584" i="57"/>
  <c r="Q584" i="57"/>
  <c r="R584" i="57"/>
  <c r="T584" i="57" s="1"/>
  <c r="S584" i="57"/>
  <c r="L585" i="57"/>
  <c r="M585" i="57"/>
  <c r="N585" i="57"/>
  <c r="O585" i="57"/>
  <c r="P585" i="57"/>
  <c r="Q585" i="57"/>
  <c r="R585" i="57"/>
  <c r="S585" i="57"/>
  <c r="L586" i="57"/>
  <c r="M586" i="57"/>
  <c r="N586" i="57"/>
  <c r="O586" i="57"/>
  <c r="P586" i="57"/>
  <c r="Q586" i="57"/>
  <c r="R586" i="57"/>
  <c r="S586" i="57"/>
  <c r="L587" i="57"/>
  <c r="M587" i="57"/>
  <c r="N587" i="57"/>
  <c r="O587" i="57"/>
  <c r="P587" i="57"/>
  <c r="Q587" i="57"/>
  <c r="R587" i="57"/>
  <c r="S587" i="57"/>
  <c r="L588" i="57"/>
  <c r="M588" i="57"/>
  <c r="N588" i="57"/>
  <c r="O588" i="57"/>
  <c r="P588" i="57"/>
  <c r="Q588" i="57"/>
  <c r="R588" i="57"/>
  <c r="T588" i="57" s="1"/>
  <c r="S588" i="57"/>
  <c r="L589" i="57"/>
  <c r="M589" i="57"/>
  <c r="N589" i="57"/>
  <c r="O589" i="57"/>
  <c r="P589" i="57"/>
  <c r="Q589" i="57"/>
  <c r="R589" i="57"/>
  <c r="S589" i="57"/>
  <c r="L590" i="57"/>
  <c r="M590" i="57"/>
  <c r="N590" i="57"/>
  <c r="O590" i="57"/>
  <c r="P590" i="57"/>
  <c r="Q590" i="57"/>
  <c r="R590" i="57"/>
  <c r="S590" i="57"/>
  <c r="L591" i="57"/>
  <c r="M591" i="57"/>
  <c r="N591" i="57"/>
  <c r="O591" i="57"/>
  <c r="P591" i="57"/>
  <c r="Q591" i="57"/>
  <c r="R591" i="57"/>
  <c r="S591" i="57"/>
  <c r="L592" i="57"/>
  <c r="M592" i="57"/>
  <c r="N592" i="57"/>
  <c r="O592" i="57"/>
  <c r="P592" i="57"/>
  <c r="Q592" i="57"/>
  <c r="R592" i="57"/>
  <c r="T592" i="57" s="1"/>
  <c r="S592" i="57"/>
  <c r="L593" i="57"/>
  <c r="M593" i="57"/>
  <c r="N593" i="57"/>
  <c r="O593" i="57"/>
  <c r="P593" i="57"/>
  <c r="Q593" i="57"/>
  <c r="R593" i="57"/>
  <c r="S593" i="57"/>
  <c r="L594" i="57"/>
  <c r="M594" i="57"/>
  <c r="N594" i="57"/>
  <c r="O594" i="57"/>
  <c r="P594" i="57"/>
  <c r="Q594" i="57"/>
  <c r="R594" i="57"/>
  <c r="S594" i="57"/>
  <c r="L595" i="57"/>
  <c r="M595" i="57"/>
  <c r="N595" i="57"/>
  <c r="O595" i="57"/>
  <c r="P595" i="57"/>
  <c r="Q595" i="57"/>
  <c r="R595" i="57"/>
  <c r="T595" i="57" s="1"/>
  <c r="S595" i="57"/>
  <c r="L596" i="57"/>
  <c r="M596" i="57"/>
  <c r="N596" i="57"/>
  <c r="O596" i="57"/>
  <c r="P596" i="57"/>
  <c r="Q596" i="57"/>
  <c r="R596" i="57"/>
  <c r="S596" i="57"/>
  <c r="L597" i="57"/>
  <c r="M597" i="57"/>
  <c r="N597" i="57"/>
  <c r="O597" i="57"/>
  <c r="P597" i="57"/>
  <c r="Q597" i="57"/>
  <c r="R597" i="57"/>
  <c r="S597" i="57"/>
  <c r="L598" i="57"/>
  <c r="M598" i="57"/>
  <c r="N598" i="57"/>
  <c r="O598" i="57"/>
  <c r="P598" i="57"/>
  <c r="Q598" i="57"/>
  <c r="R598" i="57"/>
  <c r="T598" i="57" s="1"/>
  <c r="S598" i="57"/>
  <c r="L599" i="57"/>
  <c r="M599" i="57"/>
  <c r="N599" i="57"/>
  <c r="O599" i="57"/>
  <c r="P599" i="57"/>
  <c r="Q599" i="57"/>
  <c r="R599" i="57"/>
  <c r="S599" i="57"/>
  <c r="L600" i="57"/>
  <c r="M600" i="57"/>
  <c r="N600" i="57"/>
  <c r="O600" i="57"/>
  <c r="P600" i="57"/>
  <c r="Q600" i="57"/>
  <c r="R600" i="57"/>
  <c r="S600" i="57"/>
  <c r="L601" i="57"/>
  <c r="M601" i="57"/>
  <c r="N601" i="57"/>
  <c r="O601" i="57"/>
  <c r="P601" i="57"/>
  <c r="Q601" i="57"/>
  <c r="R601" i="57"/>
  <c r="S601" i="57"/>
  <c r="L602" i="57"/>
  <c r="M602" i="57"/>
  <c r="N602" i="57"/>
  <c r="O602" i="57"/>
  <c r="P602" i="57"/>
  <c r="Q602" i="57"/>
  <c r="R602" i="57"/>
  <c r="S602" i="57"/>
  <c r="L603" i="57"/>
  <c r="M603" i="57"/>
  <c r="N603" i="57"/>
  <c r="O603" i="57"/>
  <c r="P603" i="57"/>
  <c r="Q603" i="57"/>
  <c r="R603" i="57"/>
  <c r="S603" i="57"/>
  <c r="L604" i="57"/>
  <c r="M604" i="57"/>
  <c r="N604" i="57"/>
  <c r="O604" i="57"/>
  <c r="P604" i="57"/>
  <c r="Q604" i="57"/>
  <c r="R604" i="57"/>
  <c r="T604" i="57" s="1"/>
  <c r="S604" i="57"/>
  <c r="L605" i="57"/>
  <c r="M605" i="57"/>
  <c r="N605" i="57"/>
  <c r="O605" i="57"/>
  <c r="P605" i="57"/>
  <c r="Q605" i="57"/>
  <c r="R605" i="57"/>
  <c r="S605" i="57"/>
  <c r="L606" i="57"/>
  <c r="M606" i="57"/>
  <c r="N606" i="57"/>
  <c r="O606" i="57"/>
  <c r="P606" i="57"/>
  <c r="Q606" i="57"/>
  <c r="R606" i="57"/>
  <c r="S606" i="57"/>
  <c r="L607" i="57"/>
  <c r="M607" i="57"/>
  <c r="N607" i="57"/>
  <c r="O607" i="57"/>
  <c r="P607" i="57"/>
  <c r="Q607" i="57"/>
  <c r="R607" i="57"/>
  <c r="T607" i="57" s="1"/>
  <c r="S607" i="57"/>
  <c r="L608" i="57"/>
  <c r="M608" i="57"/>
  <c r="N608" i="57"/>
  <c r="O608" i="57"/>
  <c r="P608" i="57"/>
  <c r="Q608" i="57"/>
  <c r="R608" i="57"/>
  <c r="S608" i="57"/>
  <c r="L609" i="57"/>
  <c r="M609" i="57"/>
  <c r="N609" i="57"/>
  <c r="O609" i="57"/>
  <c r="P609" i="57"/>
  <c r="Q609" i="57"/>
  <c r="R609" i="57"/>
  <c r="T609" i="57" s="1"/>
  <c r="S609" i="57"/>
  <c r="L610" i="57"/>
  <c r="M610" i="57"/>
  <c r="N610" i="57"/>
  <c r="O610" i="57"/>
  <c r="P610" i="57"/>
  <c r="Q610" i="57"/>
  <c r="R610" i="57"/>
  <c r="S610" i="57"/>
  <c r="L611" i="57"/>
  <c r="M611" i="57"/>
  <c r="N611" i="57"/>
  <c r="O611" i="57"/>
  <c r="P611" i="57"/>
  <c r="Q611" i="57"/>
  <c r="R611" i="57"/>
  <c r="S611" i="57"/>
  <c r="L612" i="57"/>
  <c r="M612" i="57"/>
  <c r="N612" i="57"/>
  <c r="O612" i="57"/>
  <c r="P612" i="57"/>
  <c r="Q612" i="57"/>
  <c r="R612" i="57"/>
  <c r="S612" i="57"/>
  <c r="L613" i="57"/>
  <c r="M613" i="57"/>
  <c r="N613" i="57"/>
  <c r="O613" i="57"/>
  <c r="P613" i="57"/>
  <c r="Q613" i="57"/>
  <c r="R613" i="57"/>
  <c r="T613" i="57" s="1"/>
  <c r="S613" i="57"/>
  <c r="L614" i="57"/>
  <c r="M614" i="57"/>
  <c r="N614" i="57"/>
  <c r="O614" i="57"/>
  <c r="P614" i="57"/>
  <c r="Q614" i="57"/>
  <c r="R614" i="57"/>
  <c r="S614" i="57"/>
  <c r="L615" i="57"/>
  <c r="M615" i="57"/>
  <c r="N615" i="57"/>
  <c r="O615" i="57"/>
  <c r="P615" i="57"/>
  <c r="Q615" i="57"/>
  <c r="R615" i="57"/>
  <c r="S615" i="57"/>
  <c r="L616" i="57"/>
  <c r="M616" i="57"/>
  <c r="N616" i="57"/>
  <c r="O616" i="57"/>
  <c r="P616" i="57"/>
  <c r="Q616" i="57"/>
  <c r="R616" i="57"/>
  <c r="S616" i="57"/>
  <c r="L617" i="57"/>
  <c r="M617" i="57"/>
  <c r="N617" i="57"/>
  <c r="O617" i="57"/>
  <c r="P617" i="57"/>
  <c r="Q617" i="57"/>
  <c r="R617" i="57"/>
  <c r="S617" i="57"/>
  <c r="L618" i="57"/>
  <c r="M618" i="57"/>
  <c r="N618" i="57"/>
  <c r="O618" i="57"/>
  <c r="P618" i="57"/>
  <c r="Q618" i="57"/>
  <c r="R618" i="57"/>
  <c r="S618" i="57"/>
  <c r="L619" i="57"/>
  <c r="M619" i="57"/>
  <c r="N619" i="57"/>
  <c r="O619" i="57"/>
  <c r="P619" i="57"/>
  <c r="Q619" i="57"/>
  <c r="R619" i="57"/>
  <c r="S619" i="57"/>
  <c r="L620" i="57"/>
  <c r="M620" i="57"/>
  <c r="N620" i="57"/>
  <c r="O620" i="57"/>
  <c r="P620" i="57"/>
  <c r="Q620" i="57"/>
  <c r="R620" i="57"/>
  <c r="S620" i="57"/>
  <c r="L621" i="57"/>
  <c r="M621" i="57"/>
  <c r="N621" i="57"/>
  <c r="O621" i="57"/>
  <c r="P621" i="57"/>
  <c r="Q621" i="57"/>
  <c r="R621" i="57"/>
  <c r="S621" i="57"/>
  <c r="T621" i="57" s="1"/>
  <c r="L622" i="57"/>
  <c r="M622" i="57"/>
  <c r="N622" i="57"/>
  <c r="O622" i="57"/>
  <c r="P622" i="57"/>
  <c r="Q622" i="57"/>
  <c r="R622" i="57"/>
  <c r="S622" i="57"/>
  <c r="L623" i="57"/>
  <c r="M623" i="57"/>
  <c r="N623" i="57"/>
  <c r="O623" i="57"/>
  <c r="P623" i="57"/>
  <c r="Q623" i="57"/>
  <c r="R623" i="57"/>
  <c r="S623" i="57"/>
  <c r="L624" i="57"/>
  <c r="M624" i="57"/>
  <c r="N624" i="57"/>
  <c r="O624" i="57"/>
  <c r="P624" i="57"/>
  <c r="Q624" i="57"/>
  <c r="R624" i="57"/>
  <c r="S624" i="57"/>
  <c r="T624" i="57" s="1"/>
  <c r="L625" i="57"/>
  <c r="M625" i="57"/>
  <c r="N625" i="57"/>
  <c r="O625" i="57"/>
  <c r="P625" i="57"/>
  <c r="Q625" i="57"/>
  <c r="R625" i="57"/>
  <c r="S625" i="57"/>
  <c r="L626" i="57"/>
  <c r="M626" i="57"/>
  <c r="N626" i="57"/>
  <c r="O626" i="57"/>
  <c r="P626" i="57"/>
  <c r="Q626" i="57"/>
  <c r="R626" i="57"/>
  <c r="S626" i="57"/>
  <c r="L627" i="57"/>
  <c r="M627" i="57"/>
  <c r="N627" i="57"/>
  <c r="O627" i="57"/>
  <c r="P627" i="57"/>
  <c r="Q627" i="57"/>
  <c r="R627" i="57"/>
  <c r="S627" i="57"/>
  <c r="L628" i="57"/>
  <c r="M628" i="57"/>
  <c r="N628" i="57"/>
  <c r="O628" i="57"/>
  <c r="P628" i="57"/>
  <c r="Q628" i="57"/>
  <c r="R628" i="57"/>
  <c r="S628" i="57"/>
  <c r="L629" i="57"/>
  <c r="M629" i="57"/>
  <c r="N629" i="57"/>
  <c r="O629" i="57"/>
  <c r="P629" i="57"/>
  <c r="Q629" i="57"/>
  <c r="R629" i="57"/>
  <c r="S629" i="57"/>
  <c r="L630" i="57"/>
  <c r="M630" i="57"/>
  <c r="N630" i="57"/>
  <c r="O630" i="57"/>
  <c r="P630" i="57"/>
  <c r="Q630" i="57"/>
  <c r="R630" i="57"/>
  <c r="S630" i="57"/>
  <c r="T630" i="57"/>
  <c r="L631" i="57"/>
  <c r="M631" i="57"/>
  <c r="N631" i="57"/>
  <c r="O631" i="57"/>
  <c r="P631" i="57"/>
  <c r="Q631" i="57"/>
  <c r="R631" i="57"/>
  <c r="S631" i="57"/>
  <c r="L632" i="57"/>
  <c r="M632" i="57"/>
  <c r="N632" i="57"/>
  <c r="O632" i="57"/>
  <c r="P632" i="57"/>
  <c r="Q632" i="57"/>
  <c r="R632" i="57"/>
  <c r="S632" i="57"/>
  <c r="L633" i="57"/>
  <c r="M633" i="57"/>
  <c r="N633" i="57"/>
  <c r="O633" i="57"/>
  <c r="P633" i="57"/>
  <c r="Q633" i="57"/>
  <c r="R633" i="57"/>
  <c r="S633" i="57"/>
  <c r="T633" i="57" s="1"/>
  <c r="L634" i="57"/>
  <c r="M634" i="57"/>
  <c r="N634" i="57"/>
  <c r="O634" i="57"/>
  <c r="P634" i="57"/>
  <c r="Q634" i="57"/>
  <c r="R634" i="57"/>
  <c r="S634" i="57"/>
  <c r="L635" i="57"/>
  <c r="M635" i="57"/>
  <c r="N635" i="57"/>
  <c r="O635" i="57"/>
  <c r="P635" i="57"/>
  <c r="Q635" i="57"/>
  <c r="R635" i="57"/>
  <c r="S635" i="57"/>
  <c r="L636" i="57"/>
  <c r="M636" i="57"/>
  <c r="N636" i="57"/>
  <c r="O636" i="57"/>
  <c r="P636" i="57"/>
  <c r="Q636" i="57"/>
  <c r="R636" i="57"/>
  <c r="S636" i="57"/>
  <c r="L637" i="57"/>
  <c r="M637" i="57"/>
  <c r="N637" i="57"/>
  <c r="O637" i="57"/>
  <c r="P637" i="57"/>
  <c r="Q637" i="57"/>
  <c r="R637" i="57"/>
  <c r="S637" i="57"/>
  <c r="L638" i="57"/>
  <c r="M638" i="57"/>
  <c r="N638" i="57"/>
  <c r="O638" i="57"/>
  <c r="P638" i="57"/>
  <c r="Q638" i="57"/>
  <c r="R638" i="57"/>
  <c r="S638" i="57"/>
  <c r="L639" i="57"/>
  <c r="M639" i="57"/>
  <c r="N639" i="57"/>
  <c r="O639" i="57"/>
  <c r="P639" i="57"/>
  <c r="Q639" i="57"/>
  <c r="R639" i="57"/>
  <c r="S639" i="57"/>
  <c r="L640" i="57"/>
  <c r="M640" i="57"/>
  <c r="N640" i="57"/>
  <c r="O640" i="57"/>
  <c r="P640" i="57"/>
  <c r="Q640" i="57"/>
  <c r="R640" i="57"/>
  <c r="S640" i="57"/>
  <c r="L641" i="57"/>
  <c r="M641" i="57"/>
  <c r="N641" i="57"/>
  <c r="O641" i="57"/>
  <c r="P641" i="57"/>
  <c r="Q641" i="57"/>
  <c r="R641" i="57"/>
  <c r="S641" i="57"/>
  <c r="T641" i="57" s="1"/>
  <c r="L642" i="57"/>
  <c r="M642" i="57"/>
  <c r="N642" i="57"/>
  <c r="O642" i="57"/>
  <c r="P642" i="57"/>
  <c r="Q642" i="57"/>
  <c r="R642" i="57"/>
  <c r="S642" i="57"/>
  <c r="L643" i="57"/>
  <c r="M643" i="57"/>
  <c r="N643" i="57"/>
  <c r="O643" i="57"/>
  <c r="P643" i="57"/>
  <c r="Q643" i="57"/>
  <c r="R643" i="57"/>
  <c r="S643" i="57"/>
  <c r="L644" i="57"/>
  <c r="M644" i="57"/>
  <c r="N644" i="57"/>
  <c r="O644" i="57"/>
  <c r="P644" i="57"/>
  <c r="Q644" i="57"/>
  <c r="R644" i="57"/>
  <c r="S644" i="57"/>
  <c r="L645" i="57"/>
  <c r="M645" i="57"/>
  <c r="N645" i="57"/>
  <c r="O645" i="57"/>
  <c r="P645" i="57"/>
  <c r="Q645" i="57"/>
  <c r="R645" i="57"/>
  <c r="S645" i="57"/>
  <c r="L646" i="57"/>
  <c r="M646" i="57"/>
  <c r="N646" i="57"/>
  <c r="O646" i="57"/>
  <c r="P646" i="57"/>
  <c r="Q646" i="57"/>
  <c r="R646" i="57"/>
  <c r="S646" i="57"/>
  <c r="L647" i="57"/>
  <c r="M647" i="57"/>
  <c r="N647" i="57"/>
  <c r="O647" i="57"/>
  <c r="P647" i="57"/>
  <c r="Q647" i="57"/>
  <c r="R647" i="57"/>
  <c r="S647" i="57"/>
  <c r="L648" i="57"/>
  <c r="M648" i="57"/>
  <c r="N648" i="57"/>
  <c r="O648" i="57"/>
  <c r="P648" i="57"/>
  <c r="Q648" i="57"/>
  <c r="R648" i="57"/>
  <c r="S648" i="57"/>
  <c r="L649" i="57"/>
  <c r="M649" i="57"/>
  <c r="N649" i="57"/>
  <c r="O649" i="57"/>
  <c r="P649" i="57"/>
  <c r="Q649" i="57"/>
  <c r="R649" i="57"/>
  <c r="S649" i="57"/>
  <c r="L650" i="57"/>
  <c r="M650" i="57"/>
  <c r="N650" i="57"/>
  <c r="O650" i="57"/>
  <c r="P650" i="57"/>
  <c r="Q650" i="57"/>
  <c r="R650" i="57"/>
  <c r="S650" i="57"/>
  <c r="L651" i="57"/>
  <c r="M651" i="57"/>
  <c r="N651" i="57"/>
  <c r="O651" i="57"/>
  <c r="P651" i="57"/>
  <c r="Q651" i="57"/>
  <c r="R651" i="57"/>
  <c r="S651" i="57"/>
  <c r="L652" i="57"/>
  <c r="M652" i="57"/>
  <c r="N652" i="57"/>
  <c r="O652" i="57"/>
  <c r="P652" i="57"/>
  <c r="Q652" i="57"/>
  <c r="R652" i="57"/>
  <c r="T652" i="57" s="1"/>
  <c r="S652" i="57"/>
  <c r="L653" i="57"/>
  <c r="M653" i="57"/>
  <c r="N653" i="57"/>
  <c r="O653" i="57"/>
  <c r="P653" i="57"/>
  <c r="Q653" i="57"/>
  <c r="R653" i="57"/>
  <c r="S653" i="57"/>
  <c r="L654" i="57"/>
  <c r="M654" i="57"/>
  <c r="N654" i="57"/>
  <c r="O654" i="57"/>
  <c r="P654" i="57"/>
  <c r="Q654" i="57"/>
  <c r="R654" i="57"/>
  <c r="S654" i="57"/>
  <c r="L655" i="57"/>
  <c r="M655" i="57"/>
  <c r="N655" i="57"/>
  <c r="O655" i="57"/>
  <c r="P655" i="57"/>
  <c r="Q655" i="57"/>
  <c r="R655" i="57"/>
  <c r="S655" i="57"/>
  <c r="L656" i="57"/>
  <c r="M656" i="57"/>
  <c r="N656" i="57"/>
  <c r="O656" i="57"/>
  <c r="P656" i="57"/>
  <c r="Q656" i="57"/>
  <c r="R656" i="57"/>
  <c r="T656" i="57" s="1"/>
  <c r="S656" i="57"/>
  <c r="L657" i="57"/>
  <c r="M657" i="57"/>
  <c r="N657" i="57"/>
  <c r="O657" i="57"/>
  <c r="P657" i="57"/>
  <c r="Q657" i="57"/>
  <c r="R657" i="57"/>
  <c r="S657" i="57"/>
  <c r="L658" i="57"/>
  <c r="M658" i="57"/>
  <c r="N658" i="57"/>
  <c r="O658" i="57"/>
  <c r="P658" i="57"/>
  <c r="Q658" i="57"/>
  <c r="R658" i="57"/>
  <c r="S658" i="57"/>
  <c r="L659" i="57"/>
  <c r="M659" i="57"/>
  <c r="N659" i="57"/>
  <c r="O659" i="57"/>
  <c r="P659" i="57"/>
  <c r="Q659" i="57"/>
  <c r="R659" i="57"/>
  <c r="S659" i="57"/>
  <c r="L660" i="57"/>
  <c r="M660" i="57"/>
  <c r="N660" i="57"/>
  <c r="O660" i="57"/>
  <c r="P660" i="57"/>
  <c r="Q660" i="57"/>
  <c r="R660" i="57"/>
  <c r="S660" i="57"/>
  <c r="L661" i="57"/>
  <c r="M661" i="57"/>
  <c r="N661" i="57"/>
  <c r="O661" i="57"/>
  <c r="P661" i="57"/>
  <c r="Q661" i="57"/>
  <c r="R661" i="57"/>
  <c r="S661" i="57"/>
  <c r="L662" i="57"/>
  <c r="M662" i="57"/>
  <c r="N662" i="57"/>
  <c r="O662" i="57"/>
  <c r="P662" i="57"/>
  <c r="Q662" i="57"/>
  <c r="R662" i="57"/>
  <c r="S662" i="57"/>
  <c r="L663" i="57"/>
  <c r="M663" i="57"/>
  <c r="N663" i="57"/>
  <c r="O663" i="57"/>
  <c r="P663" i="57"/>
  <c r="Q663" i="57"/>
  <c r="R663" i="57"/>
  <c r="S663" i="57"/>
  <c r="L664" i="57"/>
  <c r="M664" i="57"/>
  <c r="N664" i="57"/>
  <c r="O664" i="57"/>
  <c r="P664" i="57"/>
  <c r="Q664" i="57"/>
  <c r="R664" i="57"/>
  <c r="S664" i="57"/>
  <c r="L665" i="57"/>
  <c r="M665" i="57"/>
  <c r="N665" i="57"/>
  <c r="O665" i="57"/>
  <c r="P665" i="57"/>
  <c r="Q665" i="57"/>
  <c r="R665" i="57"/>
  <c r="S665" i="57"/>
  <c r="L666" i="57"/>
  <c r="M666" i="57"/>
  <c r="N666" i="57"/>
  <c r="O666" i="57"/>
  <c r="P666" i="57"/>
  <c r="Q666" i="57"/>
  <c r="R666" i="57"/>
  <c r="S666" i="57"/>
  <c r="T666" i="57" s="1"/>
  <c r="L667" i="57"/>
  <c r="M667" i="57"/>
  <c r="N667" i="57"/>
  <c r="O667" i="57"/>
  <c r="P667" i="57"/>
  <c r="Q667" i="57"/>
  <c r="R667" i="57"/>
  <c r="S667" i="57"/>
  <c r="L668" i="57"/>
  <c r="M668" i="57"/>
  <c r="N668" i="57"/>
  <c r="O668" i="57"/>
  <c r="P668" i="57"/>
  <c r="Q668" i="57"/>
  <c r="R668" i="57"/>
  <c r="S668" i="57"/>
  <c r="L669" i="57"/>
  <c r="M669" i="57"/>
  <c r="N669" i="57"/>
  <c r="O669" i="57"/>
  <c r="P669" i="57"/>
  <c r="Q669" i="57"/>
  <c r="R669" i="57"/>
  <c r="S669" i="57"/>
  <c r="L670" i="57"/>
  <c r="M670" i="57"/>
  <c r="N670" i="57"/>
  <c r="O670" i="57"/>
  <c r="P670" i="57"/>
  <c r="Q670" i="57"/>
  <c r="R670" i="57"/>
  <c r="S670" i="57"/>
  <c r="L671" i="57"/>
  <c r="M671" i="57"/>
  <c r="N671" i="57"/>
  <c r="O671" i="57"/>
  <c r="P671" i="57"/>
  <c r="Q671" i="57"/>
  <c r="R671" i="57"/>
  <c r="S671" i="57"/>
  <c r="L672" i="57"/>
  <c r="M672" i="57"/>
  <c r="N672" i="57"/>
  <c r="O672" i="57"/>
  <c r="P672" i="57"/>
  <c r="Q672" i="57"/>
  <c r="R672" i="57"/>
  <c r="S672" i="57"/>
  <c r="L673" i="57"/>
  <c r="M673" i="57"/>
  <c r="N673" i="57"/>
  <c r="O673" i="57"/>
  <c r="P673" i="57"/>
  <c r="Q673" i="57"/>
  <c r="R673" i="57"/>
  <c r="S673" i="57"/>
  <c r="T673" i="57"/>
  <c r="L674" i="57"/>
  <c r="M674" i="57"/>
  <c r="N674" i="57"/>
  <c r="O674" i="57"/>
  <c r="P674" i="57"/>
  <c r="Q674" i="57"/>
  <c r="R674" i="57"/>
  <c r="S674" i="57"/>
  <c r="L675" i="57"/>
  <c r="M675" i="57"/>
  <c r="N675" i="57"/>
  <c r="O675" i="57"/>
  <c r="P675" i="57"/>
  <c r="Q675" i="57"/>
  <c r="R675" i="57"/>
  <c r="S675" i="57"/>
  <c r="L676" i="57"/>
  <c r="M676" i="57"/>
  <c r="N676" i="57"/>
  <c r="O676" i="57"/>
  <c r="P676" i="57"/>
  <c r="Q676" i="57"/>
  <c r="R676" i="57"/>
  <c r="S676" i="57"/>
  <c r="L677" i="57"/>
  <c r="M677" i="57"/>
  <c r="N677" i="57"/>
  <c r="O677" i="57"/>
  <c r="P677" i="57"/>
  <c r="Q677" i="57"/>
  <c r="R677" i="57"/>
  <c r="S677" i="57"/>
  <c r="T677" i="57" s="1"/>
  <c r="L678" i="57"/>
  <c r="M678" i="57"/>
  <c r="N678" i="57"/>
  <c r="O678" i="57"/>
  <c r="P678" i="57"/>
  <c r="Q678" i="57"/>
  <c r="R678" i="57"/>
  <c r="S678" i="57"/>
  <c r="L679" i="57"/>
  <c r="M679" i="57"/>
  <c r="N679" i="57"/>
  <c r="O679" i="57"/>
  <c r="P679" i="57"/>
  <c r="Q679" i="57"/>
  <c r="R679" i="57"/>
  <c r="S679" i="57"/>
  <c r="L680" i="57"/>
  <c r="M680" i="57"/>
  <c r="N680" i="57"/>
  <c r="O680" i="57"/>
  <c r="P680" i="57"/>
  <c r="Q680" i="57"/>
  <c r="R680" i="57"/>
  <c r="S680" i="57"/>
  <c r="L681" i="57"/>
  <c r="M681" i="57"/>
  <c r="N681" i="57"/>
  <c r="O681" i="57"/>
  <c r="P681" i="57"/>
  <c r="Q681" i="57"/>
  <c r="R681" i="57"/>
  <c r="S681" i="57"/>
  <c r="L682" i="57"/>
  <c r="M682" i="57"/>
  <c r="N682" i="57"/>
  <c r="O682" i="57"/>
  <c r="P682" i="57"/>
  <c r="Q682" i="57"/>
  <c r="R682" i="57"/>
  <c r="T682" i="57" s="1"/>
  <c r="S682" i="57"/>
  <c r="L683" i="57"/>
  <c r="M683" i="57"/>
  <c r="N683" i="57"/>
  <c r="O683" i="57"/>
  <c r="P683" i="57"/>
  <c r="Q683" i="57"/>
  <c r="R683" i="57"/>
  <c r="S683" i="57"/>
  <c r="L684" i="57"/>
  <c r="M684" i="57"/>
  <c r="N684" i="57"/>
  <c r="O684" i="57"/>
  <c r="P684" i="57"/>
  <c r="Q684" i="57"/>
  <c r="R684" i="57"/>
  <c r="T684" i="57" s="1"/>
  <c r="S684" i="57"/>
  <c r="L685" i="57"/>
  <c r="M685" i="57"/>
  <c r="N685" i="57"/>
  <c r="O685" i="57"/>
  <c r="P685" i="57"/>
  <c r="Q685" i="57"/>
  <c r="R685" i="57"/>
  <c r="S685" i="57"/>
  <c r="L686" i="57"/>
  <c r="M686" i="57"/>
  <c r="N686" i="57"/>
  <c r="O686" i="57"/>
  <c r="P686" i="57"/>
  <c r="Q686" i="57"/>
  <c r="R686" i="57"/>
  <c r="S686" i="57"/>
  <c r="L687" i="57"/>
  <c r="M687" i="57"/>
  <c r="N687" i="57"/>
  <c r="O687" i="57"/>
  <c r="P687" i="57"/>
  <c r="Q687" i="57"/>
  <c r="R687" i="57"/>
  <c r="S687" i="57"/>
  <c r="L688" i="57"/>
  <c r="M688" i="57"/>
  <c r="N688" i="57"/>
  <c r="O688" i="57"/>
  <c r="P688" i="57"/>
  <c r="Q688" i="57"/>
  <c r="R688" i="57"/>
  <c r="S688" i="57"/>
  <c r="L689" i="57"/>
  <c r="M689" i="57"/>
  <c r="N689" i="57"/>
  <c r="O689" i="57"/>
  <c r="P689" i="57"/>
  <c r="Q689" i="57"/>
  <c r="R689" i="57"/>
  <c r="S689" i="57"/>
  <c r="L690" i="57"/>
  <c r="M690" i="57"/>
  <c r="N690" i="57"/>
  <c r="O690" i="57"/>
  <c r="P690" i="57"/>
  <c r="Q690" i="57"/>
  <c r="R690" i="57"/>
  <c r="S690" i="57"/>
  <c r="L691" i="57"/>
  <c r="M691" i="57"/>
  <c r="N691" i="57"/>
  <c r="O691" i="57"/>
  <c r="P691" i="57"/>
  <c r="Q691" i="57"/>
  <c r="R691" i="57"/>
  <c r="T691" i="57" s="1"/>
  <c r="S691" i="57"/>
  <c r="L692" i="57"/>
  <c r="M692" i="57"/>
  <c r="N692" i="57"/>
  <c r="O692" i="57"/>
  <c r="P692" i="57"/>
  <c r="Q692" i="57"/>
  <c r="R692" i="57"/>
  <c r="S692" i="57"/>
  <c r="L693" i="57"/>
  <c r="M693" i="57"/>
  <c r="N693" i="57"/>
  <c r="O693" i="57"/>
  <c r="P693" i="57"/>
  <c r="Q693" i="57"/>
  <c r="R693" i="57"/>
  <c r="S693" i="57"/>
  <c r="L694" i="57"/>
  <c r="M694" i="57"/>
  <c r="N694" i="57"/>
  <c r="O694" i="57"/>
  <c r="P694" i="57"/>
  <c r="Q694" i="57"/>
  <c r="R694" i="57"/>
  <c r="T694" i="57" s="1"/>
  <c r="S694" i="57"/>
  <c r="L695" i="57"/>
  <c r="M695" i="57"/>
  <c r="N695" i="57"/>
  <c r="O695" i="57"/>
  <c r="P695" i="57"/>
  <c r="Q695" i="57"/>
  <c r="R695" i="57"/>
  <c r="S695" i="57"/>
  <c r="L696" i="57"/>
  <c r="M696" i="57"/>
  <c r="N696" i="57"/>
  <c r="O696" i="57"/>
  <c r="P696" i="57"/>
  <c r="Q696" i="57"/>
  <c r="R696" i="57"/>
  <c r="S696" i="57"/>
  <c r="L697" i="57"/>
  <c r="M697" i="57"/>
  <c r="N697" i="57"/>
  <c r="O697" i="57"/>
  <c r="P697" i="57"/>
  <c r="Q697" i="57"/>
  <c r="R697" i="57"/>
  <c r="S697" i="57"/>
  <c r="T697" i="57" s="1"/>
  <c r="L698" i="57"/>
  <c r="M698" i="57"/>
  <c r="N698" i="57"/>
  <c r="O698" i="57"/>
  <c r="P698" i="57"/>
  <c r="Q698" i="57"/>
  <c r="R698" i="57"/>
  <c r="S698" i="57"/>
  <c r="T698" i="57"/>
  <c r="L699" i="57"/>
  <c r="M699" i="57"/>
  <c r="N699" i="57"/>
  <c r="O699" i="57"/>
  <c r="P699" i="57"/>
  <c r="Q699" i="57"/>
  <c r="R699" i="57"/>
  <c r="S699" i="57"/>
  <c r="L700" i="57"/>
  <c r="M700" i="57"/>
  <c r="N700" i="57"/>
  <c r="O700" i="57"/>
  <c r="P700" i="57"/>
  <c r="Q700" i="57"/>
  <c r="R700" i="57"/>
  <c r="S700" i="57"/>
  <c r="L701" i="57"/>
  <c r="M701" i="57"/>
  <c r="N701" i="57"/>
  <c r="O701" i="57"/>
  <c r="P701" i="57"/>
  <c r="Q701" i="57"/>
  <c r="R701" i="57"/>
  <c r="S701" i="57"/>
  <c r="L702" i="57"/>
  <c r="M702" i="57"/>
  <c r="N702" i="57"/>
  <c r="O702" i="57"/>
  <c r="P702" i="57"/>
  <c r="Q702" i="57"/>
  <c r="R702" i="57"/>
  <c r="S702" i="57"/>
  <c r="L703" i="57"/>
  <c r="M703" i="57"/>
  <c r="N703" i="57"/>
  <c r="O703" i="57"/>
  <c r="P703" i="57"/>
  <c r="Q703" i="57"/>
  <c r="R703" i="57"/>
  <c r="S703" i="57"/>
  <c r="L704" i="57"/>
  <c r="M704" i="57"/>
  <c r="N704" i="57"/>
  <c r="O704" i="57"/>
  <c r="P704" i="57"/>
  <c r="Q704" i="57"/>
  <c r="R704" i="57"/>
  <c r="S704" i="57"/>
  <c r="L705" i="57"/>
  <c r="M705" i="57"/>
  <c r="N705" i="57"/>
  <c r="O705" i="57"/>
  <c r="P705" i="57"/>
  <c r="Q705" i="57"/>
  <c r="R705" i="57"/>
  <c r="S705" i="57"/>
  <c r="T705" i="57" s="1"/>
  <c r="L706" i="57"/>
  <c r="M706" i="57"/>
  <c r="N706" i="57"/>
  <c r="O706" i="57"/>
  <c r="P706" i="57"/>
  <c r="Q706" i="57"/>
  <c r="R706" i="57"/>
  <c r="S706" i="57"/>
  <c r="L707" i="57"/>
  <c r="M707" i="57"/>
  <c r="N707" i="57"/>
  <c r="O707" i="57"/>
  <c r="P707" i="57"/>
  <c r="Q707" i="57"/>
  <c r="R707" i="57"/>
  <c r="S707" i="57"/>
  <c r="L708" i="57"/>
  <c r="M708" i="57"/>
  <c r="N708" i="57"/>
  <c r="O708" i="57"/>
  <c r="P708" i="57"/>
  <c r="Q708" i="57"/>
  <c r="R708" i="57"/>
  <c r="S708" i="57"/>
  <c r="L709" i="57"/>
  <c r="M709" i="57"/>
  <c r="N709" i="57"/>
  <c r="O709" i="57"/>
  <c r="P709" i="57"/>
  <c r="Q709" i="57"/>
  <c r="R709" i="57"/>
  <c r="S709" i="57"/>
  <c r="L710" i="57"/>
  <c r="M710" i="57"/>
  <c r="N710" i="57"/>
  <c r="O710" i="57"/>
  <c r="P710" i="57"/>
  <c r="Q710" i="57"/>
  <c r="R710" i="57"/>
  <c r="T710" i="57" s="1"/>
  <c r="S710" i="57"/>
  <c r="L711" i="57"/>
  <c r="M711" i="57"/>
  <c r="N711" i="57"/>
  <c r="O711" i="57"/>
  <c r="P711" i="57"/>
  <c r="Q711" i="57"/>
  <c r="R711" i="57"/>
  <c r="S711" i="57"/>
  <c r="L712" i="57"/>
  <c r="M712" i="57"/>
  <c r="N712" i="57"/>
  <c r="O712" i="57"/>
  <c r="P712" i="57"/>
  <c r="Q712" i="57"/>
  <c r="R712" i="57"/>
  <c r="S712" i="57"/>
  <c r="L713" i="57"/>
  <c r="M713" i="57"/>
  <c r="N713" i="57"/>
  <c r="O713" i="57"/>
  <c r="P713" i="57"/>
  <c r="Q713" i="57"/>
  <c r="R713" i="57"/>
  <c r="S713" i="57"/>
  <c r="L714" i="57"/>
  <c r="M714" i="57"/>
  <c r="N714" i="57"/>
  <c r="O714" i="57"/>
  <c r="P714" i="57"/>
  <c r="Q714" i="57"/>
  <c r="R714" i="57"/>
  <c r="S714" i="57"/>
  <c r="L715" i="57"/>
  <c r="M715" i="57"/>
  <c r="N715" i="57"/>
  <c r="O715" i="57"/>
  <c r="P715" i="57"/>
  <c r="Q715" i="57"/>
  <c r="R715" i="57"/>
  <c r="S715" i="57"/>
  <c r="L716" i="57"/>
  <c r="M716" i="57"/>
  <c r="N716" i="57"/>
  <c r="O716" i="57"/>
  <c r="P716" i="57"/>
  <c r="Q716" i="57"/>
  <c r="R716" i="57"/>
  <c r="T716" i="57" s="1"/>
  <c r="S716" i="57"/>
  <c r="L717" i="57"/>
  <c r="M717" i="57"/>
  <c r="N717" i="57"/>
  <c r="O717" i="57"/>
  <c r="P717" i="57"/>
  <c r="Q717" i="57"/>
  <c r="R717" i="57"/>
  <c r="S717" i="57"/>
  <c r="L718" i="57"/>
  <c r="M718" i="57"/>
  <c r="N718" i="57"/>
  <c r="O718" i="57"/>
  <c r="P718" i="57"/>
  <c r="Q718" i="57"/>
  <c r="R718" i="57"/>
  <c r="S718" i="57"/>
  <c r="L719" i="57"/>
  <c r="M719" i="57"/>
  <c r="N719" i="57"/>
  <c r="O719" i="57"/>
  <c r="P719" i="57"/>
  <c r="Q719" i="57"/>
  <c r="R719" i="57"/>
  <c r="S719" i="57"/>
  <c r="L720" i="57"/>
  <c r="M720" i="57"/>
  <c r="N720" i="57"/>
  <c r="O720" i="57"/>
  <c r="P720" i="57"/>
  <c r="Q720" i="57"/>
  <c r="R720" i="57"/>
  <c r="T720" i="57" s="1"/>
  <c r="S720" i="57"/>
  <c r="L721" i="57"/>
  <c r="M721" i="57"/>
  <c r="N721" i="57"/>
  <c r="O721" i="57"/>
  <c r="P721" i="57"/>
  <c r="Q721" i="57"/>
  <c r="R721" i="57"/>
  <c r="S721" i="57"/>
  <c r="L722" i="57"/>
  <c r="M722" i="57"/>
  <c r="N722" i="57"/>
  <c r="O722" i="57"/>
  <c r="P722" i="57"/>
  <c r="Q722" i="57"/>
  <c r="R722" i="57"/>
  <c r="S722" i="57"/>
  <c r="L723" i="57"/>
  <c r="M723" i="57"/>
  <c r="N723" i="57"/>
  <c r="O723" i="57"/>
  <c r="P723" i="57"/>
  <c r="Q723" i="57"/>
  <c r="R723" i="57"/>
  <c r="S723" i="57"/>
  <c r="L724" i="57"/>
  <c r="M724" i="57"/>
  <c r="N724" i="57"/>
  <c r="O724" i="57"/>
  <c r="P724" i="57"/>
  <c r="Q724" i="57"/>
  <c r="R724" i="57"/>
  <c r="T724" i="57" s="1"/>
  <c r="S724" i="57"/>
  <c r="L725" i="57"/>
  <c r="M725" i="57"/>
  <c r="N725" i="57"/>
  <c r="O725" i="57"/>
  <c r="P725" i="57"/>
  <c r="Q725" i="57"/>
  <c r="R725" i="57"/>
  <c r="S725" i="57"/>
  <c r="L726" i="57"/>
  <c r="M726" i="57"/>
  <c r="N726" i="57"/>
  <c r="O726" i="57"/>
  <c r="P726" i="57"/>
  <c r="Q726" i="57"/>
  <c r="R726" i="57"/>
  <c r="T726" i="57" s="1"/>
  <c r="S726" i="57"/>
  <c r="L727" i="57"/>
  <c r="M727" i="57"/>
  <c r="N727" i="57"/>
  <c r="O727" i="57"/>
  <c r="P727" i="57"/>
  <c r="Q727" i="57"/>
  <c r="R727" i="57"/>
  <c r="S727" i="57"/>
  <c r="L728" i="57"/>
  <c r="M728" i="57"/>
  <c r="N728" i="57"/>
  <c r="O728" i="57"/>
  <c r="P728" i="57"/>
  <c r="Q728" i="57"/>
  <c r="R728" i="57"/>
  <c r="S728" i="57"/>
  <c r="L729" i="57"/>
  <c r="M729" i="57"/>
  <c r="N729" i="57"/>
  <c r="O729" i="57"/>
  <c r="P729" i="57"/>
  <c r="Q729" i="57"/>
  <c r="R729" i="57"/>
  <c r="S729" i="57"/>
  <c r="T729" i="57" s="1"/>
  <c r="L730" i="57"/>
  <c r="M730" i="57"/>
  <c r="N730" i="57"/>
  <c r="O730" i="57"/>
  <c r="P730" i="57"/>
  <c r="Q730" i="57"/>
  <c r="R730" i="57"/>
  <c r="S730" i="57"/>
  <c r="L731" i="57"/>
  <c r="M731" i="57"/>
  <c r="N731" i="57"/>
  <c r="O731" i="57"/>
  <c r="P731" i="57"/>
  <c r="Q731" i="57"/>
  <c r="R731" i="57"/>
  <c r="S731" i="57"/>
  <c r="L732" i="57"/>
  <c r="M732" i="57"/>
  <c r="N732" i="57"/>
  <c r="O732" i="57"/>
  <c r="P732" i="57"/>
  <c r="Q732" i="57"/>
  <c r="R732" i="57"/>
  <c r="S732" i="57"/>
  <c r="L733" i="57"/>
  <c r="M733" i="57"/>
  <c r="N733" i="57"/>
  <c r="O733" i="57"/>
  <c r="P733" i="57"/>
  <c r="Q733" i="57"/>
  <c r="R733" i="57"/>
  <c r="S733" i="57"/>
  <c r="L734" i="57"/>
  <c r="M734" i="57"/>
  <c r="N734" i="57"/>
  <c r="O734" i="57"/>
  <c r="P734" i="57"/>
  <c r="Q734" i="57"/>
  <c r="R734" i="57"/>
  <c r="S734" i="57"/>
  <c r="L735" i="57"/>
  <c r="M735" i="57"/>
  <c r="N735" i="57"/>
  <c r="O735" i="57"/>
  <c r="P735" i="57"/>
  <c r="Q735" i="57"/>
  <c r="R735" i="57"/>
  <c r="S735" i="57"/>
  <c r="L736" i="57"/>
  <c r="M736" i="57"/>
  <c r="N736" i="57"/>
  <c r="O736" i="57"/>
  <c r="P736" i="57"/>
  <c r="Q736" i="57"/>
  <c r="R736" i="57"/>
  <c r="S736" i="57"/>
  <c r="L737" i="57"/>
  <c r="M737" i="57"/>
  <c r="N737" i="57"/>
  <c r="O737" i="57"/>
  <c r="P737" i="57"/>
  <c r="Q737" i="57"/>
  <c r="R737" i="57"/>
  <c r="S737" i="57"/>
  <c r="T737" i="57"/>
  <c r="L738" i="57"/>
  <c r="M738" i="57"/>
  <c r="N738" i="57"/>
  <c r="O738" i="57"/>
  <c r="P738" i="57"/>
  <c r="Q738" i="57"/>
  <c r="R738" i="57"/>
  <c r="S738" i="57"/>
  <c r="L739" i="57"/>
  <c r="M739" i="57"/>
  <c r="N739" i="57"/>
  <c r="O739" i="57"/>
  <c r="P739" i="57"/>
  <c r="Q739" i="57"/>
  <c r="R739" i="57"/>
  <c r="S739" i="57"/>
  <c r="L740" i="57"/>
  <c r="M740" i="57"/>
  <c r="N740" i="57"/>
  <c r="O740" i="57"/>
  <c r="P740" i="57"/>
  <c r="Q740" i="57"/>
  <c r="R740" i="57"/>
  <c r="S740" i="57"/>
  <c r="L741" i="57"/>
  <c r="M741" i="57"/>
  <c r="N741" i="57"/>
  <c r="O741" i="57"/>
  <c r="P741" i="57"/>
  <c r="Q741" i="57"/>
  <c r="R741" i="57"/>
  <c r="S741" i="57"/>
  <c r="L742" i="57"/>
  <c r="M742" i="57"/>
  <c r="N742" i="57"/>
  <c r="O742" i="57"/>
  <c r="P742" i="57"/>
  <c r="Q742" i="57"/>
  <c r="R742" i="57"/>
  <c r="S742" i="57"/>
  <c r="L743" i="57"/>
  <c r="M743" i="57"/>
  <c r="N743" i="57"/>
  <c r="O743" i="57"/>
  <c r="P743" i="57"/>
  <c r="Q743" i="57"/>
  <c r="R743" i="57"/>
  <c r="S743" i="57"/>
  <c r="L744" i="57"/>
  <c r="M744" i="57"/>
  <c r="N744" i="57"/>
  <c r="O744" i="57"/>
  <c r="P744" i="57"/>
  <c r="Q744" i="57"/>
  <c r="R744" i="57"/>
  <c r="S744" i="57"/>
  <c r="L745" i="57"/>
  <c r="M745" i="57"/>
  <c r="N745" i="57"/>
  <c r="O745" i="57"/>
  <c r="P745" i="57"/>
  <c r="Q745" i="57"/>
  <c r="R745" i="57"/>
  <c r="S745" i="57"/>
  <c r="L746" i="57"/>
  <c r="M746" i="57"/>
  <c r="N746" i="57"/>
  <c r="O746" i="57"/>
  <c r="P746" i="57"/>
  <c r="Q746" i="57"/>
  <c r="R746" i="57"/>
  <c r="S746" i="57"/>
  <c r="L747" i="57"/>
  <c r="M747" i="57"/>
  <c r="N747" i="57"/>
  <c r="O747" i="57"/>
  <c r="P747" i="57"/>
  <c r="Q747" i="57"/>
  <c r="R747" i="57"/>
  <c r="S747" i="57"/>
  <c r="L748" i="57"/>
  <c r="M748" i="57"/>
  <c r="N748" i="57"/>
  <c r="O748" i="57"/>
  <c r="P748" i="57"/>
  <c r="Q748" i="57"/>
  <c r="R748" i="57"/>
  <c r="S748" i="57"/>
  <c r="T748" i="57" s="1"/>
  <c r="L749" i="57"/>
  <c r="M749" i="57"/>
  <c r="N749" i="57"/>
  <c r="O749" i="57"/>
  <c r="P749" i="57"/>
  <c r="Q749" i="57"/>
  <c r="R749" i="57"/>
  <c r="S749" i="57"/>
  <c r="L750" i="57"/>
  <c r="M750" i="57"/>
  <c r="N750" i="57"/>
  <c r="O750" i="57"/>
  <c r="P750" i="57"/>
  <c r="Q750" i="57"/>
  <c r="R750" i="57"/>
  <c r="S750" i="57"/>
  <c r="L751" i="57"/>
  <c r="M751" i="57"/>
  <c r="N751" i="57"/>
  <c r="O751" i="57"/>
  <c r="P751" i="57"/>
  <c r="Q751" i="57"/>
  <c r="R751" i="57"/>
  <c r="S751" i="57"/>
  <c r="L752" i="57"/>
  <c r="M752" i="57"/>
  <c r="N752" i="57"/>
  <c r="O752" i="57"/>
  <c r="P752" i="57"/>
  <c r="Q752" i="57"/>
  <c r="R752" i="57"/>
  <c r="S752" i="57"/>
  <c r="L753" i="57"/>
  <c r="M753" i="57"/>
  <c r="N753" i="57"/>
  <c r="O753" i="57"/>
  <c r="P753" i="57"/>
  <c r="Q753" i="57"/>
  <c r="R753" i="57"/>
  <c r="S753" i="57"/>
  <c r="L754" i="57"/>
  <c r="M754" i="57"/>
  <c r="N754" i="57"/>
  <c r="O754" i="57"/>
  <c r="P754" i="57"/>
  <c r="Q754" i="57"/>
  <c r="R754" i="57"/>
  <c r="S754" i="57"/>
  <c r="L755" i="57"/>
  <c r="M755" i="57"/>
  <c r="N755" i="57"/>
  <c r="O755" i="57"/>
  <c r="P755" i="57"/>
  <c r="Q755" i="57"/>
  <c r="R755" i="57"/>
  <c r="T755" i="57" s="1"/>
  <c r="S755" i="57"/>
  <c r="L756" i="57"/>
  <c r="M756" i="57"/>
  <c r="N756" i="57"/>
  <c r="O756" i="57"/>
  <c r="P756" i="57"/>
  <c r="Q756" i="57"/>
  <c r="R756" i="57"/>
  <c r="S756" i="57"/>
  <c r="L757" i="57"/>
  <c r="M757" i="57"/>
  <c r="N757" i="57"/>
  <c r="O757" i="57"/>
  <c r="P757" i="57"/>
  <c r="Q757" i="57"/>
  <c r="R757" i="57"/>
  <c r="S757" i="57"/>
  <c r="L758" i="57"/>
  <c r="M758" i="57"/>
  <c r="N758" i="57"/>
  <c r="O758" i="57"/>
  <c r="P758" i="57"/>
  <c r="Q758" i="57"/>
  <c r="R758" i="57"/>
  <c r="T758" i="57" s="1"/>
  <c r="S758" i="57"/>
  <c r="L759" i="57"/>
  <c r="M759" i="57"/>
  <c r="N759" i="57"/>
  <c r="O759" i="57"/>
  <c r="P759" i="57"/>
  <c r="Q759" i="57"/>
  <c r="R759" i="57"/>
  <c r="S759" i="57"/>
  <c r="L760" i="57"/>
  <c r="M760" i="57"/>
  <c r="N760" i="57"/>
  <c r="O760" i="57"/>
  <c r="P760" i="57"/>
  <c r="Q760" i="57"/>
  <c r="R760" i="57"/>
  <c r="S760" i="57"/>
  <c r="L761" i="57"/>
  <c r="M761" i="57"/>
  <c r="N761" i="57"/>
  <c r="O761" i="57"/>
  <c r="P761" i="57"/>
  <c r="Q761" i="57"/>
  <c r="R761" i="57"/>
  <c r="S761" i="57"/>
  <c r="L762" i="57"/>
  <c r="M762" i="57"/>
  <c r="N762" i="57"/>
  <c r="O762" i="57"/>
  <c r="P762" i="57"/>
  <c r="Q762" i="57"/>
  <c r="R762" i="57"/>
  <c r="T762" i="57" s="1"/>
  <c r="S762" i="57"/>
  <c r="L763" i="57"/>
  <c r="M763" i="57"/>
  <c r="N763" i="57"/>
  <c r="O763" i="57"/>
  <c r="P763" i="57"/>
  <c r="Q763" i="57"/>
  <c r="R763" i="57"/>
  <c r="S763" i="57"/>
  <c r="L764" i="57"/>
  <c r="M764" i="57"/>
  <c r="N764" i="57"/>
  <c r="O764" i="57"/>
  <c r="P764" i="57"/>
  <c r="Q764" i="57"/>
  <c r="R764" i="57"/>
  <c r="S764" i="57"/>
  <c r="L765" i="57"/>
  <c r="M765" i="57"/>
  <c r="N765" i="57"/>
  <c r="O765" i="57"/>
  <c r="P765" i="57"/>
  <c r="Q765" i="57"/>
  <c r="R765" i="57"/>
  <c r="S765" i="57"/>
  <c r="L766" i="57"/>
  <c r="M766" i="57"/>
  <c r="N766" i="57"/>
  <c r="O766" i="57"/>
  <c r="P766" i="57"/>
  <c r="Q766" i="57"/>
  <c r="R766" i="57"/>
  <c r="T766" i="57" s="1"/>
  <c r="S766" i="57"/>
  <c r="L767" i="57"/>
  <c r="M767" i="57"/>
  <c r="N767" i="57"/>
  <c r="O767" i="57"/>
  <c r="P767" i="57"/>
  <c r="Q767" i="57"/>
  <c r="R767" i="57"/>
  <c r="S767" i="57"/>
  <c r="L768" i="57"/>
  <c r="M768" i="57"/>
  <c r="N768" i="57"/>
  <c r="O768" i="57"/>
  <c r="P768" i="57"/>
  <c r="Q768" i="57"/>
  <c r="R768" i="57"/>
  <c r="T768" i="57" s="1"/>
  <c r="S768" i="57"/>
  <c r="L769" i="57"/>
  <c r="M769" i="57"/>
  <c r="N769" i="57"/>
  <c r="O769" i="57"/>
  <c r="P769" i="57"/>
  <c r="Q769" i="57"/>
  <c r="R769" i="57"/>
  <c r="S769" i="57"/>
  <c r="L770" i="57"/>
  <c r="M770" i="57"/>
  <c r="N770" i="57"/>
  <c r="O770" i="57"/>
  <c r="P770" i="57"/>
  <c r="Q770" i="57"/>
  <c r="R770" i="57"/>
  <c r="S770" i="57"/>
  <c r="L771" i="57"/>
  <c r="M771" i="57"/>
  <c r="N771" i="57"/>
  <c r="O771" i="57"/>
  <c r="P771" i="57"/>
  <c r="Q771" i="57"/>
  <c r="R771" i="57"/>
  <c r="S771" i="57"/>
  <c r="T771" i="57" s="1"/>
  <c r="L772" i="57"/>
  <c r="M772" i="57"/>
  <c r="N772" i="57"/>
  <c r="O772" i="57"/>
  <c r="P772" i="57"/>
  <c r="Q772" i="57"/>
  <c r="R772" i="57"/>
  <c r="S772" i="57"/>
  <c r="L773" i="57"/>
  <c r="M773" i="57"/>
  <c r="N773" i="57"/>
  <c r="O773" i="57"/>
  <c r="P773" i="57"/>
  <c r="Q773" i="57"/>
  <c r="R773" i="57"/>
  <c r="S773" i="57"/>
  <c r="L774" i="57"/>
  <c r="M774" i="57"/>
  <c r="N774" i="57"/>
  <c r="O774" i="57"/>
  <c r="P774" i="57"/>
  <c r="Q774" i="57"/>
  <c r="R774" i="57"/>
  <c r="S774" i="57"/>
  <c r="L775" i="57"/>
  <c r="M775" i="57"/>
  <c r="N775" i="57"/>
  <c r="O775" i="57"/>
  <c r="P775" i="57"/>
  <c r="Q775" i="57"/>
  <c r="R775" i="57"/>
  <c r="S775" i="57"/>
  <c r="L776" i="57"/>
  <c r="M776" i="57"/>
  <c r="N776" i="57"/>
  <c r="O776" i="57"/>
  <c r="P776" i="57"/>
  <c r="Q776" i="57"/>
  <c r="R776" i="57"/>
  <c r="S776" i="57"/>
  <c r="T776" i="57"/>
  <c r="L777" i="57"/>
  <c r="M777" i="57"/>
  <c r="N777" i="57"/>
  <c r="O777" i="57"/>
  <c r="P777" i="57"/>
  <c r="Q777" i="57"/>
  <c r="R777" i="57"/>
  <c r="S777" i="57"/>
  <c r="L778" i="57"/>
  <c r="M778" i="57"/>
  <c r="N778" i="57"/>
  <c r="O778" i="57"/>
  <c r="P778" i="57"/>
  <c r="Q778" i="57"/>
  <c r="R778" i="57"/>
  <c r="S778" i="57"/>
  <c r="L779" i="57"/>
  <c r="M779" i="57"/>
  <c r="N779" i="57"/>
  <c r="O779" i="57"/>
  <c r="P779" i="57"/>
  <c r="Q779" i="57"/>
  <c r="R779" i="57"/>
  <c r="S779" i="57"/>
  <c r="T779" i="57" s="1"/>
  <c r="L780" i="57"/>
  <c r="M780" i="57"/>
  <c r="N780" i="57"/>
  <c r="O780" i="57"/>
  <c r="P780" i="57"/>
  <c r="Q780" i="57"/>
  <c r="R780" i="57"/>
  <c r="S780" i="57"/>
  <c r="L781" i="57"/>
  <c r="M781" i="57"/>
  <c r="N781" i="57"/>
  <c r="O781" i="57"/>
  <c r="P781" i="57"/>
  <c r="Q781" i="57"/>
  <c r="R781" i="57"/>
  <c r="S781" i="57"/>
  <c r="L782" i="57"/>
  <c r="M782" i="57"/>
  <c r="N782" i="57"/>
  <c r="O782" i="57"/>
  <c r="P782" i="57"/>
  <c r="Q782" i="57"/>
  <c r="R782" i="57"/>
  <c r="S782" i="57"/>
  <c r="L783" i="57"/>
  <c r="M783" i="57"/>
  <c r="N783" i="57"/>
  <c r="O783" i="57"/>
  <c r="P783" i="57"/>
  <c r="Q783" i="57"/>
  <c r="R783" i="57"/>
  <c r="T783" i="57" s="1"/>
  <c r="S783" i="57"/>
  <c r="L784" i="57"/>
  <c r="M784" i="57"/>
  <c r="N784" i="57"/>
  <c r="O784" i="57"/>
  <c r="P784" i="57"/>
  <c r="Q784" i="57"/>
  <c r="R784" i="57"/>
  <c r="T784" i="57" s="1"/>
  <c r="S784" i="57"/>
  <c r="L785" i="57"/>
  <c r="M785" i="57"/>
  <c r="N785" i="57"/>
  <c r="O785" i="57"/>
  <c r="P785" i="57"/>
  <c r="Q785" i="57"/>
  <c r="R785" i="57"/>
  <c r="S785" i="57"/>
  <c r="L786" i="57"/>
  <c r="M786" i="57"/>
  <c r="N786" i="57"/>
  <c r="O786" i="57"/>
  <c r="P786" i="57"/>
  <c r="Q786" i="57"/>
  <c r="R786" i="57"/>
  <c r="S786" i="57"/>
  <c r="L787" i="57"/>
  <c r="M787" i="57"/>
  <c r="N787" i="57"/>
  <c r="O787" i="57"/>
  <c r="P787" i="57"/>
  <c r="Q787" i="57"/>
  <c r="R787" i="57"/>
  <c r="S787" i="57"/>
  <c r="L788" i="57"/>
  <c r="M788" i="57"/>
  <c r="N788" i="57"/>
  <c r="O788" i="57"/>
  <c r="P788" i="57"/>
  <c r="Q788" i="57"/>
  <c r="R788" i="57"/>
  <c r="T788" i="57" s="1"/>
  <c r="S788" i="57"/>
  <c r="L789" i="57"/>
  <c r="M789" i="57"/>
  <c r="N789" i="57"/>
  <c r="O789" i="57"/>
  <c r="P789" i="57"/>
  <c r="Q789" i="57"/>
  <c r="R789" i="57"/>
  <c r="S789" i="57"/>
  <c r="L790" i="57"/>
  <c r="M790" i="57"/>
  <c r="N790" i="57"/>
  <c r="O790" i="57"/>
  <c r="P790" i="57"/>
  <c r="Q790" i="57"/>
  <c r="R790" i="57"/>
  <c r="S790" i="57"/>
  <c r="L791" i="57"/>
  <c r="M791" i="57"/>
  <c r="N791" i="57"/>
  <c r="O791" i="57"/>
  <c r="P791" i="57"/>
  <c r="Q791" i="57"/>
  <c r="R791" i="57"/>
  <c r="T791" i="57" s="1"/>
  <c r="S791" i="57"/>
  <c r="L792" i="57"/>
  <c r="M792" i="57"/>
  <c r="N792" i="57"/>
  <c r="O792" i="57"/>
  <c r="P792" i="57"/>
  <c r="Q792" i="57"/>
  <c r="R792" i="57"/>
  <c r="T792" i="57" s="1"/>
  <c r="S792" i="57"/>
  <c r="L793" i="57"/>
  <c r="M793" i="57"/>
  <c r="N793" i="57"/>
  <c r="O793" i="57"/>
  <c r="P793" i="57"/>
  <c r="Q793" i="57"/>
  <c r="R793" i="57"/>
  <c r="S793" i="57"/>
  <c r="L794" i="57"/>
  <c r="M794" i="57"/>
  <c r="N794" i="57"/>
  <c r="O794" i="57"/>
  <c r="P794" i="57"/>
  <c r="Q794" i="57"/>
  <c r="R794" i="57"/>
  <c r="S794" i="57"/>
  <c r="L795" i="57"/>
  <c r="M795" i="57"/>
  <c r="N795" i="57"/>
  <c r="O795" i="57"/>
  <c r="P795" i="57"/>
  <c r="Q795" i="57"/>
  <c r="R795" i="57"/>
  <c r="S795" i="57"/>
  <c r="T795" i="57"/>
  <c r="L796" i="57"/>
  <c r="M796" i="57"/>
  <c r="N796" i="57"/>
  <c r="O796" i="57"/>
  <c r="P796" i="57"/>
  <c r="Q796" i="57"/>
  <c r="R796" i="57"/>
  <c r="S796" i="57"/>
  <c r="L797" i="57"/>
  <c r="M797" i="57"/>
  <c r="N797" i="57"/>
  <c r="O797" i="57"/>
  <c r="P797" i="57"/>
  <c r="Q797" i="57"/>
  <c r="R797" i="57"/>
  <c r="S797" i="57"/>
  <c r="L798" i="57"/>
  <c r="M798" i="57"/>
  <c r="N798" i="57"/>
  <c r="O798" i="57"/>
  <c r="P798" i="57"/>
  <c r="Q798" i="57"/>
  <c r="R798" i="57"/>
  <c r="S798" i="57"/>
  <c r="L799" i="57"/>
  <c r="M799" i="57"/>
  <c r="N799" i="57"/>
  <c r="O799" i="57"/>
  <c r="P799" i="57"/>
  <c r="Q799" i="57"/>
  <c r="R799" i="57"/>
  <c r="S799" i="57"/>
  <c r="L800" i="57"/>
  <c r="M800" i="57"/>
  <c r="N800" i="57"/>
  <c r="O800" i="57"/>
  <c r="P800" i="57"/>
  <c r="Q800" i="57"/>
  <c r="R800" i="57"/>
  <c r="S800" i="57"/>
  <c r="T800" i="57" s="1"/>
  <c r="L801" i="57"/>
  <c r="M801" i="57"/>
  <c r="N801" i="57"/>
  <c r="O801" i="57"/>
  <c r="P801" i="57"/>
  <c r="Q801" i="57"/>
  <c r="R801" i="57"/>
  <c r="S801" i="57"/>
  <c r="L802" i="57"/>
  <c r="M802" i="57"/>
  <c r="N802" i="57"/>
  <c r="O802" i="57"/>
  <c r="P802" i="57"/>
  <c r="Q802" i="57"/>
  <c r="R802" i="57"/>
  <c r="S802" i="57"/>
  <c r="L803" i="57"/>
  <c r="M803" i="57"/>
  <c r="N803" i="57"/>
  <c r="O803" i="57"/>
  <c r="P803" i="57"/>
  <c r="Q803" i="57"/>
  <c r="R803" i="57"/>
  <c r="S803" i="57"/>
  <c r="L804" i="57"/>
  <c r="M804" i="57"/>
  <c r="N804" i="57"/>
  <c r="O804" i="57"/>
  <c r="P804" i="57"/>
  <c r="Q804" i="57"/>
  <c r="R804" i="57"/>
  <c r="S804" i="57"/>
  <c r="L805" i="57"/>
  <c r="M805" i="57"/>
  <c r="N805" i="57"/>
  <c r="O805" i="57"/>
  <c r="P805" i="57"/>
  <c r="Q805" i="57"/>
  <c r="R805" i="57"/>
  <c r="S805" i="57"/>
  <c r="L806" i="57"/>
  <c r="M806" i="57"/>
  <c r="N806" i="57"/>
  <c r="O806" i="57"/>
  <c r="P806" i="57"/>
  <c r="Q806" i="57"/>
  <c r="R806" i="57"/>
  <c r="S806" i="57"/>
  <c r="L807" i="57"/>
  <c r="M807" i="57"/>
  <c r="N807" i="57"/>
  <c r="O807" i="57"/>
  <c r="P807" i="57"/>
  <c r="Q807" i="57"/>
  <c r="R807" i="57"/>
  <c r="S807" i="57"/>
  <c r="L808" i="57"/>
  <c r="M808" i="57"/>
  <c r="N808" i="57"/>
  <c r="O808" i="57"/>
  <c r="P808" i="57"/>
  <c r="Q808" i="57"/>
  <c r="R808" i="57"/>
  <c r="T808" i="57" s="1"/>
  <c r="S808" i="57"/>
  <c r="L809" i="57"/>
  <c r="M809" i="57"/>
  <c r="N809" i="57"/>
  <c r="O809" i="57"/>
  <c r="P809" i="57"/>
  <c r="Q809" i="57"/>
  <c r="R809" i="57"/>
  <c r="S809" i="57"/>
  <c r="L810" i="57"/>
  <c r="M810" i="57"/>
  <c r="N810" i="57"/>
  <c r="O810" i="57"/>
  <c r="P810" i="57"/>
  <c r="Q810" i="57"/>
  <c r="R810" i="57"/>
  <c r="S810" i="57"/>
  <c r="L811" i="57"/>
  <c r="M811" i="57"/>
  <c r="N811" i="57"/>
  <c r="O811" i="57"/>
  <c r="P811" i="57"/>
  <c r="Q811" i="57"/>
  <c r="R811" i="57"/>
  <c r="T811" i="57" s="1"/>
  <c r="S811" i="57"/>
  <c r="L812" i="57"/>
  <c r="M812" i="57"/>
  <c r="N812" i="57"/>
  <c r="O812" i="57"/>
  <c r="P812" i="57"/>
  <c r="Q812" i="57"/>
  <c r="R812" i="57"/>
  <c r="S812" i="57"/>
  <c r="L813" i="57"/>
  <c r="M813" i="57"/>
  <c r="N813" i="57"/>
  <c r="O813" i="57"/>
  <c r="P813" i="57"/>
  <c r="Q813" i="57"/>
  <c r="R813" i="57"/>
  <c r="S813" i="57"/>
  <c r="L814" i="57"/>
  <c r="M814" i="57"/>
  <c r="N814" i="57"/>
  <c r="O814" i="57"/>
  <c r="P814" i="57"/>
  <c r="Q814" i="57"/>
  <c r="R814" i="57"/>
  <c r="S814" i="57"/>
  <c r="L815" i="57"/>
  <c r="M815" i="57"/>
  <c r="N815" i="57"/>
  <c r="O815" i="57"/>
  <c r="P815" i="57"/>
  <c r="Q815" i="57"/>
  <c r="R815" i="57"/>
  <c r="S815" i="57"/>
  <c r="L816" i="57"/>
  <c r="M816" i="57"/>
  <c r="N816" i="57"/>
  <c r="O816" i="57"/>
  <c r="P816" i="57"/>
  <c r="Q816" i="57"/>
  <c r="R816" i="57"/>
  <c r="S816" i="57"/>
  <c r="T816" i="57"/>
  <c r="L817" i="57"/>
  <c r="M817" i="57"/>
  <c r="N817" i="57"/>
  <c r="O817" i="57"/>
  <c r="P817" i="57"/>
  <c r="Q817" i="57"/>
  <c r="R817" i="57"/>
  <c r="S817" i="57"/>
  <c r="L818" i="57"/>
  <c r="M818" i="57"/>
  <c r="N818" i="57"/>
  <c r="O818" i="57"/>
  <c r="P818" i="57"/>
  <c r="Q818" i="57"/>
  <c r="R818" i="57"/>
  <c r="S818" i="57"/>
  <c r="L819" i="57"/>
  <c r="M819" i="57"/>
  <c r="N819" i="57"/>
  <c r="O819" i="57"/>
  <c r="P819" i="57"/>
  <c r="Q819" i="57"/>
  <c r="R819" i="57"/>
  <c r="S819" i="57"/>
  <c r="T819" i="57" s="1"/>
  <c r="L820" i="57"/>
  <c r="M820" i="57"/>
  <c r="N820" i="57"/>
  <c r="O820" i="57"/>
  <c r="P820" i="57"/>
  <c r="Q820" i="57"/>
  <c r="R820" i="57"/>
  <c r="S820" i="57"/>
  <c r="L821" i="57"/>
  <c r="M821" i="57"/>
  <c r="N821" i="57"/>
  <c r="O821" i="57"/>
  <c r="P821" i="57"/>
  <c r="Q821" i="57"/>
  <c r="R821" i="57"/>
  <c r="S821" i="57"/>
  <c r="L822" i="57"/>
  <c r="M822" i="57"/>
  <c r="N822" i="57"/>
  <c r="O822" i="57"/>
  <c r="P822" i="57"/>
  <c r="Q822" i="57"/>
  <c r="R822" i="57"/>
  <c r="S822" i="57"/>
  <c r="L823" i="57"/>
  <c r="M823" i="57"/>
  <c r="N823" i="57"/>
  <c r="O823" i="57"/>
  <c r="P823" i="57"/>
  <c r="Q823" i="57"/>
  <c r="R823" i="57"/>
  <c r="S823" i="57"/>
  <c r="L824" i="57"/>
  <c r="M824" i="57"/>
  <c r="N824" i="57"/>
  <c r="O824" i="57"/>
  <c r="P824" i="57"/>
  <c r="Q824" i="57"/>
  <c r="R824" i="57"/>
  <c r="S824" i="57"/>
  <c r="L825" i="57"/>
  <c r="M825" i="57"/>
  <c r="N825" i="57"/>
  <c r="O825" i="57"/>
  <c r="P825" i="57"/>
  <c r="Q825" i="57"/>
  <c r="R825" i="57"/>
  <c r="S825" i="57"/>
  <c r="L826" i="57"/>
  <c r="M826" i="57"/>
  <c r="N826" i="57"/>
  <c r="O826" i="57"/>
  <c r="P826" i="57"/>
  <c r="Q826" i="57"/>
  <c r="R826" i="57"/>
  <c r="S826" i="57"/>
  <c r="L827" i="57"/>
  <c r="M827" i="57"/>
  <c r="N827" i="57"/>
  <c r="O827" i="57"/>
  <c r="P827" i="57"/>
  <c r="Q827" i="57"/>
  <c r="R827" i="57"/>
  <c r="S827" i="57"/>
  <c r="T827" i="57" s="1"/>
  <c r="L828" i="57"/>
  <c r="M828" i="57"/>
  <c r="N828" i="57"/>
  <c r="O828" i="57"/>
  <c r="P828" i="57"/>
  <c r="Q828" i="57"/>
  <c r="R828" i="57"/>
  <c r="S828" i="57"/>
  <c r="L829" i="57"/>
  <c r="M829" i="57"/>
  <c r="N829" i="57"/>
  <c r="O829" i="57"/>
  <c r="P829" i="57"/>
  <c r="Q829" i="57"/>
  <c r="R829" i="57"/>
  <c r="S829" i="57"/>
  <c r="L830" i="57"/>
  <c r="M830" i="57"/>
  <c r="N830" i="57"/>
  <c r="O830" i="57"/>
  <c r="P830" i="57"/>
  <c r="Q830" i="57"/>
  <c r="R830" i="57"/>
  <c r="S830" i="57"/>
  <c r="L831" i="57"/>
  <c r="M831" i="57"/>
  <c r="N831" i="57"/>
  <c r="O831" i="57"/>
  <c r="P831" i="57"/>
  <c r="Q831" i="57"/>
  <c r="R831" i="57"/>
  <c r="S831" i="57"/>
  <c r="L832" i="57"/>
  <c r="M832" i="57"/>
  <c r="N832" i="57"/>
  <c r="O832" i="57"/>
  <c r="P832" i="57"/>
  <c r="Q832" i="57"/>
  <c r="R832" i="57"/>
  <c r="T832" i="57" s="1"/>
  <c r="S832" i="57"/>
  <c r="L833" i="57"/>
  <c r="M833" i="57"/>
  <c r="N833" i="57"/>
  <c r="O833" i="57"/>
  <c r="P833" i="57"/>
  <c r="Q833" i="57"/>
  <c r="R833" i="57"/>
  <c r="S833" i="57"/>
  <c r="L834" i="57"/>
  <c r="M834" i="57"/>
  <c r="N834" i="57"/>
  <c r="O834" i="57"/>
  <c r="P834" i="57"/>
  <c r="Q834" i="57"/>
  <c r="R834" i="57"/>
  <c r="S834" i="57"/>
  <c r="L835" i="57"/>
  <c r="M835" i="57"/>
  <c r="N835" i="57"/>
  <c r="O835" i="57"/>
  <c r="P835" i="57"/>
  <c r="Q835" i="57"/>
  <c r="R835" i="57"/>
  <c r="S835" i="57"/>
  <c r="L836" i="57"/>
  <c r="M836" i="57"/>
  <c r="N836" i="57"/>
  <c r="O836" i="57"/>
  <c r="P836" i="57"/>
  <c r="Q836" i="57"/>
  <c r="R836" i="57"/>
  <c r="S836" i="57"/>
  <c r="L837" i="57"/>
  <c r="M837" i="57"/>
  <c r="N837" i="57"/>
  <c r="O837" i="57"/>
  <c r="P837" i="57"/>
  <c r="Q837" i="57"/>
  <c r="R837" i="57"/>
  <c r="S837" i="57"/>
  <c r="L838" i="57"/>
  <c r="M838" i="57"/>
  <c r="N838" i="57"/>
  <c r="O838" i="57"/>
  <c r="P838" i="57"/>
  <c r="Q838" i="57"/>
  <c r="R838" i="57"/>
  <c r="T838" i="57" s="1"/>
  <c r="S838" i="57"/>
  <c r="L839" i="57"/>
  <c r="M839" i="57"/>
  <c r="N839" i="57"/>
  <c r="O839" i="57"/>
  <c r="P839" i="57"/>
  <c r="Q839" i="57"/>
  <c r="R839" i="57"/>
  <c r="S839" i="57"/>
  <c r="L840" i="57"/>
  <c r="M840" i="57"/>
  <c r="N840" i="57"/>
  <c r="O840" i="57"/>
  <c r="P840" i="57"/>
  <c r="Q840" i="57"/>
  <c r="R840" i="57"/>
  <c r="T840" i="57" s="1"/>
  <c r="S840" i="57"/>
  <c r="L841" i="57"/>
  <c r="M841" i="57"/>
  <c r="N841" i="57"/>
  <c r="O841" i="57"/>
  <c r="P841" i="57"/>
  <c r="Q841" i="57"/>
  <c r="R841" i="57"/>
  <c r="S841" i="57"/>
  <c r="L842" i="57"/>
  <c r="M842" i="57"/>
  <c r="N842" i="57"/>
  <c r="O842" i="57"/>
  <c r="P842" i="57"/>
  <c r="Q842" i="57"/>
  <c r="R842" i="57"/>
  <c r="S842" i="57"/>
  <c r="L843" i="57"/>
  <c r="M843" i="57"/>
  <c r="N843" i="57"/>
  <c r="O843" i="57"/>
  <c r="P843" i="57"/>
  <c r="Q843" i="57"/>
  <c r="R843" i="57"/>
  <c r="T843" i="57" s="1"/>
  <c r="S843" i="57"/>
  <c r="L844" i="57"/>
  <c r="M844" i="57"/>
  <c r="N844" i="57"/>
  <c r="O844" i="57"/>
  <c r="P844" i="57"/>
  <c r="Q844" i="57"/>
  <c r="R844" i="57"/>
  <c r="S844" i="57"/>
  <c r="L845" i="57"/>
  <c r="M845" i="57"/>
  <c r="N845" i="57"/>
  <c r="O845" i="57"/>
  <c r="P845" i="57"/>
  <c r="Q845" i="57"/>
  <c r="R845" i="57"/>
  <c r="S845" i="57"/>
  <c r="L846" i="57"/>
  <c r="M846" i="57"/>
  <c r="N846" i="57"/>
  <c r="O846" i="57"/>
  <c r="P846" i="57"/>
  <c r="Q846" i="57"/>
  <c r="R846" i="57"/>
  <c r="T846" i="57" s="1"/>
  <c r="S846" i="57"/>
  <c r="L847" i="57"/>
  <c r="M847" i="57"/>
  <c r="N847" i="57"/>
  <c r="O847" i="57"/>
  <c r="P847" i="57"/>
  <c r="Q847" i="57"/>
  <c r="R847" i="57"/>
  <c r="S847" i="57"/>
  <c r="L848" i="57"/>
  <c r="M848" i="57"/>
  <c r="N848" i="57"/>
  <c r="O848" i="57"/>
  <c r="P848" i="57"/>
  <c r="Q848" i="57"/>
  <c r="R848" i="57"/>
  <c r="T848" i="57" s="1"/>
  <c r="S848" i="57"/>
  <c r="L849" i="57"/>
  <c r="M849" i="57"/>
  <c r="N849" i="57"/>
  <c r="O849" i="57"/>
  <c r="P849" i="57"/>
  <c r="Q849" i="57"/>
  <c r="R849" i="57"/>
  <c r="S849" i="57"/>
  <c r="L850" i="57"/>
  <c r="M850" i="57"/>
  <c r="N850" i="57"/>
  <c r="O850" i="57"/>
  <c r="P850" i="57"/>
  <c r="Q850" i="57"/>
  <c r="R850" i="57"/>
  <c r="S850" i="57"/>
  <c r="L851" i="57"/>
  <c r="M851" i="57"/>
  <c r="N851" i="57"/>
  <c r="O851" i="57"/>
  <c r="P851" i="57"/>
  <c r="Q851" i="57"/>
  <c r="R851" i="57"/>
  <c r="S851" i="57"/>
  <c r="L852" i="57"/>
  <c r="M852" i="57"/>
  <c r="N852" i="57"/>
  <c r="O852" i="57"/>
  <c r="P852" i="57"/>
  <c r="Q852" i="57"/>
  <c r="R852" i="57"/>
  <c r="S852" i="57"/>
  <c r="L853" i="57"/>
  <c r="M853" i="57"/>
  <c r="N853" i="57"/>
  <c r="O853" i="57"/>
  <c r="P853" i="57"/>
  <c r="Q853" i="57"/>
  <c r="R853" i="57"/>
  <c r="S853" i="57"/>
  <c r="L854" i="57"/>
  <c r="M854" i="57"/>
  <c r="N854" i="57"/>
  <c r="O854" i="57"/>
  <c r="P854" i="57"/>
  <c r="Q854" i="57"/>
  <c r="R854" i="57"/>
  <c r="T854" i="57" s="1"/>
  <c r="S854" i="57"/>
  <c r="L855" i="57"/>
  <c r="M855" i="57"/>
  <c r="N855" i="57"/>
  <c r="O855" i="57"/>
  <c r="P855" i="57"/>
  <c r="Q855" i="57"/>
  <c r="R855" i="57"/>
  <c r="S855" i="57"/>
  <c r="L856" i="57"/>
  <c r="M856" i="57"/>
  <c r="N856" i="57"/>
  <c r="O856" i="57"/>
  <c r="P856" i="57"/>
  <c r="Q856" i="57"/>
  <c r="R856" i="57"/>
  <c r="T856" i="57" s="1"/>
  <c r="S856" i="57"/>
  <c r="L857" i="57"/>
  <c r="M857" i="57"/>
  <c r="N857" i="57"/>
  <c r="O857" i="57"/>
  <c r="P857" i="57"/>
  <c r="Q857" i="57"/>
  <c r="R857" i="57"/>
  <c r="S857" i="57"/>
  <c r="L858" i="57"/>
  <c r="M858" i="57"/>
  <c r="N858" i="57"/>
  <c r="O858" i="57"/>
  <c r="P858" i="57"/>
  <c r="Q858" i="57"/>
  <c r="R858" i="57"/>
  <c r="S858" i="57"/>
  <c r="L859" i="57"/>
  <c r="M859" i="57"/>
  <c r="N859" i="57"/>
  <c r="O859" i="57"/>
  <c r="P859" i="57"/>
  <c r="Q859" i="57"/>
  <c r="R859" i="57"/>
  <c r="T859" i="57" s="1"/>
  <c r="S859" i="57"/>
  <c r="L860" i="57"/>
  <c r="M860" i="57"/>
  <c r="N860" i="57"/>
  <c r="O860" i="57"/>
  <c r="P860" i="57"/>
  <c r="Q860" i="57"/>
  <c r="R860" i="57"/>
  <c r="S860" i="57"/>
  <c r="L861" i="57"/>
  <c r="M861" i="57"/>
  <c r="N861" i="57"/>
  <c r="O861" i="57"/>
  <c r="P861" i="57"/>
  <c r="Q861" i="57"/>
  <c r="R861" i="57"/>
  <c r="S861" i="57"/>
  <c r="L862" i="57"/>
  <c r="M862" i="57"/>
  <c r="N862" i="57"/>
  <c r="O862" i="57"/>
  <c r="P862" i="57"/>
  <c r="Q862" i="57"/>
  <c r="R862" i="57"/>
  <c r="T862" i="57" s="1"/>
  <c r="S862" i="57"/>
  <c r="L863" i="57"/>
  <c r="M863" i="57"/>
  <c r="N863" i="57"/>
  <c r="O863" i="57"/>
  <c r="P863" i="57"/>
  <c r="Q863" i="57"/>
  <c r="R863" i="57"/>
  <c r="S863" i="57"/>
  <c r="L864" i="57"/>
  <c r="M864" i="57"/>
  <c r="N864" i="57"/>
  <c r="O864" i="57"/>
  <c r="P864" i="57"/>
  <c r="Q864" i="57"/>
  <c r="R864" i="57"/>
  <c r="T864" i="57" s="1"/>
  <c r="S864" i="57"/>
  <c r="L865" i="57"/>
  <c r="M865" i="57"/>
  <c r="N865" i="57"/>
  <c r="O865" i="57"/>
  <c r="P865" i="57"/>
  <c r="Q865" i="57"/>
  <c r="R865" i="57"/>
  <c r="S865" i="57"/>
  <c r="L866" i="57"/>
  <c r="M866" i="57"/>
  <c r="N866" i="57"/>
  <c r="O866" i="57"/>
  <c r="P866" i="57"/>
  <c r="Q866" i="57"/>
  <c r="R866" i="57"/>
  <c r="S866" i="57"/>
  <c r="L867" i="57"/>
  <c r="M867" i="57"/>
  <c r="N867" i="57"/>
  <c r="O867" i="57"/>
  <c r="P867" i="57"/>
  <c r="Q867" i="57"/>
  <c r="R867" i="57"/>
  <c r="S867" i="57"/>
  <c r="T867" i="57" s="1"/>
  <c r="L868" i="57"/>
  <c r="M868" i="57"/>
  <c r="N868" i="57"/>
  <c r="O868" i="57"/>
  <c r="P868" i="57"/>
  <c r="Q868" i="57"/>
  <c r="R868" i="57"/>
  <c r="S868" i="57"/>
  <c r="L869" i="57"/>
  <c r="M869" i="57"/>
  <c r="N869" i="57"/>
  <c r="O869" i="57"/>
  <c r="P869" i="57"/>
  <c r="Q869" i="57"/>
  <c r="R869" i="57"/>
  <c r="S869" i="57"/>
  <c r="L870" i="57"/>
  <c r="M870" i="57"/>
  <c r="N870" i="57"/>
  <c r="O870" i="57"/>
  <c r="P870" i="57"/>
  <c r="Q870" i="57"/>
  <c r="R870" i="57"/>
  <c r="S870" i="57"/>
  <c r="L871" i="57"/>
  <c r="M871" i="57"/>
  <c r="N871" i="57"/>
  <c r="O871" i="57"/>
  <c r="P871" i="57"/>
  <c r="Q871" i="57"/>
  <c r="R871" i="57"/>
  <c r="S871" i="57"/>
  <c r="L872" i="57"/>
  <c r="M872" i="57"/>
  <c r="N872" i="57"/>
  <c r="O872" i="57"/>
  <c r="P872" i="57"/>
  <c r="Q872" i="57"/>
  <c r="R872" i="57"/>
  <c r="S872" i="57"/>
  <c r="T872" i="57"/>
  <c r="L873" i="57"/>
  <c r="M873" i="57"/>
  <c r="N873" i="57"/>
  <c r="O873" i="57"/>
  <c r="P873" i="57"/>
  <c r="Q873" i="57"/>
  <c r="R873" i="57"/>
  <c r="S873" i="57"/>
  <c r="L874" i="57"/>
  <c r="M874" i="57"/>
  <c r="N874" i="57"/>
  <c r="O874" i="57"/>
  <c r="P874" i="57"/>
  <c r="Q874" i="57"/>
  <c r="R874" i="57"/>
  <c r="S874" i="57"/>
  <c r="L875" i="57"/>
  <c r="M875" i="57"/>
  <c r="N875" i="57"/>
  <c r="O875" i="57"/>
  <c r="P875" i="57"/>
  <c r="Q875" i="57"/>
  <c r="R875" i="57"/>
  <c r="S875" i="57"/>
  <c r="T875" i="57" s="1"/>
  <c r="L876" i="57"/>
  <c r="M876" i="57"/>
  <c r="N876" i="57"/>
  <c r="O876" i="57"/>
  <c r="P876" i="57"/>
  <c r="Q876" i="57"/>
  <c r="R876" i="57"/>
  <c r="S876" i="57"/>
  <c r="L877" i="57"/>
  <c r="M877" i="57"/>
  <c r="N877" i="57"/>
  <c r="O877" i="57"/>
  <c r="P877" i="57"/>
  <c r="Q877" i="57"/>
  <c r="R877" i="57"/>
  <c r="S877" i="57"/>
  <c r="L878" i="57"/>
  <c r="M878" i="57"/>
  <c r="N878" i="57"/>
  <c r="O878" i="57"/>
  <c r="P878" i="57"/>
  <c r="Q878" i="57"/>
  <c r="R878" i="57"/>
  <c r="S878" i="57"/>
  <c r="L879" i="57"/>
  <c r="M879" i="57"/>
  <c r="N879" i="57"/>
  <c r="O879" i="57"/>
  <c r="P879" i="57"/>
  <c r="Q879" i="57"/>
  <c r="R879" i="57"/>
  <c r="T879" i="57" s="1"/>
  <c r="S879" i="57"/>
  <c r="L880" i="57"/>
  <c r="M880" i="57"/>
  <c r="N880" i="57"/>
  <c r="O880" i="57"/>
  <c r="P880" i="57"/>
  <c r="Q880" i="57"/>
  <c r="R880" i="57"/>
  <c r="S880" i="57"/>
  <c r="L881" i="57"/>
  <c r="M881" i="57"/>
  <c r="N881" i="57"/>
  <c r="O881" i="57"/>
  <c r="P881" i="57"/>
  <c r="Q881" i="57"/>
  <c r="R881" i="57"/>
  <c r="S881" i="57"/>
  <c r="L882" i="57"/>
  <c r="M882" i="57"/>
  <c r="N882" i="57"/>
  <c r="O882" i="57"/>
  <c r="P882" i="57"/>
  <c r="Q882" i="57"/>
  <c r="R882" i="57"/>
  <c r="T882" i="57" s="1"/>
  <c r="S882" i="57"/>
  <c r="L883" i="57"/>
  <c r="M883" i="57"/>
  <c r="N883" i="57"/>
  <c r="O883" i="57"/>
  <c r="P883" i="57"/>
  <c r="Q883" i="57"/>
  <c r="R883" i="57"/>
  <c r="T883" i="57" s="1"/>
  <c r="S883" i="57"/>
  <c r="L884" i="57"/>
  <c r="M884" i="57"/>
  <c r="N884" i="57"/>
  <c r="O884" i="57"/>
  <c r="P884" i="57"/>
  <c r="Q884" i="57"/>
  <c r="R884" i="57"/>
  <c r="S884" i="57"/>
  <c r="L885" i="57"/>
  <c r="M885" i="57"/>
  <c r="N885" i="57"/>
  <c r="O885" i="57"/>
  <c r="P885" i="57"/>
  <c r="Q885" i="57"/>
  <c r="R885" i="57"/>
  <c r="S885" i="57"/>
  <c r="L886" i="57"/>
  <c r="M886" i="57"/>
  <c r="N886" i="57"/>
  <c r="O886" i="57"/>
  <c r="P886" i="57"/>
  <c r="Q886" i="57"/>
  <c r="R886" i="57"/>
  <c r="S886" i="57"/>
  <c r="L887" i="57"/>
  <c r="M887" i="57"/>
  <c r="N887" i="57"/>
  <c r="O887" i="57"/>
  <c r="P887" i="57"/>
  <c r="Q887" i="57"/>
  <c r="R887" i="57"/>
  <c r="T887" i="57" s="1"/>
  <c r="S887" i="57"/>
  <c r="L888" i="57"/>
  <c r="M888" i="57"/>
  <c r="N888" i="57"/>
  <c r="O888" i="57"/>
  <c r="P888" i="57"/>
  <c r="Q888" i="57"/>
  <c r="R888" i="57"/>
  <c r="S888" i="57"/>
  <c r="L889" i="57"/>
  <c r="M889" i="57"/>
  <c r="N889" i="57"/>
  <c r="O889" i="57"/>
  <c r="P889" i="57"/>
  <c r="Q889" i="57"/>
  <c r="R889" i="57"/>
  <c r="S889" i="57"/>
  <c r="L890" i="57"/>
  <c r="M890" i="57"/>
  <c r="N890" i="57"/>
  <c r="O890" i="57"/>
  <c r="P890" i="57"/>
  <c r="Q890" i="57"/>
  <c r="R890" i="57"/>
  <c r="T890" i="57" s="1"/>
  <c r="S890" i="57"/>
  <c r="L891" i="57"/>
  <c r="M891" i="57"/>
  <c r="N891" i="57"/>
  <c r="O891" i="57"/>
  <c r="P891" i="57"/>
  <c r="Q891" i="57"/>
  <c r="R891" i="57"/>
  <c r="S891" i="57"/>
  <c r="L892" i="57"/>
  <c r="M892" i="57"/>
  <c r="N892" i="57"/>
  <c r="O892" i="57"/>
  <c r="P892" i="57"/>
  <c r="Q892" i="57"/>
  <c r="R892" i="57"/>
  <c r="S892" i="57"/>
  <c r="L893" i="57"/>
  <c r="M893" i="57"/>
  <c r="N893" i="57"/>
  <c r="O893" i="57"/>
  <c r="P893" i="57"/>
  <c r="Q893" i="57"/>
  <c r="R893" i="57"/>
  <c r="S893" i="57"/>
  <c r="L894" i="57"/>
  <c r="M894" i="57"/>
  <c r="N894" i="57"/>
  <c r="O894" i="57"/>
  <c r="P894" i="57"/>
  <c r="Q894" i="57"/>
  <c r="R894" i="57"/>
  <c r="S894" i="57"/>
  <c r="L895" i="57"/>
  <c r="M895" i="57"/>
  <c r="N895" i="57"/>
  <c r="O895" i="57"/>
  <c r="P895" i="57"/>
  <c r="Q895" i="57"/>
  <c r="R895" i="57"/>
  <c r="T895" i="57" s="1"/>
  <c r="S895" i="57"/>
  <c r="L896" i="57"/>
  <c r="M896" i="57"/>
  <c r="N896" i="57"/>
  <c r="O896" i="57"/>
  <c r="P896" i="57"/>
  <c r="Q896" i="57"/>
  <c r="R896" i="57"/>
  <c r="T896" i="57" s="1"/>
  <c r="S896" i="57"/>
  <c r="L897" i="57"/>
  <c r="M897" i="57"/>
  <c r="N897" i="57"/>
  <c r="O897" i="57"/>
  <c r="P897" i="57"/>
  <c r="Q897" i="57"/>
  <c r="R897" i="57"/>
  <c r="S897" i="57"/>
  <c r="L898" i="57"/>
  <c r="M898" i="57"/>
  <c r="N898" i="57"/>
  <c r="O898" i="57"/>
  <c r="P898" i="57"/>
  <c r="Q898" i="57"/>
  <c r="R898" i="57"/>
  <c r="S898" i="57"/>
  <c r="L899" i="57"/>
  <c r="M899" i="57"/>
  <c r="N899" i="57"/>
  <c r="O899" i="57"/>
  <c r="P899" i="57"/>
  <c r="Q899" i="57"/>
  <c r="R899" i="57"/>
  <c r="S899" i="57"/>
  <c r="L900" i="57"/>
  <c r="M900" i="57"/>
  <c r="N900" i="57"/>
  <c r="O900" i="57"/>
  <c r="P900" i="57"/>
  <c r="Q900" i="57"/>
  <c r="R900" i="57"/>
  <c r="S900" i="57"/>
  <c r="L901" i="57"/>
  <c r="M901" i="57"/>
  <c r="N901" i="57"/>
  <c r="O901" i="57"/>
  <c r="P901" i="57"/>
  <c r="Q901" i="57"/>
  <c r="R901" i="57"/>
  <c r="S901" i="57"/>
  <c r="L902" i="57"/>
  <c r="M902" i="57"/>
  <c r="N902" i="57"/>
  <c r="O902" i="57"/>
  <c r="P902" i="57"/>
  <c r="Q902" i="57"/>
  <c r="R902" i="57"/>
  <c r="S902" i="57"/>
  <c r="L903" i="57"/>
  <c r="M903" i="57"/>
  <c r="N903" i="57"/>
  <c r="O903" i="57"/>
  <c r="P903" i="57"/>
  <c r="Q903" i="57"/>
  <c r="R903" i="57"/>
  <c r="S903" i="57"/>
  <c r="L904" i="57"/>
  <c r="M904" i="57"/>
  <c r="N904" i="57"/>
  <c r="O904" i="57"/>
  <c r="P904" i="57"/>
  <c r="Q904" i="57"/>
  <c r="R904" i="57"/>
  <c r="S904" i="57"/>
  <c r="T904" i="57"/>
  <c r="L905" i="57"/>
  <c r="M905" i="57"/>
  <c r="N905" i="57"/>
  <c r="O905" i="57"/>
  <c r="P905" i="57"/>
  <c r="Q905" i="57"/>
  <c r="R905" i="57"/>
  <c r="S905" i="57"/>
  <c r="L906" i="57"/>
  <c r="M906" i="57"/>
  <c r="N906" i="57"/>
  <c r="O906" i="57"/>
  <c r="P906" i="57"/>
  <c r="Q906" i="57"/>
  <c r="R906" i="57"/>
  <c r="S906" i="57"/>
  <c r="L907" i="57"/>
  <c r="M907" i="57"/>
  <c r="N907" i="57"/>
  <c r="O907" i="57"/>
  <c r="P907" i="57"/>
  <c r="Q907" i="57"/>
  <c r="R907" i="57"/>
  <c r="S907" i="57"/>
  <c r="T907" i="57" s="1"/>
  <c r="L908" i="57"/>
  <c r="M908" i="57"/>
  <c r="N908" i="57"/>
  <c r="O908" i="57"/>
  <c r="P908" i="57"/>
  <c r="Q908" i="57"/>
  <c r="R908" i="57"/>
  <c r="S908" i="57"/>
  <c r="L909" i="57"/>
  <c r="M909" i="57"/>
  <c r="N909" i="57"/>
  <c r="O909" i="57"/>
  <c r="P909" i="57"/>
  <c r="Q909" i="57"/>
  <c r="R909" i="57"/>
  <c r="S909" i="57"/>
  <c r="L910" i="57"/>
  <c r="M910" i="57"/>
  <c r="N910" i="57"/>
  <c r="O910" i="57"/>
  <c r="P910" i="57"/>
  <c r="Q910" i="57"/>
  <c r="R910" i="57"/>
  <c r="S910" i="57"/>
  <c r="L911" i="57"/>
  <c r="M911" i="57"/>
  <c r="N911" i="57"/>
  <c r="O911" i="57"/>
  <c r="P911" i="57"/>
  <c r="Q911" i="57"/>
  <c r="R911" i="57"/>
  <c r="S911" i="57"/>
  <c r="L912" i="57"/>
  <c r="M912" i="57"/>
  <c r="N912" i="57"/>
  <c r="O912" i="57"/>
  <c r="P912" i="57"/>
  <c r="Q912" i="57"/>
  <c r="R912" i="57"/>
  <c r="S912" i="57"/>
  <c r="L913" i="57"/>
  <c r="M913" i="57"/>
  <c r="N913" i="57"/>
  <c r="O913" i="57"/>
  <c r="P913" i="57"/>
  <c r="Q913" i="57"/>
  <c r="R913" i="57"/>
  <c r="S913" i="57"/>
  <c r="L914" i="57"/>
  <c r="M914" i="57"/>
  <c r="N914" i="57"/>
  <c r="O914" i="57"/>
  <c r="P914" i="57"/>
  <c r="Q914" i="57"/>
  <c r="R914" i="57"/>
  <c r="S914" i="57"/>
  <c r="L915" i="57"/>
  <c r="M915" i="57"/>
  <c r="N915" i="57"/>
  <c r="O915" i="57"/>
  <c r="P915" i="57"/>
  <c r="Q915" i="57"/>
  <c r="R915" i="57"/>
  <c r="T915" i="57" s="1"/>
  <c r="S915" i="57"/>
  <c r="L916" i="57"/>
  <c r="M916" i="57"/>
  <c r="N916" i="57"/>
  <c r="O916" i="57"/>
  <c r="P916" i="57"/>
  <c r="Q916" i="57"/>
  <c r="R916" i="57"/>
  <c r="S916" i="57"/>
  <c r="L917" i="57"/>
  <c r="M917" i="57"/>
  <c r="N917" i="57"/>
  <c r="O917" i="57"/>
  <c r="P917" i="57"/>
  <c r="Q917" i="57"/>
  <c r="R917" i="57"/>
  <c r="S917" i="57"/>
  <c r="L918" i="57"/>
  <c r="M918" i="57"/>
  <c r="N918" i="57"/>
  <c r="O918" i="57"/>
  <c r="P918" i="57"/>
  <c r="Q918" i="57"/>
  <c r="R918" i="57"/>
  <c r="S918" i="57"/>
  <c r="L919" i="57"/>
  <c r="M919" i="57"/>
  <c r="N919" i="57"/>
  <c r="O919" i="57"/>
  <c r="P919" i="57"/>
  <c r="Q919" i="57"/>
  <c r="R919" i="57"/>
  <c r="T919" i="57" s="1"/>
  <c r="S919" i="57"/>
  <c r="L920" i="57"/>
  <c r="M920" i="57"/>
  <c r="N920" i="57"/>
  <c r="O920" i="57"/>
  <c r="P920" i="57"/>
  <c r="Q920" i="57"/>
  <c r="R920" i="57"/>
  <c r="S920" i="57"/>
  <c r="L921" i="57"/>
  <c r="M921" i="57"/>
  <c r="N921" i="57"/>
  <c r="O921" i="57"/>
  <c r="P921" i="57"/>
  <c r="Q921" i="57"/>
  <c r="R921" i="57"/>
  <c r="S921" i="57"/>
  <c r="L922" i="57"/>
  <c r="M922" i="57"/>
  <c r="N922" i="57"/>
  <c r="O922" i="57"/>
  <c r="P922" i="57"/>
  <c r="Q922" i="57"/>
  <c r="R922" i="57"/>
  <c r="S922" i="57"/>
  <c r="L923" i="57"/>
  <c r="M923" i="57"/>
  <c r="N923" i="57"/>
  <c r="O923" i="57"/>
  <c r="P923" i="57"/>
  <c r="Q923" i="57"/>
  <c r="R923" i="57"/>
  <c r="S923" i="57"/>
  <c r="L924" i="57"/>
  <c r="M924" i="57"/>
  <c r="N924" i="57"/>
  <c r="O924" i="57"/>
  <c r="P924" i="57"/>
  <c r="Q924" i="57"/>
  <c r="R924" i="57"/>
  <c r="S924" i="57"/>
  <c r="L925" i="57"/>
  <c r="M925" i="57"/>
  <c r="N925" i="57"/>
  <c r="O925" i="57"/>
  <c r="P925" i="57"/>
  <c r="Q925" i="57"/>
  <c r="R925" i="57"/>
  <c r="S925" i="57"/>
  <c r="L926" i="57"/>
  <c r="M926" i="57"/>
  <c r="N926" i="57"/>
  <c r="O926" i="57"/>
  <c r="P926" i="57"/>
  <c r="Q926" i="57"/>
  <c r="R926" i="57"/>
  <c r="S926" i="57"/>
  <c r="L927" i="57"/>
  <c r="M927" i="57"/>
  <c r="N927" i="57"/>
  <c r="O927" i="57"/>
  <c r="P927" i="57"/>
  <c r="Q927" i="57"/>
  <c r="R927" i="57"/>
  <c r="S927" i="57"/>
  <c r="T927" i="57"/>
  <c r="L928" i="57"/>
  <c r="M928" i="57"/>
  <c r="N928" i="57"/>
  <c r="O928" i="57"/>
  <c r="P928" i="57"/>
  <c r="Q928" i="57"/>
  <c r="R928" i="57"/>
  <c r="S928" i="57"/>
  <c r="L929" i="57"/>
  <c r="M929" i="57"/>
  <c r="N929" i="57"/>
  <c r="O929" i="57"/>
  <c r="P929" i="57"/>
  <c r="Q929" i="57"/>
  <c r="R929" i="57"/>
  <c r="S929" i="57"/>
  <c r="L930" i="57"/>
  <c r="M930" i="57"/>
  <c r="N930" i="57"/>
  <c r="O930" i="57"/>
  <c r="P930" i="57"/>
  <c r="Q930" i="57"/>
  <c r="R930" i="57"/>
  <c r="S930" i="57"/>
  <c r="L931" i="57"/>
  <c r="M931" i="57"/>
  <c r="N931" i="57"/>
  <c r="O931" i="57"/>
  <c r="P931" i="57"/>
  <c r="Q931" i="57"/>
  <c r="R931" i="57"/>
  <c r="S931" i="57"/>
  <c r="L932" i="57"/>
  <c r="M932" i="57"/>
  <c r="N932" i="57"/>
  <c r="O932" i="57"/>
  <c r="P932" i="57"/>
  <c r="Q932" i="57"/>
  <c r="R932" i="57"/>
  <c r="S932" i="57"/>
  <c r="L933" i="57"/>
  <c r="M933" i="57"/>
  <c r="N933" i="57"/>
  <c r="O933" i="57"/>
  <c r="P933" i="57"/>
  <c r="Q933" i="57"/>
  <c r="R933" i="57"/>
  <c r="S933" i="57"/>
  <c r="L934" i="57"/>
  <c r="M934" i="57"/>
  <c r="N934" i="57"/>
  <c r="O934" i="57"/>
  <c r="P934" i="57"/>
  <c r="Q934" i="57"/>
  <c r="R934" i="57"/>
  <c r="S934" i="57"/>
  <c r="L935" i="57"/>
  <c r="M935" i="57"/>
  <c r="N935" i="57"/>
  <c r="O935" i="57"/>
  <c r="P935" i="57"/>
  <c r="Q935" i="57"/>
  <c r="R935" i="57"/>
  <c r="S935" i="57"/>
  <c r="L936" i="57"/>
  <c r="M936" i="57"/>
  <c r="N936" i="57"/>
  <c r="O936" i="57"/>
  <c r="P936" i="57"/>
  <c r="Q936" i="57"/>
  <c r="R936" i="57"/>
  <c r="S936" i="57"/>
  <c r="L937" i="57"/>
  <c r="M937" i="57"/>
  <c r="N937" i="57"/>
  <c r="O937" i="57"/>
  <c r="P937" i="57"/>
  <c r="Q937" i="57"/>
  <c r="R937" i="57"/>
  <c r="S937" i="57"/>
  <c r="L938" i="57"/>
  <c r="M938" i="57"/>
  <c r="N938" i="57"/>
  <c r="O938" i="57"/>
  <c r="P938" i="57"/>
  <c r="Q938" i="57"/>
  <c r="R938" i="57"/>
  <c r="S938" i="57"/>
  <c r="L939" i="57"/>
  <c r="M939" i="57"/>
  <c r="N939" i="57"/>
  <c r="O939" i="57"/>
  <c r="P939" i="57"/>
  <c r="Q939" i="57"/>
  <c r="R939" i="57"/>
  <c r="S939" i="57"/>
  <c r="L940" i="57"/>
  <c r="M940" i="57"/>
  <c r="N940" i="57"/>
  <c r="O940" i="57"/>
  <c r="P940" i="57"/>
  <c r="Q940" i="57"/>
  <c r="R940" i="57"/>
  <c r="S940" i="57"/>
  <c r="L941" i="57"/>
  <c r="M941" i="57"/>
  <c r="N941" i="57"/>
  <c r="O941" i="57"/>
  <c r="P941" i="57"/>
  <c r="Q941" i="57"/>
  <c r="R941" i="57"/>
  <c r="S941" i="57"/>
  <c r="L942" i="57"/>
  <c r="M942" i="57"/>
  <c r="N942" i="57"/>
  <c r="O942" i="57"/>
  <c r="P942" i="57"/>
  <c r="Q942" i="57"/>
  <c r="R942" i="57"/>
  <c r="S942" i="57"/>
  <c r="L943" i="57"/>
  <c r="M943" i="57"/>
  <c r="N943" i="57"/>
  <c r="O943" i="57"/>
  <c r="P943" i="57"/>
  <c r="Q943" i="57"/>
  <c r="R943" i="57"/>
  <c r="S943" i="57"/>
  <c r="L944" i="57"/>
  <c r="M944" i="57"/>
  <c r="N944" i="57"/>
  <c r="O944" i="57"/>
  <c r="P944" i="57"/>
  <c r="Q944" i="57"/>
  <c r="R944" i="57"/>
  <c r="S944" i="57"/>
  <c r="T944" i="57" s="1"/>
  <c r="L945" i="57"/>
  <c r="M945" i="57"/>
  <c r="N945" i="57"/>
  <c r="O945" i="57"/>
  <c r="P945" i="57"/>
  <c r="Q945" i="57"/>
  <c r="R945" i="57"/>
  <c r="S945" i="57"/>
  <c r="L946" i="57"/>
  <c r="M946" i="57"/>
  <c r="N946" i="57"/>
  <c r="O946" i="57"/>
  <c r="P946" i="57"/>
  <c r="Q946" i="57"/>
  <c r="R946" i="57"/>
  <c r="S946" i="57"/>
  <c r="L947" i="57"/>
  <c r="M947" i="57"/>
  <c r="N947" i="57"/>
  <c r="O947" i="57"/>
  <c r="P947" i="57"/>
  <c r="Q947" i="57"/>
  <c r="R947" i="57"/>
  <c r="S947" i="57"/>
  <c r="L948" i="57"/>
  <c r="M948" i="57"/>
  <c r="N948" i="57"/>
  <c r="O948" i="57"/>
  <c r="P948" i="57"/>
  <c r="Q948" i="57"/>
  <c r="R948" i="57"/>
  <c r="S948" i="57"/>
  <c r="T948" i="57" s="1"/>
  <c r="L949" i="57"/>
  <c r="M949" i="57"/>
  <c r="N949" i="57"/>
  <c r="O949" i="57"/>
  <c r="P949" i="57"/>
  <c r="Q949" i="57"/>
  <c r="R949" i="57"/>
  <c r="S949" i="57"/>
  <c r="L950" i="57"/>
  <c r="M950" i="57"/>
  <c r="N950" i="57"/>
  <c r="O950" i="57"/>
  <c r="P950" i="57"/>
  <c r="Q950" i="57"/>
  <c r="R950" i="57"/>
  <c r="S950" i="57"/>
  <c r="L951" i="57"/>
  <c r="M951" i="57"/>
  <c r="N951" i="57"/>
  <c r="O951" i="57"/>
  <c r="P951" i="57"/>
  <c r="Q951" i="57"/>
  <c r="R951" i="57"/>
  <c r="S951" i="57"/>
  <c r="L952" i="57"/>
  <c r="M952" i="57"/>
  <c r="N952" i="57"/>
  <c r="O952" i="57"/>
  <c r="P952" i="57"/>
  <c r="Q952" i="57"/>
  <c r="R952" i="57"/>
  <c r="S952" i="57"/>
  <c r="L953" i="57"/>
  <c r="M953" i="57"/>
  <c r="N953" i="57"/>
  <c r="O953" i="57"/>
  <c r="P953" i="57"/>
  <c r="Q953" i="57"/>
  <c r="R953" i="57"/>
  <c r="S953" i="57"/>
  <c r="L954" i="57"/>
  <c r="M954" i="57"/>
  <c r="N954" i="57"/>
  <c r="O954" i="57"/>
  <c r="P954" i="57"/>
  <c r="Q954" i="57"/>
  <c r="R954" i="57"/>
  <c r="S954" i="57"/>
  <c r="L955" i="57"/>
  <c r="M955" i="57"/>
  <c r="N955" i="57"/>
  <c r="O955" i="57"/>
  <c r="P955" i="57"/>
  <c r="Q955" i="57"/>
  <c r="R955" i="57"/>
  <c r="T955" i="57" s="1"/>
  <c r="S955" i="57"/>
  <c r="L956" i="57"/>
  <c r="M956" i="57"/>
  <c r="N956" i="57"/>
  <c r="O956" i="57"/>
  <c r="P956" i="57"/>
  <c r="Q956" i="57"/>
  <c r="R956" i="57"/>
  <c r="T956" i="57" s="1"/>
  <c r="S956" i="57"/>
  <c r="L957" i="57"/>
  <c r="M957" i="57"/>
  <c r="N957" i="57"/>
  <c r="O957" i="57"/>
  <c r="P957" i="57"/>
  <c r="Q957" i="57"/>
  <c r="R957" i="57"/>
  <c r="S957" i="57"/>
  <c r="L958" i="57"/>
  <c r="M958" i="57"/>
  <c r="N958" i="57"/>
  <c r="O958" i="57"/>
  <c r="P958" i="57"/>
  <c r="Q958" i="57"/>
  <c r="R958" i="57"/>
  <c r="S958" i="57"/>
  <c r="L959" i="57"/>
  <c r="M959" i="57"/>
  <c r="N959" i="57"/>
  <c r="O959" i="57"/>
  <c r="P959" i="57"/>
  <c r="Q959" i="57"/>
  <c r="R959" i="57"/>
  <c r="S959" i="57"/>
  <c r="L960" i="57"/>
  <c r="M960" i="57"/>
  <c r="N960" i="57"/>
  <c r="O960" i="57"/>
  <c r="P960" i="57"/>
  <c r="Q960" i="57"/>
  <c r="R960" i="57"/>
  <c r="S960" i="57"/>
  <c r="L961" i="57"/>
  <c r="M961" i="57"/>
  <c r="N961" i="57"/>
  <c r="O961" i="57"/>
  <c r="P961" i="57"/>
  <c r="Q961" i="57"/>
  <c r="R961" i="57"/>
  <c r="S961" i="57"/>
  <c r="L962" i="57"/>
  <c r="M962" i="57"/>
  <c r="N962" i="57"/>
  <c r="O962" i="57"/>
  <c r="P962" i="57"/>
  <c r="Q962" i="57"/>
  <c r="R962" i="57"/>
  <c r="S962" i="57"/>
  <c r="L963" i="57"/>
  <c r="M963" i="57"/>
  <c r="N963" i="57"/>
  <c r="O963" i="57"/>
  <c r="P963" i="57"/>
  <c r="Q963" i="57"/>
  <c r="R963" i="57"/>
  <c r="T963" i="57" s="1"/>
  <c r="S963" i="57"/>
  <c r="L964" i="57"/>
  <c r="M964" i="57"/>
  <c r="N964" i="57"/>
  <c r="O964" i="57"/>
  <c r="P964" i="57"/>
  <c r="Q964" i="57"/>
  <c r="R964" i="57"/>
  <c r="T964" i="57" s="1"/>
  <c r="S964" i="57"/>
  <c r="L965" i="57"/>
  <c r="M965" i="57"/>
  <c r="N965" i="57"/>
  <c r="O965" i="57"/>
  <c r="P965" i="57"/>
  <c r="Q965" i="57"/>
  <c r="R965" i="57"/>
  <c r="S965" i="57"/>
  <c r="L966" i="57"/>
  <c r="M966" i="57"/>
  <c r="N966" i="57"/>
  <c r="O966" i="57"/>
  <c r="P966" i="57"/>
  <c r="Q966" i="57"/>
  <c r="R966" i="57"/>
  <c r="S966" i="57"/>
  <c r="L967" i="57"/>
  <c r="M967" i="57"/>
  <c r="N967" i="57"/>
  <c r="O967" i="57"/>
  <c r="P967" i="57"/>
  <c r="Q967" i="57"/>
  <c r="R967" i="57"/>
  <c r="S967" i="57"/>
  <c r="L968" i="57"/>
  <c r="M968" i="57"/>
  <c r="N968" i="57"/>
  <c r="O968" i="57"/>
  <c r="P968" i="57"/>
  <c r="Q968" i="57"/>
  <c r="R968" i="57"/>
  <c r="S968" i="57"/>
  <c r="L969" i="57"/>
  <c r="M969" i="57"/>
  <c r="N969" i="57"/>
  <c r="O969" i="57"/>
  <c r="P969" i="57"/>
  <c r="Q969" i="57"/>
  <c r="R969" i="57"/>
  <c r="S969" i="57"/>
  <c r="L970" i="57"/>
  <c r="M970" i="57"/>
  <c r="N970" i="57"/>
  <c r="O970" i="57"/>
  <c r="P970" i="57"/>
  <c r="Q970" i="57"/>
  <c r="R970" i="57"/>
  <c r="S970" i="57"/>
  <c r="L971" i="57"/>
  <c r="M971" i="57"/>
  <c r="N971" i="57"/>
  <c r="O971" i="57"/>
  <c r="P971" i="57"/>
  <c r="Q971" i="57"/>
  <c r="R971" i="57"/>
  <c r="S971" i="57"/>
  <c r="L972" i="57"/>
  <c r="M972" i="57"/>
  <c r="N972" i="57"/>
  <c r="O972" i="57"/>
  <c r="P972" i="57"/>
  <c r="Q972" i="57"/>
  <c r="R972" i="57"/>
  <c r="S972" i="57"/>
  <c r="T972" i="57"/>
  <c r="L973" i="57"/>
  <c r="M973" i="57"/>
  <c r="N973" i="57"/>
  <c r="O973" i="57"/>
  <c r="P973" i="57"/>
  <c r="Q973" i="57"/>
  <c r="R973" i="57"/>
  <c r="S973" i="57"/>
  <c r="T942" i="57" l="1"/>
  <c r="T936" i="57"/>
  <c r="T824" i="57"/>
  <c r="T799" i="57"/>
  <c r="T744" i="57"/>
  <c r="T741" i="57"/>
  <c r="T702" i="57"/>
  <c r="T640" i="57"/>
  <c r="T634" i="57"/>
  <c r="T576" i="57"/>
  <c r="T947" i="57"/>
  <c r="T939" i="57"/>
  <c r="T934" i="57"/>
  <c r="T931" i="57"/>
  <c r="T928" i="57"/>
  <c r="T971" i="57"/>
  <c r="T926" i="57"/>
  <c r="T923" i="57"/>
  <c r="T888" i="57"/>
  <c r="T871" i="57"/>
  <c r="T868" i="57"/>
  <c r="T787" i="57"/>
  <c r="T775" i="57"/>
  <c r="T772" i="57"/>
  <c r="T736" i="57"/>
  <c r="T671" i="57"/>
  <c r="T668" i="57"/>
  <c r="T662" i="57"/>
  <c r="T653" i="57"/>
  <c r="T629" i="57"/>
  <c r="T620" i="57"/>
  <c r="T618" i="57"/>
  <c r="T602" i="57"/>
  <c r="T601" i="57"/>
  <c r="T589" i="57"/>
  <c r="T564" i="57"/>
  <c r="T559" i="57"/>
  <c r="T549" i="57"/>
  <c r="T541" i="57"/>
  <c r="T880" i="57"/>
  <c r="T803" i="57"/>
  <c r="T717" i="57"/>
  <c r="T709" i="57"/>
  <c r="T645" i="57"/>
  <c r="T960" i="57"/>
  <c r="T952" i="57"/>
  <c r="T922" i="57"/>
  <c r="T903" i="57"/>
  <c r="T704" i="57"/>
  <c r="T606" i="57"/>
  <c r="T914" i="57"/>
  <c r="T911" i="57"/>
  <c r="T878" i="57"/>
  <c r="T815" i="57"/>
  <c r="T892" i="57"/>
  <c r="T774" i="57"/>
  <c r="T735" i="57"/>
  <c r="T648" i="57"/>
  <c r="T831" i="57"/>
  <c r="T723" i="57"/>
  <c r="T970" i="57"/>
  <c r="T962" i="57"/>
  <c r="T946" i="57"/>
  <c r="T943" i="57"/>
  <c r="T932" i="57"/>
  <c r="T910" i="57"/>
  <c r="T902" i="57"/>
  <c r="T839" i="57"/>
  <c r="T703" i="57"/>
  <c r="T692" i="57"/>
  <c r="T689" i="57"/>
  <c r="T661" i="57"/>
  <c r="T782" i="57"/>
  <c r="T659" i="57"/>
  <c r="T575" i="57"/>
  <c r="T561" i="57"/>
  <c r="T886" i="57"/>
  <c r="T823" i="57"/>
  <c r="T820" i="57"/>
  <c r="T798" i="57"/>
  <c r="T790" i="57"/>
  <c r="T639" i="57"/>
  <c r="T597" i="57"/>
  <c r="T951" i="57"/>
  <c r="T935" i="57"/>
  <c r="T899" i="57"/>
  <c r="T894" i="57"/>
  <c r="T847" i="57"/>
  <c r="T836" i="57"/>
  <c r="T650" i="57"/>
  <c r="T616" i="57"/>
  <c r="T574" i="57"/>
  <c r="T560" i="57"/>
  <c r="T920" i="57"/>
  <c r="T918" i="57"/>
  <c r="T912" i="57"/>
  <c r="T863" i="57"/>
  <c r="T855" i="57"/>
  <c r="T852" i="57"/>
  <c r="T835" i="57"/>
  <c r="T830" i="57"/>
  <c r="T822" i="57"/>
  <c r="T767" i="57"/>
  <c r="T761" i="57"/>
  <c r="T756" i="57"/>
  <c r="T753" i="57"/>
  <c r="T730" i="57"/>
  <c r="T725" i="57"/>
  <c r="T714" i="57"/>
  <c r="T688" i="57"/>
  <c r="T685" i="57"/>
  <c r="T680" i="57"/>
  <c r="T672" i="57"/>
  <c r="T638" i="57"/>
  <c r="T627" i="57"/>
  <c r="T596" i="57"/>
  <c r="T582" i="57"/>
  <c r="T556" i="57"/>
  <c r="T553" i="57"/>
  <c r="T548" i="57"/>
  <c r="T968" i="57"/>
  <c r="T900" i="57"/>
  <c r="T870" i="57"/>
  <c r="T807" i="57"/>
  <c r="T804" i="57"/>
  <c r="T746" i="57"/>
  <c r="T732" i="57"/>
  <c r="T693" i="57"/>
  <c r="T558" i="57"/>
  <c r="T757" i="57"/>
  <c r="T712" i="57"/>
  <c r="T670" i="57"/>
  <c r="T628" i="57"/>
  <c r="T625" i="57"/>
  <c r="T586" i="57"/>
  <c r="T967" i="57"/>
  <c r="T959" i="57"/>
  <c r="T954" i="57"/>
  <c r="T924" i="57"/>
  <c r="T891" i="57"/>
  <c r="T814" i="57"/>
  <c r="T806" i="57"/>
  <c r="T734" i="57"/>
  <c r="T608" i="57"/>
  <c r="T851" i="57"/>
  <c r="T752" i="57"/>
  <c r="T749" i="57"/>
  <c r="T665" i="57"/>
  <c r="T660" i="57"/>
  <c r="T646" i="57"/>
  <c r="T581" i="57"/>
  <c r="T930" i="57"/>
  <c r="T898" i="57"/>
  <c r="T876" i="57"/>
  <c r="T844" i="57"/>
  <c r="T812" i="57"/>
  <c r="T796" i="57"/>
  <c r="T764" i="57"/>
  <c r="T742" i="57"/>
  <c r="T636" i="57"/>
  <c r="T614" i="57"/>
  <c r="T593" i="57"/>
  <c r="T572" i="57"/>
  <c r="T966" i="57"/>
  <c r="T958" i="57"/>
  <c r="T950" i="57"/>
  <c r="T940" i="57"/>
  <c r="T908" i="57"/>
  <c r="T860" i="57"/>
  <c r="T828" i="57"/>
  <c r="T780" i="57"/>
  <c r="T721" i="57"/>
  <c r="T700" i="57"/>
  <c r="T678" i="57"/>
  <c r="T657" i="57"/>
  <c r="T571" i="57"/>
  <c r="T570" i="57"/>
  <c r="T545" i="57"/>
  <c r="T938" i="57"/>
  <c r="T916" i="57"/>
  <c r="T906" i="57"/>
  <c r="T884" i="57"/>
  <c r="T874" i="57"/>
  <c r="T557" i="57"/>
  <c r="T866" i="57"/>
  <c r="T858" i="57"/>
  <c r="T850" i="57"/>
  <c r="T842" i="57"/>
  <c r="T834" i="57"/>
  <c r="T826" i="57"/>
  <c r="T818" i="57"/>
  <c r="T810" i="57"/>
  <c r="T802" i="57"/>
  <c r="T794" i="57"/>
  <c r="T786" i="57"/>
  <c r="T778" i="57"/>
  <c r="T770" i="57"/>
  <c r="T760" i="57"/>
  <c r="T751" i="57"/>
  <c r="T750" i="57"/>
  <c r="T740" i="57"/>
  <c r="T739" i="57"/>
  <c r="T728" i="57"/>
  <c r="T719" i="57"/>
  <c r="T718" i="57"/>
  <c r="T708" i="57"/>
  <c r="T707" i="57"/>
  <c r="T696" i="57"/>
  <c r="T687" i="57"/>
  <c r="T686" i="57"/>
  <c r="T676" i="57"/>
  <c r="T675" i="57"/>
  <c r="T664" i="57"/>
  <c r="T655" i="57"/>
  <c r="T654" i="57"/>
  <c r="T644" i="57"/>
  <c r="T643" i="57"/>
  <c r="T632" i="57"/>
  <c r="T623" i="57"/>
  <c r="T622" i="57"/>
  <c r="T612" i="57"/>
  <c r="T611" i="57"/>
  <c r="T600" i="57"/>
  <c r="T591" i="57"/>
  <c r="T590" i="57"/>
  <c r="T580" i="57"/>
  <c r="T579" i="57"/>
  <c r="T567" i="57"/>
  <c r="T566" i="57"/>
  <c r="T555" i="57"/>
  <c r="T554" i="57"/>
  <c r="T543" i="57"/>
  <c r="T542" i="57"/>
  <c r="T212" i="57"/>
  <c r="T208" i="57"/>
  <c r="T765" i="57"/>
  <c r="T745" i="57"/>
  <c r="T733" i="57"/>
  <c r="T713" i="57"/>
  <c r="T701" i="57"/>
  <c r="T681" i="57"/>
  <c r="T669" i="57"/>
  <c r="T649" i="57"/>
  <c r="T637" i="57"/>
  <c r="T617" i="57"/>
  <c r="T605" i="57"/>
  <c r="T585" i="57"/>
  <c r="T573" i="57"/>
  <c r="T563" i="57"/>
  <c r="T551" i="57"/>
  <c r="T550" i="57"/>
  <c r="T72" i="57"/>
  <c r="T68" i="57"/>
  <c r="T199" i="57"/>
  <c r="T278" i="57"/>
  <c r="T221" i="57"/>
  <c r="T253" i="57"/>
  <c r="T301" i="57"/>
  <c r="T281" i="57"/>
  <c r="T279" i="57"/>
  <c r="T236" i="57"/>
  <c r="T232" i="57"/>
  <c r="T405" i="57"/>
  <c r="T297" i="57"/>
  <c r="T277" i="57"/>
  <c r="T397" i="57"/>
  <c r="T124" i="57"/>
  <c r="T125" i="57"/>
  <c r="T328" i="57"/>
  <c r="T324" i="57"/>
  <c r="T364" i="57"/>
  <c r="T252" i="57"/>
  <c r="T143" i="57"/>
  <c r="T103" i="57"/>
  <c r="T84" i="57"/>
  <c r="T76" i="57"/>
  <c r="T361" i="57"/>
  <c r="T345" i="57"/>
  <c r="T284" i="57"/>
  <c r="T275" i="57"/>
  <c r="T239" i="57"/>
  <c r="T215" i="57"/>
  <c r="T289" i="57"/>
  <c r="T288" i="57"/>
  <c r="T193" i="57"/>
  <c r="T73" i="57"/>
  <c r="T109" i="57"/>
  <c r="T104" i="57"/>
  <c r="T93" i="57"/>
  <c r="T85" i="57"/>
  <c r="T80" i="57"/>
  <c r="T156" i="57"/>
  <c r="T540" i="57"/>
  <c r="T538" i="57"/>
  <c r="T457" i="57"/>
  <c r="T456" i="57"/>
  <c r="T432" i="57"/>
  <c r="T527" i="57"/>
  <c r="T500" i="57"/>
  <c r="T468" i="57"/>
  <c r="T445" i="57"/>
  <c r="T474" i="57"/>
  <c r="T417" i="57"/>
  <c r="T529" i="57"/>
  <c r="T513" i="57"/>
  <c r="T469" i="57"/>
  <c r="T462" i="57"/>
  <c r="T435" i="57"/>
  <c r="T424" i="57"/>
  <c r="T481" i="57"/>
  <c r="T508" i="57"/>
  <c r="T486" i="57"/>
  <c r="T522" i="57"/>
  <c r="T509" i="57"/>
  <c r="T451" i="57"/>
  <c r="T440" i="57"/>
  <c r="T438" i="57"/>
  <c r="T524" i="57"/>
  <c r="T499" i="57"/>
  <c r="T427" i="57"/>
  <c r="T523" i="57"/>
  <c r="T437" i="57"/>
  <c r="T412" i="57"/>
  <c r="T389" i="57"/>
  <c r="T392" i="57"/>
  <c r="T408" i="57"/>
  <c r="T377" i="57"/>
  <c r="T372" i="57"/>
  <c r="T367" i="57"/>
  <c r="T351" i="57"/>
  <c r="T348" i="57"/>
  <c r="T339" i="57"/>
  <c r="T268" i="57"/>
  <c r="T266" i="57"/>
  <c r="T264" i="57"/>
  <c r="T312" i="57"/>
  <c r="T311" i="57"/>
  <c r="T310" i="57"/>
  <c r="T308" i="57"/>
  <c r="T307" i="57"/>
  <c r="T305" i="57"/>
  <c r="T292" i="57"/>
  <c r="T269" i="57"/>
  <c r="T321" i="57"/>
  <c r="T319" i="57"/>
  <c r="T304" i="57"/>
  <c r="T296" i="57"/>
  <c r="T276" i="57"/>
  <c r="T273" i="57"/>
  <c r="T299" i="57"/>
  <c r="T287" i="57"/>
  <c r="T280" i="57"/>
  <c r="T243" i="57"/>
  <c r="T219" i="57"/>
  <c r="T188" i="57"/>
  <c r="T175" i="57"/>
  <c r="T257" i="57"/>
  <c r="T248" i="57"/>
  <c r="T224" i="57"/>
  <c r="T189" i="57"/>
  <c r="T184" i="57"/>
  <c r="T172" i="57"/>
  <c r="T142" i="57"/>
  <c r="T136" i="57"/>
  <c r="T132" i="57"/>
  <c r="T144" i="57"/>
  <c r="T130" i="57"/>
  <c r="T121" i="57"/>
  <c r="T112" i="57"/>
  <c r="T97" i="57"/>
  <c r="T95" i="57"/>
  <c r="T92" i="57"/>
  <c r="T88" i="57"/>
  <c r="T77" i="57"/>
  <c r="T65" i="57"/>
  <c r="T63" i="57"/>
  <c r="T105" i="57"/>
  <c r="T101" i="57"/>
  <c r="T120" i="57"/>
  <c r="T113" i="57"/>
  <c r="T108" i="57"/>
  <c r="T96" i="57"/>
  <c r="T69" i="57"/>
  <c r="T64" i="57"/>
  <c r="T532" i="57"/>
  <c r="T507" i="57"/>
  <c r="T494" i="57"/>
  <c r="T444" i="57"/>
  <c r="T433" i="57"/>
  <c r="T407" i="57"/>
  <c r="T497" i="57"/>
  <c r="T484" i="57"/>
  <c r="T400" i="57"/>
  <c r="T369" i="57"/>
  <c r="T360" i="57"/>
  <c r="T344" i="57"/>
  <c r="T342" i="57"/>
  <c r="T333" i="57"/>
  <c r="T261" i="57"/>
  <c r="T98" i="57"/>
  <c r="T66" i="57"/>
  <c r="T516" i="57"/>
  <c r="T503" i="57"/>
  <c r="T496" i="57"/>
  <c r="T489" i="57"/>
  <c r="T477" i="57"/>
  <c r="T467" i="57"/>
  <c r="T455" i="57"/>
  <c r="T442" i="57"/>
  <c r="T415" i="57"/>
  <c r="T385" i="57"/>
  <c r="T383" i="57"/>
  <c r="T353" i="57"/>
  <c r="T352" i="57"/>
  <c r="T331" i="57"/>
  <c r="T320" i="57"/>
  <c r="T318" i="57"/>
  <c r="T316" i="57"/>
  <c r="T309" i="57"/>
  <c r="T205" i="57"/>
  <c r="T168" i="57"/>
  <c r="T106" i="57"/>
  <c r="T430" i="57"/>
  <c r="T533" i="57"/>
  <c r="T495" i="57"/>
  <c r="T492" i="57"/>
  <c r="T490" i="57"/>
  <c r="T480" i="57"/>
  <c r="T478" i="57"/>
  <c r="T472" i="57"/>
  <c r="T460" i="57"/>
  <c r="T454" i="57"/>
  <c r="T431" i="57"/>
  <c r="T343" i="57"/>
  <c r="T329" i="57"/>
  <c r="T327" i="57"/>
  <c r="T537" i="57"/>
  <c r="T520" i="57"/>
  <c r="T506" i="57"/>
  <c r="T443" i="57"/>
  <c r="T410" i="57"/>
  <c r="T406" i="57"/>
  <c r="T332" i="57"/>
  <c r="T313" i="57"/>
  <c r="T300" i="57"/>
  <c r="T286" i="57"/>
  <c r="T181" i="57"/>
  <c r="T411" i="57"/>
  <c r="T379" i="57"/>
  <c r="T373" i="57"/>
  <c r="T358" i="57"/>
  <c r="T340" i="57"/>
  <c r="T293" i="57"/>
  <c r="T256" i="57"/>
  <c r="T203" i="57"/>
  <c r="T179" i="57"/>
  <c r="T154" i="57"/>
  <c r="T147" i="57"/>
  <c r="T81" i="57"/>
  <c r="T79" i="57"/>
  <c r="T359" i="57"/>
  <c r="T350" i="57"/>
  <c r="T272" i="57"/>
  <c r="T245" i="57"/>
  <c r="T192" i="57"/>
  <c r="T117" i="57"/>
  <c r="T102" i="57"/>
  <c r="T89" i="57"/>
  <c r="T82" i="57"/>
  <c r="T242" i="57"/>
  <c r="T218" i="57"/>
  <c r="T202" i="57"/>
  <c r="T178" i="57"/>
  <c r="T148" i="57"/>
  <c r="T127" i="57"/>
  <c r="T116" i="57"/>
  <c r="T255" i="57"/>
  <c r="T249" i="57"/>
  <c r="T244" i="57"/>
  <c r="T233" i="57"/>
  <c r="T229" i="57"/>
  <c r="T227" i="57"/>
  <c r="T220" i="57"/>
  <c r="T209" i="57"/>
  <c r="T204" i="57"/>
  <c r="T196" i="57"/>
  <c r="T191" i="57"/>
  <c r="T185" i="57"/>
  <c r="T180" i="57"/>
  <c r="T169" i="57"/>
  <c r="T165" i="57"/>
  <c r="T163" i="57"/>
  <c r="T157" i="57"/>
  <c r="T155" i="57"/>
  <c r="T146" i="57"/>
  <c r="T137" i="57"/>
  <c r="T133" i="57"/>
  <c r="T131" i="57"/>
  <c r="T128" i="57"/>
  <c r="T122" i="57"/>
  <c r="T119" i="57"/>
  <c r="T118" i="57"/>
  <c r="T114" i="57"/>
  <c r="T111" i="57"/>
  <c r="T100" i="57"/>
  <c r="T90" i="57"/>
  <c r="T87" i="57"/>
  <c r="T74" i="57"/>
  <c r="T71" i="57"/>
  <c r="T536" i="57"/>
  <c r="T535" i="57"/>
  <c r="T534" i="57"/>
  <c r="T528" i="57"/>
  <c r="T521" i="57"/>
  <c r="T512" i="57"/>
  <c r="T485" i="57"/>
  <c r="T473" i="57"/>
  <c r="T461" i="57"/>
  <c r="T452" i="57"/>
  <c r="T439" i="57"/>
  <c r="T428" i="57"/>
  <c r="T426" i="57"/>
  <c r="T420" i="57"/>
  <c r="T416" i="57"/>
  <c r="T414" i="57"/>
  <c r="T518" i="57"/>
  <c r="T515" i="57"/>
  <c r="T504" i="57"/>
  <c r="T502" i="57"/>
  <c r="T491" i="57"/>
  <c r="T487" i="57"/>
  <c r="T479" i="57"/>
  <c r="T475" i="57"/>
  <c r="T465" i="57"/>
  <c r="T463" i="57"/>
  <c r="T449" i="57"/>
  <c r="T448" i="57"/>
  <c r="T436" i="57"/>
  <c r="T425" i="57"/>
  <c r="T422" i="57"/>
  <c r="T421" i="57"/>
  <c r="T531" i="57"/>
  <c r="T539" i="57"/>
  <c r="T526" i="57"/>
  <c r="T525" i="57"/>
  <c r="T519" i="57"/>
  <c r="T517" i="57"/>
  <c r="T501" i="57"/>
  <c r="T488" i="57"/>
  <c r="T476" i="57"/>
  <c r="T464" i="57"/>
  <c r="T423" i="57"/>
  <c r="T505" i="57"/>
  <c r="T493" i="57"/>
  <c r="T483" i="57"/>
  <c r="T471" i="57"/>
  <c r="T459" i="57"/>
  <c r="T446" i="57"/>
  <c r="T429" i="57"/>
  <c r="T511" i="57"/>
  <c r="T510" i="57"/>
  <c r="T470" i="57"/>
  <c r="T458" i="57"/>
  <c r="T453" i="57"/>
  <c r="T447" i="57"/>
  <c r="T441" i="57"/>
  <c r="T419" i="57"/>
  <c r="T413" i="57"/>
  <c r="T409" i="57"/>
  <c r="T404" i="57"/>
  <c r="T403" i="57"/>
  <c r="T401" i="57"/>
  <c r="T398" i="57"/>
  <c r="T399" i="57"/>
  <c r="T395" i="57"/>
  <c r="T396" i="57"/>
  <c r="T393" i="57"/>
  <c r="T391" i="57"/>
  <c r="T390" i="57"/>
  <c r="T388" i="57"/>
  <c r="T387" i="57"/>
  <c r="T384" i="57"/>
  <c r="T382" i="57"/>
  <c r="T381" i="57"/>
  <c r="T380" i="57"/>
  <c r="T376" i="57"/>
  <c r="T375" i="57"/>
  <c r="T374" i="57"/>
  <c r="T368" i="57"/>
  <c r="T366" i="57"/>
  <c r="T365" i="57"/>
  <c r="T357" i="57"/>
  <c r="T363" i="57"/>
  <c r="T371" i="57"/>
  <c r="T356" i="57"/>
  <c r="T347" i="57"/>
  <c r="T337" i="57"/>
  <c r="T336" i="57"/>
  <c r="T326" i="57"/>
  <c r="T325" i="57"/>
  <c r="T349" i="57"/>
  <c r="T355" i="57"/>
  <c r="T341" i="57"/>
  <c r="T335" i="57"/>
  <c r="T334" i="57"/>
  <c r="T315" i="57"/>
  <c r="T295" i="57"/>
  <c r="T294" i="57"/>
  <c r="T283" i="57"/>
  <c r="T263" i="57"/>
  <c r="T323" i="57"/>
  <c r="T303" i="57"/>
  <c r="T302" i="57"/>
  <c r="T291" i="57"/>
  <c r="T271" i="57"/>
  <c r="T270" i="57"/>
  <c r="T317" i="57"/>
  <c r="T285" i="57"/>
  <c r="T265" i="57"/>
  <c r="T260" i="57"/>
  <c r="T228" i="57"/>
  <c r="T226" i="57"/>
  <c r="T164" i="57"/>
  <c r="T162" i="57"/>
  <c r="T240" i="57"/>
  <c r="T238" i="57"/>
  <c r="T225" i="57"/>
  <c r="T216" i="57"/>
  <c r="T214" i="57"/>
  <c r="T200" i="57"/>
  <c r="T176" i="57"/>
  <c r="T174" i="57"/>
  <c r="T237" i="57"/>
  <c r="T213" i="57"/>
  <c r="T197" i="57"/>
  <c r="T173" i="57"/>
  <c r="T251" i="57"/>
  <c r="T234" i="57"/>
  <c r="T210" i="57"/>
  <c r="T217" i="57"/>
  <c r="T235" i="57"/>
  <c r="T223" i="57"/>
  <c r="T186" i="57"/>
  <c r="T171" i="57"/>
  <c r="T259" i="57"/>
  <c r="T246" i="57"/>
  <c r="T241" i="57"/>
  <c r="T231" i="57"/>
  <c r="T207" i="57"/>
  <c r="T201" i="57"/>
  <c r="T195" i="57"/>
  <c r="T183" i="57"/>
  <c r="T182" i="57"/>
  <c r="T177" i="57"/>
  <c r="T167" i="57"/>
  <c r="T250" i="57"/>
  <c r="T211" i="57"/>
  <c r="T187" i="57"/>
  <c r="T170" i="57"/>
  <c r="T258" i="57"/>
  <c r="T247" i="57"/>
  <c r="T206" i="57"/>
  <c r="T194" i="57"/>
  <c r="T161" i="57"/>
  <c r="T160" i="57"/>
  <c r="T151" i="57"/>
  <c r="T152" i="57"/>
  <c r="T150" i="57"/>
  <c r="T159" i="57"/>
  <c r="T153" i="57"/>
  <c r="T149" i="57"/>
  <c r="T141" i="57"/>
  <c r="T140" i="57"/>
  <c r="T139" i="57"/>
  <c r="T145" i="57"/>
  <c r="T138" i="57"/>
  <c r="T135" i="57"/>
  <c r="T129" i="57"/>
  <c r="T973" i="57"/>
  <c r="T965" i="57"/>
  <c r="T957" i="57"/>
  <c r="T949" i="57"/>
  <c r="T941" i="57"/>
  <c r="T933" i="57"/>
  <c r="T925" i="57"/>
  <c r="T917" i="57"/>
  <c r="T909" i="57"/>
  <c r="T901" i="57"/>
  <c r="T893" i="57"/>
  <c r="T885" i="57"/>
  <c r="T877" i="57"/>
  <c r="T869" i="57"/>
  <c r="T861" i="57"/>
  <c r="T853" i="57"/>
  <c r="T845" i="57"/>
  <c r="T837" i="57"/>
  <c r="T829" i="57"/>
  <c r="T821" i="57"/>
  <c r="T813" i="57"/>
  <c r="T805" i="57"/>
  <c r="T797" i="57"/>
  <c r="T789" i="57"/>
  <c r="T781" i="57"/>
  <c r="T773" i="57"/>
  <c r="T754" i="57"/>
  <c r="T743" i="57"/>
  <c r="T722" i="57"/>
  <c r="T711" i="57"/>
  <c r="T690" i="57"/>
  <c r="T679" i="57"/>
  <c r="T658" i="57"/>
  <c r="T647" i="57"/>
  <c r="T626" i="57"/>
  <c r="T615" i="57"/>
  <c r="T594" i="57"/>
  <c r="T583" i="57"/>
  <c r="T562" i="57"/>
  <c r="T530" i="57"/>
  <c r="T498" i="57"/>
  <c r="T466" i="57"/>
  <c r="T434" i="57"/>
  <c r="T402" i="57"/>
  <c r="T969" i="57"/>
  <c r="T961" i="57"/>
  <c r="T953" i="57"/>
  <c r="T945" i="57"/>
  <c r="T937" i="57"/>
  <c r="T929" i="57"/>
  <c r="T921" i="57"/>
  <c r="T913" i="57"/>
  <c r="T905" i="57"/>
  <c r="T897" i="57"/>
  <c r="T889" i="57"/>
  <c r="T881" i="57"/>
  <c r="T873" i="57"/>
  <c r="T865" i="57"/>
  <c r="T857" i="57"/>
  <c r="T849" i="57"/>
  <c r="T841" i="57"/>
  <c r="T833" i="57"/>
  <c r="T825" i="57"/>
  <c r="T817" i="57"/>
  <c r="T809" i="57"/>
  <c r="T801" i="57"/>
  <c r="T793" i="57"/>
  <c r="T785" i="57"/>
  <c r="T777" i="57"/>
  <c r="T769" i="57"/>
  <c r="T759" i="57"/>
  <c r="T738" i="57"/>
  <c r="T727" i="57"/>
  <c r="T706" i="57"/>
  <c r="T695" i="57"/>
  <c r="T674" i="57"/>
  <c r="T663" i="57"/>
  <c r="T642" i="57"/>
  <c r="T631" i="57"/>
  <c r="T610" i="57"/>
  <c r="T599" i="57"/>
  <c r="T578" i="57"/>
  <c r="T546" i="57"/>
  <c r="T514" i="57"/>
  <c r="T482" i="57"/>
  <c r="T450" i="57"/>
  <c r="T418" i="57"/>
  <c r="T394" i="57"/>
  <c r="T386" i="57"/>
  <c r="T378" i="57"/>
  <c r="T370" i="57"/>
  <c r="T354" i="57"/>
  <c r="T346" i="57"/>
  <c r="T338" i="57"/>
  <c r="T330" i="57"/>
  <c r="T314" i="57"/>
  <c r="T298" i="57"/>
  <c r="T290" i="57"/>
  <c r="T282" i="57"/>
  <c r="T274" i="57"/>
  <c r="T254" i="57"/>
  <c r="T222" i="57"/>
  <c r="T190" i="57"/>
  <c r="T158" i="57"/>
  <c r="T126" i="57"/>
  <c r="T110" i="57"/>
  <c r="T94" i="57"/>
  <c r="T763" i="57"/>
  <c r="T747" i="57"/>
  <c r="T731" i="57"/>
  <c r="T715" i="57"/>
  <c r="T699" i="57"/>
  <c r="T683" i="57"/>
  <c r="T667" i="57"/>
  <c r="T651" i="57"/>
  <c r="T635" i="57"/>
  <c r="T619" i="57"/>
  <c r="T603" i="57"/>
  <c r="T587" i="57"/>
  <c r="T262" i="57"/>
  <c r="T230" i="57"/>
  <c r="T198" i="57"/>
  <c r="T166" i="57"/>
  <c r="T134" i="57"/>
  <c r="T362" i="57"/>
  <c r="T322" i="57"/>
  <c r="T306" i="57"/>
  <c r="T86" i="57"/>
  <c r="T78" i="57"/>
  <c r="T70" i="57"/>
  <c r="T62" i="57"/>
  <c r="T267" i="57"/>
  <c r="T123" i="57"/>
  <c r="T115" i="57"/>
  <c r="T107" i="57"/>
  <c r="T99" i="57"/>
  <c r="T91" i="57"/>
  <c r="T83" i="57"/>
  <c r="T75" i="57"/>
  <c r="T67" i="57"/>
  <c r="L56" i="57" l="1"/>
  <c r="M56" i="57"/>
  <c r="N56" i="57"/>
  <c r="O56" i="57"/>
  <c r="P56" i="57"/>
  <c r="R56" i="57" s="1"/>
  <c r="Q56" i="57"/>
  <c r="S56" i="57" s="1"/>
  <c r="L57" i="57"/>
  <c r="M57" i="57"/>
  <c r="N57" i="57"/>
  <c r="O57" i="57"/>
  <c r="P57" i="57"/>
  <c r="R57" i="57" s="1"/>
  <c r="Q57" i="57"/>
  <c r="S57" i="57" s="1"/>
  <c r="L58" i="57"/>
  <c r="M58" i="57"/>
  <c r="N58" i="57"/>
  <c r="O58" i="57"/>
  <c r="P58" i="57"/>
  <c r="R58" i="57" s="1"/>
  <c r="Q58" i="57"/>
  <c r="S58" i="57" s="1"/>
  <c r="L59" i="57"/>
  <c r="M59" i="57"/>
  <c r="N59" i="57"/>
  <c r="O59" i="57"/>
  <c r="P59" i="57"/>
  <c r="R59" i="57" s="1"/>
  <c r="Q59" i="57"/>
  <c r="S59" i="57" s="1"/>
  <c r="L60" i="57"/>
  <c r="M60" i="57"/>
  <c r="N60" i="57"/>
  <c r="O60" i="57"/>
  <c r="P60" i="57"/>
  <c r="R60" i="57" s="1"/>
  <c r="Q60" i="57"/>
  <c r="S60" i="57" s="1"/>
  <c r="L61" i="57"/>
  <c r="M61" i="57"/>
  <c r="N61" i="57"/>
  <c r="O61" i="57"/>
  <c r="P61" i="57"/>
  <c r="R61" i="57" s="1"/>
  <c r="Q61" i="57"/>
  <c r="S61" i="57" s="1"/>
  <c r="Q55" i="57"/>
  <c r="S55" i="57" s="1"/>
  <c r="P55" i="57"/>
  <c r="R55" i="57" s="1"/>
  <c r="O55" i="57"/>
  <c r="N55" i="57"/>
  <c r="M55" i="57"/>
  <c r="L55" i="57"/>
  <c r="Q54" i="57"/>
  <c r="S54" i="57" s="1"/>
  <c r="P54" i="57"/>
  <c r="R54" i="57" s="1"/>
  <c r="O54" i="57"/>
  <c r="N54" i="57"/>
  <c r="M54" i="57"/>
  <c r="L54" i="57"/>
  <c r="Q53" i="57"/>
  <c r="S53" i="57" s="1"/>
  <c r="P53" i="57"/>
  <c r="R53" i="57" s="1"/>
  <c r="O53" i="57"/>
  <c r="N53" i="57"/>
  <c r="M53" i="57"/>
  <c r="L53" i="57"/>
  <c r="Q52" i="57"/>
  <c r="S52" i="57" s="1"/>
  <c r="P52" i="57"/>
  <c r="R52" i="57" s="1"/>
  <c r="O52" i="57"/>
  <c r="N52" i="57"/>
  <c r="M52" i="57"/>
  <c r="L52" i="57"/>
  <c r="Q51" i="57"/>
  <c r="S51" i="57" s="1"/>
  <c r="P51" i="57"/>
  <c r="R51" i="57" s="1"/>
  <c r="O51" i="57"/>
  <c r="N51" i="57"/>
  <c r="M51" i="57"/>
  <c r="L51" i="57"/>
  <c r="Q50" i="57"/>
  <c r="S50" i="57" s="1"/>
  <c r="P50" i="57"/>
  <c r="R50" i="57" s="1"/>
  <c r="O50" i="57"/>
  <c r="N50" i="57"/>
  <c r="M50" i="57"/>
  <c r="L50" i="57"/>
  <c r="Q49" i="57"/>
  <c r="S49" i="57" s="1"/>
  <c r="P49" i="57"/>
  <c r="R49" i="57" s="1"/>
  <c r="O49" i="57"/>
  <c r="N49" i="57"/>
  <c r="M49" i="57"/>
  <c r="L49" i="57"/>
  <c r="Q48" i="57"/>
  <c r="S48" i="57" s="1"/>
  <c r="P48" i="57"/>
  <c r="R48" i="57" s="1"/>
  <c r="O48" i="57"/>
  <c r="N48" i="57"/>
  <c r="M48" i="57"/>
  <c r="L48" i="57"/>
  <c r="Q47" i="57"/>
  <c r="S47" i="57" s="1"/>
  <c r="P47" i="57"/>
  <c r="R47" i="57" s="1"/>
  <c r="O47" i="57"/>
  <c r="N47" i="57"/>
  <c r="M47" i="57"/>
  <c r="L47" i="57"/>
  <c r="Q46" i="57"/>
  <c r="S46" i="57" s="1"/>
  <c r="P46" i="57"/>
  <c r="R46" i="57" s="1"/>
  <c r="O46" i="57"/>
  <c r="N46" i="57"/>
  <c r="M46" i="57"/>
  <c r="L46" i="57"/>
  <c r="Q45" i="57"/>
  <c r="S45" i="57" s="1"/>
  <c r="P45" i="57"/>
  <c r="R45" i="57" s="1"/>
  <c r="O45" i="57"/>
  <c r="N45" i="57"/>
  <c r="M45" i="57"/>
  <c r="L45" i="57"/>
  <c r="Q44" i="57"/>
  <c r="S44" i="57" s="1"/>
  <c r="P44" i="57"/>
  <c r="R44" i="57" s="1"/>
  <c r="O44" i="57"/>
  <c r="N44" i="57"/>
  <c r="M44" i="57"/>
  <c r="L44" i="57"/>
  <c r="Q43" i="57"/>
  <c r="S43" i="57" s="1"/>
  <c r="P43" i="57"/>
  <c r="R43" i="57" s="1"/>
  <c r="O43" i="57"/>
  <c r="N43" i="57"/>
  <c r="M43" i="57"/>
  <c r="L43" i="57"/>
  <c r="Q42" i="57"/>
  <c r="S42" i="57" s="1"/>
  <c r="P42" i="57"/>
  <c r="R42" i="57" s="1"/>
  <c r="O42" i="57"/>
  <c r="N42" i="57"/>
  <c r="M42" i="57"/>
  <c r="L42" i="57"/>
  <c r="Q41" i="57"/>
  <c r="S41" i="57" s="1"/>
  <c r="P41" i="57"/>
  <c r="R41" i="57" s="1"/>
  <c r="O41" i="57"/>
  <c r="N41" i="57"/>
  <c r="M41" i="57"/>
  <c r="L41" i="57"/>
  <c r="Q40" i="57"/>
  <c r="S40" i="57" s="1"/>
  <c r="P40" i="57"/>
  <c r="R40" i="57" s="1"/>
  <c r="O40" i="57"/>
  <c r="N40" i="57"/>
  <c r="M40" i="57"/>
  <c r="L40" i="57"/>
  <c r="Q39" i="57"/>
  <c r="S39" i="57" s="1"/>
  <c r="P39" i="57"/>
  <c r="R39" i="57" s="1"/>
  <c r="O39" i="57"/>
  <c r="N39" i="57"/>
  <c r="M39" i="57"/>
  <c r="L39" i="57"/>
  <c r="Q38" i="57"/>
  <c r="S38" i="57" s="1"/>
  <c r="P38" i="57"/>
  <c r="R38" i="57" s="1"/>
  <c r="O38" i="57"/>
  <c r="N38" i="57"/>
  <c r="M38" i="57"/>
  <c r="L38" i="57"/>
  <c r="Q37" i="57"/>
  <c r="S37" i="57" s="1"/>
  <c r="P37" i="57"/>
  <c r="R37" i="57" s="1"/>
  <c r="O37" i="57"/>
  <c r="N37" i="57"/>
  <c r="M37" i="57"/>
  <c r="L37" i="57"/>
  <c r="Q36" i="57"/>
  <c r="S36" i="57" s="1"/>
  <c r="P36" i="57"/>
  <c r="R36" i="57" s="1"/>
  <c r="O36" i="57"/>
  <c r="N36" i="57"/>
  <c r="M36" i="57"/>
  <c r="L36" i="57"/>
  <c r="Q35" i="57"/>
  <c r="S35" i="57" s="1"/>
  <c r="P35" i="57"/>
  <c r="R35" i="57" s="1"/>
  <c r="O35" i="57"/>
  <c r="N35" i="57"/>
  <c r="M35" i="57"/>
  <c r="L35" i="57"/>
  <c r="Q34" i="57"/>
  <c r="S34" i="57" s="1"/>
  <c r="P34" i="57"/>
  <c r="R34" i="57" s="1"/>
  <c r="O34" i="57"/>
  <c r="N34" i="57"/>
  <c r="M34" i="57"/>
  <c r="L34" i="57"/>
  <c r="Q33" i="57"/>
  <c r="S33" i="57" s="1"/>
  <c r="P33" i="57"/>
  <c r="R33" i="57" s="1"/>
  <c r="O33" i="57"/>
  <c r="N33" i="57"/>
  <c r="M33" i="57"/>
  <c r="L33" i="57"/>
  <c r="Q32" i="57"/>
  <c r="S32" i="57" s="1"/>
  <c r="P32" i="57"/>
  <c r="R32" i="57" s="1"/>
  <c r="O32" i="57"/>
  <c r="N32" i="57"/>
  <c r="M32" i="57"/>
  <c r="L32" i="57"/>
  <c r="Q31" i="57"/>
  <c r="S31" i="57" s="1"/>
  <c r="P31" i="57"/>
  <c r="R31" i="57" s="1"/>
  <c r="O31" i="57"/>
  <c r="N31" i="57"/>
  <c r="M31" i="57"/>
  <c r="L31" i="57"/>
  <c r="Q30" i="57"/>
  <c r="S30" i="57" s="1"/>
  <c r="P30" i="57"/>
  <c r="R30" i="57" s="1"/>
  <c r="O30" i="57"/>
  <c r="N30" i="57"/>
  <c r="M30" i="57"/>
  <c r="L30" i="57"/>
  <c r="Q29" i="57"/>
  <c r="S29" i="57" s="1"/>
  <c r="P29" i="57"/>
  <c r="R29" i="57" s="1"/>
  <c r="O29" i="57"/>
  <c r="N29" i="57"/>
  <c r="M29" i="57"/>
  <c r="L29" i="57"/>
  <c r="Q28" i="57"/>
  <c r="S28" i="57" s="1"/>
  <c r="P28" i="57"/>
  <c r="R28" i="57" s="1"/>
  <c r="O28" i="57"/>
  <c r="N28" i="57"/>
  <c r="M28" i="57"/>
  <c r="L28" i="57"/>
  <c r="Q27" i="57"/>
  <c r="S27" i="57" s="1"/>
  <c r="P27" i="57"/>
  <c r="R27" i="57" s="1"/>
  <c r="O27" i="57"/>
  <c r="N27" i="57"/>
  <c r="M27" i="57"/>
  <c r="L27" i="57"/>
  <c r="Q26" i="57"/>
  <c r="S26" i="57" s="1"/>
  <c r="P26" i="57"/>
  <c r="R26" i="57" s="1"/>
  <c r="O26" i="57"/>
  <c r="N26" i="57"/>
  <c r="M26" i="57"/>
  <c r="L26" i="57"/>
  <c r="Q25" i="57"/>
  <c r="S25" i="57" s="1"/>
  <c r="P25" i="57"/>
  <c r="R25" i="57" s="1"/>
  <c r="O25" i="57"/>
  <c r="N25" i="57"/>
  <c r="M25" i="57"/>
  <c r="L25" i="57"/>
  <c r="Q24" i="57"/>
  <c r="S24" i="57" s="1"/>
  <c r="P24" i="57"/>
  <c r="R24" i="57" s="1"/>
  <c r="O24" i="57"/>
  <c r="N24" i="57"/>
  <c r="M24" i="57"/>
  <c r="L24" i="57"/>
  <c r="Q23" i="57"/>
  <c r="S23" i="57" s="1"/>
  <c r="P23" i="57"/>
  <c r="R23" i="57" s="1"/>
  <c r="O23" i="57"/>
  <c r="N23" i="57"/>
  <c r="M23" i="57"/>
  <c r="L23" i="57"/>
  <c r="Q22" i="57"/>
  <c r="S22" i="57" s="1"/>
  <c r="P22" i="57"/>
  <c r="R22" i="57" s="1"/>
  <c r="O22" i="57"/>
  <c r="N22" i="57"/>
  <c r="M22" i="57"/>
  <c r="L22" i="57"/>
  <c r="Q21" i="57"/>
  <c r="S21" i="57" s="1"/>
  <c r="P21" i="57"/>
  <c r="R21" i="57" s="1"/>
  <c r="O21" i="57"/>
  <c r="N21" i="57"/>
  <c r="M21" i="57"/>
  <c r="L21" i="57"/>
  <c r="Q20" i="57"/>
  <c r="S20" i="57" s="1"/>
  <c r="P20" i="57"/>
  <c r="R20" i="57" s="1"/>
  <c r="O20" i="57"/>
  <c r="N20" i="57"/>
  <c r="M20" i="57"/>
  <c r="L20" i="57"/>
  <c r="Q19" i="57"/>
  <c r="S19" i="57" s="1"/>
  <c r="P19" i="57"/>
  <c r="R19" i="57" s="1"/>
  <c r="O19" i="57"/>
  <c r="N19" i="57"/>
  <c r="M19" i="57"/>
  <c r="L19" i="57"/>
  <c r="Q18" i="57"/>
  <c r="S18" i="57" s="1"/>
  <c r="P18" i="57"/>
  <c r="R18" i="57" s="1"/>
  <c r="O18" i="57"/>
  <c r="N18" i="57"/>
  <c r="M18" i="57"/>
  <c r="L18" i="57"/>
  <c r="Q17" i="57"/>
  <c r="S17" i="57" s="1"/>
  <c r="P17" i="57"/>
  <c r="R17" i="57" s="1"/>
  <c r="O17" i="57"/>
  <c r="N17" i="57"/>
  <c r="M17" i="57"/>
  <c r="L17" i="57"/>
  <c r="Q14" i="57"/>
  <c r="S14" i="57" s="1"/>
  <c r="P14" i="57"/>
  <c r="R14" i="57" s="1"/>
  <c r="O14" i="57"/>
  <c r="N14" i="57"/>
  <c r="M14" i="57"/>
  <c r="L14" i="57"/>
  <c r="Q11" i="57"/>
  <c r="S11" i="57" s="1"/>
  <c r="P11" i="57"/>
  <c r="R11" i="57" s="1"/>
  <c r="O11" i="57"/>
  <c r="N11" i="57"/>
  <c r="M11" i="57"/>
  <c r="L11" i="57"/>
  <c r="Q10" i="57"/>
  <c r="S10" i="57" s="1"/>
  <c r="P10" i="57"/>
  <c r="R10" i="57" s="1"/>
  <c r="O10" i="57"/>
  <c r="N10" i="57"/>
  <c r="M10" i="57"/>
  <c r="L10" i="57"/>
  <c r="Q9" i="57"/>
  <c r="S9" i="57" s="1"/>
  <c r="P9" i="57"/>
  <c r="R9" i="57" s="1"/>
  <c r="O9" i="57"/>
  <c r="N9" i="57"/>
  <c r="M9" i="57"/>
  <c r="L9" i="57"/>
  <c r="T20" i="57" l="1"/>
  <c r="T59" i="57"/>
  <c r="T61" i="57"/>
  <c r="T57" i="57"/>
  <c r="T52" i="57"/>
  <c r="T44" i="57"/>
  <c r="T58" i="57"/>
  <c r="T48" i="57"/>
  <c r="T60" i="57"/>
  <c r="T56" i="57"/>
  <c r="T24" i="57"/>
  <c r="T28" i="57"/>
  <c r="T32" i="57"/>
  <c r="T36" i="57"/>
  <c r="T40" i="57"/>
  <c r="T23" i="57"/>
  <c r="T27" i="57"/>
  <c r="T31" i="57"/>
  <c r="T39" i="57"/>
  <c r="T43" i="57"/>
  <c r="T47" i="57"/>
  <c r="T51" i="57"/>
  <c r="T55" i="57"/>
  <c r="T14" i="57"/>
  <c r="T11" i="57"/>
  <c r="T19" i="57"/>
  <c r="T35" i="57"/>
  <c r="T9" i="57"/>
  <c r="T17" i="57"/>
  <c r="T21" i="57"/>
  <c r="T25" i="57"/>
  <c r="T29" i="57"/>
  <c r="T33" i="57"/>
  <c r="T37" i="57"/>
  <c r="T41" i="57"/>
  <c r="T45" i="57"/>
  <c r="T49" i="57"/>
  <c r="T53" i="57"/>
  <c r="T10" i="57"/>
  <c r="T18" i="57"/>
  <c r="T22" i="57"/>
  <c r="T26" i="57"/>
  <c r="T30" i="57"/>
  <c r="T34" i="57"/>
  <c r="T38" i="57"/>
  <c r="T42" i="57"/>
  <c r="T46" i="57"/>
  <c r="T50" i="57"/>
  <c r="T54" i="5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jd d</author>
  </authors>
  <commentList>
    <comment ref="H7" authorId="0" shapeId="0" xr:uid="{00000000-0006-0000-0000-000001000000}">
      <text>
        <r>
          <rPr>
            <b/>
            <sz val="9"/>
            <color indexed="81"/>
            <rFont val="Geneva"/>
            <family val="2"/>
          </rPr>
          <t>Method of inspection abbreviations: 
HG = Height gauge
MIC = Micrometer
DC = Dial Caliper
P = Protractor
OC = Optical Comparator
CG = Checking Gauge
CMM = Coordinate Measuring Machine</t>
        </r>
        <r>
          <rPr>
            <sz val="9"/>
            <color indexed="81"/>
            <rFont val="Geneva"/>
            <family val="2"/>
          </rPr>
          <t xml:space="preserve">
</t>
        </r>
        <r>
          <rPr>
            <b/>
            <sz val="9"/>
            <color indexed="81"/>
            <rFont val="Geneva"/>
            <family val="2"/>
          </rPr>
          <t>OMM = Optical Coordinate Measuring Machine
HT = Hardness Tester
TG = Thickness Gauge
VIS = Visual
PG = Plug Gauge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jd d</author>
  </authors>
  <commentList>
    <comment ref="H7" authorId="0" shapeId="0" xr:uid="{81197489-D9ED-413E-BC9F-86E87C29B276}">
      <text>
        <r>
          <rPr>
            <b/>
            <sz val="9"/>
            <color indexed="81"/>
            <rFont val="Geneva"/>
            <family val="2"/>
          </rPr>
          <t>Method of inspection abbreviations: 
HG = Height gauge
MIC = Micrometer
DC = Dial Caliper
P = Protractor
OC = Optical Comparator
CG = Checking Gauge
CMM = Coordinate Measuring Machine</t>
        </r>
        <r>
          <rPr>
            <sz val="9"/>
            <color indexed="81"/>
            <rFont val="Geneva"/>
            <family val="2"/>
          </rPr>
          <t xml:space="preserve">
</t>
        </r>
        <r>
          <rPr>
            <b/>
            <sz val="9"/>
            <color indexed="81"/>
            <rFont val="Geneva"/>
            <family val="2"/>
          </rPr>
          <t>OMM = Optical Coordinate Measuring Machine
HT = Hardness Tester
TG = Thickness Gauge
VIS = Visual
PG = Plug Gauge</t>
        </r>
      </text>
    </comment>
  </commentList>
</comments>
</file>

<file path=xl/sharedStrings.xml><?xml version="1.0" encoding="utf-8"?>
<sst xmlns="http://schemas.openxmlformats.org/spreadsheetml/2006/main" count="3302" uniqueCount="588">
  <si>
    <t>Supplier :</t>
  </si>
  <si>
    <t>Part Number :</t>
  </si>
  <si>
    <t>Part Description :</t>
  </si>
  <si>
    <t>Revision :</t>
  </si>
  <si>
    <t>Mean</t>
  </si>
  <si>
    <t>Tool # :</t>
  </si>
  <si>
    <t>Page :</t>
  </si>
  <si>
    <t xml:space="preserve"> </t>
  </si>
  <si>
    <t>Cavity # :</t>
  </si>
  <si>
    <t>Inspector :</t>
  </si>
  <si>
    <t>Report stage :</t>
  </si>
  <si>
    <t>Tool vendor :</t>
  </si>
  <si>
    <t>Date :</t>
  </si>
  <si>
    <t>Sample Number</t>
  </si>
  <si>
    <t>Deviation from Nominal</t>
  </si>
  <si>
    <t>% Tolerance</t>
  </si>
  <si>
    <t>Alert/Reject</t>
  </si>
  <si>
    <t>Supplier</t>
  </si>
  <si>
    <t>ITEM</t>
  </si>
  <si>
    <t>LOCATION</t>
  </si>
  <si>
    <t>NOMINAL</t>
  </si>
  <si>
    <t>+TOL</t>
  </si>
  <si>
    <t>-TOL</t>
  </si>
  <si>
    <t>UPPER</t>
  </si>
  <si>
    <t>LOWER</t>
  </si>
  <si>
    <t>HIGH</t>
  </si>
  <si>
    <t>LOW</t>
  </si>
  <si>
    <t>Comment</t>
  </si>
  <si>
    <t>Disposition</t>
  </si>
  <si>
    <t>20-2</t>
  </si>
  <si>
    <t>21-2</t>
  </si>
  <si>
    <t>22-2</t>
  </si>
  <si>
    <t>23-2</t>
  </si>
  <si>
    <t>23-3</t>
  </si>
  <si>
    <t>23-4</t>
  </si>
  <si>
    <t>23-5</t>
  </si>
  <si>
    <t>23-6</t>
  </si>
  <si>
    <t>23-7</t>
  </si>
  <si>
    <t>23-8</t>
  </si>
  <si>
    <t>33-2</t>
  </si>
  <si>
    <t>33-3</t>
  </si>
  <si>
    <t>A</t>
    <phoneticPr fontId="10" type="noConversion"/>
  </si>
  <si>
    <t>ABC FAI Data Sheet</t>
    <phoneticPr fontId="4" type="noConversion"/>
  </si>
  <si>
    <t>DRAWING SPECIFICATIONS</t>
    <phoneticPr fontId="4" type="noConversion"/>
  </si>
  <si>
    <t>INSPECTION RESULTS</t>
    <phoneticPr fontId="4" type="noConversion"/>
  </si>
  <si>
    <t>INSPECTION ANALYSIS</t>
    <phoneticPr fontId="4" type="noConversion"/>
  </si>
  <si>
    <t>COMMENTS &amp; DISPOSITIONS</t>
    <phoneticPr fontId="4" type="noConversion"/>
  </si>
  <si>
    <t>Inspection</t>
    <phoneticPr fontId="4" type="noConversion"/>
  </si>
  <si>
    <t>PD</t>
    <phoneticPr fontId="3" type="noConversion"/>
  </si>
  <si>
    <t>PAGE</t>
    <phoneticPr fontId="4" type="noConversion"/>
  </si>
  <si>
    <t>Method</t>
    <phoneticPr fontId="4" type="noConversion"/>
  </si>
  <si>
    <t>ADJUDGMENT</t>
    <phoneticPr fontId="4" type="noConversion"/>
  </si>
  <si>
    <t>SPC</t>
    <phoneticPr fontId="4" type="noConversion"/>
  </si>
  <si>
    <t>C</t>
    <phoneticPr fontId="10" type="noConversion"/>
  </si>
  <si>
    <t>D-2</t>
    <phoneticPr fontId="10" type="noConversion"/>
  </si>
  <si>
    <t>OMM</t>
    <phoneticPr fontId="10" type="noConversion"/>
  </si>
  <si>
    <t>D-1</t>
    <phoneticPr fontId="10" type="noConversion"/>
  </si>
  <si>
    <t>A</t>
    <phoneticPr fontId="10" type="noConversion"/>
  </si>
  <si>
    <t>D-3</t>
    <phoneticPr fontId="10" type="noConversion"/>
  </si>
  <si>
    <t>B</t>
    <phoneticPr fontId="10" type="noConversion"/>
  </si>
  <si>
    <t>E</t>
    <phoneticPr fontId="10" type="noConversion"/>
  </si>
  <si>
    <t>D</t>
    <phoneticPr fontId="10" type="noConversion"/>
  </si>
  <si>
    <t>C-2</t>
    <phoneticPr fontId="10" type="noConversion"/>
  </si>
  <si>
    <t>C-1</t>
    <phoneticPr fontId="10" type="noConversion"/>
  </si>
  <si>
    <t>B-2</t>
    <phoneticPr fontId="10" type="noConversion"/>
  </si>
  <si>
    <t>11-1</t>
    <phoneticPr fontId="10" type="noConversion"/>
  </si>
  <si>
    <t>11-2</t>
    <phoneticPr fontId="10" type="noConversion"/>
  </si>
  <si>
    <t>B-1</t>
    <phoneticPr fontId="10" type="noConversion"/>
  </si>
  <si>
    <t>C-3</t>
    <phoneticPr fontId="10" type="noConversion"/>
  </si>
  <si>
    <t>18-1</t>
    <phoneticPr fontId="10" type="noConversion"/>
  </si>
  <si>
    <t>18-2</t>
  </si>
  <si>
    <t>18-3</t>
  </si>
  <si>
    <t>18-4</t>
  </si>
  <si>
    <t>18-5</t>
  </si>
  <si>
    <t>18-6</t>
  </si>
  <si>
    <t>18-7</t>
  </si>
  <si>
    <t>18-8</t>
  </si>
  <si>
    <t>18-9</t>
  </si>
  <si>
    <t>18-10</t>
  </si>
  <si>
    <t>18-11</t>
  </si>
  <si>
    <t>19-1</t>
    <phoneticPr fontId="10" type="noConversion"/>
  </si>
  <si>
    <t>19-2</t>
  </si>
  <si>
    <t>19-3</t>
  </si>
  <si>
    <t>19-4</t>
  </si>
  <si>
    <t>19-5</t>
  </si>
  <si>
    <t>19-6</t>
  </si>
  <si>
    <t>19-7</t>
  </si>
  <si>
    <t>19-8</t>
  </si>
  <si>
    <t>19-9</t>
  </si>
  <si>
    <t>19-10</t>
  </si>
  <si>
    <t>19-11</t>
  </si>
  <si>
    <t>19-12</t>
  </si>
  <si>
    <t>19-13</t>
  </si>
  <si>
    <t>19-14</t>
  </si>
  <si>
    <t>19-15</t>
  </si>
  <si>
    <t>19-16</t>
  </si>
  <si>
    <t>19-17</t>
  </si>
  <si>
    <t>19-18</t>
  </si>
  <si>
    <t>19-19</t>
  </si>
  <si>
    <t>19-20</t>
  </si>
  <si>
    <t>19-21</t>
  </si>
  <si>
    <t>19-22</t>
  </si>
  <si>
    <t>19-23</t>
  </si>
  <si>
    <t>19-24</t>
  </si>
  <si>
    <t>19-26</t>
  </si>
  <si>
    <t>19-27</t>
  </si>
  <si>
    <t>19-28</t>
  </si>
  <si>
    <t>19-29</t>
  </si>
  <si>
    <t>19-30</t>
  </si>
  <si>
    <t>19-31</t>
  </si>
  <si>
    <t>19-32</t>
  </si>
  <si>
    <t>19-33</t>
  </si>
  <si>
    <t>19-34</t>
  </si>
  <si>
    <t>19-35</t>
  </si>
  <si>
    <t>19-36</t>
  </si>
  <si>
    <t>19-37</t>
  </si>
  <si>
    <t>19-38</t>
  </si>
  <si>
    <t>19-39</t>
  </si>
  <si>
    <t>19-41</t>
  </si>
  <si>
    <t>19-42</t>
  </si>
  <si>
    <t>19-43</t>
  </si>
  <si>
    <t>19-44</t>
  </si>
  <si>
    <t>19-45</t>
  </si>
  <si>
    <t>19-46</t>
  </si>
  <si>
    <t>19-47</t>
  </si>
  <si>
    <t>19-48</t>
  </si>
  <si>
    <t>19-49</t>
  </si>
  <si>
    <t>19-50</t>
  </si>
  <si>
    <t>19-51</t>
  </si>
  <si>
    <t>19-52</t>
  </si>
  <si>
    <t>19-53</t>
  </si>
  <si>
    <t>19-54</t>
  </si>
  <si>
    <t>19-56</t>
  </si>
  <si>
    <t>19-57</t>
  </si>
  <si>
    <t>19-58</t>
  </si>
  <si>
    <t>19-59</t>
  </si>
  <si>
    <t>19-60</t>
  </si>
  <si>
    <t>19-61</t>
  </si>
  <si>
    <t>19-62</t>
  </si>
  <si>
    <t>19-63</t>
  </si>
  <si>
    <t>19-64</t>
  </si>
  <si>
    <t>19-65</t>
  </si>
  <si>
    <t>19-66</t>
  </si>
  <si>
    <t>19-67</t>
  </si>
  <si>
    <t>19-68</t>
  </si>
  <si>
    <t>19-69</t>
  </si>
  <si>
    <t>19-71</t>
  </si>
  <si>
    <t>19-72</t>
  </si>
  <si>
    <t>19-73</t>
  </si>
  <si>
    <t>19-74</t>
  </si>
  <si>
    <t>19-75</t>
  </si>
  <si>
    <t>19-76</t>
  </si>
  <si>
    <t>19-77</t>
  </si>
  <si>
    <t>19-78</t>
  </si>
  <si>
    <t>19-79</t>
  </si>
  <si>
    <t>19-80</t>
  </si>
  <si>
    <t>19-81</t>
  </si>
  <si>
    <t>19-82</t>
  </si>
  <si>
    <t>19-83</t>
  </si>
  <si>
    <t>19-84</t>
  </si>
  <si>
    <t>19-86</t>
  </si>
  <si>
    <t>19-87</t>
  </si>
  <si>
    <t>19-88</t>
  </si>
  <si>
    <t>19-25</t>
    <phoneticPr fontId="10" type="noConversion"/>
  </si>
  <si>
    <t>19-40</t>
    <phoneticPr fontId="10" type="noConversion"/>
  </si>
  <si>
    <t>19-55</t>
    <phoneticPr fontId="10" type="noConversion"/>
  </si>
  <si>
    <t>19-70</t>
    <phoneticPr fontId="10" type="noConversion"/>
  </si>
  <si>
    <t>19-85</t>
    <phoneticPr fontId="10" type="noConversion"/>
  </si>
  <si>
    <t>20-1</t>
    <phoneticPr fontId="10" type="noConversion"/>
  </si>
  <si>
    <t>20-3</t>
  </si>
  <si>
    <t>20-4</t>
  </si>
  <si>
    <t>20-5</t>
  </si>
  <si>
    <t>20-6</t>
  </si>
  <si>
    <t>20-7</t>
  </si>
  <si>
    <t>20-8</t>
  </si>
  <si>
    <t>20-9</t>
  </si>
  <si>
    <t>20-10</t>
  </si>
  <si>
    <t>20-11</t>
  </si>
  <si>
    <t>20-12</t>
  </si>
  <si>
    <t>21-1</t>
    <phoneticPr fontId="10" type="noConversion"/>
  </si>
  <si>
    <t>21-3</t>
  </si>
  <si>
    <t>21-4</t>
  </si>
  <si>
    <t>21-5</t>
  </si>
  <si>
    <t>21-6</t>
  </si>
  <si>
    <t>21-7</t>
  </si>
  <si>
    <t>21-8</t>
  </si>
  <si>
    <t>21-9</t>
  </si>
  <si>
    <t>21-10</t>
  </si>
  <si>
    <t>21-11</t>
  </si>
  <si>
    <t>22-1</t>
    <phoneticPr fontId="10" type="noConversion"/>
  </si>
  <si>
    <t>22-3</t>
  </si>
  <si>
    <t>22-4</t>
  </si>
  <si>
    <t>22-5</t>
  </si>
  <si>
    <t>22-6</t>
  </si>
  <si>
    <t>22-7</t>
  </si>
  <si>
    <t>22-8</t>
  </si>
  <si>
    <t>22-9</t>
  </si>
  <si>
    <t>22-10</t>
  </si>
  <si>
    <t>22-11</t>
  </si>
  <si>
    <t>F</t>
    <phoneticPr fontId="10" type="noConversion"/>
  </si>
  <si>
    <t>23-1</t>
    <phoneticPr fontId="10" type="noConversion"/>
  </si>
  <si>
    <t>23-9</t>
  </si>
  <si>
    <t>23-10</t>
  </si>
  <si>
    <t>23-11</t>
  </si>
  <si>
    <t>23-12</t>
  </si>
  <si>
    <t>23-13</t>
  </si>
  <si>
    <t>23-14</t>
  </si>
  <si>
    <t>23-15</t>
  </si>
  <si>
    <t>23-16</t>
  </si>
  <si>
    <t>23-17</t>
  </si>
  <si>
    <t>23-18</t>
  </si>
  <si>
    <t>23-19</t>
  </si>
  <si>
    <t>23-20</t>
  </si>
  <si>
    <t>23-21</t>
  </si>
  <si>
    <t>23-22</t>
  </si>
  <si>
    <t>23-23</t>
  </si>
  <si>
    <t>23-24</t>
  </si>
  <si>
    <t>23-25</t>
  </si>
  <si>
    <t>23-26</t>
  </si>
  <si>
    <t>23-27</t>
  </si>
  <si>
    <t>23-28</t>
  </si>
  <si>
    <t>23-29</t>
  </si>
  <si>
    <t>23-30</t>
  </si>
  <si>
    <t>23-31</t>
  </si>
  <si>
    <t>23-32</t>
  </si>
  <si>
    <t>23-33</t>
  </si>
  <si>
    <t>23-34</t>
  </si>
  <si>
    <t>23-35</t>
  </si>
  <si>
    <t>23-36</t>
  </si>
  <si>
    <t>23-37</t>
  </si>
  <si>
    <t>23-38</t>
  </si>
  <si>
    <t>23-39</t>
  </si>
  <si>
    <t>23-40</t>
  </si>
  <si>
    <t>23-41</t>
  </si>
  <si>
    <t>23-42</t>
  </si>
  <si>
    <t>23-43</t>
  </si>
  <si>
    <t>23-44</t>
  </si>
  <si>
    <t>23-45</t>
  </si>
  <si>
    <t>23-46</t>
  </si>
  <si>
    <t>23-47</t>
  </si>
  <si>
    <t>23-48</t>
  </si>
  <si>
    <t>23-49</t>
  </si>
  <si>
    <t>23-50</t>
  </si>
  <si>
    <t>23-51</t>
  </si>
  <si>
    <t>23-52</t>
  </si>
  <si>
    <t>23-53</t>
  </si>
  <si>
    <t>23-54</t>
  </si>
  <si>
    <t>23-55</t>
  </si>
  <si>
    <t>23-56</t>
  </si>
  <si>
    <t>23-57</t>
  </si>
  <si>
    <t>23-58</t>
  </si>
  <si>
    <t>23-59</t>
  </si>
  <si>
    <t>23-60</t>
  </si>
  <si>
    <t>23-61</t>
  </si>
  <si>
    <t>23-62</t>
  </si>
  <si>
    <t>23-63</t>
  </si>
  <si>
    <t>23-64</t>
  </si>
  <si>
    <t>23-65</t>
  </si>
  <si>
    <t>23-66</t>
  </si>
  <si>
    <t>23-67</t>
  </si>
  <si>
    <t>23-68</t>
  </si>
  <si>
    <t>23-69</t>
  </si>
  <si>
    <t>23-70</t>
  </si>
  <si>
    <t>23-71</t>
  </si>
  <si>
    <t>23-72</t>
  </si>
  <si>
    <t>23-73</t>
  </si>
  <si>
    <t>23-74</t>
  </si>
  <si>
    <t>23-75</t>
  </si>
  <si>
    <t>23-76</t>
  </si>
  <si>
    <t>23-77</t>
  </si>
  <si>
    <t>23-78</t>
  </si>
  <si>
    <t>23-79</t>
  </si>
  <si>
    <t>23-80</t>
  </si>
  <si>
    <t>23-81</t>
  </si>
  <si>
    <t>23-82</t>
  </si>
  <si>
    <t>23-83</t>
  </si>
  <si>
    <t>23-84</t>
  </si>
  <si>
    <t>23-85</t>
  </si>
  <si>
    <t>23-86</t>
  </si>
  <si>
    <t>23-87</t>
  </si>
  <si>
    <t>23-88</t>
  </si>
  <si>
    <t>23-89</t>
  </si>
  <si>
    <t>23-90</t>
  </si>
  <si>
    <t>23-91</t>
  </si>
  <si>
    <t>23-92</t>
  </si>
  <si>
    <t>23-93</t>
  </si>
  <si>
    <t>23-94</t>
  </si>
  <si>
    <t>23-95</t>
  </si>
  <si>
    <t>23-96</t>
  </si>
  <si>
    <t>23-97</t>
  </si>
  <si>
    <t>23-98</t>
  </si>
  <si>
    <t>23-99</t>
  </si>
  <si>
    <t>23-100</t>
  </si>
  <si>
    <t>24-1</t>
    <phoneticPr fontId="10" type="noConversion"/>
  </si>
  <si>
    <t>24-2</t>
  </si>
  <si>
    <t>24-3</t>
  </si>
  <si>
    <t>24-4</t>
  </si>
  <si>
    <t>24-5</t>
  </si>
  <si>
    <t>24-6</t>
  </si>
  <si>
    <t>24-7</t>
  </si>
  <si>
    <t>24-8</t>
  </si>
  <si>
    <t>24-9</t>
  </si>
  <si>
    <t>24-10</t>
  </si>
  <si>
    <t>24-11</t>
  </si>
  <si>
    <t>24-12</t>
  </si>
  <si>
    <t>24-13</t>
  </si>
  <si>
    <t>24-14</t>
  </si>
  <si>
    <t>24-15</t>
  </si>
  <si>
    <t>24-16</t>
  </si>
  <si>
    <t>24-17</t>
  </si>
  <si>
    <t>24-18</t>
  </si>
  <si>
    <t>24-19</t>
  </si>
  <si>
    <t>24-20</t>
  </si>
  <si>
    <t>24-21</t>
  </si>
  <si>
    <t>24-22</t>
  </si>
  <si>
    <t>24-23</t>
  </si>
  <si>
    <t>24-24</t>
  </si>
  <si>
    <t>24-25</t>
  </si>
  <si>
    <t>24-26</t>
  </si>
  <si>
    <t>24-27</t>
  </si>
  <si>
    <t>24-28</t>
  </si>
  <si>
    <t>24-29</t>
  </si>
  <si>
    <t>24-30</t>
  </si>
  <si>
    <t>24-31</t>
  </si>
  <si>
    <t>24-32</t>
  </si>
  <si>
    <t>24-33</t>
  </si>
  <si>
    <t>24-34</t>
  </si>
  <si>
    <t>24-35</t>
  </si>
  <si>
    <t>24-36</t>
  </si>
  <si>
    <t>24-37</t>
  </si>
  <si>
    <t>24-38</t>
  </si>
  <si>
    <t>24-39</t>
  </si>
  <si>
    <t>24-40</t>
  </si>
  <si>
    <t>24-41</t>
  </si>
  <si>
    <t>24-42</t>
  </si>
  <si>
    <t>24-43</t>
  </si>
  <si>
    <t>24-44</t>
  </si>
  <si>
    <t>24-45</t>
  </si>
  <si>
    <t>24-46</t>
  </si>
  <si>
    <t>24-47</t>
  </si>
  <si>
    <t>24-48</t>
  </si>
  <si>
    <t>24-49</t>
  </si>
  <si>
    <t>24-50</t>
  </si>
  <si>
    <t>24-51</t>
  </si>
  <si>
    <t>24-52</t>
  </si>
  <si>
    <t>24-53</t>
  </si>
  <si>
    <t>24-54</t>
  </si>
  <si>
    <t>24-55</t>
  </si>
  <si>
    <t>24-56</t>
  </si>
  <si>
    <t>24-57</t>
  </si>
  <si>
    <t>24-58</t>
  </si>
  <si>
    <t>24-59</t>
  </si>
  <si>
    <t>24-60</t>
  </si>
  <si>
    <t>24-61</t>
  </si>
  <si>
    <t>24-62</t>
  </si>
  <si>
    <t>24-63</t>
  </si>
  <si>
    <t>24-64</t>
  </si>
  <si>
    <t>B-3</t>
    <phoneticPr fontId="10" type="noConversion"/>
  </si>
  <si>
    <t>25-1</t>
    <phoneticPr fontId="10" type="noConversion"/>
  </si>
  <si>
    <t>25-2</t>
  </si>
  <si>
    <t>25-3</t>
  </si>
  <si>
    <t>25-4</t>
  </si>
  <si>
    <t>25-5</t>
  </si>
  <si>
    <t>25-6</t>
  </si>
  <si>
    <t>25-7</t>
  </si>
  <si>
    <t>25-8</t>
  </si>
  <si>
    <t>25-9</t>
  </si>
  <si>
    <t>25-10</t>
  </si>
  <si>
    <t>25-11</t>
  </si>
  <si>
    <t>25-12</t>
  </si>
  <si>
    <t>25-13</t>
  </si>
  <si>
    <t>25-14</t>
  </si>
  <si>
    <t>25-15</t>
  </si>
  <si>
    <t>25-16</t>
  </si>
  <si>
    <t>25-17</t>
  </si>
  <si>
    <t>25-18</t>
  </si>
  <si>
    <t>25-19</t>
  </si>
  <si>
    <t>25-20</t>
  </si>
  <si>
    <t>25-21</t>
  </si>
  <si>
    <t>25-22</t>
  </si>
  <si>
    <t>25-23</t>
  </si>
  <si>
    <t>25-24</t>
  </si>
  <si>
    <t>25-25</t>
  </si>
  <si>
    <t>25-26</t>
  </si>
  <si>
    <t>25-27</t>
  </si>
  <si>
    <t>25-28</t>
  </si>
  <si>
    <t>25-29</t>
  </si>
  <si>
    <t>25-30</t>
  </si>
  <si>
    <t>25-31</t>
  </si>
  <si>
    <t>25-32</t>
  </si>
  <si>
    <t>26-1</t>
    <phoneticPr fontId="10" type="noConversion"/>
  </si>
  <si>
    <t>26-2</t>
  </si>
  <si>
    <t>26-3</t>
  </si>
  <si>
    <t>26-4</t>
  </si>
  <si>
    <t>26-5</t>
  </si>
  <si>
    <t>26-6</t>
  </si>
  <si>
    <t>26-7</t>
  </si>
  <si>
    <t>26-8</t>
  </si>
  <si>
    <t>26-9</t>
  </si>
  <si>
    <t>26-10</t>
  </si>
  <si>
    <t>26-11</t>
  </si>
  <si>
    <t>26-12</t>
  </si>
  <si>
    <t>26-13</t>
  </si>
  <si>
    <t>26-14</t>
  </si>
  <si>
    <t>26-15</t>
  </si>
  <si>
    <t>26-16</t>
  </si>
  <si>
    <t>27-1</t>
    <phoneticPr fontId="10" type="noConversion"/>
  </si>
  <si>
    <t>27-2</t>
  </si>
  <si>
    <t>27-3</t>
  </si>
  <si>
    <t>27-4</t>
  </si>
  <si>
    <t>27-5</t>
  </si>
  <si>
    <t>27-6</t>
  </si>
  <si>
    <t>27-7</t>
  </si>
  <si>
    <t>27-8</t>
  </si>
  <si>
    <t>28-1</t>
    <phoneticPr fontId="10" type="noConversion"/>
  </si>
  <si>
    <t>28-2</t>
  </si>
  <si>
    <t>28-3</t>
  </si>
  <si>
    <t>28-4</t>
  </si>
  <si>
    <t>29-1</t>
    <phoneticPr fontId="10" type="noConversion"/>
  </si>
  <si>
    <t>29-2</t>
  </si>
  <si>
    <t>29-3</t>
  </si>
  <si>
    <t>29-4</t>
  </si>
  <si>
    <t>29-5</t>
  </si>
  <si>
    <t>30-1</t>
    <phoneticPr fontId="10" type="noConversion"/>
  </si>
  <si>
    <t>30-2</t>
  </si>
  <si>
    <t>30-3</t>
  </si>
  <si>
    <t>30-4</t>
  </si>
  <si>
    <t>31-1</t>
    <phoneticPr fontId="10" type="noConversion"/>
  </si>
  <si>
    <t>31-2</t>
  </si>
  <si>
    <t>31-3</t>
  </si>
  <si>
    <t>31-4</t>
  </si>
  <si>
    <t>32-1</t>
    <phoneticPr fontId="10" type="noConversion"/>
  </si>
  <si>
    <t>32-2</t>
  </si>
  <si>
    <t>32-3</t>
  </si>
  <si>
    <t>32-4</t>
  </si>
  <si>
    <t>33-1</t>
    <phoneticPr fontId="10" type="noConversion"/>
  </si>
  <si>
    <t>33-4</t>
  </si>
  <si>
    <t>34-1</t>
    <phoneticPr fontId="10" type="noConversion"/>
  </si>
  <si>
    <t>34-2</t>
  </si>
  <si>
    <t>34-3</t>
  </si>
  <si>
    <t>34-4</t>
  </si>
  <si>
    <t>35-1</t>
    <phoneticPr fontId="10" type="noConversion"/>
  </si>
  <si>
    <t>35-2</t>
  </si>
  <si>
    <t>35-3</t>
  </si>
  <si>
    <t>35-4</t>
  </si>
  <si>
    <t>36-1</t>
    <phoneticPr fontId="10" type="noConversion"/>
  </si>
  <si>
    <t>36-2</t>
  </si>
  <si>
    <t>36-3</t>
  </si>
  <si>
    <t>36-4</t>
  </si>
  <si>
    <t>36-5</t>
  </si>
  <si>
    <t>36-6</t>
  </si>
  <si>
    <t>36-7</t>
  </si>
  <si>
    <t>36-8</t>
  </si>
  <si>
    <t>36-9</t>
  </si>
  <si>
    <t>36-10</t>
  </si>
  <si>
    <t>36-11</t>
  </si>
  <si>
    <t>36-12</t>
  </si>
  <si>
    <t>36-13</t>
  </si>
  <si>
    <t>36-14</t>
  </si>
  <si>
    <t>36-15</t>
  </si>
  <si>
    <t>36-16</t>
  </si>
  <si>
    <t>36-17</t>
  </si>
  <si>
    <t>36-18</t>
  </si>
  <si>
    <t>36-19</t>
  </si>
  <si>
    <t>36-20</t>
  </si>
  <si>
    <t>36-21</t>
  </si>
  <si>
    <t>36-22</t>
  </si>
  <si>
    <t>36-23</t>
  </si>
  <si>
    <t>36-24</t>
  </si>
  <si>
    <t>36-25</t>
  </si>
  <si>
    <t>36-26</t>
  </si>
  <si>
    <t>36-27</t>
  </si>
  <si>
    <t>36-28</t>
  </si>
  <si>
    <t>36-29</t>
  </si>
  <si>
    <t>36-30</t>
  </si>
  <si>
    <t>36-31</t>
  </si>
  <si>
    <t>36-32</t>
  </si>
  <si>
    <t>36-33</t>
  </si>
  <si>
    <t>36-34</t>
  </si>
  <si>
    <t>36-35</t>
  </si>
  <si>
    <t>36-36</t>
  </si>
  <si>
    <t>36-37</t>
  </si>
  <si>
    <t>36-38</t>
  </si>
  <si>
    <t>36-39</t>
  </si>
  <si>
    <t>36-40</t>
  </si>
  <si>
    <t>36-41</t>
  </si>
  <si>
    <t>36-42</t>
  </si>
  <si>
    <t>36-43</t>
  </si>
  <si>
    <t>36-44</t>
  </si>
  <si>
    <t>36-45</t>
  </si>
  <si>
    <t>36-46</t>
  </si>
  <si>
    <t>36-47</t>
  </si>
  <si>
    <t>36-48</t>
  </si>
  <si>
    <t>36-49</t>
  </si>
  <si>
    <t>36-50</t>
  </si>
  <si>
    <t>36-51</t>
  </si>
  <si>
    <t>36-52</t>
  </si>
  <si>
    <t>36-53</t>
  </si>
  <si>
    <t>36-54</t>
  </si>
  <si>
    <t>36-55</t>
  </si>
  <si>
    <t>36-56</t>
  </si>
  <si>
    <t>36-57</t>
  </si>
  <si>
    <t>36-58</t>
  </si>
  <si>
    <t>36-59</t>
  </si>
  <si>
    <t>36-60</t>
  </si>
  <si>
    <t>36-61</t>
  </si>
  <si>
    <t>36-62</t>
  </si>
  <si>
    <t>36-63</t>
  </si>
  <si>
    <t>36-64</t>
  </si>
  <si>
    <t>36-65</t>
  </si>
  <si>
    <t>36-66</t>
  </si>
  <si>
    <t>36-67</t>
  </si>
  <si>
    <t>36-68</t>
  </si>
  <si>
    <t>36-69</t>
  </si>
  <si>
    <t>36-70</t>
  </si>
  <si>
    <t>36-71</t>
  </si>
  <si>
    <t>36-72</t>
  </si>
  <si>
    <t>36-73</t>
  </si>
  <si>
    <t>36-74</t>
  </si>
  <si>
    <t>36-75</t>
  </si>
  <si>
    <t>36-76</t>
  </si>
  <si>
    <t>36-77</t>
  </si>
  <si>
    <t>36-78</t>
  </si>
  <si>
    <t>36-79</t>
  </si>
  <si>
    <t>36-80</t>
  </si>
  <si>
    <t>36-81</t>
  </si>
  <si>
    <t>36-82</t>
  </si>
  <si>
    <t>36-83</t>
  </si>
  <si>
    <t>36-84</t>
  </si>
  <si>
    <t>36-85</t>
  </si>
  <si>
    <t>36-86</t>
  </si>
  <si>
    <t>36-87</t>
  </si>
  <si>
    <t>36-88</t>
  </si>
  <si>
    <t>36-89</t>
  </si>
  <si>
    <t>36-90</t>
  </si>
  <si>
    <t>36-91</t>
  </si>
  <si>
    <t>36-92</t>
  </si>
  <si>
    <t>36-93</t>
  </si>
  <si>
    <t>36-94</t>
  </si>
  <si>
    <t>36-95</t>
  </si>
  <si>
    <t>36-96</t>
  </si>
  <si>
    <t>36-97</t>
  </si>
  <si>
    <t>36-98</t>
  </si>
  <si>
    <t>36-99</t>
  </si>
  <si>
    <t>36-100</t>
  </si>
  <si>
    <t>36-101</t>
  </si>
  <si>
    <t>36-102</t>
  </si>
  <si>
    <t>36-103</t>
  </si>
  <si>
    <t>36-104</t>
  </si>
  <si>
    <t>36-105</t>
  </si>
  <si>
    <t>36-106</t>
  </si>
  <si>
    <t>36-107</t>
  </si>
  <si>
    <t>36-108</t>
  </si>
  <si>
    <t>36-109</t>
  </si>
  <si>
    <t>36-110</t>
  </si>
  <si>
    <t>36-111</t>
  </si>
  <si>
    <t>36-112</t>
  </si>
  <si>
    <t>36-113</t>
  </si>
  <si>
    <t>36-114</t>
  </si>
  <si>
    <t>36-115</t>
  </si>
  <si>
    <t>36-116</t>
  </si>
  <si>
    <t>36-117</t>
  </si>
  <si>
    <t>36-118</t>
  </si>
  <si>
    <t>36-119</t>
  </si>
  <si>
    <t>36-120</t>
  </si>
  <si>
    <t>36-121</t>
  </si>
  <si>
    <t>36-122</t>
  </si>
  <si>
    <t>36-123</t>
  </si>
  <si>
    <t>36-124</t>
  </si>
  <si>
    <t>36-125</t>
  </si>
  <si>
    <t>36-126</t>
  </si>
  <si>
    <t>36-127</t>
  </si>
  <si>
    <t>36-128</t>
  </si>
  <si>
    <t>G</t>
    <phoneticPr fontId="10" type="noConversion"/>
  </si>
  <si>
    <t>4-1</t>
    <phoneticPr fontId="10" type="noConversion"/>
  </si>
  <si>
    <t>4-2</t>
  </si>
  <si>
    <t>4-3</t>
  </si>
  <si>
    <t>5-1</t>
    <phoneticPr fontId="10" type="noConversion"/>
  </si>
  <si>
    <t>5-2</t>
  </si>
  <si>
    <t>5-3</t>
  </si>
  <si>
    <t>MIC</t>
    <phoneticPr fontId="10" type="noConversion"/>
  </si>
  <si>
    <t>CMM</t>
    <phoneticPr fontId="10" type="noConversion"/>
  </si>
  <si>
    <t>C-3</t>
    <phoneticPr fontId="10" type="noConversion"/>
  </si>
  <si>
    <t>of  2</t>
    <phoneticPr fontId="4" type="noConversion"/>
  </si>
  <si>
    <t>Method</t>
  </si>
  <si>
    <t>Inspection</t>
  </si>
  <si>
    <t>Item</t>
  </si>
  <si>
    <t>OMM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</si>
</sst>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#,##0.000;[Blue]\-#,##0.000"/>
    <numFmt numFmtId="166" formatCode="[$-409]m/d/yy\ h:mm\ AM/PM;@"/>
    <numFmt numFmtId="167" formatCode="0.000_ "/>
  </numFmts>
  <fonts count="37">
    <font>
      <sz val="10"/>
      <name val="Verdana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0"/>
      <name val="Verdana"/>
      <family val="2"/>
    </font>
    <font>
      <sz val="8"/>
      <name val="Verdana"/>
      <family val="2"/>
    </font>
    <font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u/>
      <sz val="10"/>
      <color theme="10"/>
      <name val="Verdana"/>
      <family val="2"/>
    </font>
    <font>
      <u/>
      <sz val="10"/>
      <color theme="11"/>
      <name val="Verdana"/>
      <family val="2"/>
    </font>
    <font>
      <sz val="9"/>
      <name val="宋体"/>
      <family val="3"/>
      <charset val="134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65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0"/>
      <name val="Arial"/>
      <family val="2"/>
    </font>
    <font>
      <sz val="9"/>
      <name val="华文仿宋"/>
      <family val="3"/>
      <charset val="134"/>
    </font>
    <font>
      <b/>
      <sz val="10"/>
      <name val="Arial"/>
      <family val="2"/>
    </font>
    <font>
      <b/>
      <sz val="9"/>
      <color indexed="81"/>
      <name val="Geneva"/>
      <family val="2"/>
    </font>
    <font>
      <sz val="9"/>
      <color indexed="81"/>
      <name val="Geneva"/>
      <family val="2"/>
    </font>
    <font>
      <sz val="12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Arial"/>
      <family val="2"/>
    </font>
    <font>
      <sz val="10"/>
      <name val="Times New Roman"/>
      <family val="1"/>
    </font>
    <font>
      <b/>
      <i/>
      <sz val="10"/>
      <name val="Arial"/>
      <family val="2"/>
    </font>
    <font>
      <b/>
      <sz val="10"/>
      <color indexed="8"/>
      <name val="NewCenturySchlbk"/>
      <family val="1"/>
    </font>
    <font>
      <b/>
      <sz val="10"/>
      <color indexed="10"/>
      <name val="NewCenturySchlbk"/>
      <family val="1"/>
    </font>
    <font>
      <sz val="10"/>
      <name val="宋体"/>
      <family val="3"/>
      <charset val="134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12"/>
      </right>
      <top style="thin">
        <color indexed="64"/>
      </top>
      <bottom/>
      <diagonal/>
    </border>
    <border>
      <left/>
      <right style="medium">
        <color indexed="12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12"/>
      </right>
      <top/>
      <bottom style="thin">
        <color indexed="64"/>
      </bottom>
      <diagonal/>
    </border>
    <border>
      <left style="thin">
        <color indexed="64"/>
      </left>
      <right style="medium">
        <color indexed="12"/>
      </right>
      <top style="thin">
        <color indexed="64"/>
      </top>
      <bottom style="thin">
        <color indexed="64"/>
      </bottom>
      <diagonal/>
    </border>
  </borders>
  <cellStyleXfs count="540">
    <xf numFmtId="0" fontId="0" fillId="0" borderId="0"/>
    <xf numFmtId="0" fontId="3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3" fillId="0" borderId="0"/>
    <xf numFmtId="0" fontId="2" fillId="10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8" fillId="8" borderId="5" applyNumberFormat="0" applyFont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6" fillId="6" borderId="1" applyNumberFormat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5" fillId="6" borderId="2" applyNumberFormat="0" applyAlignment="0" applyProtection="0">
      <alignment vertical="center"/>
    </xf>
    <xf numFmtId="0" fontId="14" fillId="5" borderId="1" applyNumberFormat="0" applyAlignment="0" applyProtection="0">
      <alignment vertical="center"/>
    </xf>
    <xf numFmtId="0" fontId="2" fillId="8" borderId="5" applyNumberFormat="0" applyFont="0" applyAlignment="0" applyProtection="0">
      <alignment vertical="center"/>
    </xf>
    <xf numFmtId="166" fontId="3" fillId="0" borderId="0"/>
    <xf numFmtId="166" fontId="3" fillId="0" borderId="0"/>
    <xf numFmtId="166" fontId="29" fillId="0" borderId="0">
      <alignment vertical="center"/>
    </xf>
    <xf numFmtId="166" fontId="30" fillId="0" borderId="0"/>
    <xf numFmtId="9" fontId="3" fillId="0" borderId="0" applyFont="0" applyFill="0" applyBorder="0" applyAlignment="0" applyProtection="0"/>
    <xf numFmtId="166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3" fillId="0" borderId="0"/>
    <xf numFmtId="166" fontId="1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1" fillId="0" borderId="0"/>
    <xf numFmtId="166" fontId="1" fillId="0" borderId="0"/>
    <xf numFmtId="166" fontId="1" fillId="0" borderId="0"/>
    <xf numFmtId="166" fontId="3" fillId="0" borderId="0"/>
    <xf numFmtId="166" fontId="3" fillId="0" borderId="0"/>
    <xf numFmtId="166" fontId="29" fillId="0" borderId="0">
      <alignment vertical="center"/>
    </xf>
    <xf numFmtId="166" fontId="29" fillId="0" borderId="0">
      <alignment vertical="center"/>
    </xf>
    <xf numFmtId="166" fontId="29" fillId="0" borderId="0">
      <alignment vertical="center"/>
    </xf>
    <xf numFmtId="166" fontId="29" fillId="0" borderId="0">
      <alignment vertical="center"/>
    </xf>
    <xf numFmtId="166" fontId="29" fillId="0" borderId="0">
      <alignment vertical="center"/>
    </xf>
    <xf numFmtId="166" fontId="29" fillId="0" borderId="0">
      <alignment vertical="center"/>
    </xf>
    <xf numFmtId="166" fontId="29" fillId="0" borderId="0">
      <alignment vertical="center"/>
    </xf>
    <xf numFmtId="166" fontId="29" fillId="0" borderId="0">
      <alignment vertical="center"/>
    </xf>
    <xf numFmtId="166" fontId="29" fillId="0" borderId="0">
      <alignment vertical="center"/>
    </xf>
    <xf numFmtId="166" fontId="29" fillId="0" borderId="0">
      <alignment vertical="center"/>
    </xf>
    <xf numFmtId="166" fontId="29" fillId="0" borderId="0">
      <alignment vertical="center"/>
    </xf>
    <xf numFmtId="166" fontId="30" fillId="0" borderId="0"/>
    <xf numFmtId="166" fontId="30" fillId="0" borderId="0"/>
    <xf numFmtId="166" fontId="3" fillId="0" borderId="0"/>
    <xf numFmtId="166" fontId="3" fillId="0" borderId="0"/>
  </cellStyleXfs>
  <cellXfs count="150">
    <xf numFmtId="0" fontId="0" fillId="0" borderId="0" xfId="0"/>
    <xf numFmtId="0" fontId="3" fillId="0" borderId="0" xfId="462" applyProtection="1">
      <protection locked="0"/>
    </xf>
    <xf numFmtId="0" fontId="23" fillId="0" borderId="0" xfId="462" applyFont="1" applyBorder="1" applyProtection="1">
      <protection locked="0"/>
    </xf>
    <xf numFmtId="0" fontId="23" fillId="0" borderId="0" xfId="462" applyFont="1" applyProtection="1">
      <protection locked="0"/>
    </xf>
    <xf numFmtId="0" fontId="23" fillId="0" borderId="0" xfId="462" applyFont="1" applyBorder="1"/>
    <xf numFmtId="0" fontId="6" fillId="33" borderId="7" xfId="462" applyFont="1" applyFill="1" applyBorder="1" applyProtection="1">
      <protection locked="0"/>
    </xf>
    <xf numFmtId="0" fontId="6" fillId="33" borderId="0" xfId="462" applyFont="1" applyFill="1" applyBorder="1" applyProtection="1">
      <protection locked="0"/>
    </xf>
    <xf numFmtId="0" fontId="7" fillId="33" borderId="0" xfId="462" applyFont="1" applyFill="1" applyBorder="1" applyProtection="1">
      <protection locked="0"/>
    </xf>
    <xf numFmtId="0" fontId="6" fillId="33" borderId="0" xfId="462" quotePrefix="1" applyFont="1" applyFill="1" applyBorder="1" applyProtection="1">
      <protection locked="0"/>
    </xf>
    <xf numFmtId="0" fontId="6" fillId="33" borderId="0" xfId="462" applyFont="1" applyFill="1" applyBorder="1" applyAlignment="1" applyProtection="1">
      <alignment horizontal="right"/>
      <protection locked="0"/>
    </xf>
    <xf numFmtId="0" fontId="6" fillId="33" borderId="0" xfId="462" applyFont="1" applyFill="1" applyBorder="1" applyAlignment="1" applyProtection="1">
      <alignment horizontal="left"/>
      <protection locked="0"/>
    </xf>
    <xf numFmtId="0" fontId="6" fillId="33" borderId="8" xfId="462" quotePrefix="1" applyFont="1" applyFill="1" applyBorder="1" applyProtection="1">
      <protection locked="0"/>
    </xf>
    <xf numFmtId="0" fontId="23" fillId="0" borderId="0" xfId="462" applyFont="1" applyBorder="1" applyAlignment="1" applyProtection="1">
      <alignment horizontal="right"/>
      <protection locked="0"/>
    </xf>
    <xf numFmtId="0" fontId="25" fillId="0" borderId="0" xfId="462" applyFont="1" applyBorder="1"/>
    <xf numFmtId="0" fontId="25" fillId="0" borderId="0" xfId="462" applyFont="1" applyBorder="1" applyProtection="1">
      <protection locked="0"/>
    </xf>
    <xf numFmtId="164" fontId="25" fillId="0" borderId="0" xfId="462" applyNumberFormat="1" applyFont="1" applyBorder="1" applyAlignment="1">
      <alignment horizontal="right"/>
    </xf>
    <xf numFmtId="164" fontId="23" fillId="0" borderId="0" xfId="462" applyNumberFormat="1" applyFont="1" applyBorder="1" applyAlignment="1">
      <alignment horizontal="right"/>
    </xf>
    <xf numFmtId="0" fontId="23" fillId="0" borderId="0" xfId="462" applyFont="1" applyBorder="1" applyAlignment="1">
      <alignment horizontal="right"/>
    </xf>
    <xf numFmtId="0" fontId="3" fillId="0" borderId="0" xfId="462" applyBorder="1"/>
    <xf numFmtId="0" fontId="3" fillId="0" borderId="0" xfId="462" applyBorder="1" applyAlignment="1">
      <alignment horizontal="right"/>
    </xf>
    <xf numFmtId="0" fontId="23" fillId="0" borderId="0" xfId="462" applyFont="1" applyAlignment="1" applyProtection="1">
      <alignment horizontal="left"/>
      <protection locked="0"/>
    </xf>
    <xf numFmtId="0" fontId="31" fillId="0" borderId="0" xfId="462" applyFont="1" applyProtection="1">
      <protection locked="0"/>
    </xf>
    <xf numFmtId="0" fontId="23" fillId="0" borderId="11" xfId="462" applyFont="1" applyBorder="1" applyProtection="1">
      <protection locked="0"/>
    </xf>
    <xf numFmtId="0" fontId="23" fillId="0" borderId="11" xfId="462" applyFont="1" applyBorder="1"/>
    <xf numFmtId="0" fontId="6" fillId="0" borderId="12" xfId="462" applyFont="1" applyBorder="1" applyAlignment="1" applyProtection="1">
      <alignment horizontal="left"/>
      <protection locked="0"/>
    </xf>
    <xf numFmtId="0" fontId="7" fillId="0" borderId="13" xfId="462" applyFont="1" applyBorder="1" applyAlignment="1" applyProtection="1">
      <alignment horizontal="right"/>
      <protection locked="0"/>
    </xf>
    <xf numFmtId="0" fontId="6" fillId="33" borderId="0" xfId="462" applyFont="1" applyFill="1"/>
    <xf numFmtId="0" fontId="6" fillId="33" borderId="13" xfId="462" applyFont="1" applyFill="1" applyBorder="1"/>
    <xf numFmtId="0" fontId="7" fillId="0" borderId="13" xfId="462" applyFont="1" applyBorder="1" applyAlignment="1">
      <alignment horizontal="right"/>
    </xf>
    <xf numFmtId="0" fontId="6" fillId="33" borderId="13" xfId="462" applyFont="1" applyFill="1" applyBorder="1" applyProtection="1">
      <protection locked="0"/>
    </xf>
    <xf numFmtId="164" fontId="6" fillId="33" borderId="13" xfId="462" applyNumberFormat="1" applyFont="1" applyFill="1" applyBorder="1"/>
    <xf numFmtId="164" fontId="7" fillId="0" borderId="13" xfId="462" applyNumberFormat="1" applyFont="1" applyBorder="1" applyAlignment="1" applyProtection="1">
      <alignment horizontal="right"/>
      <protection locked="0"/>
    </xf>
    <xf numFmtId="0" fontId="7" fillId="33" borderId="13" xfId="462" applyFont="1" applyFill="1" applyBorder="1" applyProtection="1">
      <protection locked="0"/>
    </xf>
    <xf numFmtId="0" fontId="7" fillId="33" borderId="13" xfId="462" applyFont="1" applyFill="1" applyBorder="1" applyAlignment="1" applyProtection="1">
      <alignment horizontal="right"/>
      <protection locked="0"/>
    </xf>
    <xf numFmtId="0" fontId="7" fillId="33" borderId="13" xfId="462" applyFont="1" applyFill="1" applyBorder="1" applyAlignment="1" applyProtection="1">
      <alignment horizontal="left"/>
      <protection locked="0"/>
    </xf>
    <xf numFmtId="0" fontId="6" fillId="33" borderId="14" xfId="462" applyFont="1" applyFill="1" applyBorder="1"/>
    <xf numFmtId="0" fontId="24" fillId="0" borderId="0" xfId="462" applyFont="1"/>
    <xf numFmtId="0" fontId="6" fillId="0" borderId="9" xfId="462" applyFont="1" applyBorder="1" applyAlignment="1" applyProtection="1">
      <alignment horizontal="left"/>
      <protection locked="0"/>
    </xf>
    <xf numFmtId="0" fontId="7" fillId="0" borderId="0" xfId="462" applyFont="1" applyAlignment="1" applyProtection="1">
      <alignment horizontal="right"/>
      <protection locked="0"/>
    </xf>
    <xf numFmtId="0" fontId="7" fillId="33" borderId="0" xfId="462" applyFont="1" applyFill="1"/>
    <xf numFmtId="0" fontId="7" fillId="33" borderId="0" xfId="462" applyFont="1" applyFill="1" applyProtection="1">
      <protection locked="0"/>
    </xf>
    <xf numFmtId="0" fontId="7" fillId="0" borderId="0" xfId="462" applyFont="1" applyAlignment="1">
      <alignment horizontal="right"/>
    </xf>
    <xf numFmtId="164" fontId="6" fillId="33" borderId="0" xfId="462" applyNumberFormat="1" applyFont="1" applyFill="1"/>
    <xf numFmtId="164" fontId="7" fillId="0" borderId="0" xfId="462" applyNumberFormat="1" applyFont="1" applyAlignment="1" applyProtection="1">
      <alignment horizontal="right"/>
      <protection locked="0"/>
    </xf>
    <xf numFmtId="0" fontId="10" fillId="33" borderId="0" xfId="462" applyFont="1" applyFill="1" applyBorder="1" applyProtection="1">
      <protection locked="0"/>
    </xf>
    <xf numFmtId="0" fontId="7" fillId="0" borderId="0" xfId="462" applyFont="1" applyBorder="1" applyAlignment="1" applyProtection="1">
      <alignment horizontal="right"/>
      <protection locked="0"/>
    </xf>
    <xf numFmtId="0" fontId="6" fillId="33" borderId="10" xfId="462" applyFont="1" applyFill="1" applyBorder="1"/>
    <xf numFmtId="0" fontId="6" fillId="0" borderId="15" xfId="462" applyFont="1" applyBorder="1" applyAlignment="1" applyProtection="1">
      <alignment horizontal="left"/>
      <protection locked="0"/>
    </xf>
    <xf numFmtId="0" fontId="7" fillId="0" borderId="11" xfId="462" applyFont="1" applyBorder="1" applyAlignment="1" applyProtection="1">
      <alignment horizontal="right"/>
      <protection locked="0"/>
    </xf>
    <xf numFmtId="0" fontId="7" fillId="33" borderId="11" xfId="462" applyFont="1" applyFill="1" applyBorder="1"/>
    <xf numFmtId="0" fontId="7" fillId="33" borderId="11" xfId="462" applyFont="1" applyFill="1" applyBorder="1" applyProtection="1">
      <protection locked="0"/>
    </xf>
    <xf numFmtId="0" fontId="7" fillId="0" borderId="11" xfId="462" applyFont="1" applyBorder="1" applyAlignment="1">
      <alignment horizontal="right"/>
    </xf>
    <xf numFmtId="0" fontId="6" fillId="33" borderId="11" xfId="462" applyFont="1" applyFill="1" applyBorder="1" applyProtection="1">
      <protection locked="0"/>
    </xf>
    <xf numFmtId="0" fontId="6" fillId="33" borderId="11" xfId="462" applyFont="1" applyFill="1" applyBorder="1"/>
    <xf numFmtId="164" fontId="6" fillId="33" borderId="11" xfId="462" applyNumberFormat="1" applyFont="1" applyFill="1" applyBorder="1"/>
    <xf numFmtId="164" fontId="7" fillId="0" borderId="11" xfId="462" applyNumberFormat="1" applyFont="1" applyBorder="1" applyAlignment="1" applyProtection="1">
      <alignment horizontal="right"/>
      <protection locked="0"/>
    </xf>
    <xf numFmtId="0" fontId="6" fillId="0" borderId="11" xfId="462" applyFont="1" applyFill="1" applyBorder="1"/>
    <xf numFmtId="0" fontId="6" fillId="33" borderId="11" xfId="462" applyFont="1" applyFill="1" applyBorder="1" applyAlignment="1" applyProtection="1">
      <alignment horizontal="right"/>
      <protection locked="0"/>
    </xf>
    <xf numFmtId="0" fontId="6" fillId="33" borderId="11" xfId="462" applyFont="1" applyFill="1" applyBorder="1" applyAlignment="1" applyProtection="1">
      <alignment horizontal="left"/>
      <protection locked="0"/>
    </xf>
    <xf numFmtId="0" fontId="6" fillId="33" borderId="16" xfId="462" applyFont="1" applyFill="1" applyBorder="1"/>
    <xf numFmtId="0" fontId="23" fillId="0" borderId="12" xfId="462" applyFont="1" applyBorder="1" applyAlignment="1" applyProtection="1">
      <alignment horizontal="left"/>
      <protection locked="0"/>
    </xf>
    <xf numFmtId="0" fontId="23" fillId="0" borderId="17" xfId="462" applyFont="1" applyBorder="1" applyAlignment="1" applyProtection="1">
      <alignment horizontal="left"/>
      <protection locked="0"/>
    </xf>
    <xf numFmtId="0" fontId="23" fillId="0" borderId="18" xfId="462" applyFont="1" applyBorder="1"/>
    <xf numFmtId="0" fontId="23" fillId="0" borderId="0" xfId="462" applyFont="1"/>
    <xf numFmtId="0" fontId="25" fillId="0" borderId="19" xfId="462" applyFont="1" applyBorder="1" applyAlignment="1" applyProtection="1">
      <alignment horizontal="left"/>
      <protection locked="0"/>
    </xf>
    <xf numFmtId="0" fontId="25" fillId="0" borderId="19" xfId="462" applyFont="1" applyBorder="1" applyAlignment="1" applyProtection="1">
      <alignment horizontal="centerContinuous"/>
      <protection locked="0"/>
    </xf>
    <xf numFmtId="0" fontId="23" fillId="0" borderId="17" xfId="462" applyFont="1" applyBorder="1" applyAlignment="1">
      <alignment horizontal="centerContinuous"/>
    </xf>
    <xf numFmtId="0" fontId="23" fillId="0" borderId="20" xfId="462" applyFont="1" applyBorder="1" applyAlignment="1">
      <alignment horizontal="centerContinuous"/>
    </xf>
    <xf numFmtId="0" fontId="25" fillId="0" borderId="17" xfId="462" applyFont="1" applyBorder="1" applyAlignment="1">
      <alignment horizontal="centerContinuous"/>
    </xf>
    <xf numFmtId="0" fontId="25" fillId="0" borderId="21" xfId="462" applyFont="1" applyBorder="1" applyAlignment="1">
      <alignment horizontal="centerContinuous"/>
    </xf>
    <xf numFmtId="0" fontId="25" fillId="0" borderId="20" xfId="462" applyFont="1" applyBorder="1" applyAlignment="1">
      <alignment horizontal="centerContinuous"/>
    </xf>
    <xf numFmtId="0" fontId="25" fillId="0" borderId="18" xfId="462" applyFont="1" applyBorder="1" applyAlignment="1">
      <alignment horizontal="centerContinuous"/>
    </xf>
    <xf numFmtId="0" fontId="23" fillId="0" borderId="22" xfId="462" applyFont="1" applyBorder="1" applyAlignment="1" applyProtection="1">
      <alignment horizontal="left"/>
      <protection locked="0"/>
    </xf>
    <xf numFmtId="0" fontId="23" fillId="0" borderId="23" xfId="462" applyFont="1" applyBorder="1" applyProtection="1">
      <protection locked="0"/>
    </xf>
    <xf numFmtId="0" fontId="23" fillId="0" borderId="23" xfId="462" applyFont="1" applyBorder="1"/>
    <xf numFmtId="0" fontId="23" fillId="0" borderId="24" xfId="462" applyFont="1" applyBorder="1" applyProtection="1">
      <protection locked="0"/>
    </xf>
    <xf numFmtId="0" fontId="23" fillId="0" borderId="14" xfId="462" applyFont="1" applyBorder="1"/>
    <xf numFmtId="0" fontId="23" fillId="0" borderId="0" xfId="462" applyFont="1" applyAlignment="1">
      <alignment horizontal="center"/>
    </xf>
    <xf numFmtId="0" fontId="23" fillId="0" borderId="25" xfId="462" applyFont="1" applyBorder="1"/>
    <xf numFmtId="0" fontId="23" fillId="0" borderId="11" xfId="462" applyFont="1" applyBorder="1" applyAlignment="1">
      <alignment horizontal="center"/>
    </xf>
    <xf numFmtId="0" fontId="23" fillId="0" borderId="16" xfId="462" applyFont="1" applyBorder="1"/>
    <xf numFmtId="0" fontId="23" fillId="0" borderId="0" xfId="462" applyFont="1" applyBorder="1" applyAlignment="1">
      <alignment horizontal="centerContinuous"/>
    </xf>
    <xf numFmtId="0" fontId="23" fillId="0" borderId="15" xfId="462" applyFont="1" applyBorder="1" applyAlignment="1">
      <alignment horizontal="centerContinuous"/>
    </xf>
    <xf numFmtId="0" fontId="23" fillId="0" borderId="16" xfId="462" applyFont="1" applyBorder="1" applyAlignment="1">
      <alignment horizontal="centerContinuous"/>
    </xf>
    <xf numFmtId="0" fontId="23" fillId="0" borderId="9" xfId="462" applyFont="1" applyBorder="1" applyAlignment="1">
      <alignment horizontal="centerContinuous"/>
    </xf>
    <xf numFmtId="0" fontId="23" fillId="0" borderId="10" xfId="462" applyFont="1" applyBorder="1" applyAlignment="1">
      <alignment horizontal="centerContinuous"/>
    </xf>
    <xf numFmtId="0" fontId="23" fillId="0" borderId="25" xfId="462" applyFont="1" applyBorder="1" applyAlignment="1">
      <alignment horizontal="centerContinuous"/>
    </xf>
    <xf numFmtId="0" fontId="23" fillId="0" borderId="14" xfId="462" applyFont="1" applyBorder="1" applyProtection="1">
      <protection locked="0"/>
    </xf>
    <xf numFmtId="0" fontId="5" fillId="0" borderId="14" xfId="462" applyFont="1" applyBorder="1" applyProtection="1">
      <protection locked="0"/>
    </xf>
    <xf numFmtId="0" fontId="23" fillId="0" borderId="26" xfId="462" applyFont="1" applyBorder="1" applyAlignment="1" applyProtection="1">
      <alignment horizontal="left"/>
      <protection locked="0"/>
    </xf>
    <xf numFmtId="0" fontId="23" fillId="0" borderId="26" xfId="462" applyFont="1" applyBorder="1" applyAlignment="1" applyProtection="1">
      <alignment horizontal="center"/>
      <protection locked="0"/>
    </xf>
    <xf numFmtId="0" fontId="23" fillId="0" borderId="26" xfId="462" quotePrefix="1" applyFont="1" applyBorder="1" applyAlignment="1">
      <alignment horizontal="center"/>
    </xf>
    <xf numFmtId="0" fontId="23" fillId="0" borderId="27" xfId="462" quotePrefix="1" applyFont="1" applyBorder="1" applyAlignment="1" applyProtection="1">
      <alignment horizontal="center"/>
      <protection locked="0"/>
    </xf>
    <xf numFmtId="0" fontId="23" fillId="0" borderId="18" xfId="462" applyFont="1" applyBorder="1" applyAlignment="1" applyProtection="1">
      <alignment horizontal="center"/>
      <protection locked="0"/>
    </xf>
    <xf numFmtId="0" fontId="23" fillId="0" borderId="19" xfId="462" applyFont="1" applyBorder="1" applyAlignment="1" applyProtection="1">
      <alignment horizontal="center"/>
      <protection locked="0"/>
    </xf>
    <xf numFmtId="0" fontId="23" fillId="0" borderId="28" xfId="462" applyFont="1" applyBorder="1" applyAlignment="1" applyProtection="1">
      <alignment horizontal="center"/>
      <protection locked="0"/>
    </xf>
    <xf numFmtId="0" fontId="23" fillId="0" borderId="18" xfId="462" applyNumberFormat="1" applyFont="1" applyBorder="1" applyAlignment="1">
      <alignment horizontal="center"/>
    </xf>
    <xf numFmtId="0" fontId="23" fillId="0" borderId="19" xfId="462" applyNumberFormat="1" applyFont="1" applyBorder="1" applyAlignment="1">
      <alignment horizontal="center"/>
    </xf>
    <xf numFmtId="0" fontId="23" fillId="0" borderId="26" xfId="462" applyFont="1" applyBorder="1" applyAlignment="1">
      <alignment horizontal="centerContinuous"/>
    </xf>
    <xf numFmtId="0" fontId="23" fillId="0" borderId="19" xfId="462" applyFont="1" applyBorder="1" applyAlignment="1">
      <alignment horizontal="center"/>
    </xf>
    <xf numFmtId="0" fontId="23" fillId="0" borderId="28" xfId="462" applyFont="1" applyBorder="1" applyAlignment="1">
      <alignment horizontal="center"/>
    </xf>
    <xf numFmtId="0" fontId="23" fillId="0" borderId="16" xfId="462" applyFont="1" applyBorder="1" applyProtection="1">
      <protection locked="0"/>
    </xf>
    <xf numFmtId="0" fontId="3" fillId="0" borderId="19" xfId="462" quotePrefix="1" applyBorder="1" applyAlignment="1" applyProtection="1">
      <alignment horizontal="center" vertical="center"/>
      <protection locked="0"/>
    </xf>
    <xf numFmtId="0" fontId="3" fillId="0" borderId="19" xfId="462" applyBorder="1" applyAlignment="1" applyProtection="1">
      <alignment horizontal="center" vertical="center"/>
      <protection locked="0"/>
    </xf>
    <xf numFmtId="0" fontId="3" fillId="0" borderId="19" xfId="462" applyFont="1" applyBorder="1" applyAlignment="1" applyProtection="1">
      <alignment horizontal="center" vertical="center"/>
      <protection locked="0"/>
    </xf>
    <xf numFmtId="0" fontId="3" fillId="0" borderId="19" xfId="462" applyFill="1" applyBorder="1" applyAlignment="1" applyProtection="1">
      <alignment horizontal="center" vertical="center"/>
      <protection locked="0"/>
    </xf>
    <xf numFmtId="164" fontId="25" fillId="0" borderId="19" xfId="462" applyNumberFormat="1" applyFont="1" applyFill="1" applyBorder="1" applyAlignment="1" applyProtection="1">
      <alignment horizontal="center" vertical="center"/>
      <protection locked="0"/>
    </xf>
    <xf numFmtId="164" fontId="32" fillId="0" borderId="19" xfId="462" applyNumberFormat="1" applyFont="1" applyFill="1" applyBorder="1" applyAlignment="1">
      <alignment horizontal="center" vertical="center"/>
    </xf>
    <xf numFmtId="164" fontId="32" fillId="0" borderId="28" xfId="462" applyNumberFormat="1" applyFont="1" applyFill="1" applyBorder="1" applyAlignment="1">
      <alignment horizontal="center" vertical="center"/>
    </xf>
    <xf numFmtId="0" fontId="3" fillId="0" borderId="18" xfId="462" applyFont="1" applyFill="1" applyBorder="1" applyAlignment="1" applyProtection="1">
      <alignment horizontal="center" vertical="center"/>
      <protection locked="0"/>
    </xf>
    <xf numFmtId="167" fontId="33" fillId="0" borderId="19" xfId="462" applyNumberFormat="1" applyFont="1" applyFill="1" applyBorder="1" applyAlignment="1">
      <alignment horizontal="center" vertical="center"/>
    </xf>
    <xf numFmtId="164" fontId="33" fillId="0" borderId="18" xfId="462" applyNumberFormat="1" applyFont="1" applyBorder="1"/>
    <xf numFmtId="164" fontId="33" fillId="0" borderId="19" xfId="462" applyNumberFormat="1" applyFont="1" applyBorder="1"/>
    <xf numFmtId="9" fontId="34" fillId="0" borderId="19" xfId="462" quotePrefix="1" applyNumberFormat="1" applyFont="1" applyFill="1" applyBorder="1" applyAlignment="1">
      <alignment horizontal="center"/>
    </xf>
    <xf numFmtId="9" fontId="34" fillId="0" borderId="19" xfId="462" applyNumberFormat="1" applyFont="1" applyFill="1" applyBorder="1" applyAlignment="1">
      <alignment horizontal="center"/>
    </xf>
    <xf numFmtId="164" fontId="35" fillId="0" borderId="19" xfId="462" applyNumberFormat="1" applyFont="1" applyFill="1" applyBorder="1" applyAlignment="1">
      <alignment horizontal="center"/>
    </xf>
    <xf numFmtId="164" fontId="35" fillId="0" borderId="28" xfId="462" applyNumberFormat="1" applyFont="1" applyFill="1" applyBorder="1" applyAlignment="1">
      <alignment horizontal="center"/>
    </xf>
    <xf numFmtId="0" fontId="23" fillId="0" borderId="18" xfId="462" applyFont="1" applyFill="1" applyBorder="1" applyAlignment="1" applyProtection="1">
      <alignment wrapText="1"/>
      <protection locked="0"/>
    </xf>
    <xf numFmtId="0" fontId="23" fillId="0" borderId="18" xfId="462" applyFont="1" applyBorder="1" applyAlignment="1" applyProtection="1">
      <alignment wrapText="1"/>
      <protection locked="0"/>
    </xf>
    <xf numFmtId="167" fontId="33" fillId="0" borderId="28" xfId="462" applyNumberFormat="1" applyFont="1" applyFill="1" applyBorder="1" applyAlignment="1">
      <alignment horizontal="center" vertical="center"/>
    </xf>
    <xf numFmtId="165" fontId="36" fillId="0" borderId="18" xfId="462" applyNumberFormat="1" applyFont="1" applyBorder="1" applyAlignment="1" applyProtection="1">
      <alignment wrapText="1"/>
      <protection locked="0"/>
    </xf>
    <xf numFmtId="0" fontId="3" fillId="0" borderId="18" xfId="462" applyFill="1" applyBorder="1" applyAlignment="1" applyProtection="1">
      <alignment horizontal="center" vertical="center"/>
      <protection locked="0"/>
    </xf>
    <xf numFmtId="165" fontId="33" fillId="0" borderId="19" xfId="462" applyNumberFormat="1" applyFont="1" applyFill="1" applyBorder="1" applyAlignment="1">
      <alignment horizontal="center" vertical="center"/>
    </xf>
    <xf numFmtId="165" fontId="33" fillId="0" borderId="28" xfId="462" applyNumberFormat="1" applyFont="1" applyFill="1" applyBorder="1" applyAlignment="1">
      <alignment horizontal="center" vertical="center"/>
    </xf>
    <xf numFmtId="0" fontId="3" fillId="0" borderId="0" xfId="462" applyAlignment="1" applyProtection="1">
      <alignment horizontal="left"/>
      <protection locked="0"/>
    </xf>
    <xf numFmtId="0" fontId="6" fillId="0" borderId="13" xfId="462" applyFont="1" applyBorder="1" applyAlignment="1" applyProtection="1">
      <alignment horizontal="left"/>
      <protection locked="0"/>
    </xf>
    <xf numFmtId="0" fontId="6" fillId="0" borderId="0" xfId="462" applyFont="1" applyBorder="1" applyAlignment="1" applyProtection="1">
      <alignment horizontal="left"/>
      <protection locked="0"/>
    </xf>
    <xf numFmtId="0" fontId="6" fillId="0" borderId="11" xfId="462" applyFont="1" applyBorder="1" applyAlignment="1" applyProtection="1">
      <alignment horizontal="left"/>
      <protection locked="0"/>
    </xf>
    <xf numFmtId="0" fontId="23" fillId="0" borderId="0" xfId="462" applyFont="1" applyBorder="1" applyAlignment="1" applyProtection="1">
      <alignment horizontal="left"/>
      <protection locked="0"/>
    </xf>
    <xf numFmtId="0" fontId="23" fillId="0" borderId="26" xfId="0" applyFont="1" applyBorder="1" applyAlignment="1" applyProtection="1">
      <alignment horizontal="left"/>
      <protection locked="0"/>
    </xf>
    <xf numFmtId="0" fontId="6" fillId="33" borderId="11" xfId="462" quotePrefix="1" applyFont="1" applyFill="1" applyBorder="1" applyProtection="1">
      <protection locked="0"/>
    </xf>
    <xf numFmtId="167" fontId="3" fillId="0" borderId="0" xfId="462" applyNumberFormat="1" applyProtection="1">
      <protection locked="0"/>
    </xf>
    <xf numFmtId="0" fontId="6" fillId="34" borderId="0" xfId="462" quotePrefix="1" applyFont="1" applyFill="1" applyBorder="1" applyProtection="1">
      <protection locked="0"/>
    </xf>
    <xf numFmtId="0" fontId="7" fillId="0" borderId="0" xfId="462" applyFont="1" applyFill="1" applyAlignment="1">
      <alignment horizontal="right"/>
    </xf>
    <xf numFmtId="0" fontId="23" fillId="0" borderId="26" xfId="462" applyFont="1" applyFill="1" applyBorder="1" applyAlignment="1" applyProtection="1">
      <alignment horizontal="center"/>
      <protection locked="0"/>
    </xf>
    <xf numFmtId="0" fontId="23" fillId="0" borderId="26" xfId="462" quotePrefix="1" applyFont="1" applyFill="1" applyBorder="1" applyAlignment="1">
      <alignment horizontal="center"/>
    </xf>
    <xf numFmtId="0" fontId="23" fillId="0" borderId="27" xfId="462" quotePrefix="1" applyFont="1" applyFill="1" applyBorder="1" applyAlignment="1" applyProtection="1">
      <alignment horizontal="center"/>
      <protection locked="0"/>
    </xf>
    <xf numFmtId="0" fontId="3" fillId="0" borderId="18" xfId="462" applyFont="1" applyFill="1" applyBorder="1" applyAlignment="1" applyProtection="1">
      <alignment horizontal="center" vertical="center" wrapText="1"/>
      <protection locked="0"/>
    </xf>
    <xf numFmtId="0" fontId="23" fillId="0" borderId="26" xfId="462" applyFont="1" applyFill="1" applyBorder="1" applyAlignment="1" applyProtection="1">
      <alignment horizontal="left"/>
      <protection locked="0"/>
    </xf>
    <xf numFmtId="0" fontId="7" fillId="0" borderId="13" xfId="462" applyFont="1" applyFill="1" applyBorder="1" applyAlignment="1" applyProtection="1">
      <alignment horizontal="right"/>
      <protection locked="0"/>
    </xf>
    <xf numFmtId="0" fontId="7" fillId="0" borderId="0" xfId="462" applyFont="1" applyFill="1" applyAlignment="1" applyProtection="1">
      <alignment horizontal="right"/>
      <protection locked="0"/>
    </xf>
    <xf numFmtId="0" fontId="7" fillId="0" borderId="11" xfId="462" applyFont="1" applyFill="1" applyBorder="1" applyAlignment="1" applyProtection="1">
      <alignment horizontal="right"/>
      <protection locked="0"/>
    </xf>
    <xf numFmtId="0" fontId="23" fillId="0" borderId="14" xfId="462" applyFont="1" applyFill="1" applyBorder="1"/>
    <xf numFmtId="0" fontId="23" fillId="0" borderId="0" xfId="462" applyFont="1" applyFill="1"/>
    <xf numFmtId="0" fontId="23" fillId="0" borderId="0" xfId="462" applyFont="1" applyFill="1" applyAlignment="1">
      <alignment horizontal="center"/>
    </xf>
    <xf numFmtId="0" fontId="23" fillId="0" borderId="25" xfId="462" applyFont="1" applyFill="1" applyBorder="1"/>
    <xf numFmtId="0" fontId="23" fillId="0" borderId="16" xfId="462" applyFont="1" applyFill="1" applyBorder="1"/>
    <xf numFmtId="0" fontId="23" fillId="0" borderId="18" xfId="462" applyFont="1" applyFill="1" applyBorder="1" applyAlignment="1" applyProtection="1">
      <alignment horizontal="center"/>
      <protection locked="0"/>
    </xf>
    <xf numFmtId="0" fontId="23" fillId="0" borderId="19" xfId="462" applyFont="1" applyFill="1" applyBorder="1" applyAlignment="1" applyProtection="1">
      <alignment horizontal="center"/>
      <protection locked="0"/>
    </xf>
    <xf numFmtId="0" fontId="23" fillId="0" borderId="28" xfId="462" applyFont="1" applyFill="1" applyBorder="1" applyAlignment="1" applyProtection="1">
      <alignment horizontal="center"/>
      <protection locked="0"/>
    </xf>
  </cellXfs>
  <cellStyles count="540">
    <cellStyle name="20% - 强调文字颜色 1 2" xfId="463" xr:uid="{00000000-0005-0000-0000-000000000000}"/>
    <cellStyle name="20% - 强调文字颜色 2 2" xfId="464" xr:uid="{00000000-0005-0000-0000-000001000000}"/>
    <cellStyle name="20% - 强调文字颜色 3 2" xfId="465" xr:uid="{00000000-0005-0000-0000-000002000000}"/>
    <cellStyle name="20% - 强调文字颜色 4 2" xfId="466" xr:uid="{00000000-0005-0000-0000-000003000000}"/>
    <cellStyle name="20% - 强调文字颜色 5 2" xfId="467" xr:uid="{00000000-0005-0000-0000-000004000000}"/>
    <cellStyle name="20% - 强调文字颜色 6 2" xfId="468" xr:uid="{00000000-0005-0000-0000-000005000000}"/>
    <cellStyle name="40% - 强调文字颜色 1 2" xfId="469" xr:uid="{00000000-0005-0000-0000-000006000000}"/>
    <cellStyle name="40% - 强调文字颜色 2 2" xfId="470" xr:uid="{00000000-0005-0000-0000-000007000000}"/>
    <cellStyle name="40% - 强调文字颜色 3 2" xfId="471" xr:uid="{00000000-0005-0000-0000-000008000000}"/>
    <cellStyle name="40% - 强调文字颜色 4 2" xfId="472" xr:uid="{00000000-0005-0000-0000-000009000000}"/>
    <cellStyle name="40% - 强调文字颜色 5 2" xfId="473" xr:uid="{00000000-0005-0000-0000-00000A000000}"/>
    <cellStyle name="40% - 强调文字颜色 6 2" xfId="474" xr:uid="{00000000-0005-0000-0000-00000B000000}"/>
    <cellStyle name="60% - 强调文字颜色 1 2" xfId="475" xr:uid="{00000000-0005-0000-0000-00000C000000}"/>
    <cellStyle name="60% - 强调文字颜色 2 2" xfId="476" xr:uid="{00000000-0005-0000-0000-00000D000000}"/>
    <cellStyle name="60% - 强调文字颜色 3 2" xfId="477" xr:uid="{00000000-0005-0000-0000-00000E000000}"/>
    <cellStyle name="60% - 强调文字颜色 4 2" xfId="478" xr:uid="{00000000-0005-0000-0000-00000F000000}"/>
    <cellStyle name="60% - 强调文字颜色 5 2" xfId="479" xr:uid="{00000000-0005-0000-0000-000010000000}"/>
    <cellStyle name="60% - 强调文字颜色 6 2" xfId="480" xr:uid="{00000000-0005-0000-0000-000011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Normal" xfId="0" builtinId="0"/>
    <cellStyle name="Normal 2" xfId="505" xr:uid="{00000000-0005-0000-0000-000012000000}"/>
    <cellStyle name="Normal 2 2" xfId="506" xr:uid="{00000000-0005-0000-0000-000013000000}"/>
    <cellStyle name="Normal 2 2 2" xfId="507" xr:uid="{00000000-0005-0000-0000-000014000000}"/>
    <cellStyle name="一般 2" xfId="525" xr:uid="{00000000-0005-0000-0000-000024010000}"/>
    <cellStyle name="一般 2 2" xfId="502" xr:uid="{00000000-0005-0000-0000-000025010000}"/>
    <cellStyle name="一般 2 2 2" xfId="526" xr:uid="{00000000-0005-0000-0000-000026010000}"/>
    <cellStyle name="一般 2 2 2 2" xfId="527" xr:uid="{00000000-0005-0000-0000-000027010000}"/>
    <cellStyle name="一般 2 2 2 2 2" xfId="528" xr:uid="{00000000-0005-0000-0000-000028010000}"/>
    <cellStyle name="一般 2 2 3" xfId="529" xr:uid="{00000000-0005-0000-0000-000029010000}"/>
    <cellStyle name="一般 2 2 3 2" xfId="530" xr:uid="{00000000-0005-0000-0000-00002A010000}"/>
    <cellStyle name="一般 2 3" xfId="531" xr:uid="{00000000-0005-0000-0000-00002B010000}"/>
    <cellStyle name="一般 2 3 2" xfId="532" xr:uid="{00000000-0005-0000-0000-00002C010000}"/>
    <cellStyle name="一般 2 3 2 2" xfId="533" xr:uid="{00000000-0005-0000-0000-00002D010000}"/>
    <cellStyle name="一般 2 4" xfId="534" xr:uid="{00000000-0005-0000-0000-00002E010000}"/>
    <cellStyle name="一般 2 4 2" xfId="535" xr:uid="{00000000-0005-0000-0000-00002F010000}"/>
    <cellStyle name="一般 3" xfId="503" xr:uid="{00000000-0005-0000-0000-000030010000}"/>
    <cellStyle name="一般 3 2" xfId="536" xr:uid="{00000000-0005-0000-0000-000031010000}"/>
    <cellStyle name="一般 3 2 2" xfId="537" xr:uid="{00000000-0005-0000-0000-000032010000}"/>
    <cellStyle name="一般 4" xfId="500" xr:uid="{00000000-0005-0000-0000-000033010000}"/>
    <cellStyle name="一般 4 2" xfId="538" xr:uid="{00000000-0005-0000-0000-000034010000}"/>
    <cellStyle name="一般 4 2 2" xfId="539" xr:uid="{00000000-0005-0000-0000-000035010000}"/>
    <cellStyle name="備註 2" xfId="481" xr:uid="{00000000-0005-0000-0000-000017000000}"/>
    <cellStyle name="好 2" xfId="483" xr:uid="{00000000-0005-0000-0000-000014010000}"/>
    <cellStyle name="差 2" xfId="482" xr:uid="{00000000-0005-0000-0000-000019000000}"/>
    <cellStyle name="常规 2" xfId="462" xr:uid="{00000000-0005-0000-0000-00001B000000}"/>
    <cellStyle name="常规 2 2" xfId="508" xr:uid="{00000000-0005-0000-0000-00001C000000}"/>
    <cellStyle name="常规 2 2 2" xfId="509" xr:uid="{00000000-0005-0000-0000-00001D000000}"/>
    <cellStyle name="常规 3" xfId="501" xr:uid="{00000000-0005-0000-0000-00001E000000}"/>
    <cellStyle name="常规 3 2" xfId="510" xr:uid="{00000000-0005-0000-0000-00001F000000}"/>
    <cellStyle name="常规 3 2 2" xfId="511" xr:uid="{00000000-0005-0000-0000-000020000000}"/>
    <cellStyle name="常规 3 2 2 2" xfId="512" xr:uid="{00000000-0005-0000-0000-000021000000}"/>
    <cellStyle name="常规 3 2 3" xfId="513" xr:uid="{00000000-0005-0000-0000-000022000000}"/>
    <cellStyle name="常规 3 3" xfId="514" xr:uid="{00000000-0005-0000-0000-000023000000}"/>
    <cellStyle name="常规 4" xfId="515" xr:uid="{00000000-0005-0000-0000-000024000000}"/>
    <cellStyle name="常规 4 2" xfId="516" xr:uid="{00000000-0005-0000-0000-000025000000}"/>
    <cellStyle name="常规 4 2 2" xfId="517" xr:uid="{00000000-0005-0000-0000-000026000000}"/>
    <cellStyle name="常规 4 3" xfId="518" xr:uid="{00000000-0005-0000-0000-000027000000}"/>
    <cellStyle name="常规 4 3 2" xfId="519" xr:uid="{00000000-0005-0000-0000-000028000000}"/>
    <cellStyle name="常规 4 4" xfId="520" xr:uid="{00000000-0005-0000-0000-000029000000}"/>
    <cellStyle name="常规 4 4 2" xfId="521" xr:uid="{00000000-0005-0000-0000-00002A000000}"/>
    <cellStyle name="常规 4 5" xfId="522" xr:uid="{00000000-0005-0000-0000-00002B000000}"/>
    <cellStyle name="常规 5" xfId="523" xr:uid="{00000000-0005-0000-0000-00002C000000}"/>
    <cellStyle name="常规 5 2" xfId="524" xr:uid="{00000000-0005-0000-0000-00002D000000}"/>
    <cellStyle name="强调文字颜色 1 2" xfId="490" xr:uid="{00000000-0005-0000-0000-00001B010000}"/>
    <cellStyle name="强调文字颜色 2 2" xfId="491" xr:uid="{00000000-0005-0000-0000-00001C010000}"/>
    <cellStyle name="强调文字颜色 3 2" xfId="492" xr:uid="{00000000-0005-0000-0000-00001D010000}"/>
    <cellStyle name="强调文字颜色 4 2" xfId="493" xr:uid="{00000000-0005-0000-0000-00001E010000}"/>
    <cellStyle name="强调文字颜色 5 2" xfId="494" xr:uid="{00000000-0005-0000-0000-00001F010000}"/>
    <cellStyle name="强调文字颜色 6 2" xfId="495" xr:uid="{00000000-0005-0000-0000-000020010000}"/>
    <cellStyle name="检查单元格 2" xfId="486" xr:uid="{00000000-0005-0000-0000-000017010000}"/>
    <cellStyle name="標準_069-0711-D (3)" xfId="1" xr:uid="{00000000-0005-0000-0000-000018000000}"/>
    <cellStyle name="汇总 2" xfId="484" xr:uid="{00000000-0005-0000-0000-000015010000}"/>
    <cellStyle name="注释 2" xfId="499" xr:uid="{00000000-0005-0000-0000-00001C020000}"/>
    <cellStyle name="百分比 2" xfId="504" xr:uid="{00000000-0005-0000-0000-000016000000}"/>
    <cellStyle name="解释性文本 2" xfId="487" xr:uid="{00000000-0005-0000-0000-000018010000}"/>
    <cellStyle name="警告文本 2" xfId="488" xr:uid="{00000000-0005-0000-0000-000019010000}"/>
    <cellStyle name="计算 2" xfId="485" xr:uid="{00000000-0005-0000-0000-000016010000}"/>
    <cellStyle name="输入 2" xfId="498" xr:uid="{00000000-0005-0000-0000-000023010000}"/>
    <cellStyle name="输出 2" xfId="497" xr:uid="{00000000-0005-0000-0000-000022010000}"/>
    <cellStyle name="适中 2" xfId="496" xr:uid="{00000000-0005-0000-0000-000021010000}"/>
    <cellStyle name="链接单元格 2" xfId="489" xr:uid="{00000000-0005-0000-0000-00001A010000}"/>
  </cellStyles>
  <dxfs count="32"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</font>
      <fill>
        <patternFill patternType="solid">
          <bgColor indexed="13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</font>
      <fill>
        <patternFill patternType="solid">
          <bgColor indexed="13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</font>
      <fill>
        <patternFill patternType="solid">
          <bgColor indexed="13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</font>
      <fill>
        <patternFill patternType="solid">
          <bgColor indexed="13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</font>
      <fill>
        <patternFill patternType="solid">
          <bgColor indexed="13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</font>
      <fill>
        <patternFill patternType="solid">
          <bgColor indexed="13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AB/&#19977;&#27425;&#20803;/&#23610;&#23544;&#37327;&#28204;/ABC/M530G/M530%20Butterfly-KI/JGP-CPK-817-01301-03-X530&amp;X396&amp;X397%20Butterfly-KI(4+4)%20-201601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"/>
      <sheetName val="CPK "/>
      <sheetName val="CPK Cav.1"/>
      <sheetName val="CPK Cav.2"/>
      <sheetName val="CPK Cav.3"/>
      <sheetName val="CPK Cav.4"/>
      <sheetName val="CPK Cav.5"/>
      <sheetName val="CPK Cav.6"/>
      <sheetName val="CPK Cav.7"/>
      <sheetName val="CPK Cav.8"/>
      <sheetName val="Box Plot"/>
      <sheetName val="BoxPlotCht1"/>
      <sheetName val="BoxPlotCht2"/>
      <sheetName val="BoxPlotCht3"/>
      <sheetName val="BoxPlotCht4"/>
      <sheetName val="BoxPlotCht5"/>
      <sheetName val="Histogram"/>
      <sheetName val="Histo Pivot"/>
      <sheetName val="Histo Listbox"/>
      <sheetName val="Histo Curve"/>
      <sheetName val="Import Log"/>
      <sheetName val="Drawing"/>
      <sheetName val="Position Instruc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Z2" t="str">
            <v>2D Barcode</v>
          </cell>
          <cell r="AE2" t="str">
            <v>SPC-A(P)</v>
          </cell>
        </row>
        <row r="3">
          <cell r="AE3" t="str">
            <v>SPC-A_P1(Q)</v>
          </cell>
        </row>
        <row r="4">
          <cell r="AE4" t="str">
            <v>SPC-A_P2(R)</v>
          </cell>
        </row>
        <row r="5">
          <cell r="AE5" t="str">
            <v>SPC-A_P3(S)</v>
          </cell>
        </row>
        <row r="6">
          <cell r="AE6" t="str">
            <v>SPC-A_P4(T)</v>
          </cell>
        </row>
        <row r="7">
          <cell r="AE7" t="str">
            <v>SPC-A_P5(U)</v>
          </cell>
        </row>
        <row r="8">
          <cell r="AE8" t="str">
            <v>SPC-A_P6(V)</v>
          </cell>
        </row>
        <row r="9">
          <cell r="AE9" t="str">
            <v>SPC-A_P7(W)</v>
          </cell>
        </row>
        <row r="10">
          <cell r="AE10" t="str">
            <v>SPC-A_P8(X)</v>
          </cell>
        </row>
        <row r="11">
          <cell r="AE11" t="str">
            <v>SPC-A_P9(Y)</v>
          </cell>
        </row>
        <row r="12">
          <cell r="AE12" t="str">
            <v>SPC-A_P10(Z)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00B050"/>
  </sheetPr>
  <dimension ref="A1:W973"/>
  <sheetViews>
    <sheetView tabSelected="1" workbookViewId="0">
      <selection activeCell="K12" sqref="K12"/>
    </sheetView>
  </sheetViews>
  <sheetFormatPr defaultColWidth="7.36328125" defaultRowHeight="12.6"/>
  <cols>
    <col min="1" max="2" width="7.7265625" style="124" customWidth="1"/>
    <col min="3" max="3" width="13.81640625" style="1" customWidth="1"/>
    <col min="4" max="4" width="8.08984375" style="1" customWidth="1"/>
    <col min="5" max="5" width="7.6328125" style="1" customWidth="1"/>
    <col min="6" max="7" width="6" style="1" customWidth="1"/>
    <col min="8" max="8" width="16.54296875" style="1" customWidth="1"/>
    <col min="9" max="9" width="8.6328125" style="1" customWidth="1"/>
    <col min="10" max="10" width="8.453125" style="1" customWidth="1"/>
    <col min="11" max="11" width="8.36328125" style="1" customWidth="1"/>
    <col min="12" max="12" width="5.7265625" style="1" customWidth="1"/>
    <col min="13" max="15" width="6.7265625" style="1" customWidth="1"/>
    <col min="16" max="16" width="7.36328125" style="1"/>
    <col min="17" max="17" width="6" style="1" customWidth="1"/>
    <col min="18" max="18" width="6.08984375" style="1" customWidth="1"/>
    <col min="19" max="19" width="5.6328125" style="1" customWidth="1"/>
    <col min="20" max="20" width="11.08984375" style="1" customWidth="1"/>
    <col min="21" max="21" width="14.7265625" style="1" customWidth="1"/>
    <col min="22" max="22" width="16.7265625" style="1" customWidth="1"/>
    <col min="23" max="256" width="7.36328125" style="1"/>
    <col min="257" max="258" width="7.7265625" style="1" customWidth="1"/>
    <col min="259" max="259" width="7.6328125" style="1" customWidth="1"/>
    <col min="260" max="260" width="8.08984375" style="1" customWidth="1"/>
    <col min="261" max="261" width="7.6328125" style="1" customWidth="1"/>
    <col min="262" max="263" width="6" style="1" customWidth="1"/>
    <col min="264" max="264" width="8.7265625" style="1" customWidth="1"/>
    <col min="265" max="265" width="8.6328125" style="1" customWidth="1"/>
    <col min="266" max="266" width="8.453125" style="1" customWidth="1"/>
    <col min="267" max="267" width="8.36328125" style="1" customWidth="1"/>
    <col min="268" max="268" width="5.7265625" style="1" customWidth="1"/>
    <col min="269" max="271" width="6.7265625" style="1" customWidth="1"/>
    <col min="272" max="272" width="7.36328125" style="1"/>
    <col min="273" max="273" width="6" style="1" customWidth="1"/>
    <col min="274" max="274" width="6.08984375" style="1" customWidth="1"/>
    <col min="275" max="275" width="5.6328125" style="1" customWidth="1"/>
    <col min="276" max="276" width="11.08984375" style="1" customWidth="1"/>
    <col min="277" max="277" width="14.7265625" style="1" customWidth="1"/>
    <col min="278" max="278" width="16.7265625" style="1" customWidth="1"/>
    <col min="279" max="512" width="7.36328125" style="1"/>
    <col min="513" max="514" width="7.7265625" style="1" customWidth="1"/>
    <col min="515" max="515" width="7.6328125" style="1" customWidth="1"/>
    <col min="516" max="516" width="8.08984375" style="1" customWidth="1"/>
    <col min="517" max="517" width="7.6328125" style="1" customWidth="1"/>
    <col min="518" max="519" width="6" style="1" customWidth="1"/>
    <col min="520" max="520" width="8.7265625" style="1" customWidth="1"/>
    <col min="521" max="521" width="8.6328125" style="1" customWidth="1"/>
    <col min="522" max="522" width="8.453125" style="1" customWidth="1"/>
    <col min="523" max="523" width="8.36328125" style="1" customWidth="1"/>
    <col min="524" max="524" width="5.7265625" style="1" customWidth="1"/>
    <col min="525" max="527" width="6.7265625" style="1" customWidth="1"/>
    <col min="528" max="528" width="7.36328125" style="1"/>
    <col min="529" max="529" width="6" style="1" customWidth="1"/>
    <col min="530" max="530" width="6.08984375" style="1" customWidth="1"/>
    <col min="531" max="531" width="5.6328125" style="1" customWidth="1"/>
    <col min="532" max="532" width="11.08984375" style="1" customWidth="1"/>
    <col min="533" max="533" width="14.7265625" style="1" customWidth="1"/>
    <col min="534" max="534" width="16.7265625" style="1" customWidth="1"/>
    <col min="535" max="768" width="7.36328125" style="1"/>
    <col min="769" max="770" width="7.7265625" style="1" customWidth="1"/>
    <col min="771" max="771" width="7.6328125" style="1" customWidth="1"/>
    <col min="772" max="772" width="8.08984375" style="1" customWidth="1"/>
    <col min="773" max="773" width="7.6328125" style="1" customWidth="1"/>
    <col min="774" max="775" width="6" style="1" customWidth="1"/>
    <col min="776" max="776" width="8.7265625" style="1" customWidth="1"/>
    <col min="777" max="777" width="8.6328125" style="1" customWidth="1"/>
    <col min="778" max="778" width="8.453125" style="1" customWidth="1"/>
    <col min="779" max="779" width="8.36328125" style="1" customWidth="1"/>
    <col min="780" max="780" width="5.7265625" style="1" customWidth="1"/>
    <col min="781" max="783" width="6.7265625" style="1" customWidth="1"/>
    <col min="784" max="784" width="7.36328125" style="1"/>
    <col min="785" max="785" width="6" style="1" customWidth="1"/>
    <col min="786" max="786" width="6.08984375" style="1" customWidth="1"/>
    <col min="787" max="787" width="5.6328125" style="1" customWidth="1"/>
    <col min="788" max="788" width="11.08984375" style="1" customWidth="1"/>
    <col min="789" max="789" width="14.7265625" style="1" customWidth="1"/>
    <col min="790" max="790" width="16.7265625" style="1" customWidth="1"/>
    <col min="791" max="1024" width="7.36328125" style="1"/>
    <col min="1025" max="1026" width="7.7265625" style="1" customWidth="1"/>
    <col min="1027" max="1027" width="7.6328125" style="1" customWidth="1"/>
    <col min="1028" max="1028" width="8.08984375" style="1" customWidth="1"/>
    <col min="1029" max="1029" width="7.6328125" style="1" customWidth="1"/>
    <col min="1030" max="1031" width="6" style="1" customWidth="1"/>
    <col min="1032" max="1032" width="8.7265625" style="1" customWidth="1"/>
    <col min="1033" max="1033" width="8.6328125" style="1" customWidth="1"/>
    <col min="1034" max="1034" width="8.453125" style="1" customWidth="1"/>
    <col min="1035" max="1035" width="8.36328125" style="1" customWidth="1"/>
    <col min="1036" max="1036" width="5.7265625" style="1" customWidth="1"/>
    <col min="1037" max="1039" width="6.7265625" style="1" customWidth="1"/>
    <col min="1040" max="1040" width="7.36328125" style="1"/>
    <col min="1041" max="1041" width="6" style="1" customWidth="1"/>
    <col min="1042" max="1042" width="6.08984375" style="1" customWidth="1"/>
    <col min="1043" max="1043" width="5.6328125" style="1" customWidth="1"/>
    <col min="1044" max="1044" width="11.08984375" style="1" customWidth="1"/>
    <col min="1045" max="1045" width="14.7265625" style="1" customWidth="1"/>
    <col min="1046" max="1046" width="16.7265625" style="1" customWidth="1"/>
    <col min="1047" max="1280" width="7.36328125" style="1"/>
    <col min="1281" max="1282" width="7.7265625" style="1" customWidth="1"/>
    <col min="1283" max="1283" width="7.6328125" style="1" customWidth="1"/>
    <col min="1284" max="1284" width="8.08984375" style="1" customWidth="1"/>
    <col min="1285" max="1285" width="7.6328125" style="1" customWidth="1"/>
    <col min="1286" max="1287" width="6" style="1" customWidth="1"/>
    <col min="1288" max="1288" width="8.7265625" style="1" customWidth="1"/>
    <col min="1289" max="1289" width="8.6328125" style="1" customWidth="1"/>
    <col min="1290" max="1290" width="8.453125" style="1" customWidth="1"/>
    <col min="1291" max="1291" width="8.36328125" style="1" customWidth="1"/>
    <col min="1292" max="1292" width="5.7265625" style="1" customWidth="1"/>
    <col min="1293" max="1295" width="6.7265625" style="1" customWidth="1"/>
    <col min="1296" max="1296" width="7.36328125" style="1"/>
    <col min="1297" max="1297" width="6" style="1" customWidth="1"/>
    <col min="1298" max="1298" width="6.08984375" style="1" customWidth="1"/>
    <col min="1299" max="1299" width="5.6328125" style="1" customWidth="1"/>
    <col min="1300" max="1300" width="11.08984375" style="1" customWidth="1"/>
    <col min="1301" max="1301" width="14.7265625" style="1" customWidth="1"/>
    <col min="1302" max="1302" width="16.7265625" style="1" customWidth="1"/>
    <col min="1303" max="1536" width="7.36328125" style="1"/>
    <col min="1537" max="1538" width="7.7265625" style="1" customWidth="1"/>
    <col min="1539" max="1539" width="7.6328125" style="1" customWidth="1"/>
    <col min="1540" max="1540" width="8.08984375" style="1" customWidth="1"/>
    <col min="1541" max="1541" width="7.6328125" style="1" customWidth="1"/>
    <col min="1542" max="1543" width="6" style="1" customWidth="1"/>
    <col min="1544" max="1544" width="8.7265625" style="1" customWidth="1"/>
    <col min="1545" max="1545" width="8.6328125" style="1" customWidth="1"/>
    <col min="1546" max="1546" width="8.453125" style="1" customWidth="1"/>
    <col min="1547" max="1547" width="8.36328125" style="1" customWidth="1"/>
    <col min="1548" max="1548" width="5.7265625" style="1" customWidth="1"/>
    <col min="1549" max="1551" width="6.7265625" style="1" customWidth="1"/>
    <col min="1552" max="1552" width="7.36328125" style="1"/>
    <col min="1553" max="1553" width="6" style="1" customWidth="1"/>
    <col min="1554" max="1554" width="6.08984375" style="1" customWidth="1"/>
    <col min="1555" max="1555" width="5.6328125" style="1" customWidth="1"/>
    <col min="1556" max="1556" width="11.08984375" style="1" customWidth="1"/>
    <col min="1557" max="1557" width="14.7265625" style="1" customWidth="1"/>
    <col min="1558" max="1558" width="16.7265625" style="1" customWidth="1"/>
    <col min="1559" max="1792" width="7.36328125" style="1"/>
    <col min="1793" max="1794" width="7.7265625" style="1" customWidth="1"/>
    <col min="1795" max="1795" width="7.6328125" style="1" customWidth="1"/>
    <col min="1796" max="1796" width="8.08984375" style="1" customWidth="1"/>
    <col min="1797" max="1797" width="7.6328125" style="1" customWidth="1"/>
    <col min="1798" max="1799" width="6" style="1" customWidth="1"/>
    <col min="1800" max="1800" width="8.7265625" style="1" customWidth="1"/>
    <col min="1801" max="1801" width="8.6328125" style="1" customWidth="1"/>
    <col min="1802" max="1802" width="8.453125" style="1" customWidth="1"/>
    <col min="1803" max="1803" width="8.36328125" style="1" customWidth="1"/>
    <col min="1804" max="1804" width="5.7265625" style="1" customWidth="1"/>
    <col min="1805" max="1807" width="6.7265625" style="1" customWidth="1"/>
    <col min="1808" max="1808" width="7.36328125" style="1"/>
    <col min="1809" max="1809" width="6" style="1" customWidth="1"/>
    <col min="1810" max="1810" width="6.08984375" style="1" customWidth="1"/>
    <col min="1811" max="1811" width="5.6328125" style="1" customWidth="1"/>
    <col min="1812" max="1812" width="11.08984375" style="1" customWidth="1"/>
    <col min="1813" max="1813" width="14.7265625" style="1" customWidth="1"/>
    <col min="1814" max="1814" width="16.7265625" style="1" customWidth="1"/>
    <col min="1815" max="2048" width="7.36328125" style="1"/>
    <col min="2049" max="2050" width="7.7265625" style="1" customWidth="1"/>
    <col min="2051" max="2051" width="7.6328125" style="1" customWidth="1"/>
    <col min="2052" max="2052" width="8.08984375" style="1" customWidth="1"/>
    <col min="2053" max="2053" width="7.6328125" style="1" customWidth="1"/>
    <col min="2054" max="2055" width="6" style="1" customWidth="1"/>
    <col min="2056" max="2056" width="8.7265625" style="1" customWidth="1"/>
    <col min="2057" max="2057" width="8.6328125" style="1" customWidth="1"/>
    <col min="2058" max="2058" width="8.453125" style="1" customWidth="1"/>
    <col min="2059" max="2059" width="8.36328125" style="1" customWidth="1"/>
    <col min="2060" max="2060" width="5.7265625" style="1" customWidth="1"/>
    <col min="2061" max="2063" width="6.7265625" style="1" customWidth="1"/>
    <col min="2064" max="2064" width="7.36328125" style="1"/>
    <col min="2065" max="2065" width="6" style="1" customWidth="1"/>
    <col min="2066" max="2066" width="6.08984375" style="1" customWidth="1"/>
    <col min="2067" max="2067" width="5.6328125" style="1" customWidth="1"/>
    <col min="2068" max="2068" width="11.08984375" style="1" customWidth="1"/>
    <col min="2069" max="2069" width="14.7265625" style="1" customWidth="1"/>
    <col min="2070" max="2070" width="16.7265625" style="1" customWidth="1"/>
    <col min="2071" max="2304" width="7.36328125" style="1"/>
    <col min="2305" max="2306" width="7.7265625" style="1" customWidth="1"/>
    <col min="2307" max="2307" width="7.6328125" style="1" customWidth="1"/>
    <col min="2308" max="2308" width="8.08984375" style="1" customWidth="1"/>
    <col min="2309" max="2309" width="7.6328125" style="1" customWidth="1"/>
    <col min="2310" max="2311" width="6" style="1" customWidth="1"/>
    <col min="2312" max="2312" width="8.7265625" style="1" customWidth="1"/>
    <col min="2313" max="2313" width="8.6328125" style="1" customWidth="1"/>
    <col min="2314" max="2314" width="8.453125" style="1" customWidth="1"/>
    <col min="2315" max="2315" width="8.36328125" style="1" customWidth="1"/>
    <col min="2316" max="2316" width="5.7265625" style="1" customWidth="1"/>
    <col min="2317" max="2319" width="6.7265625" style="1" customWidth="1"/>
    <col min="2320" max="2320" width="7.36328125" style="1"/>
    <col min="2321" max="2321" width="6" style="1" customWidth="1"/>
    <col min="2322" max="2322" width="6.08984375" style="1" customWidth="1"/>
    <col min="2323" max="2323" width="5.6328125" style="1" customWidth="1"/>
    <col min="2324" max="2324" width="11.08984375" style="1" customWidth="1"/>
    <col min="2325" max="2325" width="14.7265625" style="1" customWidth="1"/>
    <col min="2326" max="2326" width="16.7265625" style="1" customWidth="1"/>
    <col min="2327" max="2560" width="7.36328125" style="1"/>
    <col min="2561" max="2562" width="7.7265625" style="1" customWidth="1"/>
    <col min="2563" max="2563" width="7.6328125" style="1" customWidth="1"/>
    <col min="2564" max="2564" width="8.08984375" style="1" customWidth="1"/>
    <col min="2565" max="2565" width="7.6328125" style="1" customWidth="1"/>
    <col min="2566" max="2567" width="6" style="1" customWidth="1"/>
    <col min="2568" max="2568" width="8.7265625" style="1" customWidth="1"/>
    <col min="2569" max="2569" width="8.6328125" style="1" customWidth="1"/>
    <col min="2570" max="2570" width="8.453125" style="1" customWidth="1"/>
    <col min="2571" max="2571" width="8.36328125" style="1" customWidth="1"/>
    <col min="2572" max="2572" width="5.7265625" style="1" customWidth="1"/>
    <col min="2573" max="2575" width="6.7265625" style="1" customWidth="1"/>
    <col min="2576" max="2576" width="7.36328125" style="1"/>
    <col min="2577" max="2577" width="6" style="1" customWidth="1"/>
    <col min="2578" max="2578" width="6.08984375" style="1" customWidth="1"/>
    <col min="2579" max="2579" width="5.6328125" style="1" customWidth="1"/>
    <col min="2580" max="2580" width="11.08984375" style="1" customWidth="1"/>
    <col min="2581" max="2581" width="14.7265625" style="1" customWidth="1"/>
    <col min="2582" max="2582" width="16.7265625" style="1" customWidth="1"/>
    <col min="2583" max="2816" width="7.36328125" style="1"/>
    <col min="2817" max="2818" width="7.7265625" style="1" customWidth="1"/>
    <col min="2819" max="2819" width="7.6328125" style="1" customWidth="1"/>
    <col min="2820" max="2820" width="8.08984375" style="1" customWidth="1"/>
    <col min="2821" max="2821" width="7.6328125" style="1" customWidth="1"/>
    <col min="2822" max="2823" width="6" style="1" customWidth="1"/>
    <col min="2824" max="2824" width="8.7265625" style="1" customWidth="1"/>
    <col min="2825" max="2825" width="8.6328125" style="1" customWidth="1"/>
    <col min="2826" max="2826" width="8.453125" style="1" customWidth="1"/>
    <col min="2827" max="2827" width="8.36328125" style="1" customWidth="1"/>
    <col min="2828" max="2828" width="5.7265625" style="1" customWidth="1"/>
    <col min="2829" max="2831" width="6.7265625" style="1" customWidth="1"/>
    <col min="2832" max="2832" width="7.36328125" style="1"/>
    <col min="2833" max="2833" width="6" style="1" customWidth="1"/>
    <col min="2834" max="2834" width="6.08984375" style="1" customWidth="1"/>
    <col min="2835" max="2835" width="5.6328125" style="1" customWidth="1"/>
    <col min="2836" max="2836" width="11.08984375" style="1" customWidth="1"/>
    <col min="2837" max="2837" width="14.7265625" style="1" customWidth="1"/>
    <col min="2838" max="2838" width="16.7265625" style="1" customWidth="1"/>
    <col min="2839" max="3072" width="7.36328125" style="1"/>
    <col min="3073" max="3074" width="7.7265625" style="1" customWidth="1"/>
    <col min="3075" max="3075" width="7.6328125" style="1" customWidth="1"/>
    <col min="3076" max="3076" width="8.08984375" style="1" customWidth="1"/>
    <col min="3077" max="3077" width="7.6328125" style="1" customWidth="1"/>
    <col min="3078" max="3079" width="6" style="1" customWidth="1"/>
    <col min="3080" max="3080" width="8.7265625" style="1" customWidth="1"/>
    <col min="3081" max="3081" width="8.6328125" style="1" customWidth="1"/>
    <col min="3082" max="3082" width="8.453125" style="1" customWidth="1"/>
    <col min="3083" max="3083" width="8.36328125" style="1" customWidth="1"/>
    <col min="3084" max="3084" width="5.7265625" style="1" customWidth="1"/>
    <col min="3085" max="3087" width="6.7265625" style="1" customWidth="1"/>
    <col min="3088" max="3088" width="7.36328125" style="1"/>
    <col min="3089" max="3089" width="6" style="1" customWidth="1"/>
    <col min="3090" max="3090" width="6.08984375" style="1" customWidth="1"/>
    <col min="3091" max="3091" width="5.6328125" style="1" customWidth="1"/>
    <col min="3092" max="3092" width="11.08984375" style="1" customWidth="1"/>
    <col min="3093" max="3093" width="14.7265625" style="1" customWidth="1"/>
    <col min="3094" max="3094" width="16.7265625" style="1" customWidth="1"/>
    <col min="3095" max="3328" width="7.36328125" style="1"/>
    <col min="3329" max="3330" width="7.7265625" style="1" customWidth="1"/>
    <col min="3331" max="3331" width="7.6328125" style="1" customWidth="1"/>
    <col min="3332" max="3332" width="8.08984375" style="1" customWidth="1"/>
    <col min="3333" max="3333" width="7.6328125" style="1" customWidth="1"/>
    <col min="3334" max="3335" width="6" style="1" customWidth="1"/>
    <col min="3336" max="3336" width="8.7265625" style="1" customWidth="1"/>
    <col min="3337" max="3337" width="8.6328125" style="1" customWidth="1"/>
    <col min="3338" max="3338" width="8.453125" style="1" customWidth="1"/>
    <col min="3339" max="3339" width="8.36328125" style="1" customWidth="1"/>
    <col min="3340" max="3340" width="5.7265625" style="1" customWidth="1"/>
    <col min="3341" max="3343" width="6.7265625" style="1" customWidth="1"/>
    <col min="3344" max="3344" width="7.36328125" style="1"/>
    <col min="3345" max="3345" width="6" style="1" customWidth="1"/>
    <col min="3346" max="3346" width="6.08984375" style="1" customWidth="1"/>
    <col min="3347" max="3347" width="5.6328125" style="1" customWidth="1"/>
    <col min="3348" max="3348" width="11.08984375" style="1" customWidth="1"/>
    <col min="3349" max="3349" width="14.7265625" style="1" customWidth="1"/>
    <col min="3350" max="3350" width="16.7265625" style="1" customWidth="1"/>
    <col min="3351" max="3584" width="7.36328125" style="1"/>
    <col min="3585" max="3586" width="7.7265625" style="1" customWidth="1"/>
    <col min="3587" max="3587" width="7.6328125" style="1" customWidth="1"/>
    <col min="3588" max="3588" width="8.08984375" style="1" customWidth="1"/>
    <col min="3589" max="3589" width="7.6328125" style="1" customWidth="1"/>
    <col min="3590" max="3591" width="6" style="1" customWidth="1"/>
    <col min="3592" max="3592" width="8.7265625" style="1" customWidth="1"/>
    <col min="3593" max="3593" width="8.6328125" style="1" customWidth="1"/>
    <col min="3594" max="3594" width="8.453125" style="1" customWidth="1"/>
    <col min="3595" max="3595" width="8.36328125" style="1" customWidth="1"/>
    <col min="3596" max="3596" width="5.7265625" style="1" customWidth="1"/>
    <col min="3597" max="3599" width="6.7265625" style="1" customWidth="1"/>
    <col min="3600" max="3600" width="7.36328125" style="1"/>
    <col min="3601" max="3601" width="6" style="1" customWidth="1"/>
    <col min="3602" max="3602" width="6.08984375" style="1" customWidth="1"/>
    <col min="3603" max="3603" width="5.6328125" style="1" customWidth="1"/>
    <col min="3604" max="3604" width="11.08984375" style="1" customWidth="1"/>
    <col min="3605" max="3605" width="14.7265625" style="1" customWidth="1"/>
    <col min="3606" max="3606" width="16.7265625" style="1" customWidth="1"/>
    <col min="3607" max="3840" width="7.36328125" style="1"/>
    <col min="3841" max="3842" width="7.7265625" style="1" customWidth="1"/>
    <col min="3843" max="3843" width="7.6328125" style="1" customWidth="1"/>
    <col min="3844" max="3844" width="8.08984375" style="1" customWidth="1"/>
    <col min="3845" max="3845" width="7.6328125" style="1" customWidth="1"/>
    <col min="3846" max="3847" width="6" style="1" customWidth="1"/>
    <col min="3848" max="3848" width="8.7265625" style="1" customWidth="1"/>
    <col min="3849" max="3849" width="8.6328125" style="1" customWidth="1"/>
    <col min="3850" max="3850" width="8.453125" style="1" customWidth="1"/>
    <col min="3851" max="3851" width="8.36328125" style="1" customWidth="1"/>
    <col min="3852" max="3852" width="5.7265625" style="1" customWidth="1"/>
    <col min="3853" max="3855" width="6.7265625" style="1" customWidth="1"/>
    <col min="3856" max="3856" width="7.36328125" style="1"/>
    <col min="3857" max="3857" width="6" style="1" customWidth="1"/>
    <col min="3858" max="3858" width="6.08984375" style="1" customWidth="1"/>
    <col min="3859" max="3859" width="5.6328125" style="1" customWidth="1"/>
    <col min="3860" max="3860" width="11.08984375" style="1" customWidth="1"/>
    <col min="3861" max="3861" width="14.7265625" style="1" customWidth="1"/>
    <col min="3862" max="3862" width="16.7265625" style="1" customWidth="1"/>
    <col min="3863" max="4096" width="7.36328125" style="1"/>
    <col min="4097" max="4098" width="7.7265625" style="1" customWidth="1"/>
    <col min="4099" max="4099" width="7.6328125" style="1" customWidth="1"/>
    <col min="4100" max="4100" width="8.08984375" style="1" customWidth="1"/>
    <col min="4101" max="4101" width="7.6328125" style="1" customWidth="1"/>
    <col min="4102" max="4103" width="6" style="1" customWidth="1"/>
    <col min="4104" max="4104" width="8.7265625" style="1" customWidth="1"/>
    <col min="4105" max="4105" width="8.6328125" style="1" customWidth="1"/>
    <col min="4106" max="4106" width="8.453125" style="1" customWidth="1"/>
    <col min="4107" max="4107" width="8.36328125" style="1" customWidth="1"/>
    <col min="4108" max="4108" width="5.7265625" style="1" customWidth="1"/>
    <col min="4109" max="4111" width="6.7265625" style="1" customWidth="1"/>
    <col min="4112" max="4112" width="7.36328125" style="1"/>
    <col min="4113" max="4113" width="6" style="1" customWidth="1"/>
    <col min="4114" max="4114" width="6.08984375" style="1" customWidth="1"/>
    <col min="4115" max="4115" width="5.6328125" style="1" customWidth="1"/>
    <col min="4116" max="4116" width="11.08984375" style="1" customWidth="1"/>
    <col min="4117" max="4117" width="14.7265625" style="1" customWidth="1"/>
    <col min="4118" max="4118" width="16.7265625" style="1" customWidth="1"/>
    <col min="4119" max="4352" width="7.36328125" style="1"/>
    <col min="4353" max="4354" width="7.7265625" style="1" customWidth="1"/>
    <col min="4355" max="4355" width="7.6328125" style="1" customWidth="1"/>
    <col min="4356" max="4356" width="8.08984375" style="1" customWidth="1"/>
    <col min="4357" max="4357" width="7.6328125" style="1" customWidth="1"/>
    <col min="4358" max="4359" width="6" style="1" customWidth="1"/>
    <col min="4360" max="4360" width="8.7265625" style="1" customWidth="1"/>
    <col min="4361" max="4361" width="8.6328125" style="1" customWidth="1"/>
    <col min="4362" max="4362" width="8.453125" style="1" customWidth="1"/>
    <col min="4363" max="4363" width="8.36328125" style="1" customWidth="1"/>
    <col min="4364" max="4364" width="5.7265625" style="1" customWidth="1"/>
    <col min="4365" max="4367" width="6.7265625" style="1" customWidth="1"/>
    <col min="4368" max="4368" width="7.36328125" style="1"/>
    <col min="4369" max="4369" width="6" style="1" customWidth="1"/>
    <col min="4370" max="4370" width="6.08984375" style="1" customWidth="1"/>
    <col min="4371" max="4371" width="5.6328125" style="1" customWidth="1"/>
    <col min="4372" max="4372" width="11.08984375" style="1" customWidth="1"/>
    <col min="4373" max="4373" width="14.7265625" style="1" customWidth="1"/>
    <col min="4374" max="4374" width="16.7265625" style="1" customWidth="1"/>
    <col min="4375" max="4608" width="7.36328125" style="1"/>
    <col min="4609" max="4610" width="7.7265625" style="1" customWidth="1"/>
    <col min="4611" max="4611" width="7.6328125" style="1" customWidth="1"/>
    <col min="4612" max="4612" width="8.08984375" style="1" customWidth="1"/>
    <col min="4613" max="4613" width="7.6328125" style="1" customWidth="1"/>
    <col min="4614" max="4615" width="6" style="1" customWidth="1"/>
    <col min="4616" max="4616" width="8.7265625" style="1" customWidth="1"/>
    <col min="4617" max="4617" width="8.6328125" style="1" customWidth="1"/>
    <col min="4618" max="4618" width="8.453125" style="1" customWidth="1"/>
    <col min="4619" max="4619" width="8.36328125" style="1" customWidth="1"/>
    <col min="4620" max="4620" width="5.7265625" style="1" customWidth="1"/>
    <col min="4621" max="4623" width="6.7265625" style="1" customWidth="1"/>
    <col min="4624" max="4624" width="7.36328125" style="1"/>
    <col min="4625" max="4625" width="6" style="1" customWidth="1"/>
    <col min="4626" max="4626" width="6.08984375" style="1" customWidth="1"/>
    <col min="4627" max="4627" width="5.6328125" style="1" customWidth="1"/>
    <col min="4628" max="4628" width="11.08984375" style="1" customWidth="1"/>
    <col min="4629" max="4629" width="14.7265625" style="1" customWidth="1"/>
    <col min="4630" max="4630" width="16.7265625" style="1" customWidth="1"/>
    <col min="4631" max="4864" width="7.36328125" style="1"/>
    <col min="4865" max="4866" width="7.7265625" style="1" customWidth="1"/>
    <col min="4867" max="4867" width="7.6328125" style="1" customWidth="1"/>
    <col min="4868" max="4868" width="8.08984375" style="1" customWidth="1"/>
    <col min="4869" max="4869" width="7.6328125" style="1" customWidth="1"/>
    <col min="4870" max="4871" width="6" style="1" customWidth="1"/>
    <col min="4872" max="4872" width="8.7265625" style="1" customWidth="1"/>
    <col min="4873" max="4873" width="8.6328125" style="1" customWidth="1"/>
    <col min="4874" max="4874" width="8.453125" style="1" customWidth="1"/>
    <col min="4875" max="4875" width="8.36328125" style="1" customWidth="1"/>
    <col min="4876" max="4876" width="5.7265625" style="1" customWidth="1"/>
    <col min="4877" max="4879" width="6.7265625" style="1" customWidth="1"/>
    <col min="4880" max="4880" width="7.36328125" style="1"/>
    <col min="4881" max="4881" width="6" style="1" customWidth="1"/>
    <col min="4882" max="4882" width="6.08984375" style="1" customWidth="1"/>
    <col min="4883" max="4883" width="5.6328125" style="1" customWidth="1"/>
    <col min="4884" max="4884" width="11.08984375" style="1" customWidth="1"/>
    <col min="4885" max="4885" width="14.7265625" style="1" customWidth="1"/>
    <col min="4886" max="4886" width="16.7265625" style="1" customWidth="1"/>
    <col min="4887" max="5120" width="7.36328125" style="1"/>
    <col min="5121" max="5122" width="7.7265625" style="1" customWidth="1"/>
    <col min="5123" max="5123" width="7.6328125" style="1" customWidth="1"/>
    <col min="5124" max="5124" width="8.08984375" style="1" customWidth="1"/>
    <col min="5125" max="5125" width="7.6328125" style="1" customWidth="1"/>
    <col min="5126" max="5127" width="6" style="1" customWidth="1"/>
    <col min="5128" max="5128" width="8.7265625" style="1" customWidth="1"/>
    <col min="5129" max="5129" width="8.6328125" style="1" customWidth="1"/>
    <col min="5130" max="5130" width="8.453125" style="1" customWidth="1"/>
    <col min="5131" max="5131" width="8.36328125" style="1" customWidth="1"/>
    <col min="5132" max="5132" width="5.7265625" style="1" customWidth="1"/>
    <col min="5133" max="5135" width="6.7265625" style="1" customWidth="1"/>
    <col min="5136" max="5136" width="7.36328125" style="1"/>
    <col min="5137" max="5137" width="6" style="1" customWidth="1"/>
    <col min="5138" max="5138" width="6.08984375" style="1" customWidth="1"/>
    <col min="5139" max="5139" width="5.6328125" style="1" customWidth="1"/>
    <col min="5140" max="5140" width="11.08984375" style="1" customWidth="1"/>
    <col min="5141" max="5141" width="14.7265625" style="1" customWidth="1"/>
    <col min="5142" max="5142" width="16.7265625" style="1" customWidth="1"/>
    <col min="5143" max="5376" width="7.36328125" style="1"/>
    <col min="5377" max="5378" width="7.7265625" style="1" customWidth="1"/>
    <col min="5379" max="5379" width="7.6328125" style="1" customWidth="1"/>
    <col min="5380" max="5380" width="8.08984375" style="1" customWidth="1"/>
    <col min="5381" max="5381" width="7.6328125" style="1" customWidth="1"/>
    <col min="5382" max="5383" width="6" style="1" customWidth="1"/>
    <col min="5384" max="5384" width="8.7265625" style="1" customWidth="1"/>
    <col min="5385" max="5385" width="8.6328125" style="1" customWidth="1"/>
    <col min="5386" max="5386" width="8.453125" style="1" customWidth="1"/>
    <col min="5387" max="5387" width="8.36328125" style="1" customWidth="1"/>
    <col min="5388" max="5388" width="5.7265625" style="1" customWidth="1"/>
    <col min="5389" max="5391" width="6.7265625" style="1" customWidth="1"/>
    <col min="5392" max="5392" width="7.36328125" style="1"/>
    <col min="5393" max="5393" width="6" style="1" customWidth="1"/>
    <col min="5394" max="5394" width="6.08984375" style="1" customWidth="1"/>
    <col min="5395" max="5395" width="5.6328125" style="1" customWidth="1"/>
    <col min="5396" max="5396" width="11.08984375" style="1" customWidth="1"/>
    <col min="5397" max="5397" width="14.7265625" style="1" customWidth="1"/>
    <col min="5398" max="5398" width="16.7265625" style="1" customWidth="1"/>
    <col min="5399" max="5632" width="7.36328125" style="1"/>
    <col min="5633" max="5634" width="7.7265625" style="1" customWidth="1"/>
    <col min="5635" max="5635" width="7.6328125" style="1" customWidth="1"/>
    <col min="5636" max="5636" width="8.08984375" style="1" customWidth="1"/>
    <col min="5637" max="5637" width="7.6328125" style="1" customWidth="1"/>
    <col min="5638" max="5639" width="6" style="1" customWidth="1"/>
    <col min="5640" max="5640" width="8.7265625" style="1" customWidth="1"/>
    <col min="5641" max="5641" width="8.6328125" style="1" customWidth="1"/>
    <col min="5642" max="5642" width="8.453125" style="1" customWidth="1"/>
    <col min="5643" max="5643" width="8.36328125" style="1" customWidth="1"/>
    <col min="5644" max="5644" width="5.7265625" style="1" customWidth="1"/>
    <col min="5645" max="5647" width="6.7265625" style="1" customWidth="1"/>
    <col min="5648" max="5648" width="7.36328125" style="1"/>
    <col min="5649" max="5649" width="6" style="1" customWidth="1"/>
    <col min="5650" max="5650" width="6.08984375" style="1" customWidth="1"/>
    <col min="5651" max="5651" width="5.6328125" style="1" customWidth="1"/>
    <col min="5652" max="5652" width="11.08984375" style="1" customWidth="1"/>
    <col min="5653" max="5653" width="14.7265625" style="1" customWidth="1"/>
    <col min="5654" max="5654" width="16.7265625" style="1" customWidth="1"/>
    <col min="5655" max="5888" width="7.36328125" style="1"/>
    <col min="5889" max="5890" width="7.7265625" style="1" customWidth="1"/>
    <col min="5891" max="5891" width="7.6328125" style="1" customWidth="1"/>
    <col min="5892" max="5892" width="8.08984375" style="1" customWidth="1"/>
    <col min="5893" max="5893" width="7.6328125" style="1" customWidth="1"/>
    <col min="5894" max="5895" width="6" style="1" customWidth="1"/>
    <col min="5896" max="5896" width="8.7265625" style="1" customWidth="1"/>
    <col min="5897" max="5897" width="8.6328125" style="1" customWidth="1"/>
    <col min="5898" max="5898" width="8.453125" style="1" customWidth="1"/>
    <col min="5899" max="5899" width="8.36328125" style="1" customWidth="1"/>
    <col min="5900" max="5900" width="5.7265625" style="1" customWidth="1"/>
    <col min="5901" max="5903" width="6.7265625" style="1" customWidth="1"/>
    <col min="5904" max="5904" width="7.36328125" style="1"/>
    <col min="5905" max="5905" width="6" style="1" customWidth="1"/>
    <col min="5906" max="5906" width="6.08984375" style="1" customWidth="1"/>
    <col min="5907" max="5907" width="5.6328125" style="1" customWidth="1"/>
    <col min="5908" max="5908" width="11.08984375" style="1" customWidth="1"/>
    <col min="5909" max="5909" width="14.7265625" style="1" customWidth="1"/>
    <col min="5910" max="5910" width="16.7265625" style="1" customWidth="1"/>
    <col min="5911" max="6144" width="7.36328125" style="1"/>
    <col min="6145" max="6146" width="7.7265625" style="1" customWidth="1"/>
    <col min="6147" max="6147" width="7.6328125" style="1" customWidth="1"/>
    <col min="6148" max="6148" width="8.08984375" style="1" customWidth="1"/>
    <col min="6149" max="6149" width="7.6328125" style="1" customWidth="1"/>
    <col min="6150" max="6151" width="6" style="1" customWidth="1"/>
    <col min="6152" max="6152" width="8.7265625" style="1" customWidth="1"/>
    <col min="6153" max="6153" width="8.6328125" style="1" customWidth="1"/>
    <col min="6154" max="6154" width="8.453125" style="1" customWidth="1"/>
    <col min="6155" max="6155" width="8.36328125" style="1" customWidth="1"/>
    <col min="6156" max="6156" width="5.7265625" style="1" customWidth="1"/>
    <col min="6157" max="6159" width="6.7265625" style="1" customWidth="1"/>
    <col min="6160" max="6160" width="7.36328125" style="1"/>
    <col min="6161" max="6161" width="6" style="1" customWidth="1"/>
    <col min="6162" max="6162" width="6.08984375" style="1" customWidth="1"/>
    <col min="6163" max="6163" width="5.6328125" style="1" customWidth="1"/>
    <col min="6164" max="6164" width="11.08984375" style="1" customWidth="1"/>
    <col min="6165" max="6165" width="14.7265625" style="1" customWidth="1"/>
    <col min="6166" max="6166" width="16.7265625" style="1" customWidth="1"/>
    <col min="6167" max="6400" width="7.36328125" style="1"/>
    <col min="6401" max="6402" width="7.7265625" style="1" customWidth="1"/>
    <col min="6403" max="6403" width="7.6328125" style="1" customWidth="1"/>
    <col min="6404" max="6404" width="8.08984375" style="1" customWidth="1"/>
    <col min="6405" max="6405" width="7.6328125" style="1" customWidth="1"/>
    <col min="6406" max="6407" width="6" style="1" customWidth="1"/>
    <col min="6408" max="6408" width="8.7265625" style="1" customWidth="1"/>
    <col min="6409" max="6409" width="8.6328125" style="1" customWidth="1"/>
    <col min="6410" max="6410" width="8.453125" style="1" customWidth="1"/>
    <col min="6411" max="6411" width="8.36328125" style="1" customWidth="1"/>
    <col min="6412" max="6412" width="5.7265625" style="1" customWidth="1"/>
    <col min="6413" max="6415" width="6.7265625" style="1" customWidth="1"/>
    <col min="6416" max="6416" width="7.36328125" style="1"/>
    <col min="6417" max="6417" width="6" style="1" customWidth="1"/>
    <col min="6418" max="6418" width="6.08984375" style="1" customWidth="1"/>
    <col min="6419" max="6419" width="5.6328125" style="1" customWidth="1"/>
    <col min="6420" max="6420" width="11.08984375" style="1" customWidth="1"/>
    <col min="6421" max="6421" width="14.7265625" style="1" customWidth="1"/>
    <col min="6422" max="6422" width="16.7265625" style="1" customWidth="1"/>
    <col min="6423" max="6656" width="7.36328125" style="1"/>
    <col min="6657" max="6658" width="7.7265625" style="1" customWidth="1"/>
    <col min="6659" max="6659" width="7.6328125" style="1" customWidth="1"/>
    <col min="6660" max="6660" width="8.08984375" style="1" customWidth="1"/>
    <col min="6661" max="6661" width="7.6328125" style="1" customWidth="1"/>
    <col min="6662" max="6663" width="6" style="1" customWidth="1"/>
    <col min="6664" max="6664" width="8.7265625" style="1" customWidth="1"/>
    <col min="6665" max="6665" width="8.6328125" style="1" customWidth="1"/>
    <col min="6666" max="6666" width="8.453125" style="1" customWidth="1"/>
    <col min="6667" max="6667" width="8.36328125" style="1" customWidth="1"/>
    <col min="6668" max="6668" width="5.7265625" style="1" customWidth="1"/>
    <col min="6669" max="6671" width="6.7265625" style="1" customWidth="1"/>
    <col min="6672" max="6672" width="7.36328125" style="1"/>
    <col min="6673" max="6673" width="6" style="1" customWidth="1"/>
    <col min="6674" max="6674" width="6.08984375" style="1" customWidth="1"/>
    <col min="6675" max="6675" width="5.6328125" style="1" customWidth="1"/>
    <col min="6676" max="6676" width="11.08984375" style="1" customWidth="1"/>
    <col min="6677" max="6677" width="14.7265625" style="1" customWidth="1"/>
    <col min="6678" max="6678" width="16.7265625" style="1" customWidth="1"/>
    <col min="6679" max="6912" width="7.36328125" style="1"/>
    <col min="6913" max="6914" width="7.7265625" style="1" customWidth="1"/>
    <col min="6915" max="6915" width="7.6328125" style="1" customWidth="1"/>
    <col min="6916" max="6916" width="8.08984375" style="1" customWidth="1"/>
    <col min="6917" max="6917" width="7.6328125" style="1" customWidth="1"/>
    <col min="6918" max="6919" width="6" style="1" customWidth="1"/>
    <col min="6920" max="6920" width="8.7265625" style="1" customWidth="1"/>
    <col min="6921" max="6921" width="8.6328125" style="1" customWidth="1"/>
    <col min="6922" max="6922" width="8.453125" style="1" customWidth="1"/>
    <col min="6923" max="6923" width="8.36328125" style="1" customWidth="1"/>
    <col min="6924" max="6924" width="5.7265625" style="1" customWidth="1"/>
    <col min="6925" max="6927" width="6.7265625" style="1" customWidth="1"/>
    <col min="6928" max="6928" width="7.36328125" style="1"/>
    <col min="6929" max="6929" width="6" style="1" customWidth="1"/>
    <col min="6930" max="6930" width="6.08984375" style="1" customWidth="1"/>
    <col min="6931" max="6931" width="5.6328125" style="1" customWidth="1"/>
    <col min="6932" max="6932" width="11.08984375" style="1" customWidth="1"/>
    <col min="6933" max="6933" width="14.7265625" style="1" customWidth="1"/>
    <col min="6934" max="6934" width="16.7265625" style="1" customWidth="1"/>
    <col min="6935" max="7168" width="7.36328125" style="1"/>
    <col min="7169" max="7170" width="7.7265625" style="1" customWidth="1"/>
    <col min="7171" max="7171" width="7.6328125" style="1" customWidth="1"/>
    <col min="7172" max="7172" width="8.08984375" style="1" customWidth="1"/>
    <col min="7173" max="7173" width="7.6328125" style="1" customWidth="1"/>
    <col min="7174" max="7175" width="6" style="1" customWidth="1"/>
    <col min="7176" max="7176" width="8.7265625" style="1" customWidth="1"/>
    <col min="7177" max="7177" width="8.6328125" style="1" customWidth="1"/>
    <col min="7178" max="7178" width="8.453125" style="1" customWidth="1"/>
    <col min="7179" max="7179" width="8.36328125" style="1" customWidth="1"/>
    <col min="7180" max="7180" width="5.7265625" style="1" customWidth="1"/>
    <col min="7181" max="7183" width="6.7265625" style="1" customWidth="1"/>
    <col min="7184" max="7184" width="7.36328125" style="1"/>
    <col min="7185" max="7185" width="6" style="1" customWidth="1"/>
    <col min="7186" max="7186" width="6.08984375" style="1" customWidth="1"/>
    <col min="7187" max="7187" width="5.6328125" style="1" customWidth="1"/>
    <col min="7188" max="7188" width="11.08984375" style="1" customWidth="1"/>
    <col min="7189" max="7189" width="14.7265625" style="1" customWidth="1"/>
    <col min="7190" max="7190" width="16.7265625" style="1" customWidth="1"/>
    <col min="7191" max="7424" width="7.36328125" style="1"/>
    <col min="7425" max="7426" width="7.7265625" style="1" customWidth="1"/>
    <col min="7427" max="7427" width="7.6328125" style="1" customWidth="1"/>
    <col min="7428" max="7428" width="8.08984375" style="1" customWidth="1"/>
    <col min="7429" max="7429" width="7.6328125" style="1" customWidth="1"/>
    <col min="7430" max="7431" width="6" style="1" customWidth="1"/>
    <col min="7432" max="7432" width="8.7265625" style="1" customWidth="1"/>
    <col min="7433" max="7433" width="8.6328125" style="1" customWidth="1"/>
    <col min="7434" max="7434" width="8.453125" style="1" customWidth="1"/>
    <col min="7435" max="7435" width="8.36328125" style="1" customWidth="1"/>
    <col min="7436" max="7436" width="5.7265625" style="1" customWidth="1"/>
    <col min="7437" max="7439" width="6.7265625" style="1" customWidth="1"/>
    <col min="7440" max="7440" width="7.36328125" style="1"/>
    <col min="7441" max="7441" width="6" style="1" customWidth="1"/>
    <col min="7442" max="7442" width="6.08984375" style="1" customWidth="1"/>
    <col min="7443" max="7443" width="5.6328125" style="1" customWidth="1"/>
    <col min="7444" max="7444" width="11.08984375" style="1" customWidth="1"/>
    <col min="7445" max="7445" width="14.7265625" style="1" customWidth="1"/>
    <col min="7446" max="7446" width="16.7265625" style="1" customWidth="1"/>
    <col min="7447" max="7680" width="7.36328125" style="1"/>
    <col min="7681" max="7682" width="7.7265625" style="1" customWidth="1"/>
    <col min="7683" max="7683" width="7.6328125" style="1" customWidth="1"/>
    <col min="7684" max="7684" width="8.08984375" style="1" customWidth="1"/>
    <col min="7685" max="7685" width="7.6328125" style="1" customWidth="1"/>
    <col min="7686" max="7687" width="6" style="1" customWidth="1"/>
    <col min="7688" max="7688" width="8.7265625" style="1" customWidth="1"/>
    <col min="7689" max="7689" width="8.6328125" style="1" customWidth="1"/>
    <col min="7690" max="7690" width="8.453125" style="1" customWidth="1"/>
    <col min="7691" max="7691" width="8.36328125" style="1" customWidth="1"/>
    <col min="7692" max="7692" width="5.7265625" style="1" customWidth="1"/>
    <col min="7693" max="7695" width="6.7265625" style="1" customWidth="1"/>
    <col min="7696" max="7696" width="7.36328125" style="1"/>
    <col min="7697" max="7697" width="6" style="1" customWidth="1"/>
    <col min="7698" max="7698" width="6.08984375" style="1" customWidth="1"/>
    <col min="7699" max="7699" width="5.6328125" style="1" customWidth="1"/>
    <col min="7700" max="7700" width="11.08984375" style="1" customWidth="1"/>
    <col min="7701" max="7701" width="14.7265625" style="1" customWidth="1"/>
    <col min="7702" max="7702" width="16.7265625" style="1" customWidth="1"/>
    <col min="7703" max="7936" width="7.36328125" style="1"/>
    <col min="7937" max="7938" width="7.7265625" style="1" customWidth="1"/>
    <col min="7939" max="7939" width="7.6328125" style="1" customWidth="1"/>
    <col min="7940" max="7940" width="8.08984375" style="1" customWidth="1"/>
    <col min="7941" max="7941" width="7.6328125" style="1" customWidth="1"/>
    <col min="7942" max="7943" width="6" style="1" customWidth="1"/>
    <col min="7944" max="7944" width="8.7265625" style="1" customWidth="1"/>
    <col min="7945" max="7945" width="8.6328125" style="1" customWidth="1"/>
    <col min="7946" max="7946" width="8.453125" style="1" customWidth="1"/>
    <col min="7947" max="7947" width="8.36328125" style="1" customWidth="1"/>
    <col min="7948" max="7948" width="5.7265625" style="1" customWidth="1"/>
    <col min="7949" max="7951" width="6.7265625" style="1" customWidth="1"/>
    <col min="7952" max="7952" width="7.36328125" style="1"/>
    <col min="7953" max="7953" width="6" style="1" customWidth="1"/>
    <col min="7954" max="7954" width="6.08984375" style="1" customWidth="1"/>
    <col min="7955" max="7955" width="5.6328125" style="1" customWidth="1"/>
    <col min="7956" max="7956" width="11.08984375" style="1" customWidth="1"/>
    <col min="7957" max="7957" width="14.7265625" style="1" customWidth="1"/>
    <col min="7958" max="7958" width="16.7265625" style="1" customWidth="1"/>
    <col min="7959" max="8192" width="7.36328125" style="1"/>
    <col min="8193" max="8194" width="7.7265625" style="1" customWidth="1"/>
    <col min="8195" max="8195" width="7.6328125" style="1" customWidth="1"/>
    <col min="8196" max="8196" width="8.08984375" style="1" customWidth="1"/>
    <col min="8197" max="8197" width="7.6328125" style="1" customWidth="1"/>
    <col min="8198" max="8199" width="6" style="1" customWidth="1"/>
    <col min="8200" max="8200" width="8.7265625" style="1" customWidth="1"/>
    <col min="8201" max="8201" width="8.6328125" style="1" customWidth="1"/>
    <col min="8202" max="8202" width="8.453125" style="1" customWidth="1"/>
    <col min="8203" max="8203" width="8.36328125" style="1" customWidth="1"/>
    <col min="8204" max="8204" width="5.7265625" style="1" customWidth="1"/>
    <col min="8205" max="8207" width="6.7265625" style="1" customWidth="1"/>
    <col min="8208" max="8208" width="7.36328125" style="1"/>
    <col min="8209" max="8209" width="6" style="1" customWidth="1"/>
    <col min="8210" max="8210" width="6.08984375" style="1" customWidth="1"/>
    <col min="8211" max="8211" width="5.6328125" style="1" customWidth="1"/>
    <col min="8212" max="8212" width="11.08984375" style="1" customWidth="1"/>
    <col min="8213" max="8213" width="14.7265625" style="1" customWidth="1"/>
    <col min="8214" max="8214" width="16.7265625" style="1" customWidth="1"/>
    <col min="8215" max="8448" width="7.36328125" style="1"/>
    <col min="8449" max="8450" width="7.7265625" style="1" customWidth="1"/>
    <col min="8451" max="8451" width="7.6328125" style="1" customWidth="1"/>
    <col min="8452" max="8452" width="8.08984375" style="1" customWidth="1"/>
    <col min="8453" max="8453" width="7.6328125" style="1" customWidth="1"/>
    <col min="8454" max="8455" width="6" style="1" customWidth="1"/>
    <col min="8456" max="8456" width="8.7265625" style="1" customWidth="1"/>
    <col min="8457" max="8457" width="8.6328125" style="1" customWidth="1"/>
    <col min="8458" max="8458" width="8.453125" style="1" customWidth="1"/>
    <col min="8459" max="8459" width="8.36328125" style="1" customWidth="1"/>
    <col min="8460" max="8460" width="5.7265625" style="1" customWidth="1"/>
    <col min="8461" max="8463" width="6.7265625" style="1" customWidth="1"/>
    <col min="8464" max="8464" width="7.36328125" style="1"/>
    <col min="8465" max="8465" width="6" style="1" customWidth="1"/>
    <col min="8466" max="8466" width="6.08984375" style="1" customWidth="1"/>
    <col min="8467" max="8467" width="5.6328125" style="1" customWidth="1"/>
    <col min="8468" max="8468" width="11.08984375" style="1" customWidth="1"/>
    <col min="8469" max="8469" width="14.7265625" style="1" customWidth="1"/>
    <col min="8470" max="8470" width="16.7265625" style="1" customWidth="1"/>
    <col min="8471" max="8704" width="7.36328125" style="1"/>
    <col min="8705" max="8706" width="7.7265625" style="1" customWidth="1"/>
    <col min="8707" max="8707" width="7.6328125" style="1" customWidth="1"/>
    <col min="8708" max="8708" width="8.08984375" style="1" customWidth="1"/>
    <col min="8709" max="8709" width="7.6328125" style="1" customWidth="1"/>
    <col min="8710" max="8711" width="6" style="1" customWidth="1"/>
    <col min="8712" max="8712" width="8.7265625" style="1" customWidth="1"/>
    <col min="8713" max="8713" width="8.6328125" style="1" customWidth="1"/>
    <col min="8714" max="8714" width="8.453125" style="1" customWidth="1"/>
    <col min="8715" max="8715" width="8.36328125" style="1" customWidth="1"/>
    <col min="8716" max="8716" width="5.7265625" style="1" customWidth="1"/>
    <col min="8717" max="8719" width="6.7265625" style="1" customWidth="1"/>
    <col min="8720" max="8720" width="7.36328125" style="1"/>
    <col min="8721" max="8721" width="6" style="1" customWidth="1"/>
    <col min="8722" max="8722" width="6.08984375" style="1" customWidth="1"/>
    <col min="8723" max="8723" width="5.6328125" style="1" customWidth="1"/>
    <col min="8724" max="8724" width="11.08984375" style="1" customWidth="1"/>
    <col min="8725" max="8725" width="14.7265625" style="1" customWidth="1"/>
    <col min="8726" max="8726" width="16.7265625" style="1" customWidth="1"/>
    <col min="8727" max="8960" width="7.36328125" style="1"/>
    <col min="8961" max="8962" width="7.7265625" style="1" customWidth="1"/>
    <col min="8963" max="8963" width="7.6328125" style="1" customWidth="1"/>
    <col min="8964" max="8964" width="8.08984375" style="1" customWidth="1"/>
    <col min="8965" max="8965" width="7.6328125" style="1" customWidth="1"/>
    <col min="8966" max="8967" width="6" style="1" customWidth="1"/>
    <col min="8968" max="8968" width="8.7265625" style="1" customWidth="1"/>
    <col min="8969" max="8969" width="8.6328125" style="1" customWidth="1"/>
    <col min="8970" max="8970" width="8.453125" style="1" customWidth="1"/>
    <col min="8971" max="8971" width="8.36328125" style="1" customWidth="1"/>
    <col min="8972" max="8972" width="5.7265625" style="1" customWidth="1"/>
    <col min="8973" max="8975" width="6.7265625" style="1" customWidth="1"/>
    <col min="8976" max="8976" width="7.36328125" style="1"/>
    <col min="8977" max="8977" width="6" style="1" customWidth="1"/>
    <col min="8978" max="8978" width="6.08984375" style="1" customWidth="1"/>
    <col min="8979" max="8979" width="5.6328125" style="1" customWidth="1"/>
    <col min="8980" max="8980" width="11.08984375" style="1" customWidth="1"/>
    <col min="8981" max="8981" width="14.7265625" style="1" customWidth="1"/>
    <col min="8982" max="8982" width="16.7265625" style="1" customWidth="1"/>
    <col min="8983" max="9216" width="7.36328125" style="1"/>
    <col min="9217" max="9218" width="7.7265625" style="1" customWidth="1"/>
    <col min="9219" max="9219" width="7.6328125" style="1" customWidth="1"/>
    <col min="9220" max="9220" width="8.08984375" style="1" customWidth="1"/>
    <col min="9221" max="9221" width="7.6328125" style="1" customWidth="1"/>
    <col min="9222" max="9223" width="6" style="1" customWidth="1"/>
    <col min="9224" max="9224" width="8.7265625" style="1" customWidth="1"/>
    <col min="9225" max="9225" width="8.6328125" style="1" customWidth="1"/>
    <col min="9226" max="9226" width="8.453125" style="1" customWidth="1"/>
    <col min="9227" max="9227" width="8.36328125" style="1" customWidth="1"/>
    <col min="9228" max="9228" width="5.7265625" style="1" customWidth="1"/>
    <col min="9229" max="9231" width="6.7265625" style="1" customWidth="1"/>
    <col min="9232" max="9232" width="7.36328125" style="1"/>
    <col min="9233" max="9233" width="6" style="1" customWidth="1"/>
    <col min="9234" max="9234" width="6.08984375" style="1" customWidth="1"/>
    <col min="9235" max="9235" width="5.6328125" style="1" customWidth="1"/>
    <col min="9236" max="9236" width="11.08984375" style="1" customWidth="1"/>
    <col min="9237" max="9237" width="14.7265625" style="1" customWidth="1"/>
    <col min="9238" max="9238" width="16.7265625" style="1" customWidth="1"/>
    <col min="9239" max="9472" width="7.36328125" style="1"/>
    <col min="9473" max="9474" width="7.7265625" style="1" customWidth="1"/>
    <col min="9475" max="9475" width="7.6328125" style="1" customWidth="1"/>
    <col min="9476" max="9476" width="8.08984375" style="1" customWidth="1"/>
    <col min="9477" max="9477" width="7.6328125" style="1" customWidth="1"/>
    <col min="9478" max="9479" width="6" style="1" customWidth="1"/>
    <col min="9480" max="9480" width="8.7265625" style="1" customWidth="1"/>
    <col min="9481" max="9481" width="8.6328125" style="1" customWidth="1"/>
    <col min="9482" max="9482" width="8.453125" style="1" customWidth="1"/>
    <col min="9483" max="9483" width="8.36328125" style="1" customWidth="1"/>
    <col min="9484" max="9484" width="5.7265625" style="1" customWidth="1"/>
    <col min="9485" max="9487" width="6.7265625" style="1" customWidth="1"/>
    <col min="9488" max="9488" width="7.36328125" style="1"/>
    <col min="9489" max="9489" width="6" style="1" customWidth="1"/>
    <col min="9490" max="9490" width="6.08984375" style="1" customWidth="1"/>
    <col min="9491" max="9491" width="5.6328125" style="1" customWidth="1"/>
    <col min="9492" max="9492" width="11.08984375" style="1" customWidth="1"/>
    <col min="9493" max="9493" width="14.7265625" style="1" customWidth="1"/>
    <col min="9494" max="9494" width="16.7265625" style="1" customWidth="1"/>
    <col min="9495" max="9728" width="7.36328125" style="1"/>
    <col min="9729" max="9730" width="7.7265625" style="1" customWidth="1"/>
    <col min="9731" max="9731" width="7.6328125" style="1" customWidth="1"/>
    <col min="9732" max="9732" width="8.08984375" style="1" customWidth="1"/>
    <col min="9733" max="9733" width="7.6328125" style="1" customWidth="1"/>
    <col min="9734" max="9735" width="6" style="1" customWidth="1"/>
    <col min="9736" max="9736" width="8.7265625" style="1" customWidth="1"/>
    <col min="9737" max="9737" width="8.6328125" style="1" customWidth="1"/>
    <col min="9738" max="9738" width="8.453125" style="1" customWidth="1"/>
    <col min="9739" max="9739" width="8.36328125" style="1" customWidth="1"/>
    <col min="9740" max="9740" width="5.7265625" style="1" customWidth="1"/>
    <col min="9741" max="9743" width="6.7265625" style="1" customWidth="1"/>
    <col min="9744" max="9744" width="7.36328125" style="1"/>
    <col min="9745" max="9745" width="6" style="1" customWidth="1"/>
    <col min="9746" max="9746" width="6.08984375" style="1" customWidth="1"/>
    <col min="9747" max="9747" width="5.6328125" style="1" customWidth="1"/>
    <col min="9748" max="9748" width="11.08984375" style="1" customWidth="1"/>
    <col min="9749" max="9749" width="14.7265625" style="1" customWidth="1"/>
    <col min="9750" max="9750" width="16.7265625" style="1" customWidth="1"/>
    <col min="9751" max="9984" width="7.36328125" style="1"/>
    <col min="9985" max="9986" width="7.7265625" style="1" customWidth="1"/>
    <col min="9987" max="9987" width="7.6328125" style="1" customWidth="1"/>
    <col min="9988" max="9988" width="8.08984375" style="1" customWidth="1"/>
    <col min="9989" max="9989" width="7.6328125" style="1" customWidth="1"/>
    <col min="9990" max="9991" width="6" style="1" customWidth="1"/>
    <col min="9992" max="9992" width="8.7265625" style="1" customWidth="1"/>
    <col min="9993" max="9993" width="8.6328125" style="1" customWidth="1"/>
    <col min="9994" max="9994" width="8.453125" style="1" customWidth="1"/>
    <col min="9995" max="9995" width="8.36328125" style="1" customWidth="1"/>
    <col min="9996" max="9996" width="5.7265625" style="1" customWidth="1"/>
    <col min="9997" max="9999" width="6.7265625" style="1" customWidth="1"/>
    <col min="10000" max="10000" width="7.36328125" style="1"/>
    <col min="10001" max="10001" width="6" style="1" customWidth="1"/>
    <col min="10002" max="10002" width="6.08984375" style="1" customWidth="1"/>
    <col min="10003" max="10003" width="5.6328125" style="1" customWidth="1"/>
    <col min="10004" max="10004" width="11.08984375" style="1" customWidth="1"/>
    <col min="10005" max="10005" width="14.7265625" style="1" customWidth="1"/>
    <col min="10006" max="10006" width="16.7265625" style="1" customWidth="1"/>
    <col min="10007" max="10240" width="7.36328125" style="1"/>
    <col min="10241" max="10242" width="7.7265625" style="1" customWidth="1"/>
    <col min="10243" max="10243" width="7.6328125" style="1" customWidth="1"/>
    <col min="10244" max="10244" width="8.08984375" style="1" customWidth="1"/>
    <col min="10245" max="10245" width="7.6328125" style="1" customWidth="1"/>
    <col min="10246" max="10247" width="6" style="1" customWidth="1"/>
    <col min="10248" max="10248" width="8.7265625" style="1" customWidth="1"/>
    <col min="10249" max="10249" width="8.6328125" style="1" customWidth="1"/>
    <col min="10250" max="10250" width="8.453125" style="1" customWidth="1"/>
    <col min="10251" max="10251" width="8.36328125" style="1" customWidth="1"/>
    <col min="10252" max="10252" width="5.7265625" style="1" customWidth="1"/>
    <col min="10253" max="10255" width="6.7265625" style="1" customWidth="1"/>
    <col min="10256" max="10256" width="7.36328125" style="1"/>
    <col min="10257" max="10257" width="6" style="1" customWidth="1"/>
    <col min="10258" max="10258" width="6.08984375" style="1" customWidth="1"/>
    <col min="10259" max="10259" width="5.6328125" style="1" customWidth="1"/>
    <col min="10260" max="10260" width="11.08984375" style="1" customWidth="1"/>
    <col min="10261" max="10261" width="14.7265625" style="1" customWidth="1"/>
    <col min="10262" max="10262" width="16.7265625" style="1" customWidth="1"/>
    <col min="10263" max="10496" width="7.36328125" style="1"/>
    <col min="10497" max="10498" width="7.7265625" style="1" customWidth="1"/>
    <col min="10499" max="10499" width="7.6328125" style="1" customWidth="1"/>
    <col min="10500" max="10500" width="8.08984375" style="1" customWidth="1"/>
    <col min="10501" max="10501" width="7.6328125" style="1" customWidth="1"/>
    <col min="10502" max="10503" width="6" style="1" customWidth="1"/>
    <col min="10504" max="10504" width="8.7265625" style="1" customWidth="1"/>
    <col min="10505" max="10505" width="8.6328125" style="1" customWidth="1"/>
    <col min="10506" max="10506" width="8.453125" style="1" customWidth="1"/>
    <col min="10507" max="10507" width="8.36328125" style="1" customWidth="1"/>
    <col min="10508" max="10508" width="5.7265625" style="1" customWidth="1"/>
    <col min="10509" max="10511" width="6.7265625" style="1" customWidth="1"/>
    <col min="10512" max="10512" width="7.36328125" style="1"/>
    <col min="10513" max="10513" width="6" style="1" customWidth="1"/>
    <col min="10514" max="10514" width="6.08984375" style="1" customWidth="1"/>
    <col min="10515" max="10515" width="5.6328125" style="1" customWidth="1"/>
    <col min="10516" max="10516" width="11.08984375" style="1" customWidth="1"/>
    <col min="10517" max="10517" width="14.7265625" style="1" customWidth="1"/>
    <col min="10518" max="10518" width="16.7265625" style="1" customWidth="1"/>
    <col min="10519" max="10752" width="7.36328125" style="1"/>
    <col min="10753" max="10754" width="7.7265625" style="1" customWidth="1"/>
    <col min="10755" max="10755" width="7.6328125" style="1" customWidth="1"/>
    <col min="10756" max="10756" width="8.08984375" style="1" customWidth="1"/>
    <col min="10757" max="10757" width="7.6328125" style="1" customWidth="1"/>
    <col min="10758" max="10759" width="6" style="1" customWidth="1"/>
    <col min="10760" max="10760" width="8.7265625" style="1" customWidth="1"/>
    <col min="10761" max="10761" width="8.6328125" style="1" customWidth="1"/>
    <col min="10762" max="10762" width="8.453125" style="1" customWidth="1"/>
    <col min="10763" max="10763" width="8.36328125" style="1" customWidth="1"/>
    <col min="10764" max="10764" width="5.7265625" style="1" customWidth="1"/>
    <col min="10765" max="10767" width="6.7265625" style="1" customWidth="1"/>
    <col min="10768" max="10768" width="7.36328125" style="1"/>
    <col min="10769" max="10769" width="6" style="1" customWidth="1"/>
    <col min="10770" max="10770" width="6.08984375" style="1" customWidth="1"/>
    <col min="10771" max="10771" width="5.6328125" style="1" customWidth="1"/>
    <col min="10772" max="10772" width="11.08984375" style="1" customWidth="1"/>
    <col min="10773" max="10773" width="14.7265625" style="1" customWidth="1"/>
    <col min="10774" max="10774" width="16.7265625" style="1" customWidth="1"/>
    <col min="10775" max="11008" width="7.36328125" style="1"/>
    <col min="11009" max="11010" width="7.7265625" style="1" customWidth="1"/>
    <col min="11011" max="11011" width="7.6328125" style="1" customWidth="1"/>
    <col min="11012" max="11012" width="8.08984375" style="1" customWidth="1"/>
    <col min="11013" max="11013" width="7.6328125" style="1" customWidth="1"/>
    <col min="11014" max="11015" width="6" style="1" customWidth="1"/>
    <col min="11016" max="11016" width="8.7265625" style="1" customWidth="1"/>
    <col min="11017" max="11017" width="8.6328125" style="1" customWidth="1"/>
    <col min="11018" max="11018" width="8.453125" style="1" customWidth="1"/>
    <col min="11019" max="11019" width="8.36328125" style="1" customWidth="1"/>
    <col min="11020" max="11020" width="5.7265625" style="1" customWidth="1"/>
    <col min="11021" max="11023" width="6.7265625" style="1" customWidth="1"/>
    <col min="11024" max="11024" width="7.36328125" style="1"/>
    <col min="11025" max="11025" width="6" style="1" customWidth="1"/>
    <col min="11026" max="11026" width="6.08984375" style="1" customWidth="1"/>
    <col min="11027" max="11027" width="5.6328125" style="1" customWidth="1"/>
    <col min="11028" max="11028" width="11.08984375" style="1" customWidth="1"/>
    <col min="11029" max="11029" width="14.7265625" style="1" customWidth="1"/>
    <col min="11030" max="11030" width="16.7265625" style="1" customWidth="1"/>
    <col min="11031" max="11264" width="7.36328125" style="1"/>
    <col min="11265" max="11266" width="7.7265625" style="1" customWidth="1"/>
    <col min="11267" max="11267" width="7.6328125" style="1" customWidth="1"/>
    <col min="11268" max="11268" width="8.08984375" style="1" customWidth="1"/>
    <col min="11269" max="11269" width="7.6328125" style="1" customWidth="1"/>
    <col min="11270" max="11271" width="6" style="1" customWidth="1"/>
    <col min="11272" max="11272" width="8.7265625" style="1" customWidth="1"/>
    <col min="11273" max="11273" width="8.6328125" style="1" customWidth="1"/>
    <col min="11274" max="11274" width="8.453125" style="1" customWidth="1"/>
    <col min="11275" max="11275" width="8.36328125" style="1" customWidth="1"/>
    <col min="11276" max="11276" width="5.7265625" style="1" customWidth="1"/>
    <col min="11277" max="11279" width="6.7265625" style="1" customWidth="1"/>
    <col min="11280" max="11280" width="7.36328125" style="1"/>
    <col min="11281" max="11281" width="6" style="1" customWidth="1"/>
    <col min="11282" max="11282" width="6.08984375" style="1" customWidth="1"/>
    <col min="11283" max="11283" width="5.6328125" style="1" customWidth="1"/>
    <col min="11284" max="11284" width="11.08984375" style="1" customWidth="1"/>
    <col min="11285" max="11285" width="14.7265625" style="1" customWidth="1"/>
    <col min="11286" max="11286" width="16.7265625" style="1" customWidth="1"/>
    <col min="11287" max="11520" width="7.36328125" style="1"/>
    <col min="11521" max="11522" width="7.7265625" style="1" customWidth="1"/>
    <col min="11523" max="11523" width="7.6328125" style="1" customWidth="1"/>
    <col min="11524" max="11524" width="8.08984375" style="1" customWidth="1"/>
    <col min="11525" max="11525" width="7.6328125" style="1" customWidth="1"/>
    <col min="11526" max="11527" width="6" style="1" customWidth="1"/>
    <col min="11528" max="11528" width="8.7265625" style="1" customWidth="1"/>
    <col min="11529" max="11529" width="8.6328125" style="1" customWidth="1"/>
    <col min="11530" max="11530" width="8.453125" style="1" customWidth="1"/>
    <col min="11531" max="11531" width="8.36328125" style="1" customWidth="1"/>
    <col min="11532" max="11532" width="5.7265625" style="1" customWidth="1"/>
    <col min="11533" max="11535" width="6.7265625" style="1" customWidth="1"/>
    <col min="11536" max="11536" width="7.36328125" style="1"/>
    <col min="11537" max="11537" width="6" style="1" customWidth="1"/>
    <col min="11538" max="11538" width="6.08984375" style="1" customWidth="1"/>
    <col min="11539" max="11539" width="5.6328125" style="1" customWidth="1"/>
    <col min="11540" max="11540" width="11.08984375" style="1" customWidth="1"/>
    <col min="11541" max="11541" width="14.7265625" style="1" customWidth="1"/>
    <col min="11542" max="11542" width="16.7265625" style="1" customWidth="1"/>
    <col min="11543" max="11776" width="7.36328125" style="1"/>
    <col min="11777" max="11778" width="7.7265625" style="1" customWidth="1"/>
    <col min="11779" max="11779" width="7.6328125" style="1" customWidth="1"/>
    <col min="11780" max="11780" width="8.08984375" style="1" customWidth="1"/>
    <col min="11781" max="11781" width="7.6328125" style="1" customWidth="1"/>
    <col min="11782" max="11783" width="6" style="1" customWidth="1"/>
    <col min="11784" max="11784" width="8.7265625" style="1" customWidth="1"/>
    <col min="11785" max="11785" width="8.6328125" style="1" customWidth="1"/>
    <col min="11786" max="11786" width="8.453125" style="1" customWidth="1"/>
    <col min="11787" max="11787" width="8.36328125" style="1" customWidth="1"/>
    <col min="11788" max="11788" width="5.7265625" style="1" customWidth="1"/>
    <col min="11789" max="11791" width="6.7265625" style="1" customWidth="1"/>
    <col min="11792" max="11792" width="7.36328125" style="1"/>
    <col min="11793" max="11793" width="6" style="1" customWidth="1"/>
    <col min="11794" max="11794" width="6.08984375" style="1" customWidth="1"/>
    <col min="11795" max="11795" width="5.6328125" style="1" customWidth="1"/>
    <col min="11796" max="11796" width="11.08984375" style="1" customWidth="1"/>
    <col min="11797" max="11797" width="14.7265625" style="1" customWidth="1"/>
    <col min="11798" max="11798" width="16.7265625" style="1" customWidth="1"/>
    <col min="11799" max="12032" width="7.36328125" style="1"/>
    <col min="12033" max="12034" width="7.7265625" style="1" customWidth="1"/>
    <col min="12035" max="12035" width="7.6328125" style="1" customWidth="1"/>
    <col min="12036" max="12036" width="8.08984375" style="1" customWidth="1"/>
    <col min="12037" max="12037" width="7.6328125" style="1" customWidth="1"/>
    <col min="12038" max="12039" width="6" style="1" customWidth="1"/>
    <col min="12040" max="12040" width="8.7265625" style="1" customWidth="1"/>
    <col min="12041" max="12041" width="8.6328125" style="1" customWidth="1"/>
    <col min="12042" max="12042" width="8.453125" style="1" customWidth="1"/>
    <col min="12043" max="12043" width="8.36328125" style="1" customWidth="1"/>
    <col min="12044" max="12044" width="5.7265625" style="1" customWidth="1"/>
    <col min="12045" max="12047" width="6.7265625" style="1" customWidth="1"/>
    <col min="12048" max="12048" width="7.36328125" style="1"/>
    <col min="12049" max="12049" width="6" style="1" customWidth="1"/>
    <col min="12050" max="12050" width="6.08984375" style="1" customWidth="1"/>
    <col min="12051" max="12051" width="5.6328125" style="1" customWidth="1"/>
    <col min="12052" max="12052" width="11.08984375" style="1" customWidth="1"/>
    <col min="12053" max="12053" width="14.7265625" style="1" customWidth="1"/>
    <col min="12054" max="12054" width="16.7265625" style="1" customWidth="1"/>
    <col min="12055" max="12288" width="7.36328125" style="1"/>
    <col min="12289" max="12290" width="7.7265625" style="1" customWidth="1"/>
    <col min="12291" max="12291" width="7.6328125" style="1" customWidth="1"/>
    <col min="12292" max="12292" width="8.08984375" style="1" customWidth="1"/>
    <col min="12293" max="12293" width="7.6328125" style="1" customWidth="1"/>
    <col min="12294" max="12295" width="6" style="1" customWidth="1"/>
    <col min="12296" max="12296" width="8.7265625" style="1" customWidth="1"/>
    <col min="12297" max="12297" width="8.6328125" style="1" customWidth="1"/>
    <col min="12298" max="12298" width="8.453125" style="1" customWidth="1"/>
    <col min="12299" max="12299" width="8.36328125" style="1" customWidth="1"/>
    <col min="12300" max="12300" width="5.7265625" style="1" customWidth="1"/>
    <col min="12301" max="12303" width="6.7265625" style="1" customWidth="1"/>
    <col min="12304" max="12304" width="7.36328125" style="1"/>
    <col min="12305" max="12305" width="6" style="1" customWidth="1"/>
    <col min="12306" max="12306" width="6.08984375" style="1" customWidth="1"/>
    <col min="12307" max="12307" width="5.6328125" style="1" customWidth="1"/>
    <col min="12308" max="12308" width="11.08984375" style="1" customWidth="1"/>
    <col min="12309" max="12309" width="14.7265625" style="1" customWidth="1"/>
    <col min="12310" max="12310" width="16.7265625" style="1" customWidth="1"/>
    <col min="12311" max="12544" width="7.36328125" style="1"/>
    <col min="12545" max="12546" width="7.7265625" style="1" customWidth="1"/>
    <col min="12547" max="12547" width="7.6328125" style="1" customWidth="1"/>
    <col min="12548" max="12548" width="8.08984375" style="1" customWidth="1"/>
    <col min="12549" max="12549" width="7.6328125" style="1" customWidth="1"/>
    <col min="12550" max="12551" width="6" style="1" customWidth="1"/>
    <col min="12552" max="12552" width="8.7265625" style="1" customWidth="1"/>
    <col min="12553" max="12553" width="8.6328125" style="1" customWidth="1"/>
    <col min="12554" max="12554" width="8.453125" style="1" customWidth="1"/>
    <col min="12555" max="12555" width="8.36328125" style="1" customWidth="1"/>
    <col min="12556" max="12556" width="5.7265625" style="1" customWidth="1"/>
    <col min="12557" max="12559" width="6.7265625" style="1" customWidth="1"/>
    <col min="12560" max="12560" width="7.36328125" style="1"/>
    <col min="12561" max="12561" width="6" style="1" customWidth="1"/>
    <col min="12562" max="12562" width="6.08984375" style="1" customWidth="1"/>
    <col min="12563" max="12563" width="5.6328125" style="1" customWidth="1"/>
    <col min="12564" max="12564" width="11.08984375" style="1" customWidth="1"/>
    <col min="12565" max="12565" width="14.7265625" style="1" customWidth="1"/>
    <col min="12566" max="12566" width="16.7265625" style="1" customWidth="1"/>
    <col min="12567" max="12800" width="7.36328125" style="1"/>
    <col min="12801" max="12802" width="7.7265625" style="1" customWidth="1"/>
    <col min="12803" max="12803" width="7.6328125" style="1" customWidth="1"/>
    <col min="12804" max="12804" width="8.08984375" style="1" customWidth="1"/>
    <col min="12805" max="12805" width="7.6328125" style="1" customWidth="1"/>
    <col min="12806" max="12807" width="6" style="1" customWidth="1"/>
    <col min="12808" max="12808" width="8.7265625" style="1" customWidth="1"/>
    <col min="12809" max="12809" width="8.6328125" style="1" customWidth="1"/>
    <col min="12810" max="12810" width="8.453125" style="1" customWidth="1"/>
    <col min="12811" max="12811" width="8.36328125" style="1" customWidth="1"/>
    <col min="12812" max="12812" width="5.7265625" style="1" customWidth="1"/>
    <col min="12813" max="12815" width="6.7265625" style="1" customWidth="1"/>
    <col min="12816" max="12816" width="7.36328125" style="1"/>
    <col min="12817" max="12817" width="6" style="1" customWidth="1"/>
    <col min="12818" max="12818" width="6.08984375" style="1" customWidth="1"/>
    <col min="12819" max="12819" width="5.6328125" style="1" customWidth="1"/>
    <col min="12820" max="12820" width="11.08984375" style="1" customWidth="1"/>
    <col min="12821" max="12821" width="14.7265625" style="1" customWidth="1"/>
    <col min="12822" max="12822" width="16.7265625" style="1" customWidth="1"/>
    <col min="12823" max="13056" width="7.36328125" style="1"/>
    <col min="13057" max="13058" width="7.7265625" style="1" customWidth="1"/>
    <col min="13059" max="13059" width="7.6328125" style="1" customWidth="1"/>
    <col min="13060" max="13060" width="8.08984375" style="1" customWidth="1"/>
    <col min="13061" max="13061" width="7.6328125" style="1" customWidth="1"/>
    <col min="13062" max="13063" width="6" style="1" customWidth="1"/>
    <col min="13064" max="13064" width="8.7265625" style="1" customWidth="1"/>
    <col min="13065" max="13065" width="8.6328125" style="1" customWidth="1"/>
    <col min="13066" max="13066" width="8.453125" style="1" customWidth="1"/>
    <col min="13067" max="13067" width="8.36328125" style="1" customWidth="1"/>
    <col min="13068" max="13068" width="5.7265625" style="1" customWidth="1"/>
    <col min="13069" max="13071" width="6.7265625" style="1" customWidth="1"/>
    <col min="13072" max="13072" width="7.36328125" style="1"/>
    <col min="13073" max="13073" width="6" style="1" customWidth="1"/>
    <col min="13074" max="13074" width="6.08984375" style="1" customWidth="1"/>
    <col min="13075" max="13075" width="5.6328125" style="1" customWidth="1"/>
    <col min="13076" max="13076" width="11.08984375" style="1" customWidth="1"/>
    <col min="13077" max="13077" width="14.7265625" style="1" customWidth="1"/>
    <col min="13078" max="13078" width="16.7265625" style="1" customWidth="1"/>
    <col min="13079" max="13312" width="7.36328125" style="1"/>
    <col min="13313" max="13314" width="7.7265625" style="1" customWidth="1"/>
    <col min="13315" max="13315" width="7.6328125" style="1" customWidth="1"/>
    <col min="13316" max="13316" width="8.08984375" style="1" customWidth="1"/>
    <col min="13317" max="13317" width="7.6328125" style="1" customWidth="1"/>
    <col min="13318" max="13319" width="6" style="1" customWidth="1"/>
    <col min="13320" max="13320" width="8.7265625" style="1" customWidth="1"/>
    <col min="13321" max="13321" width="8.6328125" style="1" customWidth="1"/>
    <col min="13322" max="13322" width="8.453125" style="1" customWidth="1"/>
    <col min="13323" max="13323" width="8.36328125" style="1" customWidth="1"/>
    <col min="13324" max="13324" width="5.7265625" style="1" customWidth="1"/>
    <col min="13325" max="13327" width="6.7265625" style="1" customWidth="1"/>
    <col min="13328" max="13328" width="7.36328125" style="1"/>
    <col min="13329" max="13329" width="6" style="1" customWidth="1"/>
    <col min="13330" max="13330" width="6.08984375" style="1" customWidth="1"/>
    <col min="13331" max="13331" width="5.6328125" style="1" customWidth="1"/>
    <col min="13332" max="13332" width="11.08984375" style="1" customWidth="1"/>
    <col min="13333" max="13333" width="14.7265625" style="1" customWidth="1"/>
    <col min="13334" max="13334" width="16.7265625" style="1" customWidth="1"/>
    <col min="13335" max="13568" width="7.36328125" style="1"/>
    <col min="13569" max="13570" width="7.7265625" style="1" customWidth="1"/>
    <col min="13571" max="13571" width="7.6328125" style="1" customWidth="1"/>
    <col min="13572" max="13572" width="8.08984375" style="1" customWidth="1"/>
    <col min="13573" max="13573" width="7.6328125" style="1" customWidth="1"/>
    <col min="13574" max="13575" width="6" style="1" customWidth="1"/>
    <col min="13576" max="13576" width="8.7265625" style="1" customWidth="1"/>
    <col min="13577" max="13577" width="8.6328125" style="1" customWidth="1"/>
    <col min="13578" max="13578" width="8.453125" style="1" customWidth="1"/>
    <col min="13579" max="13579" width="8.36328125" style="1" customWidth="1"/>
    <col min="13580" max="13580" width="5.7265625" style="1" customWidth="1"/>
    <col min="13581" max="13583" width="6.7265625" style="1" customWidth="1"/>
    <col min="13584" max="13584" width="7.36328125" style="1"/>
    <col min="13585" max="13585" width="6" style="1" customWidth="1"/>
    <col min="13586" max="13586" width="6.08984375" style="1" customWidth="1"/>
    <col min="13587" max="13587" width="5.6328125" style="1" customWidth="1"/>
    <col min="13588" max="13588" width="11.08984375" style="1" customWidth="1"/>
    <col min="13589" max="13589" width="14.7265625" style="1" customWidth="1"/>
    <col min="13590" max="13590" width="16.7265625" style="1" customWidth="1"/>
    <col min="13591" max="13824" width="7.36328125" style="1"/>
    <col min="13825" max="13826" width="7.7265625" style="1" customWidth="1"/>
    <col min="13827" max="13827" width="7.6328125" style="1" customWidth="1"/>
    <col min="13828" max="13828" width="8.08984375" style="1" customWidth="1"/>
    <col min="13829" max="13829" width="7.6328125" style="1" customWidth="1"/>
    <col min="13830" max="13831" width="6" style="1" customWidth="1"/>
    <col min="13832" max="13832" width="8.7265625" style="1" customWidth="1"/>
    <col min="13833" max="13833" width="8.6328125" style="1" customWidth="1"/>
    <col min="13834" max="13834" width="8.453125" style="1" customWidth="1"/>
    <col min="13835" max="13835" width="8.36328125" style="1" customWidth="1"/>
    <col min="13836" max="13836" width="5.7265625" style="1" customWidth="1"/>
    <col min="13837" max="13839" width="6.7265625" style="1" customWidth="1"/>
    <col min="13840" max="13840" width="7.36328125" style="1"/>
    <col min="13841" max="13841" width="6" style="1" customWidth="1"/>
    <col min="13842" max="13842" width="6.08984375" style="1" customWidth="1"/>
    <col min="13843" max="13843" width="5.6328125" style="1" customWidth="1"/>
    <col min="13844" max="13844" width="11.08984375" style="1" customWidth="1"/>
    <col min="13845" max="13845" width="14.7265625" style="1" customWidth="1"/>
    <col min="13846" max="13846" width="16.7265625" style="1" customWidth="1"/>
    <col min="13847" max="14080" width="7.36328125" style="1"/>
    <col min="14081" max="14082" width="7.7265625" style="1" customWidth="1"/>
    <col min="14083" max="14083" width="7.6328125" style="1" customWidth="1"/>
    <col min="14084" max="14084" width="8.08984375" style="1" customWidth="1"/>
    <col min="14085" max="14085" width="7.6328125" style="1" customWidth="1"/>
    <col min="14086" max="14087" width="6" style="1" customWidth="1"/>
    <col min="14088" max="14088" width="8.7265625" style="1" customWidth="1"/>
    <col min="14089" max="14089" width="8.6328125" style="1" customWidth="1"/>
    <col min="14090" max="14090" width="8.453125" style="1" customWidth="1"/>
    <col min="14091" max="14091" width="8.36328125" style="1" customWidth="1"/>
    <col min="14092" max="14092" width="5.7265625" style="1" customWidth="1"/>
    <col min="14093" max="14095" width="6.7265625" style="1" customWidth="1"/>
    <col min="14096" max="14096" width="7.36328125" style="1"/>
    <col min="14097" max="14097" width="6" style="1" customWidth="1"/>
    <col min="14098" max="14098" width="6.08984375" style="1" customWidth="1"/>
    <col min="14099" max="14099" width="5.6328125" style="1" customWidth="1"/>
    <col min="14100" max="14100" width="11.08984375" style="1" customWidth="1"/>
    <col min="14101" max="14101" width="14.7265625" style="1" customWidth="1"/>
    <col min="14102" max="14102" width="16.7265625" style="1" customWidth="1"/>
    <col min="14103" max="14336" width="7.36328125" style="1"/>
    <col min="14337" max="14338" width="7.7265625" style="1" customWidth="1"/>
    <col min="14339" max="14339" width="7.6328125" style="1" customWidth="1"/>
    <col min="14340" max="14340" width="8.08984375" style="1" customWidth="1"/>
    <col min="14341" max="14341" width="7.6328125" style="1" customWidth="1"/>
    <col min="14342" max="14343" width="6" style="1" customWidth="1"/>
    <col min="14344" max="14344" width="8.7265625" style="1" customWidth="1"/>
    <col min="14345" max="14345" width="8.6328125" style="1" customWidth="1"/>
    <col min="14346" max="14346" width="8.453125" style="1" customWidth="1"/>
    <col min="14347" max="14347" width="8.36328125" style="1" customWidth="1"/>
    <col min="14348" max="14348" width="5.7265625" style="1" customWidth="1"/>
    <col min="14349" max="14351" width="6.7265625" style="1" customWidth="1"/>
    <col min="14352" max="14352" width="7.36328125" style="1"/>
    <col min="14353" max="14353" width="6" style="1" customWidth="1"/>
    <col min="14354" max="14354" width="6.08984375" style="1" customWidth="1"/>
    <col min="14355" max="14355" width="5.6328125" style="1" customWidth="1"/>
    <col min="14356" max="14356" width="11.08984375" style="1" customWidth="1"/>
    <col min="14357" max="14357" width="14.7265625" style="1" customWidth="1"/>
    <col min="14358" max="14358" width="16.7265625" style="1" customWidth="1"/>
    <col min="14359" max="14592" width="7.36328125" style="1"/>
    <col min="14593" max="14594" width="7.7265625" style="1" customWidth="1"/>
    <col min="14595" max="14595" width="7.6328125" style="1" customWidth="1"/>
    <col min="14596" max="14596" width="8.08984375" style="1" customWidth="1"/>
    <col min="14597" max="14597" width="7.6328125" style="1" customWidth="1"/>
    <col min="14598" max="14599" width="6" style="1" customWidth="1"/>
    <col min="14600" max="14600" width="8.7265625" style="1" customWidth="1"/>
    <col min="14601" max="14601" width="8.6328125" style="1" customWidth="1"/>
    <col min="14602" max="14602" width="8.453125" style="1" customWidth="1"/>
    <col min="14603" max="14603" width="8.36328125" style="1" customWidth="1"/>
    <col min="14604" max="14604" width="5.7265625" style="1" customWidth="1"/>
    <col min="14605" max="14607" width="6.7265625" style="1" customWidth="1"/>
    <col min="14608" max="14608" width="7.36328125" style="1"/>
    <col min="14609" max="14609" width="6" style="1" customWidth="1"/>
    <col min="14610" max="14610" width="6.08984375" style="1" customWidth="1"/>
    <col min="14611" max="14611" width="5.6328125" style="1" customWidth="1"/>
    <col min="14612" max="14612" width="11.08984375" style="1" customWidth="1"/>
    <col min="14613" max="14613" width="14.7265625" style="1" customWidth="1"/>
    <col min="14614" max="14614" width="16.7265625" style="1" customWidth="1"/>
    <col min="14615" max="14848" width="7.36328125" style="1"/>
    <col min="14849" max="14850" width="7.7265625" style="1" customWidth="1"/>
    <col min="14851" max="14851" width="7.6328125" style="1" customWidth="1"/>
    <col min="14852" max="14852" width="8.08984375" style="1" customWidth="1"/>
    <col min="14853" max="14853" width="7.6328125" style="1" customWidth="1"/>
    <col min="14854" max="14855" width="6" style="1" customWidth="1"/>
    <col min="14856" max="14856" width="8.7265625" style="1" customWidth="1"/>
    <col min="14857" max="14857" width="8.6328125" style="1" customWidth="1"/>
    <col min="14858" max="14858" width="8.453125" style="1" customWidth="1"/>
    <col min="14859" max="14859" width="8.36328125" style="1" customWidth="1"/>
    <col min="14860" max="14860" width="5.7265625" style="1" customWidth="1"/>
    <col min="14861" max="14863" width="6.7265625" style="1" customWidth="1"/>
    <col min="14864" max="14864" width="7.36328125" style="1"/>
    <col min="14865" max="14865" width="6" style="1" customWidth="1"/>
    <col min="14866" max="14866" width="6.08984375" style="1" customWidth="1"/>
    <col min="14867" max="14867" width="5.6328125" style="1" customWidth="1"/>
    <col min="14868" max="14868" width="11.08984375" style="1" customWidth="1"/>
    <col min="14869" max="14869" width="14.7265625" style="1" customWidth="1"/>
    <col min="14870" max="14870" width="16.7265625" style="1" customWidth="1"/>
    <col min="14871" max="15104" width="7.36328125" style="1"/>
    <col min="15105" max="15106" width="7.7265625" style="1" customWidth="1"/>
    <col min="15107" max="15107" width="7.6328125" style="1" customWidth="1"/>
    <col min="15108" max="15108" width="8.08984375" style="1" customWidth="1"/>
    <col min="15109" max="15109" width="7.6328125" style="1" customWidth="1"/>
    <col min="15110" max="15111" width="6" style="1" customWidth="1"/>
    <col min="15112" max="15112" width="8.7265625" style="1" customWidth="1"/>
    <col min="15113" max="15113" width="8.6328125" style="1" customWidth="1"/>
    <col min="15114" max="15114" width="8.453125" style="1" customWidth="1"/>
    <col min="15115" max="15115" width="8.36328125" style="1" customWidth="1"/>
    <col min="15116" max="15116" width="5.7265625" style="1" customWidth="1"/>
    <col min="15117" max="15119" width="6.7265625" style="1" customWidth="1"/>
    <col min="15120" max="15120" width="7.36328125" style="1"/>
    <col min="15121" max="15121" width="6" style="1" customWidth="1"/>
    <col min="15122" max="15122" width="6.08984375" style="1" customWidth="1"/>
    <col min="15123" max="15123" width="5.6328125" style="1" customWidth="1"/>
    <col min="15124" max="15124" width="11.08984375" style="1" customWidth="1"/>
    <col min="15125" max="15125" width="14.7265625" style="1" customWidth="1"/>
    <col min="15126" max="15126" width="16.7265625" style="1" customWidth="1"/>
    <col min="15127" max="15360" width="7.36328125" style="1"/>
    <col min="15361" max="15362" width="7.7265625" style="1" customWidth="1"/>
    <col min="15363" max="15363" width="7.6328125" style="1" customWidth="1"/>
    <col min="15364" max="15364" width="8.08984375" style="1" customWidth="1"/>
    <col min="15365" max="15365" width="7.6328125" style="1" customWidth="1"/>
    <col min="15366" max="15367" width="6" style="1" customWidth="1"/>
    <col min="15368" max="15368" width="8.7265625" style="1" customWidth="1"/>
    <col min="15369" max="15369" width="8.6328125" style="1" customWidth="1"/>
    <col min="15370" max="15370" width="8.453125" style="1" customWidth="1"/>
    <col min="15371" max="15371" width="8.36328125" style="1" customWidth="1"/>
    <col min="15372" max="15372" width="5.7265625" style="1" customWidth="1"/>
    <col min="15373" max="15375" width="6.7265625" style="1" customWidth="1"/>
    <col min="15376" max="15376" width="7.36328125" style="1"/>
    <col min="15377" max="15377" width="6" style="1" customWidth="1"/>
    <col min="15378" max="15378" width="6.08984375" style="1" customWidth="1"/>
    <col min="15379" max="15379" width="5.6328125" style="1" customWidth="1"/>
    <col min="15380" max="15380" width="11.08984375" style="1" customWidth="1"/>
    <col min="15381" max="15381" width="14.7265625" style="1" customWidth="1"/>
    <col min="15382" max="15382" width="16.7265625" style="1" customWidth="1"/>
    <col min="15383" max="15616" width="7.36328125" style="1"/>
    <col min="15617" max="15618" width="7.7265625" style="1" customWidth="1"/>
    <col min="15619" max="15619" width="7.6328125" style="1" customWidth="1"/>
    <col min="15620" max="15620" width="8.08984375" style="1" customWidth="1"/>
    <col min="15621" max="15621" width="7.6328125" style="1" customWidth="1"/>
    <col min="15622" max="15623" width="6" style="1" customWidth="1"/>
    <col min="15624" max="15624" width="8.7265625" style="1" customWidth="1"/>
    <col min="15625" max="15625" width="8.6328125" style="1" customWidth="1"/>
    <col min="15626" max="15626" width="8.453125" style="1" customWidth="1"/>
    <col min="15627" max="15627" width="8.36328125" style="1" customWidth="1"/>
    <col min="15628" max="15628" width="5.7265625" style="1" customWidth="1"/>
    <col min="15629" max="15631" width="6.7265625" style="1" customWidth="1"/>
    <col min="15632" max="15632" width="7.36328125" style="1"/>
    <col min="15633" max="15633" width="6" style="1" customWidth="1"/>
    <col min="15634" max="15634" width="6.08984375" style="1" customWidth="1"/>
    <col min="15635" max="15635" width="5.6328125" style="1" customWidth="1"/>
    <col min="15636" max="15636" width="11.08984375" style="1" customWidth="1"/>
    <col min="15637" max="15637" width="14.7265625" style="1" customWidth="1"/>
    <col min="15638" max="15638" width="16.7265625" style="1" customWidth="1"/>
    <col min="15639" max="15872" width="7.36328125" style="1"/>
    <col min="15873" max="15874" width="7.7265625" style="1" customWidth="1"/>
    <col min="15875" max="15875" width="7.6328125" style="1" customWidth="1"/>
    <col min="15876" max="15876" width="8.08984375" style="1" customWidth="1"/>
    <col min="15877" max="15877" width="7.6328125" style="1" customWidth="1"/>
    <col min="15878" max="15879" width="6" style="1" customWidth="1"/>
    <col min="15880" max="15880" width="8.7265625" style="1" customWidth="1"/>
    <col min="15881" max="15881" width="8.6328125" style="1" customWidth="1"/>
    <col min="15882" max="15882" width="8.453125" style="1" customWidth="1"/>
    <col min="15883" max="15883" width="8.36328125" style="1" customWidth="1"/>
    <col min="15884" max="15884" width="5.7265625" style="1" customWidth="1"/>
    <col min="15885" max="15887" width="6.7265625" style="1" customWidth="1"/>
    <col min="15888" max="15888" width="7.36328125" style="1"/>
    <col min="15889" max="15889" width="6" style="1" customWidth="1"/>
    <col min="15890" max="15890" width="6.08984375" style="1" customWidth="1"/>
    <col min="15891" max="15891" width="5.6328125" style="1" customWidth="1"/>
    <col min="15892" max="15892" width="11.08984375" style="1" customWidth="1"/>
    <col min="15893" max="15893" width="14.7265625" style="1" customWidth="1"/>
    <col min="15894" max="15894" width="16.7265625" style="1" customWidth="1"/>
    <col min="15895" max="16128" width="7.36328125" style="1"/>
    <col min="16129" max="16130" width="7.7265625" style="1" customWidth="1"/>
    <col min="16131" max="16131" width="7.6328125" style="1" customWidth="1"/>
    <col min="16132" max="16132" width="8.08984375" style="1" customWidth="1"/>
    <col min="16133" max="16133" width="7.6328125" style="1" customWidth="1"/>
    <col min="16134" max="16135" width="6" style="1" customWidth="1"/>
    <col min="16136" max="16136" width="8.7265625" style="1" customWidth="1"/>
    <col min="16137" max="16137" width="8.6328125" style="1" customWidth="1"/>
    <col min="16138" max="16138" width="8.453125" style="1" customWidth="1"/>
    <col min="16139" max="16139" width="8.36328125" style="1" customWidth="1"/>
    <col min="16140" max="16140" width="5.7265625" style="1" customWidth="1"/>
    <col min="16141" max="16143" width="6.7265625" style="1" customWidth="1"/>
    <col min="16144" max="16144" width="7.36328125" style="1"/>
    <col min="16145" max="16145" width="6" style="1" customWidth="1"/>
    <col min="16146" max="16146" width="6.08984375" style="1" customWidth="1"/>
    <col min="16147" max="16147" width="5.6328125" style="1" customWidth="1"/>
    <col min="16148" max="16148" width="11.08984375" style="1" customWidth="1"/>
    <col min="16149" max="16149" width="14.7265625" style="1" customWidth="1"/>
    <col min="16150" max="16150" width="16.7265625" style="1" customWidth="1"/>
    <col min="16151" max="16384" width="7.36328125" style="1"/>
  </cols>
  <sheetData>
    <row r="1" spans="1:23" ht="17.399999999999999">
      <c r="A1" s="20"/>
      <c r="B1" s="20"/>
      <c r="C1" s="21" t="s">
        <v>42</v>
      </c>
      <c r="D1" s="22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4"/>
      <c r="Q1" s="23"/>
      <c r="R1" s="3"/>
      <c r="S1" s="3"/>
      <c r="T1" s="3"/>
      <c r="U1" s="3"/>
      <c r="V1" s="3"/>
    </row>
    <row r="2" spans="1:23" s="36" customFormat="1" ht="12">
      <c r="A2" s="24"/>
      <c r="B2" s="125"/>
      <c r="C2" s="139" t="s">
        <v>1</v>
      </c>
      <c r="D2" s="5"/>
      <c r="E2" s="27"/>
      <c r="F2" s="27"/>
      <c r="G2" s="28"/>
      <c r="H2" s="28" t="s">
        <v>5</v>
      </c>
      <c r="I2" s="29"/>
      <c r="J2" s="27"/>
      <c r="K2" s="30"/>
      <c r="L2" s="31"/>
      <c r="M2" s="31" t="s">
        <v>0</v>
      </c>
      <c r="N2" s="29"/>
      <c r="O2" s="27"/>
      <c r="P2" s="32"/>
      <c r="Q2" s="25"/>
      <c r="R2" s="25" t="s">
        <v>6</v>
      </c>
      <c r="S2" s="33">
        <v>1</v>
      </c>
      <c r="T2" s="34" t="s">
        <v>583</v>
      </c>
      <c r="U2" s="34" t="s">
        <v>7</v>
      </c>
      <c r="V2" s="35"/>
    </row>
    <row r="3" spans="1:23" s="36" customFormat="1" ht="12">
      <c r="A3" s="37"/>
      <c r="B3" s="126"/>
      <c r="C3" s="140" t="s">
        <v>2</v>
      </c>
      <c r="D3" s="6"/>
      <c r="E3" s="39"/>
      <c r="F3" s="40"/>
      <c r="G3" s="41"/>
      <c r="H3" s="133" t="s">
        <v>8</v>
      </c>
      <c r="I3" s="132"/>
      <c r="J3" s="26"/>
      <c r="K3" s="42"/>
      <c r="L3" s="43"/>
      <c r="M3" s="43" t="s">
        <v>9</v>
      </c>
      <c r="N3" s="44"/>
      <c r="O3" s="26"/>
      <c r="P3" s="7"/>
      <c r="Q3" s="45"/>
      <c r="R3" s="45" t="s">
        <v>10</v>
      </c>
      <c r="S3" s="26"/>
      <c r="T3" s="9"/>
      <c r="U3" s="10"/>
      <c r="V3" s="46"/>
    </row>
    <row r="4" spans="1:23" s="36" customFormat="1" ht="12">
      <c r="A4" s="47"/>
      <c r="B4" s="127"/>
      <c r="C4" s="141" t="s">
        <v>3</v>
      </c>
      <c r="D4" s="11"/>
      <c r="E4" s="49"/>
      <c r="F4" s="50"/>
      <c r="G4" s="51"/>
      <c r="H4" s="51" t="s">
        <v>11</v>
      </c>
      <c r="I4" s="52"/>
      <c r="J4" s="53"/>
      <c r="K4" s="54"/>
      <c r="L4" s="55"/>
      <c r="M4" s="55" t="s">
        <v>12</v>
      </c>
      <c r="N4" s="130"/>
      <c r="O4" s="53"/>
      <c r="P4" s="50"/>
      <c r="Q4" s="48"/>
      <c r="R4" s="56"/>
      <c r="S4" s="53"/>
      <c r="T4" s="57"/>
      <c r="U4" s="58"/>
      <c r="V4" s="59"/>
    </row>
    <row r="5" spans="1:23" s="63" customFormat="1" ht="13.2">
      <c r="A5" s="60"/>
      <c r="B5" s="128"/>
      <c r="C5" s="2"/>
      <c r="D5" s="12"/>
      <c r="E5" s="13"/>
      <c r="F5" s="14"/>
      <c r="G5" s="14"/>
      <c r="H5" s="14"/>
      <c r="I5" s="2"/>
      <c r="J5" s="12"/>
      <c r="K5" s="15"/>
      <c r="L5" s="16"/>
      <c r="M5" s="16"/>
      <c r="N5" s="17"/>
      <c r="O5" s="18"/>
      <c r="P5" s="19"/>
      <c r="Q5" s="13"/>
      <c r="R5" s="13"/>
      <c r="S5" s="13"/>
      <c r="T5" s="12"/>
      <c r="U5" s="61"/>
      <c r="V5" s="62"/>
    </row>
    <row r="6" spans="1:23" s="63" customFormat="1" ht="14.1" customHeight="1">
      <c r="A6" s="64" t="s">
        <v>43</v>
      </c>
      <c r="B6" s="64"/>
      <c r="C6" s="65"/>
      <c r="D6" s="66"/>
      <c r="E6" s="66"/>
      <c r="F6" s="66"/>
      <c r="G6" s="67"/>
      <c r="H6" s="68" t="s">
        <v>44</v>
      </c>
      <c r="I6" s="69"/>
      <c r="J6" s="66"/>
      <c r="K6" s="67"/>
      <c r="L6" s="68" t="s">
        <v>45</v>
      </c>
      <c r="M6" s="68"/>
      <c r="N6" s="68"/>
      <c r="O6" s="68"/>
      <c r="P6" s="68"/>
      <c r="Q6" s="68"/>
      <c r="R6" s="68"/>
      <c r="S6" s="68"/>
      <c r="T6" s="70"/>
      <c r="U6" s="68" t="s">
        <v>46</v>
      </c>
      <c r="V6" s="71"/>
    </row>
    <row r="7" spans="1:23" s="63" customFormat="1" ht="15">
      <c r="A7" s="72"/>
      <c r="B7" s="72"/>
      <c r="C7" s="73"/>
      <c r="D7" s="73"/>
      <c r="E7" s="73"/>
      <c r="F7" s="74"/>
      <c r="G7" s="75"/>
      <c r="H7" s="142" t="s">
        <v>585</v>
      </c>
      <c r="I7" s="143"/>
      <c r="J7" s="144" t="s">
        <v>13</v>
      </c>
      <c r="K7" s="145"/>
      <c r="L7" s="23"/>
      <c r="M7" s="79" t="s">
        <v>14</v>
      </c>
      <c r="N7" s="80"/>
      <c r="O7" s="81"/>
      <c r="P7" s="82" t="s">
        <v>15</v>
      </c>
      <c r="Q7" s="83"/>
      <c r="R7" s="84" t="s">
        <v>16</v>
      </c>
      <c r="S7" s="85"/>
      <c r="T7" s="86"/>
      <c r="U7" s="87" t="s">
        <v>17</v>
      </c>
      <c r="V7" s="88" t="s">
        <v>48</v>
      </c>
    </row>
    <row r="8" spans="1:23" ht="13.2">
      <c r="A8" s="138" t="s">
        <v>586</v>
      </c>
      <c r="B8" s="129" t="s">
        <v>52</v>
      </c>
      <c r="C8" s="90" t="s">
        <v>49</v>
      </c>
      <c r="D8" s="90" t="s">
        <v>19</v>
      </c>
      <c r="E8" s="134" t="s">
        <v>20</v>
      </c>
      <c r="F8" s="135" t="s">
        <v>21</v>
      </c>
      <c r="G8" s="136" t="s">
        <v>22</v>
      </c>
      <c r="H8" s="146" t="s">
        <v>584</v>
      </c>
      <c r="I8" s="147">
        <v>1</v>
      </c>
      <c r="J8" s="148">
        <v>2</v>
      </c>
      <c r="K8" s="149">
        <v>3</v>
      </c>
      <c r="L8" s="96">
        <v>1</v>
      </c>
      <c r="M8" s="97">
        <v>2</v>
      </c>
      <c r="N8" s="97">
        <v>3</v>
      </c>
      <c r="O8" s="98" t="s">
        <v>4</v>
      </c>
      <c r="P8" s="99" t="s">
        <v>23</v>
      </c>
      <c r="Q8" s="99" t="s">
        <v>24</v>
      </c>
      <c r="R8" s="99" t="s">
        <v>25</v>
      </c>
      <c r="S8" s="99" t="s">
        <v>26</v>
      </c>
      <c r="T8" s="100" t="s">
        <v>51</v>
      </c>
      <c r="U8" s="101" t="s">
        <v>27</v>
      </c>
      <c r="V8" s="101" t="s">
        <v>28</v>
      </c>
    </row>
    <row r="9" spans="1:23" ht="13.2">
      <c r="A9" s="102">
        <v>5.5</v>
      </c>
      <c r="B9" s="102" t="s">
        <v>53</v>
      </c>
      <c r="C9" s="104">
        <v>1</v>
      </c>
      <c r="D9" s="105" t="s">
        <v>54</v>
      </c>
      <c r="E9" s="106">
        <v>155</v>
      </c>
      <c r="F9" s="107">
        <v>0</v>
      </c>
      <c r="G9" s="108">
        <v>0.6</v>
      </c>
      <c r="H9" s="137" t="s">
        <v>587</v>
      </c>
      <c r="I9" s="110">
        <v>4.6760000000000002</v>
      </c>
      <c r="J9" s="110">
        <v>4.6740000000000004</v>
      </c>
      <c r="K9" s="119">
        <v>4.681</v>
      </c>
      <c r="L9" s="111">
        <f t="shared" ref="L9:N37" si="0">IF(ISBLANK($E9),"",IF(ISERR(I9/I9)=TRUE,"BAD INSP",I9-$E9))</f>
        <v>-150.32400000000001</v>
      </c>
      <c r="M9" s="112">
        <f t="shared" si="0"/>
        <v>-150.32599999999999</v>
      </c>
      <c r="N9" s="112">
        <f t="shared" si="0"/>
        <v>-150.31899999999999</v>
      </c>
      <c r="O9" s="112">
        <f t="shared" ref="O9:O51" si="1">IF(ISERR(I9/I9)=TRUE," ",AVERAGE(I9:K9))</f>
        <v>4.6770000000000005</v>
      </c>
      <c r="P9" s="113" t="str">
        <f t="shared" ref="P9:P51" si="2">IF(ISBLANK($E9),"",IF(ISNUMBER(F9)=FALSE,"BAD TOL", IF(F9=0,"N/A",IF(ISERR(I9/I9)=TRUE,"BAD INSP",IF(AND(ISNUMBER($I9),ISNUMBER($J9),ISNUMBER($K9))=FALSE,"BAD INSP",IF(MAX($I9:$K9)&lt;$E9,0,(MAX($I9:$K9)-$E9)/$F9))))))</f>
        <v>N/A</v>
      </c>
      <c r="Q9" s="114">
        <f t="shared" ref="Q9:Q51" si="3">IF(ISBLANK($E9),"",IF(ISNUMBER(G9)=FALSE,"BAD TOL",IF(G9=0,"N/A",IF(ISERR(I9/I9)=TRUE,"BAD INSP",IF(AND(ISNUMBER($I9),ISNUMBER($J9),ISNUMBER($K9))=FALSE,"BAD INSP",IF(MIN(I9:K9)&gt;$E9,0,($E9-MIN(I9:K9))/G9))))))</f>
        <v>250.54333333333332</v>
      </c>
      <c r="R9" s="115" t="str">
        <f t="shared" ref="R9:R51" si="4">IF(ISBLANK($E9),"",IF(ISNUMBER($P9)=TRUE,IF($P9&gt;0.651,IF($P9&gt;1.001,"Reject","Alert")," "),IF(AND(F9=0, ISNUMBER(F9)),IF(MAX(I9:K9)&gt;(E9+F9),"Reject",IF(MAX(I9:K9)=(E9+F9),"Alert","")),"Reject")))</f>
        <v/>
      </c>
      <c r="S9" s="115" t="str">
        <f t="shared" ref="S9:S51" si="5">IF(ISBLANK($E9),"",IF(ISNUMBER($Q9)=TRUE,IF($Q9&gt;0.651,IF($Q9&gt;1.001,"Reject","Alert")," "),IF(AND(G9=0, ISNUMBER(G9)),IF(MIN(I9:K9)&lt;(E9-G9),"Reject",IF(MIN(I9:K9)=(E9-G9),"Alert","")),"Reject")))</f>
        <v>Reject</v>
      </c>
      <c r="T9" s="116" t="str">
        <f t="shared" ref="T9:T51" si="6">IF(OR(R9="Reject",S9="Reject"),"Reject",IF(OR(R9="Alert",S9="Alert"),"Alert", ""))</f>
        <v>Reject</v>
      </c>
      <c r="U9" s="117"/>
      <c r="V9" s="118"/>
      <c r="W9" s="131"/>
    </row>
    <row r="10" spans="1:23" ht="13.2">
      <c r="A10" s="102">
        <v>3</v>
      </c>
      <c r="B10" s="102"/>
      <c r="C10" s="104">
        <v>1</v>
      </c>
      <c r="D10" s="105" t="s">
        <v>56</v>
      </c>
      <c r="E10" s="106">
        <v>4.5999999999999996</v>
      </c>
      <c r="F10" s="107">
        <v>0.1</v>
      </c>
      <c r="G10" s="108">
        <v>0.1</v>
      </c>
      <c r="H10" s="109" t="s">
        <v>55</v>
      </c>
      <c r="I10" s="110">
        <v>4.6760000000000002</v>
      </c>
      <c r="J10" s="110">
        <v>4.6740000000000004</v>
      </c>
      <c r="K10" s="119">
        <v>4.681</v>
      </c>
      <c r="L10" s="111">
        <f t="shared" si="0"/>
        <v>7.6000000000000512E-2</v>
      </c>
      <c r="M10" s="112">
        <f t="shared" si="0"/>
        <v>7.4000000000000732E-2</v>
      </c>
      <c r="N10" s="112">
        <f t="shared" si="0"/>
        <v>8.1000000000000405E-2</v>
      </c>
      <c r="O10" s="112">
        <f t="shared" si="1"/>
        <v>4.6770000000000005</v>
      </c>
      <c r="P10" s="113">
        <f t="shared" si="2"/>
        <v>0.81000000000000405</v>
      </c>
      <c r="Q10" s="114">
        <f t="shared" si="3"/>
        <v>0</v>
      </c>
      <c r="R10" s="115" t="str">
        <f t="shared" si="4"/>
        <v>Alert</v>
      </c>
      <c r="S10" s="115" t="str">
        <f t="shared" si="5"/>
        <v xml:space="preserve"> </v>
      </c>
      <c r="T10" s="116" t="str">
        <f t="shared" si="6"/>
        <v>Alert</v>
      </c>
      <c r="U10" s="117"/>
      <c r="V10" s="118"/>
      <c r="W10" s="131"/>
    </row>
    <row r="11" spans="1:23" ht="13.2">
      <c r="A11" s="102" t="s">
        <v>574</v>
      </c>
      <c r="B11" s="102" t="s">
        <v>57</v>
      </c>
      <c r="C11" s="104">
        <v>1</v>
      </c>
      <c r="D11" s="105" t="s">
        <v>58</v>
      </c>
      <c r="E11" s="106">
        <v>4.5999999999999996</v>
      </c>
      <c r="F11" s="107">
        <v>0.1</v>
      </c>
      <c r="G11" s="108">
        <v>0.1</v>
      </c>
      <c r="H11" s="109" t="s">
        <v>580</v>
      </c>
      <c r="I11" s="110">
        <v>4.609</v>
      </c>
      <c r="J11" s="110">
        <v>4.6189999999999998</v>
      </c>
      <c r="K11" s="119">
        <v>4.6079999999999997</v>
      </c>
      <c r="L11" s="111">
        <f t="shared" si="0"/>
        <v>9.0000000000003411E-3</v>
      </c>
      <c r="M11" s="112">
        <f t="shared" si="0"/>
        <v>1.9000000000000128E-2</v>
      </c>
      <c r="N11" s="112">
        <f t="shared" si="0"/>
        <v>8.0000000000000071E-3</v>
      </c>
      <c r="O11" s="112">
        <f t="shared" si="1"/>
        <v>4.6119999999999992</v>
      </c>
      <c r="P11" s="113">
        <f t="shared" si="2"/>
        <v>0.19000000000000128</v>
      </c>
      <c r="Q11" s="114">
        <f t="shared" si="3"/>
        <v>0</v>
      </c>
      <c r="R11" s="115" t="str">
        <f t="shared" si="4"/>
        <v xml:space="preserve"> </v>
      </c>
      <c r="S11" s="115" t="str">
        <f t="shared" si="5"/>
        <v xml:space="preserve"> </v>
      </c>
      <c r="T11" s="116" t="str">
        <f t="shared" si="6"/>
        <v/>
      </c>
      <c r="U11" s="117"/>
      <c r="V11" s="118"/>
      <c r="W11" s="131"/>
    </row>
    <row r="12" spans="1:23" ht="13.2">
      <c r="A12" s="102" t="s">
        <v>575</v>
      </c>
      <c r="B12" s="102" t="s">
        <v>41</v>
      </c>
      <c r="C12" s="104">
        <v>1</v>
      </c>
      <c r="D12" s="105" t="s">
        <v>58</v>
      </c>
      <c r="E12" s="106">
        <v>4.5999999999999996</v>
      </c>
      <c r="F12" s="107">
        <v>0.1</v>
      </c>
      <c r="G12" s="108">
        <v>0.1</v>
      </c>
      <c r="H12" s="109" t="s">
        <v>580</v>
      </c>
      <c r="I12" s="110">
        <v>4.625</v>
      </c>
      <c r="J12" s="110">
        <v>4.6289999999999996</v>
      </c>
      <c r="K12" s="119">
        <v>4.6340000000000003</v>
      </c>
      <c r="L12" s="111">
        <f t="shared" ref="L12:L13" si="7">IF(ISBLANK($E12),"",IF(ISERR(I12/I12)=TRUE,"BAD INSP",I12-$E12))</f>
        <v>2.5000000000000355E-2</v>
      </c>
      <c r="M12" s="112">
        <f t="shared" ref="M12:M13" si="8">IF(ISBLANK($E12),"",IF(ISERR(J12/J12)=TRUE,"BAD INSP",J12-$E12))</f>
        <v>2.8999999999999915E-2</v>
      </c>
      <c r="N12" s="112">
        <f t="shared" ref="N12:N13" si="9">IF(ISBLANK($E12),"",IF(ISERR(K12/K12)=TRUE,"BAD INSP",K12-$E12))</f>
        <v>3.4000000000000696E-2</v>
      </c>
      <c r="O12" s="112">
        <f t="shared" ref="O12:O13" si="10">IF(ISERR(I12/I12)=TRUE," ",AVERAGE(I12:K12))</f>
        <v>4.6293333333333333</v>
      </c>
      <c r="P12" s="113">
        <f t="shared" ref="P12:P13" si="11">IF(ISBLANK($E12),"",IF(ISNUMBER(F12)=FALSE,"BAD TOL", IF(F12=0,"N/A",IF(ISERR(I12/I12)=TRUE,"BAD INSP",IF(AND(ISNUMBER($I12),ISNUMBER($J12),ISNUMBER($K12))=FALSE,"BAD INSP",IF(MAX($I12:$K12)&lt;$E12,0,(MAX($I12:$K12)-$E12)/$F12))))))</f>
        <v>0.34000000000000696</v>
      </c>
      <c r="Q12" s="114">
        <f t="shared" ref="Q12:Q13" si="12">IF(ISBLANK($E12),"",IF(ISNUMBER(G12)=FALSE,"BAD TOL",IF(G12=0,"N/A",IF(ISERR(I12/I12)=TRUE,"BAD INSP",IF(AND(ISNUMBER($I12),ISNUMBER($J12),ISNUMBER($K12))=FALSE,"BAD INSP",IF(MIN(I12:K12)&gt;$E12,0,($E12-MIN(I12:K12))/G12))))))</f>
        <v>0</v>
      </c>
      <c r="R12" s="115" t="str">
        <f t="shared" ref="R12:R13" si="13">IF(ISBLANK($E12),"",IF(ISNUMBER($P12)=TRUE,IF($P12&gt;0.651,IF($P12&gt;1.001,"Reject","Alert")," "),IF(AND(F12=0, ISNUMBER(F12)),IF(MAX(I12:K12)&gt;(E12+F12),"Reject",IF(MAX(I12:K12)=(E12+F12),"Alert","")),"Reject")))</f>
        <v xml:space="preserve"> </v>
      </c>
      <c r="S12" s="115" t="str">
        <f t="shared" ref="S12:S13" si="14">IF(ISBLANK($E12),"",IF(ISNUMBER($Q12)=TRUE,IF($Q12&gt;0.651,IF($Q12&gt;1.001,"Reject","Alert")," "),IF(AND(G12=0, ISNUMBER(G12)),IF(MIN(I12:K12)&lt;(E12-G12),"Reject",IF(MIN(I12:K12)=(E12-G12),"Alert","")),"Reject")))</f>
        <v xml:space="preserve"> </v>
      </c>
      <c r="T12" s="116" t="str">
        <f t="shared" ref="T12:T13" si="15">IF(OR(R12="Reject",S12="Reject"),"Reject",IF(OR(R12="Alert",S12="Alert"),"Alert", ""))</f>
        <v/>
      </c>
      <c r="U12" s="117"/>
      <c r="V12" s="118"/>
      <c r="W12" s="131"/>
    </row>
    <row r="13" spans="1:23" ht="13.2">
      <c r="A13" s="102" t="s">
        <v>576</v>
      </c>
      <c r="B13" s="102" t="s">
        <v>41</v>
      </c>
      <c r="C13" s="104">
        <v>1</v>
      </c>
      <c r="D13" s="105" t="s">
        <v>58</v>
      </c>
      <c r="E13" s="106">
        <v>4.5999999999999996</v>
      </c>
      <c r="F13" s="107">
        <v>0.1</v>
      </c>
      <c r="G13" s="108">
        <v>0.1</v>
      </c>
      <c r="H13" s="109" t="s">
        <v>580</v>
      </c>
      <c r="I13" s="110">
        <v>4.6260000000000003</v>
      </c>
      <c r="J13" s="110">
        <v>4.6390000000000002</v>
      </c>
      <c r="K13" s="119">
        <v>4.6390000000000002</v>
      </c>
      <c r="L13" s="111">
        <f t="shared" si="7"/>
        <v>2.6000000000000689E-2</v>
      </c>
      <c r="M13" s="112">
        <f t="shared" si="8"/>
        <v>3.900000000000059E-2</v>
      </c>
      <c r="N13" s="112">
        <f t="shared" si="9"/>
        <v>3.900000000000059E-2</v>
      </c>
      <c r="O13" s="112">
        <f t="shared" si="10"/>
        <v>4.6346666666666669</v>
      </c>
      <c r="P13" s="113">
        <f t="shared" si="11"/>
        <v>0.3900000000000059</v>
      </c>
      <c r="Q13" s="114">
        <f t="shared" si="12"/>
        <v>0</v>
      </c>
      <c r="R13" s="115" t="str">
        <f t="shared" si="13"/>
        <v xml:space="preserve"> </v>
      </c>
      <c r="S13" s="115" t="str">
        <f t="shared" si="14"/>
        <v xml:space="preserve"> </v>
      </c>
      <c r="T13" s="116" t="str">
        <f t="shared" si="15"/>
        <v/>
      </c>
      <c r="U13" s="117"/>
      <c r="V13" s="118"/>
      <c r="W13" s="131"/>
    </row>
    <row r="14" spans="1:23" ht="13.2">
      <c r="A14" s="102" t="s">
        <v>577</v>
      </c>
      <c r="B14" s="102" t="s">
        <v>59</v>
      </c>
      <c r="C14" s="104">
        <v>1</v>
      </c>
      <c r="D14" s="105" t="s">
        <v>58</v>
      </c>
      <c r="E14" s="106">
        <v>6.5</v>
      </c>
      <c r="F14" s="107">
        <v>0.1</v>
      </c>
      <c r="G14" s="108">
        <v>0.1</v>
      </c>
      <c r="H14" s="109" t="s">
        <v>55</v>
      </c>
      <c r="I14" s="110">
        <v>6.4870000000000001</v>
      </c>
      <c r="J14" s="110">
        <v>6.508</v>
      </c>
      <c r="K14" s="119">
        <v>6.5110000000000001</v>
      </c>
      <c r="L14" s="111">
        <f t="shared" si="0"/>
        <v>-1.2999999999999901E-2</v>
      </c>
      <c r="M14" s="112">
        <f t="shared" si="0"/>
        <v>8.0000000000000071E-3</v>
      </c>
      <c r="N14" s="112">
        <f t="shared" si="0"/>
        <v>1.1000000000000121E-2</v>
      </c>
      <c r="O14" s="112">
        <f t="shared" si="1"/>
        <v>6.5019999999999998</v>
      </c>
      <c r="P14" s="113">
        <f t="shared" si="2"/>
        <v>0.11000000000000121</v>
      </c>
      <c r="Q14" s="114">
        <f t="shared" si="3"/>
        <v>0.12999999999999901</v>
      </c>
      <c r="R14" s="115" t="str">
        <f t="shared" si="4"/>
        <v xml:space="preserve"> </v>
      </c>
      <c r="S14" s="115" t="str">
        <f t="shared" si="5"/>
        <v xml:space="preserve"> </v>
      </c>
      <c r="T14" s="116" t="str">
        <f t="shared" si="6"/>
        <v/>
      </c>
      <c r="U14" s="117"/>
      <c r="V14" s="118"/>
      <c r="W14" s="131"/>
    </row>
    <row r="15" spans="1:23" ht="13.2">
      <c r="A15" s="102" t="s">
        <v>578</v>
      </c>
      <c r="B15" s="102" t="s">
        <v>59</v>
      </c>
      <c r="C15" s="104">
        <v>1</v>
      </c>
      <c r="D15" s="105" t="s">
        <v>58</v>
      </c>
      <c r="E15" s="106">
        <v>6.5</v>
      </c>
      <c r="F15" s="107">
        <v>0.1</v>
      </c>
      <c r="G15" s="108">
        <v>0.1</v>
      </c>
      <c r="H15" s="109" t="s">
        <v>55</v>
      </c>
      <c r="I15" s="110">
        <v>6.4809999999999999</v>
      </c>
      <c r="J15" s="110">
        <v>6.4880000000000004</v>
      </c>
      <c r="K15" s="119">
        <v>6.4939999999999998</v>
      </c>
      <c r="L15" s="111">
        <f t="shared" ref="L15:L16" si="16">IF(ISBLANK($E15),"",IF(ISERR(I15/I15)=TRUE,"BAD INSP",I15-$E15))</f>
        <v>-1.9000000000000128E-2</v>
      </c>
      <c r="M15" s="112">
        <f t="shared" ref="M15:M16" si="17">IF(ISBLANK($E15),"",IF(ISERR(J15/J15)=TRUE,"BAD INSP",J15-$E15))</f>
        <v>-1.1999999999999567E-2</v>
      </c>
      <c r="N15" s="112">
        <f t="shared" ref="N15:N16" si="18">IF(ISBLANK($E15),"",IF(ISERR(K15/K15)=TRUE,"BAD INSP",K15-$E15))</f>
        <v>-6.0000000000002274E-3</v>
      </c>
      <c r="O15" s="112">
        <f t="shared" ref="O15:O16" si="19">IF(ISERR(I15/I15)=TRUE," ",AVERAGE(I15:K15))</f>
        <v>6.4876666666666667</v>
      </c>
      <c r="P15" s="113">
        <f t="shared" ref="P15:P16" si="20">IF(ISBLANK($E15),"",IF(ISNUMBER(F15)=FALSE,"BAD TOL", IF(F15=0,"N/A",IF(ISERR(I15/I15)=TRUE,"BAD INSP",IF(AND(ISNUMBER($I15),ISNUMBER($J15),ISNUMBER($K15))=FALSE,"BAD INSP",IF(MAX($I15:$K15)&lt;$E15,0,(MAX($I15:$K15)-$E15)/$F15))))))</f>
        <v>0</v>
      </c>
      <c r="Q15" s="114">
        <f t="shared" ref="Q15:Q16" si="21">IF(ISBLANK($E15),"",IF(ISNUMBER(G15)=FALSE,"BAD TOL",IF(G15=0,"N/A",IF(ISERR(I15/I15)=TRUE,"BAD INSP",IF(AND(ISNUMBER($I15),ISNUMBER($J15),ISNUMBER($K15))=FALSE,"BAD INSP",IF(MIN(I15:K15)&gt;$E15,0,($E15-MIN(I15:K15))/G15))))))</f>
        <v>0.19000000000000128</v>
      </c>
      <c r="R15" s="115" t="str">
        <f t="shared" ref="R15:R16" si="22">IF(ISBLANK($E15),"",IF(ISNUMBER($P15)=TRUE,IF($P15&gt;0.651,IF($P15&gt;1.001,"Reject","Alert")," "),IF(AND(F15=0, ISNUMBER(F15)),IF(MAX(I15:K15)&gt;(E15+F15),"Reject",IF(MAX(I15:K15)=(E15+F15),"Alert","")),"Reject")))</f>
        <v xml:space="preserve"> </v>
      </c>
      <c r="S15" s="115" t="str">
        <f t="shared" ref="S15:S16" si="23">IF(ISBLANK($E15),"",IF(ISNUMBER($Q15)=TRUE,IF($Q15&gt;0.651,IF($Q15&gt;1.001,"Reject","Alert")," "),IF(AND(G15=0, ISNUMBER(G15)),IF(MIN(I15:K15)&lt;(E15-G15),"Reject",IF(MIN(I15:K15)=(E15-G15),"Alert","")),"Reject")))</f>
        <v xml:space="preserve"> </v>
      </c>
      <c r="T15" s="116" t="str">
        <f t="shared" ref="T15:T16" si="24">IF(OR(R15="Reject",S15="Reject"),"Reject",IF(OR(R15="Alert",S15="Alert"),"Alert", ""))</f>
        <v/>
      </c>
      <c r="U15" s="117"/>
      <c r="V15" s="118"/>
      <c r="W15" s="131"/>
    </row>
    <row r="16" spans="1:23" ht="13.2">
      <c r="A16" s="102" t="s">
        <v>579</v>
      </c>
      <c r="B16" s="102" t="s">
        <v>59</v>
      </c>
      <c r="C16" s="104">
        <v>1</v>
      </c>
      <c r="D16" s="105" t="s">
        <v>58</v>
      </c>
      <c r="E16" s="106">
        <v>6.5</v>
      </c>
      <c r="F16" s="107">
        <v>0.1</v>
      </c>
      <c r="G16" s="108">
        <v>0.1</v>
      </c>
      <c r="H16" s="109" t="s">
        <v>55</v>
      </c>
      <c r="I16" s="110">
        <v>6.4749999999999996</v>
      </c>
      <c r="J16" s="110">
        <v>6.4790000000000001</v>
      </c>
      <c r="K16" s="119">
        <v>6.4809999999999999</v>
      </c>
      <c r="L16" s="111">
        <f t="shared" si="16"/>
        <v>-2.5000000000000355E-2</v>
      </c>
      <c r="M16" s="112">
        <f t="shared" si="17"/>
        <v>-2.0999999999999908E-2</v>
      </c>
      <c r="N16" s="112">
        <f t="shared" si="18"/>
        <v>-1.9000000000000128E-2</v>
      </c>
      <c r="O16" s="112">
        <f t="shared" si="19"/>
        <v>6.4783333333333344</v>
      </c>
      <c r="P16" s="113">
        <f t="shared" si="20"/>
        <v>0</v>
      </c>
      <c r="Q16" s="114">
        <f t="shared" si="21"/>
        <v>0.25000000000000355</v>
      </c>
      <c r="R16" s="115" t="str">
        <f t="shared" si="22"/>
        <v xml:space="preserve"> </v>
      </c>
      <c r="S16" s="115" t="str">
        <f t="shared" si="23"/>
        <v xml:space="preserve"> </v>
      </c>
      <c r="T16" s="116" t="str">
        <f t="shared" si="24"/>
        <v/>
      </c>
      <c r="U16" s="117"/>
      <c r="V16" s="118"/>
      <c r="W16" s="131"/>
    </row>
    <row r="17" spans="1:23" ht="13.2">
      <c r="A17" s="102">
        <v>6</v>
      </c>
      <c r="B17" s="102" t="s">
        <v>60</v>
      </c>
      <c r="C17" s="104">
        <v>1</v>
      </c>
      <c r="D17" s="105" t="s">
        <v>62</v>
      </c>
      <c r="E17" s="106">
        <v>16</v>
      </c>
      <c r="F17" s="107">
        <v>0.5</v>
      </c>
      <c r="G17" s="108">
        <v>0.5</v>
      </c>
      <c r="H17" s="109" t="s">
        <v>55</v>
      </c>
      <c r="I17" s="110">
        <v>16.16</v>
      </c>
      <c r="J17" s="110">
        <v>15.972</v>
      </c>
      <c r="K17" s="119">
        <v>16.111999999999998</v>
      </c>
      <c r="L17" s="111">
        <f t="shared" si="0"/>
        <v>0.16000000000000014</v>
      </c>
      <c r="M17" s="112">
        <f t="shared" si="0"/>
        <v>-2.8000000000000469E-2</v>
      </c>
      <c r="N17" s="112">
        <f t="shared" si="0"/>
        <v>0.11199999999999832</v>
      </c>
      <c r="O17" s="112">
        <f t="shared" si="1"/>
        <v>16.081333333333333</v>
      </c>
      <c r="P17" s="113">
        <f t="shared" si="2"/>
        <v>0.32000000000000028</v>
      </c>
      <c r="Q17" s="114">
        <f t="shared" si="3"/>
        <v>5.6000000000000938E-2</v>
      </c>
      <c r="R17" s="115" t="str">
        <f t="shared" si="4"/>
        <v xml:space="preserve"> </v>
      </c>
      <c r="S17" s="115" t="str">
        <f t="shared" si="5"/>
        <v xml:space="preserve"> </v>
      </c>
      <c r="T17" s="116" t="str">
        <f t="shared" si="6"/>
        <v/>
      </c>
      <c r="U17" s="117"/>
      <c r="V17" s="118"/>
      <c r="W17" s="131"/>
    </row>
    <row r="18" spans="1:23" ht="13.2">
      <c r="A18" s="102">
        <v>4.5</v>
      </c>
      <c r="B18" s="102" t="s">
        <v>61</v>
      </c>
      <c r="C18" s="104">
        <v>1</v>
      </c>
      <c r="D18" s="105" t="s">
        <v>63</v>
      </c>
      <c r="E18" s="106">
        <v>16</v>
      </c>
      <c r="F18" s="107">
        <v>0.5</v>
      </c>
      <c r="G18" s="108">
        <v>0.5</v>
      </c>
      <c r="H18" s="109" t="s">
        <v>587</v>
      </c>
      <c r="I18" s="110">
        <v>16.213999999999999</v>
      </c>
      <c r="J18" s="110">
        <v>15.750999999999999</v>
      </c>
      <c r="K18" s="119">
        <v>15.781000000000001</v>
      </c>
      <c r="L18" s="111">
        <f t="shared" si="0"/>
        <v>0.21399999999999864</v>
      </c>
      <c r="M18" s="112">
        <f t="shared" si="0"/>
        <v>-0.24900000000000055</v>
      </c>
      <c r="N18" s="112">
        <f t="shared" si="0"/>
        <v>-0.21899999999999942</v>
      </c>
      <c r="O18" s="112">
        <f t="shared" si="1"/>
        <v>15.915333333333331</v>
      </c>
      <c r="P18" s="113">
        <f t="shared" si="2"/>
        <v>0.42799999999999727</v>
      </c>
      <c r="Q18" s="114">
        <f t="shared" si="3"/>
        <v>0.49800000000000111</v>
      </c>
      <c r="R18" s="115" t="str">
        <f t="shared" si="4"/>
        <v xml:space="preserve"> </v>
      </c>
      <c r="S18" s="115" t="str">
        <f t="shared" si="5"/>
        <v xml:space="preserve"> </v>
      </c>
      <c r="T18" s="116" t="str">
        <f t="shared" si="6"/>
        <v/>
      </c>
      <c r="U18" s="117"/>
      <c r="V18" s="118"/>
      <c r="W18" s="131"/>
    </row>
    <row r="19" spans="1:23" ht="13.2">
      <c r="A19" s="102">
        <v>10</v>
      </c>
      <c r="B19" s="102"/>
      <c r="C19" s="104">
        <v>1</v>
      </c>
      <c r="D19" s="105" t="s">
        <v>64</v>
      </c>
      <c r="E19" s="106">
        <v>0</v>
      </c>
      <c r="F19" s="107">
        <v>0.2</v>
      </c>
      <c r="G19" s="108">
        <v>0</v>
      </c>
      <c r="H19" s="109" t="s">
        <v>55</v>
      </c>
      <c r="I19" s="110">
        <v>0.127</v>
      </c>
      <c r="J19" s="110">
        <v>0.112</v>
      </c>
      <c r="K19" s="119">
        <v>0.121</v>
      </c>
      <c r="L19" s="111">
        <f t="shared" si="0"/>
        <v>0.127</v>
      </c>
      <c r="M19" s="112">
        <f t="shared" si="0"/>
        <v>0.112</v>
      </c>
      <c r="N19" s="112">
        <f t="shared" si="0"/>
        <v>0.121</v>
      </c>
      <c r="O19" s="112">
        <f t="shared" si="1"/>
        <v>0.12</v>
      </c>
      <c r="P19" s="113">
        <f t="shared" si="2"/>
        <v>0.63500000000000001</v>
      </c>
      <c r="Q19" s="114" t="str">
        <f t="shared" si="3"/>
        <v>N/A</v>
      </c>
      <c r="R19" s="115" t="str">
        <f t="shared" si="4"/>
        <v xml:space="preserve"> </v>
      </c>
      <c r="S19" s="115" t="str">
        <f t="shared" si="5"/>
        <v/>
      </c>
      <c r="T19" s="116" t="str">
        <f t="shared" si="6"/>
        <v/>
      </c>
      <c r="U19" s="117"/>
      <c r="V19" s="118"/>
      <c r="W19" s="131"/>
    </row>
    <row r="20" spans="1:23" ht="13.2">
      <c r="A20" s="102" t="s">
        <v>65</v>
      </c>
      <c r="B20" s="102"/>
      <c r="C20" s="104">
        <v>1</v>
      </c>
      <c r="D20" s="105" t="s">
        <v>58</v>
      </c>
      <c r="E20" s="106">
        <v>0</v>
      </c>
      <c r="F20" s="107">
        <v>0.2</v>
      </c>
      <c r="G20" s="108">
        <v>0</v>
      </c>
      <c r="H20" s="109" t="s">
        <v>581</v>
      </c>
      <c r="I20" s="110">
        <v>1.2999999999999999E-2</v>
      </c>
      <c r="J20" s="110">
        <v>2.8000000000000001E-2</v>
      </c>
      <c r="K20" s="119">
        <v>1.4999999999999999E-2</v>
      </c>
      <c r="L20" s="111">
        <f t="shared" si="0"/>
        <v>1.2999999999999999E-2</v>
      </c>
      <c r="M20" s="112">
        <f t="shared" si="0"/>
        <v>2.8000000000000001E-2</v>
      </c>
      <c r="N20" s="112">
        <f t="shared" si="0"/>
        <v>1.4999999999999999E-2</v>
      </c>
      <c r="O20" s="112">
        <f t="shared" si="1"/>
        <v>1.8666666666666668E-2</v>
      </c>
      <c r="P20" s="113">
        <f t="shared" si="2"/>
        <v>0.13999999999999999</v>
      </c>
      <c r="Q20" s="114" t="str">
        <f t="shared" si="3"/>
        <v>N/A</v>
      </c>
      <c r="R20" s="115" t="str">
        <f t="shared" si="4"/>
        <v xml:space="preserve"> </v>
      </c>
      <c r="S20" s="115" t="str">
        <f t="shared" si="5"/>
        <v/>
      </c>
      <c r="T20" s="116" t="str">
        <f t="shared" si="6"/>
        <v/>
      </c>
      <c r="U20" s="117"/>
      <c r="V20" s="118"/>
      <c r="W20" s="131"/>
    </row>
    <row r="21" spans="1:23" ht="13.2">
      <c r="A21" s="102" t="s">
        <v>66</v>
      </c>
      <c r="B21" s="102"/>
      <c r="C21" s="104">
        <v>1</v>
      </c>
      <c r="D21" s="105" t="s">
        <v>58</v>
      </c>
      <c r="E21" s="106">
        <v>0</v>
      </c>
      <c r="F21" s="107">
        <v>0.2</v>
      </c>
      <c r="G21" s="108">
        <v>0</v>
      </c>
      <c r="H21" s="109" t="s">
        <v>581</v>
      </c>
      <c r="I21" s="110">
        <v>0.03</v>
      </c>
      <c r="J21" s="110">
        <v>2.7E-2</v>
      </c>
      <c r="K21" s="119">
        <v>2.9000000000000001E-2</v>
      </c>
      <c r="L21" s="111">
        <f t="shared" si="0"/>
        <v>0.03</v>
      </c>
      <c r="M21" s="112">
        <f t="shared" si="0"/>
        <v>2.7E-2</v>
      </c>
      <c r="N21" s="112">
        <f t="shared" si="0"/>
        <v>2.9000000000000001E-2</v>
      </c>
      <c r="O21" s="112">
        <f t="shared" si="1"/>
        <v>2.8666666666666663E-2</v>
      </c>
      <c r="P21" s="113">
        <f t="shared" si="2"/>
        <v>0.15</v>
      </c>
      <c r="Q21" s="114" t="str">
        <f t="shared" si="3"/>
        <v>N/A</v>
      </c>
      <c r="R21" s="115" t="str">
        <f t="shared" si="4"/>
        <v xml:space="preserve"> </v>
      </c>
      <c r="S21" s="115" t="str">
        <f t="shared" si="5"/>
        <v/>
      </c>
      <c r="T21" s="116" t="str">
        <f t="shared" si="6"/>
        <v/>
      </c>
      <c r="U21" s="117"/>
      <c r="V21" s="118"/>
      <c r="W21" s="131"/>
    </row>
    <row r="22" spans="1:23" ht="13.2">
      <c r="A22" s="102">
        <v>13</v>
      </c>
      <c r="B22" s="102"/>
      <c r="C22" s="104">
        <v>1</v>
      </c>
      <c r="D22" s="105" t="s">
        <v>67</v>
      </c>
      <c r="E22" s="106">
        <v>22.97</v>
      </c>
      <c r="F22" s="107">
        <v>0.1</v>
      </c>
      <c r="G22" s="108">
        <v>0.1</v>
      </c>
      <c r="H22" s="109" t="s">
        <v>55</v>
      </c>
      <c r="I22" s="110">
        <v>22.873999999999999</v>
      </c>
      <c r="J22" s="110">
        <v>22.875</v>
      </c>
      <c r="K22" s="119">
        <v>22.873999999999999</v>
      </c>
      <c r="L22" s="111">
        <f t="shared" si="0"/>
        <v>-9.6000000000000085E-2</v>
      </c>
      <c r="M22" s="112">
        <f t="shared" si="0"/>
        <v>-9.4999999999998863E-2</v>
      </c>
      <c r="N22" s="112">
        <f t="shared" si="0"/>
        <v>-9.6000000000000085E-2</v>
      </c>
      <c r="O22" s="112">
        <f t="shared" si="1"/>
        <v>22.874333333333329</v>
      </c>
      <c r="P22" s="113">
        <f t="shared" si="2"/>
        <v>0</v>
      </c>
      <c r="Q22" s="114">
        <f t="shared" si="3"/>
        <v>0.96000000000000085</v>
      </c>
      <c r="R22" s="115" t="str">
        <f t="shared" si="4"/>
        <v xml:space="preserve"> </v>
      </c>
      <c r="S22" s="115" t="str">
        <f t="shared" si="5"/>
        <v>Alert</v>
      </c>
      <c r="T22" s="116" t="str">
        <f t="shared" si="6"/>
        <v>Alert</v>
      </c>
      <c r="U22" s="117"/>
      <c r="V22" s="118"/>
      <c r="W22" s="131"/>
    </row>
    <row r="23" spans="1:23" ht="13.2">
      <c r="A23" s="102">
        <v>14</v>
      </c>
      <c r="B23" s="102"/>
      <c r="C23" s="104">
        <v>1</v>
      </c>
      <c r="D23" s="105" t="s">
        <v>67</v>
      </c>
      <c r="E23" s="106">
        <v>2.8</v>
      </c>
      <c r="F23" s="107">
        <v>0.4</v>
      </c>
      <c r="G23" s="108">
        <v>0.4</v>
      </c>
      <c r="H23" s="109" t="s">
        <v>55</v>
      </c>
      <c r="I23" s="110">
        <v>2.6970000000000001</v>
      </c>
      <c r="J23" s="110">
        <v>2.7309999999999999</v>
      </c>
      <c r="K23" s="119">
        <v>2.7069999999999999</v>
      </c>
      <c r="L23" s="111">
        <f t="shared" si="0"/>
        <v>-0.10299999999999976</v>
      </c>
      <c r="M23" s="112">
        <f t="shared" si="0"/>
        <v>-6.899999999999995E-2</v>
      </c>
      <c r="N23" s="112">
        <f t="shared" si="0"/>
        <v>-9.2999999999999972E-2</v>
      </c>
      <c r="O23" s="112">
        <f t="shared" si="1"/>
        <v>2.7116666666666664</v>
      </c>
      <c r="P23" s="113">
        <f t="shared" si="2"/>
        <v>0</v>
      </c>
      <c r="Q23" s="114">
        <f t="shared" si="3"/>
        <v>0.2574999999999994</v>
      </c>
      <c r="R23" s="115" t="str">
        <f t="shared" si="4"/>
        <v xml:space="preserve"> </v>
      </c>
      <c r="S23" s="115" t="str">
        <f t="shared" si="5"/>
        <v xml:space="preserve"> </v>
      </c>
      <c r="T23" s="116" t="str">
        <f t="shared" si="6"/>
        <v/>
      </c>
      <c r="U23" s="117"/>
      <c r="V23" s="118"/>
      <c r="W23" s="131"/>
    </row>
    <row r="24" spans="1:23" ht="13.2">
      <c r="A24" s="102">
        <v>15</v>
      </c>
      <c r="B24" s="102"/>
      <c r="C24" s="104">
        <v>1</v>
      </c>
      <c r="D24" s="105" t="s">
        <v>67</v>
      </c>
      <c r="E24" s="106">
        <v>3.25</v>
      </c>
      <c r="F24" s="107">
        <v>0.1</v>
      </c>
      <c r="G24" s="108">
        <v>0.1</v>
      </c>
      <c r="H24" s="109" t="s">
        <v>55</v>
      </c>
      <c r="I24" s="110">
        <v>3.2679999999999998</v>
      </c>
      <c r="J24" s="110">
        <v>3.2789999999999999</v>
      </c>
      <c r="K24" s="119">
        <v>3.2759999999999998</v>
      </c>
      <c r="L24" s="111">
        <f t="shared" si="0"/>
        <v>1.7999999999999794E-2</v>
      </c>
      <c r="M24" s="112">
        <f t="shared" si="0"/>
        <v>2.8999999999999915E-2</v>
      </c>
      <c r="N24" s="112">
        <f t="shared" si="0"/>
        <v>2.5999999999999801E-2</v>
      </c>
      <c r="O24" s="112">
        <f t="shared" si="1"/>
        <v>3.2743333333333333</v>
      </c>
      <c r="P24" s="113">
        <f t="shared" si="2"/>
        <v>0.28999999999999915</v>
      </c>
      <c r="Q24" s="114">
        <f t="shared" si="3"/>
        <v>0</v>
      </c>
      <c r="R24" s="115" t="str">
        <f t="shared" si="4"/>
        <v xml:space="preserve"> </v>
      </c>
      <c r="S24" s="115" t="str">
        <f t="shared" si="5"/>
        <v xml:space="preserve"> </v>
      </c>
      <c r="T24" s="116" t="str">
        <f t="shared" si="6"/>
        <v/>
      </c>
      <c r="U24" s="117"/>
      <c r="V24" s="118"/>
      <c r="W24" s="131"/>
    </row>
    <row r="25" spans="1:23" ht="13.2">
      <c r="A25" s="102" t="s">
        <v>69</v>
      </c>
      <c r="B25" s="102"/>
      <c r="C25" s="104">
        <v>3</v>
      </c>
      <c r="D25" s="105" t="s">
        <v>68</v>
      </c>
      <c r="E25" s="106">
        <v>2.1</v>
      </c>
      <c r="F25" s="107">
        <v>0.1</v>
      </c>
      <c r="G25" s="108">
        <v>0.1</v>
      </c>
      <c r="H25" s="109" t="s">
        <v>55</v>
      </c>
      <c r="I25" s="110">
        <v>2.0510000000000002</v>
      </c>
      <c r="J25" s="110">
        <v>2.077</v>
      </c>
      <c r="K25" s="119">
        <v>2.0859999999999999</v>
      </c>
      <c r="L25" s="111">
        <f t="shared" si="0"/>
        <v>-4.8999999999999932E-2</v>
      </c>
      <c r="M25" s="112">
        <f t="shared" si="0"/>
        <v>-2.3000000000000131E-2</v>
      </c>
      <c r="N25" s="112">
        <f t="shared" si="0"/>
        <v>-1.4000000000000234E-2</v>
      </c>
      <c r="O25" s="112">
        <f t="shared" si="1"/>
        <v>2.0713333333333335</v>
      </c>
      <c r="P25" s="113">
        <f t="shared" si="2"/>
        <v>0</v>
      </c>
      <c r="Q25" s="114">
        <f t="shared" si="3"/>
        <v>0.48999999999999932</v>
      </c>
      <c r="R25" s="115" t="str">
        <f t="shared" si="4"/>
        <v xml:space="preserve"> </v>
      </c>
      <c r="S25" s="115" t="str">
        <f t="shared" si="5"/>
        <v xml:space="preserve"> </v>
      </c>
      <c r="T25" s="116" t="str">
        <f t="shared" si="6"/>
        <v/>
      </c>
      <c r="U25" s="120"/>
      <c r="V25" s="118"/>
      <c r="W25" s="131"/>
    </row>
    <row r="26" spans="1:23" ht="13.2">
      <c r="A26" s="102" t="s">
        <v>70</v>
      </c>
      <c r="B26" s="102"/>
      <c r="C26" s="104">
        <v>3</v>
      </c>
      <c r="D26" s="105" t="s">
        <v>68</v>
      </c>
      <c r="E26" s="106">
        <v>2.1</v>
      </c>
      <c r="F26" s="107">
        <v>0.1</v>
      </c>
      <c r="G26" s="108">
        <v>0.1</v>
      </c>
      <c r="H26" s="109" t="s">
        <v>55</v>
      </c>
      <c r="I26" s="110">
        <v>2.04</v>
      </c>
      <c r="J26" s="110">
        <v>2.0680000000000001</v>
      </c>
      <c r="K26" s="119">
        <v>2.06</v>
      </c>
      <c r="L26" s="111">
        <f t="shared" si="0"/>
        <v>-6.0000000000000053E-2</v>
      </c>
      <c r="M26" s="112">
        <f t="shared" si="0"/>
        <v>-3.2000000000000028E-2</v>
      </c>
      <c r="N26" s="112">
        <f t="shared" si="0"/>
        <v>-4.0000000000000036E-2</v>
      </c>
      <c r="O26" s="112">
        <f t="shared" si="1"/>
        <v>2.0560000000000005</v>
      </c>
      <c r="P26" s="113">
        <f t="shared" si="2"/>
        <v>0</v>
      </c>
      <c r="Q26" s="114">
        <f t="shared" si="3"/>
        <v>0.60000000000000053</v>
      </c>
      <c r="R26" s="115" t="str">
        <f t="shared" si="4"/>
        <v xml:space="preserve"> </v>
      </c>
      <c r="S26" s="115" t="str">
        <f t="shared" si="5"/>
        <v xml:space="preserve"> </v>
      </c>
      <c r="T26" s="116" t="str">
        <f t="shared" si="6"/>
        <v/>
      </c>
      <c r="U26" s="120"/>
      <c r="V26" s="118"/>
      <c r="W26" s="131"/>
    </row>
    <row r="27" spans="1:23" ht="13.2">
      <c r="A27" s="102" t="s">
        <v>71</v>
      </c>
      <c r="B27" s="102"/>
      <c r="C27" s="104">
        <v>3</v>
      </c>
      <c r="D27" s="105" t="s">
        <v>68</v>
      </c>
      <c r="E27" s="106">
        <v>2.1</v>
      </c>
      <c r="F27" s="107">
        <v>0.1</v>
      </c>
      <c r="G27" s="108">
        <v>0.1</v>
      </c>
      <c r="H27" s="109" t="s">
        <v>55</v>
      </c>
      <c r="I27" s="110">
        <v>2.0390000000000001</v>
      </c>
      <c r="J27" s="110">
        <v>2.0550000000000002</v>
      </c>
      <c r="K27" s="119">
        <v>2.056</v>
      </c>
      <c r="L27" s="111">
        <f t="shared" si="0"/>
        <v>-6.0999999999999943E-2</v>
      </c>
      <c r="M27" s="112">
        <f t="shared" si="0"/>
        <v>-4.4999999999999929E-2</v>
      </c>
      <c r="N27" s="112">
        <f t="shared" si="0"/>
        <v>-4.4000000000000039E-2</v>
      </c>
      <c r="O27" s="112">
        <f t="shared" si="1"/>
        <v>2.0500000000000003</v>
      </c>
      <c r="P27" s="113">
        <f t="shared" si="2"/>
        <v>0</v>
      </c>
      <c r="Q27" s="114">
        <f t="shared" si="3"/>
        <v>0.60999999999999943</v>
      </c>
      <c r="R27" s="115" t="str">
        <f t="shared" si="4"/>
        <v xml:space="preserve"> </v>
      </c>
      <c r="S27" s="115" t="str">
        <f t="shared" si="5"/>
        <v xml:space="preserve"> </v>
      </c>
      <c r="T27" s="116" t="str">
        <f t="shared" si="6"/>
        <v/>
      </c>
      <c r="U27" s="120"/>
      <c r="V27" s="118"/>
      <c r="W27" s="131"/>
    </row>
    <row r="28" spans="1:23" ht="13.2">
      <c r="A28" s="102" t="s">
        <v>72</v>
      </c>
      <c r="B28" s="102"/>
      <c r="C28" s="104">
        <v>3</v>
      </c>
      <c r="D28" s="105" t="s">
        <v>68</v>
      </c>
      <c r="E28" s="106">
        <v>2.1</v>
      </c>
      <c r="F28" s="107">
        <v>0.1</v>
      </c>
      <c r="G28" s="108">
        <v>0.1</v>
      </c>
      <c r="H28" s="109" t="s">
        <v>55</v>
      </c>
      <c r="I28" s="110">
        <v>2.0499999999999998</v>
      </c>
      <c r="J28" s="110">
        <v>2.0569999999999999</v>
      </c>
      <c r="K28" s="119">
        <v>2.0489999999999999</v>
      </c>
      <c r="L28" s="111">
        <f t="shared" si="0"/>
        <v>-5.0000000000000266E-2</v>
      </c>
      <c r="M28" s="112">
        <f t="shared" si="0"/>
        <v>-4.3000000000000149E-2</v>
      </c>
      <c r="N28" s="112">
        <f t="shared" si="0"/>
        <v>-5.1000000000000156E-2</v>
      </c>
      <c r="O28" s="112">
        <f t="shared" si="1"/>
        <v>2.0519999999999996</v>
      </c>
      <c r="P28" s="113">
        <f t="shared" si="2"/>
        <v>0</v>
      </c>
      <c r="Q28" s="114">
        <f t="shared" si="3"/>
        <v>0.51000000000000156</v>
      </c>
      <c r="R28" s="115" t="str">
        <f t="shared" si="4"/>
        <v xml:space="preserve"> </v>
      </c>
      <c r="S28" s="115" t="str">
        <f t="shared" si="5"/>
        <v xml:space="preserve"> </v>
      </c>
      <c r="T28" s="116" t="str">
        <f t="shared" si="6"/>
        <v/>
      </c>
      <c r="U28" s="120"/>
      <c r="V28" s="118"/>
      <c r="W28" s="131"/>
    </row>
    <row r="29" spans="1:23" ht="13.2">
      <c r="A29" s="102" t="s">
        <v>73</v>
      </c>
      <c r="B29" s="102"/>
      <c r="C29" s="104">
        <v>3</v>
      </c>
      <c r="D29" s="105" t="s">
        <v>68</v>
      </c>
      <c r="E29" s="106">
        <v>2.1</v>
      </c>
      <c r="F29" s="107">
        <v>0.1</v>
      </c>
      <c r="G29" s="108">
        <v>0.1</v>
      </c>
      <c r="H29" s="109" t="s">
        <v>55</v>
      </c>
      <c r="I29" s="110">
        <v>2.0409999999999999</v>
      </c>
      <c r="J29" s="110">
        <v>2.0619999999999998</v>
      </c>
      <c r="K29" s="119">
        <v>2.06</v>
      </c>
      <c r="L29" s="111">
        <f t="shared" si="0"/>
        <v>-5.9000000000000163E-2</v>
      </c>
      <c r="M29" s="112">
        <f t="shared" si="0"/>
        <v>-3.8000000000000256E-2</v>
      </c>
      <c r="N29" s="112">
        <f t="shared" si="0"/>
        <v>-4.0000000000000036E-2</v>
      </c>
      <c r="O29" s="112">
        <f t="shared" si="1"/>
        <v>2.0543333333333336</v>
      </c>
      <c r="P29" s="113">
        <f t="shared" si="2"/>
        <v>0</v>
      </c>
      <c r="Q29" s="114">
        <f t="shared" si="3"/>
        <v>0.59000000000000163</v>
      </c>
      <c r="R29" s="115" t="str">
        <f t="shared" si="4"/>
        <v xml:space="preserve"> </v>
      </c>
      <c r="S29" s="115" t="str">
        <f t="shared" si="5"/>
        <v xml:space="preserve"> </v>
      </c>
      <c r="T29" s="116" t="str">
        <f t="shared" si="6"/>
        <v/>
      </c>
      <c r="U29" s="120"/>
      <c r="V29" s="118"/>
      <c r="W29" s="131"/>
    </row>
    <row r="30" spans="1:23" ht="13.2">
      <c r="A30" s="102" t="s">
        <v>74</v>
      </c>
      <c r="B30" s="102"/>
      <c r="C30" s="104">
        <v>3</v>
      </c>
      <c r="D30" s="105" t="s">
        <v>68</v>
      </c>
      <c r="E30" s="106">
        <v>2.1</v>
      </c>
      <c r="F30" s="107">
        <v>0.1</v>
      </c>
      <c r="G30" s="108">
        <v>0.1</v>
      </c>
      <c r="H30" s="109" t="s">
        <v>55</v>
      </c>
      <c r="I30" s="110">
        <v>2.0510000000000002</v>
      </c>
      <c r="J30" s="110">
        <v>2.0649999999999999</v>
      </c>
      <c r="K30" s="119">
        <v>2.0640000000000001</v>
      </c>
      <c r="L30" s="111">
        <f t="shared" si="0"/>
        <v>-4.8999999999999932E-2</v>
      </c>
      <c r="M30" s="112">
        <f t="shared" si="0"/>
        <v>-3.5000000000000142E-2</v>
      </c>
      <c r="N30" s="112">
        <f t="shared" si="0"/>
        <v>-3.6000000000000032E-2</v>
      </c>
      <c r="O30" s="112">
        <f t="shared" si="1"/>
        <v>2.06</v>
      </c>
      <c r="P30" s="113">
        <f t="shared" si="2"/>
        <v>0</v>
      </c>
      <c r="Q30" s="114">
        <f t="shared" si="3"/>
        <v>0.48999999999999932</v>
      </c>
      <c r="R30" s="115" t="str">
        <f t="shared" si="4"/>
        <v xml:space="preserve"> </v>
      </c>
      <c r="S30" s="115" t="str">
        <f t="shared" si="5"/>
        <v xml:space="preserve"> </v>
      </c>
      <c r="T30" s="116" t="str">
        <f t="shared" si="6"/>
        <v/>
      </c>
      <c r="U30" s="120"/>
      <c r="V30" s="118"/>
      <c r="W30" s="131"/>
    </row>
    <row r="31" spans="1:23" ht="13.2">
      <c r="A31" s="102" t="s">
        <v>75</v>
      </c>
      <c r="B31" s="102"/>
      <c r="C31" s="104">
        <v>3</v>
      </c>
      <c r="D31" s="105" t="s">
        <v>68</v>
      </c>
      <c r="E31" s="106">
        <v>2.1</v>
      </c>
      <c r="F31" s="107">
        <v>0.1</v>
      </c>
      <c r="G31" s="108">
        <v>0.1</v>
      </c>
      <c r="H31" s="109" t="s">
        <v>55</v>
      </c>
      <c r="I31" s="110">
        <v>2.0499999999999998</v>
      </c>
      <c r="J31" s="110">
        <v>2.0579999999999998</v>
      </c>
      <c r="K31" s="119">
        <v>2.0510000000000002</v>
      </c>
      <c r="L31" s="111">
        <f t="shared" si="0"/>
        <v>-5.0000000000000266E-2</v>
      </c>
      <c r="M31" s="112">
        <f t="shared" si="0"/>
        <v>-4.2000000000000259E-2</v>
      </c>
      <c r="N31" s="112">
        <f t="shared" si="0"/>
        <v>-4.8999999999999932E-2</v>
      </c>
      <c r="O31" s="112">
        <f t="shared" si="1"/>
        <v>2.0529999999999999</v>
      </c>
      <c r="P31" s="113">
        <f t="shared" si="2"/>
        <v>0</v>
      </c>
      <c r="Q31" s="114">
        <f t="shared" si="3"/>
        <v>0.50000000000000266</v>
      </c>
      <c r="R31" s="115" t="str">
        <f t="shared" si="4"/>
        <v xml:space="preserve"> </v>
      </c>
      <c r="S31" s="115" t="str">
        <f t="shared" si="5"/>
        <v xml:space="preserve"> </v>
      </c>
      <c r="T31" s="116" t="str">
        <f t="shared" si="6"/>
        <v/>
      </c>
      <c r="U31" s="120"/>
      <c r="V31" s="118"/>
      <c r="W31" s="131"/>
    </row>
    <row r="32" spans="1:23" ht="13.2">
      <c r="A32" s="102" t="s">
        <v>76</v>
      </c>
      <c r="B32" s="102"/>
      <c r="C32" s="104">
        <v>3</v>
      </c>
      <c r="D32" s="105" t="s">
        <v>68</v>
      </c>
      <c r="E32" s="106">
        <v>2.1</v>
      </c>
      <c r="F32" s="107">
        <v>0.1</v>
      </c>
      <c r="G32" s="108">
        <v>0.1</v>
      </c>
      <c r="H32" s="109" t="s">
        <v>55</v>
      </c>
      <c r="I32" s="110">
        <v>2.04</v>
      </c>
      <c r="J32" s="110">
        <v>2.06</v>
      </c>
      <c r="K32" s="119">
        <v>2.06</v>
      </c>
      <c r="L32" s="111">
        <f t="shared" si="0"/>
        <v>-6.0000000000000053E-2</v>
      </c>
      <c r="M32" s="112">
        <f t="shared" si="0"/>
        <v>-4.0000000000000036E-2</v>
      </c>
      <c r="N32" s="112">
        <f t="shared" si="0"/>
        <v>-4.0000000000000036E-2</v>
      </c>
      <c r="O32" s="112">
        <f t="shared" si="1"/>
        <v>2.0533333333333332</v>
      </c>
      <c r="P32" s="113">
        <f t="shared" si="2"/>
        <v>0</v>
      </c>
      <c r="Q32" s="114">
        <f t="shared" si="3"/>
        <v>0.60000000000000053</v>
      </c>
      <c r="R32" s="115" t="str">
        <f t="shared" si="4"/>
        <v xml:space="preserve"> </v>
      </c>
      <c r="S32" s="115" t="str">
        <f t="shared" si="5"/>
        <v xml:space="preserve"> </v>
      </c>
      <c r="T32" s="116" t="str">
        <f t="shared" si="6"/>
        <v/>
      </c>
      <c r="U32" s="120"/>
      <c r="V32" s="118"/>
      <c r="W32" s="131"/>
    </row>
    <row r="33" spans="1:23" ht="13.2">
      <c r="A33" s="102" t="s">
        <v>77</v>
      </c>
      <c r="B33" s="102"/>
      <c r="C33" s="104">
        <v>3</v>
      </c>
      <c r="D33" s="105" t="s">
        <v>68</v>
      </c>
      <c r="E33" s="106">
        <v>2.1</v>
      </c>
      <c r="F33" s="107">
        <v>0.1</v>
      </c>
      <c r="G33" s="108">
        <v>0.1</v>
      </c>
      <c r="H33" s="109" t="s">
        <v>55</v>
      </c>
      <c r="I33" s="110">
        <v>2.0499999999999998</v>
      </c>
      <c r="J33" s="110">
        <v>2.0569999999999999</v>
      </c>
      <c r="K33" s="119">
        <v>2.0579999999999998</v>
      </c>
      <c r="L33" s="111">
        <f t="shared" si="0"/>
        <v>-5.0000000000000266E-2</v>
      </c>
      <c r="M33" s="112">
        <f t="shared" si="0"/>
        <v>-4.3000000000000149E-2</v>
      </c>
      <c r="N33" s="112">
        <f t="shared" si="0"/>
        <v>-4.2000000000000259E-2</v>
      </c>
      <c r="O33" s="112">
        <f t="shared" si="1"/>
        <v>2.0549999999999997</v>
      </c>
      <c r="P33" s="113">
        <f t="shared" si="2"/>
        <v>0</v>
      </c>
      <c r="Q33" s="114">
        <f t="shared" si="3"/>
        <v>0.50000000000000266</v>
      </c>
      <c r="R33" s="115" t="str">
        <f t="shared" si="4"/>
        <v xml:space="preserve"> </v>
      </c>
      <c r="S33" s="115" t="str">
        <f t="shared" si="5"/>
        <v xml:space="preserve"> </v>
      </c>
      <c r="T33" s="116" t="str">
        <f t="shared" si="6"/>
        <v/>
      </c>
      <c r="U33" s="120"/>
      <c r="V33" s="118"/>
      <c r="W33" s="131"/>
    </row>
    <row r="34" spans="1:23" ht="13.2">
      <c r="A34" s="102" t="s">
        <v>78</v>
      </c>
      <c r="B34" s="102"/>
      <c r="C34" s="104">
        <v>3</v>
      </c>
      <c r="D34" s="105" t="s">
        <v>68</v>
      </c>
      <c r="E34" s="106">
        <v>2.1</v>
      </c>
      <c r="F34" s="107">
        <v>0.1</v>
      </c>
      <c r="G34" s="108">
        <v>0.1</v>
      </c>
      <c r="H34" s="109" t="s">
        <v>55</v>
      </c>
      <c r="I34" s="110">
        <v>2.0470000000000002</v>
      </c>
      <c r="J34" s="110">
        <v>2.0659999999999998</v>
      </c>
      <c r="K34" s="119">
        <v>2.0670000000000002</v>
      </c>
      <c r="L34" s="111">
        <f t="shared" si="0"/>
        <v>-5.2999999999999936E-2</v>
      </c>
      <c r="M34" s="112">
        <f t="shared" si="0"/>
        <v>-3.4000000000000252E-2</v>
      </c>
      <c r="N34" s="112">
        <f t="shared" si="0"/>
        <v>-3.2999999999999918E-2</v>
      </c>
      <c r="O34" s="112">
        <f t="shared" si="1"/>
        <v>2.06</v>
      </c>
      <c r="P34" s="113">
        <f t="shared" si="2"/>
        <v>0</v>
      </c>
      <c r="Q34" s="114">
        <f t="shared" si="3"/>
        <v>0.52999999999999936</v>
      </c>
      <c r="R34" s="115" t="str">
        <f t="shared" si="4"/>
        <v xml:space="preserve"> </v>
      </c>
      <c r="S34" s="115" t="str">
        <f t="shared" si="5"/>
        <v xml:space="preserve"> </v>
      </c>
      <c r="T34" s="116" t="str">
        <f t="shared" si="6"/>
        <v/>
      </c>
      <c r="U34" s="120"/>
      <c r="V34" s="118"/>
      <c r="W34" s="131"/>
    </row>
    <row r="35" spans="1:23" ht="13.2">
      <c r="A35" s="102" t="s">
        <v>79</v>
      </c>
      <c r="B35" s="102"/>
      <c r="C35" s="104">
        <v>3</v>
      </c>
      <c r="D35" s="105" t="s">
        <v>68</v>
      </c>
      <c r="E35" s="106">
        <v>2.1</v>
      </c>
      <c r="F35" s="107">
        <v>0.1</v>
      </c>
      <c r="G35" s="108">
        <v>0.1</v>
      </c>
      <c r="H35" s="109" t="s">
        <v>55</v>
      </c>
      <c r="I35" s="110">
        <v>2.0449999999999999</v>
      </c>
      <c r="J35" s="110">
        <v>2.0619999999999998</v>
      </c>
      <c r="K35" s="119">
        <v>2.0539999999999998</v>
      </c>
      <c r="L35" s="111">
        <f t="shared" si="0"/>
        <v>-5.500000000000016E-2</v>
      </c>
      <c r="M35" s="112">
        <f t="shared" si="0"/>
        <v>-3.8000000000000256E-2</v>
      </c>
      <c r="N35" s="112">
        <f t="shared" si="0"/>
        <v>-4.6000000000000263E-2</v>
      </c>
      <c r="O35" s="112">
        <f t="shared" si="1"/>
        <v>2.0536666666666665</v>
      </c>
      <c r="P35" s="113">
        <f t="shared" si="2"/>
        <v>0</v>
      </c>
      <c r="Q35" s="114">
        <f t="shared" si="3"/>
        <v>0.5500000000000016</v>
      </c>
      <c r="R35" s="115" t="str">
        <f t="shared" si="4"/>
        <v xml:space="preserve"> </v>
      </c>
      <c r="S35" s="115" t="str">
        <f t="shared" si="5"/>
        <v xml:space="preserve"> </v>
      </c>
      <c r="T35" s="116" t="str">
        <f t="shared" si="6"/>
        <v/>
      </c>
      <c r="U35" s="120"/>
      <c r="V35" s="118"/>
      <c r="W35" s="131"/>
    </row>
    <row r="36" spans="1:23" ht="13.2">
      <c r="A36" s="102" t="s">
        <v>80</v>
      </c>
      <c r="B36" s="102"/>
      <c r="C36" s="103">
        <v>3</v>
      </c>
      <c r="D36" s="105" t="s">
        <v>68</v>
      </c>
      <c r="E36" s="106">
        <v>1.17</v>
      </c>
      <c r="F36" s="107">
        <v>0.1</v>
      </c>
      <c r="G36" s="108">
        <v>0.1</v>
      </c>
      <c r="H36" s="109" t="s">
        <v>55</v>
      </c>
      <c r="I36" s="110">
        <v>1.131</v>
      </c>
      <c r="J36" s="110">
        <v>1.153</v>
      </c>
      <c r="K36" s="119">
        <v>1.1379999999999999</v>
      </c>
      <c r="L36" s="111">
        <f t="shared" si="0"/>
        <v>-3.8999999999999924E-2</v>
      </c>
      <c r="M36" s="112">
        <f t="shared" si="0"/>
        <v>-1.6999999999999904E-2</v>
      </c>
      <c r="N36" s="112">
        <f t="shared" si="0"/>
        <v>-3.2000000000000028E-2</v>
      </c>
      <c r="O36" s="112">
        <f t="shared" si="1"/>
        <v>1.1406666666666665</v>
      </c>
      <c r="P36" s="113">
        <f t="shared" si="2"/>
        <v>0</v>
      </c>
      <c r="Q36" s="114">
        <f t="shared" si="3"/>
        <v>0.38999999999999924</v>
      </c>
      <c r="R36" s="115" t="str">
        <f t="shared" si="4"/>
        <v xml:space="preserve"> </v>
      </c>
      <c r="S36" s="115" t="str">
        <f t="shared" si="5"/>
        <v xml:space="preserve"> </v>
      </c>
      <c r="T36" s="116" t="str">
        <f t="shared" si="6"/>
        <v/>
      </c>
      <c r="U36" s="120"/>
      <c r="V36" s="118"/>
      <c r="W36" s="131"/>
    </row>
    <row r="37" spans="1:23" ht="13.2">
      <c r="A37" s="102" t="s">
        <v>81</v>
      </c>
      <c r="B37" s="102"/>
      <c r="C37" s="103">
        <v>3</v>
      </c>
      <c r="D37" s="105" t="s">
        <v>68</v>
      </c>
      <c r="E37" s="106">
        <v>1.17</v>
      </c>
      <c r="F37" s="107">
        <v>0.1</v>
      </c>
      <c r="G37" s="108">
        <v>0.1</v>
      </c>
      <c r="H37" s="109" t="s">
        <v>55</v>
      </c>
      <c r="I37" s="110">
        <v>1.119</v>
      </c>
      <c r="J37" s="110">
        <v>1.143</v>
      </c>
      <c r="K37" s="119">
        <v>1.1459999999999999</v>
      </c>
      <c r="L37" s="111">
        <f t="shared" si="0"/>
        <v>-5.0999999999999934E-2</v>
      </c>
      <c r="M37" s="112">
        <f t="shared" si="0"/>
        <v>-2.6999999999999913E-2</v>
      </c>
      <c r="N37" s="112">
        <f t="shared" si="0"/>
        <v>-2.4000000000000021E-2</v>
      </c>
      <c r="O37" s="112">
        <f t="shared" si="1"/>
        <v>1.1359999999999999</v>
      </c>
      <c r="P37" s="113">
        <f t="shared" si="2"/>
        <v>0</v>
      </c>
      <c r="Q37" s="114">
        <f t="shared" si="3"/>
        <v>0.50999999999999934</v>
      </c>
      <c r="R37" s="115" t="str">
        <f t="shared" si="4"/>
        <v xml:space="preserve"> </v>
      </c>
      <c r="S37" s="115" t="str">
        <f t="shared" si="5"/>
        <v xml:space="preserve"> </v>
      </c>
      <c r="T37" s="116" t="str">
        <f t="shared" si="6"/>
        <v/>
      </c>
      <c r="U37" s="120"/>
      <c r="V37" s="118"/>
      <c r="W37" s="131"/>
    </row>
    <row r="38" spans="1:23" ht="13.2">
      <c r="A38" s="102" t="s">
        <v>82</v>
      </c>
      <c r="B38" s="102"/>
      <c r="C38" s="103">
        <v>3</v>
      </c>
      <c r="D38" s="105" t="s">
        <v>68</v>
      </c>
      <c r="E38" s="106">
        <v>1.17</v>
      </c>
      <c r="F38" s="107">
        <v>0.1</v>
      </c>
      <c r="G38" s="108">
        <v>0.1</v>
      </c>
      <c r="H38" s="109" t="s">
        <v>55</v>
      </c>
      <c r="I38" s="110">
        <v>1.127</v>
      </c>
      <c r="J38" s="110">
        <v>1.1519999999999999</v>
      </c>
      <c r="K38" s="119">
        <v>1.129</v>
      </c>
      <c r="L38" s="111">
        <f t="shared" ref="L38:N53" si="25">IF(ISBLANK($E38),"",IF(ISERR(I38/I38)=TRUE,"BAD INSP",I38-$E38))</f>
        <v>-4.2999999999999927E-2</v>
      </c>
      <c r="M38" s="112">
        <f t="shared" si="25"/>
        <v>-1.8000000000000016E-2</v>
      </c>
      <c r="N38" s="112">
        <f t="shared" si="25"/>
        <v>-4.0999999999999925E-2</v>
      </c>
      <c r="O38" s="112">
        <f t="shared" si="1"/>
        <v>1.1359999999999999</v>
      </c>
      <c r="P38" s="113">
        <f t="shared" si="2"/>
        <v>0</v>
      </c>
      <c r="Q38" s="114">
        <f t="shared" si="3"/>
        <v>0.42999999999999927</v>
      </c>
      <c r="R38" s="115" t="str">
        <f t="shared" si="4"/>
        <v xml:space="preserve"> </v>
      </c>
      <c r="S38" s="115" t="str">
        <f t="shared" si="5"/>
        <v xml:space="preserve"> </v>
      </c>
      <c r="T38" s="116" t="str">
        <f t="shared" si="6"/>
        <v/>
      </c>
      <c r="U38" s="120"/>
      <c r="V38" s="118"/>
      <c r="W38" s="131"/>
    </row>
    <row r="39" spans="1:23" ht="13.2">
      <c r="A39" s="102" t="s">
        <v>83</v>
      </c>
      <c r="B39" s="102"/>
      <c r="C39" s="103">
        <v>3</v>
      </c>
      <c r="D39" s="105" t="s">
        <v>68</v>
      </c>
      <c r="E39" s="106">
        <v>1.17</v>
      </c>
      <c r="F39" s="107">
        <v>0.1</v>
      </c>
      <c r="G39" s="108">
        <v>0.1</v>
      </c>
      <c r="H39" s="109" t="s">
        <v>55</v>
      </c>
      <c r="I39" s="110">
        <v>1.119</v>
      </c>
      <c r="J39" s="110">
        <v>1.1519999999999999</v>
      </c>
      <c r="K39" s="119">
        <v>1.141</v>
      </c>
      <c r="L39" s="111">
        <f t="shared" si="25"/>
        <v>-5.0999999999999934E-2</v>
      </c>
      <c r="M39" s="112">
        <f t="shared" si="25"/>
        <v>-1.8000000000000016E-2</v>
      </c>
      <c r="N39" s="112">
        <f t="shared" si="25"/>
        <v>-2.8999999999999915E-2</v>
      </c>
      <c r="O39" s="112">
        <f t="shared" si="1"/>
        <v>1.1373333333333333</v>
      </c>
      <c r="P39" s="113">
        <f t="shared" si="2"/>
        <v>0</v>
      </c>
      <c r="Q39" s="114">
        <f t="shared" si="3"/>
        <v>0.50999999999999934</v>
      </c>
      <c r="R39" s="115" t="str">
        <f t="shared" si="4"/>
        <v xml:space="preserve"> </v>
      </c>
      <c r="S39" s="115" t="str">
        <f t="shared" si="5"/>
        <v xml:space="preserve"> </v>
      </c>
      <c r="T39" s="116" t="str">
        <f t="shared" si="6"/>
        <v/>
      </c>
      <c r="U39" s="120"/>
      <c r="V39" s="118"/>
      <c r="W39" s="131"/>
    </row>
    <row r="40" spans="1:23" ht="13.2">
      <c r="A40" s="102" t="s">
        <v>84</v>
      </c>
      <c r="B40" s="102"/>
      <c r="C40" s="103">
        <v>3</v>
      </c>
      <c r="D40" s="105" t="s">
        <v>68</v>
      </c>
      <c r="E40" s="106">
        <v>1.17</v>
      </c>
      <c r="F40" s="107">
        <v>0.1</v>
      </c>
      <c r="G40" s="108">
        <v>0.1</v>
      </c>
      <c r="H40" s="109" t="s">
        <v>55</v>
      </c>
      <c r="I40" s="110">
        <v>1.131</v>
      </c>
      <c r="J40" s="110">
        <v>1.1459999999999999</v>
      </c>
      <c r="K40" s="119">
        <v>1.151</v>
      </c>
      <c r="L40" s="111">
        <f t="shared" si="25"/>
        <v>-3.8999999999999924E-2</v>
      </c>
      <c r="M40" s="112">
        <f t="shared" si="25"/>
        <v>-2.4000000000000021E-2</v>
      </c>
      <c r="N40" s="112">
        <f t="shared" si="25"/>
        <v>-1.8999999999999906E-2</v>
      </c>
      <c r="O40" s="112">
        <f t="shared" si="1"/>
        <v>1.1426666666666667</v>
      </c>
      <c r="P40" s="113">
        <f t="shared" si="2"/>
        <v>0</v>
      </c>
      <c r="Q40" s="114">
        <f t="shared" si="3"/>
        <v>0.38999999999999924</v>
      </c>
      <c r="R40" s="115" t="str">
        <f t="shared" si="4"/>
        <v xml:space="preserve"> </v>
      </c>
      <c r="S40" s="115" t="str">
        <f t="shared" si="5"/>
        <v xml:space="preserve"> </v>
      </c>
      <c r="T40" s="116" t="str">
        <f t="shared" si="6"/>
        <v/>
      </c>
      <c r="U40" s="120"/>
      <c r="V40" s="118"/>
      <c r="W40" s="131"/>
    </row>
    <row r="41" spans="1:23" ht="13.2">
      <c r="A41" s="102" t="s">
        <v>85</v>
      </c>
      <c r="B41" s="102"/>
      <c r="C41" s="103">
        <v>3</v>
      </c>
      <c r="D41" s="105" t="s">
        <v>68</v>
      </c>
      <c r="E41" s="106">
        <v>1.17</v>
      </c>
      <c r="F41" s="107">
        <v>0.1</v>
      </c>
      <c r="G41" s="108">
        <v>0.1</v>
      </c>
      <c r="H41" s="109" t="s">
        <v>55</v>
      </c>
      <c r="I41" s="110">
        <v>1.1259999999999999</v>
      </c>
      <c r="J41" s="110">
        <v>1.151</v>
      </c>
      <c r="K41" s="119">
        <v>1.1459999999999999</v>
      </c>
      <c r="L41" s="111">
        <f t="shared" si="25"/>
        <v>-4.4000000000000039E-2</v>
      </c>
      <c r="M41" s="112">
        <f t="shared" si="25"/>
        <v>-1.8999999999999906E-2</v>
      </c>
      <c r="N41" s="112">
        <f t="shared" si="25"/>
        <v>-2.4000000000000021E-2</v>
      </c>
      <c r="O41" s="112">
        <f t="shared" si="1"/>
        <v>1.141</v>
      </c>
      <c r="P41" s="113">
        <f t="shared" si="2"/>
        <v>0</v>
      </c>
      <c r="Q41" s="114">
        <f t="shared" si="3"/>
        <v>0.44000000000000039</v>
      </c>
      <c r="R41" s="115" t="str">
        <f t="shared" si="4"/>
        <v xml:space="preserve"> </v>
      </c>
      <c r="S41" s="115" t="str">
        <f t="shared" si="5"/>
        <v xml:space="preserve"> </v>
      </c>
      <c r="T41" s="116" t="str">
        <f t="shared" si="6"/>
        <v/>
      </c>
      <c r="U41" s="120"/>
      <c r="V41" s="118"/>
      <c r="W41" s="131"/>
    </row>
    <row r="42" spans="1:23" ht="13.2">
      <c r="A42" s="102" t="s">
        <v>86</v>
      </c>
      <c r="B42" s="102"/>
      <c r="C42" s="103">
        <v>3</v>
      </c>
      <c r="D42" s="105" t="s">
        <v>68</v>
      </c>
      <c r="E42" s="106">
        <v>1.17</v>
      </c>
      <c r="F42" s="107">
        <v>0.1</v>
      </c>
      <c r="G42" s="108">
        <v>0.1</v>
      </c>
      <c r="H42" s="109" t="s">
        <v>55</v>
      </c>
      <c r="I42" s="110">
        <v>1.125</v>
      </c>
      <c r="J42" s="110">
        <v>1.1539999999999999</v>
      </c>
      <c r="K42" s="119">
        <v>1.149</v>
      </c>
      <c r="L42" s="111">
        <f t="shared" si="25"/>
        <v>-4.4999999999999929E-2</v>
      </c>
      <c r="M42" s="112">
        <f t="shared" si="25"/>
        <v>-1.6000000000000014E-2</v>
      </c>
      <c r="N42" s="112">
        <f t="shared" si="25"/>
        <v>-2.0999999999999908E-2</v>
      </c>
      <c r="O42" s="112">
        <f t="shared" si="1"/>
        <v>1.1426666666666667</v>
      </c>
      <c r="P42" s="113">
        <f t="shared" si="2"/>
        <v>0</v>
      </c>
      <c r="Q42" s="114">
        <f t="shared" si="3"/>
        <v>0.44999999999999929</v>
      </c>
      <c r="R42" s="115" t="str">
        <f t="shared" si="4"/>
        <v xml:space="preserve"> </v>
      </c>
      <c r="S42" s="115" t="str">
        <f t="shared" si="5"/>
        <v xml:space="preserve"> </v>
      </c>
      <c r="T42" s="116" t="str">
        <f t="shared" si="6"/>
        <v/>
      </c>
      <c r="U42" s="120"/>
      <c r="V42" s="118"/>
      <c r="W42" s="131"/>
    </row>
    <row r="43" spans="1:23" ht="13.2">
      <c r="A43" s="102" t="s">
        <v>87</v>
      </c>
      <c r="B43" s="102"/>
      <c r="C43" s="103">
        <v>3</v>
      </c>
      <c r="D43" s="105" t="s">
        <v>68</v>
      </c>
      <c r="E43" s="106">
        <v>1.17</v>
      </c>
      <c r="F43" s="107">
        <v>0.1</v>
      </c>
      <c r="G43" s="108">
        <v>0.1</v>
      </c>
      <c r="H43" s="109" t="s">
        <v>55</v>
      </c>
      <c r="I43" s="110">
        <v>1.143</v>
      </c>
      <c r="J43" s="110">
        <v>1.1539999999999999</v>
      </c>
      <c r="K43" s="119">
        <v>1.159</v>
      </c>
      <c r="L43" s="111">
        <f t="shared" si="25"/>
        <v>-2.6999999999999913E-2</v>
      </c>
      <c r="M43" s="112">
        <f t="shared" si="25"/>
        <v>-1.6000000000000014E-2</v>
      </c>
      <c r="N43" s="112">
        <f t="shared" si="25"/>
        <v>-1.0999999999999899E-2</v>
      </c>
      <c r="O43" s="112">
        <f t="shared" si="1"/>
        <v>1.1519999999999999</v>
      </c>
      <c r="P43" s="113">
        <f t="shared" si="2"/>
        <v>0</v>
      </c>
      <c r="Q43" s="114">
        <f t="shared" si="3"/>
        <v>0.26999999999999913</v>
      </c>
      <c r="R43" s="115" t="str">
        <f t="shared" si="4"/>
        <v xml:space="preserve"> </v>
      </c>
      <c r="S43" s="115" t="str">
        <f t="shared" si="5"/>
        <v xml:space="preserve"> </v>
      </c>
      <c r="T43" s="116" t="str">
        <f t="shared" si="6"/>
        <v/>
      </c>
      <c r="U43" s="120"/>
      <c r="V43" s="118"/>
      <c r="W43" s="131"/>
    </row>
    <row r="44" spans="1:23" ht="13.2">
      <c r="A44" s="102" t="s">
        <v>88</v>
      </c>
      <c r="B44" s="102"/>
      <c r="C44" s="103">
        <v>3</v>
      </c>
      <c r="D44" s="105" t="s">
        <v>68</v>
      </c>
      <c r="E44" s="106">
        <v>1.17</v>
      </c>
      <c r="F44" s="107">
        <v>0.1</v>
      </c>
      <c r="G44" s="108">
        <v>0.1</v>
      </c>
      <c r="H44" s="109" t="s">
        <v>55</v>
      </c>
      <c r="I44" s="110">
        <v>1.137</v>
      </c>
      <c r="J44" s="110">
        <v>1.1399999999999999</v>
      </c>
      <c r="K44" s="119">
        <v>1.173</v>
      </c>
      <c r="L44" s="111">
        <f t="shared" si="25"/>
        <v>-3.2999999999999918E-2</v>
      </c>
      <c r="M44" s="112">
        <f t="shared" si="25"/>
        <v>-3.0000000000000027E-2</v>
      </c>
      <c r="N44" s="112">
        <f t="shared" si="25"/>
        <v>3.0000000000001137E-3</v>
      </c>
      <c r="O44" s="112">
        <f t="shared" si="1"/>
        <v>1.1500000000000001</v>
      </c>
      <c r="P44" s="113">
        <f t="shared" si="2"/>
        <v>3.0000000000001137E-2</v>
      </c>
      <c r="Q44" s="114">
        <f t="shared" si="3"/>
        <v>0.32999999999999918</v>
      </c>
      <c r="R44" s="115" t="str">
        <f t="shared" si="4"/>
        <v xml:space="preserve"> </v>
      </c>
      <c r="S44" s="115" t="str">
        <f t="shared" si="5"/>
        <v xml:space="preserve"> </v>
      </c>
      <c r="T44" s="116" t="str">
        <f t="shared" si="6"/>
        <v/>
      </c>
      <c r="U44" s="120"/>
      <c r="V44" s="118"/>
      <c r="W44" s="131"/>
    </row>
    <row r="45" spans="1:23" ht="13.2">
      <c r="A45" s="102" t="s">
        <v>89</v>
      </c>
      <c r="B45" s="102"/>
      <c r="C45" s="103">
        <v>3</v>
      </c>
      <c r="D45" s="105" t="s">
        <v>68</v>
      </c>
      <c r="E45" s="106">
        <v>1.17</v>
      </c>
      <c r="F45" s="107">
        <v>0.1</v>
      </c>
      <c r="G45" s="108">
        <v>0.1</v>
      </c>
      <c r="H45" s="109" t="s">
        <v>55</v>
      </c>
      <c r="I45" s="110">
        <v>1.131</v>
      </c>
      <c r="J45" s="110">
        <v>1.151</v>
      </c>
      <c r="K45" s="119">
        <v>1.163</v>
      </c>
      <c r="L45" s="111">
        <f t="shared" si="25"/>
        <v>-3.8999999999999924E-2</v>
      </c>
      <c r="M45" s="112">
        <f t="shared" si="25"/>
        <v>-1.8999999999999906E-2</v>
      </c>
      <c r="N45" s="112">
        <f t="shared" si="25"/>
        <v>-6.9999999999998952E-3</v>
      </c>
      <c r="O45" s="112">
        <f t="shared" si="1"/>
        <v>1.1483333333333334</v>
      </c>
      <c r="P45" s="113">
        <f t="shared" si="2"/>
        <v>0</v>
      </c>
      <c r="Q45" s="114">
        <f t="shared" si="3"/>
        <v>0.38999999999999924</v>
      </c>
      <c r="R45" s="115" t="str">
        <f t="shared" si="4"/>
        <v xml:space="preserve"> </v>
      </c>
      <c r="S45" s="115" t="str">
        <f t="shared" si="5"/>
        <v xml:space="preserve"> </v>
      </c>
      <c r="T45" s="116" t="str">
        <f t="shared" si="6"/>
        <v/>
      </c>
      <c r="U45" s="120"/>
      <c r="V45" s="118"/>
      <c r="W45" s="131"/>
    </row>
    <row r="46" spans="1:23" ht="13.2">
      <c r="A46" s="102" t="s">
        <v>90</v>
      </c>
      <c r="B46" s="102"/>
      <c r="C46" s="103">
        <v>3</v>
      </c>
      <c r="D46" s="105" t="s">
        <v>68</v>
      </c>
      <c r="E46" s="106">
        <v>1.17</v>
      </c>
      <c r="F46" s="107">
        <v>0.1</v>
      </c>
      <c r="G46" s="108">
        <v>0.1</v>
      </c>
      <c r="H46" s="109" t="s">
        <v>55</v>
      </c>
      <c r="I46" s="110">
        <v>1.129</v>
      </c>
      <c r="J46" s="110">
        <v>1.147</v>
      </c>
      <c r="K46" s="119">
        <v>1.151</v>
      </c>
      <c r="L46" s="111">
        <f t="shared" si="25"/>
        <v>-4.0999999999999925E-2</v>
      </c>
      <c r="M46" s="112">
        <f t="shared" si="25"/>
        <v>-2.2999999999999909E-2</v>
      </c>
      <c r="N46" s="112">
        <f t="shared" si="25"/>
        <v>-1.8999999999999906E-2</v>
      </c>
      <c r="O46" s="112">
        <f t="shared" si="1"/>
        <v>1.1423333333333332</v>
      </c>
      <c r="P46" s="113">
        <f t="shared" si="2"/>
        <v>0</v>
      </c>
      <c r="Q46" s="114">
        <f t="shared" si="3"/>
        <v>0.40999999999999925</v>
      </c>
      <c r="R46" s="115" t="str">
        <f t="shared" si="4"/>
        <v xml:space="preserve"> </v>
      </c>
      <c r="S46" s="115" t="str">
        <f t="shared" si="5"/>
        <v xml:space="preserve"> </v>
      </c>
      <c r="T46" s="116" t="str">
        <f t="shared" si="6"/>
        <v/>
      </c>
      <c r="U46" s="120"/>
      <c r="V46" s="118"/>
      <c r="W46" s="131"/>
    </row>
    <row r="47" spans="1:23" ht="13.2">
      <c r="A47" s="102" t="s">
        <v>91</v>
      </c>
      <c r="B47" s="102"/>
      <c r="C47" s="103">
        <v>3</v>
      </c>
      <c r="D47" s="105" t="s">
        <v>68</v>
      </c>
      <c r="E47" s="106">
        <v>1.17</v>
      </c>
      <c r="F47" s="107">
        <v>0.1</v>
      </c>
      <c r="G47" s="108">
        <v>0.1</v>
      </c>
      <c r="H47" s="109" t="s">
        <v>55</v>
      </c>
      <c r="I47" s="110">
        <v>1.141</v>
      </c>
      <c r="J47" s="110">
        <v>1.145</v>
      </c>
      <c r="K47" s="119">
        <v>1.1459999999999999</v>
      </c>
      <c r="L47" s="111">
        <f t="shared" si="25"/>
        <v>-2.8999999999999915E-2</v>
      </c>
      <c r="M47" s="112">
        <f t="shared" si="25"/>
        <v>-2.4999999999999911E-2</v>
      </c>
      <c r="N47" s="112">
        <f t="shared" si="25"/>
        <v>-2.4000000000000021E-2</v>
      </c>
      <c r="O47" s="112">
        <f t="shared" si="1"/>
        <v>1.1439999999999999</v>
      </c>
      <c r="P47" s="113">
        <f t="shared" si="2"/>
        <v>0</v>
      </c>
      <c r="Q47" s="114">
        <f t="shared" si="3"/>
        <v>0.28999999999999915</v>
      </c>
      <c r="R47" s="115" t="str">
        <f t="shared" si="4"/>
        <v xml:space="preserve"> </v>
      </c>
      <c r="S47" s="115" t="str">
        <f t="shared" si="5"/>
        <v xml:space="preserve"> </v>
      </c>
      <c r="T47" s="116" t="str">
        <f t="shared" si="6"/>
        <v/>
      </c>
      <c r="U47" s="120"/>
      <c r="V47" s="118"/>
      <c r="W47" s="131"/>
    </row>
    <row r="48" spans="1:23" ht="13.2">
      <c r="A48" s="102" t="s">
        <v>92</v>
      </c>
      <c r="B48" s="103"/>
      <c r="C48" s="103">
        <v>3</v>
      </c>
      <c r="D48" s="105" t="s">
        <v>68</v>
      </c>
      <c r="E48" s="106">
        <v>1.17</v>
      </c>
      <c r="F48" s="107">
        <v>0.1</v>
      </c>
      <c r="G48" s="108">
        <v>0.1</v>
      </c>
      <c r="H48" s="109" t="s">
        <v>55</v>
      </c>
      <c r="I48" s="110">
        <v>1.135</v>
      </c>
      <c r="J48" s="110">
        <v>1.141</v>
      </c>
      <c r="K48" s="119">
        <v>1.1479999999999999</v>
      </c>
      <c r="L48" s="111">
        <f t="shared" si="25"/>
        <v>-3.499999999999992E-2</v>
      </c>
      <c r="M48" s="112">
        <f t="shared" si="25"/>
        <v>-2.8999999999999915E-2</v>
      </c>
      <c r="N48" s="112">
        <f t="shared" si="25"/>
        <v>-2.200000000000002E-2</v>
      </c>
      <c r="O48" s="112">
        <f t="shared" si="1"/>
        <v>1.1413333333333331</v>
      </c>
      <c r="P48" s="113">
        <f t="shared" si="2"/>
        <v>0</v>
      </c>
      <c r="Q48" s="114">
        <f t="shared" si="3"/>
        <v>0.3499999999999992</v>
      </c>
      <c r="R48" s="115" t="str">
        <f t="shared" si="4"/>
        <v xml:space="preserve"> </v>
      </c>
      <c r="S48" s="115" t="str">
        <f t="shared" si="5"/>
        <v xml:space="preserve"> </v>
      </c>
      <c r="T48" s="116" t="str">
        <f t="shared" si="6"/>
        <v/>
      </c>
      <c r="U48" s="120"/>
      <c r="V48" s="118"/>
      <c r="W48" s="131"/>
    </row>
    <row r="49" spans="1:23" ht="13.2">
      <c r="A49" s="102" t="s">
        <v>93</v>
      </c>
      <c r="B49" s="103"/>
      <c r="C49" s="103">
        <v>3</v>
      </c>
      <c r="D49" s="105" t="s">
        <v>68</v>
      </c>
      <c r="E49" s="106">
        <v>1.17</v>
      </c>
      <c r="F49" s="107">
        <v>0.1</v>
      </c>
      <c r="G49" s="108">
        <v>0.1</v>
      </c>
      <c r="H49" s="109" t="s">
        <v>55</v>
      </c>
      <c r="I49" s="110">
        <v>1.1359999999999999</v>
      </c>
      <c r="J49" s="110">
        <v>1.1439999999999999</v>
      </c>
      <c r="K49" s="119">
        <v>1.139</v>
      </c>
      <c r="L49" s="111">
        <f t="shared" si="25"/>
        <v>-3.400000000000003E-2</v>
      </c>
      <c r="M49" s="112">
        <f t="shared" si="25"/>
        <v>-2.6000000000000023E-2</v>
      </c>
      <c r="N49" s="112">
        <f t="shared" si="25"/>
        <v>-3.0999999999999917E-2</v>
      </c>
      <c r="O49" s="112">
        <f t="shared" si="1"/>
        <v>1.1396666666666666</v>
      </c>
      <c r="P49" s="113">
        <f t="shared" si="2"/>
        <v>0</v>
      </c>
      <c r="Q49" s="114">
        <f t="shared" si="3"/>
        <v>0.3400000000000003</v>
      </c>
      <c r="R49" s="115" t="str">
        <f t="shared" si="4"/>
        <v xml:space="preserve"> </v>
      </c>
      <c r="S49" s="115" t="str">
        <f t="shared" si="5"/>
        <v xml:space="preserve"> </v>
      </c>
      <c r="T49" s="116" t="str">
        <f t="shared" si="6"/>
        <v/>
      </c>
      <c r="U49" s="120"/>
      <c r="V49" s="118"/>
      <c r="W49" s="131"/>
    </row>
    <row r="50" spans="1:23" ht="13.2">
      <c r="A50" s="102" t="s">
        <v>94</v>
      </c>
      <c r="B50" s="103"/>
      <c r="C50" s="103">
        <v>3</v>
      </c>
      <c r="D50" s="105" t="s">
        <v>68</v>
      </c>
      <c r="E50" s="106">
        <v>1.17</v>
      </c>
      <c r="F50" s="107">
        <v>0.1</v>
      </c>
      <c r="G50" s="108">
        <v>0.1</v>
      </c>
      <c r="H50" s="109" t="s">
        <v>55</v>
      </c>
      <c r="I50" s="110">
        <v>1.137</v>
      </c>
      <c r="J50" s="110">
        <v>1.145</v>
      </c>
      <c r="K50" s="119">
        <v>1.1319999999999999</v>
      </c>
      <c r="L50" s="111">
        <f t="shared" si="25"/>
        <v>-3.2999999999999918E-2</v>
      </c>
      <c r="M50" s="112">
        <f t="shared" si="25"/>
        <v>-2.4999999999999911E-2</v>
      </c>
      <c r="N50" s="112">
        <f t="shared" si="25"/>
        <v>-3.8000000000000034E-2</v>
      </c>
      <c r="O50" s="112">
        <f t="shared" si="1"/>
        <v>1.1379999999999999</v>
      </c>
      <c r="P50" s="113">
        <f t="shared" si="2"/>
        <v>0</v>
      </c>
      <c r="Q50" s="114">
        <f t="shared" si="3"/>
        <v>0.38000000000000034</v>
      </c>
      <c r="R50" s="115" t="str">
        <f t="shared" si="4"/>
        <v xml:space="preserve"> </v>
      </c>
      <c r="S50" s="115" t="str">
        <f t="shared" si="5"/>
        <v xml:space="preserve"> </v>
      </c>
      <c r="T50" s="116" t="str">
        <f t="shared" si="6"/>
        <v/>
      </c>
      <c r="U50" s="120"/>
      <c r="V50" s="118"/>
      <c r="W50" s="131"/>
    </row>
    <row r="51" spans="1:23" ht="13.2">
      <c r="A51" s="102" t="s">
        <v>95</v>
      </c>
      <c r="B51" s="103"/>
      <c r="C51" s="103">
        <v>3</v>
      </c>
      <c r="D51" s="105" t="s">
        <v>68</v>
      </c>
      <c r="E51" s="106">
        <v>1.17</v>
      </c>
      <c r="F51" s="107">
        <v>0.1</v>
      </c>
      <c r="G51" s="108">
        <v>0.1</v>
      </c>
      <c r="H51" s="109" t="s">
        <v>55</v>
      </c>
      <c r="I51" s="110">
        <v>1.1279999999999999</v>
      </c>
      <c r="J51" s="110">
        <v>1.141</v>
      </c>
      <c r="K51" s="119">
        <v>1.145</v>
      </c>
      <c r="L51" s="111">
        <f t="shared" si="25"/>
        <v>-4.2000000000000037E-2</v>
      </c>
      <c r="M51" s="112">
        <f t="shared" si="25"/>
        <v>-2.8999999999999915E-2</v>
      </c>
      <c r="N51" s="112">
        <f t="shared" si="25"/>
        <v>-2.4999999999999911E-2</v>
      </c>
      <c r="O51" s="112">
        <f t="shared" si="1"/>
        <v>1.1380000000000001</v>
      </c>
      <c r="P51" s="113">
        <f t="shared" si="2"/>
        <v>0</v>
      </c>
      <c r="Q51" s="114">
        <f t="shared" si="3"/>
        <v>0.42000000000000037</v>
      </c>
      <c r="R51" s="115" t="str">
        <f t="shared" si="4"/>
        <v xml:space="preserve"> </v>
      </c>
      <c r="S51" s="115" t="str">
        <f t="shared" si="5"/>
        <v xml:space="preserve"> </v>
      </c>
      <c r="T51" s="116" t="str">
        <f t="shared" si="6"/>
        <v/>
      </c>
      <c r="U51" s="120"/>
      <c r="V51" s="118"/>
      <c r="W51" s="131"/>
    </row>
    <row r="52" spans="1:23" ht="13.2">
      <c r="A52" s="102" t="s">
        <v>96</v>
      </c>
      <c r="B52" s="103"/>
      <c r="C52" s="103">
        <v>3</v>
      </c>
      <c r="D52" s="105" t="s">
        <v>68</v>
      </c>
      <c r="E52" s="106">
        <v>1.17</v>
      </c>
      <c r="F52" s="107">
        <v>0.1</v>
      </c>
      <c r="G52" s="108">
        <v>0.1</v>
      </c>
      <c r="H52" s="109" t="s">
        <v>55</v>
      </c>
      <c r="I52" s="110">
        <v>1.133</v>
      </c>
      <c r="J52" s="110">
        <v>1.141</v>
      </c>
      <c r="K52" s="119">
        <v>1.157</v>
      </c>
      <c r="L52" s="111">
        <f t="shared" si="25"/>
        <v>-3.6999999999999922E-2</v>
      </c>
      <c r="M52" s="112">
        <f t="shared" si="25"/>
        <v>-2.8999999999999915E-2</v>
      </c>
      <c r="N52" s="112">
        <f t="shared" si="25"/>
        <v>-1.2999999999999901E-2</v>
      </c>
      <c r="O52" s="112">
        <f>IF(ISERR(I52/I52)=TRUE," ",AVERAGE(I52:K52))</f>
        <v>1.1436666666666666</v>
      </c>
      <c r="P52" s="113">
        <f>IF(ISBLANK($E52),"",IF(ISNUMBER(F52)=FALSE,"BAD TOL", IF(F52=0,"N/A",IF(ISERR(I52/I52)=TRUE,"BAD INSP",IF(AND(ISNUMBER($I52),ISNUMBER($J52),ISNUMBER($K52))=FALSE,"BAD INSP",IF(MAX($I52:$K52)&lt;$E52,0,(MAX($I52:$K52)-$E52)/$F52))))))</f>
        <v>0</v>
      </c>
      <c r="Q52" s="114">
        <f>IF(ISBLANK($E52),"",IF(ISNUMBER(G52)=FALSE,"BAD TOL",IF(G52=0,"N/A",IF(ISERR(I52/I52)=TRUE,"BAD INSP",IF(AND(ISNUMBER($I52),ISNUMBER($J52),ISNUMBER($K52))=FALSE,"BAD INSP",IF(MIN(I52:K52)&gt;$E52,0,($E52-MIN(I52:K52))/G52))))))</f>
        <v>0.36999999999999922</v>
      </c>
      <c r="R52" s="115" t="str">
        <f>IF(ISBLANK($E52),"",IF(ISNUMBER($P52)=TRUE,IF($P52&gt;0.651,IF($P52&gt;1.001,"Reject","Alert")," "),IF(AND(F52=0, ISNUMBER(F52)),IF(MAX(I52:K52)&gt;(E52+F52),"Reject",IF(MAX(I52:K52)=(E52+F52),"Alert","")),"Reject")))</f>
        <v xml:space="preserve"> </v>
      </c>
      <c r="S52" s="115" t="str">
        <f>IF(ISBLANK($E52),"",IF(ISNUMBER($Q52)=TRUE,IF($Q52&gt;0.651,IF($Q52&gt;1.001,"Reject","Alert")," "),IF(AND(G52=0, ISNUMBER(G52)),IF(MIN(I52:K52)&lt;(E52-G52),"Reject",IF(MIN(I52:K52)=(E52-G52),"Alert","")),"Reject")))</f>
        <v xml:space="preserve"> </v>
      </c>
      <c r="T52" s="116" t="str">
        <f>IF(OR(R52="Reject",S52="Reject"),"Reject",IF(OR(R52="Alert",S52="Alert"),"Alert", ""))</f>
        <v/>
      </c>
      <c r="U52" s="120"/>
      <c r="V52" s="118"/>
      <c r="W52" s="131"/>
    </row>
    <row r="53" spans="1:23" ht="13.2">
      <c r="A53" s="102" t="s">
        <v>97</v>
      </c>
      <c r="B53" s="103"/>
      <c r="C53" s="103">
        <v>3</v>
      </c>
      <c r="D53" s="105" t="s">
        <v>68</v>
      </c>
      <c r="E53" s="106">
        <v>1.17</v>
      </c>
      <c r="F53" s="107">
        <v>0.1</v>
      </c>
      <c r="G53" s="108">
        <v>0.1</v>
      </c>
      <c r="H53" s="109" t="s">
        <v>55</v>
      </c>
      <c r="I53" s="110">
        <v>1.131</v>
      </c>
      <c r="J53" s="110">
        <v>1.151</v>
      </c>
      <c r="K53" s="119">
        <v>1.1399999999999999</v>
      </c>
      <c r="L53" s="111">
        <f t="shared" si="25"/>
        <v>-3.8999999999999924E-2</v>
      </c>
      <c r="M53" s="112">
        <f t="shared" si="25"/>
        <v>-1.8999999999999906E-2</v>
      </c>
      <c r="N53" s="112">
        <f t="shared" si="25"/>
        <v>-3.0000000000000027E-2</v>
      </c>
      <c r="O53" s="112">
        <f>IF(ISERR(I53/I53)=TRUE," ",AVERAGE(I53:K53))</f>
        <v>1.1406666666666665</v>
      </c>
      <c r="P53" s="113">
        <f>IF(ISBLANK($E53),"",IF(ISNUMBER(F53)=FALSE,"BAD TOL", IF(F53=0,"N/A",IF(ISERR(I53/I53)=TRUE,"BAD INSP",IF(AND(ISNUMBER($I53),ISNUMBER($J53),ISNUMBER($K53))=FALSE,"BAD INSP",IF(MAX($I53:$K53)&lt;$E53,0,(MAX($I53:$K53)-$E53)/$F53))))))</f>
        <v>0</v>
      </c>
      <c r="Q53" s="114">
        <f>IF(ISBLANK($E53),"",IF(ISNUMBER(G53)=FALSE,"BAD TOL",IF(G53=0,"N/A",IF(ISERR(I53/I53)=TRUE,"BAD INSP",IF(AND(ISNUMBER($I53),ISNUMBER($J53),ISNUMBER($K53))=FALSE,"BAD INSP",IF(MIN(I53:K53)&gt;$E53,0,($E53-MIN(I53:K53))/G53))))))</f>
        <v>0.38999999999999924</v>
      </c>
      <c r="R53" s="115" t="str">
        <f>IF(ISBLANK($E53),"",IF(ISNUMBER($P53)=TRUE,IF($P53&gt;0.651,IF($P53&gt;1.001,"Reject","Alert")," "),IF(AND(F53=0, ISNUMBER(F53)),IF(MAX(I53:K53)&gt;(E53+F53),"Reject",IF(MAX(I53:K53)=(E53+F53),"Alert","")),"Reject")))</f>
        <v xml:space="preserve"> </v>
      </c>
      <c r="S53" s="115" t="str">
        <f>IF(ISBLANK($E53),"",IF(ISNUMBER($Q53)=TRUE,IF($Q53&gt;0.651,IF($Q53&gt;1.001,"Reject","Alert")," "),IF(AND(G53=0, ISNUMBER(G53)),IF(MIN(I53:K53)&lt;(E53-G53),"Reject",IF(MIN(I53:K53)=(E53-G53),"Alert","")),"Reject")))</f>
        <v xml:space="preserve"> </v>
      </c>
      <c r="T53" s="116" t="str">
        <f>IF(OR(R53="Reject",S53="Reject"),"Reject",IF(OR(R53="Alert",S53="Alert"),"Alert", ""))</f>
        <v/>
      </c>
      <c r="U53" s="120"/>
      <c r="V53" s="118"/>
      <c r="W53" s="131"/>
    </row>
    <row r="54" spans="1:23" ht="13.2">
      <c r="A54" s="102" t="s">
        <v>98</v>
      </c>
      <c r="B54" s="102"/>
      <c r="C54" s="103">
        <v>3</v>
      </c>
      <c r="D54" s="105" t="s">
        <v>68</v>
      </c>
      <c r="E54" s="106">
        <v>1.17</v>
      </c>
      <c r="F54" s="107">
        <v>0.1</v>
      </c>
      <c r="G54" s="108">
        <v>0.1</v>
      </c>
      <c r="H54" s="109" t="s">
        <v>55</v>
      </c>
      <c r="I54" s="110">
        <v>1.1339999999999999</v>
      </c>
      <c r="J54" s="110">
        <v>1.145</v>
      </c>
      <c r="K54" s="119">
        <v>1.1359999999999999</v>
      </c>
      <c r="L54" s="111">
        <f t="shared" ref="L54:N59" si="26">IF(ISBLANK($E54),"",IF(ISERR(I54/I54)=TRUE,"BAD INSP",I54-$E54))</f>
        <v>-3.6000000000000032E-2</v>
      </c>
      <c r="M54" s="112">
        <f t="shared" si="26"/>
        <v>-2.4999999999999911E-2</v>
      </c>
      <c r="N54" s="112">
        <f t="shared" si="26"/>
        <v>-3.400000000000003E-2</v>
      </c>
      <c r="O54" s="112">
        <f>IF(ISERR(I54/I54)=TRUE," ",AVERAGE(I54:K54))</f>
        <v>1.1383333333333334</v>
      </c>
      <c r="P54" s="113">
        <f>IF(ISBLANK($E54),"",IF(ISNUMBER(F54)=FALSE,"BAD TOL", IF(F54=0,"N/A",IF(ISERR(I54/I54)=TRUE,"BAD INSP",IF(AND(ISNUMBER($I54),ISNUMBER($J54),ISNUMBER($K54))=FALSE,"BAD INSP",IF(MAX($I54:$K54)&lt;$E54,0,(MAX($I54:$K54)-$E54)/$F54))))))</f>
        <v>0</v>
      </c>
      <c r="Q54" s="114">
        <f>IF(ISBLANK($E54),"",IF(ISNUMBER(G54)=FALSE,"BAD TOL",IF(G54=0,"N/A",IF(ISERR(I54/I54)=TRUE,"BAD INSP",IF(AND(ISNUMBER($I54),ISNUMBER($J54),ISNUMBER($K54))=FALSE,"BAD INSP",IF(MIN(I54:K54)&gt;$E54,0,($E54-MIN(I54:K54))/G54))))))</f>
        <v>0.36000000000000032</v>
      </c>
      <c r="R54" s="115" t="str">
        <f>IF(ISBLANK($E54),"",IF(ISNUMBER($P54)=TRUE,IF($P54&gt;0.651,IF($P54&gt;1.001,"Reject","Alert")," "),IF(AND(F54=0, ISNUMBER(F54)),IF(MAX(I54:K54)&gt;(E54+F54),"Reject",IF(MAX(I54:K54)=(E54+F54),"Alert","")),"Reject")))</f>
        <v xml:space="preserve"> </v>
      </c>
      <c r="S54" s="115" t="str">
        <f>IF(ISBLANK($E54),"",IF(ISNUMBER($Q54)=TRUE,IF($Q54&gt;0.651,IF($Q54&gt;1.001,"Reject","Alert")," "),IF(AND(G54=0, ISNUMBER(G54)),IF(MIN(I54:K54)&lt;(E54-G54),"Reject",IF(MIN(I54:K54)=(E54-G54),"Alert","")),"Reject")))</f>
        <v xml:space="preserve"> </v>
      </c>
      <c r="T54" s="116" t="str">
        <f>IF(OR(R54="Reject",S54="Reject"),"Reject",IF(OR(R54="Alert",S54="Alert"),"Alert", ""))</f>
        <v/>
      </c>
      <c r="U54" s="120"/>
      <c r="V54" s="118"/>
      <c r="W54" s="131"/>
    </row>
    <row r="55" spans="1:23" ht="13.2">
      <c r="A55" s="102" t="s">
        <v>99</v>
      </c>
      <c r="B55" s="102"/>
      <c r="C55" s="103">
        <v>3</v>
      </c>
      <c r="D55" s="105" t="s">
        <v>68</v>
      </c>
      <c r="E55" s="106">
        <v>1.17</v>
      </c>
      <c r="F55" s="107">
        <v>0.1</v>
      </c>
      <c r="G55" s="108">
        <v>0.1</v>
      </c>
      <c r="H55" s="109" t="s">
        <v>55</v>
      </c>
      <c r="I55" s="110">
        <v>1.1240000000000001</v>
      </c>
      <c r="J55" s="110">
        <v>1.1379999999999999</v>
      </c>
      <c r="K55" s="119">
        <v>1.143</v>
      </c>
      <c r="L55" s="111">
        <f t="shared" si="26"/>
        <v>-4.5999999999999819E-2</v>
      </c>
      <c r="M55" s="112">
        <f t="shared" si="26"/>
        <v>-3.2000000000000028E-2</v>
      </c>
      <c r="N55" s="112">
        <f t="shared" si="26"/>
        <v>-2.6999999999999913E-2</v>
      </c>
      <c r="O55" s="112">
        <f>IF(ISERR(I55/I55)=TRUE," ",AVERAGE(I55:K55))</f>
        <v>1.135</v>
      </c>
      <c r="P55" s="113">
        <f>IF(ISBLANK($E55),"",IF(ISNUMBER(F55)=FALSE,"BAD TOL", IF(F55=0,"N/A",IF(ISERR(I55/I55)=TRUE,"BAD INSP",IF(AND(ISNUMBER($I55),ISNUMBER($J55),ISNUMBER($K55))=FALSE,"BAD INSP",IF(MAX($I55:$K55)&lt;$E55,0,(MAX($I55:$K55)-$E55)/$F55))))))</f>
        <v>0</v>
      </c>
      <c r="Q55" s="114">
        <f>IF(ISBLANK($E55),"",IF(ISNUMBER(G55)=FALSE,"BAD TOL",IF(G55=0,"N/A",IF(ISERR(I55/I55)=TRUE,"BAD INSP",IF(AND(ISNUMBER($I55),ISNUMBER($J55),ISNUMBER($K55))=FALSE,"BAD INSP",IF(MIN(I55:K55)&gt;$E55,0,($E55-MIN(I55:K55))/G55))))))</f>
        <v>0.45999999999999819</v>
      </c>
      <c r="R55" s="115" t="str">
        <f>IF(ISBLANK($E55),"",IF(ISNUMBER($P55)=TRUE,IF($P55&gt;0.651,IF($P55&gt;1.001,"Reject","Alert")," "),IF(AND(F55=0, ISNUMBER(F55)),IF(MAX(I55:K55)&gt;(E55+F55),"Reject",IF(MAX(I55:K55)=(E55+F55),"Alert","")),"Reject")))</f>
        <v xml:space="preserve"> </v>
      </c>
      <c r="S55" s="115" t="str">
        <f>IF(ISBLANK($E55),"",IF(ISNUMBER($Q55)=TRUE,IF($Q55&gt;0.651,IF($Q55&gt;1.001,"Reject","Alert")," "),IF(AND(G55=0, ISNUMBER(G55)),IF(MIN(I55:K55)&lt;(E55-G55),"Reject",IF(MIN(I55:K55)=(E55-G55),"Alert","")),"Reject")))</f>
        <v xml:space="preserve"> </v>
      </c>
      <c r="T55" s="116" t="str">
        <f>IF(OR(R55="Reject",S55="Reject"),"Reject",IF(OR(R55="Alert",S55="Alert"),"Alert", ""))</f>
        <v/>
      </c>
      <c r="U55" s="120"/>
      <c r="V55" s="118"/>
      <c r="W55" s="131"/>
    </row>
    <row r="56" spans="1:23" ht="13.2">
      <c r="A56" s="102" t="s">
        <v>100</v>
      </c>
      <c r="B56" s="102"/>
      <c r="C56" s="103">
        <v>3</v>
      </c>
      <c r="D56" s="105" t="s">
        <v>68</v>
      </c>
      <c r="E56" s="106">
        <v>1.17</v>
      </c>
      <c r="F56" s="107">
        <v>0.1</v>
      </c>
      <c r="G56" s="108">
        <v>0.1</v>
      </c>
      <c r="H56" s="109" t="s">
        <v>55</v>
      </c>
      <c r="I56" s="110">
        <v>1.135</v>
      </c>
      <c r="J56" s="110">
        <v>1.149</v>
      </c>
      <c r="K56" s="119">
        <v>1.1539999999999999</v>
      </c>
      <c r="L56" s="111">
        <f t="shared" si="26"/>
        <v>-3.499999999999992E-2</v>
      </c>
      <c r="M56" s="112">
        <f t="shared" si="26"/>
        <v>-2.0999999999999908E-2</v>
      </c>
      <c r="N56" s="112">
        <f t="shared" si="26"/>
        <v>-1.6000000000000014E-2</v>
      </c>
      <c r="O56" s="112">
        <f t="shared" ref="O56:O57" si="27">IF(ISERR(I56/I56)=TRUE," ",AVERAGE(I56:K56))</f>
        <v>1.1459999999999999</v>
      </c>
      <c r="P56" s="113">
        <f t="shared" ref="P56:P57" si="28">IF(ISBLANK($E56),"",IF(ISNUMBER(F56)=FALSE,"BAD TOL", IF(F56=0,"N/A",IF(ISERR(I56/I56)=TRUE,"BAD INSP",IF(AND(ISNUMBER($I56),ISNUMBER($J56),ISNUMBER($K56))=FALSE,"BAD INSP",IF(MAX($I56:$K56)&lt;$E56,0,(MAX($I56:$K56)-$E56)/$F56))))))</f>
        <v>0</v>
      </c>
      <c r="Q56" s="114">
        <f t="shared" ref="Q56:Q57" si="29">IF(ISBLANK($E56),"",IF(ISNUMBER(G56)=FALSE,"BAD TOL",IF(G56=0,"N/A",IF(ISERR(I56/I56)=TRUE,"BAD INSP",IF(AND(ISNUMBER($I56),ISNUMBER($J56),ISNUMBER($K56))=FALSE,"BAD INSP",IF(MIN(I56:K56)&gt;$E56,0,($E56-MIN(I56:K56))/G56))))))</f>
        <v>0.3499999999999992</v>
      </c>
      <c r="R56" s="115" t="str">
        <f t="shared" ref="R56:R57" si="30">IF(ISBLANK($E56),"",IF(ISNUMBER($P56)=TRUE,IF($P56&gt;0.651,IF($P56&gt;1.001,"Reject","Alert")," "),IF(AND(F56=0, ISNUMBER(F56)),IF(MAX(I56:K56)&gt;(E56+F56),"Reject",IF(MAX(I56:K56)=(E56+F56),"Alert","")),"Reject")))</f>
        <v xml:space="preserve"> </v>
      </c>
      <c r="S56" s="115" t="str">
        <f t="shared" ref="S56:S57" si="31">IF(ISBLANK($E56),"",IF(ISNUMBER($Q56)=TRUE,IF($Q56&gt;0.651,IF($Q56&gt;1.001,"Reject","Alert")," "),IF(AND(G56=0, ISNUMBER(G56)),IF(MIN(I56:K56)&lt;(E56-G56),"Reject",IF(MIN(I56:K56)=(E56-G56),"Alert","")),"Reject")))</f>
        <v xml:space="preserve"> </v>
      </c>
      <c r="T56" s="116" t="str">
        <f t="shared" ref="T56:T57" si="32">IF(OR(R56="Reject",S56="Reject"),"Reject",IF(OR(R56="Alert",S56="Alert"),"Alert", ""))</f>
        <v/>
      </c>
      <c r="U56" s="120"/>
      <c r="V56" s="118"/>
      <c r="W56" s="131"/>
    </row>
    <row r="57" spans="1:23" ht="13.2">
      <c r="A57" s="102" t="s">
        <v>101</v>
      </c>
      <c r="B57" s="102"/>
      <c r="C57" s="103">
        <v>3</v>
      </c>
      <c r="D57" s="105" t="s">
        <v>68</v>
      </c>
      <c r="E57" s="106">
        <v>1.17</v>
      </c>
      <c r="F57" s="107">
        <v>0.1</v>
      </c>
      <c r="G57" s="108">
        <v>0.1</v>
      </c>
      <c r="H57" s="109" t="s">
        <v>55</v>
      </c>
      <c r="I57" s="110">
        <v>1.1339999999999999</v>
      </c>
      <c r="J57" s="110">
        <v>1.145</v>
      </c>
      <c r="K57" s="119">
        <v>1.1479999999999999</v>
      </c>
      <c r="L57" s="111">
        <f t="shared" si="26"/>
        <v>-3.6000000000000032E-2</v>
      </c>
      <c r="M57" s="112">
        <f t="shared" si="26"/>
        <v>-2.4999999999999911E-2</v>
      </c>
      <c r="N57" s="112">
        <f t="shared" si="26"/>
        <v>-2.200000000000002E-2</v>
      </c>
      <c r="O57" s="112">
        <f t="shared" si="27"/>
        <v>1.1423333333333332</v>
      </c>
      <c r="P57" s="113">
        <f t="shared" si="28"/>
        <v>0</v>
      </c>
      <c r="Q57" s="114">
        <f t="shared" si="29"/>
        <v>0.36000000000000032</v>
      </c>
      <c r="R57" s="115" t="str">
        <f t="shared" si="30"/>
        <v xml:space="preserve"> </v>
      </c>
      <c r="S57" s="115" t="str">
        <f t="shared" si="31"/>
        <v xml:space="preserve"> </v>
      </c>
      <c r="T57" s="116" t="str">
        <f t="shared" si="32"/>
        <v/>
      </c>
      <c r="U57" s="120"/>
      <c r="V57" s="118"/>
      <c r="W57" s="131"/>
    </row>
    <row r="58" spans="1:23" ht="13.2">
      <c r="A58" s="102" t="s">
        <v>102</v>
      </c>
      <c r="B58" s="102"/>
      <c r="C58" s="103">
        <v>3</v>
      </c>
      <c r="D58" s="105" t="s">
        <v>68</v>
      </c>
      <c r="E58" s="106">
        <v>1.17</v>
      </c>
      <c r="F58" s="107">
        <v>0.1</v>
      </c>
      <c r="G58" s="108">
        <v>0.1</v>
      </c>
      <c r="H58" s="109" t="s">
        <v>55</v>
      </c>
      <c r="I58" s="110">
        <v>1.1299999999999999</v>
      </c>
      <c r="J58" s="110">
        <v>1.1559999999999999</v>
      </c>
      <c r="K58" s="119">
        <v>1.145</v>
      </c>
      <c r="L58" s="111">
        <f t="shared" si="26"/>
        <v>-4.0000000000000036E-2</v>
      </c>
      <c r="M58" s="112">
        <f t="shared" si="26"/>
        <v>-1.4000000000000012E-2</v>
      </c>
      <c r="N58" s="112">
        <f t="shared" si="26"/>
        <v>-2.4999999999999911E-2</v>
      </c>
      <c r="O58" s="112">
        <f>IF(ISERR(I58/I58)=TRUE," ",AVERAGE(I58:K58))</f>
        <v>1.1436666666666666</v>
      </c>
      <c r="P58" s="113">
        <f>IF(ISBLANK($E58),"",IF(ISNUMBER(F58)=FALSE,"BAD TOL", IF(F58=0,"N/A",IF(ISERR(I58/I58)=TRUE,"BAD INSP",IF(AND(ISNUMBER($I58),ISNUMBER($J58),ISNUMBER($K58))=FALSE,"BAD INSP",IF(MAX($I58:$K58)&lt;$E58,0,(MAX($I58:$K58)-$E58)/$F58))))))</f>
        <v>0</v>
      </c>
      <c r="Q58" s="114">
        <f>IF(ISBLANK($E58),"",IF(ISNUMBER(G58)=FALSE,"BAD TOL",IF(G58=0,"N/A",IF(ISERR(I58/I58)=TRUE,"BAD INSP",IF(AND(ISNUMBER($I58),ISNUMBER($J58),ISNUMBER($K58))=FALSE,"BAD INSP",IF(MIN(I58:K58)&gt;$E58,0,($E58-MIN(I58:K58))/G58))))))</f>
        <v>0.40000000000000036</v>
      </c>
      <c r="R58" s="115" t="str">
        <f>IF(ISBLANK($E58),"",IF(ISNUMBER($P58)=TRUE,IF($P58&gt;0.651,IF($P58&gt;1.001,"Reject","Alert")," "),IF(AND(F58=0, ISNUMBER(F58)),IF(MAX(I58:K58)&gt;(E58+F58),"Reject",IF(MAX(I58:K58)=(E58+F58),"Alert","")),"Reject")))</f>
        <v xml:space="preserve"> </v>
      </c>
      <c r="S58" s="115" t="str">
        <f>IF(ISBLANK($E58),"",IF(ISNUMBER($Q58)=TRUE,IF($Q58&gt;0.651,IF($Q58&gt;1.001,"Reject","Alert")," "),IF(AND(G58=0, ISNUMBER(G58)),IF(MIN(I58:K58)&lt;(E58-G58),"Reject",IF(MIN(I58:K58)=(E58-G58),"Alert","")),"Reject")))</f>
        <v xml:space="preserve"> </v>
      </c>
      <c r="T58" s="116" t="str">
        <f>IF(OR(R58="Reject",S58="Reject"),"Reject",IF(OR(R58="Alert",S58="Alert"),"Alert", ""))</f>
        <v/>
      </c>
      <c r="U58" s="120"/>
      <c r="V58" s="118"/>
      <c r="W58" s="131"/>
    </row>
    <row r="59" spans="1:23" ht="13.2">
      <c r="A59" s="102" t="s">
        <v>103</v>
      </c>
      <c r="B59" s="102"/>
      <c r="C59" s="103">
        <v>3</v>
      </c>
      <c r="D59" s="105" t="s">
        <v>68</v>
      </c>
      <c r="E59" s="106">
        <v>1.17</v>
      </c>
      <c r="F59" s="107">
        <v>0.1</v>
      </c>
      <c r="G59" s="108">
        <v>0.1</v>
      </c>
      <c r="H59" s="109" t="s">
        <v>55</v>
      </c>
      <c r="I59" s="110">
        <v>1.143</v>
      </c>
      <c r="J59" s="110">
        <v>1.143</v>
      </c>
      <c r="K59" s="119">
        <v>1.1459999999999999</v>
      </c>
      <c r="L59" s="111">
        <f t="shared" si="26"/>
        <v>-2.6999999999999913E-2</v>
      </c>
      <c r="M59" s="112">
        <f t="shared" si="26"/>
        <v>-2.6999999999999913E-2</v>
      </c>
      <c r="N59" s="112">
        <f t="shared" si="26"/>
        <v>-2.4000000000000021E-2</v>
      </c>
      <c r="O59" s="112">
        <f>IF(ISERR(I59/I59)=TRUE," ",AVERAGE(I59:K59))</f>
        <v>1.1439999999999999</v>
      </c>
      <c r="P59" s="113">
        <f>IF(ISBLANK($E59),"",IF(ISNUMBER(F59)=FALSE,"BAD TOL", IF(F59=0,"N/A",IF(ISERR(I59/I59)=TRUE,"BAD INSP",IF(AND(ISNUMBER($I59),ISNUMBER($J59),ISNUMBER($K59))=FALSE,"BAD INSP",IF(MAX($I59:$K59)&lt;$E59,0,(MAX($I59:$K59)-$E59)/$F59))))))</f>
        <v>0</v>
      </c>
      <c r="Q59" s="114">
        <f>IF(ISBLANK($E59),"",IF(ISNUMBER(G59)=FALSE,"BAD TOL",IF(G59=0,"N/A",IF(ISERR(I59/I59)=TRUE,"BAD INSP",IF(AND(ISNUMBER($I59),ISNUMBER($J59),ISNUMBER($K59))=FALSE,"BAD INSP",IF(MIN(I59:K59)&gt;$E59,0,($E59-MIN(I59:K59))/G59))))))</f>
        <v>0.26999999999999913</v>
      </c>
      <c r="R59" s="115" t="str">
        <f>IF(ISBLANK($E59),"",IF(ISNUMBER($P59)=TRUE,IF($P59&gt;0.651,IF($P59&gt;1.001,"Reject","Alert")," "),IF(AND(F59=0, ISNUMBER(F59)),IF(MAX(I59:K59)&gt;(E59+F59),"Reject",IF(MAX(I59:K59)=(E59+F59),"Alert","")),"Reject")))</f>
        <v xml:space="preserve"> </v>
      </c>
      <c r="S59" s="115" t="str">
        <f>IF(ISBLANK($E59),"",IF(ISNUMBER($Q59)=TRUE,IF($Q59&gt;0.651,IF($Q59&gt;1.001,"Reject","Alert")," "),IF(AND(G59=0, ISNUMBER(G59)),IF(MIN(I59:K59)&lt;(E59-G59),"Reject",IF(MIN(I59:K59)=(E59-G59),"Alert","")),"Reject")))</f>
        <v xml:space="preserve"> </v>
      </c>
      <c r="T59" s="116" t="str">
        <f>IF(OR(R59="Reject",S59="Reject"),"Reject",IF(OR(R59="Alert",S59="Alert"),"Alert", ""))</f>
        <v/>
      </c>
      <c r="U59" s="120"/>
      <c r="V59" s="118"/>
      <c r="W59" s="131"/>
    </row>
    <row r="60" spans="1:23" ht="13.2">
      <c r="A60" s="102" t="s">
        <v>163</v>
      </c>
      <c r="B60" s="102"/>
      <c r="C60" s="103">
        <v>3</v>
      </c>
      <c r="D60" s="105" t="s">
        <v>68</v>
      </c>
      <c r="E60" s="106">
        <v>1.17</v>
      </c>
      <c r="F60" s="107">
        <v>0.1</v>
      </c>
      <c r="G60" s="108">
        <v>0.1</v>
      </c>
      <c r="H60" s="109" t="s">
        <v>55</v>
      </c>
      <c r="I60" s="110">
        <v>1.133</v>
      </c>
      <c r="J60" s="110">
        <v>1.143</v>
      </c>
      <c r="K60" s="119">
        <v>1.1499999999999999</v>
      </c>
      <c r="L60" s="111">
        <f t="shared" ref="L60:L82" si="33">IF(ISBLANK($E60),"",IF(ISERR(I60/I60)=TRUE,"BAD INSP",I60-$E60))</f>
        <v>-3.6999999999999922E-2</v>
      </c>
      <c r="M60" s="112">
        <f t="shared" ref="M60:M82" si="34">IF(ISBLANK($E60),"",IF(ISERR(J60/J60)=TRUE,"BAD INSP",J60-$E60))</f>
        <v>-2.6999999999999913E-2</v>
      </c>
      <c r="N60" s="112">
        <f t="shared" ref="N60:N82" si="35">IF(ISBLANK($E60),"",IF(ISERR(K60/K60)=TRUE,"BAD INSP",K60-$E60))</f>
        <v>-2.0000000000000018E-2</v>
      </c>
      <c r="O60" s="112">
        <f>IF(ISERR(I60/I60)=TRUE," ",AVERAGE(I60:K60))</f>
        <v>1.1419999999999999</v>
      </c>
      <c r="P60" s="113">
        <f>IF(ISBLANK($E60),"",IF(ISNUMBER(F60)=FALSE,"BAD TOL", IF(F60=0,"N/A",IF(ISERR(I60/I60)=TRUE,"BAD INSP",IF(AND(ISNUMBER($I60),ISNUMBER($J60),ISNUMBER($K60))=FALSE,"BAD INSP",IF(MAX($I60:$K60)&lt;$E60,0,(MAX($I60:$K60)-$E60)/$F60))))))</f>
        <v>0</v>
      </c>
      <c r="Q60" s="114">
        <f>IF(ISBLANK($E60),"",IF(ISNUMBER(G60)=FALSE,"BAD TOL",IF(G60=0,"N/A",IF(ISERR(I60/I60)=TRUE,"BAD INSP",IF(AND(ISNUMBER($I60),ISNUMBER($J60),ISNUMBER($K60))=FALSE,"BAD INSP",IF(MIN(I60:K60)&gt;$E60,0,($E60-MIN(I60:K60))/G60))))))</f>
        <v>0.36999999999999922</v>
      </c>
      <c r="R60" s="115" t="str">
        <f>IF(ISBLANK($E60),"",IF(ISNUMBER($P60)=TRUE,IF($P60&gt;0.651,IF($P60&gt;1.001,"Reject","Alert")," "),IF(AND(F60=0, ISNUMBER(F60)),IF(MAX(I60:K60)&gt;(E60+F60),"Reject",IF(MAX(I60:K60)=(E60+F60),"Alert","")),"Reject")))</f>
        <v xml:space="preserve"> </v>
      </c>
      <c r="S60" s="115" t="str">
        <f>IF(ISBLANK($E60),"",IF(ISNUMBER($Q60)=TRUE,IF($Q60&gt;0.651,IF($Q60&gt;1.001,"Reject","Alert")," "),IF(AND(G60=0, ISNUMBER(G60)),IF(MIN(I60:K60)&lt;(E60-G60),"Reject",IF(MIN(I60:K60)=(E60-G60),"Alert","")),"Reject")))</f>
        <v xml:space="preserve"> </v>
      </c>
      <c r="T60" s="116" t="str">
        <f>IF(OR(R60="Reject",S60="Reject"),"Reject",IF(OR(R60="Alert",S60="Alert"),"Alert", ""))</f>
        <v/>
      </c>
      <c r="U60" s="120"/>
      <c r="V60" s="118"/>
      <c r="W60" s="131"/>
    </row>
    <row r="61" spans="1:23" ht="13.2">
      <c r="A61" s="102" t="s">
        <v>104</v>
      </c>
      <c r="B61" s="102"/>
      <c r="C61" s="103">
        <v>3</v>
      </c>
      <c r="D61" s="105" t="s">
        <v>68</v>
      </c>
      <c r="E61" s="106">
        <v>1.17</v>
      </c>
      <c r="F61" s="107">
        <v>0.1</v>
      </c>
      <c r="G61" s="108">
        <v>0.1</v>
      </c>
      <c r="H61" s="109" t="s">
        <v>55</v>
      </c>
      <c r="I61" s="110">
        <v>1.1339999999999999</v>
      </c>
      <c r="J61" s="110">
        <v>1.1439999999999999</v>
      </c>
      <c r="K61" s="119">
        <v>1.1459999999999999</v>
      </c>
      <c r="L61" s="111">
        <f t="shared" si="33"/>
        <v>-3.6000000000000032E-2</v>
      </c>
      <c r="M61" s="112">
        <f t="shared" si="34"/>
        <v>-2.6000000000000023E-2</v>
      </c>
      <c r="N61" s="112">
        <f t="shared" si="35"/>
        <v>-2.4000000000000021E-2</v>
      </c>
      <c r="O61" s="112">
        <f>IF(ISERR(I61/I61)=TRUE," ",AVERAGE(I61:K61))</f>
        <v>1.1413333333333331</v>
      </c>
      <c r="P61" s="113">
        <f>IF(ISBLANK($E61),"",IF(ISNUMBER(F61)=FALSE,"BAD TOL", IF(F61=0,"N/A",IF(ISERR(I61/I61)=TRUE,"BAD INSP",IF(AND(ISNUMBER($I61),ISNUMBER($J61),ISNUMBER($K61))=FALSE,"BAD INSP",IF(MAX($I61:$K61)&lt;$E61,0,(MAX($I61:$K61)-$E61)/$F61))))))</f>
        <v>0</v>
      </c>
      <c r="Q61" s="114">
        <f>IF(ISBLANK($E61),"",IF(ISNUMBER(G61)=FALSE,"BAD TOL",IF(G61=0,"N/A",IF(ISERR(I61/I61)=TRUE,"BAD INSP",IF(AND(ISNUMBER($I61),ISNUMBER($J61),ISNUMBER($K61))=FALSE,"BAD INSP",IF(MIN(I61:K61)&gt;$E61,0,($E61-MIN(I61:K61))/G61))))))</f>
        <v>0.36000000000000032</v>
      </c>
      <c r="R61" s="115" t="str">
        <f>IF(ISBLANK($E61),"",IF(ISNUMBER($P61)=TRUE,IF($P61&gt;0.651,IF($P61&gt;1.001,"Reject","Alert")," "),IF(AND(F61=0, ISNUMBER(F61)),IF(MAX(I61:K61)&gt;(E61+F61),"Reject",IF(MAX(I61:K61)=(E61+F61),"Alert","")),"Reject")))</f>
        <v xml:space="preserve"> </v>
      </c>
      <c r="S61" s="115" t="str">
        <f>IF(ISBLANK($E61),"",IF(ISNUMBER($Q61)=TRUE,IF($Q61&gt;0.651,IF($Q61&gt;1.001,"Reject","Alert")," "),IF(AND(G61=0, ISNUMBER(G61)),IF(MIN(I61:K61)&lt;(E61-G61),"Reject",IF(MIN(I61:K61)=(E61-G61),"Alert","")),"Reject")))</f>
        <v xml:space="preserve"> </v>
      </c>
      <c r="T61" s="116" t="str">
        <f>IF(OR(R61="Reject",S61="Reject"),"Reject",IF(OR(R61="Alert",S61="Alert"),"Alert", ""))</f>
        <v/>
      </c>
      <c r="U61" s="120"/>
      <c r="V61" s="118"/>
      <c r="W61" s="131"/>
    </row>
    <row r="62" spans="1:23" ht="13.2">
      <c r="A62" s="102" t="s">
        <v>105</v>
      </c>
      <c r="B62" s="102"/>
      <c r="C62" s="103">
        <v>3</v>
      </c>
      <c r="D62" s="105" t="s">
        <v>68</v>
      </c>
      <c r="E62" s="106">
        <v>1.17</v>
      </c>
      <c r="F62" s="107">
        <v>0.1</v>
      </c>
      <c r="G62" s="108">
        <v>0.1</v>
      </c>
      <c r="H62" s="109" t="s">
        <v>55</v>
      </c>
      <c r="I62" s="110">
        <v>1.1240000000000001</v>
      </c>
      <c r="J62" s="110">
        <v>1.147</v>
      </c>
      <c r="K62" s="119">
        <v>1.133</v>
      </c>
      <c r="L62" s="111">
        <f t="shared" si="33"/>
        <v>-4.5999999999999819E-2</v>
      </c>
      <c r="M62" s="112">
        <f t="shared" si="34"/>
        <v>-2.2999999999999909E-2</v>
      </c>
      <c r="N62" s="112">
        <f t="shared" si="35"/>
        <v>-3.6999999999999922E-2</v>
      </c>
      <c r="O62" s="112">
        <f t="shared" ref="O62:O125" si="36">IF(ISERR(I62/I62)=TRUE," ",AVERAGE(I62:K62))</f>
        <v>1.1346666666666667</v>
      </c>
      <c r="P62" s="113">
        <f t="shared" ref="P62:P125" si="37">IF(ISBLANK($E62),"",IF(ISNUMBER(F62)=FALSE,"BAD TOL", IF(F62=0,"N/A",IF(ISERR(I62/I62)=TRUE,"BAD INSP",IF(AND(ISNUMBER($I62),ISNUMBER($J62),ISNUMBER($K62))=FALSE,"BAD INSP",IF(MAX($I62:$K62)&lt;$E62,0,(MAX($I62:$K62)-$E62)/$F62))))))</f>
        <v>0</v>
      </c>
      <c r="Q62" s="114">
        <f t="shared" ref="Q62:Q125" si="38">IF(ISBLANK($E62),"",IF(ISNUMBER(G62)=FALSE,"BAD TOL",IF(G62=0,"N/A",IF(ISERR(I62/I62)=TRUE,"BAD INSP",IF(AND(ISNUMBER($I62),ISNUMBER($J62),ISNUMBER($K62))=FALSE,"BAD INSP",IF(MIN(I62:K62)&gt;$E62,0,($E62-MIN(I62:K62))/G62))))))</f>
        <v>0.45999999999999819</v>
      </c>
      <c r="R62" s="115" t="str">
        <f t="shared" ref="R62:R125" si="39">IF(ISBLANK($E62),"",IF(ISNUMBER($P62)=TRUE,IF($P62&gt;0.651,IF($P62&gt;1.001,"Reject","Alert")," "),IF(AND(F62=0, ISNUMBER(F62)),IF(MAX(I62:K62)&gt;(E62+F62),"Reject",IF(MAX(I62:K62)=(E62+F62),"Alert","")),"Reject")))</f>
        <v xml:space="preserve"> </v>
      </c>
      <c r="S62" s="115" t="str">
        <f t="shared" ref="S62:S125" si="40">IF(ISBLANK($E62),"",IF(ISNUMBER($Q62)=TRUE,IF($Q62&gt;0.651,IF($Q62&gt;1.001,"Reject","Alert")," "),IF(AND(G62=0, ISNUMBER(G62)),IF(MIN(I62:K62)&lt;(E62-G62),"Reject",IF(MIN(I62:K62)=(E62-G62),"Alert","")),"Reject")))</f>
        <v xml:space="preserve"> </v>
      </c>
      <c r="T62" s="116" t="str">
        <f t="shared" ref="T62:T125" si="41">IF(OR(R62="Reject",S62="Reject"),"Reject",IF(OR(R62="Alert",S62="Alert"),"Alert", ""))</f>
        <v/>
      </c>
      <c r="U62" s="120"/>
      <c r="V62" s="118"/>
      <c r="W62" s="131"/>
    </row>
    <row r="63" spans="1:23" ht="13.2">
      <c r="A63" s="102" t="s">
        <v>106</v>
      </c>
      <c r="B63" s="102"/>
      <c r="C63" s="103">
        <v>3</v>
      </c>
      <c r="D63" s="105" t="s">
        <v>68</v>
      </c>
      <c r="E63" s="106">
        <v>1.17</v>
      </c>
      <c r="F63" s="107">
        <v>0.1</v>
      </c>
      <c r="G63" s="108">
        <v>0.1</v>
      </c>
      <c r="H63" s="109" t="s">
        <v>55</v>
      </c>
      <c r="I63" s="110">
        <v>1.1299999999999999</v>
      </c>
      <c r="J63" s="110">
        <v>1.1459999999999999</v>
      </c>
      <c r="K63" s="119">
        <v>1.1399999999999999</v>
      </c>
      <c r="L63" s="111">
        <f t="shared" si="33"/>
        <v>-4.0000000000000036E-2</v>
      </c>
      <c r="M63" s="112">
        <f t="shared" si="34"/>
        <v>-2.4000000000000021E-2</v>
      </c>
      <c r="N63" s="112">
        <f t="shared" si="35"/>
        <v>-3.0000000000000027E-2</v>
      </c>
      <c r="O63" s="112">
        <f t="shared" si="36"/>
        <v>1.1386666666666665</v>
      </c>
      <c r="P63" s="113">
        <f t="shared" si="37"/>
        <v>0</v>
      </c>
      <c r="Q63" s="114">
        <f t="shared" si="38"/>
        <v>0.40000000000000036</v>
      </c>
      <c r="R63" s="115" t="str">
        <f t="shared" si="39"/>
        <v xml:space="preserve"> </v>
      </c>
      <c r="S63" s="115" t="str">
        <f t="shared" si="40"/>
        <v xml:space="preserve"> </v>
      </c>
      <c r="T63" s="116" t="str">
        <f t="shared" si="41"/>
        <v/>
      </c>
      <c r="U63" s="120"/>
      <c r="V63" s="118"/>
      <c r="W63" s="131"/>
    </row>
    <row r="64" spans="1:23" ht="13.2">
      <c r="A64" s="102" t="s">
        <v>107</v>
      </c>
      <c r="B64" s="102"/>
      <c r="C64" s="103">
        <v>3</v>
      </c>
      <c r="D64" s="105" t="s">
        <v>68</v>
      </c>
      <c r="E64" s="106">
        <v>1.17</v>
      </c>
      <c r="F64" s="107">
        <v>0.1</v>
      </c>
      <c r="G64" s="108">
        <v>0.1</v>
      </c>
      <c r="H64" s="109" t="s">
        <v>55</v>
      </c>
      <c r="I64" s="110">
        <v>1.133</v>
      </c>
      <c r="J64" s="110">
        <v>1.1379999999999999</v>
      </c>
      <c r="K64" s="119">
        <v>1.1399999999999999</v>
      </c>
      <c r="L64" s="111">
        <f t="shared" si="33"/>
        <v>-3.6999999999999922E-2</v>
      </c>
      <c r="M64" s="112">
        <f t="shared" si="34"/>
        <v>-3.2000000000000028E-2</v>
      </c>
      <c r="N64" s="112">
        <f t="shared" si="35"/>
        <v>-3.0000000000000027E-2</v>
      </c>
      <c r="O64" s="112">
        <f t="shared" si="36"/>
        <v>1.1369999999999998</v>
      </c>
      <c r="P64" s="113">
        <f t="shared" si="37"/>
        <v>0</v>
      </c>
      <c r="Q64" s="114">
        <f t="shared" si="38"/>
        <v>0.36999999999999922</v>
      </c>
      <c r="R64" s="115" t="str">
        <f t="shared" si="39"/>
        <v xml:space="preserve"> </v>
      </c>
      <c r="S64" s="115" t="str">
        <f t="shared" si="40"/>
        <v xml:space="preserve"> </v>
      </c>
      <c r="T64" s="116" t="str">
        <f t="shared" si="41"/>
        <v/>
      </c>
      <c r="U64" s="120"/>
      <c r="V64" s="118"/>
      <c r="W64" s="131"/>
    </row>
    <row r="65" spans="1:23" ht="13.2">
      <c r="A65" s="102" t="s">
        <v>108</v>
      </c>
      <c r="B65" s="102"/>
      <c r="C65" s="103">
        <v>3</v>
      </c>
      <c r="D65" s="105" t="s">
        <v>68</v>
      </c>
      <c r="E65" s="106">
        <v>1.17</v>
      </c>
      <c r="F65" s="107">
        <v>0.1</v>
      </c>
      <c r="G65" s="108">
        <v>0.1</v>
      </c>
      <c r="H65" s="109" t="s">
        <v>55</v>
      </c>
      <c r="I65" s="110">
        <v>1.129</v>
      </c>
      <c r="J65" s="110">
        <v>1.1419999999999999</v>
      </c>
      <c r="K65" s="119">
        <v>1.143</v>
      </c>
      <c r="L65" s="111">
        <f t="shared" si="33"/>
        <v>-4.0999999999999925E-2</v>
      </c>
      <c r="M65" s="112">
        <f t="shared" si="34"/>
        <v>-2.8000000000000025E-2</v>
      </c>
      <c r="N65" s="112">
        <f t="shared" si="35"/>
        <v>-2.6999999999999913E-2</v>
      </c>
      <c r="O65" s="112">
        <f t="shared" si="36"/>
        <v>1.1379999999999999</v>
      </c>
      <c r="P65" s="113">
        <f t="shared" si="37"/>
        <v>0</v>
      </c>
      <c r="Q65" s="114">
        <f t="shared" si="38"/>
        <v>0.40999999999999925</v>
      </c>
      <c r="R65" s="115" t="str">
        <f t="shared" si="39"/>
        <v xml:space="preserve"> </v>
      </c>
      <c r="S65" s="115" t="str">
        <f t="shared" si="40"/>
        <v xml:space="preserve"> </v>
      </c>
      <c r="T65" s="116" t="str">
        <f t="shared" si="41"/>
        <v/>
      </c>
      <c r="U65" s="120"/>
      <c r="V65" s="118"/>
      <c r="W65" s="131"/>
    </row>
    <row r="66" spans="1:23" ht="13.2">
      <c r="A66" s="102" t="s">
        <v>109</v>
      </c>
      <c r="B66" s="102"/>
      <c r="C66" s="103">
        <v>3</v>
      </c>
      <c r="D66" s="105" t="s">
        <v>68</v>
      </c>
      <c r="E66" s="106">
        <v>1.17</v>
      </c>
      <c r="F66" s="107">
        <v>0.1</v>
      </c>
      <c r="G66" s="108">
        <v>0.1</v>
      </c>
      <c r="H66" s="109" t="s">
        <v>55</v>
      </c>
      <c r="I66" s="110">
        <v>1.129</v>
      </c>
      <c r="J66" s="110">
        <v>1.1419999999999999</v>
      </c>
      <c r="K66" s="119">
        <v>1.145</v>
      </c>
      <c r="L66" s="111">
        <f t="shared" si="33"/>
        <v>-4.0999999999999925E-2</v>
      </c>
      <c r="M66" s="112">
        <f t="shared" si="34"/>
        <v>-2.8000000000000025E-2</v>
      </c>
      <c r="N66" s="112">
        <f t="shared" si="35"/>
        <v>-2.4999999999999911E-2</v>
      </c>
      <c r="O66" s="112">
        <f t="shared" si="36"/>
        <v>1.1386666666666667</v>
      </c>
      <c r="P66" s="113">
        <f t="shared" si="37"/>
        <v>0</v>
      </c>
      <c r="Q66" s="114">
        <f t="shared" si="38"/>
        <v>0.40999999999999925</v>
      </c>
      <c r="R66" s="115" t="str">
        <f t="shared" si="39"/>
        <v xml:space="preserve"> </v>
      </c>
      <c r="S66" s="115" t="str">
        <f t="shared" si="40"/>
        <v xml:space="preserve"> </v>
      </c>
      <c r="T66" s="116" t="str">
        <f t="shared" si="41"/>
        <v/>
      </c>
      <c r="U66" s="120"/>
      <c r="V66" s="118"/>
      <c r="W66" s="131"/>
    </row>
    <row r="67" spans="1:23" ht="13.2">
      <c r="A67" s="102" t="s">
        <v>110</v>
      </c>
      <c r="B67" s="102"/>
      <c r="C67" s="103">
        <v>3</v>
      </c>
      <c r="D67" s="105" t="s">
        <v>68</v>
      </c>
      <c r="E67" s="106">
        <v>1.17</v>
      </c>
      <c r="F67" s="107">
        <v>0.1</v>
      </c>
      <c r="G67" s="108">
        <v>0.1</v>
      </c>
      <c r="H67" s="109" t="s">
        <v>55</v>
      </c>
      <c r="I67" s="110">
        <v>1.135</v>
      </c>
      <c r="J67" s="110">
        <v>1.1519999999999999</v>
      </c>
      <c r="K67" s="119">
        <v>1.1419999999999999</v>
      </c>
      <c r="L67" s="111">
        <f t="shared" si="33"/>
        <v>-3.499999999999992E-2</v>
      </c>
      <c r="M67" s="112">
        <f t="shared" si="34"/>
        <v>-1.8000000000000016E-2</v>
      </c>
      <c r="N67" s="112">
        <f t="shared" si="35"/>
        <v>-2.8000000000000025E-2</v>
      </c>
      <c r="O67" s="112">
        <f t="shared" si="36"/>
        <v>1.143</v>
      </c>
      <c r="P67" s="113">
        <f t="shared" si="37"/>
        <v>0</v>
      </c>
      <c r="Q67" s="114">
        <f t="shared" si="38"/>
        <v>0.3499999999999992</v>
      </c>
      <c r="R67" s="115" t="str">
        <f t="shared" si="39"/>
        <v xml:space="preserve"> </v>
      </c>
      <c r="S67" s="115" t="str">
        <f t="shared" si="40"/>
        <v xml:space="preserve"> </v>
      </c>
      <c r="T67" s="116" t="str">
        <f t="shared" si="41"/>
        <v/>
      </c>
      <c r="U67" s="120"/>
      <c r="V67" s="118"/>
      <c r="W67" s="131"/>
    </row>
    <row r="68" spans="1:23" ht="13.2">
      <c r="A68" s="102" t="s">
        <v>111</v>
      </c>
      <c r="B68" s="102"/>
      <c r="C68" s="103">
        <v>3</v>
      </c>
      <c r="D68" s="105" t="s">
        <v>68</v>
      </c>
      <c r="E68" s="106">
        <v>1.17</v>
      </c>
      <c r="F68" s="107">
        <v>0.1</v>
      </c>
      <c r="G68" s="108">
        <v>0.1</v>
      </c>
      <c r="H68" s="109" t="s">
        <v>55</v>
      </c>
      <c r="I68" s="110">
        <v>1.1379999999999999</v>
      </c>
      <c r="J68" s="110">
        <v>1.1479999999999999</v>
      </c>
      <c r="K68" s="119">
        <v>1.1379999999999999</v>
      </c>
      <c r="L68" s="111">
        <f t="shared" si="33"/>
        <v>-3.2000000000000028E-2</v>
      </c>
      <c r="M68" s="112">
        <f t="shared" si="34"/>
        <v>-2.200000000000002E-2</v>
      </c>
      <c r="N68" s="112">
        <f t="shared" si="35"/>
        <v>-3.2000000000000028E-2</v>
      </c>
      <c r="O68" s="112">
        <f t="shared" si="36"/>
        <v>1.1413333333333331</v>
      </c>
      <c r="P68" s="113">
        <f t="shared" si="37"/>
        <v>0</v>
      </c>
      <c r="Q68" s="114">
        <f t="shared" si="38"/>
        <v>0.32000000000000028</v>
      </c>
      <c r="R68" s="115" t="str">
        <f t="shared" si="39"/>
        <v xml:space="preserve"> </v>
      </c>
      <c r="S68" s="115" t="str">
        <f t="shared" si="40"/>
        <v xml:space="preserve"> </v>
      </c>
      <c r="T68" s="116" t="str">
        <f t="shared" si="41"/>
        <v/>
      </c>
      <c r="U68" s="120"/>
      <c r="V68" s="118"/>
      <c r="W68" s="131"/>
    </row>
    <row r="69" spans="1:23" ht="13.2">
      <c r="A69" s="102" t="s">
        <v>112</v>
      </c>
      <c r="B69" s="102"/>
      <c r="C69" s="103">
        <v>3</v>
      </c>
      <c r="D69" s="105" t="s">
        <v>68</v>
      </c>
      <c r="E69" s="106">
        <v>1.17</v>
      </c>
      <c r="F69" s="107">
        <v>0.1</v>
      </c>
      <c r="G69" s="108">
        <v>0.1</v>
      </c>
      <c r="H69" s="109" t="s">
        <v>55</v>
      </c>
      <c r="I69" s="110">
        <v>1.1319999999999999</v>
      </c>
      <c r="J69" s="110">
        <v>1.139</v>
      </c>
      <c r="K69" s="119">
        <v>1.1359999999999999</v>
      </c>
      <c r="L69" s="111">
        <f t="shared" si="33"/>
        <v>-3.8000000000000034E-2</v>
      </c>
      <c r="M69" s="112">
        <f t="shared" si="34"/>
        <v>-3.0999999999999917E-2</v>
      </c>
      <c r="N69" s="112">
        <f t="shared" si="35"/>
        <v>-3.400000000000003E-2</v>
      </c>
      <c r="O69" s="112">
        <f t="shared" si="36"/>
        <v>1.1356666666666666</v>
      </c>
      <c r="P69" s="113">
        <f t="shared" si="37"/>
        <v>0</v>
      </c>
      <c r="Q69" s="114">
        <f t="shared" si="38"/>
        <v>0.38000000000000034</v>
      </c>
      <c r="R69" s="115" t="str">
        <f t="shared" si="39"/>
        <v xml:space="preserve"> </v>
      </c>
      <c r="S69" s="115" t="str">
        <f t="shared" si="40"/>
        <v xml:space="preserve"> </v>
      </c>
      <c r="T69" s="116" t="str">
        <f t="shared" si="41"/>
        <v/>
      </c>
      <c r="U69" s="120"/>
      <c r="V69" s="118"/>
      <c r="W69" s="131"/>
    </row>
    <row r="70" spans="1:23" ht="13.2">
      <c r="A70" s="102" t="s">
        <v>113</v>
      </c>
      <c r="B70" s="102"/>
      <c r="C70" s="103">
        <v>3</v>
      </c>
      <c r="D70" s="105" t="s">
        <v>68</v>
      </c>
      <c r="E70" s="106">
        <v>1.17</v>
      </c>
      <c r="F70" s="107">
        <v>0.1</v>
      </c>
      <c r="G70" s="108">
        <v>0.1</v>
      </c>
      <c r="H70" s="109" t="s">
        <v>55</v>
      </c>
      <c r="I70" s="110">
        <v>1.121</v>
      </c>
      <c r="J70" s="110">
        <v>1.1499999999999999</v>
      </c>
      <c r="K70" s="119">
        <v>1.1399999999999999</v>
      </c>
      <c r="L70" s="111">
        <f t="shared" si="33"/>
        <v>-4.8999999999999932E-2</v>
      </c>
      <c r="M70" s="112">
        <f t="shared" si="34"/>
        <v>-2.0000000000000018E-2</v>
      </c>
      <c r="N70" s="112">
        <f t="shared" si="35"/>
        <v>-3.0000000000000027E-2</v>
      </c>
      <c r="O70" s="112">
        <f t="shared" si="36"/>
        <v>1.1369999999999998</v>
      </c>
      <c r="P70" s="113">
        <f t="shared" si="37"/>
        <v>0</v>
      </c>
      <c r="Q70" s="114">
        <f t="shared" si="38"/>
        <v>0.48999999999999932</v>
      </c>
      <c r="R70" s="115" t="str">
        <f t="shared" si="39"/>
        <v xml:space="preserve"> </v>
      </c>
      <c r="S70" s="115" t="str">
        <f t="shared" si="40"/>
        <v xml:space="preserve"> </v>
      </c>
      <c r="T70" s="116" t="str">
        <f t="shared" si="41"/>
        <v/>
      </c>
      <c r="U70" s="120"/>
      <c r="V70" s="118"/>
      <c r="W70" s="131"/>
    </row>
    <row r="71" spans="1:23" ht="13.2">
      <c r="A71" s="102" t="s">
        <v>114</v>
      </c>
      <c r="B71" s="102"/>
      <c r="C71" s="103">
        <v>3</v>
      </c>
      <c r="D71" s="105" t="s">
        <v>68</v>
      </c>
      <c r="E71" s="106">
        <v>1.17</v>
      </c>
      <c r="F71" s="107">
        <v>0.1</v>
      </c>
      <c r="G71" s="108">
        <v>0.1</v>
      </c>
      <c r="H71" s="109" t="s">
        <v>55</v>
      </c>
      <c r="I71" s="110">
        <v>1.135</v>
      </c>
      <c r="J71" s="110">
        <v>1.1399999999999999</v>
      </c>
      <c r="K71" s="119">
        <v>1.1439999999999999</v>
      </c>
      <c r="L71" s="111">
        <f t="shared" si="33"/>
        <v>-3.499999999999992E-2</v>
      </c>
      <c r="M71" s="112">
        <f t="shared" si="34"/>
        <v>-3.0000000000000027E-2</v>
      </c>
      <c r="N71" s="112">
        <f t="shared" si="35"/>
        <v>-2.6000000000000023E-2</v>
      </c>
      <c r="O71" s="112">
        <f t="shared" si="36"/>
        <v>1.1396666666666666</v>
      </c>
      <c r="P71" s="113">
        <f t="shared" si="37"/>
        <v>0</v>
      </c>
      <c r="Q71" s="114">
        <f t="shared" si="38"/>
        <v>0.3499999999999992</v>
      </c>
      <c r="R71" s="115" t="str">
        <f t="shared" si="39"/>
        <v xml:space="preserve"> </v>
      </c>
      <c r="S71" s="115" t="str">
        <f t="shared" si="40"/>
        <v xml:space="preserve"> </v>
      </c>
      <c r="T71" s="116" t="str">
        <f t="shared" si="41"/>
        <v/>
      </c>
      <c r="U71" s="120"/>
      <c r="V71" s="118"/>
      <c r="W71" s="131"/>
    </row>
    <row r="72" spans="1:23" ht="13.2">
      <c r="A72" s="102" t="s">
        <v>115</v>
      </c>
      <c r="B72" s="103"/>
      <c r="C72" s="103">
        <v>3</v>
      </c>
      <c r="D72" s="105" t="s">
        <v>68</v>
      </c>
      <c r="E72" s="106">
        <v>1.17</v>
      </c>
      <c r="F72" s="107">
        <v>0.1</v>
      </c>
      <c r="G72" s="108">
        <v>0.1</v>
      </c>
      <c r="H72" s="109" t="s">
        <v>55</v>
      </c>
      <c r="I72" s="110">
        <v>1.141</v>
      </c>
      <c r="J72" s="110">
        <v>1.141</v>
      </c>
      <c r="K72" s="119">
        <v>1.141</v>
      </c>
      <c r="L72" s="111">
        <f t="shared" si="33"/>
        <v>-2.8999999999999915E-2</v>
      </c>
      <c r="M72" s="112">
        <f t="shared" si="34"/>
        <v>-2.8999999999999915E-2</v>
      </c>
      <c r="N72" s="112">
        <f t="shared" si="35"/>
        <v>-2.8999999999999915E-2</v>
      </c>
      <c r="O72" s="112">
        <f t="shared" si="36"/>
        <v>1.141</v>
      </c>
      <c r="P72" s="113">
        <f t="shared" si="37"/>
        <v>0</v>
      </c>
      <c r="Q72" s="114">
        <f t="shared" si="38"/>
        <v>0.28999999999999915</v>
      </c>
      <c r="R72" s="115" t="str">
        <f t="shared" si="39"/>
        <v xml:space="preserve"> </v>
      </c>
      <c r="S72" s="115" t="str">
        <f t="shared" si="40"/>
        <v xml:space="preserve"> </v>
      </c>
      <c r="T72" s="116" t="str">
        <f t="shared" si="41"/>
        <v/>
      </c>
      <c r="U72" s="120"/>
      <c r="V72" s="118"/>
      <c r="W72" s="131"/>
    </row>
    <row r="73" spans="1:23" ht="13.2">
      <c r="A73" s="102" t="s">
        <v>116</v>
      </c>
      <c r="B73" s="103"/>
      <c r="C73" s="103">
        <v>3</v>
      </c>
      <c r="D73" s="105" t="s">
        <v>68</v>
      </c>
      <c r="E73" s="106">
        <v>1.17</v>
      </c>
      <c r="F73" s="107">
        <v>0.1</v>
      </c>
      <c r="G73" s="108">
        <v>0.1</v>
      </c>
      <c r="H73" s="109" t="s">
        <v>55</v>
      </c>
      <c r="I73" s="110">
        <v>1.137</v>
      </c>
      <c r="J73" s="110">
        <v>1.1339999999999999</v>
      </c>
      <c r="K73" s="119">
        <v>1.1399999999999999</v>
      </c>
      <c r="L73" s="111">
        <f t="shared" si="33"/>
        <v>-3.2999999999999918E-2</v>
      </c>
      <c r="M73" s="112">
        <f t="shared" si="34"/>
        <v>-3.6000000000000032E-2</v>
      </c>
      <c r="N73" s="112">
        <f t="shared" si="35"/>
        <v>-3.0000000000000027E-2</v>
      </c>
      <c r="O73" s="112">
        <f t="shared" si="36"/>
        <v>1.1369999999999998</v>
      </c>
      <c r="P73" s="113">
        <f t="shared" si="37"/>
        <v>0</v>
      </c>
      <c r="Q73" s="114">
        <f t="shared" si="38"/>
        <v>0.36000000000000032</v>
      </c>
      <c r="R73" s="115" t="str">
        <f t="shared" si="39"/>
        <v xml:space="preserve"> </v>
      </c>
      <c r="S73" s="115" t="str">
        <f t="shared" si="40"/>
        <v xml:space="preserve"> </v>
      </c>
      <c r="T73" s="116" t="str">
        <f t="shared" si="41"/>
        <v/>
      </c>
      <c r="U73" s="120"/>
      <c r="V73" s="118"/>
      <c r="W73" s="131"/>
    </row>
    <row r="74" spans="1:23" ht="13.2">
      <c r="A74" s="102" t="s">
        <v>117</v>
      </c>
      <c r="B74" s="103"/>
      <c r="C74" s="103">
        <v>3</v>
      </c>
      <c r="D74" s="105" t="s">
        <v>68</v>
      </c>
      <c r="E74" s="106">
        <v>1.17</v>
      </c>
      <c r="F74" s="107">
        <v>0.1</v>
      </c>
      <c r="G74" s="108">
        <v>0.1</v>
      </c>
      <c r="H74" s="109" t="s">
        <v>55</v>
      </c>
      <c r="I74" s="110">
        <v>1.135</v>
      </c>
      <c r="J74" s="110">
        <v>1.151</v>
      </c>
      <c r="K74" s="119">
        <v>1.143</v>
      </c>
      <c r="L74" s="111">
        <f t="shared" si="33"/>
        <v>-3.499999999999992E-2</v>
      </c>
      <c r="M74" s="112">
        <f t="shared" si="34"/>
        <v>-1.8999999999999906E-2</v>
      </c>
      <c r="N74" s="112">
        <f t="shared" si="35"/>
        <v>-2.6999999999999913E-2</v>
      </c>
      <c r="O74" s="112">
        <f t="shared" si="36"/>
        <v>1.143</v>
      </c>
      <c r="P74" s="113">
        <f t="shared" si="37"/>
        <v>0</v>
      </c>
      <c r="Q74" s="114">
        <f t="shared" si="38"/>
        <v>0.3499999999999992</v>
      </c>
      <c r="R74" s="115" t="str">
        <f t="shared" si="39"/>
        <v xml:space="preserve"> </v>
      </c>
      <c r="S74" s="115" t="str">
        <f t="shared" si="40"/>
        <v xml:space="preserve"> </v>
      </c>
      <c r="T74" s="116" t="str">
        <f t="shared" si="41"/>
        <v/>
      </c>
      <c r="U74" s="120"/>
      <c r="V74" s="118"/>
      <c r="W74" s="131"/>
    </row>
    <row r="75" spans="1:23" ht="13.2">
      <c r="A75" s="102" t="s">
        <v>164</v>
      </c>
      <c r="B75" s="102"/>
      <c r="C75" s="103">
        <v>3</v>
      </c>
      <c r="D75" s="105" t="s">
        <v>68</v>
      </c>
      <c r="E75" s="106">
        <v>1.17</v>
      </c>
      <c r="F75" s="107">
        <v>0.1</v>
      </c>
      <c r="G75" s="108">
        <v>0.1</v>
      </c>
      <c r="H75" s="109" t="s">
        <v>55</v>
      </c>
      <c r="I75" s="110">
        <v>1.1359999999999999</v>
      </c>
      <c r="J75" s="110">
        <v>1.141</v>
      </c>
      <c r="K75" s="119">
        <v>1.135</v>
      </c>
      <c r="L75" s="111">
        <f t="shared" si="33"/>
        <v>-3.400000000000003E-2</v>
      </c>
      <c r="M75" s="112">
        <f t="shared" si="34"/>
        <v>-2.8999999999999915E-2</v>
      </c>
      <c r="N75" s="112">
        <f t="shared" si="35"/>
        <v>-3.499999999999992E-2</v>
      </c>
      <c r="O75" s="112">
        <f t="shared" si="36"/>
        <v>1.1373333333333333</v>
      </c>
      <c r="P75" s="113">
        <f t="shared" si="37"/>
        <v>0</v>
      </c>
      <c r="Q75" s="114">
        <f t="shared" si="38"/>
        <v>0.3499999999999992</v>
      </c>
      <c r="R75" s="115" t="str">
        <f t="shared" si="39"/>
        <v xml:space="preserve"> </v>
      </c>
      <c r="S75" s="115" t="str">
        <f t="shared" si="40"/>
        <v xml:space="preserve"> </v>
      </c>
      <c r="T75" s="116" t="str">
        <f t="shared" si="41"/>
        <v/>
      </c>
      <c r="U75" s="120"/>
      <c r="V75" s="118"/>
      <c r="W75" s="131"/>
    </row>
    <row r="76" spans="1:23" ht="13.2">
      <c r="A76" s="102" t="s">
        <v>118</v>
      </c>
      <c r="B76" s="102"/>
      <c r="C76" s="103">
        <v>3</v>
      </c>
      <c r="D76" s="105" t="s">
        <v>68</v>
      </c>
      <c r="E76" s="106">
        <v>1.17</v>
      </c>
      <c r="F76" s="107">
        <v>0.1</v>
      </c>
      <c r="G76" s="108">
        <v>0.1</v>
      </c>
      <c r="H76" s="109" t="s">
        <v>55</v>
      </c>
      <c r="I76" s="110">
        <v>1.1419999999999999</v>
      </c>
      <c r="J76" s="110">
        <v>1.149</v>
      </c>
      <c r="K76" s="119">
        <v>1.1379999999999999</v>
      </c>
      <c r="L76" s="111">
        <f t="shared" si="33"/>
        <v>-2.8000000000000025E-2</v>
      </c>
      <c r="M76" s="112">
        <f t="shared" si="34"/>
        <v>-2.0999999999999908E-2</v>
      </c>
      <c r="N76" s="112">
        <f t="shared" si="35"/>
        <v>-3.2000000000000028E-2</v>
      </c>
      <c r="O76" s="112">
        <f t="shared" si="36"/>
        <v>1.143</v>
      </c>
      <c r="P76" s="113">
        <f t="shared" si="37"/>
        <v>0</v>
      </c>
      <c r="Q76" s="114">
        <f t="shared" si="38"/>
        <v>0.32000000000000028</v>
      </c>
      <c r="R76" s="115" t="str">
        <f t="shared" si="39"/>
        <v xml:space="preserve"> </v>
      </c>
      <c r="S76" s="115" t="str">
        <f t="shared" si="40"/>
        <v xml:space="preserve"> </v>
      </c>
      <c r="T76" s="116" t="str">
        <f t="shared" si="41"/>
        <v/>
      </c>
      <c r="U76" s="120"/>
      <c r="V76" s="118"/>
      <c r="W76" s="131"/>
    </row>
    <row r="77" spans="1:23" ht="13.2">
      <c r="A77" s="102" t="s">
        <v>119</v>
      </c>
      <c r="B77" s="102"/>
      <c r="C77" s="103">
        <v>3</v>
      </c>
      <c r="D77" s="105" t="s">
        <v>68</v>
      </c>
      <c r="E77" s="106">
        <v>1.17</v>
      </c>
      <c r="F77" s="107">
        <v>0.1</v>
      </c>
      <c r="G77" s="108">
        <v>0.1</v>
      </c>
      <c r="H77" s="109" t="s">
        <v>55</v>
      </c>
      <c r="I77" s="110">
        <v>1.131</v>
      </c>
      <c r="J77" s="110">
        <v>1.151</v>
      </c>
      <c r="K77" s="119">
        <v>1.1439999999999999</v>
      </c>
      <c r="L77" s="111">
        <f t="shared" si="33"/>
        <v>-3.8999999999999924E-2</v>
      </c>
      <c r="M77" s="112">
        <f t="shared" si="34"/>
        <v>-1.8999999999999906E-2</v>
      </c>
      <c r="N77" s="112">
        <f t="shared" si="35"/>
        <v>-2.6000000000000023E-2</v>
      </c>
      <c r="O77" s="112">
        <f t="shared" si="36"/>
        <v>1.1420000000000001</v>
      </c>
      <c r="P77" s="113">
        <f t="shared" si="37"/>
        <v>0</v>
      </c>
      <c r="Q77" s="114">
        <f t="shared" si="38"/>
        <v>0.38999999999999924</v>
      </c>
      <c r="R77" s="115" t="str">
        <f t="shared" si="39"/>
        <v xml:space="preserve"> </v>
      </c>
      <c r="S77" s="115" t="str">
        <f t="shared" si="40"/>
        <v xml:space="preserve"> </v>
      </c>
      <c r="T77" s="116" t="str">
        <f t="shared" si="41"/>
        <v/>
      </c>
      <c r="U77" s="120"/>
      <c r="V77" s="118"/>
      <c r="W77" s="131"/>
    </row>
    <row r="78" spans="1:23" ht="13.2">
      <c r="A78" s="102" t="s">
        <v>120</v>
      </c>
      <c r="B78" s="102"/>
      <c r="C78" s="103">
        <v>3</v>
      </c>
      <c r="D78" s="105" t="s">
        <v>68</v>
      </c>
      <c r="E78" s="106">
        <v>1.17</v>
      </c>
      <c r="F78" s="107">
        <v>0.1</v>
      </c>
      <c r="G78" s="108">
        <v>0.1</v>
      </c>
      <c r="H78" s="109" t="s">
        <v>55</v>
      </c>
      <c r="I78" s="110">
        <v>1.139</v>
      </c>
      <c r="J78" s="110">
        <v>1.147</v>
      </c>
      <c r="K78" s="119">
        <v>1.1419999999999999</v>
      </c>
      <c r="L78" s="111">
        <f t="shared" si="33"/>
        <v>-3.0999999999999917E-2</v>
      </c>
      <c r="M78" s="112">
        <f t="shared" si="34"/>
        <v>-2.2999999999999909E-2</v>
      </c>
      <c r="N78" s="112">
        <f t="shared" si="35"/>
        <v>-2.8000000000000025E-2</v>
      </c>
      <c r="O78" s="112">
        <f t="shared" si="36"/>
        <v>1.1426666666666667</v>
      </c>
      <c r="P78" s="113">
        <f t="shared" si="37"/>
        <v>0</v>
      </c>
      <c r="Q78" s="114">
        <f t="shared" si="38"/>
        <v>0.30999999999999917</v>
      </c>
      <c r="R78" s="115" t="str">
        <f t="shared" si="39"/>
        <v xml:space="preserve"> </v>
      </c>
      <c r="S78" s="115" t="str">
        <f t="shared" si="40"/>
        <v xml:space="preserve"> </v>
      </c>
      <c r="T78" s="116" t="str">
        <f t="shared" si="41"/>
        <v/>
      </c>
      <c r="U78" s="120"/>
      <c r="V78" s="118"/>
      <c r="W78" s="131"/>
    </row>
    <row r="79" spans="1:23" ht="13.2">
      <c r="A79" s="102" t="s">
        <v>121</v>
      </c>
      <c r="B79" s="102"/>
      <c r="C79" s="103">
        <v>3</v>
      </c>
      <c r="D79" s="105" t="s">
        <v>68</v>
      </c>
      <c r="E79" s="106">
        <v>1.17</v>
      </c>
      <c r="F79" s="107">
        <v>0.1</v>
      </c>
      <c r="G79" s="108">
        <v>0.1</v>
      </c>
      <c r="H79" s="109" t="s">
        <v>55</v>
      </c>
      <c r="I79" s="110">
        <v>1.137</v>
      </c>
      <c r="J79" s="110">
        <v>1.1479999999999999</v>
      </c>
      <c r="K79" s="119">
        <v>1.131</v>
      </c>
      <c r="L79" s="111">
        <f t="shared" si="33"/>
        <v>-3.2999999999999918E-2</v>
      </c>
      <c r="M79" s="112">
        <f t="shared" si="34"/>
        <v>-2.200000000000002E-2</v>
      </c>
      <c r="N79" s="112">
        <f t="shared" si="35"/>
        <v>-3.8999999999999924E-2</v>
      </c>
      <c r="O79" s="112">
        <f t="shared" si="36"/>
        <v>1.1386666666666667</v>
      </c>
      <c r="P79" s="113">
        <f t="shared" si="37"/>
        <v>0</v>
      </c>
      <c r="Q79" s="114">
        <f t="shared" si="38"/>
        <v>0.38999999999999924</v>
      </c>
      <c r="R79" s="115" t="str">
        <f t="shared" si="39"/>
        <v xml:space="preserve"> </v>
      </c>
      <c r="S79" s="115" t="str">
        <f t="shared" si="40"/>
        <v xml:space="preserve"> </v>
      </c>
      <c r="T79" s="116" t="str">
        <f t="shared" si="41"/>
        <v/>
      </c>
      <c r="U79" s="120"/>
      <c r="V79" s="118"/>
      <c r="W79" s="131"/>
    </row>
    <row r="80" spans="1:23" ht="13.2">
      <c r="A80" s="102" t="s">
        <v>122</v>
      </c>
      <c r="B80" s="102"/>
      <c r="C80" s="103">
        <v>3</v>
      </c>
      <c r="D80" s="105" t="s">
        <v>68</v>
      </c>
      <c r="E80" s="106">
        <v>1.17</v>
      </c>
      <c r="F80" s="107">
        <v>0.1</v>
      </c>
      <c r="G80" s="108">
        <v>0.1</v>
      </c>
      <c r="H80" s="109" t="s">
        <v>55</v>
      </c>
      <c r="I80" s="110">
        <v>1.131</v>
      </c>
      <c r="J80" s="110">
        <v>1.139</v>
      </c>
      <c r="K80" s="119">
        <v>1.1359999999999999</v>
      </c>
      <c r="L80" s="111">
        <f t="shared" si="33"/>
        <v>-3.8999999999999924E-2</v>
      </c>
      <c r="M80" s="112">
        <f t="shared" si="34"/>
        <v>-3.0999999999999917E-2</v>
      </c>
      <c r="N80" s="112">
        <f t="shared" si="35"/>
        <v>-3.400000000000003E-2</v>
      </c>
      <c r="O80" s="112">
        <f t="shared" si="36"/>
        <v>1.1353333333333333</v>
      </c>
      <c r="P80" s="113">
        <f t="shared" si="37"/>
        <v>0</v>
      </c>
      <c r="Q80" s="114">
        <f t="shared" si="38"/>
        <v>0.38999999999999924</v>
      </c>
      <c r="R80" s="115" t="str">
        <f t="shared" si="39"/>
        <v xml:space="preserve"> </v>
      </c>
      <c r="S80" s="115" t="str">
        <f t="shared" si="40"/>
        <v xml:space="preserve"> </v>
      </c>
      <c r="T80" s="116" t="str">
        <f t="shared" si="41"/>
        <v/>
      </c>
      <c r="U80" s="120"/>
      <c r="V80" s="118"/>
      <c r="W80" s="131"/>
    </row>
    <row r="81" spans="1:23" ht="13.2">
      <c r="A81" s="102" t="s">
        <v>123</v>
      </c>
      <c r="B81" s="102"/>
      <c r="C81" s="103">
        <v>3</v>
      </c>
      <c r="D81" s="105" t="s">
        <v>68</v>
      </c>
      <c r="E81" s="106">
        <v>1.17</v>
      </c>
      <c r="F81" s="107">
        <v>0.1</v>
      </c>
      <c r="G81" s="108">
        <v>0.1</v>
      </c>
      <c r="H81" s="109" t="s">
        <v>55</v>
      </c>
      <c r="I81" s="110">
        <v>1.1419999999999999</v>
      </c>
      <c r="J81" s="110">
        <v>1.1439999999999999</v>
      </c>
      <c r="K81" s="119">
        <v>1.1359999999999999</v>
      </c>
      <c r="L81" s="111">
        <f t="shared" si="33"/>
        <v>-2.8000000000000025E-2</v>
      </c>
      <c r="M81" s="112">
        <f t="shared" si="34"/>
        <v>-2.6000000000000023E-2</v>
      </c>
      <c r="N81" s="112">
        <f t="shared" si="35"/>
        <v>-3.400000000000003E-2</v>
      </c>
      <c r="O81" s="112">
        <f t="shared" si="36"/>
        <v>1.1406666666666665</v>
      </c>
      <c r="P81" s="113">
        <f t="shared" si="37"/>
        <v>0</v>
      </c>
      <c r="Q81" s="114">
        <f t="shared" si="38"/>
        <v>0.3400000000000003</v>
      </c>
      <c r="R81" s="115" t="str">
        <f t="shared" si="39"/>
        <v xml:space="preserve"> </v>
      </c>
      <c r="S81" s="115" t="str">
        <f t="shared" si="40"/>
        <v xml:space="preserve"> </v>
      </c>
      <c r="T81" s="116" t="str">
        <f t="shared" si="41"/>
        <v/>
      </c>
      <c r="U81" s="120"/>
      <c r="V81" s="118"/>
      <c r="W81" s="131"/>
    </row>
    <row r="82" spans="1:23" ht="13.2">
      <c r="A82" s="102" t="s">
        <v>124</v>
      </c>
      <c r="B82" s="102"/>
      <c r="C82" s="103">
        <v>3</v>
      </c>
      <c r="D82" s="105" t="s">
        <v>68</v>
      </c>
      <c r="E82" s="106">
        <v>1.17</v>
      </c>
      <c r="F82" s="107">
        <v>0.1</v>
      </c>
      <c r="G82" s="108">
        <v>0.1</v>
      </c>
      <c r="H82" s="109" t="s">
        <v>55</v>
      </c>
      <c r="I82" s="110">
        <v>1.1339999999999999</v>
      </c>
      <c r="J82" s="110">
        <v>1.127</v>
      </c>
      <c r="K82" s="119">
        <v>1.137</v>
      </c>
      <c r="L82" s="111">
        <f t="shared" si="33"/>
        <v>-3.6000000000000032E-2</v>
      </c>
      <c r="M82" s="112">
        <f t="shared" si="34"/>
        <v>-4.2999999999999927E-2</v>
      </c>
      <c r="N82" s="112">
        <f t="shared" si="35"/>
        <v>-3.2999999999999918E-2</v>
      </c>
      <c r="O82" s="112">
        <f t="shared" si="36"/>
        <v>1.1326666666666667</v>
      </c>
      <c r="P82" s="113">
        <f t="shared" si="37"/>
        <v>0</v>
      </c>
      <c r="Q82" s="114">
        <f t="shared" si="38"/>
        <v>0.42999999999999927</v>
      </c>
      <c r="R82" s="115" t="str">
        <f t="shared" si="39"/>
        <v xml:space="preserve"> </v>
      </c>
      <c r="S82" s="115" t="str">
        <f t="shared" si="40"/>
        <v xml:space="preserve"> </v>
      </c>
      <c r="T82" s="116" t="str">
        <f t="shared" si="41"/>
        <v/>
      </c>
      <c r="U82" s="120"/>
      <c r="V82" s="118"/>
      <c r="W82" s="131"/>
    </row>
    <row r="83" spans="1:23" ht="13.2">
      <c r="A83" s="102" t="s">
        <v>125</v>
      </c>
      <c r="B83" s="102"/>
      <c r="C83" s="103">
        <v>3</v>
      </c>
      <c r="D83" s="105" t="s">
        <v>68</v>
      </c>
      <c r="E83" s="106">
        <v>1.17</v>
      </c>
      <c r="F83" s="107">
        <v>0.1</v>
      </c>
      <c r="G83" s="108">
        <v>0.1</v>
      </c>
      <c r="H83" s="109" t="s">
        <v>55</v>
      </c>
      <c r="I83" s="110">
        <v>1.1439999999999999</v>
      </c>
      <c r="J83" s="110">
        <v>1.143</v>
      </c>
      <c r="K83" s="119">
        <v>1.1439999999999999</v>
      </c>
      <c r="L83" s="111">
        <f t="shared" ref="L83:L146" si="42">IF(ISBLANK($E83),"",IF(ISERR(I83/I83)=TRUE,"BAD INSP",I83-$E83))</f>
        <v>-2.6000000000000023E-2</v>
      </c>
      <c r="M83" s="112">
        <f t="shared" ref="M83:M146" si="43">IF(ISBLANK($E83),"",IF(ISERR(J83/J83)=TRUE,"BAD INSP",J83-$E83))</f>
        <v>-2.6999999999999913E-2</v>
      </c>
      <c r="N83" s="112">
        <f t="shared" ref="N83:N146" si="44">IF(ISBLANK($E83),"",IF(ISERR(K83/K83)=TRUE,"BAD INSP",K83-$E83))</f>
        <v>-2.6000000000000023E-2</v>
      </c>
      <c r="O83" s="112">
        <f t="shared" si="36"/>
        <v>1.1436666666666666</v>
      </c>
      <c r="P83" s="113">
        <f t="shared" si="37"/>
        <v>0</v>
      </c>
      <c r="Q83" s="114">
        <f t="shared" si="38"/>
        <v>0.26999999999999913</v>
      </c>
      <c r="R83" s="115" t="str">
        <f t="shared" si="39"/>
        <v xml:space="preserve"> </v>
      </c>
      <c r="S83" s="115" t="str">
        <f t="shared" si="40"/>
        <v xml:space="preserve"> </v>
      </c>
      <c r="T83" s="116" t="str">
        <f t="shared" si="41"/>
        <v/>
      </c>
      <c r="U83" s="120"/>
      <c r="V83" s="118"/>
      <c r="W83" s="131"/>
    </row>
    <row r="84" spans="1:23" ht="13.2">
      <c r="A84" s="102" t="s">
        <v>126</v>
      </c>
      <c r="B84" s="102"/>
      <c r="C84" s="103">
        <v>3</v>
      </c>
      <c r="D84" s="105" t="s">
        <v>68</v>
      </c>
      <c r="E84" s="106">
        <v>1.17</v>
      </c>
      <c r="F84" s="107">
        <v>0.1</v>
      </c>
      <c r="G84" s="108">
        <v>0.1</v>
      </c>
      <c r="H84" s="109" t="s">
        <v>55</v>
      </c>
      <c r="I84" s="110">
        <v>1.1339999999999999</v>
      </c>
      <c r="J84" s="110">
        <v>1.151</v>
      </c>
      <c r="K84" s="119">
        <v>1.137</v>
      </c>
      <c r="L84" s="111">
        <f t="shared" si="42"/>
        <v>-3.6000000000000032E-2</v>
      </c>
      <c r="M84" s="112">
        <f t="shared" si="43"/>
        <v>-1.8999999999999906E-2</v>
      </c>
      <c r="N84" s="112">
        <f t="shared" si="44"/>
        <v>-3.2999999999999918E-2</v>
      </c>
      <c r="O84" s="112">
        <f t="shared" si="36"/>
        <v>1.1406666666666667</v>
      </c>
      <c r="P84" s="113">
        <f t="shared" si="37"/>
        <v>0</v>
      </c>
      <c r="Q84" s="114">
        <f t="shared" si="38"/>
        <v>0.36000000000000032</v>
      </c>
      <c r="R84" s="115" t="str">
        <f t="shared" si="39"/>
        <v xml:space="preserve"> </v>
      </c>
      <c r="S84" s="115" t="str">
        <f t="shared" si="40"/>
        <v xml:space="preserve"> </v>
      </c>
      <c r="T84" s="116" t="str">
        <f t="shared" si="41"/>
        <v/>
      </c>
      <c r="U84" s="120"/>
      <c r="V84" s="118"/>
      <c r="W84" s="131"/>
    </row>
    <row r="85" spans="1:23" ht="13.2">
      <c r="A85" s="102" t="s">
        <v>127</v>
      </c>
      <c r="B85" s="102"/>
      <c r="C85" s="103">
        <v>3</v>
      </c>
      <c r="D85" s="105" t="s">
        <v>68</v>
      </c>
      <c r="E85" s="106">
        <v>1.17</v>
      </c>
      <c r="F85" s="107">
        <v>0.1</v>
      </c>
      <c r="G85" s="108">
        <v>0.1</v>
      </c>
      <c r="H85" s="109" t="s">
        <v>55</v>
      </c>
      <c r="I85" s="110">
        <v>1.137</v>
      </c>
      <c r="J85" s="110">
        <v>1.1499999999999999</v>
      </c>
      <c r="K85" s="119">
        <v>1.129</v>
      </c>
      <c r="L85" s="111">
        <f t="shared" si="42"/>
        <v>-3.2999999999999918E-2</v>
      </c>
      <c r="M85" s="112">
        <f t="shared" si="43"/>
        <v>-2.0000000000000018E-2</v>
      </c>
      <c r="N85" s="112">
        <f t="shared" si="44"/>
        <v>-4.0999999999999925E-2</v>
      </c>
      <c r="O85" s="112">
        <f t="shared" si="36"/>
        <v>1.1386666666666667</v>
      </c>
      <c r="P85" s="113">
        <f t="shared" si="37"/>
        <v>0</v>
      </c>
      <c r="Q85" s="114">
        <f t="shared" si="38"/>
        <v>0.40999999999999925</v>
      </c>
      <c r="R85" s="115" t="str">
        <f t="shared" si="39"/>
        <v xml:space="preserve"> </v>
      </c>
      <c r="S85" s="115" t="str">
        <f t="shared" si="40"/>
        <v xml:space="preserve"> </v>
      </c>
      <c r="T85" s="116" t="str">
        <f t="shared" si="41"/>
        <v/>
      </c>
      <c r="U85" s="120"/>
      <c r="V85" s="118"/>
      <c r="W85" s="131"/>
    </row>
    <row r="86" spans="1:23" ht="13.2">
      <c r="A86" s="102" t="s">
        <v>128</v>
      </c>
      <c r="B86" s="102"/>
      <c r="C86" s="103">
        <v>3</v>
      </c>
      <c r="D86" s="105" t="s">
        <v>68</v>
      </c>
      <c r="E86" s="106">
        <v>1.17</v>
      </c>
      <c r="F86" s="107">
        <v>0.1</v>
      </c>
      <c r="G86" s="108">
        <v>0.1</v>
      </c>
      <c r="H86" s="109" t="s">
        <v>55</v>
      </c>
      <c r="I86" s="110">
        <v>1.135</v>
      </c>
      <c r="J86" s="110">
        <v>1.1459999999999999</v>
      </c>
      <c r="K86" s="119">
        <v>1.139</v>
      </c>
      <c r="L86" s="111">
        <f t="shared" si="42"/>
        <v>-3.499999999999992E-2</v>
      </c>
      <c r="M86" s="112">
        <f t="shared" si="43"/>
        <v>-2.4000000000000021E-2</v>
      </c>
      <c r="N86" s="112">
        <f t="shared" si="44"/>
        <v>-3.0999999999999917E-2</v>
      </c>
      <c r="O86" s="112">
        <f t="shared" si="36"/>
        <v>1.1399999999999999</v>
      </c>
      <c r="P86" s="113">
        <f t="shared" si="37"/>
        <v>0</v>
      </c>
      <c r="Q86" s="114">
        <f t="shared" si="38"/>
        <v>0.3499999999999992</v>
      </c>
      <c r="R86" s="115" t="str">
        <f t="shared" si="39"/>
        <v xml:space="preserve"> </v>
      </c>
      <c r="S86" s="115" t="str">
        <f t="shared" si="40"/>
        <v xml:space="preserve"> </v>
      </c>
      <c r="T86" s="116" t="str">
        <f t="shared" si="41"/>
        <v/>
      </c>
      <c r="U86" s="120"/>
      <c r="V86" s="118"/>
      <c r="W86" s="131"/>
    </row>
    <row r="87" spans="1:23" ht="13.2">
      <c r="A87" s="102" t="s">
        <v>129</v>
      </c>
      <c r="B87" s="103"/>
      <c r="C87" s="103">
        <v>3</v>
      </c>
      <c r="D87" s="105" t="s">
        <v>68</v>
      </c>
      <c r="E87" s="106">
        <v>1.17</v>
      </c>
      <c r="F87" s="107">
        <v>0.1</v>
      </c>
      <c r="G87" s="108">
        <v>0.1</v>
      </c>
      <c r="H87" s="109" t="s">
        <v>55</v>
      </c>
      <c r="I87" s="110">
        <v>1.137</v>
      </c>
      <c r="J87" s="110">
        <v>1.139</v>
      </c>
      <c r="K87" s="119">
        <v>1.1419999999999999</v>
      </c>
      <c r="L87" s="111">
        <f t="shared" si="42"/>
        <v>-3.2999999999999918E-2</v>
      </c>
      <c r="M87" s="112">
        <f t="shared" si="43"/>
        <v>-3.0999999999999917E-2</v>
      </c>
      <c r="N87" s="112">
        <f t="shared" si="44"/>
        <v>-2.8000000000000025E-2</v>
      </c>
      <c r="O87" s="112">
        <f t="shared" si="36"/>
        <v>1.1393333333333333</v>
      </c>
      <c r="P87" s="113">
        <f t="shared" si="37"/>
        <v>0</v>
      </c>
      <c r="Q87" s="114">
        <f t="shared" si="38"/>
        <v>0.32999999999999918</v>
      </c>
      <c r="R87" s="115" t="str">
        <f t="shared" si="39"/>
        <v xml:space="preserve"> </v>
      </c>
      <c r="S87" s="115" t="str">
        <f t="shared" si="40"/>
        <v xml:space="preserve"> </v>
      </c>
      <c r="T87" s="116" t="str">
        <f t="shared" si="41"/>
        <v/>
      </c>
      <c r="U87" s="120"/>
      <c r="V87" s="118"/>
      <c r="W87" s="131"/>
    </row>
    <row r="88" spans="1:23" ht="13.2">
      <c r="A88" s="102" t="s">
        <v>130</v>
      </c>
      <c r="B88" s="103"/>
      <c r="C88" s="103">
        <v>3</v>
      </c>
      <c r="D88" s="105" t="s">
        <v>68</v>
      </c>
      <c r="E88" s="106">
        <v>1.17</v>
      </c>
      <c r="F88" s="107">
        <v>0.1</v>
      </c>
      <c r="G88" s="108">
        <v>0.1</v>
      </c>
      <c r="H88" s="109" t="s">
        <v>55</v>
      </c>
      <c r="I88" s="110">
        <v>1.135</v>
      </c>
      <c r="J88" s="110">
        <v>1.157</v>
      </c>
      <c r="K88" s="119">
        <v>1.1419999999999999</v>
      </c>
      <c r="L88" s="111">
        <f t="shared" si="42"/>
        <v>-3.499999999999992E-2</v>
      </c>
      <c r="M88" s="112">
        <f t="shared" si="43"/>
        <v>-1.2999999999999901E-2</v>
      </c>
      <c r="N88" s="112">
        <f t="shared" si="44"/>
        <v>-2.8000000000000025E-2</v>
      </c>
      <c r="O88" s="112">
        <f t="shared" si="36"/>
        <v>1.1446666666666665</v>
      </c>
      <c r="P88" s="113">
        <f t="shared" si="37"/>
        <v>0</v>
      </c>
      <c r="Q88" s="114">
        <f t="shared" si="38"/>
        <v>0.3499999999999992</v>
      </c>
      <c r="R88" s="115" t="str">
        <f t="shared" si="39"/>
        <v xml:space="preserve"> </v>
      </c>
      <c r="S88" s="115" t="str">
        <f t="shared" si="40"/>
        <v xml:space="preserve"> </v>
      </c>
      <c r="T88" s="116" t="str">
        <f t="shared" si="41"/>
        <v/>
      </c>
      <c r="U88" s="120"/>
      <c r="V88" s="118"/>
      <c r="W88" s="131"/>
    </row>
    <row r="89" spans="1:23" ht="13.2">
      <c r="A89" s="102" t="s">
        <v>131</v>
      </c>
      <c r="B89" s="103"/>
      <c r="C89" s="103">
        <v>3</v>
      </c>
      <c r="D89" s="105" t="s">
        <v>68</v>
      </c>
      <c r="E89" s="106">
        <v>1.17</v>
      </c>
      <c r="F89" s="107">
        <v>0.1</v>
      </c>
      <c r="G89" s="108">
        <v>0.1</v>
      </c>
      <c r="H89" s="109" t="s">
        <v>55</v>
      </c>
      <c r="I89" s="110">
        <v>1.141</v>
      </c>
      <c r="J89" s="110">
        <v>1.1479999999999999</v>
      </c>
      <c r="K89" s="119">
        <v>1.145</v>
      </c>
      <c r="L89" s="111">
        <f t="shared" si="42"/>
        <v>-2.8999999999999915E-2</v>
      </c>
      <c r="M89" s="112">
        <f t="shared" si="43"/>
        <v>-2.200000000000002E-2</v>
      </c>
      <c r="N89" s="112">
        <f t="shared" si="44"/>
        <v>-2.4999999999999911E-2</v>
      </c>
      <c r="O89" s="112">
        <f t="shared" si="36"/>
        <v>1.1446666666666665</v>
      </c>
      <c r="P89" s="113">
        <f t="shared" si="37"/>
        <v>0</v>
      </c>
      <c r="Q89" s="114">
        <f t="shared" si="38"/>
        <v>0.28999999999999915</v>
      </c>
      <c r="R89" s="115" t="str">
        <f t="shared" si="39"/>
        <v xml:space="preserve"> </v>
      </c>
      <c r="S89" s="115" t="str">
        <f t="shared" si="40"/>
        <v xml:space="preserve"> </v>
      </c>
      <c r="T89" s="116" t="str">
        <f t="shared" si="41"/>
        <v/>
      </c>
      <c r="U89" s="120"/>
      <c r="V89" s="118"/>
      <c r="W89" s="131"/>
    </row>
    <row r="90" spans="1:23" ht="13.2">
      <c r="A90" s="102" t="s">
        <v>165</v>
      </c>
      <c r="B90" s="102"/>
      <c r="C90" s="103">
        <v>3</v>
      </c>
      <c r="D90" s="105" t="s">
        <v>68</v>
      </c>
      <c r="E90" s="106">
        <v>1.17</v>
      </c>
      <c r="F90" s="107">
        <v>0.1</v>
      </c>
      <c r="G90" s="108">
        <v>0.1</v>
      </c>
      <c r="H90" s="109" t="s">
        <v>55</v>
      </c>
      <c r="I90" s="110">
        <v>1.147</v>
      </c>
      <c r="J90" s="110">
        <v>1.1579999999999999</v>
      </c>
      <c r="K90" s="119">
        <v>1.1499999999999999</v>
      </c>
      <c r="L90" s="111">
        <f t="shared" si="42"/>
        <v>-2.2999999999999909E-2</v>
      </c>
      <c r="M90" s="112">
        <f t="shared" si="43"/>
        <v>-1.2000000000000011E-2</v>
      </c>
      <c r="N90" s="112">
        <f t="shared" si="44"/>
        <v>-2.0000000000000018E-2</v>
      </c>
      <c r="O90" s="112">
        <f t="shared" si="36"/>
        <v>1.1516666666666666</v>
      </c>
      <c r="P90" s="113">
        <f t="shared" si="37"/>
        <v>0</v>
      </c>
      <c r="Q90" s="114">
        <f t="shared" si="38"/>
        <v>0.22999999999999909</v>
      </c>
      <c r="R90" s="115" t="str">
        <f t="shared" si="39"/>
        <v xml:space="preserve"> </v>
      </c>
      <c r="S90" s="115" t="str">
        <f t="shared" si="40"/>
        <v xml:space="preserve"> </v>
      </c>
      <c r="T90" s="116" t="str">
        <f t="shared" si="41"/>
        <v/>
      </c>
      <c r="U90" s="120"/>
      <c r="V90" s="118"/>
      <c r="W90" s="131"/>
    </row>
    <row r="91" spans="1:23" ht="13.2">
      <c r="A91" s="102" t="s">
        <v>132</v>
      </c>
      <c r="B91" s="102"/>
      <c r="C91" s="103">
        <v>3</v>
      </c>
      <c r="D91" s="105" t="s">
        <v>68</v>
      </c>
      <c r="E91" s="106">
        <v>1.17</v>
      </c>
      <c r="F91" s="107">
        <v>0.1</v>
      </c>
      <c r="G91" s="108">
        <v>0.1</v>
      </c>
      <c r="H91" s="109" t="s">
        <v>55</v>
      </c>
      <c r="I91" s="110">
        <v>1.131</v>
      </c>
      <c r="J91" s="110">
        <v>1.147</v>
      </c>
      <c r="K91" s="119">
        <v>1.1379999999999999</v>
      </c>
      <c r="L91" s="111">
        <f t="shared" si="42"/>
        <v>-3.8999999999999924E-2</v>
      </c>
      <c r="M91" s="112">
        <f t="shared" si="43"/>
        <v>-2.2999999999999909E-2</v>
      </c>
      <c r="N91" s="112">
        <f t="shared" si="44"/>
        <v>-3.2000000000000028E-2</v>
      </c>
      <c r="O91" s="112">
        <f t="shared" si="36"/>
        <v>1.1386666666666667</v>
      </c>
      <c r="P91" s="113">
        <f t="shared" si="37"/>
        <v>0</v>
      </c>
      <c r="Q91" s="114">
        <f t="shared" si="38"/>
        <v>0.38999999999999924</v>
      </c>
      <c r="R91" s="115" t="str">
        <f t="shared" si="39"/>
        <v xml:space="preserve"> </v>
      </c>
      <c r="S91" s="115" t="str">
        <f t="shared" si="40"/>
        <v xml:space="preserve"> </v>
      </c>
      <c r="T91" s="116" t="str">
        <f t="shared" si="41"/>
        <v/>
      </c>
      <c r="U91" s="120"/>
      <c r="V91" s="118"/>
      <c r="W91" s="131"/>
    </row>
    <row r="92" spans="1:23" ht="13.2">
      <c r="A92" s="102" t="s">
        <v>133</v>
      </c>
      <c r="B92" s="102"/>
      <c r="C92" s="103">
        <v>3</v>
      </c>
      <c r="D92" s="105" t="s">
        <v>68</v>
      </c>
      <c r="E92" s="106">
        <v>1.17</v>
      </c>
      <c r="F92" s="107">
        <v>0.1</v>
      </c>
      <c r="G92" s="108">
        <v>0.1</v>
      </c>
      <c r="H92" s="109" t="s">
        <v>55</v>
      </c>
      <c r="I92" s="110">
        <v>1.139</v>
      </c>
      <c r="J92" s="110">
        <v>1.151</v>
      </c>
      <c r="K92" s="119">
        <v>1.153</v>
      </c>
      <c r="L92" s="111">
        <f t="shared" si="42"/>
        <v>-3.0999999999999917E-2</v>
      </c>
      <c r="M92" s="112">
        <f t="shared" si="43"/>
        <v>-1.8999999999999906E-2</v>
      </c>
      <c r="N92" s="112">
        <f t="shared" si="44"/>
        <v>-1.6999999999999904E-2</v>
      </c>
      <c r="O92" s="112">
        <f t="shared" si="36"/>
        <v>1.1476666666666666</v>
      </c>
      <c r="P92" s="113">
        <f t="shared" si="37"/>
        <v>0</v>
      </c>
      <c r="Q92" s="114">
        <f t="shared" si="38"/>
        <v>0.30999999999999917</v>
      </c>
      <c r="R92" s="115" t="str">
        <f t="shared" si="39"/>
        <v xml:space="preserve"> </v>
      </c>
      <c r="S92" s="115" t="str">
        <f t="shared" si="40"/>
        <v xml:space="preserve"> </v>
      </c>
      <c r="T92" s="116" t="str">
        <f t="shared" si="41"/>
        <v/>
      </c>
      <c r="U92" s="120"/>
      <c r="V92" s="118"/>
      <c r="W92" s="131"/>
    </row>
    <row r="93" spans="1:23" ht="13.2">
      <c r="A93" s="102" t="s">
        <v>134</v>
      </c>
      <c r="B93" s="102"/>
      <c r="C93" s="103">
        <v>3</v>
      </c>
      <c r="D93" s="105" t="s">
        <v>68</v>
      </c>
      <c r="E93" s="106">
        <v>1.17</v>
      </c>
      <c r="F93" s="107">
        <v>0.1</v>
      </c>
      <c r="G93" s="108">
        <v>0.1</v>
      </c>
      <c r="H93" s="109" t="s">
        <v>55</v>
      </c>
      <c r="I93" s="110">
        <v>1.139</v>
      </c>
      <c r="J93" s="110">
        <v>1.1419999999999999</v>
      </c>
      <c r="K93" s="119">
        <v>1.137</v>
      </c>
      <c r="L93" s="111">
        <f t="shared" si="42"/>
        <v>-3.0999999999999917E-2</v>
      </c>
      <c r="M93" s="112">
        <f t="shared" si="43"/>
        <v>-2.8000000000000025E-2</v>
      </c>
      <c r="N93" s="112">
        <f t="shared" si="44"/>
        <v>-3.2999999999999918E-2</v>
      </c>
      <c r="O93" s="112">
        <f t="shared" si="36"/>
        <v>1.1393333333333333</v>
      </c>
      <c r="P93" s="113">
        <f t="shared" si="37"/>
        <v>0</v>
      </c>
      <c r="Q93" s="114">
        <f t="shared" si="38"/>
        <v>0.32999999999999918</v>
      </c>
      <c r="R93" s="115" t="str">
        <f t="shared" si="39"/>
        <v xml:space="preserve"> </v>
      </c>
      <c r="S93" s="115" t="str">
        <f t="shared" si="40"/>
        <v xml:space="preserve"> </v>
      </c>
      <c r="T93" s="116" t="str">
        <f t="shared" si="41"/>
        <v/>
      </c>
      <c r="U93" s="120"/>
      <c r="V93" s="118"/>
      <c r="W93" s="131"/>
    </row>
    <row r="94" spans="1:23" ht="13.2">
      <c r="A94" s="102" t="s">
        <v>135</v>
      </c>
      <c r="B94" s="102"/>
      <c r="C94" s="103">
        <v>3</v>
      </c>
      <c r="D94" s="105" t="s">
        <v>68</v>
      </c>
      <c r="E94" s="106">
        <v>1.17</v>
      </c>
      <c r="F94" s="107">
        <v>0.1</v>
      </c>
      <c r="G94" s="108">
        <v>0.1</v>
      </c>
      <c r="H94" s="109" t="s">
        <v>55</v>
      </c>
      <c r="I94" s="110">
        <v>1.1359999999999999</v>
      </c>
      <c r="J94" s="110">
        <v>1.1419999999999999</v>
      </c>
      <c r="K94" s="119">
        <v>1.139</v>
      </c>
      <c r="L94" s="111">
        <f t="shared" si="42"/>
        <v>-3.400000000000003E-2</v>
      </c>
      <c r="M94" s="112">
        <f t="shared" si="43"/>
        <v>-2.8000000000000025E-2</v>
      </c>
      <c r="N94" s="112">
        <f t="shared" si="44"/>
        <v>-3.0999999999999917E-2</v>
      </c>
      <c r="O94" s="112">
        <f t="shared" si="36"/>
        <v>1.139</v>
      </c>
      <c r="P94" s="113">
        <f t="shared" si="37"/>
        <v>0</v>
      </c>
      <c r="Q94" s="114">
        <f t="shared" si="38"/>
        <v>0.3400000000000003</v>
      </c>
      <c r="R94" s="115" t="str">
        <f t="shared" si="39"/>
        <v xml:space="preserve"> </v>
      </c>
      <c r="S94" s="115" t="str">
        <f t="shared" si="40"/>
        <v xml:space="preserve"> </v>
      </c>
      <c r="T94" s="116" t="str">
        <f t="shared" si="41"/>
        <v/>
      </c>
      <c r="U94" s="120"/>
      <c r="V94" s="118"/>
      <c r="W94" s="131"/>
    </row>
    <row r="95" spans="1:23" ht="13.2">
      <c r="A95" s="102" t="s">
        <v>136</v>
      </c>
      <c r="B95" s="102"/>
      <c r="C95" s="103">
        <v>3</v>
      </c>
      <c r="D95" s="105" t="s">
        <v>68</v>
      </c>
      <c r="E95" s="106">
        <v>1.17</v>
      </c>
      <c r="F95" s="107">
        <v>0.1</v>
      </c>
      <c r="G95" s="108">
        <v>0.1</v>
      </c>
      <c r="H95" s="109" t="s">
        <v>55</v>
      </c>
      <c r="I95" s="110">
        <v>1.1319999999999999</v>
      </c>
      <c r="J95" s="110">
        <v>1.1399999999999999</v>
      </c>
      <c r="K95" s="119">
        <v>1.1419999999999999</v>
      </c>
      <c r="L95" s="111">
        <f t="shared" si="42"/>
        <v>-3.8000000000000034E-2</v>
      </c>
      <c r="M95" s="112">
        <f t="shared" si="43"/>
        <v>-3.0000000000000027E-2</v>
      </c>
      <c r="N95" s="112">
        <f t="shared" si="44"/>
        <v>-2.8000000000000025E-2</v>
      </c>
      <c r="O95" s="112">
        <f t="shared" si="36"/>
        <v>1.1379999999999999</v>
      </c>
      <c r="P95" s="113">
        <f t="shared" si="37"/>
        <v>0</v>
      </c>
      <c r="Q95" s="114">
        <f t="shared" si="38"/>
        <v>0.38000000000000034</v>
      </c>
      <c r="R95" s="115" t="str">
        <f t="shared" si="39"/>
        <v xml:space="preserve"> </v>
      </c>
      <c r="S95" s="115" t="str">
        <f t="shared" si="40"/>
        <v xml:space="preserve"> </v>
      </c>
      <c r="T95" s="116" t="str">
        <f t="shared" si="41"/>
        <v/>
      </c>
      <c r="U95" s="120"/>
      <c r="V95" s="118"/>
      <c r="W95" s="131"/>
    </row>
    <row r="96" spans="1:23" ht="13.2">
      <c r="A96" s="102" t="s">
        <v>137</v>
      </c>
      <c r="B96" s="102"/>
      <c r="C96" s="103">
        <v>3</v>
      </c>
      <c r="D96" s="105" t="s">
        <v>68</v>
      </c>
      <c r="E96" s="106">
        <v>1.17</v>
      </c>
      <c r="F96" s="107">
        <v>0.1</v>
      </c>
      <c r="G96" s="108">
        <v>0.1</v>
      </c>
      <c r="H96" s="109" t="s">
        <v>55</v>
      </c>
      <c r="I96" s="110">
        <v>1.1319999999999999</v>
      </c>
      <c r="J96" s="110">
        <v>1.135</v>
      </c>
      <c r="K96" s="119">
        <v>1.133</v>
      </c>
      <c r="L96" s="111">
        <f t="shared" si="42"/>
        <v>-3.8000000000000034E-2</v>
      </c>
      <c r="M96" s="112">
        <f t="shared" si="43"/>
        <v>-3.499999999999992E-2</v>
      </c>
      <c r="N96" s="112">
        <f t="shared" si="44"/>
        <v>-3.6999999999999922E-2</v>
      </c>
      <c r="O96" s="112">
        <f t="shared" si="36"/>
        <v>1.1333333333333333</v>
      </c>
      <c r="P96" s="113">
        <f t="shared" si="37"/>
        <v>0</v>
      </c>
      <c r="Q96" s="114">
        <f t="shared" si="38"/>
        <v>0.38000000000000034</v>
      </c>
      <c r="R96" s="115" t="str">
        <f t="shared" si="39"/>
        <v xml:space="preserve"> </v>
      </c>
      <c r="S96" s="115" t="str">
        <f t="shared" si="40"/>
        <v xml:space="preserve"> </v>
      </c>
      <c r="T96" s="116" t="str">
        <f t="shared" si="41"/>
        <v/>
      </c>
      <c r="U96" s="120"/>
      <c r="V96" s="118"/>
      <c r="W96" s="131"/>
    </row>
    <row r="97" spans="1:23" ht="13.2">
      <c r="A97" s="102" t="s">
        <v>138</v>
      </c>
      <c r="B97" s="102"/>
      <c r="C97" s="103">
        <v>3</v>
      </c>
      <c r="D97" s="105" t="s">
        <v>68</v>
      </c>
      <c r="E97" s="106">
        <v>1.17</v>
      </c>
      <c r="F97" s="107">
        <v>0.1</v>
      </c>
      <c r="G97" s="108">
        <v>0.1</v>
      </c>
      <c r="H97" s="109" t="s">
        <v>55</v>
      </c>
      <c r="I97" s="110">
        <v>1.1359999999999999</v>
      </c>
      <c r="J97" s="110">
        <v>1.1399999999999999</v>
      </c>
      <c r="K97" s="119">
        <v>1.1419999999999999</v>
      </c>
      <c r="L97" s="111">
        <f t="shared" si="42"/>
        <v>-3.400000000000003E-2</v>
      </c>
      <c r="M97" s="112">
        <f t="shared" si="43"/>
        <v>-3.0000000000000027E-2</v>
      </c>
      <c r="N97" s="112">
        <f t="shared" si="44"/>
        <v>-2.8000000000000025E-2</v>
      </c>
      <c r="O97" s="112">
        <f t="shared" si="36"/>
        <v>1.1393333333333333</v>
      </c>
      <c r="P97" s="113">
        <f t="shared" si="37"/>
        <v>0</v>
      </c>
      <c r="Q97" s="114">
        <f t="shared" si="38"/>
        <v>0.3400000000000003</v>
      </c>
      <c r="R97" s="115" t="str">
        <f t="shared" si="39"/>
        <v xml:space="preserve"> </v>
      </c>
      <c r="S97" s="115" t="str">
        <f t="shared" si="40"/>
        <v xml:space="preserve"> </v>
      </c>
      <c r="T97" s="116" t="str">
        <f t="shared" si="41"/>
        <v/>
      </c>
      <c r="U97" s="120"/>
      <c r="V97" s="118"/>
      <c r="W97" s="131"/>
    </row>
    <row r="98" spans="1:23" ht="13.2">
      <c r="A98" s="102" t="s">
        <v>139</v>
      </c>
      <c r="B98" s="102"/>
      <c r="C98" s="103">
        <v>3</v>
      </c>
      <c r="D98" s="105" t="s">
        <v>68</v>
      </c>
      <c r="E98" s="106">
        <v>1.17</v>
      </c>
      <c r="F98" s="107">
        <v>0.1</v>
      </c>
      <c r="G98" s="108">
        <v>0.1</v>
      </c>
      <c r="H98" s="109" t="s">
        <v>55</v>
      </c>
      <c r="I98" s="110">
        <v>1.1379999999999999</v>
      </c>
      <c r="J98" s="110">
        <v>1.1359999999999999</v>
      </c>
      <c r="K98" s="119">
        <v>1.1319999999999999</v>
      </c>
      <c r="L98" s="111">
        <f t="shared" si="42"/>
        <v>-3.2000000000000028E-2</v>
      </c>
      <c r="M98" s="112">
        <f t="shared" si="43"/>
        <v>-3.400000000000003E-2</v>
      </c>
      <c r="N98" s="112">
        <f t="shared" si="44"/>
        <v>-3.8000000000000034E-2</v>
      </c>
      <c r="O98" s="112">
        <f t="shared" si="36"/>
        <v>1.1353333333333333</v>
      </c>
      <c r="P98" s="113">
        <f t="shared" si="37"/>
        <v>0</v>
      </c>
      <c r="Q98" s="114">
        <f t="shared" si="38"/>
        <v>0.38000000000000034</v>
      </c>
      <c r="R98" s="115" t="str">
        <f t="shared" si="39"/>
        <v xml:space="preserve"> </v>
      </c>
      <c r="S98" s="115" t="str">
        <f t="shared" si="40"/>
        <v xml:space="preserve"> </v>
      </c>
      <c r="T98" s="116" t="str">
        <f t="shared" si="41"/>
        <v/>
      </c>
      <c r="U98" s="120"/>
      <c r="V98" s="118"/>
      <c r="W98" s="131"/>
    </row>
    <row r="99" spans="1:23" ht="13.2">
      <c r="A99" s="102" t="s">
        <v>140</v>
      </c>
      <c r="B99" s="102"/>
      <c r="C99" s="103">
        <v>3</v>
      </c>
      <c r="D99" s="105" t="s">
        <v>68</v>
      </c>
      <c r="E99" s="106">
        <v>1.17</v>
      </c>
      <c r="F99" s="107">
        <v>0.1</v>
      </c>
      <c r="G99" s="108">
        <v>0.1</v>
      </c>
      <c r="H99" s="109" t="s">
        <v>55</v>
      </c>
      <c r="I99" s="110">
        <v>1.145</v>
      </c>
      <c r="J99" s="110">
        <v>1.1339999999999999</v>
      </c>
      <c r="K99" s="119">
        <v>1.1299999999999999</v>
      </c>
      <c r="L99" s="111">
        <f t="shared" si="42"/>
        <v>-2.4999999999999911E-2</v>
      </c>
      <c r="M99" s="112">
        <f t="shared" si="43"/>
        <v>-3.6000000000000032E-2</v>
      </c>
      <c r="N99" s="112">
        <f t="shared" si="44"/>
        <v>-4.0000000000000036E-2</v>
      </c>
      <c r="O99" s="112">
        <f t="shared" si="36"/>
        <v>1.1363333333333332</v>
      </c>
      <c r="P99" s="113">
        <f t="shared" si="37"/>
        <v>0</v>
      </c>
      <c r="Q99" s="114">
        <f t="shared" si="38"/>
        <v>0.40000000000000036</v>
      </c>
      <c r="R99" s="115" t="str">
        <f t="shared" si="39"/>
        <v xml:space="preserve"> </v>
      </c>
      <c r="S99" s="115" t="str">
        <f t="shared" si="40"/>
        <v xml:space="preserve"> </v>
      </c>
      <c r="T99" s="116" t="str">
        <f t="shared" si="41"/>
        <v/>
      </c>
      <c r="U99" s="120"/>
      <c r="V99" s="118"/>
      <c r="W99" s="131"/>
    </row>
    <row r="100" spans="1:23" ht="13.2">
      <c r="A100" s="102" t="s">
        <v>141</v>
      </c>
      <c r="B100" s="102"/>
      <c r="C100" s="103">
        <v>3</v>
      </c>
      <c r="D100" s="105" t="s">
        <v>68</v>
      </c>
      <c r="E100" s="106">
        <v>1.17</v>
      </c>
      <c r="F100" s="107">
        <v>0.1</v>
      </c>
      <c r="G100" s="108">
        <v>0.1</v>
      </c>
      <c r="H100" s="109" t="s">
        <v>55</v>
      </c>
      <c r="I100" s="110">
        <v>1.1439999999999999</v>
      </c>
      <c r="J100" s="110">
        <v>1.1359999999999999</v>
      </c>
      <c r="K100" s="119">
        <v>1.141</v>
      </c>
      <c r="L100" s="111">
        <f t="shared" si="42"/>
        <v>-2.6000000000000023E-2</v>
      </c>
      <c r="M100" s="112">
        <f t="shared" si="43"/>
        <v>-3.400000000000003E-2</v>
      </c>
      <c r="N100" s="112">
        <f t="shared" si="44"/>
        <v>-2.8999999999999915E-2</v>
      </c>
      <c r="O100" s="112">
        <f t="shared" si="36"/>
        <v>1.1403333333333332</v>
      </c>
      <c r="P100" s="113">
        <f t="shared" si="37"/>
        <v>0</v>
      </c>
      <c r="Q100" s="114">
        <f t="shared" si="38"/>
        <v>0.3400000000000003</v>
      </c>
      <c r="R100" s="115" t="str">
        <f t="shared" si="39"/>
        <v xml:space="preserve"> </v>
      </c>
      <c r="S100" s="115" t="str">
        <f t="shared" si="40"/>
        <v xml:space="preserve"> </v>
      </c>
      <c r="T100" s="116" t="str">
        <f t="shared" si="41"/>
        <v/>
      </c>
      <c r="U100" s="120"/>
      <c r="V100" s="118"/>
      <c r="W100" s="131"/>
    </row>
    <row r="101" spans="1:23" ht="13.2">
      <c r="A101" s="102" t="s">
        <v>142</v>
      </c>
      <c r="B101" s="102"/>
      <c r="C101" s="103">
        <v>3</v>
      </c>
      <c r="D101" s="105" t="s">
        <v>68</v>
      </c>
      <c r="E101" s="106">
        <v>1.17</v>
      </c>
      <c r="F101" s="107">
        <v>0.1</v>
      </c>
      <c r="G101" s="108">
        <v>0.1</v>
      </c>
      <c r="H101" s="109" t="s">
        <v>55</v>
      </c>
      <c r="I101" s="110">
        <v>1.1439999999999999</v>
      </c>
      <c r="J101" s="110">
        <v>1.147</v>
      </c>
      <c r="K101" s="119">
        <v>1.1499999999999999</v>
      </c>
      <c r="L101" s="111">
        <f t="shared" si="42"/>
        <v>-2.6000000000000023E-2</v>
      </c>
      <c r="M101" s="112">
        <f t="shared" si="43"/>
        <v>-2.2999999999999909E-2</v>
      </c>
      <c r="N101" s="112">
        <f t="shared" si="44"/>
        <v>-2.0000000000000018E-2</v>
      </c>
      <c r="O101" s="112">
        <f t="shared" si="36"/>
        <v>1.147</v>
      </c>
      <c r="P101" s="113">
        <f t="shared" si="37"/>
        <v>0</v>
      </c>
      <c r="Q101" s="114">
        <f t="shared" si="38"/>
        <v>0.26000000000000023</v>
      </c>
      <c r="R101" s="115" t="str">
        <f t="shared" si="39"/>
        <v xml:space="preserve"> </v>
      </c>
      <c r="S101" s="115" t="str">
        <f t="shared" si="40"/>
        <v xml:space="preserve"> </v>
      </c>
      <c r="T101" s="116" t="str">
        <f t="shared" si="41"/>
        <v/>
      </c>
      <c r="U101" s="120"/>
      <c r="V101" s="118"/>
      <c r="W101" s="131"/>
    </row>
    <row r="102" spans="1:23" ht="13.2">
      <c r="A102" s="102" t="s">
        <v>143</v>
      </c>
      <c r="B102" s="103"/>
      <c r="C102" s="103">
        <v>3</v>
      </c>
      <c r="D102" s="105" t="s">
        <v>68</v>
      </c>
      <c r="E102" s="106">
        <v>1.17</v>
      </c>
      <c r="F102" s="107">
        <v>0.1</v>
      </c>
      <c r="G102" s="108">
        <v>0.1</v>
      </c>
      <c r="H102" s="109" t="s">
        <v>55</v>
      </c>
      <c r="I102" s="110">
        <v>1.1399999999999999</v>
      </c>
      <c r="J102" s="110">
        <v>1.1399999999999999</v>
      </c>
      <c r="K102" s="119">
        <v>1.139</v>
      </c>
      <c r="L102" s="111">
        <f t="shared" si="42"/>
        <v>-3.0000000000000027E-2</v>
      </c>
      <c r="M102" s="112">
        <f t="shared" si="43"/>
        <v>-3.0000000000000027E-2</v>
      </c>
      <c r="N102" s="112">
        <f t="shared" si="44"/>
        <v>-3.0999999999999917E-2</v>
      </c>
      <c r="O102" s="112">
        <f t="shared" si="36"/>
        <v>1.1396666666666666</v>
      </c>
      <c r="P102" s="113">
        <f t="shared" si="37"/>
        <v>0</v>
      </c>
      <c r="Q102" s="114">
        <f t="shared" si="38"/>
        <v>0.30999999999999917</v>
      </c>
      <c r="R102" s="115" t="str">
        <f t="shared" si="39"/>
        <v xml:space="preserve"> </v>
      </c>
      <c r="S102" s="115" t="str">
        <f t="shared" si="40"/>
        <v xml:space="preserve"> </v>
      </c>
      <c r="T102" s="116" t="str">
        <f t="shared" si="41"/>
        <v/>
      </c>
      <c r="U102" s="120"/>
      <c r="V102" s="118"/>
      <c r="W102" s="131"/>
    </row>
    <row r="103" spans="1:23" ht="13.2">
      <c r="A103" s="102" t="s">
        <v>144</v>
      </c>
      <c r="B103" s="103"/>
      <c r="C103" s="103">
        <v>3</v>
      </c>
      <c r="D103" s="105" t="s">
        <v>68</v>
      </c>
      <c r="E103" s="106">
        <v>1.17</v>
      </c>
      <c r="F103" s="107">
        <v>0.1</v>
      </c>
      <c r="G103" s="108">
        <v>0.1</v>
      </c>
      <c r="H103" s="109" t="s">
        <v>55</v>
      </c>
      <c r="I103" s="110">
        <v>1.149</v>
      </c>
      <c r="J103" s="110">
        <v>1.137</v>
      </c>
      <c r="K103" s="119">
        <v>1.1439999999999999</v>
      </c>
      <c r="L103" s="111">
        <f t="shared" si="42"/>
        <v>-2.0999999999999908E-2</v>
      </c>
      <c r="M103" s="112">
        <f t="shared" si="43"/>
        <v>-3.2999999999999918E-2</v>
      </c>
      <c r="N103" s="112">
        <f t="shared" si="44"/>
        <v>-2.6000000000000023E-2</v>
      </c>
      <c r="O103" s="112">
        <f t="shared" si="36"/>
        <v>1.1433333333333333</v>
      </c>
      <c r="P103" s="113">
        <f t="shared" si="37"/>
        <v>0</v>
      </c>
      <c r="Q103" s="114">
        <f t="shared" si="38"/>
        <v>0.32999999999999918</v>
      </c>
      <c r="R103" s="115" t="str">
        <f t="shared" si="39"/>
        <v xml:space="preserve"> </v>
      </c>
      <c r="S103" s="115" t="str">
        <f t="shared" si="40"/>
        <v xml:space="preserve"> </v>
      </c>
      <c r="T103" s="116" t="str">
        <f t="shared" si="41"/>
        <v/>
      </c>
      <c r="U103" s="120"/>
      <c r="V103" s="118"/>
      <c r="W103" s="131"/>
    </row>
    <row r="104" spans="1:23" ht="13.2">
      <c r="A104" s="102" t="s">
        <v>145</v>
      </c>
      <c r="B104" s="103"/>
      <c r="C104" s="103">
        <v>3</v>
      </c>
      <c r="D104" s="105" t="s">
        <v>68</v>
      </c>
      <c r="E104" s="106">
        <v>1.17</v>
      </c>
      <c r="F104" s="107">
        <v>0.1</v>
      </c>
      <c r="G104" s="108">
        <v>0.1</v>
      </c>
      <c r="H104" s="109" t="s">
        <v>55</v>
      </c>
      <c r="I104" s="110">
        <v>1.139</v>
      </c>
      <c r="J104" s="110">
        <v>1.1339999999999999</v>
      </c>
      <c r="K104" s="119">
        <v>1.1399999999999999</v>
      </c>
      <c r="L104" s="111">
        <f t="shared" si="42"/>
        <v>-3.0999999999999917E-2</v>
      </c>
      <c r="M104" s="112">
        <f t="shared" si="43"/>
        <v>-3.6000000000000032E-2</v>
      </c>
      <c r="N104" s="112">
        <f t="shared" si="44"/>
        <v>-3.0000000000000027E-2</v>
      </c>
      <c r="O104" s="112">
        <f t="shared" si="36"/>
        <v>1.1376666666666664</v>
      </c>
      <c r="P104" s="113">
        <f t="shared" si="37"/>
        <v>0</v>
      </c>
      <c r="Q104" s="114">
        <f t="shared" si="38"/>
        <v>0.36000000000000032</v>
      </c>
      <c r="R104" s="115" t="str">
        <f t="shared" si="39"/>
        <v xml:space="preserve"> </v>
      </c>
      <c r="S104" s="115" t="str">
        <f t="shared" si="40"/>
        <v xml:space="preserve"> </v>
      </c>
      <c r="T104" s="116" t="str">
        <f t="shared" si="41"/>
        <v/>
      </c>
      <c r="U104" s="120"/>
      <c r="V104" s="118"/>
      <c r="W104" s="131"/>
    </row>
    <row r="105" spans="1:23" ht="13.2">
      <c r="A105" s="102" t="s">
        <v>166</v>
      </c>
      <c r="B105" s="102"/>
      <c r="C105" s="103">
        <v>3</v>
      </c>
      <c r="D105" s="105" t="s">
        <v>68</v>
      </c>
      <c r="E105" s="106">
        <v>1.17</v>
      </c>
      <c r="F105" s="107">
        <v>0.1</v>
      </c>
      <c r="G105" s="108">
        <v>0.1</v>
      </c>
      <c r="H105" s="109" t="s">
        <v>55</v>
      </c>
      <c r="I105" s="110">
        <v>1.153</v>
      </c>
      <c r="J105" s="110">
        <v>1.145</v>
      </c>
      <c r="K105" s="119">
        <v>1.1439999999999999</v>
      </c>
      <c r="L105" s="111">
        <f t="shared" si="42"/>
        <v>-1.6999999999999904E-2</v>
      </c>
      <c r="M105" s="112">
        <f t="shared" si="43"/>
        <v>-2.4999999999999911E-2</v>
      </c>
      <c r="N105" s="112">
        <f t="shared" si="44"/>
        <v>-2.6000000000000023E-2</v>
      </c>
      <c r="O105" s="112">
        <f t="shared" si="36"/>
        <v>1.1473333333333333</v>
      </c>
      <c r="P105" s="113">
        <f t="shared" si="37"/>
        <v>0</v>
      </c>
      <c r="Q105" s="114">
        <f t="shared" si="38"/>
        <v>0.26000000000000023</v>
      </c>
      <c r="R105" s="115" t="str">
        <f t="shared" si="39"/>
        <v xml:space="preserve"> </v>
      </c>
      <c r="S105" s="115" t="str">
        <f t="shared" si="40"/>
        <v xml:space="preserve"> </v>
      </c>
      <c r="T105" s="116" t="str">
        <f t="shared" si="41"/>
        <v/>
      </c>
      <c r="U105" s="120"/>
      <c r="V105" s="118"/>
      <c r="W105" s="131"/>
    </row>
    <row r="106" spans="1:23" ht="13.2">
      <c r="A106" s="102" t="s">
        <v>146</v>
      </c>
      <c r="B106" s="102"/>
      <c r="C106" s="103">
        <v>3</v>
      </c>
      <c r="D106" s="105" t="s">
        <v>68</v>
      </c>
      <c r="E106" s="106">
        <v>1.17</v>
      </c>
      <c r="F106" s="107">
        <v>0.1</v>
      </c>
      <c r="G106" s="108">
        <v>0.1</v>
      </c>
      <c r="H106" s="109" t="s">
        <v>55</v>
      </c>
      <c r="I106" s="110">
        <v>1.143</v>
      </c>
      <c r="J106" s="110">
        <v>1.1459999999999999</v>
      </c>
      <c r="K106" s="119">
        <v>1.1379999999999999</v>
      </c>
      <c r="L106" s="111">
        <f t="shared" si="42"/>
        <v>-2.6999999999999913E-2</v>
      </c>
      <c r="M106" s="112">
        <f t="shared" si="43"/>
        <v>-2.4000000000000021E-2</v>
      </c>
      <c r="N106" s="112">
        <f t="shared" si="44"/>
        <v>-3.2000000000000028E-2</v>
      </c>
      <c r="O106" s="112">
        <f t="shared" si="36"/>
        <v>1.1423333333333332</v>
      </c>
      <c r="P106" s="113">
        <f t="shared" si="37"/>
        <v>0</v>
      </c>
      <c r="Q106" s="114">
        <f t="shared" si="38"/>
        <v>0.32000000000000028</v>
      </c>
      <c r="R106" s="115" t="str">
        <f t="shared" si="39"/>
        <v xml:space="preserve"> </v>
      </c>
      <c r="S106" s="115" t="str">
        <f t="shared" si="40"/>
        <v xml:space="preserve"> </v>
      </c>
      <c r="T106" s="116" t="str">
        <f t="shared" si="41"/>
        <v/>
      </c>
      <c r="U106" s="120"/>
      <c r="V106" s="118"/>
      <c r="W106" s="131"/>
    </row>
    <row r="107" spans="1:23" ht="13.2">
      <c r="A107" s="102" t="s">
        <v>147</v>
      </c>
      <c r="B107" s="102"/>
      <c r="C107" s="103">
        <v>3</v>
      </c>
      <c r="D107" s="105" t="s">
        <v>68</v>
      </c>
      <c r="E107" s="106">
        <v>1.17</v>
      </c>
      <c r="F107" s="107">
        <v>0.1</v>
      </c>
      <c r="G107" s="108">
        <v>0.1</v>
      </c>
      <c r="H107" s="109" t="s">
        <v>55</v>
      </c>
      <c r="I107" s="110">
        <v>1.1359999999999999</v>
      </c>
      <c r="J107" s="110">
        <v>1.1539999999999999</v>
      </c>
      <c r="K107" s="119">
        <v>1.143</v>
      </c>
      <c r="L107" s="111">
        <f t="shared" si="42"/>
        <v>-3.400000000000003E-2</v>
      </c>
      <c r="M107" s="112">
        <f t="shared" si="43"/>
        <v>-1.6000000000000014E-2</v>
      </c>
      <c r="N107" s="112">
        <f t="shared" si="44"/>
        <v>-2.6999999999999913E-2</v>
      </c>
      <c r="O107" s="112">
        <f t="shared" si="36"/>
        <v>1.1443333333333332</v>
      </c>
      <c r="P107" s="113">
        <f t="shared" si="37"/>
        <v>0</v>
      </c>
      <c r="Q107" s="114">
        <f t="shared" si="38"/>
        <v>0.3400000000000003</v>
      </c>
      <c r="R107" s="115" t="str">
        <f t="shared" si="39"/>
        <v xml:space="preserve"> </v>
      </c>
      <c r="S107" s="115" t="str">
        <f t="shared" si="40"/>
        <v xml:space="preserve"> </v>
      </c>
      <c r="T107" s="116" t="str">
        <f t="shared" si="41"/>
        <v/>
      </c>
      <c r="U107" s="120"/>
      <c r="V107" s="118"/>
      <c r="W107" s="131"/>
    </row>
    <row r="108" spans="1:23" ht="13.2">
      <c r="A108" s="102" t="s">
        <v>148</v>
      </c>
      <c r="B108" s="102"/>
      <c r="C108" s="103">
        <v>3</v>
      </c>
      <c r="D108" s="105" t="s">
        <v>68</v>
      </c>
      <c r="E108" s="106">
        <v>1.17</v>
      </c>
      <c r="F108" s="107">
        <v>0.1</v>
      </c>
      <c r="G108" s="108">
        <v>0.1</v>
      </c>
      <c r="H108" s="109" t="s">
        <v>55</v>
      </c>
      <c r="I108" s="110">
        <v>1.1399999999999999</v>
      </c>
      <c r="J108" s="110">
        <v>1.1479999999999999</v>
      </c>
      <c r="K108" s="119">
        <v>1.137</v>
      </c>
      <c r="L108" s="111">
        <f t="shared" si="42"/>
        <v>-3.0000000000000027E-2</v>
      </c>
      <c r="M108" s="112">
        <f t="shared" si="43"/>
        <v>-2.200000000000002E-2</v>
      </c>
      <c r="N108" s="112">
        <f t="shared" si="44"/>
        <v>-3.2999999999999918E-2</v>
      </c>
      <c r="O108" s="112">
        <f t="shared" si="36"/>
        <v>1.1416666666666666</v>
      </c>
      <c r="P108" s="113">
        <f t="shared" si="37"/>
        <v>0</v>
      </c>
      <c r="Q108" s="114">
        <f t="shared" si="38"/>
        <v>0.32999999999999918</v>
      </c>
      <c r="R108" s="115" t="str">
        <f t="shared" si="39"/>
        <v xml:space="preserve"> </v>
      </c>
      <c r="S108" s="115" t="str">
        <f t="shared" si="40"/>
        <v xml:space="preserve"> </v>
      </c>
      <c r="T108" s="116" t="str">
        <f t="shared" si="41"/>
        <v/>
      </c>
      <c r="U108" s="120"/>
      <c r="V108" s="118"/>
      <c r="W108" s="131"/>
    </row>
    <row r="109" spans="1:23" ht="13.2">
      <c r="A109" s="102" t="s">
        <v>149</v>
      </c>
      <c r="B109" s="102"/>
      <c r="C109" s="103">
        <v>3</v>
      </c>
      <c r="D109" s="105" t="s">
        <v>68</v>
      </c>
      <c r="E109" s="106">
        <v>1.17</v>
      </c>
      <c r="F109" s="107">
        <v>0.1</v>
      </c>
      <c r="G109" s="108">
        <v>0.1</v>
      </c>
      <c r="H109" s="109" t="s">
        <v>55</v>
      </c>
      <c r="I109" s="110">
        <v>1.1399999999999999</v>
      </c>
      <c r="J109" s="110">
        <v>1.1399999999999999</v>
      </c>
      <c r="K109" s="119">
        <v>1.1359999999999999</v>
      </c>
      <c r="L109" s="111">
        <f t="shared" si="42"/>
        <v>-3.0000000000000027E-2</v>
      </c>
      <c r="M109" s="112">
        <f t="shared" si="43"/>
        <v>-3.0000000000000027E-2</v>
      </c>
      <c r="N109" s="112">
        <f t="shared" si="44"/>
        <v>-3.400000000000003E-2</v>
      </c>
      <c r="O109" s="112">
        <f t="shared" si="36"/>
        <v>1.1386666666666665</v>
      </c>
      <c r="P109" s="113">
        <f t="shared" si="37"/>
        <v>0</v>
      </c>
      <c r="Q109" s="114">
        <f t="shared" si="38"/>
        <v>0.3400000000000003</v>
      </c>
      <c r="R109" s="115" t="str">
        <f t="shared" si="39"/>
        <v xml:space="preserve"> </v>
      </c>
      <c r="S109" s="115" t="str">
        <f t="shared" si="40"/>
        <v xml:space="preserve"> </v>
      </c>
      <c r="T109" s="116" t="str">
        <f t="shared" si="41"/>
        <v/>
      </c>
      <c r="U109" s="120"/>
      <c r="V109" s="118"/>
      <c r="W109" s="131"/>
    </row>
    <row r="110" spans="1:23" ht="13.2">
      <c r="A110" s="102" t="s">
        <v>150</v>
      </c>
      <c r="B110" s="102"/>
      <c r="C110" s="103">
        <v>3</v>
      </c>
      <c r="D110" s="105" t="s">
        <v>68</v>
      </c>
      <c r="E110" s="106">
        <v>1.17</v>
      </c>
      <c r="F110" s="107">
        <v>0.1</v>
      </c>
      <c r="G110" s="108">
        <v>0.1</v>
      </c>
      <c r="H110" s="109" t="s">
        <v>55</v>
      </c>
      <c r="I110" s="110">
        <v>1.1319999999999999</v>
      </c>
      <c r="J110" s="110">
        <v>1.151</v>
      </c>
      <c r="K110" s="119">
        <v>1.151</v>
      </c>
      <c r="L110" s="111">
        <f t="shared" si="42"/>
        <v>-3.8000000000000034E-2</v>
      </c>
      <c r="M110" s="112">
        <f t="shared" si="43"/>
        <v>-1.8999999999999906E-2</v>
      </c>
      <c r="N110" s="112">
        <f t="shared" si="44"/>
        <v>-1.8999999999999906E-2</v>
      </c>
      <c r="O110" s="112">
        <f t="shared" si="36"/>
        <v>1.1446666666666667</v>
      </c>
      <c r="P110" s="113">
        <f t="shared" si="37"/>
        <v>0</v>
      </c>
      <c r="Q110" s="114">
        <f t="shared" si="38"/>
        <v>0.38000000000000034</v>
      </c>
      <c r="R110" s="115" t="str">
        <f t="shared" si="39"/>
        <v xml:space="preserve"> </v>
      </c>
      <c r="S110" s="115" t="str">
        <f t="shared" si="40"/>
        <v xml:space="preserve"> </v>
      </c>
      <c r="T110" s="116" t="str">
        <f t="shared" si="41"/>
        <v/>
      </c>
      <c r="U110" s="120"/>
      <c r="V110" s="118"/>
      <c r="W110" s="131"/>
    </row>
    <row r="111" spans="1:23" ht="13.2">
      <c r="A111" s="102" t="s">
        <v>151</v>
      </c>
      <c r="B111" s="102"/>
      <c r="C111" s="103">
        <v>3</v>
      </c>
      <c r="D111" s="105" t="s">
        <v>68</v>
      </c>
      <c r="E111" s="106">
        <v>1.17</v>
      </c>
      <c r="F111" s="107">
        <v>0.1</v>
      </c>
      <c r="G111" s="108">
        <v>0.1</v>
      </c>
      <c r="H111" s="109" t="s">
        <v>55</v>
      </c>
      <c r="I111" s="110">
        <v>1.1359999999999999</v>
      </c>
      <c r="J111" s="110">
        <v>1.1559999999999999</v>
      </c>
      <c r="K111" s="119">
        <v>1.1459999999999999</v>
      </c>
      <c r="L111" s="111">
        <f t="shared" si="42"/>
        <v>-3.400000000000003E-2</v>
      </c>
      <c r="M111" s="112">
        <f t="shared" si="43"/>
        <v>-1.4000000000000012E-2</v>
      </c>
      <c r="N111" s="112">
        <f t="shared" si="44"/>
        <v>-2.4000000000000021E-2</v>
      </c>
      <c r="O111" s="112">
        <f t="shared" si="36"/>
        <v>1.1459999999999999</v>
      </c>
      <c r="P111" s="113">
        <f t="shared" si="37"/>
        <v>0</v>
      </c>
      <c r="Q111" s="114">
        <f t="shared" si="38"/>
        <v>0.3400000000000003</v>
      </c>
      <c r="R111" s="115" t="str">
        <f t="shared" si="39"/>
        <v xml:space="preserve"> </v>
      </c>
      <c r="S111" s="115" t="str">
        <f t="shared" si="40"/>
        <v xml:space="preserve"> </v>
      </c>
      <c r="T111" s="116" t="str">
        <f t="shared" si="41"/>
        <v/>
      </c>
      <c r="U111" s="120"/>
      <c r="V111" s="118"/>
      <c r="W111" s="131"/>
    </row>
    <row r="112" spans="1:23" ht="13.2">
      <c r="A112" s="102" t="s">
        <v>152</v>
      </c>
      <c r="B112" s="102"/>
      <c r="C112" s="103">
        <v>3</v>
      </c>
      <c r="D112" s="105" t="s">
        <v>68</v>
      </c>
      <c r="E112" s="106">
        <v>1.17</v>
      </c>
      <c r="F112" s="107">
        <v>0.1</v>
      </c>
      <c r="G112" s="108">
        <v>0.1</v>
      </c>
      <c r="H112" s="109" t="s">
        <v>55</v>
      </c>
      <c r="I112" s="110">
        <v>1.1419999999999999</v>
      </c>
      <c r="J112" s="110">
        <v>1.163</v>
      </c>
      <c r="K112" s="119">
        <v>1.147</v>
      </c>
      <c r="L112" s="111">
        <f t="shared" si="42"/>
        <v>-2.8000000000000025E-2</v>
      </c>
      <c r="M112" s="112">
        <f t="shared" si="43"/>
        <v>-6.9999999999998952E-3</v>
      </c>
      <c r="N112" s="112">
        <f t="shared" si="44"/>
        <v>-2.2999999999999909E-2</v>
      </c>
      <c r="O112" s="112">
        <f t="shared" si="36"/>
        <v>1.1506666666666667</v>
      </c>
      <c r="P112" s="113">
        <f t="shared" si="37"/>
        <v>0</v>
      </c>
      <c r="Q112" s="114">
        <f t="shared" si="38"/>
        <v>0.28000000000000025</v>
      </c>
      <c r="R112" s="115" t="str">
        <f t="shared" si="39"/>
        <v xml:space="preserve"> </v>
      </c>
      <c r="S112" s="115" t="str">
        <f t="shared" si="40"/>
        <v xml:space="preserve"> </v>
      </c>
      <c r="T112" s="116" t="str">
        <f t="shared" si="41"/>
        <v/>
      </c>
      <c r="U112" s="120"/>
      <c r="V112" s="118"/>
      <c r="W112" s="131"/>
    </row>
    <row r="113" spans="1:23" ht="13.2">
      <c r="A113" s="102" t="s">
        <v>153</v>
      </c>
      <c r="B113" s="102"/>
      <c r="C113" s="103">
        <v>3</v>
      </c>
      <c r="D113" s="105" t="s">
        <v>68</v>
      </c>
      <c r="E113" s="106">
        <v>1.17</v>
      </c>
      <c r="F113" s="107">
        <v>0.1</v>
      </c>
      <c r="G113" s="108">
        <v>0.1</v>
      </c>
      <c r="H113" s="109" t="s">
        <v>55</v>
      </c>
      <c r="I113" s="110">
        <v>1.139</v>
      </c>
      <c r="J113" s="110">
        <v>1.1459999999999999</v>
      </c>
      <c r="K113" s="119">
        <v>1.137</v>
      </c>
      <c r="L113" s="111">
        <f t="shared" si="42"/>
        <v>-3.0999999999999917E-2</v>
      </c>
      <c r="M113" s="112">
        <f t="shared" si="43"/>
        <v>-2.4000000000000021E-2</v>
      </c>
      <c r="N113" s="112">
        <f t="shared" si="44"/>
        <v>-3.2999999999999918E-2</v>
      </c>
      <c r="O113" s="112">
        <f t="shared" si="36"/>
        <v>1.1406666666666667</v>
      </c>
      <c r="P113" s="113">
        <f t="shared" si="37"/>
        <v>0</v>
      </c>
      <c r="Q113" s="114">
        <f t="shared" si="38"/>
        <v>0.32999999999999918</v>
      </c>
      <c r="R113" s="115" t="str">
        <f t="shared" si="39"/>
        <v xml:space="preserve"> </v>
      </c>
      <c r="S113" s="115" t="str">
        <f t="shared" si="40"/>
        <v xml:space="preserve"> </v>
      </c>
      <c r="T113" s="116" t="str">
        <f t="shared" si="41"/>
        <v/>
      </c>
      <c r="U113" s="120"/>
      <c r="V113" s="118"/>
      <c r="W113" s="131"/>
    </row>
    <row r="114" spans="1:23" ht="13.2">
      <c r="A114" s="102" t="s">
        <v>154</v>
      </c>
      <c r="B114" s="102"/>
      <c r="C114" s="103">
        <v>3</v>
      </c>
      <c r="D114" s="105" t="s">
        <v>68</v>
      </c>
      <c r="E114" s="106">
        <v>1.17</v>
      </c>
      <c r="F114" s="107">
        <v>0.1</v>
      </c>
      <c r="G114" s="108">
        <v>0.1</v>
      </c>
      <c r="H114" s="109" t="s">
        <v>55</v>
      </c>
      <c r="I114" s="110">
        <v>1.1299999999999999</v>
      </c>
      <c r="J114" s="110">
        <v>1.145</v>
      </c>
      <c r="K114" s="119">
        <v>1.1379999999999999</v>
      </c>
      <c r="L114" s="111">
        <f t="shared" si="42"/>
        <v>-4.0000000000000036E-2</v>
      </c>
      <c r="M114" s="112">
        <f t="shared" si="43"/>
        <v>-2.4999999999999911E-2</v>
      </c>
      <c r="N114" s="112">
        <f t="shared" si="44"/>
        <v>-3.2000000000000028E-2</v>
      </c>
      <c r="O114" s="112">
        <f t="shared" si="36"/>
        <v>1.1376666666666666</v>
      </c>
      <c r="P114" s="113">
        <f t="shared" si="37"/>
        <v>0</v>
      </c>
      <c r="Q114" s="114">
        <f t="shared" si="38"/>
        <v>0.40000000000000036</v>
      </c>
      <c r="R114" s="115" t="str">
        <f t="shared" si="39"/>
        <v xml:space="preserve"> </v>
      </c>
      <c r="S114" s="115" t="str">
        <f t="shared" si="40"/>
        <v xml:space="preserve"> </v>
      </c>
      <c r="T114" s="116" t="str">
        <f t="shared" si="41"/>
        <v/>
      </c>
      <c r="U114" s="120"/>
      <c r="V114" s="118"/>
      <c r="W114" s="131"/>
    </row>
    <row r="115" spans="1:23" ht="13.2">
      <c r="A115" s="102" t="s">
        <v>155</v>
      </c>
      <c r="B115" s="102"/>
      <c r="C115" s="103">
        <v>3</v>
      </c>
      <c r="D115" s="105" t="s">
        <v>68</v>
      </c>
      <c r="E115" s="106">
        <v>1.17</v>
      </c>
      <c r="F115" s="107">
        <v>0.1</v>
      </c>
      <c r="G115" s="108">
        <v>0.1</v>
      </c>
      <c r="H115" s="109" t="s">
        <v>55</v>
      </c>
      <c r="I115" s="110">
        <v>1.1359999999999999</v>
      </c>
      <c r="J115" s="110">
        <v>1.157</v>
      </c>
      <c r="K115" s="119">
        <v>1.1419999999999999</v>
      </c>
      <c r="L115" s="111">
        <f t="shared" si="42"/>
        <v>-3.400000000000003E-2</v>
      </c>
      <c r="M115" s="112">
        <f t="shared" si="43"/>
        <v>-1.2999999999999901E-2</v>
      </c>
      <c r="N115" s="112">
        <f t="shared" si="44"/>
        <v>-2.8000000000000025E-2</v>
      </c>
      <c r="O115" s="112">
        <f t="shared" si="36"/>
        <v>1.145</v>
      </c>
      <c r="P115" s="113">
        <f t="shared" si="37"/>
        <v>0</v>
      </c>
      <c r="Q115" s="114">
        <f t="shared" si="38"/>
        <v>0.3400000000000003</v>
      </c>
      <c r="R115" s="115" t="str">
        <f t="shared" si="39"/>
        <v xml:space="preserve"> </v>
      </c>
      <c r="S115" s="115" t="str">
        <f t="shared" si="40"/>
        <v xml:space="preserve"> </v>
      </c>
      <c r="T115" s="116" t="str">
        <f t="shared" si="41"/>
        <v/>
      </c>
      <c r="U115" s="120"/>
      <c r="V115" s="118"/>
      <c r="W115" s="131"/>
    </row>
    <row r="116" spans="1:23" ht="13.2">
      <c r="A116" s="102" t="s">
        <v>156</v>
      </c>
      <c r="B116" s="102"/>
      <c r="C116" s="103">
        <v>3</v>
      </c>
      <c r="D116" s="105" t="s">
        <v>68</v>
      </c>
      <c r="E116" s="106">
        <v>1.17</v>
      </c>
      <c r="F116" s="107">
        <v>0.1</v>
      </c>
      <c r="G116" s="108">
        <v>0.1</v>
      </c>
      <c r="H116" s="109" t="s">
        <v>55</v>
      </c>
      <c r="I116" s="110">
        <v>1.153</v>
      </c>
      <c r="J116" s="110">
        <v>1.153</v>
      </c>
      <c r="K116" s="119">
        <v>1.143</v>
      </c>
      <c r="L116" s="111">
        <f t="shared" si="42"/>
        <v>-1.6999999999999904E-2</v>
      </c>
      <c r="M116" s="112">
        <f t="shared" si="43"/>
        <v>-1.6999999999999904E-2</v>
      </c>
      <c r="N116" s="112">
        <f t="shared" si="44"/>
        <v>-2.6999999999999913E-2</v>
      </c>
      <c r="O116" s="112">
        <f t="shared" si="36"/>
        <v>1.1496666666666666</v>
      </c>
      <c r="P116" s="113">
        <f t="shared" si="37"/>
        <v>0</v>
      </c>
      <c r="Q116" s="114">
        <f t="shared" si="38"/>
        <v>0.26999999999999913</v>
      </c>
      <c r="R116" s="115" t="str">
        <f t="shared" si="39"/>
        <v xml:space="preserve"> </v>
      </c>
      <c r="S116" s="115" t="str">
        <f t="shared" si="40"/>
        <v xml:space="preserve"> </v>
      </c>
      <c r="T116" s="116" t="str">
        <f t="shared" si="41"/>
        <v/>
      </c>
      <c r="U116" s="120"/>
      <c r="V116" s="118"/>
      <c r="W116" s="131"/>
    </row>
    <row r="117" spans="1:23" ht="13.2">
      <c r="A117" s="102" t="s">
        <v>157</v>
      </c>
      <c r="B117" s="103"/>
      <c r="C117" s="103">
        <v>3</v>
      </c>
      <c r="D117" s="105" t="s">
        <v>68</v>
      </c>
      <c r="E117" s="106">
        <v>1.17</v>
      </c>
      <c r="F117" s="107">
        <v>0.1</v>
      </c>
      <c r="G117" s="108">
        <v>0.1</v>
      </c>
      <c r="H117" s="109" t="s">
        <v>55</v>
      </c>
      <c r="I117" s="110">
        <v>1.1319999999999999</v>
      </c>
      <c r="J117" s="110">
        <v>1.1459999999999999</v>
      </c>
      <c r="K117" s="119">
        <v>1.1359999999999999</v>
      </c>
      <c r="L117" s="111">
        <f t="shared" si="42"/>
        <v>-3.8000000000000034E-2</v>
      </c>
      <c r="M117" s="112">
        <f t="shared" si="43"/>
        <v>-2.4000000000000021E-2</v>
      </c>
      <c r="N117" s="112">
        <f t="shared" si="44"/>
        <v>-3.400000000000003E-2</v>
      </c>
      <c r="O117" s="112">
        <f t="shared" si="36"/>
        <v>1.1379999999999999</v>
      </c>
      <c r="P117" s="113">
        <f t="shared" si="37"/>
        <v>0</v>
      </c>
      <c r="Q117" s="114">
        <f t="shared" si="38"/>
        <v>0.38000000000000034</v>
      </c>
      <c r="R117" s="115" t="str">
        <f t="shared" si="39"/>
        <v xml:space="preserve"> </v>
      </c>
      <c r="S117" s="115" t="str">
        <f t="shared" si="40"/>
        <v xml:space="preserve"> </v>
      </c>
      <c r="T117" s="116" t="str">
        <f t="shared" si="41"/>
        <v/>
      </c>
      <c r="U117" s="120"/>
      <c r="V117" s="118"/>
      <c r="W117" s="131"/>
    </row>
    <row r="118" spans="1:23" ht="13.2">
      <c r="A118" s="102" t="s">
        <v>158</v>
      </c>
      <c r="B118" s="103"/>
      <c r="C118" s="103">
        <v>3</v>
      </c>
      <c r="D118" s="105" t="s">
        <v>68</v>
      </c>
      <c r="E118" s="106">
        <v>1.17</v>
      </c>
      <c r="F118" s="107">
        <v>0.1</v>
      </c>
      <c r="G118" s="108">
        <v>0.1</v>
      </c>
      <c r="H118" s="109" t="s">
        <v>55</v>
      </c>
      <c r="I118" s="110">
        <v>1.135</v>
      </c>
      <c r="J118" s="110">
        <v>1.1639999999999999</v>
      </c>
      <c r="K118" s="119">
        <v>1.1439999999999999</v>
      </c>
      <c r="L118" s="111">
        <f t="shared" si="42"/>
        <v>-3.499999999999992E-2</v>
      </c>
      <c r="M118" s="112">
        <f t="shared" si="43"/>
        <v>-6.0000000000000053E-3</v>
      </c>
      <c r="N118" s="112">
        <f t="shared" si="44"/>
        <v>-2.6000000000000023E-2</v>
      </c>
      <c r="O118" s="112">
        <f t="shared" si="36"/>
        <v>1.1476666666666666</v>
      </c>
      <c r="P118" s="113">
        <f t="shared" si="37"/>
        <v>0</v>
      </c>
      <c r="Q118" s="114">
        <f t="shared" si="38"/>
        <v>0.3499999999999992</v>
      </c>
      <c r="R118" s="115" t="str">
        <f t="shared" si="39"/>
        <v xml:space="preserve"> </v>
      </c>
      <c r="S118" s="115" t="str">
        <f t="shared" si="40"/>
        <v xml:space="preserve"> </v>
      </c>
      <c r="T118" s="116" t="str">
        <f t="shared" si="41"/>
        <v/>
      </c>
      <c r="U118" s="120"/>
      <c r="V118" s="118"/>
      <c r="W118" s="131"/>
    </row>
    <row r="119" spans="1:23" ht="13.2">
      <c r="A119" s="102" t="s">
        <v>159</v>
      </c>
      <c r="B119" s="103"/>
      <c r="C119" s="103">
        <v>3</v>
      </c>
      <c r="D119" s="105" t="s">
        <v>68</v>
      </c>
      <c r="E119" s="106">
        <v>1.17</v>
      </c>
      <c r="F119" s="107">
        <v>0.1</v>
      </c>
      <c r="G119" s="108">
        <v>0.1</v>
      </c>
      <c r="H119" s="109" t="s">
        <v>55</v>
      </c>
      <c r="I119" s="110">
        <v>1.1419999999999999</v>
      </c>
      <c r="J119" s="110">
        <v>1.1619999999999999</v>
      </c>
      <c r="K119" s="119">
        <v>1.139</v>
      </c>
      <c r="L119" s="111">
        <f t="shared" si="42"/>
        <v>-2.8000000000000025E-2</v>
      </c>
      <c r="M119" s="112">
        <f t="shared" si="43"/>
        <v>-8.0000000000000071E-3</v>
      </c>
      <c r="N119" s="112">
        <f t="shared" si="44"/>
        <v>-3.0999999999999917E-2</v>
      </c>
      <c r="O119" s="112">
        <f t="shared" si="36"/>
        <v>1.1476666666666666</v>
      </c>
      <c r="P119" s="113">
        <f t="shared" si="37"/>
        <v>0</v>
      </c>
      <c r="Q119" s="114">
        <f t="shared" si="38"/>
        <v>0.30999999999999917</v>
      </c>
      <c r="R119" s="115" t="str">
        <f t="shared" si="39"/>
        <v xml:space="preserve"> </v>
      </c>
      <c r="S119" s="115" t="str">
        <f t="shared" si="40"/>
        <v xml:space="preserve"> </v>
      </c>
      <c r="T119" s="116" t="str">
        <f t="shared" si="41"/>
        <v/>
      </c>
      <c r="U119" s="120"/>
      <c r="V119" s="118"/>
      <c r="W119" s="131"/>
    </row>
    <row r="120" spans="1:23" ht="13.2">
      <c r="A120" s="102" t="s">
        <v>167</v>
      </c>
      <c r="B120" s="102"/>
      <c r="C120" s="103">
        <v>3</v>
      </c>
      <c r="D120" s="105" t="s">
        <v>68</v>
      </c>
      <c r="E120" s="106">
        <v>1.17</v>
      </c>
      <c r="F120" s="107">
        <v>0.1</v>
      </c>
      <c r="G120" s="108">
        <v>0.1</v>
      </c>
      <c r="H120" s="109" t="s">
        <v>55</v>
      </c>
      <c r="I120" s="110">
        <v>1.1379999999999999</v>
      </c>
      <c r="J120" s="110">
        <v>1.157</v>
      </c>
      <c r="K120" s="119">
        <v>1.1359999999999999</v>
      </c>
      <c r="L120" s="111">
        <f t="shared" si="42"/>
        <v>-3.2000000000000028E-2</v>
      </c>
      <c r="M120" s="112">
        <f t="shared" si="43"/>
        <v>-1.2999999999999901E-2</v>
      </c>
      <c r="N120" s="112">
        <f t="shared" si="44"/>
        <v>-3.400000000000003E-2</v>
      </c>
      <c r="O120" s="112">
        <f t="shared" si="36"/>
        <v>1.1436666666666666</v>
      </c>
      <c r="P120" s="113">
        <f t="shared" si="37"/>
        <v>0</v>
      </c>
      <c r="Q120" s="114">
        <f t="shared" si="38"/>
        <v>0.3400000000000003</v>
      </c>
      <c r="R120" s="115" t="str">
        <f t="shared" si="39"/>
        <v xml:space="preserve"> </v>
      </c>
      <c r="S120" s="115" t="str">
        <f t="shared" si="40"/>
        <v xml:space="preserve"> </v>
      </c>
      <c r="T120" s="116" t="str">
        <f t="shared" si="41"/>
        <v/>
      </c>
      <c r="U120" s="120"/>
      <c r="V120" s="118"/>
      <c r="W120" s="131"/>
    </row>
    <row r="121" spans="1:23" ht="13.2">
      <c r="A121" s="102" t="s">
        <v>160</v>
      </c>
      <c r="B121" s="102"/>
      <c r="C121" s="103">
        <v>3</v>
      </c>
      <c r="D121" s="105" t="s">
        <v>68</v>
      </c>
      <c r="E121" s="106">
        <v>1.17</v>
      </c>
      <c r="F121" s="107">
        <v>0.1</v>
      </c>
      <c r="G121" s="108">
        <v>0.1</v>
      </c>
      <c r="H121" s="109" t="s">
        <v>55</v>
      </c>
      <c r="I121" s="110">
        <v>1.139</v>
      </c>
      <c r="J121" s="110">
        <v>1.1559999999999999</v>
      </c>
      <c r="K121" s="119">
        <v>1.139</v>
      </c>
      <c r="L121" s="111">
        <f t="shared" si="42"/>
        <v>-3.0999999999999917E-2</v>
      </c>
      <c r="M121" s="112">
        <f t="shared" si="43"/>
        <v>-1.4000000000000012E-2</v>
      </c>
      <c r="N121" s="112">
        <f t="shared" si="44"/>
        <v>-3.0999999999999917E-2</v>
      </c>
      <c r="O121" s="112">
        <f t="shared" si="36"/>
        <v>1.1446666666666667</v>
      </c>
      <c r="P121" s="113">
        <f t="shared" si="37"/>
        <v>0</v>
      </c>
      <c r="Q121" s="114">
        <f t="shared" si="38"/>
        <v>0.30999999999999917</v>
      </c>
      <c r="R121" s="115" t="str">
        <f t="shared" si="39"/>
        <v xml:space="preserve"> </v>
      </c>
      <c r="S121" s="115" t="str">
        <f t="shared" si="40"/>
        <v xml:space="preserve"> </v>
      </c>
      <c r="T121" s="116" t="str">
        <f t="shared" si="41"/>
        <v/>
      </c>
      <c r="U121" s="120"/>
      <c r="V121" s="118"/>
      <c r="W121" s="131"/>
    </row>
    <row r="122" spans="1:23" ht="13.2">
      <c r="A122" s="102" t="s">
        <v>161</v>
      </c>
      <c r="B122" s="102"/>
      <c r="C122" s="103">
        <v>3</v>
      </c>
      <c r="D122" s="105" t="s">
        <v>68</v>
      </c>
      <c r="E122" s="106">
        <v>1.17</v>
      </c>
      <c r="F122" s="107">
        <v>0.1</v>
      </c>
      <c r="G122" s="108">
        <v>0.1</v>
      </c>
      <c r="H122" s="109" t="s">
        <v>55</v>
      </c>
      <c r="I122" s="110">
        <v>1.133</v>
      </c>
      <c r="J122" s="110">
        <v>1.1539999999999999</v>
      </c>
      <c r="K122" s="119">
        <v>1.1339999999999999</v>
      </c>
      <c r="L122" s="111">
        <f t="shared" si="42"/>
        <v>-3.6999999999999922E-2</v>
      </c>
      <c r="M122" s="112">
        <f t="shared" si="43"/>
        <v>-1.6000000000000014E-2</v>
      </c>
      <c r="N122" s="112">
        <f t="shared" si="44"/>
        <v>-3.6000000000000032E-2</v>
      </c>
      <c r="O122" s="112">
        <f t="shared" si="36"/>
        <v>1.1403333333333332</v>
      </c>
      <c r="P122" s="113">
        <f t="shared" si="37"/>
        <v>0</v>
      </c>
      <c r="Q122" s="114">
        <f t="shared" si="38"/>
        <v>0.36999999999999922</v>
      </c>
      <c r="R122" s="115" t="str">
        <f t="shared" si="39"/>
        <v xml:space="preserve"> </v>
      </c>
      <c r="S122" s="115" t="str">
        <f t="shared" si="40"/>
        <v xml:space="preserve"> </v>
      </c>
      <c r="T122" s="116" t="str">
        <f t="shared" si="41"/>
        <v/>
      </c>
      <c r="U122" s="120"/>
      <c r="V122" s="118"/>
      <c r="W122" s="131"/>
    </row>
    <row r="123" spans="1:23" ht="13.2">
      <c r="A123" s="102" t="s">
        <v>162</v>
      </c>
      <c r="B123" s="102"/>
      <c r="C123" s="103">
        <v>3</v>
      </c>
      <c r="D123" s="105" t="s">
        <v>68</v>
      </c>
      <c r="E123" s="106">
        <v>1.17</v>
      </c>
      <c r="F123" s="107">
        <v>0.1</v>
      </c>
      <c r="G123" s="108">
        <v>0.1</v>
      </c>
      <c r="H123" s="109" t="s">
        <v>55</v>
      </c>
      <c r="I123" s="110">
        <v>1.139</v>
      </c>
      <c r="J123" s="110">
        <v>1.169</v>
      </c>
      <c r="K123" s="119">
        <v>1.133</v>
      </c>
      <c r="L123" s="111">
        <f t="shared" si="42"/>
        <v>-3.0999999999999917E-2</v>
      </c>
      <c r="M123" s="112">
        <f t="shared" si="43"/>
        <v>-9.9999999999988987E-4</v>
      </c>
      <c r="N123" s="112">
        <f t="shared" si="44"/>
        <v>-3.6999999999999922E-2</v>
      </c>
      <c r="O123" s="112">
        <f t="shared" si="36"/>
        <v>1.147</v>
      </c>
      <c r="P123" s="113">
        <f t="shared" si="37"/>
        <v>0</v>
      </c>
      <c r="Q123" s="114">
        <f t="shared" si="38"/>
        <v>0.36999999999999922</v>
      </c>
      <c r="R123" s="115" t="str">
        <f t="shared" si="39"/>
        <v xml:space="preserve"> </v>
      </c>
      <c r="S123" s="115" t="str">
        <f t="shared" si="40"/>
        <v xml:space="preserve"> </v>
      </c>
      <c r="T123" s="116" t="str">
        <f t="shared" si="41"/>
        <v/>
      </c>
      <c r="U123" s="120"/>
      <c r="V123" s="118"/>
      <c r="W123" s="131"/>
    </row>
    <row r="124" spans="1:23" ht="13.2">
      <c r="A124" s="102" t="s">
        <v>168</v>
      </c>
      <c r="B124" s="102"/>
      <c r="C124" s="103">
        <v>3</v>
      </c>
      <c r="D124" s="105" t="s">
        <v>68</v>
      </c>
      <c r="E124" s="106">
        <v>4</v>
      </c>
      <c r="F124" s="107">
        <v>0.1</v>
      </c>
      <c r="G124" s="108">
        <v>0.1</v>
      </c>
      <c r="H124" s="109" t="s">
        <v>55</v>
      </c>
      <c r="I124" s="110">
        <v>3.948</v>
      </c>
      <c r="J124" s="110">
        <v>4.0140000000000002</v>
      </c>
      <c r="K124" s="119">
        <v>3.992</v>
      </c>
      <c r="L124" s="111">
        <f t="shared" si="42"/>
        <v>-5.2000000000000046E-2</v>
      </c>
      <c r="M124" s="112">
        <f t="shared" si="43"/>
        <v>1.4000000000000234E-2</v>
      </c>
      <c r="N124" s="112">
        <f t="shared" si="44"/>
        <v>-8.0000000000000071E-3</v>
      </c>
      <c r="O124" s="112">
        <f t="shared" si="36"/>
        <v>3.984666666666667</v>
      </c>
      <c r="P124" s="113">
        <f t="shared" si="37"/>
        <v>0.14000000000000234</v>
      </c>
      <c r="Q124" s="114">
        <f t="shared" si="38"/>
        <v>0.52000000000000046</v>
      </c>
      <c r="R124" s="115" t="str">
        <f t="shared" si="39"/>
        <v xml:space="preserve"> </v>
      </c>
      <c r="S124" s="115" t="str">
        <f t="shared" si="40"/>
        <v xml:space="preserve"> </v>
      </c>
      <c r="T124" s="116" t="str">
        <f t="shared" si="41"/>
        <v/>
      </c>
      <c r="U124" s="120"/>
      <c r="V124" s="118"/>
      <c r="W124" s="131"/>
    </row>
    <row r="125" spans="1:23" ht="13.2">
      <c r="A125" s="102" t="s">
        <v>29</v>
      </c>
      <c r="B125" s="102"/>
      <c r="C125" s="103">
        <v>3</v>
      </c>
      <c r="D125" s="105" t="s">
        <v>68</v>
      </c>
      <c r="E125" s="106">
        <v>4</v>
      </c>
      <c r="F125" s="107">
        <v>0.1</v>
      </c>
      <c r="G125" s="108">
        <v>0.1</v>
      </c>
      <c r="H125" s="109" t="s">
        <v>55</v>
      </c>
      <c r="I125" s="110">
        <v>3.9249999999999998</v>
      </c>
      <c r="J125" s="110">
        <v>3.9510000000000001</v>
      </c>
      <c r="K125" s="119">
        <v>3.944</v>
      </c>
      <c r="L125" s="111">
        <f t="shared" si="42"/>
        <v>-7.5000000000000178E-2</v>
      </c>
      <c r="M125" s="112">
        <f t="shared" si="43"/>
        <v>-4.8999999999999932E-2</v>
      </c>
      <c r="N125" s="112">
        <f t="shared" si="44"/>
        <v>-5.600000000000005E-2</v>
      </c>
      <c r="O125" s="112">
        <f t="shared" si="36"/>
        <v>3.94</v>
      </c>
      <c r="P125" s="113">
        <f t="shared" si="37"/>
        <v>0</v>
      </c>
      <c r="Q125" s="114">
        <f t="shared" si="38"/>
        <v>0.75000000000000178</v>
      </c>
      <c r="R125" s="115" t="str">
        <f t="shared" si="39"/>
        <v xml:space="preserve"> </v>
      </c>
      <c r="S125" s="115" t="str">
        <f t="shared" si="40"/>
        <v>Alert</v>
      </c>
      <c r="T125" s="116" t="str">
        <f t="shared" si="41"/>
        <v>Alert</v>
      </c>
      <c r="U125" s="120"/>
      <c r="V125" s="118"/>
      <c r="W125" s="131"/>
    </row>
    <row r="126" spans="1:23" ht="13.2">
      <c r="A126" s="102" t="s">
        <v>169</v>
      </c>
      <c r="B126" s="102"/>
      <c r="C126" s="103">
        <v>3</v>
      </c>
      <c r="D126" s="105" t="s">
        <v>68</v>
      </c>
      <c r="E126" s="106">
        <v>4</v>
      </c>
      <c r="F126" s="107">
        <v>0.1</v>
      </c>
      <c r="G126" s="108">
        <v>0.1</v>
      </c>
      <c r="H126" s="109" t="s">
        <v>55</v>
      </c>
      <c r="I126" s="110">
        <v>3.9260000000000002</v>
      </c>
      <c r="J126" s="110">
        <v>3.9630000000000001</v>
      </c>
      <c r="K126" s="119">
        <v>3.9409999999999998</v>
      </c>
      <c r="L126" s="111">
        <f t="shared" si="42"/>
        <v>-7.3999999999999844E-2</v>
      </c>
      <c r="M126" s="112">
        <f t="shared" si="43"/>
        <v>-3.6999999999999922E-2</v>
      </c>
      <c r="N126" s="112">
        <f t="shared" si="44"/>
        <v>-5.9000000000000163E-2</v>
      </c>
      <c r="O126" s="112">
        <f t="shared" ref="O126:O189" si="45">IF(ISERR(I126/I126)=TRUE," ",AVERAGE(I126:K126))</f>
        <v>3.9433333333333334</v>
      </c>
      <c r="P126" s="113">
        <f t="shared" ref="P126:P189" si="46">IF(ISBLANK($E126),"",IF(ISNUMBER(F126)=FALSE,"BAD TOL", IF(F126=0,"N/A",IF(ISERR(I126/I126)=TRUE,"BAD INSP",IF(AND(ISNUMBER($I126),ISNUMBER($J126),ISNUMBER($K126))=FALSE,"BAD INSP",IF(MAX($I126:$K126)&lt;$E126,0,(MAX($I126:$K126)-$E126)/$F126))))))</f>
        <v>0</v>
      </c>
      <c r="Q126" s="114">
        <f t="shared" ref="Q126:Q189" si="47">IF(ISBLANK($E126),"",IF(ISNUMBER(G126)=FALSE,"BAD TOL",IF(G126=0,"N/A",IF(ISERR(I126/I126)=TRUE,"BAD INSP",IF(AND(ISNUMBER($I126),ISNUMBER($J126),ISNUMBER($K126))=FALSE,"BAD INSP",IF(MIN(I126:K126)&gt;$E126,0,($E126-MIN(I126:K126))/G126))))))</f>
        <v>0.73999999999999844</v>
      </c>
      <c r="R126" s="115" t="str">
        <f t="shared" ref="R126:R189" si="48">IF(ISBLANK($E126),"",IF(ISNUMBER($P126)=TRUE,IF($P126&gt;0.651,IF($P126&gt;1.001,"Reject","Alert")," "),IF(AND(F126=0, ISNUMBER(F126)),IF(MAX(I126:K126)&gt;(E126+F126),"Reject",IF(MAX(I126:K126)=(E126+F126),"Alert","")),"Reject")))</f>
        <v xml:space="preserve"> </v>
      </c>
      <c r="S126" s="115" t="str">
        <f t="shared" ref="S126:S189" si="49">IF(ISBLANK($E126),"",IF(ISNUMBER($Q126)=TRUE,IF($Q126&gt;0.651,IF($Q126&gt;1.001,"Reject","Alert")," "),IF(AND(G126=0, ISNUMBER(G126)),IF(MIN(I126:K126)&lt;(E126-G126),"Reject",IF(MIN(I126:K126)=(E126-G126),"Alert","")),"Reject")))</f>
        <v>Alert</v>
      </c>
      <c r="T126" s="116" t="str">
        <f t="shared" ref="T126:T189" si="50">IF(OR(R126="Reject",S126="Reject"),"Reject",IF(OR(R126="Alert",S126="Alert"),"Alert", ""))</f>
        <v>Alert</v>
      </c>
      <c r="U126" s="120"/>
      <c r="V126" s="118"/>
      <c r="W126" s="131"/>
    </row>
    <row r="127" spans="1:23" ht="13.2">
      <c r="A127" s="102" t="s">
        <v>170</v>
      </c>
      <c r="B127" s="102"/>
      <c r="C127" s="103">
        <v>3</v>
      </c>
      <c r="D127" s="105" t="s">
        <v>68</v>
      </c>
      <c r="E127" s="106">
        <v>4</v>
      </c>
      <c r="F127" s="107">
        <v>0.1</v>
      </c>
      <c r="G127" s="108">
        <v>0.1</v>
      </c>
      <c r="H127" s="109" t="s">
        <v>55</v>
      </c>
      <c r="I127" s="110">
        <v>3.9169999999999998</v>
      </c>
      <c r="J127" s="110">
        <v>3.94</v>
      </c>
      <c r="K127" s="119">
        <v>3.9340000000000002</v>
      </c>
      <c r="L127" s="111">
        <f t="shared" si="42"/>
        <v>-8.3000000000000185E-2</v>
      </c>
      <c r="M127" s="112">
        <f t="shared" si="43"/>
        <v>-6.0000000000000053E-2</v>
      </c>
      <c r="N127" s="112">
        <f t="shared" si="44"/>
        <v>-6.5999999999999837E-2</v>
      </c>
      <c r="O127" s="112">
        <f t="shared" si="45"/>
        <v>3.9303333333333335</v>
      </c>
      <c r="P127" s="113">
        <f t="shared" si="46"/>
        <v>0</v>
      </c>
      <c r="Q127" s="114">
        <f t="shared" si="47"/>
        <v>0.83000000000000185</v>
      </c>
      <c r="R127" s="115" t="str">
        <f t="shared" si="48"/>
        <v xml:space="preserve"> </v>
      </c>
      <c r="S127" s="115" t="str">
        <f t="shared" si="49"/>
        <v>Alert</v>
      </c>
      <c r="T127" s="116" t="str">
        <f t="shared" si="50"/>
        <v>Alert</v>
      </c>
      <c r="U127" s="120"/>
      <c r="V127" s="118"/>
      <c r="W127" s="131"/>
    </row>
    <row r="128" spans="1:23" ht="13.2">
      <c r="A128" s="102" t="s">
        <v>171</v>
      </c>
      <c r="B128" s="102"/>
      <c r="C128" s="103">
        <v>3</v>
      </c>
      <c r="D128" s="105" t="s">
        <v>68</v>
      </c>
      <c r="E128" s="106">
        <v>4</v>
      </c>
      <c r="F128" s="107">
        <v>0.1</v>
      </c>
      <c r="G128" s="108">
        <v>0.1</v>
      </c>
      <c r="H128" s="109" t="s">
        <v>55</v>
      </c>
      <c r="I128" s="110">
        <v>3.9350000000000001</v>
      </c>
      <c r="J128" s="110">
        <v>3.94</v>
      </c>
      <c r="K128" s="119">
        <v>3.9449999999999998</v>
      </c>
      <c r="L128" s="111">
        <f t="shared" si="42"/>
        <v>-6.4999999999999947E-2</v>
      </c>
      <c r="M128" s="112">
        <f t="shared" si="43"/>
        <v>-6.0000000000000053E-2</v>
      </c>
      <c r="N128" s="112">
        <f t="shared" si="44"/>
        <v>-5.500000000000016E-2</v>
      </c>
      <c r="O128" s="112">
        <f t="shared" si="45"/>
        <v>3.94</v>
      </c>
      <c r="P128" s="113">
        <f t="shared" si="46"/>
        <v>0</v>
      </c>
      <c r="Q128" s="114">
        <f t="shared" si="47"/>
        <v>0.64999999999999947</v>
      </c>
      <c r="R128" s="115" t="str">
        <f t="shared" si="48"/>
        <v xml:space="preserve"> </v>
      </c>
      <c r="S128" s="115" t="str">
        <f t="shared" si="49"/>
        <v xml:space="preserve"> </v>
      </c>
      <c r="T128" s="116" t="str">
        <f t="shared" si="50"/>
        <v/>
      </c>
      <c r="U128" s="120"/>
      <c r="V128" s="118"/>
      <c r="W128" s="131"/>
    </row>
    <row r="129" spans="1:23" ht="13.2">
      <c r="A129" s="102" t="s">
        <v>172</v>
      </c>
      <c r="B129" s="102"/>
      <c r="C129" s="103">
        <v>3</v>
      </c>
      <c r="D129" s="105" t="s">
        <v>68</v>
      </c>
      <c r="E129" s="106">
        <v>4</v>
      </c>
      <c r="F129" s="107">
        <v>0.1</v>
      </c>
      <c r="G129" s="108">
        <v>0.1</v>
      </c>
      <c r="H129" s="109" t="s">
        <v>55</v>
      </c>
      <c r="I129" s="110">
        <v>3.9910000000000001</v>
      </c>
      <c r="J129" s="110">
        <v>4.0140000000000002</v>
      </c>
      <c r="K129" s="119">
        <v>4.0049999999999999</v>
      </c>
      <c r="L129" s="111">
        <f t="shared" si="42"/>
        <v>-8.999999999999897E-3</v>
      </c>
      <c r="M129" s="112">
        <f t="shared" si="43"/>
        <v>1.4000000000000234E-2</v>
      </c>
      <c r="N129" s="112">
        <f t="shared" si="44"/>
        <v>4.9999999999998934E-3</v>
      </c>
      <c r="O129" s="112">
        <f t="shared" si="45"/>
        <v>4.0033333333333339</v>
      </c>
      <c r="P129" s="113">
        <f t="shared" si="46"/>
        <v>0.14000000000000234</v>
      </c>
      <c r="Q129" s="114">
        <f t="shared" si="47"/>
        <v>8.999999999999897E-2</v>
      </c>
      <c r="R129" s="115" t="str">
        <f t="shared" si="48"/>
        <v xml:space="preserve"> </v>
      </c>
      <c r="S129" s="115" t="str">
        <f t="shared" si="49"/>
        <v xml:space="preserve"> </v>
      </c>
      <c r="T129" s="116" t="str">
        <f t="shared" si="50"/>
        <v/>
      </c>
      <c r="U129" s="120"/>
      <c r="V129" s="118"/>
      <c r="W129" s="131"/>
    </row>
    <row r="130" spans="1:23" ht="13.2">
      <c r="A130" s="102" t="s">
        <v>173</v>
      </c>
      <c r="B130" s="102"/>
      <c r="C130" s="103">
        <v>3</v>
      </c>
      <c r="D130" s="105" t="s">
        <v>68</v>
      </c>
      <c r="E130" s="106">
        <v>4</v>
      </c>
      <c r="F130" s="107">
        <v>0.1</v>
      </c>
      <c r="G130" s="108">
        <v>0.1</v>
      </c>
      <c r="H130" s="109" t="s">
        <v>55</v>
      </c>
      <c r="I130" s="110">
        <v>3.919</v>
      </c>
      <c r="J130" s="110">
        <v>3.9409999999999998</v>
      </c>
      <c r="K130" s="119">
        <v>3.93</v>
      </c>
      <c r="L130" s="111">
        <f t="shared" si="42"/>
        <v>-8.0999999999999961E-2</v>
      </c>
      <c r="M130" s="112">
        <f t="shared" si="43"/>
        <v>-5.9000000000000163E-2</v>
      </c>
      <c r="N130" s="112">
        <f t="shared" si="44"/>
        <v>-6.999999999999984E-2</v>
      </c>
      <c r="O130" s="112">
        <f t="shared" si="45"/>
        <v>3.9299999999999997</v>
      </c>
      <c r="P130" s="113">
        <f t="shared" si="46"/>
        <v>0</v>
      </c>
      <c r="Q130" s="114">
        <f t="shared" si="47"/>
        <v>0.80999999999999961</v>
      </c>
      <c r="R130" s="115" t="str">
        <f t="shared" si="48"/>
        <v xml:space="preserve"> </v>
      </c>
      <c r="S130" s="115" t="str">
        <f t="shared" si="49"/>
        <v>Alert</v>
      </c>
      <c r="T130" s="116" t="str">
        <f t="shared" si="50"/>
        <v>Alert</v>
      </c>
      <c r="U130" s="120"/>
      <c r="V130" s="118"/>
      <c r="W130" s="131"/>
    </row>
    <row r="131" spans="1:23" ht="13.2">
      <c r="A131" s="102" t="s">
        <v>174</v>
      </c>
      <c r="B131" s="102"/>
      <c r="C131" s="103">
        <v>3</v>
      </c>
      <c r="D131" s="105" t="s">
        <v>68</v>
      </c>
      <c r="E131" s="106">
        <v>4</v>
      </c>
      <c r="F131" s="107">
        <v>0.1</v>
      </c>
      <c r="G131" s="108">
        <v>0.1</v>
      </c>
      <c r="H131" s="109" t="s">
        <v>55</v>
      </c>
      <c r="I131" s="110">
        <v>3.9209999999999998</v>
      </c>
      <c r="J131" s="110">
        <v>3.9510000000000001</v>
      </c>
      <c r="K131" s="119">
        <v>3.944</v>
      </c>
      <c r="L131" s="111">
        <f t="shared" si="42"/>
        <v>-7.9000000000000181E-2</v>
      </c>
      <c r="M131" s="112">
        <f t="shared" si="43"/>
        <v>-4.8999999999999932E-2</v>
      </c>
      <c r="N131" s="112">
        <f t="shared" si="44"/>
        <v>-5.600000000000005E-2</v>
      </c>
      <c r="O131" s="112">
        <f t="shared" si="45"/>
        <v>3.9386666666666663</v>
      </c>
      <c r="P131" s="113">
        <f t="shared" si="46"/>
        <v>0</v>
      </c>
      <c r="Q131" s="114">
        <f t="shared" si="47"/>
        <v>0.79000000000000181</v>
      </c>
      <c r="R131" s="115" t="str">
        <f t="shared" si="48"/>
        <v xml:space="preserve"> </v>
      </c>
      <c r="S131" s="115" t="str">
        <f t="shared" si="49"/>
        <v>Alert</v>
      </c>
      <c r="T131" s="116" t="str">
        <f t="shared" si="50"/>
        <v>Alert</v>
      </c>
      <c r="U131" s="120"/>
      <c r="V131" s="118"/>
      <c r="W131" s="131"/>
    </row>
    <row r="132" spans="1:23" ht="13.2">
      <c r="A132" s="102" t="s">
        <v>175</v>
      </c>
      <c r="B132" s="103"/>
      <c r="C132" s="103">
        <v>3</v>
      </c>
      <c r="D132" s="105" t="s">
        <v>68</v>
      </c>
      <c r="E132" s="106">
        <v>4</v>
      </c>
      <c r="F132" s="107">
        <v>0.1</v>
      </c>
      <c r="G132" s="108">
        <v>0.1</v>
      </c>
      <c r="H132" s="109" t="s">
        <v>55</v>
      </c>
      <c r="I132" s="110">
        <v>3.9359999999999999</v>
      </c>
      <c r="J132" s="110">
        <v>3.944</v>
      </c>
      <c r="K132" s="119">
        <v>3.9510000000000001</v>
      </c>
      <c r="L132" s="111">
        <f t="shared" si="42"/>
        <v>-6.4000000000000057E-2</v>
      </c>
      <c r="M132" s="112">
        <f t="shared" si="43"/>
        <v>-5.600000000000005E-2</v>
      </c>
      <c r="N132" s="112">
        <f t="shared" si="44"/>
        <v>-4.8999999999999932E-2</v>
      </c>
      <c r="O132" s="112">
        <f t="shared" si="45"/>
        <v>3.9436666666666667</v>
      </c>
      <c r="P132" s="113">
        <f t="shared" si="46"/>
        <v>0</v>
      </c>
      <c r="Q132" s="114">
        <f t="shared" si="47"/>
        <v>0.64000000000000057</v>
      </c>
      <c r="R132" s="115" t="str">
        <f t="shared" si="48"/>
        <v xml:space="preserve"> </v>
      </c>
      <c r="S132" s="115" t="str">
        <f t="shared" si="49"/>
        <v xml:space="preserve"> </v>
      </c>
      <c r="T132" s="116" t="str">
        <f t="shared" si="50"/>
        <v/>
      </c>
      <c r="U132" s="120"/>
      <c r="V132" s="118"/>
      <c r="W132" s="131"/>
    </row>
    <row r="133" spans="1:23" ht="13.2">
      <c r="A133" s="102" t="s">
        <v>176</v>
      </c>
      <c r="B133" s="103"/>
      <c r="C133" s="103">
        <v>3</v>
      </c>
      <c r="D133" s="105" t="s">
        <v>68</v>
      </c>
      <c r="E133" s="106">
        <v>4</v>
      </c>
      <c r="F133" s="107">
        <v>0.1</v>
      </c>
      <c r="G133" s="108">
        <v>0.1</v>
      </c>
      <c r="H133" s="109" t="s">
        <v>55</v>
      </c>
      <c r="I133" s="110">
        <v>3.931</v>
      </c>
      <c r="J133" s="110">
        <v>3.9470000000000001</v>
      </c>
      <c r="K133" s="119">
        <v>3.948</v>
      </c>
      <c r="L133" s="111">
        <f t="shared" si="42"/>
        <v>-6.899999999999995E-2</v>
      </c>
      <c r="M133" s="112">
        <f t="shared" si="43"/>
        <v>-5.2999999999999936E-2</v>
      </c>
      <c r="N133" s="112">
        <f t="shared" si="44"/>
        <v>-5.2000000000000046E-2</v>
      </c>
      <c r="O133" s="112">
        <f t="shared" si="45"/>
        <v>3.9420000000000002</v>
      </c>
      <c r="P133" s="113">
        <f t="shared" si="46"/>
        <v>0</v>
      </c>
      <c r="Q133" s="114">
        <f t="shared" si="47"/>
        <v>0.6899999999999995</v>
      </c>
      <c r="R133" s="115" t="str">
        <f t="shared" si="48"/>
        <v xml:space="preserve"> </v>
      </c>
      <c r="S133" s="115" t="str">
        <f t="shared" si="49"/>
        <v>Alert</v>
      </c>
      <c r="T133" s="116" t="str">
        <f t="shared" si="50"/>
        <v>Alert</v>
      </c>
      <c r="U133" s="120"/>
      <c r="V133" s="118"/>
      <c r="W133" s="131"/>
    </row>
    <row r="134" spans="1:23" ht="13.2">
      <c r="A134" s="102" t="s">
        <v>177</v>
      </c>
      <c r="B134" s="103"/>
      <c r="C134" s="103">
        <v>3</v>
      </c>
      <c r="D134" s="105" t="s">
        <v>68</v>
      </c>
      <c r="E134" s="106">
        <v>4</v>
      </c>
      <c r="F134" s="107">
        <v>0.1</v>
      </c>
      <c r="G134" s="108">
        <v>0.1</v>
      </c>
      <c r="H134" s="109" t="s">
        <v>55</v>
      </c>
      <c r="I134" s="110">
        <v>3.9350000000000001</v>
      </c>
      <c r="J134" s="110">
        <v>3.9569999999999999</v>
      </c>
      <c r="K134" s="119">
        <v>3.95</v>
      </c>
      <c r="L134" s="111">
        <f t="shared" si="42"/>
        <v>-6.4999999999999947E-2</v>
      </c>
      <c r="M134" s="112">
        <f t="shared" si="43"/>
        <v>-4.3000000000000149E-2</v>
      </c>
      <c r="N134" s="112">
        <f t="shared" si="44"/>
        <v>-4.9999999999999822E-2</v>
      </c>
      <c r="O134" s="112">
        <f t="shared" si="45"/>
        <v>3.9473333333333329</v>
      </c>
      <c r="P134" s="113">
        <f t="shared" si="46"/>
        <v>0</v>
      </c>
      <c r="Q134" s="114">
        <f t="shared" si="47"/>
        <v>0.64999999999999947</v>
      </c>
      <c r="R134" s="115" t="str">
        <f t="shared" si="48"/>
        <v xml:space="preserve"> </v>
      </c>
      <c r="S134" s="115" t="str">
        <f t="shared" si="49"/>
        <v xml:space="preserve"> </v>
      </c>
      <c r="T134" s="116" t="str">
        <f t="shared" si="50"/>
        <v/>
      </c>
      <c r="U134" s="120"/>
      <c r="V134" s="118"/>
      <c r="W134" s="131"/>
    </row>
    <row r="135" spans="1:23" ht="13.2">
      <c r="A135" s="102" t="s">
        <v>178</v>
      </c>
      <c r="B135" s="102"/>
      <c r="C135" s="103">
        <v>3</v>
      </c>
      <c r="D135" s="105" t="s">
        <v>68</v>
      </c>
      <c r="E135" s="106">
        <v>4</v>
      </c>
      <c r="F135" s="107">
        <v>0.1</v>
      </c>
      <c r="G135" s="108">
        <v>0.1</v>
      </c>
      <c r="H135" s="109" t="s">
        <v>55</v>
      </c>
      <c r="I135" s="110">
        <v>3.976</v>
      </c>
      <c r="J135" s="110">
        <v>4.0369999999999999</v>
      </c>
      <c r="K135" s="119">
        <v>4.0199999999999996</v>
      </c>
      <c r="L135" s="111">
        <f t="shared" si="42"/>
        <v>-2.4000000000000021E-2</v>
      </c>
      <c r="M135" s="112">
        <f t="shared" si="43"/>
        <v>3.6999999999999922E-2</v>
      </c>
      <c r="N135" s="112">
        <f t="shared" si="44"/>
        <v>1.9999999999999574E-2</v>
      </c>
      <c r="O135" s="112">
        <f t="shared" si="45"/>
        <v>4.0110000000000001</v>
      </c>
      <c r="P135" s="113">
        <f t="shared" si="46"/>
        <v>0.36999999999999922</v>
      </c>
      <c r="Q135" s="114">
        <f t="shared" si="47"/>
        <v>0.24000000000000021</v>
      </c>
      <c r="R135" s="115" t="str">
        <f t="shared" si="48"/>
        <v xml:space="preserve"> </v>
      </c>
      <c r="S135" s="115" t="str">
        <f t="shared" si="49"/>
        <v xml:space="preserve"> </v>
      </c>
      <c r="T135" s="116" t="str">
        <f t="shared" si="50"/>
        <v/>
      </c>
      <c r="U135" s="120"/>
      <c r="V135" s="118"/>
      <c r="W135" s="131"/>
    </row>
    <row r="136" spans="1:23" ht="13.2">
      <c r="A136" s="102" t="s">
        <v>179</v>
      </c>
      <c r="B136" s="102"/>
      <c r="C136" s="103">
        <v>3</v>
      </c>
      <c r="D136" s="105" t="s">
        <v>68</v>
      </c>
      <c r="E136" s="106">
        <v>5</v>
      </c>
      <c r="F136" s="107">
        <v>0.1</v>
      </c>
      <c r="G136" s="108">
        <v>0.1</v>
      </c>
      <c r="H136" s="109" t="s">
        <v>55</v>
      </c>
      <c r="I136" s="110">
        <v>4.9930000000000003</v>
      </c>
      <c r="J136" s="110">
        <v>4.9930000000000003</v>
      </c>
      <c r="K136" s="119">
        <v>4.9930000000000003</v>
      </c>
      <c r="L136" s="111">
        <f t="shared" si="42"/>
        <v>-6.9999999999996732E-3</v>
      </c>
      <c r="M136" s="112">
        <f t="shared" si="43"/>
        <v>-6.9999999999996732E-3</v>
      </c>
      <c r="N136" s="112">
        <f t="shared" si="44"/>
        <v>-6.9999999999996732E-3</v>
      </c>
      <c r="O136" s="112">
        <f t="shared" si="45"/>
        <v>4.9930000000000003</v>
      </c>
      <c r="P136" s="113">
        <f t="shared" si="46"/>
        <v>0</v>
      </c>
      <c r="Q136" s="114">
        <f t="shared" si="47"/>
        <v>6.9999999999996732E-2</v>
      </c>
      <c r="R136" s="115" t="str">
        <f t="shared" si="48"/>
        <v xml:space="preserve"> </v>
      </c>
      <c r="S136" s="115" t="str">
        <f t="shared" si="49"/>
        <v xml:space="preserve"> </v>
      </c>
      <c r="T136" s="116" t="str">
        <f t="shared" si="50"/>
        <v/>
      </c>
      <c r="U136" s="120"/>
      <c r="V136" s="118"/>
      <c r="W136" s="131"/>
    </row>
    <row r="137" spans="1:23" ht="13.2">
      <c r="A137" s="102" t="s">
        <v>30</v>
      </c>
      <c r="B137" s="102"/>
      <c r="C137" s="103">
        <v>3</v>
      </c>
      <c r="D137" s="105" t="s">
        <v>68</v>
      </c>
      <c r="E137" s="106">
        <v>5</v>
      </c>
      <c r="F137" s="107">
        <v>0.1</v>
      </c>
      <c r="G137" s="108">
        <v>0.1</v>
      </c>
      <c r="H137" s="109" t="s">
        <v>55</v>
      </c>
      <c r="I137" s="110">
        <v>4.99</v>
      </c>
      <c r="J137" s="110">
        <v>4.9939999999999998</v>
      </c>
      <c r="K137" s="119">
        <v>5.0060000000000002</v>
      </c>
      <c r="L137" s="111">
        <f t="shared" si="42"/>
        <v>-9.9999999999997868E-3</v>
      </c>
      <c r="M137" s="112">
        <f t="shared" si="43"/>
        <v>-6.0000000000002274E-3</v>
      </c>
      <c r="N137" s="112">
        <f t="shared" si="44"/>
        <v>6.0000000000002274E-3</v>
      </c>
      <c r="O137" s="112">
        <f t="shared" si="45"/>
        <v>4.996666666666667</v>
      </c>
      <c r="P137" s="113">
        <f t="shared" si="46"/>
        <v>6.0000000000002274E-2</v>
      </c>
      <c r="Q137" s="114">
        <f t="shared" si="47"/>
        <v>9.9999999999997868E-2</v>
      </c>
      <c r="R137" s="115" t="str">
        <f t="shared" si="48"/>
        <v xml:space="preserve"> </v>
      </c>
      <c r="S137" s="115" t="str">
        <f t="shared" si="49"/>
        <v xml:space="preserve"> </v>
      </c>
      <c r="T137" s="116" t="str">
        <f t="shared" si="50"/>
        <v/>
      </c>
      <c r="U137" s="120"/>
      <c r="V137" s="118"/>
      <c r="W137" s="131"/>
    </row>
    <row r="138" spans="1:23" ht="13.2">
      <c r="A138" s="102" t="s">
        <v>180</v>
      </c>
      <c r="B138" s="102"/>
      <c r="C138" s="103">
        <v>3</v>
      </c>
      <c r="D138" s="105" t="s">
        <v>68</v>
      </c>
      <c r="E138" s="106">
        <v>5</v>
      </c>
      <c r="F138" s="107">
        <v>0.1</v>
      </c>
      <c r="G138" s="108">
        <v>0.1</v>
      </c>
      <c r="H138" s="109" t="s">
        <v>55</v>
      </c>
      <c r="I138" s="110">
        <v>4.9980000000000002</v>
      </c>
      <c r="J138" s="110">
        <v>5.0069999999999997</v>
      </c>
      <c r="K138" s="119">
        <v>5.0129999999999999</v>
      </c>
      <c r="L138" s="111">
        <f t="shared" si="42"/>
        <v>-1.9999999999997797E-3</v>
      </c>
      <c r="M138" s="112">
        <f t="shared" si="43"/>
        <v>6.9999999999996732E-3</v>
      </c>
      <c r="N138" s="112">
        <f t="shared" si="44"/>
        <v>1.2999999999999901E-2</v>
      </c>
      <c r="O138" s="112">
        <f t="shared" si="45"/>
        <v>5.0059999999999993</v>
      </c>
      <c r="P138" s="113">
        <f t="shared" si="46"/>
        <v>0.12999999999999901</v>
      </c>
      <c r="Q138" s="114">
        <f t="shared" si="47"/>
        <v>1.9999999999997797E-2</v>
      </c>
      <c r="R138" s="115" t="str">
        <f t="shared" si="48"/>
        <v xml:space="preserve"> </v>
      </c>
      <c r="S138" s="115" t="str">
        <f t="shared" si="49"/>
        <v xml:space="preserve"> </v>
      </c>
      <c r="T138" s="116" t="str">
        <f t="shared" si="50"/>
        <v/>
      </c>
      <c r="U138" s="120"/>
      <c r="V138" s="118"/>
      <c r="W138" s="131"/>
    </row>
    <row r="139" spans="1:23" ht="13.2">
      <c r="A139" s="102" t="s">
        <v>181</v>
      </c>
      <c r="B139" s="102"/>
      <c r="C139" s="103">
        <v>3</v>
      </c>
      <c r="D139" s="105" t="s">
        <v>68</v>
      </c>
      <c r="E139" s="106">
        <v>5</v>
      </c>
      <c r="F139" s="107">
        <v>0.1</v>
      </c>
      <c r="G139" s="108">
        <v>0.1</v>
      </c>
      <c r="H139" s="109" t="s">
        <v>55</v>
      </c>
      <c r="I139" s="110">
        <v>4.992</v>
      </c>
      <c r="J139" s="110">
        <v>5.0019999999999998</v>
      </c>
      <c r="K139" s="119">
        <v>5.0030000000000001</v>
      </c>
      <c r="L139" s="111">
        <f t="shared" si="42"/>
        <v>-8.0000000000000071E-3</v>
      </c>
      <c r="M139" s="112">
        <f t="shared" si="43"/>
        <v>1.9999999999997797E-3</v>
      </c>
      <c r="N139" s="112">
        <f t="shared" si="44"/>
        <v>3.0000000000001137E-3</v>
      </c>
      <c r="O139" s="112">
        <f t="shared" si="45"/>
        <v>4.9989999999999997</v>
      </c>
      <c r="P139" s="113">
        <f t="shared" si="46"/>
        <v>3.0000000000001137E-2</v>
      </c>
      <c r="Q139" s="114">
        <f t="shared" si="47"/>
        <v>8.0000000000000071E-2</v>
      </c>
      <c r="R139" s="115" t="str">
        <f t="shared" si="48"/>
        <v xml:space="preserve"> </v>
      </c>
      <c r="S139" s="115" t="str">
        <f t="shared" si="49"/>
        <v xml:space="preserve"> </v>
      </c>
      <c r="T139" s="116" t="str">
        <f t="shared" si="50"/>
        <v/>
      </c>
      <c r="U139" s="120"/>
      <c r="V139" s="118"/>
      <c r="W139" s="131"/>
    </row>
    <row r="140" spans="1:23" ht="13.2">
      <c r="A140" s="102" t="s">
        <v>182</v>
      </c>
      <c r="B140" s="102"/>
      <c r="C140" s="103">
        <v>3</v>
      </c>
      <c r="D140" s="105" t="s">
        <v>68</v>
      </c>
      <c r="E140" s="106">
        <v>5</v>
      </c>
      <c r="F140" s="107">
        <v>0.1</v>
      </c>
      <c r="G140" s="108">
        <v>0.1</v>
      </c>
      <c r="H140" s="109" t="s">
        <v>55</v>
      </c>
      <c r="I140" s="110">
        <v>4.9870000000000001</v>
      </c>
      <c r="J140" s="110">
        <v>5.0090000000000003</v>
      </c>
      <c r="K140" s="119">
        <v>4.992</v>
      </c>
      <c r="L140" s="111">
        <f t="shared" si="42"/>
        <v>-1.2999999999999901E-2</v>
      </c>
      <c r="M140" s="112">
        <f t="shared" si="43"/>
        <v>9.0000000000003411E-3</v>
      </c>
      <c r="N140" s="112">
        <f t="shared" si="44"/>
        <v>-8.0000000000000071E-3</v>
      </c>
      <c r="O140" s="112">
        <f t="shared" si="45"/>
        <v>4.9959999999999996</v>
      </c>
      <c r="P140" s="113">
        <f t="shared" si="46"/>
        <v>9.0000000000003411E-2</v>
      </c>
      <c r="Q140" s="114">
        <f t="shared" si="47"/>
        <v>0.12999999999999901</v>
      </c>
      <c r="R140" s="115" t="str">
        <f t="shared" si="48"/>
        <v xml:space="preserve"> </v>
      </c>
      <c r="S140" s="115" t="str">
        <f t="shared" si="49"/>
        <v xml:space="preserve"> </v>
      </c>
      <c r="T140" s="116" t="str">
        <f t="shared" si="50"/>
        <v/>
      </c>
      <c r="U140" s="120"/>
      <c r="V140" s="118"/>
      <c r="W140" s="131"/>
    </row>
    <row r="141" spans="1:23" ht="13.2">
      <c r="A141" s="102" t="s">
        <v>183</v>
      </c>
      <c r="B141" s="102"/>
      <c r="C141" s="103">
        <v>3</v>
      </c>
      <c r="D141" s="105" t="s">
        <v>68</v>
      </c>
      <c r="E141" s="106">
        <v>5</v>
      </c>
      <c r="F141" s="107">
        <v>0.1</v>
      </c>
      <c r="G141" s="108">
        <v>0.1</v>
      </c>
      <c r="H141" s="109" t="s">
        <v>55</v>
      </c>
      <c r="I141" s="110">
        <v>4.96</v>
      </c>
      <c r="J141" s="110">
        <v>4.97</v>
      </c>
      <c r="K141" s="119">
        <v>4.9560000000000004</v>
      </c>
      <c r="L141" s="111">
        <f t="shared" si="42"/>
        <v>-4.0000000000000036E-2</v>
      </c>
      <c r="M141" s="112">
        <f t="shared" si="43"/>
        <v>-3.0000000000000249E-2</v>
      </c>
      <c r="N141" s="112">
        <f t="shared" si="44"/>
        <v>-4.3999999999999595E-2</v>
      </c>
      <c r="O141" s="112">
        <f t="shared" si="45"/>
        <v>4.9619999999999997</v>
      </c>
      <c r="P141" s="113">
        <f t="shared" si="46"/>
        <v>0</v>
      </c>
      <c r="Q141" s="114">
        <f t="shared" si="47"/>
        <v>0.43999999999999595</v>
      </c>
      <c r="R141" s="115" t="str">
        <f t="shared" si="48"/>
        <v xml:space="preserve"> </v>
      </c>
      <c r="S141" s="115" t="str">
        <f t="shared" si="49"/>
        <v xml:space="preserve"> </v>
      </c>
      <c r="T141" s="116" t="str">
        <f t="shared" si="50"/>
        <v/>
      </c>
      <c r="U141" s="120"/>
      <c r="V141" s="118"/>
      <c r="W141" s="131"/>
    </row>
    <row r="142" spans="1:23" ht="13.2">
      <c r="A142" s="102" t="s">
        <v>184</v>
      </c>
      <c r="B142" s="102"/>
      <c r="C142" s="103">
        <v>3</v>
      </c>
      <c r="D142" s="105" t="s">
        <v>68</v>
      </c>
      <c r="E142" s="106">
        <v>5</v>
      </c>
      <c r="F142" s="107">
        <v>0.1</v>
      </c>
      <c r="G142" s="108">
        <v>0.1</v>
      </c>
      <c r="H142" s="109" t="s">
        <v>55</v>
      </c>
      <c r="I142" s="110">
        <v>4.984</v>
      </c>
      <c r="J142" s="110">
        <v>4.9950000000000001</v>
      </c>
      <c r="K142" s="119">
        <v>4.9980000000000002</v>
      </c>
      <c r="L142" s="111">
        <f t="shared" si="42"/>
        <v>-1.6000000000000014E-2</v>
      </c>
      <c r="M142" s="112">
        <f t="shared" si="43"/>
        <v>-4.9999999999998934E-3</v>
      </c>
      <c r="N142" s="112">
        <f t="shared" si="44"/>
        <v>-1.9999999999997797E-3</v>
      </c>
      <c r="O142" s="112">
        <f t="shared" si="45"/>
        <v>4.9923333333333337</v>
      </c>
      <c r="P142" s="113">
        <f t="shared" si="46"/>
        <v>0</v>
      </c>
      <c r="Q142" s="114">
        <f t="shared" si="47"/>
        <v>0.16000000000000014</v>
      </c>
      <c r="R142" s="115" t="str">
        <f t="shared" si="48"/>
        <v xml:space="preserve"> </v>
      </c>
      <c r="S142" s="115" t="str">
        <f t="shared" si="49"/>
        <v xml:space="preserve"> </v>
      </c>
      <c r="T142" s="116" t="str">
        <f t="shared" si="50"/>
        <v/>
      </c>
      <c r="U142" s="120"/>
      <c r="V142" s="118"/>
      <c r="W142" s="131"/>
    </row>
    <row r="143" spans="1:23" ht="13.2">
      <c r="A143" s="102" t="s">
        <v>185</v>
      </c>
      <c r="B143" s="102"/>
      <c r="C143" s="103">
        <v>3</v>
      </c>
      <c r="D143" s="105" t="s">
        <v>68</v>
      </c>
      <c r="E143" s="106">
        <v>5</v>
      </c>
      <c r="F143" s="107">
        <v>0.1</v>
      </c>
      <c r="G143" s="108">
        <v>0.1</v>
      </c>
      <c r="H143" s="109" t="s">
        <v>55</v>
      </c>
      <c r="I143" s="110">
        <v>4.9930000000000003</v>
      </c>
      <c r="J143" s="110">
        <v>5.0030000000000001</v>
      </c>
      <c r="K143" s="119">
        <v>4.99</v>
      </c>
      <c r="L143" s="111">
        <f t="shared" si="42"/>
        <v>-6.9999999999996732E-3</v>
      </c>
      <c r="M143" s="112">
        <f t="shared" si="43"/>
        <v>3.0000000000001137E-3</v>
      </c>
      <c r="N143" s="112">
        <f t="shared" si="44"/>
        <v>-9.9999999999997868E-3</v>
      </c>
      <c r="O143" s="112">
        <f t="shared" si="45"/>
        <v>4.9953333333333338</v>
      </c>
      <c r="P143" s="113">
        <f t="shared" si="46"/>
        <v>3.0000000000001137E-2</v>
      </c>
      <c r="Q143" s="114">
        <f t="shared" si="47"/>
        <v>9.9999999999997868E-2</v>
      </c>
      <c r="R143" s="115" t="str">
        <f t="shared" si="48"/>
        <v xml:space="preserve"> </v>
      </c>
      <c r="S143" s="115" t="str">
        <f t="shared" si="49"/>
        <v xml:space="preserve"> </v>
      </c>
      <c r="T143" s="116" t="str">
        <f t="shared" si="50"/>
        <v/>
      </c>
      <c r="U143" s="120"/>
      <c r="V143" s="118"/>
      <c r="W143" s="131"/>
    </row>
    <row r="144" spans="1:23" ht="13.2">
      <c r="A144" s="102" t="s">
        <v>186</v>
      </c>
      <c r="B144" s="102"/>
      <c r="C144" s="103">
        <v>3</v>
      </c>
      <c r="D144" s="105" t="s">
        <v>68</v>
      </c>
      <c r="E144" s="106">
        <v>5</v>
      </c>
      <c r="F144" s="107">
        <v>0.1</v>
      </c>
      <c r="G144" s="108">
        <v>0.1</v>
      </c>
      <c r="H144" s="109" t="s">
        <v>55</v>
      </c>
      <c r="I144" s="110">
        <v>4.9989999999999997</v>
      </c>
      <c r="J144" s="110">
        <v>4.9980000000000002</v>
      </c>
      <c r="K144" s="119">
        <v>4.9980000000000002</v>
      </c>
      <c r="L144" s="111">
        <f t="shared" si="42"/>
        <v>-1.000000000000334E-3</v>
      </c>
      <c r="M144" s="112">
        <f t="shared" si="43"/>
        <v>-1.9999999999997797E-3</v>
      </c>
      <c r="N144" s="112">
        <f t="shared" si="44"/>
        <v>-1.9999999999997797E-3</v>
      </c>
      <c r="O144" s="112">
        <f t="shared" si="45"/>
        <v>4.998333333333334</v>
      </c>
      <c r="P144" s="113">
        <f t="shared" si="46"/>
        <v>0</v>
      </c>
      <c r="Q144" s="114">
        <f t="shared" si="47"/>
        <v>1.9999999999997797E-2</v>
      </c>
      <c r="R144" s="115" t="str">
        <f t="shared" si="48"/>
        <v xml:space="preserve"> </v>
      </c>
      <c r="S144" s="115" t="str">
        <f t="shared" si="49"/>
        <v xml:space="preserve"> </v>
      </c>
      <c r="T144" s="116" t="str">
        <f t="shared" si="50"/>
        <v/>
      </c>
      <c r="U144" s="120"/>
      <c r="V144" s="118"/>
      <c r="W144" s="131"/>
    </row>
    <row r="145" spans="1:23" ht="13.2">
      <c r="A145" s="102" t="s">
        <v>187</v>
      </c>
      <c r="B145" s="102"/>
      <c r="C145" s="103">
        <v>3</v>
      </c>
      <c r="D145" s="105" t="s">
        <v>68</v>
      </c>
      <c r="E145" s="106">
        <v>5</v>
      </c>
      <c r="F145" s="107">
        <v>0.1</v>
      </c>
      <c r="G145" s="108">
        <v>0.1</v>
      </c>
      <c r="H145" s="109" t="s">
        <v>55</v>
      </c>
      <c r="I145" s="110">
        <v>4.9950000000000001</v>
      </c>
      <c r="J145" s="110">
        <v>5.01</v>
      </c>
      <c r="K145" s="119">
        <v>4.9989999999999997</v>
      </c>
      <c r="L145" s="111">
        <f t="shared" si="42"/>
        <v>-4.9999999999998934E-3</v>
      </c>
      <c r="M145" s="112">
        <f t="shared" si="43"/>
        <v>9.9999999999997868E-3</v>
      </c>
      <c r="N145" s="112">
        <f t="shared" si="44"/>
        <v>-1.000000000000334E-3</v>
      </c>
      <c r="O145" s="112">
        <f t="shared" si="45"/>
        <v>5.0013333333333323</v>
      </c>
      <c r="P145" s="113">
        <f t="shared" si="46"/>
        <v>9.9999999999997868E-2</v>
      </c>
      <c r="Q145" s="114">
        <f t="shared" si="47"/>
        <v>4.9999999999998934E-2</v>
      </c>
      <c r="R145" s="115" t="str">
        <f t="shared" si="48"/>
        <v xml:space="preserve"> </v>
      </c>
      <c r="S145" s="115" t="str">
        <f t="shared" si="49"/>
        <v xml:space="preserve"> </v>
      </c>
      <c r="T145" s="116" t="str">
        <f t="shared" si="50"/>
        <v/>
      </c>
      <c r="U145" s="120"/>
      <c r="V145" s="118"/>
      <c r="W145" s="131"/>
    </row>
    <row r="146" spans="1:23" ht="13.2">
      <c r="A146" s="102" t="s">
        <v>188</v>
      </c>
      <c r="B146" s="102"/>
      <c r="C146" s="103">
        <v>3</v>
      </c>
      <c r="D146" s="105" t="s">
        <v>68</v>
      </c>
      <c r="E146" s="106">
        <v>5</v>
      </c>
      <c r="F146" s="107">
        <v>0.1</v>
      </c>
      <c r="G146" s="108">
        <v>0.1</v>
      </c>
      <c r="H146" s="109" t="s">
        <v>55</v>
      </c>
      <c r="I146" s="110">
        <v>4.9829999999999997</v>
      </c>
      <c r="J146" s="110">
        <v>4.9960000000000004</v>
      </c>
      <c r="K146" s="119">
        <v>5</v>
      </c>
      <c r="L146" s="111">
        <f t="shared" si="42"/>
        <v>-1.7000000000000348E-2</v>
      </c>
      <c r="M146" s="112">
        <f t="shared" si="43"/>
        <v>-3.9999999999995595E-3</v>
      </c>
      <c r="N146" s="112">
        <f t="shared" si="44"/>
        <v>0</v>
      </c>
      <c r="O146" s="112">
        <f t="shared" si="45"/>
        <v>4.9929999999999994</v>
      </c>
      <c r="P146" s="113">
        <f t="shared" si="46"/>
        <v>0</v>
      </c>
      <c r="Q146" s="114">
        <f t="shared" si="47"/>
        <v>0.17000000000000348</v>
      </c>
      <c r="R146" s="115" t="str">
        <f t="shared" si="48"/>
        <v xml:space="preserve"> </v>
      </c>
      <c r="S146" s="115" t="str">
        <f t="shared" si="49"/>
        <v xml:space="preserve"> </v>
      </c>
      <c r="T146" s="116" t="str">
        <f t="shared" si="50"/>
        <v/>
      </c>
      <c r="U146" s="120"/>
      <c r="V146" s="118"/>
      <c r="W146" s="131"/>
    </row>
    <row r="147" spans="1:23" ht="13.2">
      <c r="A147" s="102" t="s">
        <v>189</v>
      </c>
      <c r="B147" s="103" t="s">
        <v>199</v>
      </c>
      <c r="C147" s="104">
        <v>3</v>
      </c>
      <c r="D147" s="105" t="s">
        <v>68</v>
      </c>
      <c r="E147" s="106">
        <v>10</v>
      </c>
      <c r="F147" s="107">
        <v>0.1</v>
      </c>
      <c r="G147" s="108">
        <v>0.1</v>
      </c>
      <c r="H147" s="121" t="s">
        <v>55</v>
      </c>
      <c r="I147" s="110">
        <v>9.9969999999999999</v>
      </c>
      <c r="J147" s="110">
        <v>10.003</v>
      </c>
      <c r="K147" s="119">
        <v>10.004</v>
      </c>
      <c r="L147" s="111">
        <f t="shared" ref="L147:L210" si="51">IF(ISBLANK($E147),"",IF(ISERR(I147/I147)=TRUE,"BAD INSP",I147-$E147))</f>
        <v>-3.0000000000001137E-3</v>
      </c>
      <c r="M147" s="112">
        <f t="shared" ref="M147:M210" si="52">IF(ISBLANK($E147),"",IF(ISERR(J147/J147)=TRUE,"BAD INSP",J147-$E147))</f>
        <v>3.0000000000001137E-3</v>
      </c>
      <c r="N147" s="112">
        <f t="shared" ref="N147:N210" si="53">IF(ISBLANK($E147),"",IF(ISERR(K147/K147)=TRUE,"BAD INSP",K147-$E147))</f>
        <v>3.9999999999995595E-3</v>
      </c>
      <c r="O147" s="112">
        <f t="shared" si="45"/>
        <v>10.001333333333333</v>
      </c>
      <c r="P147" s="113">
        <f t="shared" si="46"/>
        <v>3.9999999999995595E-2</v>
      </c>
      <c r="Q147" s="114">
        <f t="shared" si="47"/>
        <v>3.0000000000001137E-2</v>
      </c>
      <c r="R147" s="115" t="str">
        <f t="shared" si="48"/>
        <v xml:space="preserve"> </v>
      </c>
      <c r="S147" s="115" t="str">
        <f t="shared" si="49"/>
        <v xml:space="preserve"> </v>
      </c>
      <c r="T147" s="116" t="str">
        <f t="shared" si="50"/>
        <v/>
      </c>
      <c r="U147" s="120"/>
      <c r="V147" s="118"/>
      <c r="W147" s="131"/>
    </row>
    <row r="148" spans="1:23" ht="13.2">
      <c r="A148" s="102" t="s">
        <v>31</v>
      </c>
      <c r="B148" s="103" t="s">
        <v>199</v>
      </c>
      <c r="C148" s="104">
        <v>3</v>
      </c>
      <c r="D148" s="105" t="s">
        <v>68</v>
      </c>
      <c r="E148" s="106">
        <v>10</v>
      </c>
      <c r="F148" s="107">
        <v>0.1</v>
      </c>
      <c r="G148" s="108">
        <v>0.1</v>
      </c>
      <c r="H148" s="121" t="s">
        <v>55</v>
      </c>
      <c r="I148" s="110">
        <v>9.9990000000000006</v>
      </c>
      <c r="J148" s="110">
        <v>10.016</v>
      </c>
      <c r="K148" s="119">
        <v>10.015000000000001</v>
      </c>
      <c r="L148" s="111">
        <f t="shared" si="51"/>
        <v>-9.9999999999944578E-4</v>
      </c>
      <c r="M148" s="112">
        <f t="shared" si="52"/>
        <v>1.6000000000000014E-2</v>
      </c>
      <c r="N148" s="112">
        <f t="shared" si="53"/>
        <v>1.5000000000000568E-2</v>
      </c>
      <c r="O148" s="112">
        <f t="shared" si="45"/>
        <v>10.01</v>
      </c>
      <c r="P148" s="113">
        <f t="shared" si="46"/>
        <v>0.16000000000000014</v>
      </c>
      <c r="Q148" s="114">
        <f t="shared" si="47"/>
        <v>9.9999999999944578E-3</v>
      </c>
      <c r="R148" s="115" t="str">
        <f t="shared" si="48"/>
        <v xml:space="preserve"> </v>
      </c>
      <c r="S148" s="115" t="str">
        <f t="shared" si="49"/>
        <v xml:space="preserve"> </v>
      </c>
      <c r="T148" s="116" t="str">
        <f t="shared" si="50"/>
        <v/>
      </c>
      <c r="U148" s="120"/>
      <c r="V148" s="118"/>
      <c r="W148" s="131"/>
    </row>
    <row r="149" spans="1:23" ht="13.2">
      <c r="A149" s="102" t="s">
        <v>190</v>
      </c>
      <c r="B149" s="103" t="s">
        <v>199</v>
      </c>
      <c r="C149" s="104">
        <v>3</v>
      </c>
      <c r="D149" s="105" t="s">
        <v>68</v>
      </c>
      <c r="E149" s="106">
        <v>10</v>
      </c>
      <c r="F149" s="107">
        <v>0.1</v>
      </c>
      <c r="G149" s="108">
        <v>0.1</v>
      </c>
      <c r="H149" s="121" t="s">
        <v>55</v>
      </c>
      <c r="I149" s="110">
        <v>9.99</v>
      </c>
      <c r="J149" s="110">
        <v>10.006</v>
      </c>
      <c r="K149" s="119">
        <v>9.9979999999999993</v>
      </c>
      <c r="L149" s="111">
        <f t="shared" si="51"/>
        <v>-9.9999999999997868E-3</v>
      </c>
      <c r="M149" s="112">
        <f t="shared" si="52"/>
        <v>6.0000000000002274E-3</v>
      </c>
      <c r="N149" s="112">
        <f t="shared" si="53"/>
        <v>-2.0000000000006679E-3</v>
      </c>
      <c r="O149" s="112">
        <f t="shared" si="45"/>
        <v>9.9979999999999993</v>
      </c>
      <c r="P149" s="113">
        <f t="shared" si="46"/>
        <v>6.0000000000002274E-2</v>
      </c>
      <c r="Q149" s="114">
        <f t="shared" si="47"/>
        <v>9.9999999999997868E-2</v>
      </c>
      <c r="R149" s="115" t="str">
        <f t="shared" si="48"/>
        <v xml:space="preserve"> </v>
      </c>
      <c r="S149" s="115" t="str">
        <f t="shared" si="49"/>
        <v xml:space="preserve"> </v>
      </c>
      <c r="T149" s="116" t="str">
        <f t="shared" si="50"/>
        <v/>
      </c>
      <c r="U149" s="120"/>
      <c r="V149" s="118"/>
      <c r="W149" s="131"/>
    </row>
    <row r="150" spans="1:23" ht="13.2">
      <c r="A150" s="102" t="s">
        <v>191</v>
      </c>
      <c r="B150" s="103" t="s">
        <v>199</v>
      </c>
      <c r="C150" s="104">
        <v>3</v>
      </c>
      <c r="D150" s="105" t="s">
        <v>68</v>
      </c>
      <c r="E150" s="106">
        <v>10</v>
      </c>
      <c r="F150" s="107">
        <v>0.1</v>
      </c>
      <c r="G150" s="108">
        <v>0.1</v>
      </c>
      <c r="H150" s="121" t="s">
        <v>55</v>
      </c>
      <c r="I150" s="110">
        <v>9.9920000000000009</v>
      </c>
      <c r="J150" s="110">
        <v>10.018000000000001</v>
      </c>
      <c r="K150" s="119">
        <v>10.015000000000001</v>
      </c>
      <c r="L150" s="111">
        <f t="shared" si="51"/>
        <v>-7.9999999999991189E-3</v>
      </c>
      <c r="M150" s="112">
        <f t="shared" si="52"/>
        <v>1.8000000000000682E-2</v>
      </c>
      <c r="N150" s="112">
        <f t="shared" si="53"/>
        <v>1.5000000000000568E-2</v>
      </c>
      <c r="O150" s="112">
        <f t="shared" si="45"/>
        <v>10.008333333333335</v>
      </c>
      <c r="P150" s="113">
        <f t="shared" si="46"/>
        <v>0.18000000000000682</v>
      </c>
      <c r="Q150" s="114">
        <f t="shared" si="47"/>
        <v>7.9999999999991189E-2</v>
      </c>
      <c r="R150" s="115" t="str">
        <f t="shared" si="48"/>
        <v xml:space="preserve"> </v>
      </c>
      <c r="S150" s="115" t="str">
        <f t="shared" si="49"/>
        <v xml:space="preserve"> </v>
      </c>
      <c r="T150" s="116" t="str">
        <f t="shared" si="50"/>
        <v/>
      </c>
      <c r="U150" s="120"/>
      <c r="V150" s="118"/>
      <c r="W150" s="131"/>
    </row>
    <row r="151" spans="1:23" ht="13.2">
      <c r="A151" s="102" t="s">
        <v>192</v>
      </c>
      <c r="B151" s="103" t="s">
        <v>199</v>
      </c>
      <c r="C151" s="104">
        <v>3</v>
      </c>
      <c r="D151" s="105" t="s">
        <v>68</v>
      </c>
      <c r="E151" s="106">
        <v>10</v>
      </c>
      <c r="F151" s="107">
        <v>0.1</v>
      </c>
      <c r="G151" s="108">
        <v>0.1</v>
      </c>
      <c r="H151" s="121" t="s">
        <v>55</v>
      </c>
      <c r="I151" s="110">
        <v>10.013</v>
      </c>
      <c r="J151" s="110">
        <v>10.029999999999999</v>
      </c>
      <c r="K151" s="119">
        <v>10.032</v>
      </c>
      <c r="L151" s="111">
        <f t="shared" si="51"/>
        <v>1.2999999999999901E-2</v>
      </c>
      <c r="M151" s="112">
        <f t="shared" si="52"/>
        <v>2.9999999999999361E-2</v>
      </c>
      <c r="N151" s="112">
        <f t="shared" si="53"/>
        <v>3.2000000000000028E-2</v>
      </c>
      <c r="O151" s="112">
        <f t="shared" si="45"/>
        <v>10.025</v>
      </c>
      <c r="P151" s="113">
        <f t="shared" si="46"/>
        <v>0.32000000000000028</v>
      </c>
      <c r="Q151" s="114">
        <f t="shared" si="47"/>
        <v>0</v>
      </c>
      <c r="R151" s="115" t="str">
        <f t="shared" si="48"/>
        <v xml:space="preserve"> </v>
      </c>
      <c r="S151" s="115" t="str">
        <f t="shared" si="49"/>
        <v xml:space="preserve"> </v>
      </c>
      <c r="T151" s="116" t="str">
        <f t="shared" si="50"/>
        <v/>
      </c>
      <c r="U151" s="120"/>
      <c r="V151" s="118"/>
      <c r="W151" s="131"/>
    </row>
    <row r="152" spans="1:23" ht="13.2">
      <c r="A152" s="102" t="s">
        <v>193</v>
      </c>
      <c r="B152" s="103" t="s">
        <v>199</v>
      </c>
      <c r="C152" s="104">
        <v>3</v>
      </c>
      <c r="D152" s="105" t="s">
        <v>68</v>
      </c>
      <c r="E152" s="106">
        <v>10</v>
      </c>
      <c r="F152" s="107">
        <v>0.1</v>
      </c>
      <c r="G152" s="108">
        <v>0.1</v>
      </c>
      <c r="H152" s="121" t="s">
        <v>55</v>
      </c>
      <c r="I152" s="110">
        <v>9.968</v>
      </c>
      <c r="J152" s="110">
        <v>9.9819999999999993</v>
      </c>
      <c r="K152" s="119">
        <v>9.9670000000000005</v>
      </c>
      <c r="L152" s="111">
        <f t="shared" si="51"/>
        <v>-3.2000000000000028E-2</v>
      </c>
      <c r="M152" s="112">
        <f t="shared" si="52"/>
        <v>-1.8000000000000682E-2</v>
      </c>
      <c r="N152" s="112">
        <f t="shared" si="53"/>
        <v>-3.2999999999999474E-2</v>
      </c>
      <c r="O152" s="112">
        <f t="shared" si="45"/>
        <v>9.9723333333333333</v>
      </c>
      <c r="P152" s="113">
        <f t="shared" si="46"/>
        <v>0</v>
      </c>
      <c r="Q152" s="114">
        <f t="shared" si="47"/>
        <v>0.32999999999999474</v>
      </c>
      <c r="R152" s="115" t="str">
        <f t="shared" si="48"/>
        <v xml:space="preserve"> </v>
      </c>
      <c r="S152" s="115" t="str">
        <f t="shared" si="49"/>
        <v xml:space="preserve"> </v>
      </c>
      <c r="T152" s="116" t="str">
        <f t="shared" si="50"/>
        <v/>
      </c>
      <c r="U152" s="120"/>
      <c r="V152" s="118"/>
      <c r="W152" s="131"/>
    </row>
    <row r="153" spans="1:23" ht="13.2">
      <c r="A153" s="102" t="s">
        <v>194</v>
      </c>
      <c r="B153" s="103" t="s">
        <v>199</v>
      </c>
      <c r="C153" s="104">
        <v>3</v>
      </c>
      <c r="D153" s="105" t="s">
        <v>68</v>
      </c>
      <c r="E153" s="106">
        <v>10</v>
      </c>
      <c r="F153" s="107">
        <v>0.1</v>
      </c>
      <c r="G153" s="108">
        <v>0.1</v>
      </c>
      <c r="H153" s="121" t="s">
        <v>55</v>
      </c>
      <c r="I153" s="110">
        <v>9.9770000000000003</v>
      </c>
      <c r="J153" s="110">
        <v>10.006</v>
      </c>
      <c r="K153" s="119">
        <v>10.003</v>
      </c>
      <c r="L153" s="111">
        <f t="shared" si="51"/>
        <v>-2.2999999999999687E-2</v>
      </c>
      <c r="M153" s="112">
        <f t="shared" si="52"/>
        <v>6.0000000000002274E-3</v>
      </c>
      <c r="N153" s="112">
        <f t="shared" si="53"/>
        <v>3.0000000000001137E-3</v>
      </c>
      <c r="O153" s="112">
        <f t="shared" si="45"/>
        <v>9.995333333333333</v>
      </c>
      <c r="P153" s="113">
        <f t="shared" si="46"/>
        <v>6.0000000000002274E-2</v>
      </c>
      <c r="Q153" s="114">
        <f t="shared" si="47"/>
        <v>0.22999999999999687</v>
      </c>
      <c r="R153" s="115" t="str">
        <f t="shared" si="48"/>
        <v xml:space="preserve"> </v>
      </c>
      <c r="S153" s="115" t="str">
        <f t="shared" si="49"/>
        <v xml:space="preserve"> </v>
      </c>
      <c r="T153" s="116" t="str">
        <f t="shared" si="50"/>
        <v/>
      </c>
      <c r="U153" s="120"/>
      <c r="V153" s="118"/>
      <c r="W153" s="131"/>
    </row>
    <row r="154" spans="1:23" ht="13.2">
      <c r="A154" s="102" t="s">
        <v>195</v>
      </c>
      <c r="B154" s="103" t="s">
        <v>199</v>
      </c>
      <c r="C154" s="104">
        <v>3</v>
      </c>
      <c r="D154" s="105" t="s">
        <v>68</v>
      </c>
      <c r="E154" s="106">
        <v>10</v>
      </c>
      <c r="F154" s="107">
        <v>0.1</v>
      </c>
      <c r="G154" s="108">
        <v>0.1</v>
      </c>
      <c r="H154" s="121" t="s">
        <v>55</v>
      </c>
      <c r="I154" s="110">
        <v>9.9600000000000009</v>
      </c>
      <c r="J154" s="110">
        <v>10.004</v>
      </c>
      <c r="K154" s="119">
        <v>10.000999999999999</v>
      </c>
      <c r="L154" s="111">
        <f t="shared" si="51"/>
        <v>-3.9999999999999147E-2</v>
      </c>
      <c r="M154" s="112">
        <f t="shared" si="52"/>
        <v>3.9999999999995595E-3</v>
      </c>
      <c r="N154" s="112">
        <f t="shared" si="53"/>
        <v>9.9999999999944578E-4</v>
      </c>
      <c r="O154" s="112">
        <f t="shared" si="45"/>
        <v>9.9883333333333315</v>
      </c>
      <c r="P154" s="113">
        <f t="shared" si="46"/>
        <v>3.9999999999995595E-2</v>
      </c>
      <c r="Q154" s="114">
        <f t="shared" si="47"/>
        <v>0.39999999999999147</v>
      </c>
      <c r="R154" s="115" t="str">
        <f t="shared" si="48"/>
        <v xml:space="preserve"> </v>
      </c>
      <c r="S154" s="115" t="str">
        <f t="shared" si="49"/>
        <v xml:space="preserve"> </v>
      </c>
      <c r="T154" s="116" t="str">
        <f t="shared" si="50"/>
        <v/>
      </c>
      <c r="U154" s="120"/>
      <c r="V154" s="118"/>
      <c r="W154" s="131"/>
    </row>
    <row r="155" spans="1:23" ht="13.2">
      <c r="A155" s="102" t="s">
        <v>196</v>
      </c>
      <c r="B155" s="103" t="s">
        <v>199</v>
      </c>
      <c r="C155" s="104">
        <v>3</v>
      </c>
      <c r="D155" s="105" t="s">
        <v>68</v>
      </c>
      <c r="E155" s="106">
        <v>10</v>
      </c>
      <c r="F155" s="107">
        <v>0.1</v>
      </c>
      <c r="G155" s="108">
        <v>0.1</v>
      </c>
      <c r="H155" s="121" t="s">
        <v>55</v>
      </c>
      <c r="I155" s="110">
        <v>9.9879999999999995</v>
      </c>
      <c r="J155" s="110">
        <v>10.003</v>
      </c>
      <c r="K155" s="119">
        <v>10.007</v>
      </c>
      <c r="L155" s="111">
        <f t="shared" si="51"/>
        <v>-1.2000000000000455E-2</v>
      </c>
      <c r="M155" s="112">
        <f t="shared" si="52"/>
        <v>3.0000000000001137E-3</v>
      </c>
      <c r="N155" s="112">
        <f t="shared" si="53"/>
        <v>6.9999999999996732E-3</v>
      </c>
      <c r="O155" s="112">
        <f t="shared" si="45"/>
        <v>9.9993333333333325</v>
      </c>
      <c r="P155" s="113">
        <f t="shared" si="46"/>
        <v>6.9999999999996732E-2</v>
      </c>
      <c r="Q155" s="114">
        <f t="shared" si="47"/>
        <v>0.12000000000000455</v>
      </c>
      <c r="R155" s="115" t="str">
        <f t="shared" si="48"/>
        <v xml:space="preserve"> </v>
      </c>
      <c r="S155" s="115" t="str">
        <f t="shared" si="49"/>
        <v xml:space="preserve"> </v>
      </c>
      <c r="T155" s="116" t="str">
        <f t="shared" si="50"/>
        <v/>
      </c>
      <c r="U155" s="120"/>
      <c r="V155" s="118"/>
      <c r="W155" s="131"/>
    </row>
    <row r="156" spans="1:23" ht="13.2">
      <c r="A156" s="102" t="s">
        <v>197</v>
      </c>
      <c r="B156" s="103" t="s">
        <v>199</v>
      </c>
      <c r="C156" s="104">
        <v>3</v>
      </c>
      <c r="D156" s="105" t="s">
        <v>68</v>
      </c>
      <c r="E156" s="106">
        <v>10</v>
      </c>
      <c r="F156" s="107">
        <v>0.1</v>
      </c>
      <c r="G156" s="108">
        <v>0.1</v>
      </c>
      <c r="H156" s="121" t="s">
        <v>55</v>
      </c>
      <c r="I156" s="110">
        <v>9.9749999999999996</v>
      </c>
      <c r="J156" s="110">
        <v>9.9990000000000006</v>
      </c>
      <c r="K156" s="119">
        <v>10.005000000000001</v>
      </c>
      <c r="L156" s="111">
        <f t="shared" si="51"/>
        <v>-2.5000000000000355E-2</v>
      </c>
      <c r="M156" s="112">
        <f t="shared" si="52"/>
        <v>-9.9999999999944578E-4</v>
      </c>
      <c r="N156" s="112">
        <f t="shared" si="53"/>
        <v>5.0000000000007816E-3</v>
      </c>
      <c r="O156" s="112">
        <f t="shared" si="45"/>
        <v>9.9930000000000003</v>
      </c>
      <c r="P156" s="113">
        <f t="shared" si="46"/>
        <v>5.0000000000007816E-2</v>
      </c>
      <c r="Q156" s="114">
        <f t="shared" si="47"/>
        <v>0.25000000000000355</v>
      </c>
      <c r="R156" s="115" t="str">
        <f t="shared" si="48"/>
        <v xml:space="preserve"> </v>
      </c>
      <c r="S156" s="115" t="str">
        <f t="shared" si="49"/>
        <v xml:space="preserve"> </v>
      </c>
      <c r="T156" s="116" t="str">
        <f t="shared" si="50"/>
        <v/>
      </c>
      <c r="U156" s="120"/>
      <c r="V156" s="118"/>
      <c r="W156" s="131"/>
    </row>
    <row r="157" spans="1:23" ht="13.2">
      <c r="A157" s="102" t="s">
        <v>198</v>
      </c>
      <c r="B157" s="103" t="s">
        <v>199</v>
      </c>
      <c r="C157" s="104">
        <v>3</v>
      </c>
      <c r="D157" s="105" t="s">
        <v>68</v>
      </c>
      <c r="E157" s="106">
        <v>10</v>
      </c>
      <c r="F157" s="107">
        <v>0.1</v>
      </c>
      <c r="G157" s="108">
        <v>0.1</v>
      </c>
      <c r="H157" s="121" t="s">
        <v>55</v>
      </c>
      <c r="I157" s="110">
        <v>10.023</v>
      </c>
      <c r="J157" s="110">
        <v>10.044</v>
      </c>
      <c r="K157" s="119">
        <v>10.051</v>
      </c>
      <c r="L157" s="111">
        <f t="shared" si="51"/>
        <v>2.2999999999999687E-2</v>
      </c>
      <c r="M157" s="112">
        <f t="shared" si="52"/>
        <v>4.4000000000000483E-2</v>
      </c>
      <c r="N157" s="112">
        <f t="shared" si="53"/>
        <v>5.1000000000000156E-2</v>
      </c>
      <c r="O157" s="112">
        <f t="shared" si="45"/>
        <v>10.039333333333333</v>
      </c>
      <c r="P157" s="113">
        <f t="shared" si="46"/>
        <v>0.51000000000000156</v>
      </c>
      <c r="Q157" s="114">
        <f t="shared" si="47"/>
        <v>0</v>
      </c>
      <c r="R157" s="115" t="str">
        <f t="shared" si="48"/>
        <v xml:space="preserve"> </v>
      </c>
      <c r="S157" s="115" t="str">
        <f t="shared" si="49"/>
        <v xml:space="preserve"> </v>
      </c>
      <c r="T157" s="116" t="str">
        <f t="shared" si="50"/>
        <v/>
      </c>
      <c r="U157" s="120"/>
      <c r="V157" s="118"/>
      <c r="W157" s="131"/>
    </row>
    <row r="158" spans="1:23" ht="13.2">
      <c r="A158" s="102" t="s">
        <v>200</v>
      </c>
      <c r="B158" s="102"/>
      <c r="C158" s="104">
        <v>3</v>
      </c>
      <c r="D158" s="105" t="s">
        <v>68</v>
      </c>
      <c r="E158" s="106">
        <v>1</v>
      </c>
      <c r="F158" s="107">
        <v>0.03</v>
      </c>
      <c r="G158" s="108">
        <v>0.03</v>
      </c>
      <c r="H158" s="121" t="s">
        <v>55</v>
      </c>
      <c r="I158" s="110">
        <v>0.97499999999999998</v>
      </c>
      <c r="J158" s="110">
        <v>0.97699999999999998</v>
      </c>
      <c r="K158" s="119">
        <v>0.97299999999999998</v>
      </c>
      <c r="L158" s="111">
        <f t="shared" si="51"/>
        <v>-2.5000000000000022E-2</v>
      </c>
      <c r="M158" s="112">
        <f t="shared" si="52"/>
        <v>-2.300000000000002E-2</v>
      </c>
      <c r="N158" s="112">
        <f t="shared" si="53"/>
        <v>-2.7000000000000024E-2</v>
      </c>
      <c r="O158" s="112">
        <f t="shared" si="45"/>
        <v>0.97499999999999998</v>
      </c>
      <c r="P158" s="113">
        <f t="shared" si="46"/>
        <v>0</v>
      </c>
      <c r="Q158" s="114">
        <f t="shared" si="47"/>
        <v>0.9000000000000008</v>
      </c>
      <c r="R158" s="115" t="str">
        <f t="shared" si="48"/>
        <v xml:space="preserve"> </v>
      </c>
      <c r="S158" s="115" t="str">
        <f t="shared" si="49"/>
        <v>Alert</v>
      </c>
      <c r="T158" s="116" t="str">
        <f t="shared" si="50"/>
        <v>Alert</v>
      </c>
      <c r="U158" s="120"/>
      <c r="V158" s="118"/>
      <c r="W158" s="131"/>
    </row>
    <row r="159" spans="1:23" ht="13.2">
      <c r="A159" s="102" t="s">
        <v>32</v>
      </c>
      <c r="B159" s="102"/>
      <c r="C159" s="104">
        <v>3</v>
      </c>
      <c r="D159" s="105" t="s">
        <v>68</v>
      </c>
      <c r="E159" s="106">
        <v>1</v>
      </c>
      <c r="F159" s="107">
        <v>0.03</v>
      </c>
      <c r="G159" s="108">
        <v>0.03</v>
      </c>
      <c r="H159" s="121" t="s">
        <v>55</v>
      </c>
      <c r="I159" s="110">
        <v>0.997</v>
      </c>
      <c r="J159" s="110">
        <v>0.995</v>
      </c>
      <c r="K159" s="119">
        <v>0.999</v>
      </c>
      <c r="L159" s="111">
        <f t="shared" si="51"/>
        <v>-3.0000000000000027E-3</v>
      </c>
      <c r="M159" s="112">
        <f t="shared" si="52"/>
        <v>-5.0000000000000044E-3</v>
      </c>
      <c r="N159" s="112">
        <f t="shared" si="53"/>
        <v>-1.0000000000000009E-3</v>
      </c>
      <c r="O159" s="112">
        <f t="shared" si="45"/>
        <v>0.997</v>
      </c>
      <c r="P159" s="113">
        <f t="shared" si="46"/>
        <v>0</v>
      </c>
      <c r="Q159" s="114">
        <f t="shared" si="47"/>
        <v>0.16666666666666682</v>
      </c>
      <c r="R159" s="115" t="str">
        <f t="shared" si="48"/>
        <v xml:space="preserve"> </v>
      </c>
      <c r="S159" s="115" t="str">
        <f t="shared" si="49"/>
        <v xml:space="preserve"> </v>
      </c>
      <c r="T159" s="116" t="str">
        <f t="shared" si="50"/>
        <v/>
      </c>
      <c r="U159" s="120"/>
      <c r="V159" s="118"/>
      <c r="W159" s="131"/>
    </row>
    <row r="160" spans="1:23" ht="13.2">
      <c r="A160" s="102" t="s">
        <v>33</v>
      </c>
      <c r="B160" s="102"/>
      <c r="C160" s="104">
        <v>3</v>
      </c>
      <c r="D160" s="105" t="s">
        <v>68</v>
      </c>
      <c r="E160" s="106">
        <v>1</v>
      </c>
      <c r="F160" s="107">
        <v>0.03</v>
      </c>
      <c r="G160" s="108">
        <v>0.03</v>
      </c>
      <c r="H160" s="121" t="s">
        <v>55</v>
      </c>
      <c r="I160" s="110">
        <v>0.99299999999999999</v>
      </c>
      <c r="J160" s="110">
        <v>1.002</v>
      </c>
      <c r="K160" s="119">
        <v>1.0029999999999999</v>
      </c>
      <c r="L160" s="111">
        <f t="shared" si="51"/>
        <v>-7.0000000000000062E-3</v>
      </c>
      <c r="M160" s="112">
        <f t="shared" si="52"/>
        <v>2.0000000000000018E-3</v>
      </c>
      <c r="N160" s="112">
        <f t="shared" si="53"/>
        <v>2.9999999999998916E-3</v>
      </c>
      <c r="O160" s="112">
        <f t="shared" si="45"/>
        <v>0.99933333333333341</v>
      </c>
      <c r="P160" s="113">
        <f t="shared" si="46"/>
        <v>9.9999999999996397E-2</v>
      </c>
      <c r="Q160" s="114">
        <f t="shared" si="47"/>
        <v>0.23333333333333356</v>
      </c>
      <c r="R160" s="115" t="str">
        <f t="shared" si="48"/>
        <v xml:space="preserve"> </v>
      </c>
      <c r="S160" s="115" t="str">
        <f t="shared" si="49"/>
        <v xml:space="preserve"> </v>
      </c>
      <c r="T160" s="116" t="str">
        <f t="shared" si="50"/>
        <v/>
      </c>
      <c r="U160" s="120"/>
      <c r="V160" s="118"/>
      <c r="W160" s="131"/>
    </row>
    <row r="161" spans="1:23" ht="13.2">
      <c r="A161" s="102" t="s">
        <v>34</v>
      </c>
      <c r="B161" s="102"/>
      <c r="C161" s="104">
        <v>3</v>
      </c>
      <c r="D161" s="105" t="s">
        <v>68</v>
      </c>
      <c r="E161" s="106">
        <v>1</v>
      </c>
      <c r="F161" s="107">
        <v>0.03</v>
      </c>
      <c r="G161" s="108">
        <v>0.03</v>
      </c>
      <c r="H161" s="121" t="s">
        <v>55</v>
      </c>
      <c r="I161" s="110">
        <v>1.002</v>
      </c>
      <c r="J161" s="110">
        <v>1.008</v>
      </c>
      <c r="K161" s="119">
        <v>1.0009999999999999</v>
      </c>
      <c r="L161" s="111">
        <f t="shared" si="51"/>
        <v>2.0000000000000018E-3</v>
      </c>
      <c r="M161" s="112">
        <f t="shared" si="52"/>
        <v>8.0000000000000071E-3</v>
      </c>
      <c r="N161" s="112">
        <f t="shared" si="53"/>
        <v>9.9999999999988987E-4</v>
      </c>
      <c r="O161" s="112">
        <f t="shared" si="45"/>
        <v>1.0036666666666665</v>
      </c>
      <c r="P161" s="113">
        <f t="shared" si="46"/>
        <v>0.26666666666666694</v>
      </c>
      <c r="Q161" s="114">
        <f t="shared" si="47"/>
        <v>0</v>
      </c>
      <c r="R161" s="115" t="str">
        <f t="shared" si="48"/>
        <v xml:space="preserve"> </v>
      </c>
      <c r="S161" s="115" t="str">
        <f t="shared" si="49"/>
        <v xml:space="preserve"> </v>
      </c>
      <c r="T161" s="116" t="str">
        <f t="shared" si="50"/>
        <v/>
      </c>
      <c r="U161" s="120"/>
      <c r="V161" s="118"/>
      <c r="W161" s="131"/>
    </row>
    <row r="162" spans="1:23" ht="13.2">
      <c r="A162" s="102" t="s">
        <v>35</v>
      </c>
      <c r="B162" s="103"/>
      <c r="C162" s="104">
        <v>3</v>
      </c>
      <c r="D162" s="105" t="s">
        <v>68</v>
      </c>
      <c r="E162" s="106">
        <v>1</v>
      </c>
      <c r="F162" s="107">
        <v>0.03</v>
      </c>
      <c r="G162" s="108">
        <v>0.03</v>
      </c>
      <c r="H162" s="121" t="s">
        <v>55</v>
      </c>
      <c r="I162" s="110">
        <v>0.99199999999999999</v>
      </c>
      <c r="J162" s="110">
        <v>0.99399999999999999</v>
      </c>
      <c r="K162" s="119">
        <v>1.0029999999999999</v>
      </c>
      <c r="L162" s="111">
        <f t="shared" si="51"/>
        <v>-8.0000000000000071E-3</v>
      </c>
      <c r="M162" s="112">
        <f t="shared" si="52"/>
        <v>-6.0000000000000053E-3</v>
      </c>
      <c r="N162" s="112">
        <f t="shared" si="53"/>
        <v>2.9999999999998916E-3</v>
      </c>
      <c r="O162" s="112">
        <f t="shared" si="45"/>
        <v>0.99633333333333329</v>
      </c>
      <c r="P162" s="113">
        <f t="shared" si="46"/>
        <v>9.9999999999996397E-2</v>
      </c>
      <c r="Q162" s="114">
        <f t="shared" si="47"/>
        <v>0.26666666666666694</v>
      </c>
      <c r="R162" s="115" t="str">
        <f t="shared" si="48"/>
        <v xml:space="preserve"> </v>
      </c>
      <c r="S162" s="115" t="str">
        <f t="shared" si="49"/>
        <v xml:space="preserve"> </v>
      </c>
      <c r="T162" s="116" t="str">
        <f t="shared" si="50"/>
        <v/>
      </c>
      <c r="U162" s="120"/>
      <c r="V162" s="118"/>
      <c r="W162" s="131"/>
    </row>
    <row r="163" spans="1:23" ht="13.2">
      <c r="A163" s="102" t="s">
        <v>36</v>
      </c>
      <c r="B163" s="103"/>
      <c r="C163" s="104">
        <v>3</v>
      </c>
      <c r="D163" s="105" t="s">
        <v>68</v>
      </c>
      <c r="E163" s="106">
        <v>1</v>
      </c>
      <c r="F163" s="107">
        <v>0.03</v>
      </c>
      <c r="G163" s="108">
        <v>0.03</v>
      </c>
      <c r="H163" s="121" t="s">
        <v>55</v>
      </c>
      <c r="I163" s="110">
        <v>0.999</v>
      </c>
      <c r="J163" s="110">
        <v>1.01</v>
      </c>
      <c r="K163" s="119">
        <v>0.999</v>
      </c>
      <c r="L163" s="111">
        <f t="shared" si="51"/>
        <v>-1.0000000000000009E-3</v>
      </c>
      <c r="M163" s="112">
        <f t="shared" si="52"/>
        <v>1.0000000000000009E-2</v>
      </c>
      <c r="N163" s="112">
        <f t="shared" si="53"/>
        <v>-1.0000000000000009E-3</v>
      </c>
      <c r="O163" s="112">
        <f t="shared" si="45"/>
        <v>1.0026666666666666</v>
      </c>
      <c r="P163" s="113">
        <f t="shared" si="46"/>
        <v>0.33333333333333365</v>
      </c>
      <c r="Q163" s="114">
        <f t="shared" si="47"/>
        <v>3.3333333333333368E-2</v>
      </c>
      <c r="R163" s="115" t="str">
        <f t="shared" si="48"/>
        <v xml:space="preserve"> </v>
      </c>
      <c r="S163" s="115" t="str">
        <f t="shared" si="49"/>
        <v xml:space="preserve"> </v>
      </c>
      <c r="T163" s="116" t="str">
        <f t="shared" si="50"/>
        <v/>
      </c>
      <c r="U163" s="120"/>
      <c r="V163" s="118"/>
      <c r="W163" s="131"/>
    </row>
    <row r="164" spans="1:23" ht="13.2">
      <c r="A164" s="102" t="s">
        <v>37</v>
      </c>
      <c r="B164" s="103"/>
      <c r="C164" s="104">
        <v>3</v>
      </c>
      <c r="D164" s="105" t="s">
        <v>68</v>
      </c>
      <c r="E164" s="106">
        <v>1</v>
      </c>
      <c r="F164" s="107">
        <v>0.03</v>
      </c>
      <c r="G164" s="108">
        <v>0.03</v>
      </c>
      <c r="H164" s="121" t="s">
        <v>55</v>
      </c>
      <c r="I164" s="110">
        <v>0.99099999999999999</v>
      </c>
      <c r="J164" s="110">
        <v>1.002</v>
      </c>
      <c r="K164" s="119">
        <v>1.008</v>
      </c>
      <c r="L164" s="111">
        <f t="shared" si="51"/>
        <v>-9.000000000000008E-3</v>
      </c>
      <c r="M164" s="112">
        <f t="shared" si="52"/>
        <v>2.0000000000000018E-3</v>
      </c>
      <c r="N164" s="112">
        <f t="shared" si="53"/>
        <v>8.0000000000000071E-3</v>
      </c>
      <c r="O164" s="112">
        <f t="shared" si="45"/>
        <v>1.0003333333333333</v>
      </c>
      <c r="P164" s="113">
        <f t="shared" si="46"/>
        <v>0.26666666666666694</v>
      </c>
      <c r="Q164" s="114">
        <f t="shared" si="47"/>
        <v>0.30000000000000027</v>
      </c>
      <c r="R164" s="115" t="str">
        <f t="shared" si="48"/>
        <v xml:space="preserve"> </v>
      </c>
      <c r="S164" s="115" t="str">
        <f t="shared" si="49"/>
        <v xml:space="preserve"> </v>
      </c>
      <c r="T164" s="116" t="str">
        <f t="shared" si="50"/>
        <v/>
      </c>
      <c r="U164" s="120"/>
      <c r="V164" s="118"/>
      <c r="W164" s="131"/>
    </row>
    <row r="165" spans="1:23" ht="13.2">
      <c r="A165" s="102" t="s">
        <v>38</v>
      </c>
      <c r="B165" s="102"/>
      <c r="C165" s="104">
        <v>3</v>
      </c>
      <c r="D165" s="105" t="s">
        <v>68</v>
      </c>
      <c r="E165" s="106">
        <v>1</v>
      </c>
      <c r="F165" s="107">
        <v>0.03</v>
      </c>
      <c r="G165" s="108">
        <v>0.03</v>
      </c>
      <c r="H165" s="121" t="s">
        <v>55</v>
      </c>
      <c r="I165" s="110">
        <v>1.0009999999999999</v>
      </c>
      <c r="J165" s="110">
        <v>1.0009999999999999</v>
      </c>
      <c r="K165" s="119">
        <v>0.998</v>
      </c>
      <c r="L165" s="111">
        <f t="shared" si="51"/>
        <v>9.9999999999988987E-4</v>
      </c>
      <c r="M165" s="112">
        <f t="shared" si="52"/>
        <v>9.9999999999988987E-4</v>
      </c>
      <c r="N165" s="112">
        <f t="shared" si="53"/>
        <v>-2.0000000000000018E-3</v>
      </c>
      <c r="O165" s="112">
        <f t="shared" si="45"/>
        <v>1</v>
      </c>
      <c r="P165" s="113">
        <f t="shared" si="46"/>
        <v>3.3333333333329662E-2</v>
      </c>
      <c r="Q165" s="114">
        <f t="shared" si="47"/>
        <v>6.6666666666666735E-2</v>
      </c>
      <c r="R165" s="115" t="str">
        <f t="shared" si="48"/>
        <v xml:space="preserve"> </v>
      </c>
      <c r="S165" s="115" t="str">
        <f t="shared" si="49"/>
        <v xml:space="preserve"> </v>
      </c>
      <c r="T165" s="116" t="str">
        <f t="shared" si="50"/>
        <v/>
      </c>
      <c r="U165" s="120"/>
      <c r="V165" s="118"/>
      <c r="W165" s="131"/>
    </row>
    <row r="166" spans="1:23" ht="13.2">
      <c r="A166" s="102" t="s">
        <v>201</v>
      </c>
      <c r="B166" s="102"/>
      <c r="C166" s="104">
        <v>3</v>
      </c>
      <c r="D166" s="105" t="s">
        <v>68</v>
      </c>
      <c r="E166" s="106">
        <v>1</v>
      </c>
      <c r="F166" s="107">
        <v>0.03</v>
      </c>
      <c r="G166" s="108">
        <v>0.03</v>
      </c>
      <c r="H166" s="121" t="s">
        <v>55</v>
      </c>
      <c r="I166" s="110">
        <v>0.98299999999999998</v>
      </c>
      <c r="J166" s="110">
        <v>1.0009999999999999</v>
      </c>
      <c r="K166" s="119">
        <v>1.0029999999999999</v>
      </c>
      <c r="L166" s="111">
        <f t="shared" si="51"/>
        <v>-1.7000000000000015E-2</v>
      </c>
      <c r="M166" s="112">
        <f t="shared" si="52"/>
        <v>9.9999999999988987E-4</v>
      </c>
      <c r="N166" s="112">
        <f t="shared" si="53"/>
        <v>2.9999999999998916E-3</v>
      </c>
      <c r="O166" s="112">
        <f t="shared" si="45"/>
        <v>0.9956666666666667</v>
      </c>
      <c r="P166" s="113">
        <f t="shared" si="46"/>
        <v>9.9999999999996397E-2</v>
      </c>
      <c r="Q166" s="114">
        <f t="shared" si="47"/>
        <v>0.56666666666666721</v>
      </c>
      <c r="R166" s="115" t="str">
        <f t="shared" si="48"/>
        <v xml:space="preserve"> </v>
      </c>
      <c r="S166" s="115" t="str">
        <f t="shared" si="49"/>
        <v xml:space="preserve"> </v>
      </c>
      <c r="T166" s="116" t="str">
        <f t="shared" si="50"/>
        <v/>
      </c>
      <c r="U166" s="120"/>
      <c r="V166" s="118"/>
      <c r="W166" s="131"/>
    </row>
    <row r="167" spans="1:23" ht="13.2">
      <c r="A167" s="102" t="s">
        <v>202</v>
      </c>
      <c r="B167" s="102"/>
      <c r="C167" s="104">
        <v>3</v>
      </c>
      <c r="D167" s="105" t="s">
        <v>68</v>
      </c>
      <c r="E167" s="106">
        <v>1</v>
      </c>
      <c r="F167" s="107">
        <v>0.03</v>
      </c>
      <c r="G167" s="108">
        <v>0.03</v>
      </c>
      <c r="H167" s="121" t="s">
        <v>55</v>
      </c>
      <c r="I167" s="110">
        <v>0.98399999999999999</v>
      </c>
      <c r="J167" s="110">
        <v>1</v>
      </c>
      <c r="K167" s="119">
        <v>0.997</v>
      </c>
      <c r="L167" s="111">
        <f t="shared" si="51"/>
        <v>-1.6000000000000014E-2</v>
      </c>
      <c r="M167" s="112">
        <f t="shared" si="52"/>
        <v>0</v>
      </c>
      <c r="N167" s="112">
        <f t="shared" si="53"/>
        <v>-3.0000000000000027E-3</v>
      </c>
      <c r="O167" s="112">
        <f t="shared" si="45"/>
        <v>0.99366666666666659</v>
      </c>
      <c r="P167" s="113">
        <f t="shared" si="46"/>
        <v>0</v>
      </c>
      <c r="Q167" s="114">
        <f t="shared" si="47"/>
        <v>0.53333333333333388</v>
      </c>
      <c r="R167" s="115" t="str">
        <f t="shared" si="48"/>
        <v xml:space="preserve"> </v>
      </c>
      <c r="S167" s="115" t="str">
        <f t="shared" si="49"/>
        <v xml:space="preserve"> </v>
      </c>
      <c r="T167" s="116" t="str">
        <f t="shared" si="50"/>
        <v/>
      </c>
      <c r="U167" s="120"/>
      <c r="V167" s="118"/>
      <c r="W167" s="131"/>
    </row>
    <row r="168" spans="1:23" ht="13.2">
      <c r="A168" s="102" t="s">
        <v>203</v>
      </c>
      <c r="B168" s="102"/>
      <c r="C168" s="104">
        <v>3</v>
      </c>
      <c r="D168" s="105" t="s">
        <v>68</v>
      </c>
      <c r="E168" s="106">
        <v>1</v>
      </c>
      <c r="F168" s="107">
        <v>0.03</v>
      </c>
      <c r="G168" s="108">
        <v>0.03</v>
      </c>
      <c r="H168" s="121" t="s">
        <v>55</v>
      </c>
      <c r="I168" s="110">
        <v>0.98899999999999999</v>
      </c>
      <c r="J168" s="110">
        <v>1.004</v>
      </c>
      <c r="K168" s="119">
        <v>1.0109999999999999</v>
      </c>
      <c r="L168" s="111">
        <f t="shared" si="51"/>
        <v>-1.100000000000001E-2</v>
      </c>
      <c r="M168" s="112">
        <f t="shared" si="52"/>
        <v>4.0000000000000036E-3</v>
      </c>
      <c r="N168" s="112">
        <f t="shared" si="53"/>
        <v>1.0999999999999899E-2</v>
      </c>
      <c r="O168" s="112">
        <f t="shared" si="45"/>
        <v>1.0013333333333332</v>
      </c>
      <c r="P168" s="113">
        <f t="shared" si="46"/>
        <v>0.36666666666666331</v>
      </c>
      <c r="Q168" s="114">
        <f t="shared" si="47"/>
        <v>0.36666666666666703</v>
      </c>
      <c r="R168" s="115" t="str">
        <f t="shared" si="48"/>
        <v xml:space="preserve"> </v>
      </c>
      <c r="S168" s="115" t="str">
        <f t="shared" si="49"/>
        <v xml:space="preserve"> </v>
      </c>
      <c r="T168" s="116" t="str">
        <f t="shared" si="50"/>
        <v/>
      </c>
      <c r="U168" s="120"/>
      <c r="V168" s="118"/>
      <c r="W168" s="131"/>
    </row>
    <row r="169" spans="1:23" ht="13.2">
      <c r="A169" s="102" t="s">
        <v>204</v>
      </c>
      <c r="B169" s="102"/>
      <c r="C169" s="104">
        <v>3</v>
      </c>
      <c r="D169" s="105" t="s">
        <v>68</v>
      </c>
      <c r="E169" s="106">
        <v>1</v>
      </c>
      <c r="F169" s="107">
        <v>0.03</v>
      </c>
      <c r="G169" s="108">
        <v>0.03</v>
      </c>
      <c r="H169" s="121" t="s">
        <v>55</v>
      </c>
      <c r="I169" s="110">
        <v>1.0069999999999999</v>
      </c>
      <c r="J169" s="110">
        <v>1.008</v>
      </c>
      <c r="K169" s="119">
        <v>1.0089999999999999</v>
      </c>
      <c r="L169" s="111">
        <f t="shared" si="51"/>
        <v>6.9999999999998952E-3</v>
      </c>
      <c r="M169" s="112">
        <f t="shared" si="52"/>
        <v>8.0000000000000071E-3</v>
      </c>
      <c r="N169" s="112">
        <f t="shared" si="53"/>
        <v>8.999999999999897E-3</v>
      </c>
      <c r="O169" s="112">
        <f t="shared" si="45"/>
        <v>1.0079999999999998</v>
      </c>
      <c r="P169" s="113">
        <f t="shared" si="46"/>
        <v>0.2999999999999966</v>
      </c>
      <c r="Q169" s="114">
        <f t="shared" si="47"/>
        <v>0</v>
      </c>
      <c r="R169" s="115" t="str">
        <f t="shared" si="48"/>
        <v xml:space="preserve"> </v>
      </c>
      <c r="S169" s="115" t="str">
        <f t="shared" si="49"/>
        <v xml:space="preserve"> </v>
      </c>
      <c r="T169" s="116" t="str">
        <f t="shared" si="50"/>
        <v/>
      </c>
      <c r="U169" s="120"/>
      <c r="V169" s="118"/>
      <c r="W169" s="131"/>
    </row>
    <row r="170" spans="1:23" ht="13.2">
      <c r="A170" s="102" t="s">
        <v>205</v>
      </c>
      <c r="B170" s="102"/>
      <c r="C170" s="104">
        <v>3</v>
      </c>
      <c r="D170" s="105" t="s">
        <v>68</v>
      </c>
      <c r="E170" s="106">
        <v>1</v>
      </c>
      <c r="F170" s="107">
        <v>0.03</v>
      </c>
      <c r="G170" s="108">
        <v>0.03</v>
      </c>
      <c r="H170" s="121" t="s">
        <v>55</v>
      </c>
      <c r="I170" s="110">
        <v>0.98699999999999999</v>
      </c>
      <c r="J170" s="110">
        <v>1.006</v>
      </c>
      <c r="K170" s="119">
        <v>1.002</v>
      </c>
      <c r="L170" s="111">
        <f t="shared" si="51"/>
        <v>-1.3000000000000012E-2</v>
      </c>
      <c r="M170" s="112">
        <f t="shared" si="52"/>
        <v>6.0000000000000053E-3</v>
      </c>
      <c r="N170" s="112">
        <f t="shared" si="53"/>
        <v>2.0000000000000018E-3</v>
      </c>
      <c r="O170" s="112">
        <f t="shared" si="45"/>
        <v>0.99833333333333341</v>
      </c>
      <c r="P170" s="113">
        <f t="shared" si="46"/>
        <v>0.20000000000000018</v>
      </c>
      <c r="Q170" s="114">
        <f t="shared" si="47"/>
        <v>0.43333333333333374</v>
      </c>
      <c r="R170" s="115" t="str">
        <f t="shared" si="48"/>
        <v xml:space="preserve"> </v>
      </c>
      <c r="S170" s="115" t="str">
        <f t="shared" si="49"/>
        <v xml:space="preserve"> </v>
      </c>
      <c r="T170" s="116" t="str">
        <f t="shared" si="50"/>
        <v/>
      </c>
      <c r="U170" s="120"/>
      <c r="V170" s="118"/>
      <c r="W170" s="131"/>
    </row>
    <row r="171" spans="1:23" ht="13.2">
      <c r="A171" s="102" t="s">
        <v>206</v>
      </c>
      <c r="B171" s="102"/>
      <c r="C171" s="104">
        <v>3</v>
      </c>
      <c r="D171" s="105" t="s">
        <v>68</v>
      </c>
      <c r="E171" s="106">
        <v>1</v>
      </c>
      <c r="F171" s="107">
        <v>0.03</v>
      </c>
      <c r="G171" s="108">
        <v>0.03</v>
      </c>
      <c r="H171" s="121" t="s">
        <v>55</v>
      </c>
      <c r="I171" s="110">
        <v>0.997</v>
      </c>
      <c r="J171" s="110">
        <v>0.996</v>
      </c>
      <c r="K171" s="119">
        <v>0.998</v>
      </c>
      <c r="L171" s="111">
        <f t="shared" si="51"/>
        <v>-3.0000000000000027E-3</v>
      </c>
      <c r="M171" s="112">
        <f t="shared" si="52"/>
        <v>-4.0000000000000036E-3</v>
      </c>
      <c r="N171" s="112">
        <f t="shared" si="53"/>
        <v>-2.0000000000000018E-3</v>
      </c>
      <c r="O171" s="112">
        <f t="shared" si="45"/>
        <v>0.99699999999999989</v>
      </c>
      <c r="P171" s="113">
        <f t="shared" si="46"/>
        <v>0</v>
      </c>
      <c r="Q171" s="114">
        <f t="shared" si="47"/>
        <v>0.13333333333333347</v>
      </c>
      <c r="R171" s="115" t="str">
        <f t="shared" si="48"/>
        <v xml:space="preserve"> </v>
      </c>
      <c r="S171" s="115" t="str">
        <f t="shared" si="49"/>
        <v xml:space="preserve"> </v>
      </c>
      <c r="T171" s="116" t="str">
        <f t="shared" si="50"/>
        <v/>
      </c>
      <c r="U171" s="120"/>
      <c r="V171" s="118"/>
      <c r="W171" s="131"/>
    </row>
    <row r="172" spans="1:23" ht="13.2">
      <c r="A172" s="102" t="s">
        <v>207</v>
      </c>
      <c r="B172" s="102"/>
      <c r="C172" s="104">
        <v>3</v>
      </c>
      <c r="D172" s="105" t="s">
        <v>68</v>
      </c>
      <c r="E172" s="106">
        <v>1</v>
      </c>
      <c r="F172" s="107">
        <v>0.03</v>
      </c>
      <c r="G172" s="108">
        <v>0.03</v>
      </c>
      <c r="H172" s="121" t="s">
        <v>55</v>
      </c>
      <c r="I172" s="110">
        <v>0.997</v>
      </c>
      <c r="J172" s="110">
        <v>0.997</v>
      </c>
      <c r="K172" s="119">
        <v>0.998</v>
      </c>
      <c r="L172" s="111">
        <f t="shared" si="51"/>
        <v>-3.0000000000000027E-3</v>
      </c>
      <c r="M172" s="112">
        <f t="shared" si="52"/>
        <v>-3.0000000000000027E-3</v>
      </c>
      <c r="N172" s="112">
        <f t="shared" si="53"/>
        <v>-2.0000000000000018E-3</v>
      </c>
      <c r="O172" s="112">
        <f t="shared" si="45"/>
        <v>0.99733333333333329</v>
      </c>
      <c r="P172" s="113">
        <f t="shared" si="46"/>
        <v>0</v>
      </c>
      <c r="Q172" s="114">
        <f t="shared" si="47"/>
        <v>0.10000000000000009</v>
      </c>
      <c r="R172" s="115" t="str">
        <f t="shared" si="48"/>
        <v xml:space="preserve"> </v>
      </c>
      <c r="S172" s="115" t="str">
        <f t="shared" si="49"/>
        <v xml:space="preserve"> </v>
      </c>
      <c r="T172" s="116" t="str">
        <f t="shared" si="50"/>
        <v/>
      </c>
      <c r="U172" s="120"/>
      <c r="V172" s="118"/>
      <c r="W172" s="131"/>
    </row>
    <row r="173" spans="1:23" ht="13.2">
      <c r="A173" s="102" t="s">
        <v>208</v>
      </c>
      <c r="B173" s="102"/>
      <c r="C173" s="104">
        <v>3</v>
      </c>
      <c r="D173" s="105" t="s">
        <v>68</v>
      </c>
      <c r="E173" s="106">
        <v>1</v>
      </c>
      <c r="F173" s="107">
        <v>0.03</v>
      </c>
      <c r="G173" s="108">
        <v>0.03</v>
      </c>
      <c r="H173" s="121" t="s">
        <v>55</v>
      </c>
      <c r="I173" s="110">
        <v>0.97599999999999998</v>
      </c>
      <c r="J173" s="110">
        <v>0.998</v>
      </c>
      <c r="K173" s="119">
        <v>1.004</v>
      </c>
      <c r="L173" s="111">
        <f t="shared" si="51"/>
        <v>-2.4000000000000021E-2</v>
      </c>
      <c r="M173" s="112">
        <f t="shared" si="52"/>
        <v>-2.0000000000000018E-3</v>
      </c>
      <c r="N173" s="112">
        <f t="shared" si="53"/>
        <v>4.0000000000000036E-3</v>
      </c>
      <c r="O173" s="112">
        <f t="shared" si="45"/>
        <v>0.99266666666666659</v>
      </c>
      <c r="P173" s="113">
        <f t="shared" si="46"/>
        <v>0.13333333333333347</v>
      </c>
      <c r="Q173" s="114">
        <f t="shared" si="47"/>
        <v>0.80000000000000071</v>
      </c>
      <c r="R173" s="115" t="str">
        <f t="shared" si="48"/>
        <v xml:space="preserve"> </v>
      </c>
      <c r="S173" s="115" t="str">
        <f t="shared" si="49"/>
        <v>Alert</v>
      </c>
      <c r="T173" s="116" t="str">
        <f t="shared" si="50"/>
        <v>Alert</v>
      </c>
      <c r="U173" s="120"/>
      <c r="V173" s="118"/>
      <c r="W173" s="131"/>
    </row>
    <row r="174" spans="1:23" ht="13.2">
      <c r="A174" s="102" t="s">
        <v>209</v>
      </c>
      <c r="B174" s="102"/>
      <c r="C174" s="104">
        <v>3</v>
      </c>
      <c r="D174" s="105" t="s">
        <v>68</v>
      </c>
      <c r="E174" s="106">
        <v>1</v>
      </c>
      <c r="F174" s="107">
        <v>0.03</v>
      </c>
      <c r="G174" s="108">
        <v>0.03</v>
      </c>
      <c r="H174" s="121" t="s">
        <v>55</v>
      </c>
      <c r="I174" s="110">
        <v>1.024</v>
      </c>
      <c r="J174" s="110">
        <v>1.0009999999999999</v>
      </c>
      <c r="K174" s="119">
        <v>1.0049999999999999</v>
      </c>
      <c r="L174" s="111">
        <f t="shared" si="51"/>
        <v>2.4000000000000021E-2</v>
      </c>
      <c r="M174" s="112">
        <f t="shared" si="52"/>
        <v>9.9999999999988987E-4</v>
      </c>
      <c r="N174" s="112">
        <f t="shared" si="53"/>
        <v>4.9999999999998934E-3</v>
      </c>
      <c r="O174" s="112">
        <f t="shared" si="45"/>
        <v>1.01</v>
      </c>
      <c r="P174" s="113">
        <f t="shared" si="46"/>
        <v>0.80000000000000071</v>
      </c>
      <c r="Q174" s="114">
        <f t="shared" si="47"/>
        <v>0</v>
      </c>
      <c r="R174" s="115" t="str">
        <f t="shared" si="48"/>
        <v>Alert</v>
      </c>
      <c r="S174" s="115" t="str">
        <f t="shared" si="49"/>
        <v xml:space="preserve"> </v>
      </c>
      <c r="T174" s="116" t="str">
        <f t="shared" si="50"/>
        <v>Alert</v>
      </c>
      <c r="U174" s="120"/>
      <c r="V174" s="118"/>
      <c r="W174" s="131"/>
    </row>
    <row r="175" spans="1:23" ht="13.2">
      <c r="A175" s="102" t="s">
        <v>210</v>
      </c>
      <c r="B175" s="102"/>
      <c r="C175" s="104">
        <v>3</v>
      </c>
      <c r="D175" s="105" t="s">
        <v>68</v>
      </c>
      <c r="E175" s="106">
        <v>1</v>
      </c>
      <c r="F175" s="107">
        <v>0.03</v>
      </c>
      <c r="G175" s="108">
        <v>0.03</v>
      </c>
      <c r="H175" s="121" t="s">
        <v>55</v>
      </c>
      <c r="I175" s="110">
        <v>0.97799999999999998</v>
      </c>
      <c r="J175" s="110">
        <v>0.999</v>
      </c>
      <c r="K175" s="119">
        <v>1.004</v>
      </c>
      <c r="L175" s="111">
        <f t="shared" si="51"/>
        <v>-2.200000000000002E-2</v>
      </c>
      <c r="M175" s="112">
        <f t="shared" si="52"/>
        <v>-1.0000000000000009E-3</v>
      </c>
      <c r="N175" s="112">
        <f t="shared" si="53"/>
        <v>4.0000000000000036E-3</v>
      </c>
      <c r="O175" s="112">
        <f t="shared" si="45"/>
        <v>0.99366666666666659</v>
      </c>
      <c r="P175" s="113">
        <f t="shared" si="46"/>
        <v>0.13333333333333347</v>
      </c>
      <c r="Q175" s="114">
        <f t="shared" si="47"/>
        <v>0.73333333333333406</v>
      </c>
      <c r="R175" s="115" t="str">
        <f t="shared" si="48"/>
        <v xml:space="preserve"> </v>
      </c>
      <c r="S175" s="115" t="str">
        <f t="shared" si="49"/>
        <v>Alert</v>
      </c>
      <c r="T175" s="116" t="str">
        <f t="shared" si="50"/>
        <v>Alert</v>
      </c>
      <c r="U175" s="120"/>
      <c r="V175" s="118"/>
      <c r="W175" s="131"/>
    </row>
    <row r="176" spans="1:23" ht="13.2">
      <c r="A176" s="102" t="s">
        <v>211</v>
      </c>
      <c r="B176" s="102"/>
      <c r="C176" s="104">
        <v>3</v>
      </c>
      <c r="D176" s="105" t="s">
        <v>68</v>
      </c>
      <c r="E176" s="106">
        <v>1</v>
      </c>
      <c r="F176" s="107">
        <v>0.03</v>
      </c>
      <c r="G176" s="108">
        <v>0.03</v>
      </c>
      <c r="H176" s="121" t="s">
        <v>55</v>
      </c>
      <c r="I176" s="110">
        <v>1.0029999999999999</v>
      </c>
      <c r="J176" s="110">
        <v>1.0069999999999999</v>
      </c>
      <c r="K176" s="119">
        <v>1.008</v>
      </c>
      <c r="L176" s="111">
        <f t="shared" si="51"/>
        <v>2.9999999999998916E-3</v>
      </c>
      <c r="M176" s="112">
        <f t="shared" si="52"/>
        <v>6.9999999999998952E-3</v>
      </c>
      <c r="N176" s="112">
        <f t="shared" si="53"/>
        <v>8.0000000000000071E-3</v>
      </c>
      <c r="O176" s="112">
        <f t="shared" si="45"/>
        <v>1.006</v>
      </c>
      <c r="P176" s="113">
        <f t="shared" si="46"/>
        <v>0.26666666666666694</v>
      </c>
      <c r="Q176" s="114">
        <f t="shared" si="47"/>
        <v>0</v>
      </c>
      <c r="R176" s="115" t="str">
        <f t="shared" si="48"/>
        <v xml:space="preserve"> </v>
      </c>
      <c r="S176" s="115" t="str">
        <f t="shared" si="49"/>
        <v xml:space="preserve"> </v>
      </c>
      <c r="T176" s="116" t="str">
        <f t="shared" si="50"/>
        <v/>
      </c>
      <c r="U176" s="120"/>
      <c r="V176" s="118"/>
      <c r="W176" s="131"/>
    </row>
    <row r="177" spans="1:23" ht="13.2">
      <c r="A177" s="102" t="s">
        <v>212</v>
      </c>
      <c r="B177" s="103"/>
      <c r="C177" s="104">
        <v>3</v>
      </c>
      <c r="D177" s="105" t="s">
        <v>68</v>
      </c>
      <c r="E177" s="106">
        <v>1</v>
      </c>
      <c r="F177" s="107">
        <v>0.03</v>
      </c>
      <c r="G177" s="108">
        <v>0.03</v>
      </c>
      <c r="H177" s="121" t="s">
        <v>55</v>
      </c>
      <c r="I177" s="110">
        <v>0.98099999999999998</v>
      </c>
      <c r="J177" s="110">
        <v>0.99299999999999999</v>
      </c>
      <c r="K177" s="119">
        <v>1.0009999999999999</v>
      </c>
      <c r="L177" s="111">
        <f t="shared" si="51"/>
        <v>-1.9000000000000017E-2</v>
      </c>
      <c r="M177" s="112">
        <f t="shared" si="52"/>
        <v>-7.0000000000000062E-3</v>
      </c>
      <c r="N177" s="112">
        <f t="shared" si="53"/>
        <v>9.9999999999988987E-4</v>
      </c>
      <c r="O177" s="112">
        <f t="shared" si="45"/>
        <v>0.99166666666666659</v>
      </c>
      <c r="P177" s="113">
        <f t="shared" si="46"/>
        <v>3.3333333333329662E-2</v>
      </c>
      <c r="Q177" s="114">
        <f t="shared" si="47"/>
        <v>0.63333333333333397</v>
      </c>
      <c r="R177" s="115" t="str">
        <f t="shared" si="48"/>
        <v xml:space="preserve"> </v>
      </c>
      <c r="S177" s="115" t="str">
        <f t="shared" si="49"/>
        <v xml:space="preserve"> </v>
      </c>
      <c r="T177" s="116" t="str">
        <f t="shared" si="50"/>
        <v/>
      </c>
      <c r="U177" s="120"/>
      <c r="V177" s="118"/>
      <c r="W177" s="131"/>
    </row>
    <row r="178" spans="1:23" ht="13.2">
      <c r="A178" s="102" t="s">
        <v>213</v>
      </c>
      <c r="B178" s="103"/>
      <c r="C178" s="104">
        <v>3</v>
      </c>
      <c r="D178" s="105" t="s">
        <v>68</v>
      </c>
      <c r="E178" s="106">
        <v>1</v>
      </c>
      <c r="F178" s="107">
        <v>0.03</v>
      </c>
      <c r="G178" s="108">
        <v>0.03</v>
      </c>
      <c r="H178" s="121" t="s">
        <v>55</v>
      </c>
      <c r="I178" s="110">
        <v>0.98899999999999999</v>
      </c>
      <c r="J178" s="110">
        <v>1.0069999999999999</v>
      </c>
      <c r="K178" s="119">
        <v>0.998</v>
      </c>
      <c r="L178" s="111">
        <f t="shared" si="51"/>
        <v>-1.100000000000001E-2</v>
      </c>
      <c r="M178" s="112">
        <f t="shared" si="52"/>
        <v>6.9999999999998952E-3</v>
      </c>
      <c r="N178" s="112">
        <f t="shared" si="53"/>
        <v>-2.0000000000000018E-3</v>
      </c>
      <c r="O178" s="112">
        <f t="shared" si="45"/>
        <v>0.99799999999999989</v>
      </c>
      <c r="P178" s="113">
        <f t="shared" si="46"/>
        <v>0.23333333333332984</v>
      </c>
      <c r="Q178" s="114">
        <f t="shared" si="47"/>
        <v>0.36666666666666703</v>
      </c>
      <c r="R178" s="115" t="str">
        <f t="shared" si="48"/>
        <v xml:space="preserve"> </v>
      </c>
      <c r="S178" s="115" t="str">
        <f t="shared" si="49"/>
        <v xml:space="preserve"> </v>
      </c>
      <c r="T178" s="116" t="str">
        <f t="shared" si="50"/>
        <v/>
      </c>
      <c r="U178" s="120"/>
      <c r="V178" s="118"/>
      <c r="W178" s="131"/>
    </row>
    <row r="179" spans="1:23" ht="13.2">
      <c r="A179" s="102" t="s">
        <v>214</v>
      </c>
      <c r="B179" s="103"/>
      <c r="C179" s="104">
        <v>3</v>
      </c>
      <c r="D179" s="105" t="s">
        <v>68</v>
      </c>
      <c r="E179" s="106">
        <v>1</v>
      </c>
      <c r="F179" s="107">
        <v>0.03</v>
      </c>
      <c r="G179" s="108">
        <v>0.03</v>
      </c>
      <c r="H179" s="121" t="s">
        <v>55</v>
      </c>
      <c r="I179" s="110">
        <v>0.995</v>
      </c>
      <c r="J179" s="110">
        <v>0.996</v>
      </c>
      <c r="K179" s="119">
        <v>1.0049999999999999</v>
      </c>
      <c r="L179" s="111">
        <f t="shared" si="51"/>
        <v>-5.0000000000000044E-3</v>
      </c>
      <c r="M179" s="112">
        <f t="shared" si="52"/>
        <v>-4.0000000000000036E-3</v>
      </c>
      <c r="N179" s="112">
        <f t="shared" si="53"/>
        <v>4.9999999999998934E-3</v>
      </c>
      <c r="O179" s="112">
        <f t="shared" si="45"/>
        <v>0.9986666666666667</v>
      </c>
      <c r="P179" s="113">
        <f t="shared" si="46"/>
        <v>0.16666666666666313</v>
      </c>
      <c r="Q179" s="114">
        <f t="shared" si="47"/>
        <v>0.16666666666666682</v>
      </c>
      <c r="R179" s="115" t="str">
        <f t="shared" si="48"/>
        <v xml:space="preserve"> </v>
      </c>
      <c r="S179" s="115" t="str">
        <f t="shared" si="49"/>
        <v xml:space="preserve"> </v>
      </c>
      <c r="T179" s="116" t="str">
        <f t="shared" si="50"/>
        <v/>
      </c>
      <c r="U179" s="120"/>
      <c r="V179" s="118"/>
      <c r="W179" s="131"/>
    </row>
    <row r="180" spans="1:23" ht="13.2">
      <c r="A180" s="102" t="s">
        <v>215</v>
      </c>
      <c r="B180" s="102"/>
      <c r="C180" s="104">
        <v>3</v>
      </c>
      <c r="D180" s="105" t="s">
        <v>68</v>
      </c>
      <c r="E180" s="106">
        <v>1</v>
      </c>
      <c r="F180" s="107">
        <v>0.03</v>
      </c>
      <c r="G180" s="108">
        <v>0.03</v>
      </c>
      <c r="H180" s="121" t="s">
        <v>55</v>
      </c>
      <c r="I180" s="110">
        <v>0.99399999999999999</v>
      </c>
      <c r="J180" s="110">
        <v>1.0029999999999999</v>
      </c>
      <c r="K180" s="119">
        <v>1.0069999999999999</v>
      </c>
      <c r="L180" s="111">
        <f t="shared" si="51"/>
        <v>-6.0000000000000053E-3</v>
      </c>
      <c r="M180" s="112">
        <f t="shared" si="52"/>
        <v>2.9999999999998916E-3</v>
      </c>
      <c r="N180" s="112">
        <f t="shared" si="53"/>
        <v>6.9999999999998952E-3</v>
      </c>
      <c r="O180" s="112">
        <f t="shared" si="45"/>
        <v>1.0013333333333332</v>
      </c>
      <c r="P180" s="113">
        <f t="shared" si="46"/>
        <v>0.23333333333332984</v>
      </c>
      <c r="Q180" s="114">
        <f t="shared" si="47"/>
        <v>0.20000000000000018</v>
      </c>
      <c r="R180" s="115" t="str">
        <f t="shared" si="48"/>
        <v xml:space="preserve"> </v>
      </c>
      <c r="S180" s="115" t="str">
        <f t="shared" si="49"/>
        <v xml:space="preserve"> </v>
      </c>
      <c r="T180" s="116" t="str">
        <f t="shared" si="50"/>
        <v/>
      </c>
      <c r="U180" s="120"/>
      <c r="V180" s="118"/>
      <c r="W180" s="131"/>
    </row>
    <row r="181" spans="1:23" ht="13.2">
      <c r="A181" s="102" t="s">
        <v>216</v>
      </c>
      <c r="B181" s="102"/>
      <c r="C181" s="104">
        <v>3</v>
      </c>
      <c r="D181" s="105" t="s">
        <v>68</v>
      </c>
      <c r="E181" s="106">
        <v>1</v>
      </c>
      <c r="F181" s="107">
        <v>0.03</v>
      </c>
      <c r="G181" s="108">
        <v>0.03</v>
      </c>
      <c r="H181" s="121" t="s">
        <v>55</v>
      </c>
      <c r="I181" s="110">
        <v>1.0149999999999999</v>
      </c>
      <c r="J181" s="110">
        <v>0.996</v>
      </c>
      <c r="K181" s="119">
        <v>0.99399999999999999</v>
      </c>
      <c r="L181" s="111">
        <f t="shared" si="51"/>
        <v>1.4999999999999902E-2</v>
      </c>
      <c r="M181" s="112">
        <f t="shared" si="52"/>
        <v>-4.0000000000000036E-3</v>
      </c>
      <c r="N181" s="112">
        <f t="shared" si="53"/>
        <v>-6.0000000000000053E-3</v>
      </c>
      <c r="O181" s="112">
        <f t="shared" si="45"/>
        <v>1.0016666666666667</v>
      </c>
      <c r="P181" s="113">
        <f t="shared" si="46"/>
        <v>0.49999999999999678</v>
      </c>
      <c r="Q181" s="114">
        <f t="shared" si="47"/>
        <v>0.20000000000000018</v>
      </c>
      <c r="R181" s="115" t="str">
        <f t="shared" si="48"/>
        <v xml:space="preserve"> </v>
      </c>
      <c r="S181" s="115" t="str">
        <f t="shared" si="49"/>
        <v xml:space="preserve"> </v>
      </c>
      <c r="T181" s="116" t="str">
        <f t="shared" si="50"/>
        <v/>
      </c>
      <c r="U181" s="120"/>
      <c r="V181" s="118"/>
      <c r="W181" s="131"/>
    </row>
    <row r="182" spans="1:23" ht="13.2">
      <c r="A182" s="102" t="s">
        <v>217</v>
      </c>
      <c r="B182" s="102"/>
      <c r="C182" s="104">
        <v>3</v>
      </c>
      <c r="D182" s="105" t="s">
        <v>68</v>
      </c>
      <c r="E182" s="106">
        <v>1</v>
      </c>
      <c r="F182" s="107">
        <v>0.03</v>
      </c>
      <c r="G182" s="108">
        <v>0.03</v>
      </c>
      <c r="H182" s="121" t="s">
        <v>55</v>
      </c>
      <c r="I182" s="110">
        <v>0.98699999999999999</v>
      </c>
      <c r="J182" s="110">
        <v>1.0029999999999999</v>
      </c>
      <c r="K182" s="119">
        <v>0.997</v>
      </c>
      <c r="L182" s="111">
        <f t="shared" si="51"/>
        <v>-1.3000000000000012E-2</v>
      </c>
      <c r="M182" s="112">
        <f t="shared" si="52"/>
        <v>2.9999999999998916E-3</v>
      </c>
      <c r="N182" s="112">
        <f t="shared" si="53"/>
        <v>-3.0000000000000027E-3</v>
      </c>
      <c r="O182" s="112">
        <f t="shared" si="45"/>
        <v>0.99566666666666659</v>
      </c>
      <c r="P182" s="113">
        <f t="shared" si="46"/>
        <v>9.9999999999996397E-2</v>
      </c>
      <c r="Q182" s="114">
        <f t="shared" si="47"/>
        <v>0.43333333333333374</v>
      </c>
      <c r="R182" s="115" t="str">
        <f t="shared" si="48"/>
        <v xml:space="preserve"> </v>
      </c>
      <c r="S182" s="115" t="str">
        <f t="shared" si="49"/>
        <v xml:space="preserve"> </v>
      </c>
      <c r="T182" s="116" t="str">
        <f t="shared" si="50"/>
        <v/>
      </c>
      <c r="U182" s="120"/>
      <c r="V182" s="118"/>
      <c r="W182" s="131"/>
    </row>
    <row r="183" spans="1:23" ht="13.2">
      <c r="A183" s="102" t="s">
        <v>218</v>
      </c>
      <c r="B183" s="102"/>
      <c r="C183" s="104">
        <v>3</v>
      </c>
      <c r="D183" s="105" t="s">
        <v>68</v>
      </c>
      <c r="E183" s="106">
        <v>1</v>
      </c>
      <c r="F183" s="107">
        <v>0.03</v>
      </c>
      <c r="G183" s="108">
        <v>0.03</v>
      </c>
      <c r="H183" s="121" t="s">
        <v>55</v>
      </c>
      <c r="I183" s="110">
        <v>0.99199999999999999</v>
      </c>
      <c r="J183" s="110">
        <v>0.995</v>
      </c>
      <c r="K183" s="119">
        <v>1.006</v>
      </c>
      <c r="L183" s="111">
        <f t="shared" si="51"/>
        <v>-8.0000000000000071E-3</v>
      </c>
      <c r="M183" s="112">
        <f t="shared" si="52"/>
        <v>-5.0000000000000044E-3</v>
      </c>
      <c r="N183" s="112">
        <f t="shared" si="53"/>
        <v>6.0000000000000053E-3</v>
      </c>
      <c r="O183" s="112">
        <f t="shared" si="45"/>
        <v>0.99766666666666681</v>
      </c>
      <c r="P183" s="113">
        <f t="shared" si="46"/>
        <v>0.20000000000000018</v>
      </c>
      <c r="Q183" s="114">
        <f t="shared" si="47"/>
        <v>0.26666666666666694</v>
      </c>
      <c r="R183" s="115" t="str">
        <f t="shared" si="48"/>
        <v xml:space="preserve"> </v>
      </c>
      <c r="S183" s="115" t="str">
        <f t="shared" si="49"/>
        <v xml:space="preserve"> </v>
      </c>
      <c r="T183" s="116" t="str">
        <f t="shared" si="50"/>
        <v/>
      </c>
      <c r="U183" s="120"/>
      <c r="V183" s="118"/>
      <c r="W183" s="131"/>
    </row>
    <row r="184" spans="1:23" ht="13.2">
      <c r="A184" s="102" t="s">
        <v>219</v>
      </c>
      <c r="B184" s="102"/>
      <c r="C184" s="104">
        <v>3</v>
      </c>
      <c r="D184" s="105" t="s">
        <v>68</v>
      </c>
      <c r="E184" s="106">
        <v>1</v>
      </c>
      <c r="F184" s="107">
        <v>0.03</v>
      </c>
      <c r="G184" s="108">
        <v>0.03</v>
      </c>
      <c r="H184" s="121" t="s">
        <v>55</v>
      </c>
      <c r="I184" s="110">
        <v>1.0129999999999999</v>
      </c>
      <c r="J184" s="110">
        <v>0.998</v>
      </c>
      <c r="K184" s="119">
        <v>0.999</v>
      </c>
      <c r="L184" s="111">
        <f t="shared" si="51"/>
        <v>1.2999999999999901E-2</v>
      </c>
      <c r="M184" s="112">
        <f t="shared" si="52"/>
        <v>-2.0000000000000018E-3</v>
      </c>
      <c r="N184" s="112">
        <f t="shared" si="53"/>
        <v>-1.0000000000000009E-3</v>
      </c>
      <c r="O184" s="112">
        <f t="shared" si="45"/>
        <v>1.0033333333333334</v>
      </c>
      <c r="P184" s="113">
        <f t="shared" si="46"/>
        <v>0.43333333333333002</v>
      </c>
      <c r="Q184" s="114">
        <f t="shared" si="47"/>
        <v>6.6666666666666735E-2</v>
      </c>
      <c r="R184" s="115" t="str">
        <f t="shared" si="48"/>
        <v xml:space="preserve"> </v>
      </c>
      <c r="S184" s="115" t="str">
        <f t="shared" si="49"/>
        <v xml:space="preserve"> </v>
      </c>
      <c r="T184" s="116" t="str">
        <f t="shared" si="50"/>
        <v/>
      </c>
      <c r="U184" s="120"/>
      <c r="V184" s="118"/>
      <c r="W184" s="131"/>
    </row>
    <row r="185" spans="1:23" ht="13.2">
      <c r="A185" s="102" t="s">
        <v>220</v>
      </c>
      <c r="B185" s="102"/>
      <c r="C185" s="104">
        <v>3</v>
      </c>
      <c r="D185" s="105" t="s">
        <v>68</v>
      </c>
      <c r="E185" s="106">
        <v>1</v>
      </c>
      <c r="F185" s="107">
        <v>0.03</v>
      </c>
      <c r="G185" s="108">
        <v>0.03</v>
      </c>
      <c r="H185" s="121" t="s">
        <v>55</v>
      </c>
      <c r="I185" s="110">
        <v>0.997</v>
      </c>
      <c r="J185" s="110">
        <v>1.0029999999999999</v>
      </c>
      <c r="K185" s="119">
        <v>1.012</v>
      </c>
      <c r="L185" s="111">
        <f t="shared" si="51"/>
        <v>-3.0000000000000027E-3</v>
      </c>
      <c r="M185" s="112">
        <f t="shared" si="52"/>
        <v>2.9999999999998916E-3</v>
      </c>
      <c r="N185" s="112">
        <f t="shared" si="53"/>
        <v>1.2000000000000011E-2</v>
      </c>
      <c r="O185" s="112">
        <f t="shared" si="45"/>
        <v>1.004</v>
      </c>
      <c r="P185" s="113">
        <f t="shared" si="46"/>
        <v>0.40000000000000036</v>
      </c>
      <c r="Q185" s="114">
        <f t="shared" si="47"/>
        <v>0.10000000000000009</v>
      </c>
      <c r="R185" s="115" t="str">
        <f t="shared" si="48"/>
        <v xml:space="preserve"> </v>
      </c>
      <c r="S185" s="115" t="str">
        <f t="shared" si="49"/>
        <v xml:space="preserve"> </v>
      </c>
      <c r="T185" s="116" t="str">
        <f t="shared" si="50"/>
        <v/>
      </c>
      <c r="U185" s="120"/>
      <c r="V185" s="118"/>
      <c r="W185" s="131"/>
    </row>
    <row r="186" spans="1:23" ht="13.2">
      <c r="A186" s="102" t="s">
        <v>221</v>
      </c>
      <c r="B186" s="102"/>
      <c r="C186" s="104">
        <v>3</v>
      </c>
      <c r="D186" s="105" t="s">
        <v>68</v>
      </c>
      <c r="E186" s="106">
        <v>1</v>
      </c>
      <c r="F186" s="107">
        <v>0.03</v>
      </c>
      <c r="G186" s="108">
        <v>0.03</v>
      </c>
      <c r="H186" s="121" t="s">
        <v>55</v>
      </c>
      <c r="I186" s="110">
        <v>0.98599999999999999</v>
      </c>
      <c r="J186" s="110">
        <v>1.0009999999999999</v>
      </c>
      <c r="K186" s="119">
        <v>1.0069999999999999</v>
      </c>
      <c r="L186" s="111">
        <f t="shared" si="51"/>
        <v>-1.4000000000000012E-2</v>
      </c>
      <c r="M186" s="112">
        <f t="shared" si="52"/>
        <v>9.9999999999988987E-4</v>
      </c>
      <c r="N186" s="112">
        <f t="shared" si="53"/>
        <v>6.9999999999998952E-3</v>
      </c>
      <c r="O186" s="112">
        <f t="shared" si="45"/>
        <v>0.99799999999999989</v>
      </c>
      <c r="P186" s="113">
        <f t="shared" si="46"/>
        <v>0.23333333333332984</v>
      </c>
      <c r="Q186" s="114">
        <f t="shared" si="47"/>
        <v>0.46666666666666712</v>
      </c>
      <c r="R186" s="115" t="str">
        <f t="shared" si="48"/>
        <v xml:space="preserve"> </v>
      </c>
      <c r="S186" s="115" t="str">
        <f t="shared" si="49"/>
        <v xml:space="preserve"> </v>
      </c>
      <c r="T186" s="116" t="str">
        <f t="shared" si="50"/>
        <v/>
      </c>
      <c r="U186" s="120"/>
      <c r="V186" s="118"/>
      <c r="W186" s="131"/>
    </row>
    <row r="187" spans="1:23" ht="13.2">
      <c r="A187" s="102" t="s">
        <v>222</v>
      </c>
      <c r="B187" s="102"/>
      <c r="C187" s="104">
        <v>3</v>
      </c>
      <c r="D187" s="105" t="s">
        <v>68</v>
      </c>
      <c r="E187" s="106">
        <v>1</v>
      </c>
      <c r="F187" s="107">
        <v>0.03</v>
      </c>
      <c r="G187" s="108">
        <v>0.03</v>
      </c>
      <c r="H187" s="121" t="s">
        <v>55</v>
      </c>
      <c r="I187" s="110">
        <v>0.999</v>
      </c>
      <c r="J187" s="110">
        <v>0.996</v>
      </c>
      <c r="K187" s="119">
        <v>1.008</v>
      </c>
      <c r="L187" s="111">
        <f t="shared" si="51"/>
        <v>-1.0000000000000009E-3</v>
      </c>
      <c r="M187" s="112">
        <f t="shared" si="52"/>
        <v>-4.0000000000000036E-3</v>
      </c>
      <c r="N187" s="112">
        <f t="shared" si="53"/>
        <v>8.0000000000000071E-3</v>
      </c>
      <c r="O187" s="112">
        <f t="shared" si="45"/>
        <v>1.0010000000000001</v>
      </c>
      <c r="P187" s="113">
        <f t="shared" si="46"/>
        <v>0.26666666666666694</v>
      </c>
      <c r="Q187" s="114">
        <f t="shared" si="47"/>
        <v>0.13333333333333347</v>
      </c>
      <c r="R187" s="115" t="str">
        <f t="shared" si="48"/>
        <v xml:space="preserve"> </v>
      </c>
      <c r="S187" s="115" t="str">
        <f t="shared" si="49"/>
        <v xml:space="preserve"> </v>
      </c>
      <c r="T187" s="116" t="str">
        <f t="shared" si="50"/>
        <v/>
      </c>
      <c r="U187" s="120"/>
      <c r="V187" s="118"/>
      <c r="W187" s="131"/>
    </row>
    <row r="188" spans="1:23" ht="13.2">
      <c r="A188" s="102" t="s">
        <v>223</v>
      </c>
      <c r="B188" s="102"/>
      <c r="C188" s="104">
        <v>3</v>
      </c>
      <c r="D188" s="105" t="s">
        <v>68</v>
      </c>
      <c r="E188" s="106">
        <v>1</v>
      </c>
      <c r="F188" s="107">
        <v>0.03</v>
      </c>
      <c r="G188" s="108">
        <v>0.03</v>
      </c>
      <c r="H188" s="121" t="s">
        <v>55</v>
      </c>
      <c r="I188" s="110">
        <v>1.0009999999999999</v>
      </c>
      <c r="J188" s="110">
        <v>1.0049999999999999</v>
      </c>
      <c r="K188" s="119">
        <v>1.006</v>
      </c>
      <c r="L188" s="111">
        <f t="shared" si="51"/>
        <v>9.9999999999988987E-4</v>
      </c>
      <c r="M188" s="112">
        <f t="shared" si="52"/>
        <v>4.9999999999998934E-3</v>
      </c>
      <c r="N188" s="112">
        <f t="shared" si="53"/>
        <v>6.0000000000000053E-3</v>
      </c>
      <c r="O188" s="112">
        <f t="shared" si="45"/>
        <v>1.0039999999999998</v>
      </c>
      <c r="P188" s="113">
        <f t="shared" si="46"/>
        <v>0.20000000000000018</v>
      </c>
      <c r="Q188" s="114">
        <f t="shared" si="47"/>
        <v>0</v>
      </c>
      <c r="R188" s="115" t="str">
        <f t="shared" si="48"/>
        <v xml:space="preserve"> </v>
      </c>
      <c r="S188" s="115" t="str">
        <f t="shared" si="49"/>
        <v xml:space="preserve"> </v>
      </c>
      <c r="T188" s="116" t="str">
        <f t="shared" si="50"/>
        <v/>
      </c>
      <c r="U188" s="120"/>
      <c r="V188" s="118"/>
      <c r="W188" s="131"/>
    </row>
    <row r="189" spans="1:23" ht="13.2">
      <c r="A189" s="102" t="s">
        <v>224</v>
      </c>
      <c r="B189" s="102"/>
      <c r="C189" s="104">
        <v>3</v>
      </c>
      <c r="D189" s="105" t="s">
        <v>68</v>
      </c>
      <c r="E189" s="106">
        <v>1</v>
      </c>
      <c r="F189" s="107">
        <v>0.03</v>
      </c>
      <c r="G189" s="108">
        <v>0.03</v>
      </c>
      <c r="H189" s="121" t="s">
        <v>55</v>
      </c>
      <c r="I189" s="110">
        <v>1.0009999999999999</v>
      </c>
      <c r="J189" s="110">
        <v>1.0049999999999999</v>
      </c>
      <c r="K189" s="119">
        <v>1.006</v>
      </c>
      <c r="L189" s="111">
        <f t="shared" si="51"/>
        <v>9.9999999999988987E-4</v>
      </c>
      <c r="M189" s="112">
        <f t="shared" si="52"/>
        <v>4.9999999999998934E-3</v>
      </c>
      <c r="N189" s="112">
        <f t="shared" si="53"/>
        <v>6.0000000000000053E-3</v>
      </c>
      <c r="O189" s="112">
        <f t="shared" si="45"/>
        <v>1.0039999999999998</v>
      </c>
      <c r="P189" s="113">
        <f t="shared" si="46"/>
        <v>0.20000000000000018</v>
      </c>
      <c r="Q189" s="114">
        <f t="shared" si="47"/>
        <v>0</v>
      </c>
      <c r="R189" s="115" t="str">
        <f t="shared" si="48"/>
        <v xml:space="preserve"> </v>
      </c>
      <c r="S189" s="115" t="str">
        <f t="shared" si="49"/>
        <v xml:space="preserve"> </v>
      </c>
      <c r="T189" s="116" t="str">
        <f t="shared" si="50"/>
        <v/>
      </c>
      <c r="U189" s="120"/>
      <c r="V189" s="118"/>
      <c r="W189" s="131"/>
    </row>
    <row r="190" spans="1:23" ht="13.2">
      <c r="A190" s="102" t="s">
        <v>225</v>
      </c>
      <c r="B190" s="102"/>
      <c r="C190" s="104">
        <v>3</v>
      </c>
      <c r="D190" s="105" t="s">
        <v>68</v>
      </c>
      <c r="E190" s="106">
        <v>1</v>
      </c>
      <c r="F190" s="107">
        <v>0.03</v>
      </c>
      <c r="G190" s="108">
        <v>0.03</v>
      </c>
      <c r="H190" s="121" t="s">
        <v>55</v>
      </c>
      <c r="I190" s="110">
        <v>0.97599999999999998</v>
      </c>
      <c r="J190" s="110">
        <v>0.996</v>
      </c>
      <c r="K190" s="119">
        <v>0.997</v>
      </c>
      <c r="L190" s="111">
        <f t="shared" si="51"/>
        <v>-2.4000000000000021E-2</v>
      </c>
      <c r="M190" s="112">
        <f t="shared" si="52"/>
        <v>-4.0000000000000036E-3</v>
      </c>
      <c r="N190" s="112">
        <f t="shared" si="53"/>
        <v>-3.0000000000000027E-3</v>
      </c>
      <c r="O190" s="112">
        <f t="shared" ref="O190:O253" si="54">IF(ISERR(I190/I190)=TRUE," ",AVERAGE(I190:K190))</f>
        <v>0.98966666666666658</v>
      </c>
      <c r="P190" s="113">
        <f t="shared" ref="P190:P253" si="55">IF(ISBLANK($E190),"",IF(ISNUMBER(F190)=FALSE,"BAD TOL", IF(F190=0,"N/A",IF(ISERR(I190/I190)=TRUE,"BAD INSP",IF(AND(ISNUMBER($I190),ISNUMBER($J190),ISNUMBER($K190))=FALSE,"BAD INSP",IF(MAX($I190:$K190)&lt;$E190,0,(MAX($I190:$K190)-$E190)/$F190))))))</f>
        <v>0</v>
      </c>
      <c r="Q190" s="114">
        <f t="shared" ref="Q190:Q253" si="56">IF(ISBLANK($E190),"",IF(ISNUMBER(G190)=FALSE,"BAD TOL",IF(G190=0,"N/A",IF(ISERR(I190/I190)=TRUE,"BAD INSP",IF(AND(ISNUMBER($I190),ISNUMBER($J190),ISNUMBER($K190))=FALSE,"BAD INSP",IF(MIN(I190:K190)&gt;$E190,0,($E190-MIN(I190:K190))/G190))))))</f>
        <v>0.80000000000000071</v>
      </c>
      <c r="R190" s="115" t="str">
        <f t="shared" ref="R190:R253" si="57">IF(ISBLANK($E190),"",IF(ISNUMBER($P190)=TRUE,IF($P190&gt;0.651,IF($P190&gt;1.001,"Reject","Alert")," "),IF(AND(F190=0, ISNUMBER(F190)),IF(MAX(I190:K190)&gt;(E190+F190),"Reject",IF(MAX(I190:K190)=(E190+F190),"Alert","")),"Reject")))</f>
        <v xml:space="preserve"> </v>
      </c>
      <c r="S190" s="115" t="str">
        <f t="shared" ref="S190:S253" si="58">IF(ISBLANK($E190),"",IF(ISNUMBER($Q190)=TRUE,IF($Q190&gt;0.651,IF($Q190&gt;1.001,"Reject","Alert")," "),IF(AND(G190=0, ISNUMBER(G190)),IF(MIN(I190:K190)&lt;(E190-G190),"Reject",IF(MIN(I190:K190)=(E190-G190),"Alert","")),"Reject")))</f>
        <v>Alert</v>
      </c>
      <c r="T190" s="116" t="str">
        <f t="shared" ref="T190:T253" si="59">IF(OR(R190="Reject",S190="Reject"),"Reject",IF(OR(R190="Alert",S190="Alert"),"Alert", ""))</f>
        <v>Alert</v>
      </c>
      <c r="U190" s="120"/>
      <c r="V190" s="118"/>
      <c r="W190" s="131"/>
    </row>
    <row r="191" spans="1:23" ht="13.2">
      <c r="A191" s="102" t="s">
        <v>226</v>
      </c>
      <c r="B191" s="102"/>
      <c r="C191" s="104">
        <v>3</v>
      </c>
      <c r="D191" s="105" t="s">
        <v>68</v>
      </c>
      <c r="E191" s="106">
        <v>1</v>
      </c>
      <c r="F191" s="107">
        <v>0.03</v>
      </c>
      <c r="G191" s="108">
        <v>0.03</v>
      </c>
      <c r="H191" s="121" t="s">
        <v>55</v>
      </c>
      <c r="I191" s="110">
        <v>0.98899999999999999</v>
      </c>
      <c r="J191" s="110">
        <v>0.998</v>
      </c>
      <c r="K191" s="119">
        <v>1.006</v>
      </c>
      <c r="L191" s="111">
        <f t="shared" si="51"/>
        <v>-1.100000000000001E-2</v>
      </c>
      <c r="M191" s="112">
        <f t="shared" si="52"/>
        <v>-2.0000000000000018E-3</v>
      </c>
      <c r="N191" s="112">
        <f t="shared" si="53"/>
        <v>6.0000000000000053E-3</v>
      </c>
      <c r="O191" s="112">
        <f t="shared" si="54"/>
        <v>0.99766666666666681</v>
      </c>
      <c r="P191" s="113">
        <f t="shared" si="55"/>
        <v>0.20000000000000018</v>
      </c>
      <c r="Q191" s="114">
        <f t="shared" si="56"/>
        <v>0.36666666666666703</v>
      </c>
      <c r="R191" s="115" t="str">
        <f t="shared" si="57"/>
        <v xml:space="preserve"> </v>
      </c>
      <c r="S191" s="115" t="str">
        <f t="shared" si="58"/>
        <v xml:space="preserve"> </v>
      </c>
      <c r="T191" s="116" t="str">
        <f t="shared" si="59"/>
        <v/>
      </c>
      <c r="U191" s="120"/>
      <c r="V191" s="118"/>
      <c r="W191" s="131"/>
    </row>
    <row r="192" spans="1:23" ht="13.2">
      <c r="A192" s="102" t="s">
        <v>227</v>
      </c>
      <c r="B192" s="103"/>
      <c r="C192" s="104">
        <v>3</v>
      </c>
      <c r="D192" s="105" t="s">
        <v>68</v>
      </c>
      <c r="E192" s="106">
        <v>1</v>
      </c>
      <c r="F192" s="107">
        <v>0.03</v>
      </c>
      <c r="G192" s="108">
        <v>0.03</v>
      </c>
      <c r="H192" s="121" t="s">
        <v>55</v>
      </c>
      <c r="I192" s="110">
        <v>0.99</v>
      </c>
      <c r="J192" s="110">
        <v>1.002</v>
      </c>
      <c r="K192" s="119">
        <v>1</v>
      </c>
      <c r="L192" s="111">
        <f t="shared" si="51"/>
        <v>-1.0000000000000009E-2</v>
      </c>
      <c r="M192" s="112">
        <f t="shared" si="52"/>
        <v>2.0000000000000018E-3</v>
      </c>
      <c r="N192" s="112">
        <f t="shared" si="53"/>
        <v>0</v>
      </c>
      <c r="O192" s="112">
        <f t="shared" si="54"/>
        <v>0.99733333333333329</v>
      </c>
      <c r="P192" s="113">
        <f t="shared" si="55"/>
        <v>6.6666666666666735E-2</v>
      </c>
      <c r="Q192" s="114">
        <f t="shared" si="56"/>
        <v>0.33333333333333365</v>
      </c>
      <c r="R192" s="115" t="str">
        <f t="shared" si="57"/>
        <v xml:space="preserve"> </v>
      </c>
      <c r="S192" s="115" t="str">
        <f t="shared" si="58"/>
        <v xml:space="preserve"> </v>
      </c>
      <c r="T192" s="116" t="str">
        <f t="shared" si="59"/>
        <v/>
      </c>
      <c r="U192" s="120"/>
      <c r="V192" s="118"/>
      <c r="W192" s="131"/>
    </row>
    <row r="193" spans="1:23" ht="13.2">
      <c r="A193" s="102" t="s">
        <v>228</v>
      </c>
      <c r="B193" s="103"/>
      <c r="C193" s="104">
        <v>3</v>
      </c>
      <c r="D193" s="105" t="s">
        <v>68</v>
      </c>
      <c r="E193" s="106">
        <v>1</v>
      </c>
      <c r="F193" s="107">
        <v>0.03</v>
      </c>
      <c r="G193" s="108">
        <v>0.03</v>
      </c>
      <c r="H193" s="121" t="s">
        <v>55</v>
      </c>
      <c r="I193" s="110">
        <v>1.002</v>
      </c>
      <c r="J193" s="110">
        <v>1.002</v>
      </c>
      <c r="K193" s="119">
        <v>1.002</v>
      </c>
      <c r="L193" s="111">
        <f t="shared" si="51"/>
        <v>2.0000000000000018E-3</v>
      </c>
      <c r="M193" s="112">
        <f t="shared" si="52"/>
        <v>2.0000000000000018E-3</v>
      </c>
      <c r="N193" s="112">
        <f t="shared" si="53"/>
        <v>2.0000000000000018E-3</v>
      </c>
      <c r="O193" s="112">
        <f t="shared" si="54"/>
        <v>1.002</v>
      </c>
      <c r="P193" s="113">
        <f t="shared" si="55"/>
        <v>6.6666666666666735E-2</v>
      </c>
      <c r="Q193" s="114">
        <f t="shared" si="56"/>
        <v>0</v>
      </c>
      <c r="R193" s="115" t="str">
        <f t="shared" si="57"/>
        <v xml:space="preserve"> </v>
      </c>
      <c r="S193" s="115" t="str">
        <f t="shared" si="58"/>
        <v xml:space="preserve"> </v>
      </c>
      <c r="T193" s="116" t="str">
        <f t="shared" si="59"/>
        <v/>
      </c>
      <c r="U193" s="120"/>
      <c r="V193" s="118"/>
      <c r="W193" s="131"/>
    </row>
    <row r="194" spans="1:23" ht="13.2">
      <c r="A194" s="102" t="s">
        <v>229</v>
      </c>
      <c r="B194" s="103"/>
      <c r="C194" s="104">
        <v>3</v>
      </c>
      <c r="D194" s="105" t="s">
        <v>68</v>
      </c>
      <c r="E194" s="106">
        <v>1</v>
      </c>
      <c r="F194" s="107">
        <v>0.03</v>
      </c>
      <c r="G194" s="108">
        <v>0.03</v>
      </c>
      <c r="H194" s="121" t="s">
        <v>55</v>
      </c>
      <c r="I194" s="110">
        <v>0.98</v>
      </c>
      <c r="J194" s="110">
        <v>1.0009999999999999</v>
      </c>
      <c r="K194" s="119">
        <v>0.997</v>
      </c>
      <c r="L194" s="111">
        <f t="shared" si="51"/>
        <v>-2.0000000000000018E-2</v>
      </c>
      <c r="M194" s="112">
        <f t="shared" si="52"/>
        <v>9.9999999999988987E-4</v>
      </c>
      <c r="N194" s="112">
        <f t="shared" si="53"/>
        <v>-3.0000000000000027E-3</v>
      </c>
      <c r="O194" s="112">
        <f t="shared" si="54"/>
        <v>0.99266666666666659</v>
      </c>
      <c r="P194" s="113">
        <f t="shared" si="55"/>
        <v>3.3333333333329662E-2</v>
      </c>
      <c r="Q194" s="114">
        <f t="shared" si="56"/>
        <v>0.6666666666666673</v>
      </c>
      <c r="R194" s="115" t="str">
        <f t="shared" si="57"/>
        <v xml:space="preserve"> </v>
      </c>
      <c r="S194" s="115" t="str">
        <f t="shared" si="58"/>
        <v>Alert</v>
      </c>
      <c r="T194" s="116" t="str">
        <f t="shared" si="59"/>
        <v>Alert</v>
      </c>
      <c r="U194" s="120"/>
      <c r="V194" s="118"/>
      <c r="W194" s="131"/>
    </row>
    <row r="195" spans="1:23" ht="13.2">
      <c r="A195" s="102" t="s">
        <v>230</v>
      </c>
      <c r="B195" s="102"/>
      <c r="C195" s="104">
        <v>3</v>
      </c>
      <c r="D195" s="105" t="s">
        <v>68</v>
      </c>
      <c r="E195" s="106">
        <v>1</v>
      </c>
      <c r="F195" s="107">
        <v>0.03</v>
      </c>
      <c r="G195" s="108">
        <v>0.03</v>
      </c>
      <c r="H195" s="121" t="s">
        <v>55</v>
      </c>
      <c r="I195" s="110">
        <v>0.99399999999999999</v>
      </c>
      <c r="J195" s="110">
        <v>1.002</v>
      </c>
      <c r="K195" s="119">
        <v>1.014</v>
      </c>
      <c r="L195" s="111">
        <f t="shared" si="51"/>
        <v>-6.0000000000000053E-3</v>
      </c>
      <c r="M195" s="112">
        <f t="shared" si="52"/>
        <v>2.0000000000000018E-3</v>
      </c>
      <c r="N195" s="112">
        <f t="shared" si="53"/>
        <v>1.4000000000000012E-2</v>
      </c>
      <c r="O195" s="112">
        <f t="shared" si="54"/>
        <v>1.0033333333333332</v>
      </c>
      <c r="P195" s="113">
        <f t="shared" si="55"/>
        <v>0.46666666666666712</v>
      </c>
      <c r="Q195" s="114">
        <f t="shared" si="56"/>
        <v>0.20000000000000018</v>
      </c>
      <c r="R195" s="115" t="str">
        <f t="shared" si="57"/>
        <v xml:space="preserve"> </v>
      </c>
      <c r="S195" s="115" t="str">
        <f t="shared" si="58"/>
        <v xml:space="preserve"> </v>
      </c>
      <c r="T195" s="116" t="str">
        <f t="shared" si="59"/>
        <v/>
      </c>
      <c r="U195" s="120"/>
      <c r="V195" s="118"/>
      <c r="W195" s="131"/>
    </row>
    <row r="196" spans="1:23" ht="13.2">
      <c r="A196" s="102" t="s">
        <v>231</v>
      </c>
      <c r="B196" s="102"/>
      <c r="C196" s="104">
        <v>3</v>
      </c>
      <c r="D196" s="105" t="s">
        <v>68</v>
      </c>
      <c r="E196" s="106">
        <v>1</v>
      </c>
      <c r="F196" s="107">
        <v>0.03</v>
      </c>
      <c r="G196" s="108">
        <v>0.03</v>
      </c>
      <c r="H196" s="121" t="s">
        <v>55</v>
      </c>
      <c r="I196" s="110">
        <v>0.99299999999999999</v>
      </c>
      <c r="J196" s="110">
        <v>0.995</v>
      </c>
      <c r="K196" s="119">
        <v>1.0009999999999999</v>
      </c>
      <c r="L196" s="111">
        <f t="shared" si="51"/>
        <v>-7.0000000000000062E-3</v>
      </c>
      <c r="M196" s="112">
        <f t="shared" si="52"/>
        <v>-5.0000000000000044E-3</v>
      </c>
      <c r="N196" s="112">
        <f t="shared" si="53"/>
        <v>9.9999999999988987E-4</v>
      </c>
      <c r="O196" s="112">
        <f t="shared" si="54"/>
        <v>0.99633333333333329</v>
      </c>
      <c r="P196" s="113">
        <f t="shared" si="55"/>
        <v>3.3333333333329662E-2</v>
      </c>
      <c r="Q196" s="114">
        <f t="shared" si="56"/>
        <v>0.23333333333333356</v>
      </c>
      <c r="R196" s="115" t="str">
        <f t="shared" si="57"/>
        <v xml:space="preserve"> </v>
      </c>
      <c r="S196" s="115" t="str">
        <f t="shared" si="58"/>
        <v xml:space="preserve"> </v>
      </c>
      <c r="T196" s="116" t="str">
        <f t="shared" si="59"/>
        <v/>
      </c>
      <c r="U196" s="120"/>
      <c r="V196" s="118"/>
      <c r="W196" s="131"/>
    </row>
    <row r="197" spans="1:23" ht="13.2">
      <c r="A197" s="102" t="s">
        <v>232</v>
      </c>
      <c r="B197" s="102"/>
      <c r="C197" s="104">
        <v>3</v>
      </c>
      <c r="D197" s="105" t="s">
        <v>68</v>
      </c>
      <c r="E197" s="106">
        <v>1</v>
      </c>
      <c r="F197" s="107">
        <v>0.03</v>
      </c>
      <c r="G197" s="108">
        <v>0.03</v>
      </c>
      <c r="H197" s="121" t="s">
        <v>55</v>
      </c>
      <c r="I197" s="110">
        <v>0.997</v>
      </c>
      <c r="J197" s="110">
        <v>0.998</v>
      </c>
      <c r="K197" s="119">
        <v>1.0009999999999999</v>
      </c>
      <c r="L197" s="111">
        <f t="shared" si="51"/>
        <v>-3.0000000000000027E-3</v>
      </c>
      <c r="M197" s="112">
        <f t="shared" si="52"/>
        <v>-2.0000000000000018E-3</v>
      </c>
      <c r="N197" s="112">
        <f t="shared" si="53"/>
        <v>9.9999999999988987E-4</v>
      </c>
      <c r="O197" s="112">
        <f t="shared" si="54"/>
        <v>0.9986666666666667</v>
      </c>
      <c r="P197" s="113">
        <f t="shared" si="55"/>
        <v>3.3333333333329662E-2</v>
      </c>
      <c r="Q197" s="114">
        <f t="shared" si="56"/>
        <v>0.10000000000000009</v>
      </c>
      <c r="R197" s="115" t="str">
        <f t="shared" si="57"/>
        <v xml:space="preserve"> </v>
      </c>
      <c r="S197" s="115" t="str">
        <f t="shared" si="58"/>
        <v xml:space="preserve"> </v>
      </c>
      <c r="T197" s="116" t="str">
        <f t="shared" si="59"/>
        <v/>
      </c>
      <c r="U197" s="120"/>
      <c r="V197" s="118"/>
      <c r="W197" s="131"/>
    </row>
    <row r="198" spans="1:23" ht="13.2">
      <c r="A198" s="102" t="s">
        <v>233</v>
      </c>
      <c r="B198" s="102"/>
      <c r="C198" s="104">
        <v>3</v>
      </c>
      <c r="D198" s="105" t="s">
        <v>68</v>
      </c>
      <c r="E198" s="106">
        <v>1</v>
      </c>
      <c r="F198" s="107">
        <v>0.03</v>
      </c>
      <c r="G198" s="108">
        <v>0.03</v>
      </c>
      <c r="H198" s="121" t="s">
        <v>55</v>
      </c>
      <c r="I198" s="110">
        <v>0.98799999999999999</v>
      </c>
      <c r="J198" s="110">
        <v>1</v>
      </c>
      <c r="K198" s="119">
        <v>1.0009999999999999</v>
      </c>
      <c r="L198" s="111">
        <f t="shared" si="51"/>
        <v>-1.2000000000000011E-2</v>
      </c>
      <c r="M198" s="112">
        <f t="shared" si="52"/>
        <v>0</v>
      </c>
      <c r="N198" s="112">
        <f t="shared" si="53"/>
        <v>9.9999999999988987E-4</v>
      </c>
      <c r="O198" s="112">
        <f t="shared" si="54"/>
        <v>0.99633333333333329</v>
      </c>
      <c r="P198" s="113">
        <f t="shared" si="55"/>
        <v>3.3333333333329662E-2</v>
      </c>
      <c r="Q198" s="114">
        <f t="shared" si="56"/>
        <v>0.40000000000000036</v>
      </c>
      <c r="R198" s="115" t="str">
        <f t="shared" si="57"/>
        <v xml:space="preserve"> </v>
      </c>
      <c r="S198" s="115" t="str">
        <f t="shared" si="58"/>
        <v xml:space="preserve"> </v>
      </c>
      <c r="T198" s="116" t="str">
        <f t="shared" si="59"/>
        <v/>
      </c>
      <c r="U198" s="120"/>
      <c r="V198" s="118"/>
      <c r="W198" s="131"/>
    </row>
    <row r="199" spans="1:23" ht="13.2">
      <c r="A199" s="102" t="s">
        <v>234</v>
      </c>
      <c r="B199" s="102"/>
      <c r="C199" s="104">
        <v>3</v>
      </c>
      <c r="D199" s="105" t="s">
        <v>68</v>
      </c>
      <c r="E199" s="106">
        <v>1</v>
      </c>
      <c r="F199" s="107">
        <v>0.03</v>
      </c>
      <c r="G199" s="108">
        <v>0.03</v>
      </c>
      <c r="H199" s="121" t="s">
        <v>55</v>
      </c>
      <c r="I199" s="110">
        <v>1.004</v>
      </c>
      <c r="J199" s="110">
        <v>1.006</v>
      </c>
      <c r="K199" s="119">
        <v>1.012</v>
      </c>
      <c r="L199" s="111">
        <f t="shared" si="51"/>
        <v>4.0000000000000036E-3</v>
      </c>
      <c r="M199" s="112">
        <f t="shared" si="52"/>
        <v>6.0000000000000053E-3</v>
      </c>
      <c r="N199" s="112">
        <f t="shared" si="53"/>
        <v>1.2000000000000011E-2</v>
      </c>
      <c r="O199" s="112">
        <f t="shared" si="54"/>
        <v>1.0073333333333332</v>
      </c>
      <c r="P199" s="113">
        <f t="shared" si="55"/>
        <v>0.40000000000000036</v>
      </c>
      <c r="Q199" s="114">
        <f t="shared" si="56"/>
        <v>0</v>
      </c>
      <c r="R199" s="115" t="str">
        <f t="shared" si="57"/>
        <v xml:space="preserve"> </v>
      </c>
      <c r="S199" s="115" t="str">
        <f t="shared" si="58"/>
        <v xml:space="preserve"> </v>
      </c>
      <c r="T199" s="116" t="str">
        <f t="shared" si="59"/>
        <v/>
      </c>
      <c r="U199" s="120"/>
      <c r="V199" s="118"/>
      <c r="W199" s="131"/>
    </row>
    <row r="200" spans="1:23" ht="13.2">
      <c r="A200" s="102" t="s">
        <v>235</v>
      </c>
      <c r="B200" s="102"/>
      <c r="C200" s="104">
        <v>3</v>
      </c>
      <c r="D200" s="105" t="s">
        <v>68</v>
      </c>
      <c r="E200" s="106">
        <v>1</v>
      </c>
      <c r="F200" s="107">
        <v>0.03</v>
      </c>
      <c r="G200" s="108">
        <v>0.03</v>
      </c>
      <c r="H200" s="121" t="s">
        <v>55</v>
      </c>
      <c r="I200" s="110">
        <v>0.995</v>
      </c>
      <c r="J200" s="110">
        <v>1.0009999999999999</v>
      </c>
      <c r="K200" s="119">
        <v>1.01</v>
      </c>
      <c r="L200" s="111">
        <f t="shared" si="51"/>
        <v>-5.0000000000000044E-3</v>
      </c>
      <c r="M200" s="112">
        <f t="shared" si="52"/>
        <v>9.9999999999988987E-4</v>
      </c>
      <c r="N200" s="112">
        <f t="shared" si="53"/>
        <v>1.0000000000000009E-2</v>
      </c>
      <c r="O200" s="112">
        <f t="shared" si="54"/>
        <v>1.002</v>
      </c>
      <c r="P200" s="113">
        <f t="shared" si="55"/>
        <v>0.33333333333333365</v>
      </c>
      <c r="Q200" s="114">
        <f t="shared" si="56"/>
        <v>0.16666666666666682</v>
      </c>
      <c r="R200" s="115" t="str">
        <f t="shared" si="57"/>
        <v xml:space="preserve"> </v>
      </c>
      <c r="S200" s="115" t="str">
        <f t="shared" si="58"/>
        <v xml:space="preserve"> </v>
      </c>
      <c r="T200" s="116" t="str">
        <f t="shared" si="59"/>
        <v/>
      </c>
      <c r="U200" s="120"/>
      <c r="V200" s="118"/>
      <c r="W200" s="131"/>
    </row>
    <row r="201" spans="1:23" ht="13.2">
      <c r="A201" s="102" t="s">
        <v>236</v>
      </c>
      <c r="B201" s="102"/>
      <c r="C201" s="104">
        <v>3</v>
      </c>
      <c r="D201" s="105" t="s">
        <v>68</v>
      </c>
      <c r="E201" s="106">
        <v>1</v>
      </c>
      <c r="F201" s="107">
        <v>0.03</v>
      </c>
      <c r="G201" s="108">
        <v>0.03</v>
      </c>
      <c r="H201" s="121" t="s">
        <v>55</v>
      </c>
      <c r="I201" s="110">
        <v>1.0009999999999999</v>
      </c>
      <c r="J201" s="110">
        <v>1.0009999999999999</v>
      </c>
      <c r="K201" s="119">
        <v>1.0069999999999999</v>
      </c>
      <c r="L201" s="111">
        <f t="shared" si="51"/>
        <v>9.9999999999988987E-4</v>
      </c>
      <c r="M201" s="112">
        <f t="shared" si="52"/>
        <v>9.9999999999988987E-4</v>
      </c>
      <c r="N201" s="112">
        <f t="shared" si="53"/>
        <v>6.9999999999998952E-3</v>
      </c>
      <c r="O201" s="112">
        <f t="shared" si="54"/>
        <v>1.0029999999999999</v>
      </c>
      <c r="P201" s="113">
        <f t="shared" si="55"/>
        <v>0.23333333333332984</v>
      </c>
      <c r="Q201" s="114">
        <f t="shared" si="56"/>
        <v>0</v>
      </c>
      <c r="R201" s="115" t="str">
        <f t="shared" si="57"/>
        <v xml:space="preserve"> </v>
      </c>
      <c r="S201" s="115" t="str">
        <f t="shared" si="58"/>
        <v xml:space="preserve"> </v>
      </c>
      <c r="T201" s="116" t="str">
        <f t="shared" si="59"/>
        <v/>
      </c>
      <c r="U201" s="120"/>
      <c r="V201" s="118"/>
      <c r="W201" s="131"/>
    </row>
    <row r="202" spans="1:23" ht="13.2">
      <c r="A202" s="102" t="s">
        <v>237</v>
      </c>
      <c r="B202" s="102"/>
      <c r="C202" s="104">
        <v>3</v>
      </c>
      <c r="D202" s="105" t="s">
        <v>68</v>
      </c>
      <c r="E202" s="106">
        <v>1</v>
      </c>
      <c r="F202" s="107">
        <v>0.03</v>
      </c>
      <c r="G202" s="108">
        <v>0.03</v>
      </c>
      <c r="H202" s="121" t="s">
        <v>55</v>
      </c>
      <c r="I202" s="110">
        <v>1.002</v>
      </c>
      <c r="J202" s="110">
        <v>1.006</v>
      </c>
      <c r="K202" s="119">
        <v>0.998</v>
      </c>
      <c r="L202" s="111">
        <f t="shared" si="51"/>
        <v>2.0000000000000018E-3</v>
      </c>
      <c r="M202" s="112">
        <f t="shared" si="52"/>
        <v>6.0000000000000053E-3</v>
      </c>
      <c r="N202" s="112">
        <f t="shared" si="53"/>
        <v>-2.0000000000000018E-3</v>
      </c>
      <c r="O202" s="112">
        <f t="shared" si="54"/>
        <v>1.002</v>
      </c>
      <c r="P202" s="113">
        <f t="shared" si="55"/>
        <v>0.20000000000000018</v>
      </c>
      <c r="Q202" s="114">
        <f t="shared" si="56"/>
        <v>6.6666666666666735E-2</v>
      </c>
      <c r="R202" s="115" t="str">
        <f t="shared" si="57"/>
        <v xml:space="preserve"> </v>
      </c>
      <c r="S202" s="115" t="str">
        <f t="shared" si="58"/>
        <v xml:space="preserve"> </v>
      </c>
      <c r="T202" s="116" t="str">
        <f t="shared" si="59"/>
        <v/>
      </c>
      <c r="U202" s="120"/>
      <c r="V202" s="118"/>
      <c r="W202" s="131"/>
    </row>
    <row r="203" spans="1:23" ht="13.2">
      <c r="A203" s="102" t="s">
        <v>238</v>
      </c>
      <c r="B203" s="102"/>
      <c r="C203" s="104">
        <v>3</v>
      </c>
      <c r="D203" s="105" t="s">
        <v>68</v>
      </c>
      <c r="E203" s="106">
        <v>1</v>
      </c>
      <c r="F203" s="107">
        <v>0.03</v>
      </c>
      <c r="G203" s="108">
        <v>0.03</v>
      </c>
      <c r="H203" s="121" t="s">
        <v>55</v>
      </c>
      <c r="I203" s="110">
        <v>1.0009999999999999</v>
      </c>
      <c r="J203" s="110">
        <v>0.999</v>
      </c>
      <c r="K203" s="119">
        <v>0.998</v>
      </c>
      <c r="L203" s="111">
        <f t="shared" si="51"/>
        <v>9.9999999999988987E-4</v>
      </c>
      <c r="M203" s="112">
        <f t="shared" si="52"/>
        <v>-1.0000000000000009E-3</v>
      </c>
      <c r="N203" s="112">
        <f t="shared" si="53"/>
        <v>-2.0000000000000018E-3</v>
      </c>
      <c r="O203" s="112">
        <f t="shared" si="54"/>
        <v>0.99933333333333341</v>
      </c>
      <c r="P203" s="113">
        <f t="shared" si="55"/>
        <v>3.3333333333329662E-2</v>
      </c>
      <c r="Q203" s="114">
        <f t="shared" si="56"/>
        <v>6.6666666666666735E-2</v>
      </c>
      <c r="R203" s="115" t="str">
        <f t="shared" si="57"/>
        <v xml:space="preserve"> </v>
      </c>
      <c r="S203" s="115" t="str">
        <f t="shared" si="58"/>
        <v xml:space="preserve"> </v>
      </c>
      <c r="T203" s="116" t="str">
        <f t="shared" si="59"/>
        <v/>
      </c>
      <c r="U203" s="120"/>
      <c r="V203" s="118"/>
      <c r="W203" s="131"/>
    </row>
    <row r="204" spans="1:23" ht="13.2">
      <c r="A204" s="102" t="s">
        <v>239</v>
      </c>
      <c r="B204" s="102"/>
      <c r="C204" s="104">
        <v>3</v>
      </c>
      <c r="D204" s="105" t="s">
        <v>68</v>
      </c>
      <c r="E204" s="106">
        <v>1</v>
      </c>
      <c r="F204" s="107">
        <v>0.03</v>
      </c>
      <c r="G204" s="108">
        <v>0.03</v>
      </c>
      <c r="H204" s="121" t="s">
        <v>55</v>
      </c>
      <c r="I204" s="110">
        <v>1.006</v>
      </c>
      <c r="J204" s="110">
        <v>1.006</v>
      </c>
      <c r="K204" s="119">
        <v>1.004</v>
      </c>
      <c r="L204" s="111">
        <f t="shared" si="51"/>
        <v>6.0000000000000053E-3</v>
      </c>
      <c r="M204" s="112">
        <f t="shared" si="52"/>
        <v>6.0000000000000053E-3</v>
      </c>
      <c r="N204" s="112">
        <f t="shared" si="53"/>
        <v>4.0000000000000036E-3</v>
      </c>
      <c r="O204" s="112">
        <f t="shared" si="54"/>
        <v>1.0053333333333334</v>
      </c>
      <c r="P204" s="113">
        <f t="shared" si="55"/>
        <v>0.20000000000000018</v>
      </c>
      <c r="Q204" s="114">
        <f t="shared" si="56"/>
        <v>0</v>
      </c>
      <c r="R204" s="115" t="str">
        <f t="shared" si="57"/>
        <v xml:space="preserve"> </v>
      </c>
      <c r="S204" s="115" t="str">
        <f t="shared" si="58"/>
        <v xml:space="preserve"> </v>
      </c>
      <c r="T204" s="116" t="str">
        <f t="shared" si="59"/>
        <v/>
      </c>
      <c r="U204" s="120"/>
      <c r="V204" s="118"/>
      <c r="W204" s="131"/>
    </row>
    <row r="205" spans="1:23" ht="13.2">
      <c r="A205" s="102" t="s">
        <v>240</v>
      </c>
      <c r="B205" s="102"/>
      <c r="C205" s="104">
        <v>3</v>
      </c>
      <c r="D205" s="105" t="s">
        <v>68</v>
      </c>
      <c r="E205" s="106">
        <v>1</v>
      </c>
      <c r="F205" s="107">
        <v>0.03</v>
      </c>
      <c r="G205" s="108">
        <v>0.03</v>
      </c>
      <c r="H205" s="121" t="s">
        <v>55</v>
      </c>
      <c r="I205" s="110">
        <v>0.98599999999999999</v>
      </c>
      <c r="J205" s="110">
        <v>0.998</v>
      </c>
      <c r="K205" s="119">
        <v>0.999</v>
      </c>
      <c r="L205" s="111">
        <f t="shared" si="51"/>
        <v>-1.4000000000000012E-2</v>
      </c>
      <c r="M205" s="112">
        <f t="shared" si="52"/>
        <v>-2.0000000000000018E-3</v>
      </c>
      <c r="N205" s="112">
        <f t="shared" si="53"/>
        <v>-1.0000000000000009E-3</v>
      </c>
      <c r="O205" s="112">
        <f t="shared" si="54"/>
        <v>0.9943333333333334</v>
      </c>
      <c r="P205" s="113">
        <f t="shared" si="55"/>
        <v>0</v>
      </c>
      <c r="Q205" s="114">
        <f t="shared" si="56"/>
        <v>0.46666666666666712</v>
      </c>
      <c r="R205" s="115" t="str">
        <f t="shared" si="57"/>
        <v xml:space="preserve"> </v>
      </c>
      <c r="S205" s="115" t="str">
        <f t="shared" si="58"/>
        <v xml:space="preserve"> </v>
      </c>
      <c r="T205" s="116" t="str">
        <f t="shared" si="59"/>
        <v/>
      </c>
      <c r="U205" s="120"/>
      <c r="V205" s="118"/>
      <c r="W205" s="131"/>
    </row>
    <row r="206" spans="1:23" ht="13.2">
      <c r="A206" s="102" t="s">
        <v>241</v>
      </c>
      <c r="B206" s="102"/>
      <c r="C206" s="104">
        <v>3</v>
      </c>
      <c r="D206" s="105" t="s">
        <v>68</v>
      </c>
      <c r="E206" s="106">
        <v>1</v>
      </c>
      <c r="F206" s="107">
        <v>0.03</v>
      </c>
      <c r="G206" s="108">
        <v>0.03</v>
      </c>
      <c r="H206" s="121" t="s">
        <v>55</v>
      </c>
      <c r="I206" s="110">
        <v>1.014</v>
      </c>
      <c r="J206" s="110">
        <v>0.999</v>
      </c>
      <c r="K206" s="119">
        <v>1</v>
      </c>
      <c r="L206" s="111">
        <f t="shared" si="51"/>
        <v>1.4000000000000012E-2</v>
      </c>
      <c r="M206" s="112">
        <f t="shared" si="52"/>
        <v>-1.0000000000000009E-3</v>
      </c>
      <c r="N206" s="112">
        <f t="shared" si="53"/>
        <v>0</v>
      </c>
      <c r="O206" s="112">
        <f t="shared" si="54"/>
        <v>1.0043333333333333</v>
      </c>
      <c r="P206" s="113">
        <f t="shared" si="55"/>
        <v>0.46666666666666712</v>
      </c>
      <c r="Q206" s="114">
        <f t="shared" si="56"/>
        <v>3.3333333333333368E-2</v>
      </c>
      <c r="R206" s="115" t="str">
        <f t="shared" si="57"/>
        <v xml:space="preserve"> </v>
      </c>
      <c r="S206" s="115" t="str">
        <f t="shared" si="58"/>
        <v xml:space="preserve"> </v>
      </c>
      <c r="T206" s="116" t="str">
        <f t="shared" si="59"/>
        <v/>
      </c>
      <c r="U206" s="120"/>
      <c r="V206" s="118"/>
      <c r="W206" s="131"/>
    </row>
    <row r="207" spans="1:23" ht="13.2">
      <c r="A207" s="102" t="s">
        <v>242</v>
      </c>
      <c r="B207" s="103"/>
      <c r="C207" s="104">
        <v>3</v>
      </c>
      <c r="D207" s="105" t="s">
        <v>68</v>
      </c>
      <c r="E207" s="106">
        <v>1</v>
      </c>
      <c r="F207" s="107">
        <v>0.03</v>
      </c>
      <c r="G207" s="108">
        <v>0.03</v>
      </c>
      <c r="H207" s="121" t="s">
        <v>55</v>
      </c>
      <c r="I207" s="110">
        <v>1.008</v>
      </c>
      <c r="J207" s="110">
        <v>1.0389999999999999</v>
      </c>
      <c r="K207" s="119">
        <v>1.034</v>
      </c>
      <c r="L207" s="111">
        <f t="shared" si="51"/>
        <v>8.0000000000000071E-3</v>
      </c>
      <c r="M207" s="112">
        <f t="shared" si="52"/>
        <v>3.8999999999999924E-2</v>
      </c>
      <c r="N207" s="112">
        <f t="shared" si="53"/>
        <v>3.400000000000003E-2</v>
      </c>
      <c r="O207" s="112">
        <f t="shared" si="54"/>
        <v>1.0269999999999999</v>
      </c>
      <c r="P207" s="113">
        <f t="shared" si="55"/>
        <v>1.2999999999999976</v>
      </c>
      <c r="Q207" s="114">
        <f t="shared" si="56"/>
        <v>0</v>
      </c>
      <c r="R207" s="115" t="str">
        <f t="shared" si="57"/>
        <v>Reject</v>
      </c>
      <c r="S207" s="115" t="str">
        <f t="shared" si="58"/>
        <v xml:space="preserve"> </v>
      </c>
      <c r="T207" s="116" t="str">
        <f t="shared" si="59"/>
        <v>Reject</v>
      </c>
      <c r="U207" s="120"/>
      <c r="V207" s="118"/>
      <c r="W207" s="131"/>
    </row>
    <row r="208" spans="1:23" ht="13.2">
      <c r="A208" s="102" t="s">
        <v>243</v>
      </c>
      <c r="B208" s="103"/>
      <c r="C208" s="104">
        <v>3</v>
      </c>
      <c r="D208" s="105" t="s">
        <v>68</v>
      </c>
      <c r="E208" s="106">
        <v>1</v>
      </c>
      <c r="F208" s="107">
        <v>0.03</v>
      </c>
      <c r="G208" s="108">
        <v>0.03</v>
      </c>
      <c r="H208" s="121" t="s">
        <v>55</v>
      </c>
      <c r="I208" s="110">
        <v>0.97699999999999998</v>
      </c>
      <c r="J208" s="110">
        <v>0.97399999999999998</v>
      </c>
      <c r="K208" s="119">
        <v>0.97399999999999998</v>
      </c>
      <c r="L208" s="111">
        <f t="shared" si="51"/>
        <v>-2.300000000000002E-2</v>
      </c>
      <c r="M208" s="112">
        <f t="shared" si="52"/>
        <v>-2.6000000000000023E-2</v>
      </c>
      <c r="N208" s="112">
        <f t="shared" si="53"/>
        <v>-2.6000000000000023E-2</v>
      </c>
      <c r="O208" s="112">
        <f t="shared" si="54"/>
        <v>0.97499999999999998</v>
      </c>
      <c r="P208" s="113">
        <f t="shared" si="55"/>
        <v>0</v>
      </c>
      <c r="Q208" s="114">
        <f t="shared" si="56"/>
        <v>0.86666666666666747</v>
      </c>
      <c r="R208" s="115" t="str">
        <f t="shared" si="57"/>
        <v xml:space="preserve"> </v>
      </c>
      <c r="S208" s="115" t="str">
        <f t="shared" si="58"/>
        <v>Alert</v>
      </c>
      <c r="T208" s="116" t="str">
        <f t="shared" si="59"/>
        <v>Alert</v>
      </c>
      <c r="U208" s="120"/>
      <c r="V208" s="118"/>
      <c r="W208" s="131"/>
    </row>
    <row r="209" spans="1:23" ht="13.2">
      <c r="A209" s="102" t="s">
        <v>244</v>
      </c>
      <c r="B209" s="103"/>
      <c r="C209" s="104">
        <v>3</v>
      </c>
      <c r="D209" s="105" t="s">
        <v>68</v>
      </c>
      <c r="E209" s="106">
        <v>1</v>
      </c>
      <c r="F209" s="107">
        <v>0.03</v>
      </c>
      <c r="G209" s="108">
        <v>0.03</v>
      </c>
      <c r="H209" s="121" t="s">
        <v>55</v>
      </c>
      <c r="I209" s="110">
        <v>1.0049999999999999</v>
      </c>
      <c r="J209" s="110">
        <v>0.999</v>
      </c>
      <c r="K209" s="119">
        <v>0.99099999999999999</v>
      </c>
      <c r="L209" s="111">
        <f t="shared" si="51"/>
        <v>4.9999999999998934E-3</v>
      </c>
      <c r="M209" s="112">
        <f t="shared" si="52"/>
        <v>-1.0000000000000009E-3</v>
      </c>
      <c r="N209" s="112">
        <f t="shared" si="53"/>
        <v>-9.000000000000008E-3</v>
      </c>
      <c r="O209" s="112">
        <f t="shared" si="54"/>
        <v>0.99833333333333341</v>
      </c>
      <c r="P209" s="113">
        <f t="shared" si="55"/>
        <v>0.16666666666666313</v>
      </c>
      <c r="Q209" s="114">
        <f t="shared" si="56"/>
        <v>0.30000000000000027</v>
      </c>
      <c r="R209" s="115" t="str">
        <f t="shared" si="57"/>
        <v xml:space="preserve"> </v>
      </c>
      <c r="S209" s="115" t="str">
        <f t="shared" si="58"/>
        <v xml:space="preserve"> </v>
      </c>
      <c r="T209" s="116" t="str">
        <f t="shared" si="59"/>
        <v/>
      </c>
      <c r="U209" s="120"/>
      <c r="V209" s="118"/>
      <c r="W209" s="131"/>
    </row>
    <row r="210" spans="1:23" ht="13.2">
      <c r="A210" s="102" t="s">
        <v>245</v>
      </c>
      <c r="B210" s="102"/>
      <c r="C210" s="104">
        <v>3</v>
      </c>
      <c r="D210" s="105" t="s">
        <v>68</v>
      </c>
      <c r="E210" s="106">
        <v>1</v>
      </c>
      <c r="F210" s="107">
        <v>0.03</v>
      </c>
      <c r="G210" s="108">
        <v>0.03</v>
      </c>
      <c r="H210" s="121" t="s">
        <v>55</v>
      </c>
      <c r="I210" s="110">
        <v>0.996</v>
      </c>
      <c r="J210" s="110">
        <v>1.006</v>
      </c>
      <c r="K210" s="119">
        <v>1.004</v>
      </c>
      <c r="L210" s="111">
        <f t="shared" si="51"/>
        <v>-4.0000000000000036E-3</v>
      </c>
      <c r="M210" s="112">
        <f t="shared" si="52"/>
        <v>6.0000000000000053E-3</v>
      </c>
      <c r="N210" s="112">
        <f t="shared" si="53"/>
        <v>4.0000000000000036E-3</v>
      </c>
      <c r="O210" s="112">
        <f t="shared" si="54"/>
        <v>1.002</v>
      </c>
      <c r="P210" s="113">
        <f t="shared" si="55"/>
        <v>0.20000000000000018</v>
      </c>
      <c r="Q210" s="114">
        <f t="shared" si="56"/>
        <v>0.13333333333333347</v>
      </c>
      <c r="R210" s="115" t="str">
        <f t="shared" si="57"/>
        <v xml:space="preserve"> </v>
      </c>
      <c r="S210" s="115" t="str">
        <f t="shared" si="58"/>
        <v xml:space="preserve"> </v>
      </c>
      <c r="T210" s="116" t="str">
        <f t="shared" si="59"/>
        <v/>
      </c>
      <c r="U210" s="120"/>
      <c r="V210" s="118"/>
      <c r="W210" s="131"/>
    </row>
    <row r="211" spans="1:23" ht="13.2">
      <c r="A211" s="102" t="s">
        <v>246</v>
      </c>
      <c r="B211" s="102"/>
      <c r="C211" s="104">
        <v>3</v>
      </c>
      <c r="D211" s="105" t="s">
        <v>68</v>
      </c>
      <c r="E211" s="106">
        <v>1</v>
      </c>
      <c r="F211" s="107">
        <v>0.03</v>
      </c>
      <c r="G211" s="108">
        <v>0.03</v>
      </c>
      <c r="H211" s="121" t="s">
        <v>55</v>
      </c>
      <c r="I211" s="110">
        <v>1.0129999999999999</v>
      </c>
      <c r="J211" s="110">
        <v>1.002</v>
      </c>
      <c r="K211" s="119">
        <v>0.998</v>
      </c>
      <c r="L211" s="111">
        <f t="shared" ref="L211:L274" si="60">IF(ISBLANK($E211),"",IF(ISERR(I211/I211)=TRUE,"BAD INSP",I211-$E211))</f>
        <v>1.2999999999999901E-2</v>
      </c>
      <c r="M211" s="112">
        <f t="shared" ref="M211:M274" si="61">IF(ISBLANK($E211),"",IF(ISERR(J211/J211)=TRUE,"BAD INSP",J211-$E211))</f>
        <v>2.0000000000000018E-3</v>
      </c>
      <c r="N211" s="112">
        <f t="shared" ref="N211:N274" si="62">IF(ISBLANK($E211),"",IF(ISERR(K211/K211)=TRUE,"BAD INSP",K211-$E211))</f>
        <v>-2.0000000000000018E-3</v>
      </c>
      <c r="O211" s="112">
        <f t="shared" si="54"/>
        <v>1.0043333333333333</v>
      </c>
      <c r="P211" s="113">
        <f t="shared" si="55"/>
        <v>0.43333333333333002</v>
      </c>
      <c r="Q211" s="114">
        <f t="shared" si="56"/>
        <v>6.6666666666666735E-2</v>
      </c>
      <c r="R211" s="115" t="str">
        <f t="shared" si="57"/>
        <v xml:space="preserve"> </v>
      </c>
      <c r="S211" s="115" t="str">
        <f t="shared" si="58"/>
        <v xml:space="preserve"> </v>
      </c>
      <c r="T211" s="116" t="str">
        <f t="shared" si="59"/>
        <v/>
      </c>
      <c r="U211" s="120"/>
      <c r="V211" s="118"/>
      <c r="W211" s="131"/>
    </row>
    <row r="212" spans="1:23" ht="13.2">
      <c r="A212" s="102" t="s">
        <v>247</v>
      </c>
      <c r="B212" s="102"/>
      <c r="C212" s="104">
        <v>3</v>
      </c>
      <c r="D212" s="105" t="s">
        <v>68</v>
      </c>
      <c r="E212" s="106">
        <v>1</v>
      </c>
      <c r="F212" s="107">
        <v>0.03</v>
      </c>
      <c r="G212" s="108">
        <v>0.03</v>
      </c>
      <c r="H212" s="121" t="s">
        <v>55</v>
      </c>
      <c r="I212" s="110">
        <v>0.997</v>
      </c>
      <c r="J212" s="110">
        <v>1.014</v>
      </c>
      <c r="K212" s="119">
        <v>1.012</v>
      </c>
      <c r="L212" s="111">
        <f t="shared" si="60"/>
        <v>-3.0000000000000027E-3</v>
      </c>
      <c r="M212" s="112">
        <f t="shared" si="61"/>
        <v>1.4000000000000012E-2</v>
      </c>
      <c r="N212" s="112">
        <f t="shared" si="62"/>
        <v>1.2000000000000011E-2</v>
      </c>
      <c r="O212" s="112">
        <f t="shared" si="54"/>
        <v>1.0076666666666667</v>
      </c>
      <c r="P212" s="113">
        <f t="shared" si="55"/>
        <v>0.46666666666666712</v>
      </c>
      <c r="Q212" s="114">
        <f t="shared" si="56"/>
        <v>0.10000000000000009</v>
      </c>
      <c r="R212" s="115" t="str">
        <f t="shared" si="57"/>
        <v xml:space="preserve"> </v>
      </c>
      <c r="S212" s="115" t="str">
        <f t="shared" si="58"/>
        <v xml:space="preserve"> </v>
      </c>
      <c r="T212" s="116" t="str">
        <f t="shared" si="59"/>
        <v/>
      </c>
      <c r="U212" s="120"/>
      <c r="V212" s="118"/>
      <c r="W212" s="131"/>
    </row>
    <row r="213" spans="1:23" ht="13.2">
      <c r="A213" s="102" t="s">
        <v>248</v>
      </c>
      <c r="B213" s="102"/>
      <c r="C213" s="104">
        <v>3</v>
      </c>
      <c r="D213" s="105" t="s">
        <v>68</v>
      </c>
      <c r="E213" s="106">
        <v>1</v>
      </c>
      <c r="F213" s="107">
        <v>0.03</v>
      </c>
      <c r="G213" s="108">
        <v>0.03</v>
      </c>
      <c r="H213" s="121" t="s">
        <v>55</v>
      </c>
      <c r="I213" s="110">
        <v>1.0009999999999999</v>
      </c>
      <c r="J213" s="110">
        <v>0.997</v>
      </c>
      <c r="K213" s="119">
        <v>0.98799999999999999</v>
      </c>
      <c r="L213" s="111">
        <f t="shared" si="60"/>
        <v>9.9999999999988987E-4</v>
      </c>
      <c r="M213" s="112">
        <f t="shared" si="61"/>
        <v>-3.0000000000000027E-3</v>
      </c>
      <c r="N213" s="112">
        <f t="shared" si="62"/>
        <v>-1.2000000000000011E-2</v>
      </c>
      <c r="O213" s="112">
        <f t="shared" si="54"/>
        <v>0.99533333333333329</v>
      </c>
      <c r="P213" s="113">
        <f t="shared" si="55"/>
        <v>3.3333333333329662E-2</v>
      </c>
      <c r="Q213" s="114">
        <f t="shared" si="56"/>
        <v>0.40000000000000036</v>
      </c>
      <c r="R213" s="115" t="str">
        <f t="shared" si="57"/>
        <v xml:space="preserve"> </v>
      </c>
      <c r="S213" s="115" t="str">
        <f t="shared" si="58"/>
        <v xml:space="preserve"> </v>
      </c>
      <c r="T213" s="116" t="str">
        <f t="shared" si="59"/>
        <v/>
      </c>
      <c r="U213" s="120"/>
      <c r="V213" s="118"/>
      <c r="W213" s="131"/>
    </row>
    <row r="214" spans="1:23" ht="13.2">
      <c r="A214" s="102" t="s">
        <v>249</v>
      </c>
      <c r="B214" s="102"/>
      <c r="C214" s="104">
        <v>3</v>
      </c>
      <c r="D214" s="105" t="s">
        <v>68</v>
      </c>
      <c r="E214" s="106">
        <v>1</v>
      </c>
      <c r="F214" s="107">
        <v>0.03</v>
      </c>
      <c r="G214" s="108">
        <v>0.03</v>
      </c>
      <c r="H214" s="121" t="s">
        <v>55</v>
      </c>
      <c r="I214" s="110">
        <v>0.999</v>
      </c>
      <c r="J214" s="110">
        <v>0.998</v>
      </c>
      <c r="K214" s="119">
        <v>1</v>
      </c>
      <c r="L214" s="111">
        <f t="shared" si="60"/>
        <v>-1.0000000000000009E-3</v>
      </c>
      <c r="M214" s="112">
        <f t="shared" si="61"/>
        <v>-2.0000000000000018E-3</v>
      </c>
      <c r="N214" s="112">
        <f t="shared" si="62"/>
        <v>0</v>
      </c>
      <c r="O214" s="112">
        <f t="shared" si="54"/>
        <v>0.999</v>
      </c>
      <c r="P214" s="113">
        <f t="shared" si="55"/>
        <v>0</v>
      </c>
      <c r="Q214" s="114">
        <f t="shared" si="56"/>
        <v>6.6666666666666735E-2</v>
      </c>
      <c r="R214" s="115" t="str">
        <f t="shared" si="57"/>
        <v xml:space="preserve"> </v>
      </c>
      <c r="S214" s="115" t="str">
        <f t="shared" si="58"/>
        <v xml:space="preserve"> </v>
      </c>
      <c r="T214" s="116" t="str">
        <f t="shared" si="59"/>
        <v/>
      </c>
      <c r="U214" s="120"/>
      <c r="V214" s="118"/>
      <c r="W214" s="131"/>
    </row>
    <row r="215" spans="1:23" ht="13.2">
      <c r="A215" s="102" t="s">
        <v>250</v>
      </c>
      <c r="B215" s="102"/>
      <c r="C215" s="104">
        <v>3</v>
      </c>
      <c r="D215" s="105" t="s">
        <v>68</v>
      </c>
      <c r="E215" s="106">
        <v>1</v>
      </c>
      <c r="F215" s="107">
        <v>0.03</v>
      </c>
      <c r="G215" s="108">
        <v>0.03</v>
      </c>
      <c r="H215" s="121" t="s">
        <v>55</v>
      </c>
      <c r="I215" s="110">
        <v>1.0129999999999999</v>
      </c>
      <c r="J215" s="110">
        <v>1.002</v>
      </c>
      <c r="K215" s="119">
        <v>1.002</v>
      </c>
      <c r="L215" s="111">
        <f t="shared" si="60"/>
        <v>1.2999999999999901E-2</v>
      </c>
      <c r="M215" s="112">
        <f t="shared" si="61"/>
        <v>2.0000000000000018E-3</v>
      </c>
      <c r="N215" s="112">
        <f t="shared" si="62"/>
        <v>2.0000000000000018E-3</v>
      </c>
      <c r="O215" s="112">
        <f t="shared" si="54"/>
        <v>1.0056666666666665</v>
      </c>
      <c r="P215" s="113">
        <f t="shared" si="55"/>
        <v>0.43333333333333002</v>
      </c>
      <c r="Q215" s="114">
        <f t="shared" si="56"/>
        <v>0</v>
      </c>
      <c r="R215" s="115" t="str">
        <f t="shared" si="57"/>
        <v xml:space="preserve"> </v>
      </c>
      <c r="S215" s="115" t="str">
        <f t="shared" si="58"/>
        <v xml:space="preserve"> </v>
      </c>
      <c r="T215" s="116" t="str">
        <f t="shared" si="59"/>
        <v/>
      </c>
      <c r="U215" s="120"/>
      <c r="V215" s="118"/>
      <c r="W215" s="131"/>
    </row>
    <row r="216" spans="1:23" ht="13.2">
      <c r="A216" s="102" t="s">
        <v>251</v>
      </c>
      <c r="B216" s="102"/>
      <c r="C216" s="104">
        <v>3</v>
      </c>
      <c r="D216" s="105" t="s">
        <v>68</v>
      </c>
      <c r="E216" s="106">
        <v>1</v>
      </c>
      <c r="F216" s="107">
        <v>0.03</v>
      </c>
      <c r="G216" s="108">
        <v>0.03</v>
      </c>
      <c r="H216" s="121" t="s">
        <v>55</v>
      </c>
      <c r="I216" s="110">
        <v>0.999</v>
      </c>
      <c r="J216" s="110">
        <v>1.004</v>
      </c>
      <c r="K216" s="119">
        <v>0.998</v>
      </c>
      <c r="L216" s="111">
        <f t="shared" si="60"/>
        <v>-1.0000000000000009E-3</v>
      </c>
      <c r="M216" s="112">
        <f t="shared" si="61"/>
        <v>4.0000000000000036E-3</v>
      </c>
      <c r="N216" s="112">
        <f t="shared" si="62"/>
        <v>-2.0000000000000018E-3</v>
      </c>
      <c r="O216" s="112">
        <f t="shared" si="54"/>
        <v>1.0003333333333335</v>
      </c>
      <c r="P216" s="113">
        <f t="shared" si="55"/>
        <v>0.13333333333333347</v>
      </c>
      <c r="Q216" s="114">
        <f t="shared" si="56"/>
        <v>6.6666666666666735E-2</v>
      </c>
      <c r="R216" s="115" t="str">
        <f t="shared" si="57"/>
        <v xml:space="preserve"> </v>
      </c>
      <c r="S216" s="115" t="str">
        <f t="shared" si="58"/>
        <v xml:space="preserve"> </v>
      </c>
      <c r="T216" s="116" t="str">
        <f t="shared" si="59"/>
        <v/>
      </c>
      <c r="U216" s="120"/>
      <c r="V216" s="118"/>
      <c r="W216" s="131"/>
    </row>
    <row r="217" spans="1:23" ht="13.2">
      <c r="A217" s="102" t="s">
        <v>252</v>
      </c>
      <c r="B217" s="102"/>
      <c r="C217" s="104">
        <v>3</v>
      </c>
      <c r="D217" s="105" t="s">
        <v>68</v>
      </c>
      <c r="E217" s="106">
        <v>1</v>
      </c>
      <c r="F217" s="107">
        <v>0.03</v>
      </c>
      <c r="G217" s="108">
        <v>0.03</v>
      </c>
      <c r="H217" s="121" t="s">
        <v>55</v>
      </c>
      <c r="I217" s="110">
        <v>0.998</v>
      </c>
      <c r="J217" s="110">
        <v>0.995</v>
      </c>
      <c r="K217" s="119">
        <v>0.99299999999999999</v>
      </c>
      <c r="L217" s="111">
        <f t="shared" si="60"/>
        <v>-2.0000000000000018E-3</v>
      </c>
      <c r="M217" s="112">
        <f t="shared" si="61"/>
        <v>-5.0000000000000044E-3</v>
      </c>
      <c r="N217" s="112">
        <f t="shared" si="62"/>
        <v>-7.0000000000000062E-3</v>
      </c>
      <c r="O217" s="112">
        <f t="shared" si="54"/>
        <v>0.99533333333333329</v>
      </c>
      <c r="P217" s="113">
        <f t="shared" si="55"/>
        <v>0</v>
      </c>
      <c r="Q217" s="114">
        <f t="shared" si="56"/>
        <v>0.23333333333333356</v>
      </c>
      <c r="R217" s="115" t="str">
        <f t="shared" si="57"/>
        <v xml:space="preserve"> </v>
      </c>
      <c r="S217" s="115" t="str">
        <f t="shared" si="58"/>
        <v xml:space="preserve"> </v>
      </c>
      <c r="T217" s="116" t="str">
        <f t="shared" si="59"/>
        <v/>
      </c>
      <c r="U217" s="120"/>
      <c r="V217" s="118"/>
      <c r="W217" s="131"/>
    </row>
    <row r="218" spans="1:23" ht="13.2">
      <c r="A218" s="102" t="s">
        <v>253</v>
      </c>
      <c r="B218" s="102"/>
      <c r="C218" s="104">
        <v>3</v>
      </c>
      <c r="D218" s="105" t="s">
        <v>68</v>
      </c>
      <c r="E218" s="106">
        <v>1</v>
      </c>
      <c r="F218" s="107">
        <v>0.03</v>
      </c>
      <c r="G218" s="108">
        <v>0.03</v>
      </c>
      <c r="H218" s="121" t="s">
        <v>55</v>
      </c>
      <c r="I218" s="110">
        <v>0.99399999999999999</v>
      </c>
      <c r="J218" s="110">
        <v>1.0049999999999999</v>
      </c>
      <c r="K218" s="119">
        <v>1.0069999999999999</v>
      </c>
      <c r="L218" s="111">
        <f t="shared" si="60"/>
        <v>-6.0000000000000053E-3</v>
      </c>
      <c r="M218" s="112">
        <f t="shared" si="61"/>
        <v>4.9999999999998934E-3</v>
      </c>
      <c r="N218" s="112">
        <f t="shared" si="62"/>
        <v>6.9999999999998952E-3</v>
      </c>
      <c r="O218" s="112">
        <f t="shared" si="54"/>
        <v>1.002</v>
      </c>
      <c r="P218" s="113">
        <f t="shared" si="55"/>
        <v>0.23333333333332984</v>
      </c>
      <c r="Q218" s="114">
        <f t="shared" si="56"/>
        <v>0.20000000000000018</v>
      </c>
      <c r="R218" s="115" t="str">
        <f t="shared" si="57"/>
        <v xml:space="preserve"> </v>
      </c>
      <c r="S218" s="115" t="str">
        <f t="shared" si="58"/>
        <v xml:space="preserve"> </v>
      </c>
      <c r="T218" s="116" t="str">
        <f t="shared" si="59"/>
        <v/>
      </c>
      <c r="U218" s="120"/>
      <c r="V218" s="118"/>
      <c r="W218" s="131"/>
    </row>
    <row r="219" spans="1:23" ht="13.2">
      <c r="A219" s="102" t="s">
        <v>254</v>
      </c>
      <c r="B219" s="102"/>
      <c r="C219" s="104">
        <v>3</v>
      </c>
      <c r="D219" s="105" t="s">
        <v>68</v>
      </c>
      <c r="E219" s="106">
        <v>1</v>
      </c>
      <c r="F219" s="107">
        <v>0.03</v>
      </c>
      <c r="G219" s="108">
        <v>0.03</v>
      </c>
      <c r="H219" s="121" t="s">
        <v>55</v>
      </c>
      <c r="I219" s="110">
        <v>1.006</v>
      </c>
      <c r="J219" s="110">
        <v>0.996</v>
      </c>
      <c r="K219" s="119">
        <v>1.0029999999999999</v>
      </c>
      <c r="L219" s="111">
        <f t="shared" si="60"/>
        <v>6.0000000000000053E-3</v>
      </c>
      <c r="M219" s="112">
        <f t="shared" si="61"/>
        <v>-4.0000000000000036E-3</v>
      </c>
      <c r="N219" s="112">
        <f t="shared" si="62"/>
        <v>2.9999999999998916E-3</v>
      </c>
      <c r="O219" s="112">
        <f t="shared" si="54"/>
        <v>1.0016666666666667</v>
      </c>
      <c r="P219" s="113">
        <f t="shared" si="55"/>
        <v>0.20000000000000018</v>
      </c>
      <c r="Q219" s="114">
        <f t="shared" si="56"/>
        <v>0.13333333333333347</v>
      </c>
      <c r="R219" s="115" t="str">
        <f t="shared" si="57"/>
        <v xml:space="preserve"> </v>
      </c>
      <c r="S219" s="115" t="str">
        <f t="shared" si="58"/>
        <v xml:space="preserve"> </v>
      </c>
      <c r="T219" s="116" t="str">
        <f t="shared" si="59"/>
        <v/>
      </c>
      <c r="U219" s="120"/>
      <c r="V219" s="118"/>
      <c r="W219" s="131"/>
    </row>
    <row r="220" spans="1:23" ht="13.2">
      <c r="A220" s="102" t="s">
        <v>255</v>
      </c>
      <c r="B220" s="102"/>
      <c r="C220" s="104">
        <v>3</v>
      </c>
      <c r="D220" s="105" t="s">
        <v>68</v>
      </c>
      <c r="E220" s="106">
        <v>1</v>
      </c>
      <c r="F220" s="107">
        <v>0.03</v>
      </c>
      <c r="G220" s="108">
        <v>0.03</v>
      </c>
      <c r="H220" s="121" t="s">
        <v>55</v>
      </c>
      <c r="I220" s="110">
        <v>1.0029999999999999</v>
      </c>
      <c r="J220" s="110">
        <v>1.0029999999999999</v>
      </c>
      <c r="K220" s="119">
        <v>1.01</v>
      </c>
      <c r="L220" s="111">
        <f t="shared" si="60"/>
        <v>2.9999999999998916E-3</v>
      </c>
      <c r="M220" s="112">
        <f t="shared" si="61"/>
        <v>2.9999999999998916E-3</v>
      </c>
      <c r="N220" s="112">
        <f t="shared" si="62"/>
        <v>1.0000000000000009E-2</v>
      </c>
      <c r="O220" s="112">
        <f t="shared" si="54"/>
        <v>1.0053333333333334</v>
      </c>
      <c r="P220" s="113">
        <f t="shared" si="55"/>
        <v>0.33333333333333365</v>
      </c>
      <c r="Q220" s="114">
        <f t="shared" si="56"/>
        <v>0</v>
      </c>
      <c r="R220" s="115" t="str">
        <f t="shared" si="57"/>
        <v xml:space="preserve"> </v>
      </c>
      <c r="S220" s="115" t="str">
        <f t="shared" si="58"/>
        <v xml:space="preserve"> </v>
      </c>
      <c r="T220" s="116" t="str">
        <f t="shared" si="59"/>
        <v/>
      </c>
      <c r="U220" s="120"/>
      <c r="V220" s="118"/>
      <c r="W220" s="131"/>
    </row>
    <row r="221" spans="1:23" ht="13.2">
      <c r="A221" s="102" t="s">
        <v>256</v>
      </c>
      <c r="B221" s="102"/>
      <c r="C221" s="104">
        <v>3</v>
      </c>
      <c r="D221" s="105" t="s">
        <v>68</v>
      </c>
      <c r="E221" s="106">
        <v>1</v>
      </c>
      <c r="F221" s="107">
        <v>0.03</v>
      </c>
      <c r="G221" s="108">
        <v>0.03</v>
      </c>
      <c r="H221" s="121" t="s">
        <v>55</v>
      </c>
      <c r="I221" s="110">
        <v>1.0089999999999999</v>
      </c>
      <c r="J221" s="110">
        <v>1.01</v>
      </c>
      <c r="K221" s="119">
        <v>1.0149999999999999</v>
      </c>
      <c r="L221" s="111">
        <f t="shared" si="60"/>
        <v>8.999999999999897E-3</v>
      </c>
      <c r="M221" s="112">
        <f t="shared" si="61"/>
        <v>1.0000000000000009E-2</v>
      </c>
      <c r="N221" s="112">
        <f t="shared" si="62"/>
        <v>1.4999999999999902E-2</v>
      </c>
      <c r="O221" s="112">
        <f t="shared" si="54"/>
        <v>1.0113333333333332</v>
      </c>
      <c r="P221" s="113">
        <f t="shared" si="55"/>
        <v>0.49999999999999678</v>
      </c>
      <c r="Q221" s="114">
        <f t="shared" si="56"/>
        <v>0</v>
      </c>
      <c r="R221" s="115" t="str">
        <f t="shared" si="57"/>
        <v xml:space="preserve"> </v>
      </c>
      <c r="S221" s="115" t="str">
        <f t="shared" si="58"/>
        <v xml:space="preserve"> </v>
      </c>
      <c r="T221" s="116" t="str">
        <f t="shared" si="59"/>
        <v/>
      </c>
      <c r="U221" s="120"/>
      <c r="V221" s="118"/>
      <c r="W221" s="131"/>
    </row>
    <row r="222" spans="1:23" ht="13.2">
      <c r="A222" s="102" t="s">
        <v>257</v>
      </c>
      <c r="B222" s="103"/>
      <c r="C222" s="104">
        <v>3</v>
      </c>
      <c r="D222" s="105" t="s">
        <v>68</v>
      </c>
      <c r="E222" s="106">
        <v>1</v>
      </c>
      <c r="F222" s="107">
        <v>0.03</v>
      </c>
      <c r="G222" s="108">
        <v>0.03</v>
      </c>
      <c r="H222" s="121" t="s">
        <v>55</v>
      </c>
      <c r="I222" s="110">
        <v>1.006</v>
      </c>
      <c r="J222" s="110">
        <v>0.99199999999999999</v>
      </c>
      <c r="K222" s="119">
        <v>1.0009999999999999</v>
      </c>
      <c r="L222" s="111">
        <f t="shared" si="60"/>
        <v>6.0000000000000053E-3</v>
      </c>
      <c r="M222" s="112">
        <f t="shared" si="61"/>
        <v>-8.0000000000000071E-3</v>
      </c>
      <c r="N222" s="112">
        <f t="shared" si="62"/>
        <v>9.9999999999988987E-4</v>
      </c>
      <c r="O222" s="112">
        <f t="shared" si="54"/>
        <v>0.99966666666666659</v>
      </c>
      <c r="P222" s="113">
        <f t="shared" si="55"/>
        <v>0.20000000000000018</v>
      </c>
      <c r="Q222" s="114">
        <f t="shared" si="56"/>
        <v>0.26666666666666694</v>
      </c>
      <c r="R222" s="115" t="str">
        <f t="shared" si="57"/>
        <v xml:space="preserve"> </v>
      </c>
      <c r="S222" s="115" t="str">
        <f t="shared" si="58"/>
        <v xml:space="preserve"> </v>
      </c>
      <c r="T222" s="116" t="str">
        <f t="shared" si="59"/>
        <v/>
      </c>
      <c r="U222" s="120"/>
      <c r="V222" s="118"/>
      <c r="W222" s="131"/>
    </row>
    <row r="223" spans="1:23" ht="13.2">
      <c r="A223" s="102" t="s">
        <v>258</v>
      </c>
      <c r="B223" s="103"/>
      <c r="C223" s="104">
        <v>3</v>
      </c>
      <c r="D223" s="105" t="s">
        <v>68</v>
      </c>
      <c r="E223" s="106">
        <v>1</v>
      </c>
      <c r="F223" s="107">
        <v>0.03</v>
      </c>
      <c r="G223" s="108">
        <v>0.03</v>
      </c>
      <c r="H223" s="121" t="s">
        <v>55</v>
      </c>
      <c r="I223" s="110">
        <v>0.99099999999999999</v>
      </c>
      <c r="J223" s="110">
        <v>1.0109999999999999</v>
      </c>
      <c r="K223" s="119">
        <v>1.006</v>
      </c>
      <c r="L223" s="111">
        <f t="shared" si="60"/>
        <v>-9.000000000000008E-3</v>
      </c>
      <c r="M223" s="112">
        <f t="shared" si="61"/>
        <v>1.0999999999999899E-2</v>
      </c>
      <c r="N223" s="112">
        <f t="shared" si="62"/>
        <v>6.0000000000000053E-3</v>
      </c>
      <c r="O223" s="112">
        <f t="shared" si="54"/>
        <v>1.0026666666666666</v>
      </c>
      <c r="P223" s="113">
        <f t="shared" si="55"/>
        <v>0.36666666666666331</v>
      </c>
      <c r="Q223" s="114">
        <f t="shared" si="56"/>
        <v>0.30000000000000027</v>
      </c>
      <c r="R223" s="115" t="str">
        <f t="shared" si="57"/>
        <v xml:space="preserve"> </v>
      </c>
      <c r="S223" s="115" t="str">
        <f t="shared" si="58"/>
        <v xml:space="preserve"> </v>
      </c>
      <c r="T223" s="116" t="str">
        <f t="shared" si="59"/>
        <v/>
      </c>
      <c r="U223" s="120"/>
      <c r="V223" s="118"/>
      <c r="W223" s="131"/>
    </row>
    <row r="224" spans="1:23" ht="13.2">
      <c r="A224" s="102" t="s">
        <v>259</v>
      </c>
      <c r="B224" s="103"/>
      <c r="C224" s="104">
        <v>3</v>
      </c>
      <c r="D224" s="105" t="s">
        <v>68</v>
      </c>
      <c r="E224" s="106">
        <v>1</v>
      </c>
      <c r="F224" s="107">
        <v>0.03</v>
      </c>
      <c r="G224" s="108">
        <v>0.03</v>
      </c>
      <c r="H224" s="121" t="s">
        <v>55</v>
      </c>
      <c r="I224" s="110">
        <v>1.002</v>
      </c>
      <c r="J224" s="110">
        <v>1.0069999999999999</v>
      </c>
      <c r="K224" s="119">
        <v>0.997</v>
      </c>
      <c r="L224" s="111">
        <f t="shared" si="60"/>
        <v>2.0000000000000018E-3</v>
      </c>
      <c r="M224" s="112">
        <f t="shared" si="61"/>
        <v>6.9999999999998952E-3</v>
      </c>
      <c r="N224" s="112">
        <f t="shared" si="62"/>
        <v>-3.0000000000000027E-3</v>
      </c>
      <c r="O224" s="112">
        <f t="shared" si="54"/>
        <v>1.002</v>
      </c>
      <c r="P224" s="113">
        <f t="shared" si="55"/>
        <v>0.23333333333332984</v>
      </c>
      <c r="Q224" s="114">
        <f t="shared" si="56"/>
        <v>0.10000000000000009</v>
      </c>
      <c r="R224" s="115" t="str">
        <f t="shared" si="57"/>
        <v xml:space="preserve"> </v>
      </c>
      <c r="S224" s="115" t="str">
        <f t="shared" si="58"/>
        <v xml:space="preserve"> </v>
      </c>
      <c r="T224" s="116" t="str">
        <f t="shared" si="59"/>
        <v/>
      </c>
      <c r="U224" s="120"/>
      <c r="V224" s="118"/>
      <c r="W224" s="131"/>
    </row>
    <row r="225" spans="1:23" ht="13.2">
      <c r="A225" s="102" t="s">
        <v>260</v>
      </c>
      <c r="B225" s="102"/>
      <c r="C225" s="104">
        <v>3</v>
      </c>
      <c r="D225" s="105" t="s">
        <v>68</v>
      </c>
      <c r="E225" s="106">
        <v>1</v>
      </c>
      <c r="F225" s="107">
        <v>0.03</v>
      </c>
      <c r="G225" s="108">
        <v>0.03</v>
      </c>
      <c r="H225" s="121" t="s">
        <v>55</v>
      </c>
      <c r="I225" s="110">
        <v>0.997</v>
      </c>
      <c r="J225" s="110">
        <v>1.0009999999999999</v>
      </c>
      <c r="K225" s="119">
        <v>1.008</v>
      </c>
      <c r="L225" s="111">
        <f t="shared" si="60"/>
        <v>-3.0000000000000027E-3</v>
      </c>
      <c r="M225" s="112">
        <f t="shared" si="61"/>
        <v>9.9999999999988987E-4</v>
      </c>
      <c r="N225" s="112">
        <f t="shared" si="62"/>
        <v>8.0000000000000071E-3</v>
      </c>
      <c r="O225" s="112">
        <f t="shared" si="54"/>
        <v>1.002</v>
      </c>
      <c r="P225" s="113">
        <f t="shared" si="55"/>
        <v>0.26666666666666694</v>
      </c>
      <c r="Q225" s="114">
        <f t="shared" si="56"/>
        <v>0.10000000000000009</v>
      </c>
      <c r="R225" s="115" t="str">
        <f t="shared" si="57"/>
        <v xml:space="preserve"> </v>
      </c>
      <c r="S225" s="115" t="str">
        <f t="shared" si="58"/>
        <v xml:space="preserve"> </v>
      </c>
      <c r="T225" s="116" t="str">
        <f t="shared" si="59"/>
        <v/>
      </c>
      <c r="U225" s="120"/>
      <c r="V225" s="118"/>
      <c r="W225" s="131"/>
    </row>
    <row r="226" spans="1:23" ht="13.2">
      <c r="A226" s="102" t="s">
        <v>261</v>
      </c>
      <c r="B226" s="102"/>
      <c r="C226" s="104">
        <v>3</v>
      </c>
      <c r="D226" s="105" t="s">
        <v>68</v>
      </c>
      <c r="E226" s="106">
        <v>1</v>
      </c>
      <c r="F226" s="107">
        <v>0.03</v>
      </c>
      <c r="G226" s="108">
        <v>0.03</v>
      </c>
      <c r="H226" s="121" t="s">
        <v>55</v>
      </c>
      <c r="I226" s="110">
        <v>1.0089999999999999</v>
      </c>
      <c r="J226" s="110">
        <v>1.01</v>
      </c>
      <c r="K226" s="119">
        <v>1.01</v>
      </c>
      <c r="L226" s="111">
        <f t="shared" si="60"/>
        <v>8.999999999999897E-3</v>
      </c>
      <c r="M226" s="112">
        <f t="shared" si="61"/>
        <v>1.0000000000000009E-2</v>
      </c>
      <c r="N226" s="112">
        <f t="shared" si="62"/>
        <v>1.0000000000000009E-2</v>
      </c>
      <c r="O226" s="112">
        <f t="shared" si="54"/>
        <v>1.0096666666666667</v>
      </c>
      <c r="P226" s="113">
        <f t="shared" si="55"/>
        <v>0.33333333333333365</v>
      </c>
      <c r="Q226" s="114">
        <f t="shared" si="56"/>
        <v>0</v>
      </c>
      <c r="R226" s="115" t="str">
        <f t="shared" si="57"/>
        <v xml:space="preserve"> </v>
      </c>
      <c r="S226" s="115" t="str">
        <f t="shared" si="58"/>
        <v xml:space="preserve"> </v>
      </c>
      <c r="T226" s="116" t="str">
        <f t="shared" si="59"/>
        <v/>
      </c>
      <c r="U226" s="120"/>
      <c r="V226" s="118"/>
      <c r="W226" s="131"/>
    </row>
    <row r="227" spans="1:23" ht="13.2">
      <c r="A227" s="102" t="s">
        <v>262</v>
      </c>
      <c r="B227" s="102"/>
      <c r="C227" s="104">
        <v>3</v>
      </c>
      <c r="D227" s="105" t="s">
        <v>68</v>
      </c>
      <c r="E227" s="106">
        <v>1</v>
      </c>
      <c r="F227" s="107">
        <v>0.03</v>
      </c>
      <c r="G227" s="108">
        <v>0.03</v>
      </c>
      <c r="H227" s="121" t="s">
        <v>55</v>
      </c>
      <c r="I227" s="110">
        <v>1.002</v>
      </c>
      <c r="J227" s="110">
        <v>1.006</v>
      </c>
      <c r="K227" s="119">
        <v>1.0029999999999999</v>
      </c>
      <c r="L227" s="111">
        <f t="shared" si="60"/>
        <v>2.0000000000000018E-3</v>
      </c>
      <c r="M227" s="112">
        <f t="shared" si="61"/>
        <v>6.0000000000000053E-3</v>
      </c>
      <c r="N227" s="112">
        <f t="shared" si="62"/>
        <v>2.9999999999998916E-3</v>
      </c>
      <c r="O227" s="112">
        <f t="shared" si="54"/>
        <v>1.0036666666666667</v>
      </c>
      <c r="P227" s="113">
        <f t="shared" si="55"/>
        <v>0.20000000000000018</v>
      </c>
      <c r="Q227" s="114">
        <f t="shared" si="56"/>
        <v>0</v>
      </c>
      <c r="R227" s="115" t="str">
        <f t="shared" si="57"/>
        <v xml:space="preserve"> </v>
      </c>
      <c r="S227" s="115" t="str">
        <f t="shared" si="58"/>
        <v xml:space="preserve"> </v>
      </c>
      <c r="T227" s="116" t="str">
        <f t="shared" si="59"/>
        <v/>
      </c>
      <c r="U227" s="120"/>
      <c r="V227" s="118"/>
      <c r="W227" s="131"/>
    </row>
    <row r="228" spans="1:23" ht="13.2">
      <c r="A228" s="102" t="s">
        <v>263</v>
      </c>
      <c r="B228" s="102"/>
      <c r="C228" s="104">
        <v>3</v>
      </c>
      <c r="D228" s="105" t="s">
        <v>68</v>
      </c>
      <c r="E228" s="106">
        <v>1</v>
      </c>
      <c r="F228" s="107">
        <v>0.03</v>
      </c>
      <c r="G228" s="108">
        <v>0.03</v>
      </c>
      <c r="H228" s="121" t="s">
        <v>55</v>
      </c>
      <c r="I228" s="110">
        <v>0.996</v>
      </c>
      <c r="J228" s="110">
        <v>1.0009999999999999</v>
      </c>
      <c r="K228" s="119">
        <v>1.004</v>
      </c>
      <c r="L228" s="111">
        <f t="shared" si="60"/>
        <v>-4.0000000000000036E-3</v>
      </c>
      <c r="M228" s="112">
        <f t="shared" si="61"/>
        <v>9.9999999999988987E-4</v>
      </c>
      <c r="N228" s="112">
        <f t="shared" si="62"/>
        <v>4.0000000000000036E-3</v>
      </c>
      <c r="O228" s="112">
        <f t="shared" si="54"/>
        <v>1.0003333333333333</v>
      </c>
      <c r="P228" s="113">
        <f t="shared" si="55"/>
        <v>0.13333333333333347</v>
      </c>
      <c r="Q228" s="114">
        <f t="shared" si="56"/>
        <v>0.13333333333333347</v>
      </c>
      <c r="R228" s="115" t="str">
        <f t="shared" si="57"/>
        <v xml:space="preserve"> </v>
      </c>
      <c r="S228" s="115" t="str">
        <f t="shared" si="58"/>
        <v xml:space="preserve"> </v>
      </c>
      <c r="T228" s="116" t="str">
        <f t="shared" si="59"/>
        <v/>
      </c>
      <c r="U228" s="120"/>
      <c r="V228" s="118"/>
      <c r="W228" s="131"/>
    </row>
    <row r="229" spans="1:23" ht="13.2">
      <c r="A229" s="102" t="s">
        <v>264</v>
      </c>
      <c r="B229" s="102"/>
      <c r="C229" s="104">
        <v>3</v>
      </c>
      <c r="D229" s="105" t="s">
        <v>68</v>
      </c>
      <c r="E229" s="106">
        <v>1</v>
      </c>
      <c r="F229" s="107">
        <v>0.03</v>
      </c>
      <c r="G229" s="108">
        <v>0.03</v>
      </c>
      <c r="H229" s="121" t="s">
        <v>55</v>
      </c>
      <c r="I229" s="110">
        <v>1.004</v>
      </c>
      <c r="J229" s="110">
        <v>1.0049999999999999</v>
      </c>
      <c r="K229" s="119">
        <v>1</v>
      </c>
      <c r="L229" s="111">
        <f t="shared" si="60"/>
        <v>4.0000000000000036E-3</v>
      </c>
      <c r="M229" s="112">
        <f t="shared" si="61"/>
        <v>4.9999999999998934E-3</v>
      </c>
      <c r="N229" s="112">
        <f t="shared" si="62"/>
        <v>0</v>
      </c>
      <c r="O229" s="112">
        <f t="shared" si="54"/>
        <v>1.0029999999999999</v>
      </c>
      <c r="P229" s="113">
        <f t="shared" si="55"/>
        <v>0.16666666666666313</v>
      </c>
      <c r="Q229" s="114">
        <f t="shared" si="56"/>
        <v>0</v>
      </c>
      <c r="R229" s="115" t="str">
        <f t="shared" si="57"/>
        <v xml:space="preserve"> </v>
      </c>
      <c r="S229" s="115" t="str">
        <f t="shared" si="58"/>
        <v xml:space="preserve"> </v>
      </c>
      <c r="T229" s="116" t="str">
        <f t="shared" si="59"/>
        <v/>
      </c>
      <c r="U229" s="120"/>
      <c r="V229" s="118"/>
      <c r="W229" s="131"/>
    </row>
    <row r="230" spans="1:23" ht="13.2">
      <c r="A230" s="102" t="s">
        <v>265</v>
      </c>
      <c r="B230" s="102"/>
      <c r="C230" s="104">
        <v>3</v>
      </c>
      <c r="D230" s="105" t="s">
        <v>68</v>
      </c>
      <c r="E230" s="106">
        <v>1</v>
      </c>
      <c r="F230" s="107">
        <v>0.03</v>
      </c>
      <c r="G230" s="108">
        <v>0.03</v>
      </c>
      <c r="H230" s="121" t="s">
        <v>55</v>
      </c>
      <c r="I230" s="110">
        <v>0.996</v>
      </c>
      <c r="J230" s="110">
        <v>1.0069999999999999</v>
      </c>
      <c r="K230" s="119">
        <v>0.996</v>
      </c>
      <c r="L230" s="111">
        <f t="shared" si="60"/>
        <v>-4.0000000000000036E-3</v>
      </c>
      <c r="M230" s="112">
        <f t="shared" si="61"/>
        <v>6.9999999999998952E-3</v>
      </c>
      <c r="N230" s="112">
        <f t="shared" si="62"/>
        <v>-4.0000000000000036E-3</v>
      </c>
      <c r="O230" s="112">
        <f t="shared" si="54"/>
        <v>0.9996666666666667</v>
      </c>
      <c r="P230" s="113">
        <f t="shared" si="55"/>
        <v>0.23333333333332984</v>
      </c>
      <c r="Q230" s="114">
        <f t="shared" si="56"/>
        <v>0.13333333333333347</v>
      </c>
      <c r="R230" s="115" t="str">
        <f t="shared" si="57"/>
        <v xml:space="preserve"> </v>
      </c>
      <c r="S230" s="115" t="str">
        <f t="shared" si="58"/>
        <v xml:space="preserve"> </v>
      </c>
      <c r="T230" s="116" t="str">
        <f t="shared" si="59"/>
        <v/>
      </c>
      <c r="U230" s="120"/>
      <c r="V230" s="118"/>
      <c r="W230" s="131"/>
    </row>
    <row r="231" spans="1:23" ht="13.2">
      <c r="A231" s="102" t="s">
        <v>266</v>
      </c>
      <c r="B231" s="102"/>
      <c r="C231" s="104">
        <v>3</v>
      </c>
      <c r="D231" s="105" t="s">
        <v>68</v>
      </c>
      <c r="E231" s="106">
        <v>1</v>
      </c>
      <c r="F231" s="107">
        <v>0.03</v>
      </c>
      <c r="G231" s="108">
        <v>0.03</v>
      </c>
      <c r="H231" s="121" t="s">
        <v>55</v>
      </c>
      <c r="I231" s="110">
        <v>0.998</v>
      </c>
      <c r="J231" s="110">
        <v>1</v>
      </c>
      <c r="K231" s="119">
        <v>1.01</v>
      </c>
      <c r="L231" s="111">
        <f t="shared" si="60"/>
        <v>-2.0000000000000018E-3</v>
      </c>
      <c r="M231" s="112">
        <f t="shared" si="61"/>
        <v>0</v>
      </c>
      <c r="N231" s="112">
        <f t="shared" si="62"/>
        <v>1.0000000000000009E-2</v>
      </c>
      <c r="O231" s="112">
        <f t="shared" si="54"/>
        <v>1.0026666666666666</v>
      </c>
      <c r="P231" s="113">
        <f t="shared" si="55"/>
        <v>0.33333333333333365</v>
      </c>
      <c r="Q231" s="114">
        <f t="shared" si="56"/>
        <v>6.6666666666666735E-2</v>
      </c>
      <c r="R231" s="115" t="str">
        <f t="shared" si="57"/>
        <v xml:space="preserve"> </v>
      </c>
      <c r="S231" s="115" t="str">
        <f t="shared" si="58"/>
        <v xml:space="preserve"> </v>
      </c>
      <c r="T231" s="116" t="str">
        <f t="shared" si="59"/>
        <v/>
      </c>
      <c r="U231" s="120"/>
      <c r="V231" s="118"/>
      <c r="W231" s="131"/>
    </row>
    <row r="232" spans="1:23" ht="13.2">
      <c r="A232" s="102" t="s">
        <v>267</v>
      </c>
      <c r="B232" s="102"/>
      <c r="C232" s="104">
        <v>3</v>
      </c>
      <c r="D232" s="105" t="s">
        <v>68</v>
      </c>
      <c r="E232" s="106">
        <v>1</v>
      </c>
      <c r="F232" s="107">
        <v>0.03</v>
      </c>
      <c r="G232" s="108">
        <v>0.03</v>
      </c>
      <c r="H232" s="121" t="s">
        <v>55</v>
      </c>
      <c r="I232" s="110">
        <v>1.0049999999999999</v>
      </c>
      <c r="J232" s="110">
        <v>0.999</v>
      </c>
      <c r="K232" s="119">
        <v>0.995</v>
      </c>
      <c r="L232" s="111">
        <f t="shared" si="60"/>
        <v>4.9999999999998934E-3</v>
      </c>
      <c r="M232" s="112">
        <f t="shared" si="61"/>
        <v>-1.0000000000000009E-3</v>
      </c>
      <c r="N232" s="112">
        <f t="shared" si="62"/>
        <v>-5.0000000000000044E-3</v>
      </c>
      <c r="O232" s="112">
        <f t="shared" si="54"/>
        <v>0.9996666666666667</v>
      </c>
      <c r="P232" s="113">
        <f t="shared" si="55"/>
        <v>0.16666666666666313</v>
      </c>
      <c r="Q232" s="114">
        <f t="shared" si="56"/>
        <v>0.16666666666666682</v>
      </c>
      <c r="R232" s="115" t="str">
        <f t="shared" si="57"/>
        <v xml:space="preserve"> </v>
      </c>
      <c r="S232" s="115" t="str">
        <f t="shared" si="58"/>
        <v xml:space="preserve"> </v>
      </c>
      <c r="T232" s="116" t="str">
        <f t="shared" si="59"/>
        <v/>
      </c>
      <c r="U232" s="120"/>
      <c r="V232" s="118"/>
      <c r="W232" s="131"/>
    </row>
    <row r="233" spans="1:23" ht="13.2">
      <c r="A233" s="102" t="s">
        <v>268</v>
      </c>
      <c r="B233" s="102"/>
      <c r="C233" s="104">
        <v>3</v>
      </c>
      <c r="D233" s="105" t="s">
        <v>68</v>
      </c>
      <c r="E233" s="106">
        <v>1</v>
      </c>
      <c r="F233" s="107">
        <v>0.03</v>
      </c>
      <c r="G233" s="108">
        <v>0.03</v>
      </c>
      <c r="H233" s="121" t="s">
        <v>55</v>
      </c>
      <c r="I233" s="110">
        <v>0.99199999999999999</v>
      </c>
      <c r="J233" s="110">
        <v>1.014</v>
      </c>
      <c r="K233" s="119">
        <v>1.01</v>
      </c>
      <c r="L233" s="111">
        <f t="shared" si="60"/>
        <v>-8.0000000000000071E-3</v>
      </c>
      <c r="M233" s="112">
        <f t="shared" si="61"/>
        <v>1.4000000000000012E-2</v>
      </c>
      <c r="N233" s="112">
        <f t="shared" si="62"/>
        <v>1.0000000000000009E-2</v>
      </c>
      <c r="O233" s="112">
        <f t="shared" si="54"/>
        <v>1.0053333333333334</v>
      </c>
      <c r="P233" s="113">
        <f t="shared" si="55"/>
        <v>0.46666666666666712</v>
      </c>
      <c r="Q233" s="114">
        <f t="shared" si="56"/>
        <v>0.26666666666666694</v>
      </c>
      <c r="R233" s="115" t="str">
        <f t="shared" si="57"/>
        <v xml:space="preserve"> </v>
      </c>
      <c r="S233" s="115" t="str">
        <f t="shared" si="58"/>
        <v xml:space="preserve"> </v>
      </c>
      <c r="T233" s="116" t="str">
        <f t="shared" si="59"/>
        <v/>
      </c>
      <c r="U233" s="120"/>
      <c r="V233" s="118"/>
      <c r="W233" s="131"/>
    </row>
    <row r="234" spans="1:23" ht="13.2">
      <c r="A234" s="102" t="s">
        <v>269</v>
      </c>
      <c r="B234" s="102"/>
      <c r="C234" s="104">
        <v>3</v>
      </c>
      <c r="D234" s="105" t="s">
        <v>68</v>
      </c>
      <c r="E234" s="106">
        <v>1</v>
      </c>
      <c r="F234" s="107">
        <v>0.03</v>
      </c>
      <c r="G234" s="108">
        <v>0.03</v>
      </c>
      <c r="H234" s="121" t="s">
        <v>55</v>
      </c>
      <c r="I234" s="110">
        <v>0.998</v>
      </c>
      <c r="J234" s="110">
        <v>1.0049999999999999</v>
      </c>
      <c r="K234" s="119">
        <v>1.018</v>
      </c>
      <c r="L234" s="111">
        <f t="shared" si="60"/>
        <v>-2.0000000000000018E-3</v>
      </c>
      <c r="M234" s="112">
        <f t="shared" si="61"/>
        <v>4.9999999999998934E-3</v>
      </c>
      <c r="N234" s="112">
        <f t="shared" si="62"/>
        <v>1.8000000000000016E-2</v>
      </c>
      <c r="O234" s="112">
        <f t="shared" si="54"/>
        <v>1.0069999999999999</v>
      </c>
      <c r="P234" s="113">
        <f t="shared" si="55"/>
        <v>0.60000000000000053</v>
      </c>
      <c r="Q234" s="114">
        <f t="shared" si="56"/>
        <v>6.6666666666666735E-2</v>
      </c>
      <c r="R234" s="115" t="str">
        <f t="shared" si="57"/>
        <v xml:space="preserve"> </v>
      </c>
      <c r="S234" s="115" t="str">
        <f t="shared" si="58"/>
        <v xml:space="preserve"> </v>
      </c>
      <c r="T234" s="116" t="str">
        <f t="shared" si="59"/>
        <v/>
      </c>
      <c r="U234" s="120"/>
      <c r="V234" s="118"/>
      <c r="W234" s="131"/>
    </row>
    <row r="235" spans="1:23" ht="13.2">
      <c r="A235" s="102" t="s">
        <v>270</v>
      </c>
      <c r="B235" s="102"/>
      <c r="C235" s="104">
        <v>3</v>
      </c>
      <c r="D235" s="105" t="s">
        <v>68</v>
      </c>
      <c r="E235" s="106">
        <v>1</v>
      </c>
      <c r="F235" s="107">
        <v>0.03</v>
      </c>
      <c r="G235" s="108">
        <v>0.03</v>
      </c>
      <c r="H235" s="121" t="s">
        <v>55</v>
      </c>
      <c r="I235" s="110">
        <v>1.01</v>
      </c>
      <c r="J235" s="110">
        <v>1.0089999999999999</v>
      </c>
      <c r="K235" s="119">
        <v>1.002</v>
      </c>
      <c r="L235" s="111">
        <f t="shared" si="60"/>
        <v>1.0000000000000009E-2</v>
      </c>
      <c r="M235" s="112">
        <f t="shared" si="61"/>
        <v>8.999999999999897E-3</v>
      </c>
      <c r="N235" s="112">
        <f t="shared" si="62"/>
        <v>2.0000000000000018E-3</v>
      </c>
      <c r="O235" s="112">
        <f t="shared" si="54"/>
        <v>1.0069999999999999</v>
      </c>
      <c r="P235" s="113">
        <f t="shared" si="55"/>
        <v>0.33333333333333365</v>
      </c>
      <c r="Q235" s="114">
        <f t="shared" si="56"/>
        <v>0</v>
      </c>
      <c r="R235" s="115" t="str">
        <f t="shared" si="57"/>
        <v xml:space="preserve"> </v>
      </c>
      <c r="S235" s="115" t="str">
        <f t="shared" si="58"/>
        <v xml:space="preserve"> </v>
      </c>
      <c r="T235" s="116" t="str">
        <f t="shared" si="59"/>
        <v/>
      </c>
      <c r="U235" s="120"/>
      <c r="V235" s="118"/>
      <c r="W235" s="131"/>
    </row>
    <row r="236" spans="1:23" ht="13.2">
      <c r="A236" s="102" t="s">
        <v>271</v>
      </c>
      <c r="B236" s="102"/>
      <c r="C236" s="104">
        <v>3</v>
      </c>
      <c r="D236" s="105" t="s">
        <v>68</v>
      </c>
      <c r="E236" s="106">
        <v>1</v>
      </c>
      <c r="F236" s="107">
        <v>0.03</v>
      </c>
      <c r="G236" s="108">
        <v>0.03</v>
      </c>
      <c r="H236" s="121" t="s">
        <v>55</v>
      </c>
      <c r="I236" s="110">
        <v>0.998</v>
      </c>
      <c r="J236" s="110">
        <v>1.0009999999999999</v>
      </c>
      <c r="K236" s="119">
        <v>0.98899999999999999</v>
      </c>
      <c r="L236" s="111">
        <f t="shared" si="60"/>
        <v>-2.0000000000000018E-3</v>
      </c>
      <c r="M236" s="112">
        <f t="shared" si="61"/>
        <v>9.9999999999988987E-4</v>
      </c>
      <c r="N236" s="112">
        <f t="shared" si="62"/>
        <v>-1.100000000000001E-2</v>
      </c>
      <c r="O236" s="112">
        <f t="shared" si="54"/>
        <v>0.996</v>
      </c>
      <c r="P236" s="113">
        <f t="shared" si="55"/>
        <v>3.3333333333329662E-2</v>
      </c>
      <c r="Q236" s="114">
        <f t="shared" si="56"/>
        <v>0.36666666666666703</v>
      </c>
      <c r="R236" s="115" t="str">
        <f t="shared" si="57"/>
        <v xml:space="preserve"> </v>
      </c>
      <c r="S236" s="115" t="str">
        <f t="shared" si="58"/>
        <v xml:space="preserve"> </v>
      </c>
      <c r="T236" s="116" t="str">
        <f t="shared" si="59"/>
        <v/>
      </c>
      <c r="U236" s="120"/>
      <c r="V236" s="118"/>
      <c r="W236" s="131"/>
    </row>
    <row r="237" spans="1:23" ht="13.2">
      <c r="A237" s="102" t="s">
        <v>272</v>
      </c>
      <c r="B237" s="103"/>
      <c r="C237" s="104">
        <v>3</v>
      </c>
      <c r="D237" s="105" t="s">
        <v>68</v>
      </c>
      <c r="E237" s="106">
        <v>1</v>
      </c>
      <c r="F237" s="107">
        <v>0.03</v>
      </c>
      <c r="G237" s="108">
        <v>0.03</v>
      </c>
      <c r="H237" s="121" t="s">
        <v>55</v>
      </c>
      <c r="I237" s="110">
        <v>0.98699999999999999</v>
      </c>
      <c r="J237" s="110">
        <v>1.006</v>
      </c>
      <c r="K237" s="119">
        <v>1.0009999999999999</v>
      </c>
      <c r="L237" s="111">
        <f t="shared" si="60"/>
        <v>-1.3000000000000012E-2</v>
      </c>
      <c r="M237" s="112">
        <f t="shared" si="61"/>
        <v>6.0000000000000053E-3</v>
      </c>
      <c r="N237" s="112">
        <f t="shared" si="62"/>
        <v>9.9999999999988987E-4</v>
      </c>
      <c r="O237" s="112">
        <f t="shared" si="54"/>
        <v>0.99799999999999989</v>
      </c>
      <c r="P237" s="113">
        <f t="shared" si="55"/>
        <v>0.20000000000000018</v>
      </c>
      <c r="Q237" s="114">
        <f t="shared" si="56"/>
        <v>0.43333333333333374</v>
      </c>
      <c r="R237" s="115" t="str">
        <f t="shared" si="57"/>
        <v xml:space="preserve"> </v>
      </c>
      <c r="S237" s="115" t="str">
        <f t="shared" si="58"/>
        <v xml:space="preserve"> </v>
      </c>
      <c r="T237" s="116" t="str">
        <f t="shared" si="59"/>
        <v/>
      </c>
      <c r="U237" s="120"/>
      <c r="V237" s="118"/>
      <c r="W237" s="131"/>
    </row>
    <row r="238" spans="1:23" ht="13.2">
      <c r="A238" s="102" t="s">
        <v>273</v>
      </c>
      <c r="B238" s="103"/>
      <c r="C238" s="104">
        <v>3</v>
      </c>
      <c r="D238" s="105" t="s">
        <v>68</v>
      </c>
      <c r="E238" s="106">
        <v>1</v>
      </c>
      <c r="F238" s="107">
        <v>0.03</v>
      </c>
      <c r="G238" s="108">
        <v>0.03</v>
      </c>
      <c r="H238" s="121" t="s">
        <v>55</v>
      </c>
      <c r="I238" s="110">
        <v>1.0009999999999999</v>
      </c>
      <c r="J238" s="110">
        <v>1</v>
      </c>
      <c r="K238" s="119">
        <v>1.002</v>
      </c>
      <c r="L238" s="111">
        <f t="shared" si="60"/>
        <v>9.9999999999988987E-4</v>
      </c>
      <c r="M238" s="112">
        <f t="shared" si="61"/>
        <v>0</v>
      </c>
      <c r="N238" s="112">
        <f t="shared" si="62"/>
        <v>2.0000000000000018E-3</v>
      </c>
      <c r="O238" s="112">
        <f t="shared" si="54"/>
        <v>1.0010000000000001</v>
      </c>
      <c r="P238" s="113">
        <f t="shared" si="55"/>
        <v>6.6666666666666735E-2</v>
      </c>
      <c r="Q238" s="114">
        <f t="shared" si="56"/>
        <v>0</v>
      </c>
      <c r="R238" s="115" t="str">
        <f t="shared" si="57"/>
        <v xml:space="preserve"> </v>
      </c>
      <c r="S238" s="115" t="str">
        <f t="shared" si="58"/>
        <v xml:space="preserve"> </v>
      </c>
      <c r="T238" s="116" t="str">
        <f t="shared" si="59"/>
        <v/>
      </c>
      <c r="U238" s="120"/>
      <c r="V238" s="118"/>
      <c r="W238" s="131"/>
    </row>
    <row r="239" spans="1:23" ht="13.2">
      <c r="A239" s="102" t="s">
        <v>274</v>
      </c>
      <c r="B239" s="103"/>
      <c r="C239" s="104">
        <v>3</v>
      </c>
      <c r="D239" s="105" t="s">
        <v>68</v>
      </c>
      <c r="E239" s="106">
        <v>1</v>
      </c>
      <c r="F239" s="107">
        <v>0.03</v>
      </c>
      <c r="G239" s="108">
        <v>0.03</v>
      </c>
      <c r="H239" s="121" t="s">
        <v>55</v>
      </c>
      <c r="I239" s="110">
        <v>1</v>
      </c>
      <c r="J239" s="110">
        <v>1.0049999999999999</v>
      </c>
      <c r="K239" s="119">
        <v>1.0169999999999999</v>
      </c>
      <c r="L239" s="111">
        <f t="shared" si="60"/>
        <v>0</v>
      </c>
      <c r="M239" s="112">
        <f t="shared" si="61"/>
        <v>4.9999999999998934E-3</v>
      </c>
      <c r="N239" s="112">
        <f t="shared" si="62"/>
        <v>1.6999999999999904E-2</v>
      </c>
      <c r="O239" s="112">
        <f t="shared" si="54"/>
        <v>1.0073333333333332</v>
      </c>
      <c r="P239" s="113">
        <f t="shared" si="55"/>
        <v>0.56666666666666354</v>
      </c>
      <c r="Q239" s="114">
        <f t="shared" si="56"/>
        <v>0</v>
      </c>
      <c r="R239" s="115" t="str">
        <f t="shared" si="57"/>
        <v xml:space="preserve"> </v>
      </c>
      <c r="S239" s="115" t="str">
        <f t="shared" si="58"/>
        <v xml:space="preserve"> </v>
      </c>
      <c r="T239" s="116" t="str">
        <f t="shared" si="59"/>
        <v/>
      </c>
      <c r="U239" s="120"/>
      <c r="V239" s="118"/>
      <c r="W239" s="131"/>
    </row>
    <row r="240" spans="1:23" ht="13.2">
      <c r="A240" s="102" t="s">
        <v>275</v>
      </c>
      <c r="B240" s="102"/>
      <c r="C240" s="104">
        <v>3</v>
      </c>
      <c r="D240" s="105" t="s">
        <v>68</v>
      </c>
      <c r="E240" s="106">
        <v>1</v>
      </c>
      <c r="F240" s="107">
        <v>0.03</v>
      </c>
      <c r="G240" s="108">
        <v>0.03</v>
      </c>
      <c r="H240" s="121" t="s">
        <v>55</v>
      </c>
      <c r="I240" s="110">
        <v>1.004</v>
      </c>
      <c r="J240" s="110">
        <v>1.0069999999999999</v>
      </c>
      <c r="K240" s="119">
        <v>1</v>
      </c>
      <c r="L240" s="111">
        <f t="shared" si="60"/>
        <v>4.0000000000000036E-3</v>
      </c>
      <c r="M240" s="112">
        <f t="shared" si="61"/>
        <v>6.9999999999998952E-3</v>
      </c>
      <c r="N240" s="112">
        <f t="shared" si="62"/>
        <v>0</v>
      </c>
      <c r="O240" s="112">
        <f t="shared" si="54"/>
        <v>1.0036666666666667</v>
      </c>
      <c r="P240" s="113">
        <f t="shared" si="55"/>
        <v>0.23333333333332984</v>
      </c>
      <c r="Q240" s="114">
        <f t="shared" si="56"/>
        <v>0</v>
      </c>
      <c r="R240" s="115" t="str">
        <f t="shared" si="57"/>
        <v xml:space="preserve"> </v>
      </c>
      <c r="S240" s="115" t="str">
        <f t="shared" si="58"/>
        <v xml:space="preserve"> </v>
      </c>
      <c r="T240" s="116" t="str">
        <f t="shared" si="59"/>
        <v/>
      </c>
      <c r="U240" s="120"/>
      <c r="V240" s="118"/>
      <c r="W240" s="131"/>
    </row>
    <row r="241" spans="1:23" ht="13.2">
      <c r="A241" s="102" t="s">
        <v>276</v>
      </c>
      <c r="B241" s="102"/>
      <c r="C241" s="104">
        <v>3</v>
      </c>
      <c r="D241" s="105" t="s">
        <v>68</v>
      </c>
      <c r="E241" s="106">
        <v>1</v>
      </c>
      <c r="F241" s="107">
        <v>0.03</v>
      </c>
      <c r="G241" s="108">
        <v>0.03</v>
      </c>
      <c r="H241" s="121" t="s">
        <v>55</v>
      </c>
      <c r="I241" s="110">
        <v>1.008</v>
      </c>
      <c r="J241" s="110">
        <v>1.0049999999999999</v>
      </c>
      <c r="K241" s="119">
        <v>1.0069999999999999</v>
      </c>
      <c r="L241" s="111">
        <f t="shared" si="60"/>
        <v>8.0000000000000071E-3</v>
      </c>
      <c r="M241" s="112">
        <f t="shared" si="61"/>
        <v>4.9999999999998934E-3</v>
      </c>
      <c r="N241" s="112">
        <f t="shared" si="62"/>
        <v>6.9999999999998952E-3</v>
      </c>
      <c r="O241" s="112">
        <f t="shared" si="54"/>
        <v>1.0066666666666666</v>
      </c>
      <c r="P241" s="113">
        <f t="shared" si="55"/>
        <v>0.26666666666666694</v>
      </c>
      <c r="Q241" s="114">
        <f t="shared" si="56"/>
        <v>0</v>
      </c>
      <c r="R241" s="115" t="str">
        <f t="shared" si="57"/>
        <v xml:space="preserve"> </v>
      </c>
      <c r="S241" s="115" t="str">
        <f t="shared" si="58"/>
        <v xml:space="preserve"> </v>
      </c>
      <c r="T241" s="116" t="str">
        <f t="shared" si="59"/>
        <v/>
      </c>
      <c r="U241" s="120"/>
      <c r="V241" s="118"/>
      <c r="W241" s="131"/>
    </row>
    <row r="242" spans="1:23" ht="13.2">
      <c r="A242" s="102" t="s">
        <v>277</v>
      </c>
      <c r="B242" s="102"/>
      <c r="C242" s="104">
        <v>3</v>
      </c>
      <c r="D242" s="105" t="s">
        <v>68</v>
      </c>
      <c r="E242" s="106">
        <v>1</v>
      </c>
      <c r="F242" s="107">
        <v>0.03</v>
      </c>
      <c r="G242" s="108">
        <v>0.03</v>
      </c>
      <c r="H242" s="121" t="s">
        <v>55</v>
      </c>
      <c r="I242" s="110">
        <v>0.98199999999999998</v>
      </c>
      <c r="J242" s="110">
        <v>0.995</v>
      </c>
      <c r="K242" s="119">
        <v>0.998</v>
      </c>
      <c r="L242" s="111">
        <f t="shared" si="60"/>
        <v>-1.8000000000000016E-2</v>
      </c>
      <c r="M242" s="112">
        <f t="shared" si="61"/>
        <v>-5.0000000000000044E-3</v>
      </c>
      <c r="N242" s="112">
        <f t="shared" si="62"/>
        <v>-2.0000000000000018E-3</v>
      </c>
      <c r="O242" s="112">
        <f t="shared" si="54"/>
        <v>0.99166666666666659</v>
      </c>
      <c r="P242" s="113">
        <f t="shared" si="55"/>
        <v>0</v>
      </c>
      <c r="Q242" s="114">
        <f t="shared" si="56"/>
        <v>0.60000000000000053</v>
      </c>
      <c r="R242" s="115" t="str">
        <f t="shared" si="57"/>
        <v xml:space="preserve"> </v>
      </c>
      <c r="S242" s="115" t="str">
        <f t="shared" si="58"/>
        <v xml:space="preserve"> </v>
      </c>
      <c r="T242" s="116" t="str">
        <f t="shared" si="59"/>
        <v/>
      </c>
      <c r="U242" s="120"/>
      <c r="V242" s="118"/>
      <c r="W242" s="131"/>
    </row>
    <row r="243" spans="1:23" ht="13.2">
      <c r="A243" s="102" t="s">
        <v>278</v>
      </c>
      <c r="B243" s="102"/>
      <c r="C243" s="104">
        <v>3</v>
      </c>
      <c r="D243" s="105" t="s">
        <v>68</v>
      </c>
      <c r="E243" s="106">
        <v>1</v>
      </c>
      <c r="F243" s="107">
        <v>0.03</v>
      </c>
      <c r="G243" s="108">
        <v>0.03</v>
      </c>
      <c r="H243" s="121" t="s">
        <v>55</v>
      </c>
      <c r="I243" s="110">
        <v>0.99099999999999999</v>
      </c>
      <c r="J243" s="110">
        <v>1.0049999999999999</v>
      </c>
      <c r="K243" s="119">
        <v>0.99399999999999999</v>
      </c>
      <c r="L243" s="111">
        <f t="shared" si="60"/>
        <v>-9.000000000000008E-3</v>
      </c>
      <c r="M243" s="112">
        <f t="shared" si="61"/>
        <v>4.9999999999998934E-3</v>
      </c>
      <c r="N243" s="112">
        <f t="shared" si="62"/>
        <v>-6.0000000000000053E-3</v>
      </c>
      <c r="O243" s="112">
        <f t="shared" si="54"/>
        <v>0.9966666666666667</v>
      </c>
      <c r="P243" s="113">
        <f t="shared" si="55"/>
        <v>0.16666666666666313</v>
      </c>
      <c r="Q243" s="114">
        <f t="shared" si="56"/>
        <v>0.30000000000000027</v>
      </c>
      <c r="R243" s="115" t="str">
        <f t="shared" si="57"/>
        <v xml:space="preserve"> </v>
      </c>
      <c r="S243" s="115" t="str">
        <f t="shared" si="58"/>
        <v xml:space="preserve"> </v>
      </c>
      <c r="T243" s="116" t="str">
        <f t="shared" si="59"/>
        <v/>
      </c>
      <c r="U243" s="120"/>
      <c r="V243" s="118"/>
      <c r="W243" s="131"/>
    </row>
    <row r="244" spans="1:23" ht="13.2">
      <c r="A244" s="102" t="s">
        <v>279</v>
      </c>
      <c r="B244" s="102"/>
      <c r="C244" s="104">
        <v>3</v>
      </c>
      <c r="D244" s="105" t="s">
        <v>68</v>
      </c>
      <c r="E244" s="106">
        <v>1</v>
      </c>
      <c r="F244" s="107">
        <v>0.03</v>
      </c>
      <c r="G244" s="108">
        <v>0.03</v>
      </c>
      <c r="H244" s="121" t="s">
        <v>55</v>
      </c>
      <c r="I244" s="110">
        <v>1.002</v>
      </c>
      <c r="J244" s="110">
        <v>1.0029999999999999</v>
      </c>
      <c r="K244" s="119">
        <v>1.004</v>
      </c>
      <c r="L244" s="111">
        <f t="shared" si="60"/>
        <v>2.0000000000000018E-3</v>
      </c>
      <c r="M244" s="112">
        <f t="shared" si="61"/>
        <v>2.9999999999998916E-3</v>
      </c>
      <c r="N244" s="112">
        <f t="shared" si="62"/>
        <v>4.0000000000000036E-3</v>
      </c>
      <c r="O244" s="112">
        <f t="shared" si="54"/>
        <v>1.0029999999999999</v>
      </c>
      <c r="P244" s="113">
        <f t="shared" si="55"/>
        <v>0.13333333333333347</v>
      </c>
      <c r="Q244" s="114">
        <f t="shared" si="56"/>
        <v>0</v>
      </c>
      <c r="R244" s="115" t="str">
        <f t="shared" si="57"/>
        <v xml:space="preserve"> </v>
      </c>
      <c r="S244" s="115" t="str">
        <f t="shared" si="58"/>
        <v xml:space="preserve"> </v>
      </c>
      <c r="T244" s="116" t="str">
        <f t="shared" si="59"/>
        <v/>
      </c>
      <c r="U244" s="120"/>
      <c r="V244" s="118"/>
      <c r="W244" s="131"/>
    </row>
    <row r="245" spans="1:23" ht="13.2">
      <c r="A245" s="102" t="s">
        <v>280</v>
      </c>
      <c r="B245" s="102"/>
      <c r="C245" s="104">
        <v>3</v>
      </c>
      <c r="D245" s="105" t="s">
        <v>68</v>
      </c>
      <c r="E245" s="106">
        <v>1</v>
      </c>
      <c r="F245" s="107">
        <v>0.03</v>
      </c>
      <c r="G245" s="108">
        <v>0.03</v>
      </c>
      <c r="H245" s="121" t="s">
        <v>55</v>
      </c>
      <c r="I245" s="110">
        <v>0.99299999999999999</v>
      </c>
      <c r="J245" s="110">
        <v>0.996</v>
      </c>
      <c r="K245" s="119">
        <v>0.99199999999999999</v>
      </c>
      <c r="L245" s="111">
        <f t="shared" si="60"/>
        <v>-7.0000000000000062E-3</v>
      </c>
      <c r="M245" s="112">
        <f t="shared" si="61"/>
        <v>-4.0000000000000036E-3</v>
      </c>
      <c r="N245" s="112">
        <f t="shared" si="62"/>
        <v>-8.0000000000000071E-3</v>
      </c>
      <c r="O245" s="112">
        <f t="shared" si="54"/>
        <v>0.99366666666666659</v>
      </c>
      <c r="P245" s="113">
        <f t="shared" si="55"/>
        <v>0</v>
      </c>
      <c r="Q245" s="114">
        <f t="shared" si="56"/>
        <v>0.26666666666666694</v>
      </c>
      <c r="R245" s="115" t="str">
        <f t="shared" si="57"/>
        <v xml:space="preserve"> </v>
      </c>
      <c r="S245" s="115" t="str">
        <f t="shared" si="58"/>
        <v xml:space="preserve"> </v>
      </c>
      <c r="T245" s="116" t="str">
        <f t="shared" si="59"/>
        <v/>
      </c>
      <c r="U245" s="120"/>
      <c r="V245" s="118"/>
      <c r="W245" s="131"/>
    </row>
    <row r="246" spans="1:23" ht="13.2">
      <c r="A246" s="102" t="s">
        <v>281</v>
      </c>
      <c r="B246" s="102"/>
      <c r="C246" s="104">
        <v>3</v>
      </c>
      <c r="D246" s="105" t="s">
        <v>68</v>
      </c>
      <c r="E246" s="106">
        <v>1</v>
      </c>
      <c r="F246" s="107">
        <v>0.03</v>
      </c>
      <c r="G246" s="108">
        <v>0.03</v>
      </c>
      <c r="H246" s="121" t="s">
        <v>55</v>
      </c>
      <c r="I246" s="110">
        <v>1.0129999999999999</v>
      </c>
      <c r="J246" s="110">
        <v>1.0069999999999999</v>
      </c>
      <c r="K246" s="119">
        <v>1.002</v>
      </c>
      <c r="L246" s="111">
        <f t="shared" si="60"/>
        <v>1.2999999999999901E-2</v>
      </c>
      <c r="M246" s="112">
        <f t="shared" si="61"/>
        <v>6.9999999999998952E-3</v>
      </c>
      <c r="N246" s="112">
        <f t="shared" si="62"/>
        <v>2.0000000000000018E-3</v>
      </c>
      <c r="O246" s="112">
        <f t="shared" si="54"/>
        <v>1.0073333333333332</v>
      </c>
      <c r="P246" s="113">
        <f t="shared" si="55"/>
        <v>0.43333333333333002</v>
      </c>
      <c r="Q246" s="114">
        <f t="shared" si="56"/>
        <v>0</v>
      </c>
      <c r="R246" s="115" t="str">
        <f t="shared" si="57"/>
        <v xml:space="preserve"> </v>
      </c>
      <c r="S246" s="115" t="str">
        <f t="shared" si="58"/>
        <v xml:space="preserve"> </v>
      </c>
      <c r="T246" s="116" t="str">
        <f t="shared" si="59"/>
        <v/>
      </c>
      <c r="U246" s="120"/>
      <c r="V246" s="118"/>
      <c r="W246" s="131"/>
    </row>
    <row r="247" spans="1:23" ht="13.2">
      <c r="A247" s="102" t="s">
        <v>282</v>
      </c>
      <c r="B247" s="102"/>
      <c r="C247" s="104">
        <v>3</v>
      </c>
      <c r="D247" s="105" t="s">
        <v>68</v>
      </c>
      <c r="E247" s="106">
        <v>1</v>
      </c>
      <c r="F247" s="107">
        <v>0.03</v>
      </c>
      <c r="G247" s="108">
        <v>0.03</v>
      </c>
      <c r="H247" s="121" t="s">
        <v>55</v>
      </c>
      <c r="I247" s="110">
        <v>0.997</v>
      </c>
      <c r="J247" s="110">
        <v>0.998</v>
      </c>
      <c r="K247" s="119">
        <v>1.0009999999999999</v>
      </c>
      <c r="L247" s="111">
        <f t="shared" si="60"/>
        <v>-3.0000000000000027E-3</v>
      </c>
      <c r="M247" s="112">
        <f t="shared" si="61"/>
        <v>-2.0000000000000018E-3</v>
      </c>
      <c r="N247" s="112">
        <f t="shared" si="62"/>
        <v>9.9999999999988987E-4</v>
      </c>
      <c r="O247" s="112">
        <f t="shared" si="54"/>
        <v>0.9986666666666667</v>
      </c>
      <c r="P247" s="113">
        <f t="shared" si="55"/>
        <v>3.3333333333329662E-2</v>
      </c>
      <c r="Q247" s="114">
        <f t="shared" si="56"/>
        <v>0.10000000000000009</v>
      </c>
      <c r="R247" s="115" t="str">
        <f t="shared" si="57"/>
        <v xml:space="preserve"> </v>
      </c>
      <c r="S247" s="115" t="str">
        <f t="shared" si="58"/>
        <v xml:space="preserve"> </v>
      </c>
      <c r="T247" s="116" t="str">
        <f t="shared" si="59"/>
        <v/>
      </c>
      <c r="U247" s="120"/>
      <c r="V247" s="118"/>
      <c r="W247" s="131"/>
    </row>
    <row r="248" spans="1:23" ht="13.2">
      <c r="A248" s="102" t="s">
        <v>283</v>
      </c>
      <c r="B248" s="102"/>
      <c r="C248" s="104">
        <v>3</v>
      </c>
      <c r="D248" s="105" t="s">
        <v>68</v>
      </c>
      <c r="E248" s="106">
        <v>1</v>
      </c>
      <c r="F248" s="107">
        <v>0.03</v>
      </c>
      <c r="G248" s="108">
        <v>0.03</v>
      </c>
      <c r="H248" s="121" t="s">
        <v>55</v>
      </c>
      <c r="I248" s="110">
        <v>1.0189999999999999</v>
      </c>
      <c r="J248" s="110">
        <v>1.0029999999999999</v>
      </c>
      <c r="K248" s="119">
        <v>1.004</v>
      </c>
      <c r="L248" s="111">
        <f t="shared" si="60"/>
        <v>1.8999999999999906E-2</v>
      </c>
      <c r="M248" s="112">
        <f t="shared" si="61"/>
        <v>2.9999999999998916E-3</v>
      </c>
      <c r="N248" s="112">
        <f t="shared" si="62"/>
        <v>4.0000000000000036E-3</v>
      </c>
      <c r="O248" s="112">
        <f t="shared" si="54"/>
        <v>1.0086666666666666</v>
      </c>
      <c r="P248" s="113">
        <f t="shared" si="55"/>
        <v>0.6333333333333302</v>
      </c>
      <c r="Q248" s="114">
        <f t="shared" si="56"/>
        <v>0</v>
      </c>
      <c r="R248" s="115" t="str">
        <f t="shared" si="57"/>
        <v xml:space="preserve"> </v>
      </c>
      <c r="S248" s="115" t="str">
        <f t="shared" si="58"/>
        <v xml:space="preserve"> </v>
      </c>
      <c r="T248" s="116" t="str">
        <f t="shared" si="59"/>
        <v/>
      </c>
      <c r="U248" s="120"/>
      <c r="V248" s="118"/>
      <c r="W248" s="131"/>
    </row>
    <row r="249" spans="1:23" ht="13.2">
      <c r="A249" s="102" t="s">
        <v>284</v>
      </c>
      <c r="B249" s="102"/>
      <c r="C249" s="104">
        <v>3</v>
      </c>
      <c r="D249" s="105" t="s">
        <v>68</v>
      </c>
      <c r="E249" s="106">
        <v>1</v>
      </c>
      <c r="F249" s="107">
        <v>0.03</v>
      </c>
      <c r="G249" s="108">
        <v>0.03</v>
      </c>
      <c r="H249" s="121" t="s">
        <v>55</v>
      </c>
      <c r="I249" s="110">
        <v>0.995</v>
      </c>
      <c r="J249" s="110">
        <v>1.0009999999999999</v>
      </c>
      <c r="K249" s="119">
        <v>0.99399999999999999</v>
      </c>
      <c r="L249" s="111">
        <f t="shared" si="60"/>
        <v>-5.0000000000000044E-3</v>
      </c>
      <c r="M249" s="112">
        <f t="shared" si="61"/>
        <v>9.9999999999988987E-4</v>
      </c>
      <c r="N249" s="112">
        <f t="shared" si="62"/>
        <v>-6.0000000000000053E-3</v>
      </c>
      <c r="O249" s="112">
        <f t="shared" si="54"/>
        <v>0.9966666666666667</v>
      </c>
      <c r="P249" s="113">
        <f t="shared" si="55"/>
        <v>3.3333333333329662E-2</v>
      </c>
      <c r="Q249" s="114">
        <f t="shared" si="56"/>
        <v>0.20000000000000018</v>
      </c>
      <c r="R249" s="115" t="str">
        <f t="shared" si="57"/>
        <v xml:space="preserve"> </v>
      </c>
      <c r="S249" s="115" t="str">
        <f t="shared" si="58"/>
        <v xml:space="preserve"> </v>
      </c>
      <c r="T249" s="116" t="str">
        <f t="shared" si="59"/>
        <v/>
      </c>
      <c r="U249" s="120"/>
      <c r="V249" s="118"/>
      <c r="W249" s="131"/>
    </row>
    <row r="250" spans="1:23" ht="13.2">
      <c r="A250" s="102" t="s">
        <v>285</v>
      </c>
      <c r="B250" s="102"/>
      <c r="C250" s="104">
        <v>3</v>
      </c>
      <c r="D250" s="105" t="s">
        <v>68</v>
      </c>
      <c r="E250" s="106">
        <v>1</v>
      </c>
      <c r="F250" s="107">
        <v>0.03</v>
      </c>
      <c r="G250" s="108">
        <v>0.03</v>
      </c>
      <c r="H250" s="121" t="s">
        <v>55</v>
      </c>
      <c r="I250" s="110">
        <v>0.99199999999999999</v>
      </c>
      <c r="J250" s="110">
        <v>0.99199999999999999</v>
      </c>
      <c r="K250" s="119">
        <v>1.004</v>
      </c>
      <c r="L250" s="111">
        <f t="shared" si="60"/>
        <v>-8.0000000000000071E-3</v>
      </c>
      <c r="M250" s="112">
        <f t="shared" si="61"/>
        <v>-8.0000000000000071E-3</v>
      </c>
      <c r="N250" s="112">
        <f t="shared" si="62"/>
        <v>4.0000000000000036E-3</v>
      </c>
      <c r="O250" s="112">
        <f t="shared" si="54"/>
        <v>0.996</v>
      </c>
      <c r="P250" s="113">
        <f t="shared" si="55"/>
        <v>0.13333333333333347</v>
      </c>
      <c r="Q250" s="114">
        <f t="shared" si="56"/>
        <v>0.26666666666666694</v>
      </c>
      <c r="R250" s="115" t="str">
        <f t="shared" si="57"/>
        <v xml:space="preserve"> </v>
      </c>
      <c r="S250" s="115" t="str">
        <f t="shared" si="58"/>
        <v xml:space="preserve"> </v>
      </c>
      <c r="T250" s="116" t="str">
        <f t="shared" si="59"/>
        <v/>
      </c>
      <c r="U250" s="120"/>
      <c r="V250" s="118"/>
      <c r="W250" s="131"/>
    </row>
    <row r="251" spans="1:23" ht="13.2">
      <c r="A251" s="102" t="s">
        <v>286</v>
      </c>
      <c r="B251" s="102"/>
      <c r="C251" s="104">
        <v>3</v>
      </c>
      <c r="D251" s="105" t="s">
        <v>68</v>
      </c>
      <c r="E251" s="106">
        <v>1</v>
      </c>
      <c r="F251" s="107">
        <v>0.03</v>
      </c>
      <c r="G251" s="108">
        <v>0.03</v>
      </c>
      <c r="H251" s="121" t="s">
        <v>55</v>
      </c>
      <c r="I251" s="110">
        <v>0.99199999999999999</v>
      </c>
      <c r="J251" s="110">
        <v>1.006</v>
      </c>
      <c r="K251" s="119">
        <v>0.99399999999999999</v>
      </c>
      <c r="L251" s="111">
        <f t="shared" si="60"/>
        <v>-8.0000000000000071E-3</v>
      </c>
      <c r="M251" s="112">
        <f t="shared" si="61"/>
        <v>6.0000000000000053E-3</v>
      </c>
      <c r="N251" s="112">
        <f t="shared" si="62"/>
        <v>-6.0000000000000053E-3</v>
      </c>
      <c r="O251" s="112">
        <f t="shared" si="54"/>
        <v>0.99733333333333329</v>
      </c>
      <c r="P251" s="113">
        <f t="shared" si="55"/>
        <v>0.20000000000000018</v>
      </c>
      <c r="Q251" s="114">
        <f t="shared" si="56"/>
        <v>0.26666666666666694</v>
      </c>
      <c r="R251" s="115" t="str">
        <f t="shared" si="57"/>
        <v xml:space="preserve"> </v>
      </c>
      <c r="S251" s="115" t="str">
        <f t="shared" si="58"/>
        <v xml:space="preserve"> </v>
      </c>
      <c r="T251" s="116" t="str">
        <f t="shared" si="59"/>
        <v/>
      </c>
      <c r="U251" s="120"/>
      <c r="V251" s="118"/>
      <c r="W251" s="131"/>
    </row>
    <row r="252" spans="1:23" ht="13.2">
      <c r="A252" s="102" t="s">
        <v>287</v>
      </c>
      <c r="B252" s="103"/>
      <c r="C252" s="104">
        <v>3</v>
      </c>
      <c r="D252" s="105" t="s">
        <v>68</v>
      </c>
      <c r="E252" s="106">
        <v>1</v>
      </c>
      <c r="F252" s="107">
        <v>0.03</v>
      </c>
      <c r="G252" s="108">
        <v>0.03</v>
      </c>
      <c r="H252" s="121" t="s">
        <v>55</v>
      </c>
      <c r="I252" s="110">
        <v>0.99399999999999999</v>
      </c>
      <c r="J252" s="110">
        <v>0.998</v>
      </c>
      <c r="K252" s="119">
        <v>1</v>
      </c>
      <c r="L252" s="111">
        <f t="shared" si="60"/>
        <v>-6.0000000000000053E-3</v>
      </c>
      <c r="M252" s="112">
        <f t="shared" si="61"/>
        <v>-2.0000000000000018E-3</v>
      </c>
      <c r="N252" s="112">
        <f t="shared" si="62"/>
        <v>0</v>
      </c>
      <c r="O252" s="112">
        <f t="shared" si="54"/>
        <v>0.99733333333333329</v>
      </c>
      <c r="P252" s="113">
        <f t="shared" si="55"/>
        <v>0</v>
      </c>
      <c r="Q252" s="114">
        <f t="shared" si="56"/>
        <v>0.20000000000000018</v>
      </c>
      <c r="R252" s="115" t="str">
        <f t="shared" si="57"/>
        <v xml:space="preserve"> </v>
      </c>
      <c r="S252" s="115" t="str">
        <f t="shared" si="58"/>
        <v xml:space="preserve"> </v>
      </c>
      <c r="T252" s="116" t="str">
        <f t="shared" si="59"/>
        <v/>
      </c>
      <c r="U252" s="120"/>
      <c r="V252" s="118"/>
      <c r="W252" s="131"/>
    </row>
    <row r="253" spans="1:23" ht="13.2">
      <c r="A253" s="102" t="s">
        <v>288</v>
      </c>
      <c r="B253" s="103"/>
      <c r="C253" s="104">
        <v>3</v>
      </c>
      <c r="D253" s="105" t="s">
        <v>68</v>
      </c>
      <c r="E253" s="106">
        <v>1</v>
      </c>
      <c r="F253" s="107">
        <v>0.03</v>
      </c>
      <c r="G253" s="108">
        <v>0.03</v>
      </c>
      <c r="H253" s="121" t="s">
        <v>55</v>
      </c>
      <c r="I253" s="110">
        <v>0.998</v>
      </c>
      <c r="J253" s="110">
        <v>1.0069999999999999</v>
      </c>
      <c r="K253" s="119">
        <v>1.0029999999999999</v>
      </c>
      <c r="L253" s="111">
        <f t="shared" si="60"/>
        <v>-2.0000000000000018E-3</v>
      </c>
      <c r="M253" s="112">
        <f t="shared" si="61"/>
        <v>6.9999999999998952E-3</v>
      </c>
      <c r="N253" s="112">
        <f t="shared" si="62"/>
        <v>2.9999999999998916E-3</v>
      </c>
      <c r="O253" s="112">
        <f t="shared" si="54"/>
        <v>1.0026666666666666</v>
      </c>
      <c r="P253" s="113">
        <f t="shared" si="55"/>
        <v>0.23333333333332984</v>
      </c>
      <c r="Q253" s="114">
        <f t="shared" si="56"/>
        <v>6.6666666666666735E-2</v>
      </c>
      <c r="R253" s="115" t="str">
        <f t="shared" si="57"/>
        <v xml:space="preserve"> </v>
      </c>
      <c r="S253" s="115" t="str">
        <f t="shared" si="58"/>
        <v xml:space="preserve"> </v>
      </c>
      <c r="T253" s="116" t="str">
        <f t="shared" si="59"/>
        <v/>
      </c>
      <c r="U253" s="120"/>
      <c r="V253" s="118"/>
      <c r="W253" s="131"/>
    </row>
    <row r="254" spans="1:23" ht="13.2">
      <c r="A254" s="102" t="s">
        <v>289</v>
      </c>
      <c r="B254" s="103"/>
      <c r="C254" s="104">
        <v>3</v>
      </c>
      <c r="D254" s="105" t="s">
        <v>68</v>
      </c>
      <c r="E254" s="106">
        <v>1</v>
      </c>
      <c r="F254" s="107">
        <v>0.03</v>
      </c>
      <c r="G254" s="108">
        <v>0.03</v>
      </c>
      <c r="H254" s="121" t="s">
        <v>55</v>
      </c>
      <c r="I254" s="110">
        <v>1.008</v>
      </c>
      <c r="J254" s="110">
        <v>1.0049999999999999</v>
      </c>
      <c r="K254" s="119">
        <v>0.996</v>
      </c>
      <c r="L254" s="111">
        <f t="shared" si="60"/>
        <v>8.0000000000000071E-3</v>
      </c>
      <c r="M254" s="112">
        <f t="shared" si="61"/>
        <v>4.9999999999998934E-3</v>
      </c>
      <c r="N254" s="112">
        <f t="shared" si="62"/>
        <v>-4.0000000000000036E-3</v>
      </c>
      <c r="O254" s="112">
        <f t="shared" ref="O254:O317" si="63">IF(ISERR(I254/I254)=TRUE," ",AVERAGE(I254:K254))</f>
        <v>1.0029999999999999</v>
      </c>
      <c r="P254" s="113">
        <f t="shared" ref="P254:P317" si="64">IF(ISBLANK($E254),"",IF(ISNUMBER(F254)=FALSE,"BAD TOL", IF(F254=0,"N/A",IF(ISERR(I254/I254)=TRUE,"BAD INSP",IF(AND(ISNUMBER($I254),ISNUMBER($J254),ISNUMBER($K254))=FALSE,"BAD INSP",IF(MAX($I254:$K254)&lt;$E254,0,(MAX($I254:$K254)-$E254)/$F254))))))</f>
        <v>0.26666666666666694</v>
      </c>
      <c r="Q254" s="114">
        <f t="shared" ref="Q254:Q317" si="65">IF(ISBLANK($E254),"",IF(ISNUMBER(G254)=FALSE,"BAD TOL",IF(G254=0,"N/A",IF(ISERR(I254/I254)=TRUE,"BAD INSP",IF(AND(ISNUMBER($I254),ISNUMBER($J254),ISNUMBER($K254))=FALSE,"BAD INSP",IF(MIN(I254:K254)&gt;$E254,0,($E254-MIN(I254:K254))/G254))))))</f>
        <v>0.13333333333333347</v>
      </c>
      <c r="R254" s="115" t="str">
        <f t="shared" ref="R254:R317" si="66">IF(ISBLANK($E254),"",IF(ISNUMBER($P254)=TRUE,IF($P254&gt;0.651,IF($P254&gt;1.001,"Reject","Alert")," "),IF(AND(F254=0, ISNUMBER(F254)),IF(MAX(I254:K254)&gt;(E254+F254),"Reject",IF(MAX(I254:K254)=(E254+F254),"Alert","")),"Reject")))</f>
        <v xml:space="preserve"> </v>
      </c>
      <c r="S254" s="115" t="str">
        <f t="shared" ref="S254:S317" si="67">IF(ISBLANK($E254),"",IF(ISNUMBER($Q254)=TRUE,IF($Q254&gt;0.651,IF($Q254&gt;1.001,"Reject","Alert")," "),IF(AND(G254=0, ISNUMBER(G254)),IF(MIN(I254:K254)&lt;(E254-G254),"Reject",IF(MIN(I254:K254)=(E254-G254),"Alert","")),"Reject")))</f>
        <v xml:space="preserve"> </v>
      </c>
      <c r="T254" s="116" t="str">
        <f t="shared" ref="T254:T317" si="68">IF(OR(R254="Reject",S254="Reject"),"Reject",IF(OR(R254="Alert",S254="Alert"),"Alert", ""))</f>
        <v/>
      </c>
      <c r="U254" s="120"/>
      <c r="V254" s="118"/>
      <c r="W254" s="131"/>
    </row>
    <row r="255" spans="1:23" ht="13.2">
      <c r="A255" s="102" t="s">
        <v>290</v>
      </c>
      <c r="B255" s="102"/>
      <c r="C255" s="104">
        <v>3</v>
      </c>
      <c r="D255" s="105" t="s">
        <v>68</v>
      </c>
      <c r="E255" s="106">
        <v>1</v>
      </c>
      <c r="F255" s="107">
        <v>0.03</v>
      </c>
      <c r="G255" s="108">
        <v>0.03</v>
      </c>
      <c r="H255" s="121" t="s">
        <v>55</v>
      </c>
      <c r="I255" s="110">
        <v>0.98799999999999999</v>
      </c>
      <c r="J255" s="110">
        <v>0.998</v>
      </c>
      <c r="K255" s="119">
        <v>1.0049999999999999</v>
      </c>
      <c r="L255" s="111">
        <f t="shared" si="60"/>
        <v>-1.2000000000000011E-2</v>
      </c>
      <c r="M255" s="112">
        <f t="shared" si="61"/>
        <v>-2.0000000000000018E-3</v>
      </c>
      <c r="N255" s="112">
        <f t="shared" si="62"/>
        <v>4.9999999999998934E-3</v>
      </c>
      <c r="O255" s="112">
        <f t="shared" si="63"/>
        <v>0.99699999999999989</v>
      </c>
      <c r="P255" s="113">
        <f t="shared" si="64"/>
        <v>0.16666666666666313</v>
      </c>
      <c r="Q255" s="114">
        <f t="shared" si="65"/>
        <v>0.40000000000000036</v>
      </c>
      <c r="R255" s="115" t="str">
        <f t="shared" si="66"/>
        <v xml:space="preserve"> </v>
      </c>
      <c r="S255" s="115" t="str">
        <f t="shared" si="67"/>
        <v xml:space="preserve"> </v>
      </c>
      <c r="T255" s="116" t="str">
        <f t="shared" si="68"/>
        <v/>
      </c>
      <c r="U255" s="120"/>
      <c r="V255" s="118"/>
      <c r="W255" s="131"/>
    </row>
    <row r="256" spans="1:23" ht="13.2">
      <c r="A256" s="102" t="s">
        <v>291</v>
      </c>
      <c r="B256" s="102"/>
      <c r="C256" s="104">
        <v>3</v>
      </c>
      <c r="D256" s="105" t="s">
        <v>68</v>
      </c>
      <c r="E256" s="106">
        <v>1</v>
      </c>
      <c r="F256" s="107">
        <v>0.03</v>
      </c>
      <c r="G256" s="108">
        <v>0.03</v>
      </c>
      <c r="H256" s="121" t="s">
        <v>55</v>
      </c>
      <c r="I256" s="110">
        <v>1.006</v>
      </c>
      <c r="J256" s="110">
        <v>1</v>
      </c>
      <c r="K256" s="119">
        <v>1.002</v>
      </c>
      <c r="L256" s="111">
        <f t="shared" si="60"/>
        <v>6.0000000000000053E-3</v>
      </c>
      <c r="M256" s="112">
        <f t="shared" si="61"/>
        <v>0</v>
      </c>
      <c r="N256" s="112">
        <f t="shared" si="62"/>
        <v>2.0000000000000018E-3</v>
      </c>
      <c r="O256" s="112">
        <f t="shared" si="63"/>
        <v>1.0026666666666666</v>
      </c>
      <c r="P256" s="113">
        <f t="shared" si="64"/>
        <v>0.20000000000000018</v>
      </c>
      <c r="Q256" s="114">
        <f t="shared" si="65"/>
        <v>0</v>
      </c>
      <c r="R256" s="115" t="str">
        <f t="shared" si="66"/>
        <v xml:space="preserve"> </v>
      </c>
      <c r="S256" s="115" t="str">
        <f t="shared" si="67"/>
        <v xml:space="preserve"> </v>
      </c>
      <c r="T256" s="116" t="str">
        <f t="shared" si="68"/>
        <v/>
      </c>
      <c r="U256" s="120"/>
      <c r="V256" s="118"/>
      <c r="W256" s="131"/>
    </row>
    <row r="257" spans="1:23" ht="13.2">
      <c r="A257" s="102" t="s">
        <v>292</v>
      </c>
      <c r="B257" s="102"/>
      <c r="C257" s="104">
        <v>3</v>
      </c>
      <c r="D257" s="105" t="s">
        <v>68</v>
      </c>
      <c r="E257" s="106">
        <v>1</v>
      </c>
      <c r="F257" s="107">
        <v>0.03</v>
      </c>
      <c r="G257" s="108">
        <v>0.03</v>
      </c>
      <c r="H257" s="121" t="s">
        <v>55</v>
      </c>
      <c r="I257" s="110">
        <v>0.99299999999999999</v>
      </c>
      <c r="J257" s="110">
        <v>1.004</v>
      </c>
      <c r="K257" s="119">
        <v>1.0009999999999999</v>
      </c>
      <c r="L257" s="111">
        <f t="shared" si="60"/>
        <v>-7.0000000000000062E-3</v>
      </c>
      <c r="M257" s="112">
        <f t="shared" si="61"/>
        <v>4.0000000000000036E-3</v>
      </c>
      <c r="N257" s="112">
        <f t="shared" si="62"/>
        <v>9.9999999999988987E-4</v>
      </c>
      <c r="O257" s="112">
        <f t="shared" si="63"/>
        <v>0.9993333333333333</v>
      </c>
      <c r="P257" s="113">
        <f t="shared" si="64"/>
        <v>0.13333333333333347</v>
      </c>
      <c r="Q257" s="114">
        <f t="shared" si="65"/>
        <v>0.23333333333333356</v>
      </c>
      <c r="R257" s="115" t="str">
        <f t="shared" si="66"/>
        <v xml:space="preserve"> </v>
      </c>
      <c r="S257" s="115" t="str">
        <f t="shared" si="67"/>
        <v xml:space="preserve"> </v>
      </c>
      <c r="T257" s="116" t="str">
        <f t="shared" si="68"/>
        <v/>
      </c>
      <c r="U257" s="120"/>
      <c r="V257" s="118"/>
      <c r="W257" s="131"/>
    </row>
    <row r="258" spans="1:23" ht="13.2">
      <c r="A258" s="102" t="s">
        <v>293</v>
      </c>
      <c r="B258" s="102"/>
      <c r="C258" s="104">
        <v>3</v>
      </c>
      <c r="D258" s="105" t="s">
        <v>357</v>
      </c>
      <c r="E258" s="106">
        <v>0.67</v>
      </c>
      <c r="F258" s="107">
        <v>0.1</v>
      </c>
      <c r="G258" s="108">
        <v>0.1</v>
      </c>
      <c r="H258" s="121" t="s">
        <v>55</v>
      </c>
      <c r="I258" s="110">
        <v>0.77</v>
      </c>
      <c r="J258" s="110">
        <v>0.751</v>
      </c>
      <c r="K258" s="119">
        <v>0.75700000000000001</v>
      </c>
      <c r="L258" s="111">
        <f t="shared" si="60"/>
        <v>9.9999999999999978E-2</v>
      </c>
      <c r="M258" s="112">
        <f t="shared" si="61"/>
        <v>8.0999999999999961E-2</v>
      </c>
      <c r="N258" s="112">
        <f t="shared" si="62"/>
        <v>8.6999999999999966E-2</v>
      </c>
      <c r="O258" s="112">
        <f t="shared" si="63"/>
        <v>0.7593333333333333</v>
      </c>
      <c r="P258" s="113">
        <f t="shared" si="64"/>
        <v>0.99999999999999978</v>
      </c>
      <c r="Q258" s="114">
        <f t="shared" si="65"/>
        <v>0</v>
      </c>
      <c r="R258" s="115" t="str">
        <f t="shared" si="66"/>
        <v>Alert</v>
      </c>
      <c r="S258" s="115" t="str">
        <f t="shared" si="67"/>
        <v xml:space="preserve"> </v>
      </c>
      <c r="T258" s="116" t="str">
        <f t="shared" si="68"/>
        <v>Alert</v>
      </c>
      <c r="U258" s="120"/>
      <c r="V258" s="118"/>
      <c r="W258" s="131"/>
    </row>
    <row r="259" spans="1:23" ht="13.2">
      <c r="A259" s="102" t="s">
        <v>294</v>
      </c>
      <c r="B259" s="102"/>
      <c r="C259" s="104">
        <v>3</v>
      </c>
      <c r="D259" s="105" t="s">
        <v>357</v>
      </c>
      <c r="E259" s="106">
        <v>0.67</v>
      </c>
      <c r="F259" s="107">
        <v>0.1</v>
      </c>
      <c r="G259" s="108">
        <v>0.1</v>
      </c>
      <c r="H259" s="121" t="s">
        <v>55</v>
      </c>
      <c r="I259" s="110">
        <v>0.76200000000000001</v>
      </c>
      <c r="J259" s="110">
        <v>0.754</v>
      </c>
      <c r="K259" s="119">
        <v>0.76500000000000001</v>
      </c>
      <c r="L259" s="111">
        <f t="shared" si="60"/>
        <v>9.1999999999999971E-2</v>
      </c>
      <c r="M259" s="112">
        <f t="shared" si="61"/>
        <v>8.3999999999999964E-2</v>
      </c>
      <c r="N259" s="112">
        <f t="shared" si="62"/>
        <v>9.4999999999999973E-2</v>
      </c>
      <c r="O259" s="112">
        <f t="shared" si="63"/>
        <v>0.76033333333333342</v>
      </c>
      <c r="P259" s="113">
        <f t="shared" si="64"/>
        <v>0.94999999999999973</v>
      </c>
      <c r="Q259" s="114">
        <f t="shared" si="65"/>
        <v>0</v>
      </c>
      <c r="R259" s="115" t="str">
        <f t="shared" si="66"/>
        <v>Alert</v>
      </c>
      <c r="S259" s="115" t="str">
        <f t="shared" si="67"/>
        <v xml:space="preserve"> </v>
      </c>
      <c r="T259" s="116" t="str">
        <f t="shared" si="68"/>
        <v>Alert</v>
      </c>
      <c r="U259" s="120"/>
      <c r="V259" s="118"/>
      <c r="W259" s="131"/>
    </row>
    <row r="260" spans="1:23" ht="13.2">
      <c r="A260" s="102" t="s">
        <v>295</v>
      </c>
      <c r="B260" s="102"/>
      <c r="C260" s="104">
        <v>3</v>
      </c>
      <c r="D260" s="105" t="s">
        <v>357</v>
      </c>
      <c r="E260" s="106">
        <v>0.67</v>
      </c>
      <c r="F260" s="107">
        <v>0.1</v>
      </c>
      <c r="G260" s="108">
        <v>0.1</v>
      </c>
      <c r="H260" s="121" t="s">
        <v>55</v>
      </c>
      <c r="I260" s="110">
        <v>0.75600000000000001</v>
      </c>
      <c r="J260" s="110">
        <v>0.77</v>
      </c>
      <c r="K260" s="119">
        <v>0.76300000000000001</v>
      </c>
      <c r="L260" s="111">
        <f t="shared" si="60"/>
        <v>8.5999999999999965E-2</v>
      </c>
      <c r="M260" s="112">
        <f t="shared" si="61"/>
        <v>9.9999999999999978E-2</v>
      </c>
      <c r="N260" s="112">
        <f t="shared" si="62"/>
        <v>9.2999999999999972E-2</v>
      </c>
      <c r="O260" s="112">
        <f t="shared" si="63"/>
        <v>0.76300000000000001</v>
      </c>
      <c r="P260" s="113">
        <f t="shared" si="64"/>
        <v>0.99999999999999978</v>
      </c>
      <c r="Q260" s="114">
        <f t="shared" si="65"/>
        <v>0</v>
      </c>
      <c r="R260" s="115" t="str">
        <f t="shared" si="66"/>
        <v>Alert</v>
      </c>
      <c r="S260" s="115" t="str">
        <f t="shared" si="67"/>
        <v xml:space="preserve"> </v>
      </c>
      <c r="T260" s="116" t="str">
        <f t="shared" si="68"/>
        <v>Alert</v>
      </c>
      <c r="U260" s="120"/>
      <c r="V260" s="118"/>
      <c r="W260" s="131"/>
    </row>
    <row r="261" spans="1:23" ht="13.2">
      <c r="A261" s="102" t="s">
        <v>296</v>
      </c>
      <c r="B261" s="102"/>
      <c r="C261" s="104">
        <v>3</v>
      </c>
      <c r="D261" s="105" t="s">
        <v>357</v>
      </c>
      <c r="E261" s="106">
        <v>0.67</v>
      </c>
      <c r="F261" s="107">
        <v>0.1</v>
      </c>
      <c r="G261" s="108">
        <v>0.1</v>
      </c>
      <c r="H261" s="121" t="s">
        <v>55</v>
      </c>
      <c r="I261" s="110">
        <v>0.76400000000000001</v>
      </c>
      <c r="J261" s="110">
        <v>0.76800000000000002</v>
      </c>
      <c r="K261" s="119">
        <v>0.76400000000000001</v>
      </c>
      <c r="L261" s="111">
        <f t="shared" si="60"/>
        <v>9.3999999999999972E-2</v>
      </c>
      <c r="M261" s="112">
        <f t="shared" si="61"/>
        <v>9.7999999999999976E-2</v>
      </c>
      <c r="N261" s="112">
        <f t="shared" si="62"/>
        <v>9.3999999999999972E-2</v>
      </c>
      <c r="O261" s="112">
        <f t="shared" si="63"/>
        <v>0.76533333333333342</v>
      </c>
      <c r="P261" s="113">
        <f t="shared" si="64"/>
        <v>0.97999999999999976</v>
      </c>
      <c r="Q261" s="114">
        <f t="shared" si="65"/>
        <v>0</v>
      </c>
      <c r="R261" s="115" t="str">
        <f t="shared" si="66"/>
        <v>Alert</v>
      </c>
      <c r="S261" s="115" t="str">
        <f t="shared" si="67"/>
        <v xml:space="preserve"> </v>
      </c>
      <c r="T261" s="116" t="str">
        <f t="shared" si="68"/>
        <v>Alert</v>
      </c>
      <c r="U261" s="120"/>
      <c r="V261" s="118"/>
      <c r="W261" s="131"/>
    </row>
    <row r="262" spans="1:23" ht="13.2">
      <c r="A262" s="102" t="s">
        <v>297</v>
      </c>
      <c r="B262" s="102"/>
      <c r="C262" s="104">
        <v>3</v>
      </c>
      <c r="D262" s="105" t="s">
        <v>357</v>
      </c>
      <c r="E262" s="106">
        <v>0.67</v>
      </c>
      <c r="F262" s="107">
        <v>0.1</v>
      </c>
      <c r="G262" s="108">
        <v>0.1</v>
      </c>
      <c r="H262" s="121" t="s">
        <v>55</v>
      </c>
      <c r="I262" s="110">
        <v>0.76700000000000002</v>
      </c>
      <c r="J262" s="110">
        <v>0.76500000000000001</v>
      </c>
      <c r="K262" s="119">
        <v>0.76300000000000001</v>
      </c>
      <c r="L262" s="111">
        <f t="shared" si="60"/>
        <v>9.6999999999999975E-2</v>
      </c>
      <c r="M262" s="112">
        <f t="shared" si="61"/>
        <v>9.4999999999999973E-2</v>
      </c>
      <c r="N262" s="112">
        <f t="shared" si="62"/>
        <v>9.2999999999999972E-2</v>
      </c>
      <c r="O262" s="112">
        <f t="shared" si="63"/>
        <v>0.76500000000000001</v>
      </c>
      <c r="P262" s="113">
        <f t="shared" si="64"/>
        <v>0.96999999999999975</v>
      </c>
      <c r="Q262" s="114">
        <f t="shared" si="65"/>
        <v>0</v>
      </c>
      <c r="R262" s="115" t="str">
        <f t="shared" si="66"/>
        <v>Alert</v>
      </c>
      <c r="S262" s="115" t="str">
        <f t="shared" si="67"/>
        <v xml:space="preserve"> </v>
      </c>
      <c r="T262" s="116" t="str">
        <f t="shared" si="68"/>
        <v>Alert</v>
      </c>
      <c r="U262" s="120"/>
      <c r="V262" s="118"/>
      <c r="W262" s="131"/>
    </row>
    <row r="263" spans="1:23" ht="13.2">
      <c r="A263" s="102" t="s">
        <v>298</v>
      </c>
      <c r="B263" s="102"/>
      <c r="C263" s="104">
        <v>3</v>
      </c>
      <c r="D263" s="105" t="s">
        <v>357</v>
      </c>
      <c r="E263" s="106">
        <v>0.67</v>
      </c>
      <c r="F263" s="107">
        <v>0.1</v>
      </c>
      <c r="G263" s="108">
        <v>0.1</v>
      </c>
      <c r="H263" s="121" t="s">
        <v>55</v>
      </c>
      <c r="I263" s="110">
        <v>0.76100000000000001</v>
      </c>
      <c r="J263" s="110">
        <v>0.76800000000000002</v>
      </c>
      <c r="K263" s="119">
        <v>0.753</v>
      </c>
      <c r="L263" s="111">
        <f t="shared" si="60"/>
        <v>9.099999999999997E-2</v>
      </c>
      <c r="M263" s="112">
        <f t="shared" si="61"/>
        <v>9.7999999999999976E-2</v>
      </c>
      <c r="N263" s="112">
        <f t="shared" si="62"/>
        <v>8.2999999999999963E-2</v>
      </c>
      <c r="O263" s="112">
        <f t="shared" si="63"/>
        <v>0.76066666666666671</v>
      </c>
      <c r="P263" s="113">
        <f t="shared" si="64"/>
        <v>0.97999999999999976</v>
      </c>
      <c r="Q263" s="114">
        <f t="shared" si="65"/>
        <v>0</v>
      </c>
      <c r="R263" s="115" t="str">
        <f t="shared" si="66"/>
        <v>Alert</v>
      </c>
      <c r="S263" s="115" t="str">
        <f t="shared" si="67"/>
        <v xml:space="preserve"> </v>
      </c>
      <c r="T263" s="116" t="str">
        <f t="shared" si="68"/>
        <v>Alert</v>
      </c>
      <c r="U263" s="120"/>
      <c r="V263" s="118"/>
      <c r="W263" s="131"/>
    </row>
    <row r="264" spans="1:23" ht="13.2">
      <c r="A264" s="102" t="s">
        <v>299</v>
      </c>
      <c r="B264" s="102"/>
      <c r="C264" s="104">
        <v>3</v>
      </c>
      <c r="D264" s="105" t="s">
        <v>357</v>
      </c>
      <c r="E264" s="106">
        <v>0.67</v>
      </c>
      <c r="F264" s="107">
        <v>0.1</v>
      </c>
      <c r="G264" s="108">
        <v>0.1</v>
      </c>
      <c r="H264" s="121" t="s">
        <v>55</v>
      </c>
      <c r="I264" s="110">
        <v>0.76600000000000001</v>
      </c>
      <c r="J264" s="110">
        <v>0.73399999999999999</v>
      </c>
      <c r="K264" s="119">
        <v>0.76900000000000002</v>
      </c>
      <c r="L264" s="111">
        <f t="shared" si="60"/>
        <v>9.5999999999999974E-2</v>
      </c>
      <c r="M264" s="112">
        <f t="shared" si="61"/>
        <v>6.3999999999999946E-2</v>
      </c>
      <c r="N264" s="112">
        <f t="shared" si="62"/>
        <v>9.8999999999999977E-2</v>
      </c>
      <c r="O264" s="112">
        <f t="shared" si="63"/>
        <v>0.75633333333333341</v>
      </c>
      <c r="P264" s="113">
        <f t="shared" si="64"/>
        <v>0.98999999999999977</v>
      </c>
      <c r="Q264" s="114">
        <f t="shared" si="65"/>
        <v>0</v>
      </c>
      <c r="R264" s="115" t="str">
        <f t="shared" si="66"/>
        <v>Alert</v>
      </c>
      <c r="S264" s="115" t="str">
        <f t="shared" si="67"/>
        <v xml:space="preserve"> </v>
      </c>
      <c r="T264" s="116" t="str">
        <f t="shared" si="68"/>
        <v>Alert</v>
      </c>
      <c r="U264" s="120"/>
      <c r="V264" s="118"/>
      <c r="W264" s="131"/>
    </row>
    <row r="265" spans="1:23" ht="13.2">
      <c r="A265" s="102" t="s">
        <v>300</v>
      </c>
      <c r="B265" s="102"/>
      <c r="C265" s="104">
        <v>3</v>
      </c>
      <c r="D265" s="105" t="s">
        <v>357</v>
      </c>
      <c r="E265" s="106">
        <v>0.67</v>
      </c>
      <c r="F265" s="107">
        <v>0.1</v>
      </c>
      <c r="G265" s="108">
        <v>0.1</v>
      </c>
      <c r="H265" s="121" t="s">
        <v>55</v>
      </c>
      <c r="I265" s="110">
        <v>0.76800000000000002</v>
      </c>
      <c r="J265" s="110">
        <v>0.753</v>
      </c>
      <c r="K265" s="119">
        <v>0.76</v>
      </c>
      <c r="L265" s="111">
        <f t="shared" si="60"/>
        <v>9.7999999999999976E-2</v>
      </c>
      <c r="M265" s="112">
        <f t="shared" si="61"/>
        <v>8.2999999999999963E-2</v>
      </c>
      <c r="N265" s="112">
        <f t="shared" si="62"/>
        <v>8.9999999999999969E-2</v>
      </c>
      <c r="O265" s="112">
        <f t="shared" si="63"/>
        <v>0.76033333333333319</v>
      </c>
      <c r="P265" s="113">
        <f t="shared" si="64"/>
        <v>0.97999999999999976</v>
      </c>
      <c r="Q265" s="114">
        <f t="shared" si="65"/>
        <v>0</v>
      </c>
      <c r="R265" s="115" t="str">
        <f t="shared" si="66"/>
        <v>Alert</v>
      </c>
      <c r="S265" s="115" t="str">
        <f t="shared" si="67"/>
        <v xml:space="preserve"> </v>
      </c>
      <c r="T265" s="116" t="str">
        <f t="shared" si="68"/>
        <v>Alert</v>
      </c>
      <c r="U265" s="120"/>
      <c r="V265" s="118"/>
      <c r="W265" s="131"/>
    </row>
    <row r="266" spans="1:23" ht="13.2">
      <c r="A266" s="102" t="s">
        <v>301</v>
      </c>
      <c r="B266" s="102"/>
      <c r="C266" s="104">
        <v>3</v>
      </c>
      <c r="D266" s="105" t="s">
        <v>357</v>
      </c>
      <c r="E266" s="106">
        <v>0.67</v>
      </c>
      <c r="F266" s="107">
        <v>0.1</v>
      </c>
      <c r="G266" s="108">
        <v>0.1</v>
      </c>
      <c r="H266" s="121" t="s">
        <v>55</v>
      </c>
      <c r="I266" s="110">
        <v>0.76</v>
      </c>
      <c r="J266" s="110">
        <v>0.746</v>
      </c>
      <c r="K266" s="119">
        <v>0.76500000000000001</v>
      </c>
      <c r="L266" s="111">
        <f t="shared" si="60"/>
        <v>8.9999999999999969E-2</v>
      </c>
      <c r="M266" s="112">
        <f t="shared" si="61"/>
        <v>7.5999999999999956E-2</v>
      </c>
      <c r="N266" s="112">
        <f t="shared" si="62"/>
        <v>9.4999999999999973E-2</v>
      </c>
      <c r="O266" s="112">
        <f t="shared" si="63"/>
        <v>0.75700000000000001</v>
      </c>
      <c r="P266" s="113">
        <f t="shared" si="64"/>
        <v>0.94999999999999973</v>
      </c>
      <c r="Q266" s="114">
        <f t="shared" si="65"/>
        <v>0</v>
      </c>
      <c r="R266" s="115" t="str">
        <f t="shared" si="66"/>
        <v>Alert</v>
      </c>
      <c r="S266" s="115" t="str">
        <f t="shared" si="67"/>
        <v xml:space="preserve"> </v>
      </c>
      <c r="T266" s="116" t="str">
        <f t="shared" si="68"/>
        <v>Alert</v>
      </c>
      <c r="U266" s="120"/>
      <c r="V266" s="118"/>
      <c r="W266" s="131"/>
    </row>
    <row r="267" spans="1:23" ht="13.2">
      <c r="A267" s="102" t="s">
        <v>302</v>
      </c>
      <c r="B267" s="103"/>
      <c r="C267" s="104">
        <v>3</v>
      </c>
      <c r="D267" s="105" t="s">
        <v>357</v>
      </c>
      <c r="E267" s="106">
        <v>0.67</v>
      </c>
      <c r="F267" s="107">
        <v>0.1</v>
      </c>
      <c r="G267" s="108">
        <v>0.1</v>
      </c>
      <c r="H267" s="121" t="s">
        <v>55</v>
      </c>
      <c r="I267" s="110">
        <v>0.76100000000000001</v>
      </c>
      <c r="J267" s="110">
        <v>0.75800000000000001</v>
      </c>
      <c r="K267" s="119">
        <v>0.755</v>
      </c>
      <c r="L267" s="111">
        <f t="shared" si="60"/>
        <v>9.099999999999997E-2</v>
      </c>
      <c r="M267" s="112">
        <f t="shared" si="61"/>
        <v>8.7999999999999967E-2</v>
      </c>
      <c r="N267" s="112">
        <f t="shared" si="62"/>
        <v>8.4999999999999964E-2</v>
      </c>
      <c r="O267" s="112">
        <f t="shared" si="63"/>
        <v>0.75800000000000001</v>
      </c>
      <c r="P267" s="113">
        <f t="shared" si="64"/>
        <v>0.9099999999999997</v>
      </c>
      <c r="Q267" s="114">
        <f t="shared" si="65"/>
        <v>0</v>
      </c>
      <c r="R267" s="115" t="str">
        <f t="shared" si="66"/>
        <v>Alert</v>
      </c>
      <c r="S267" s="115" t="str">
        <f t="shared" si="67"/>
        <v xml:space="preserve"> </v>
      </c>
      <c r="T267" s="116" t="str">
        <f t="shared" si="68"/>
        <v>Alert</v>
      </c>
      <c r="U267" s="120"/>
      <c r="V267" s="118"/>
      <c r="W267" s="131"/>
    </row>
    <row r="268" spans="1:23" ht="13.2">
      <c r="A268" s="102" t="s">
        <v>303</v>
      </c>
      <c r="B268" s="103"/>
      <c r="C268" s="104">
        <v>3</v>
      </c>
      <c r="D268" s="105" t="s">
        <v>357</v>
      </c>
      <c r="E268" s="106">
        <v>0.67</v>
      </c>
      <c r="F268" s="107">
        <v>0.1</v>
      </c>
      <c r="G268" s="108">
        <v>0.1</v>
      </c>
      <c r="H268" s="121" t="s">
        <v>55</v>
      </c>
      <c r="I268" s="110">
        <v>0.76</v>
      </c>
      <c r="J268" s="110">
        <v>0.74299999999999999</v>
      </c>
      <c r="K268" s="119">
        <v>0.746</v>
      </c>
      <c r="L268" s="111">
        <f t="shared" si="60"/>
        <v>8.9999999999999969E-2</v>
      </c>
      <c r="M268" s="112">
        <f t="shared" si="61"/>
        <v>7.2999999999999954E-2</v>
      </c>
      <c r="N268" s="112">
        <f t="shared" si="62"/>
        <v>7.5999999999999956E-2</v>
      </c>
      <c r="O268" s="112">
        <f t="shared" si="63"/>
        <v>0.7496666666666667</v>
      </c>
      <c r="P268" s="113">
        <f t="shared" si="64"/>
        <v>0.89999999999999969</v>
      </c>
      <c r="Q268" s="114">
        <f t="shared" si="65"/>
        <v>0</v>
      </c>
      <c r="R268" s="115" t="str">
        <f t="shared" si="66"/>
        <v>Alert</v>
      </c>
      <c r="S268" s="115" t="str">
        <f t="shared" si="67"/>
        <v xml:space="preserve"> </v>
      </c>
      <c r="T268" s="116" t="str">
        <f t="shared" si="68"/>
        <v>Alert</v>
      </c>
      <c r="U268" s="120"/>
      <c r="V268" s="118"/>
      <c r="W268" s="131"/>
    </row>
    <row r="269" spans="1:23" ht="13.2">
      <c r="A269" s="102" t="s">
        <v>304</v>
      </c>
      <c r="B269" s="103"/>
      <c r="C269" s="104">
        <v>3</v>
      </c>
      <c r="D269" s="105" t="s">
        <v>357</v>
      </c>
      <c r="E269" s="106">
        <v>0.67</v>
      </c>
      <c r="F269" s="107">
        <v>0.1</v>
      </c>
      <c r="G269" s="108">
        <v>0.1</v>
      </c>
      <c r="H269" s="121" t="s">
        <v>55</v>
      </c>
      <c r="I269" s="110">
        <v>0.75700000000000001</v>
      </c>
      <c r="J269" s="110">
        <v>0.75700000000000001</v>
      </c>
      <c r="K269" s="119">
        <v>0.75600000000000001</v>
      </c>
      <c r="L269" s="111">
        <f t="shared" si="60"/>
        <v>8.6999999999999966E-2</v>
      </c>
      <c r="M269" s="112">
        <f t="shared" si="61"/>
        <v>8.6999999999999966E-2</v>
      </c>
      <c r="N269" s="112">
        <f t="shared" si="62"/>
        <v>8.5999999999999965E-2</v>
      </c>
      <c r="O269" s="112">
        <f t="shared" si="63"/>
        <v>0.75666666666666671</v>
      </c>
      <c r="P269" s="113">
        <f t="shared" si="64"/>
        <v>0.86999999999999966</v>
      </c>
      <c r="Q269" s="114">
        <f t="shared" si="65"/>
        <v>0</v>
      </c>
      <c r="R269" s="115" t="str">
        <f t="shared" si="66"/>
        <v>Alert</v>
      </c>
      <c r="S269" s="115" t="str">
        <f t="shared" si="67"/>
        <v xml:space="preserve"> </v>
      </c>
      <c r="T269" s="116" t="str">
        <f t="shared" si="68"/>
        <v>Alert</v>
      </c>
      <c r="U269" s="120"/>
      <c r="V269" s="118"/>
      <c r="W269" s="131"/>
    </row>
    <row r="270" spans="1:23" ht="13.2">
      <c r="A270" s="102" t="s">
        <v>305</v>
      </c>
      <c r="B270" s="102"/>
      <c r="C270" s="104">
        <v>3</v>
      </c>
      <c r="D270" s="105" t="s">
        <v>357</v>
      </c>
      <c r="E270" s="106">
        <v>0.67</v>
      </c>
      <c r="F270" s="107">
        <v>0.1</v>
      </c>
      <c r="G270" s="108">
        <v>0.1</v>
      </c>
      <c r="H270" s="121" t="s">
        <v>55</v>
      </c>
      <c r="I270" s="110">
        <v>0.76400000000000001</v>
      </c>
      <c r="J270" s="110">
        <v>0.755</v>
      </c>
      <c r="K270" s="119">
        <v>0.748</v>
      </c>
      <c r="L270" s="111">
        <f t="shared" si="60"/>
        <v>9.3999999999999972E-2</v>
      </c>
      <c r="M270" s="112">
        <f t="shared" si="61"/>
        <v>8.4999999999999964E-2</v>
      </c>
      <c r="N270" s="112">
        <f t="shared" si="62"/>
        <v>7.7999999999999958E-2</v>
      </c>
      <c r="O270" s="112">
        <f t="shared" si="63"/>
        <v>0.75566666666666682</v>
      </c>
      <c r="P270" s="113">
        <f t="shared" si="64"/>
        <v>0.93999999999999972</v>
      </c>
      <c r="Q270" s="114">
        <f t="shared" si="65"/>
        <v>0</v>
      </c>
      <c r="R270" s="115" t="str">
        <f t="shared" si="66"/>
        <v>Alert</v>
      </c>
      <c r="S270" s="115" t="str">
        <f t="shared" si="67"/>
        <v xml:space="preserve"> </v>
      </c>
      <c r="T270" s="116" t="str">
        <f t="shared" si="68"/>
        <v>Alert</v>
      </c>
      <c r="U270" s="120"/>
      <c r="V270" s="118"/>
      <c r="W270" s="131"/>
    </row>
    <row r="271" spans="1:23" ht="13.2">
      <c r="A271" s="102" t="s">
        <v>306</v>
      </c>
      <c r="B271" s="102"/>
      <c r="C271" s="104">
        <v>3</v>
      </c>
      <c r="D271" s="105" t="s">
        <v>357</v>
      </c>
      <c r="E271" s="106">
        <v>0.67</v>
      </c>
      <c r="F271" s="107">
        <v>0.1</v>
      </c>
      <c r="G271" s="108">
        <v>0.1</v>
      </c>
      <c r="H271" s="121" t="s">
        <v>55</v>
      </c>
      <c r="I271" s="110">
        <v>0.76600000000000001</v>
      </c>
      <c r="J271" s="110">
        <v>0.73399999999999999</v>
      </c>
      <c r="K271" s="119">
        <v>0.73199999999999998</v>
      </c>
      <c r="L271" s="111">
        <f t="shared" si="60"/>
        <v>9.5999999999999974E-2</v>
      </c>
      <c r="M271" s="112">
        <f t="shared" si="61"/>
        <v>6.3999999999999946E-2</v>
      </c>
      <c r="N271" s="112">
        <f t="shared" si="62"/>
        <v>6.1999999999999944E-2</v>
      </c>
      <c r="O271" s="112">
        <f t="shared" si="63"/>
        <v>0.74400000000000011</v>
      </c>
      <c r="P271" s="113">
        <f t="shared" si="64"/>
        <v>0.95999999999999974</v>
      </c>
      <c r="Q271" s="114">
        <f t="shared" si="65"/>
        <v>0</v>
      </c>
      <c r="R271" s="115" t="str">
        <f t="shared" si="66"/>
        <v>Alert</v>
      </c>
      <c r="S271" s="115" t="str">
        <f t="shared" si="67"/>
        <v xml:space="preserve"> </v>
      </c>
      <c r="T271" s="116" t="str">
        <f t="shared" si="68"/>
        <v>Alert</v>
      </c>
      <c r="U271" s="120"/>
      <c r="V271" s="118"/>
      <c r="W271" s="131"/>
    </row>
    <row r="272" spans="1:23" ht="13.2">
      <c r="A272" s="102" t="s">
        <v>307</v>
      </c>
      <c r="B272" s="102"/>
      <c r="C272" s="104">
        <v>3</v>
      </c>
      <c r="D272" s="105" t="s">
        <v>357</v>
      </c>
      <c r="E272" s="106">
        <v>0.67</v>
      </c>
      <c r="F272" s="107">
        <v>0.1</v>
      </c>
      <c r="G272" s="108">
        <v>0.1</v>
      </c>
      <c r="H272" s="121" t="s">
        <v>55</v>
      </c>
      <c r="I272" s="110">
        <v>0.76600000000000001</v>
      </c>
      <c r="J272" s="110">
        <v>0.754</v>
      </c>
      <c r="K272" s="119">
        <v>0.75600000000000001</v>
      </c>
      <c r="L272" s="111">
        <f t="shared" si="60"/>
        <v>9.5999999999999974E-2</v>
      </c>
      <c r="M272" s="112">
        <f t="shared" si="61"/>
        <v>8.3999999999999964E-2</v>
      </c>
      <c r="N272" s="112">
        <f t="shared" si="62"/>
        <v>8.5999999999999965E-2</v>
      </c>
      <c r="O272" s="112">
        <f t="shared" si="63"/>
        <v>0.7586666666666666</v>
      </c>
      <c r="P272" s="113">
        <f t="shared" si="64"/>
        <v>0.95999999999999974</v>
      </c>
      <c r="Q272" s="114">
        <f t="shared" si="65"/>
        <v>0</v>
      </c>
      <c r="R272" s="115" t="str">
        <f t="shared" si="66"/>
        <v>Alert</v>
      </c>
      <c r="S272" s="115" t="str">
        <f t="shared" si="67"/>
        <v xml:space="preserve"> </v>
      </c>
      <c r="T272" s="116" t="str">
        <f t="shared" si="68"/>
        <v>Alert</v>
      </c>
      <c r="U272" s="120"/>
      <c r="V272" s="118"/>
      <c r="W272" s="131"/>
    </row>
    <row r="273" spans="1:23" ht="13.2">
      <c r="A273" s="102" t="s">
        <v>308</v>
      </c>
      <c r="B273" s="102"/>
      <c r="C273" s="104">
        <v>3</v>
      </c>
      <c r="D273" s="105" t="s">
        <v>357</v>
      </c>
      <c r="E273" s="106">
        <v>0.67</v>
      </c>
      <c r="F273" s="107">
        <v>0.1</v>
      </c>
      <c r="G273" s="108">
        <v>0.1</v>
      </c>
      <c r="H273" s="121" t="s">
        <v>55</v>
      </c>
      <c r="I273" s="110">
        <v>0.76200000000000001</v>
      </c>
      <c r="J273" s="110">
        <v>0.74099999999999999</v>
      </c>
      <c r="K273" s="119">
        <v>0.74399999999999999</v>
      </c>
      <c r="L273" s="111">
        <f t="shared" si="60"/>
        <v>9.1999999999999971E-2</v>
      </c>
      <c r="M273" s="112">
        <f t="shared" si="61"/>
        <v>7.0999999999999952E-2</v>
      </c>
      <c r="N273" s="112">
        <f t="shared" si="62"/>
        <v>7.3999999999999955E-2</v>
      </c>
      <c r="O273" s="112">
        <f t="shared" si="63"/>
        <v>0.749</v>
      </c>
      <c r="P273" s="113">
        <f t="shared" si="64"/>
        <v>0.91999999999999971</v>
      </c>
      <c r="Q273" s="114">
        <f t="shared" si="65"/>
        <v>0</v>
      </c>
      <c r="R273" s="115" t="str">
        <f t="shared" si="66"/>
        <v>Alert</v>
      </c>
      <c r="S273" s="115" t="str">
        <f t="shared" si="67"/>
        <v xml:space="preserve"> </v>
      </c>
      <c r="T273" s="116" t="str">
        <f t="shared" si="68"/>
        <v>Alert</v>
      </c>
      <c r="U273" s="120"/>
      <c r="V273" s="118"/>
      <c r="W273" s="131"/>
    </row>
    <row r="274" spans="1:23" ht="13.2">
      <c r="A274" s="102" t="s">
        <v>309</v>
      </c>
      <c r="B274" s="102"/>
      <c r="C274" s="104">
        <v>3</v>
      </c>
      <c r="D274" s="105" t="s">
        <v>357</v>
      </c>
      <c r="E274" s="106">
        <v>0.67</v>
      </c>
      <c r="F274" s="107">
        <v>0.1</v>
      </c>
      <c r="G274" s="108">
        <v>0.1</v>
      </c>
      <c r="H274" s="121" t="s">
        <v>55</v>
      </c>
      <c r="I274" s="110">
        <v>0.76900000000000002</v>
      </c>
      <c r="J274" s="110">
        <v>0.754</v>
      </c>
      <c r="K274" s="119">
        <v>0.76400000000000001</v>
      </c>
      <c r="L274" s="111">
        <f t="shared" si="60"/>
        <v>9.8999999999999977E-2</v>
      </c>
      <c r="M274" s="112">
        <f t="shared" si="61"/>
        <v>8.3999999999999964E-2</v>
      </c>
      <c r="N274" s="112">
        <f t="shared" si="62"/>
        <v>9.3999999999999972E-2</v>
      </c>
      <c r="O274" s="112">
        <f t="shared" si="63"/>
        <v>0.76233333333333331</v>
      </c>
      <c r="P274" s="113">
        <f t="shared" si="64"/>
        <v>0.98999999999999977</v>
      </c>
      <c r="Q274" s="114">
        <f t="shared" si="65"/>
        <v>0</v>
      </c>
      <c r="R274" s="115" t="str">
        <f t="shared" si="66"/>
        <v>Alert</v>
      </c>
      <c r="S274" s="115" t="str">
        <f t="shared" si="67"/>
        <v xml:space="preserve"> </v>
      </c>
      <c r="T274" s="116" t="str">
        <f t="shared" si="68"/>
        <v>Alert</v>
      </c>
      <c r="U274" s="120"/>
      <c r="V274" s="118"/>
      <c r="W274" s="131"/>
    </row>
    <row r="275" spans="1:23" ht="13.2">
      <c r="A275" s="102" t="s">
        <v>310</v>
      </c>
      <c r="B275" s="102"/>
      <c r="C275" s="104">
        <v>3</v>
      </c>
      <c r="D275" s="105" t="s">
        <v>357</v>
      </c>
      <c r="E275" s="106">
        <v>0.67</v>
      </c>
      <c r="F275" s="107">
        <v>0.1</v>
      </c>
      <c r="G275" s="108">
        <v>0.1</v>
      </c>
      <c r="H275" s="121" t="s">
        <v>55</v>
      </c>
      <c r="I275" s="110">
        <v>0.76</v>
      </c>
      <c r="J275" s="110">
        <v>0.749</v>
      </c>
      <c r="K275" s="119">
        <v>0.747</v>
      </c>
      <c r="L275" s="111">
        <f t="shared" ref="L275:L338" si="69">IF(ISBLANK($E275),"",IF(ISERR(I275/I275)=TRUE,"BAD INSP",I275-$E275))</f>
        <v>8.9999999999999969E-2</v>
      </c>
      <c r="M275" s="112">
        <f t="shared" ref="M275:M338" si="70">IF(ISBLANK($E275),"",IF(ISERR(J275/J275)=TRUE,"BAD INSP",J275-$E275))</f>
        <v>7.8999999999999959E-2</v>
      </c>
      <c r="N275" s="112">
        <f t="shared" ref="N275:N338" si="71">IF(ISBLANK($E275),"",IF(ISERR(K275/K275)=TRUE,"BAD INSP",K275-$E275))</f>
        <v>7.6999999999999957E-2</v>
      </c>
      <c r="O275" s="112">
        <f t="shared" si="63"/>
        <v>0.75199999999999989</v>
      </c>
      <c r="P275" s="113">
        <f t="shared" si="64"/>
        <v>0.89999999999999969</v>
      </c>
      <c r="Q275" s="114">
        <f t="shared" si="65"/>
        <v>0</v>
      </c>
      <c r="R275" s="115" t="str">
        <f t="shared" si="66"/>
        <v>Alert</v>
      </c>
      <c r="S275" s="115" t="str">
        <f t="shared" si="67"/>
        <v xml:space="preserve"> </v>
      </c>
      <c r="T275" s="116" t="str">
        <f t="shared" si="68"/>
        <v>Alert</v>
      </c>
      <c r="U275" s="120"/>
      <c r="V275" s="118"/>
      <c r="W275" s="131"/>
    </row>
    <row r="276" spans="1:23" ht="13.2">
      <c r="A276" s="102" t="s">
        <v>311</v>
      </c>
      <c r="B276" s="102"/>
      <c r="C276" s="104">
        <v>3</v>
      </c>
      <c r="D276" s="105" t="s">
        <v>357</v>
      </c>
      <c r="E276" s="106">
        <v>0.67</v>
      </c>
      <c r="F276" s="107">
        <v>0.1</v>
      </c>
      <c r="G276" s="108">
        <v>0.1</v>
      </c>
      <c r="H276" s="121" t="s">
        <v>55</v>
      </c>
      <c r="I276" s="110">
        <v>0.76900000000000002</v>
      </c>
      <c r="J276" s="110">
        <v>0.755</v>
      </c>
      <c r="K276" s="119">
        <v>0.75700000000000001</v>
      </c>
      <c r="L276" s="111">
        <f t="shared" si="69"/>
        <v>9.8999999999999977E-2</v>
      </c>
      <c r="M276" s="112">
        <f t="shared" si="70"/>
        <v>8.4999999999999964E-2</v>
      </c>
      <c r="N276" s="112">
        <f t="shared" si="71"/>
        <v>8.6999999999999966E-2</v>
      </c>
      <c r="O276" s="112">
        <f t="shared" si="63"/>
        <v>0.76033333333333342</v>
      </c>
      <c r="P276" s="113">
        <f t="shared" si="64"/>
        <v>0.98999999999999977</v>
      </c>
      <c r="Q276" s="114">
        <f t="shared" si="65"/>
        <v>0</v>
      </c>
      <c r="R276" s="115" t="str">
        <f t="shared" si="66"/>
        <v>Alert</v>
      </c>
      <c r="S276" s="115" t="str">
        <f t="shared" si="67"/>
        <v xml:space="preserve"> </v>
      </c>
      <c r="T276" s="116" t="str">
        <f t="shared" si="68"/>
        <v>Alert</v>
      </c>
      <c r="U276" s="120"/>
      <c r="V276" s="118"/>
      <c r="W276" s="131"/>
    </row>
    <row r="277" spans="1:23" ht="13.2">
      <c r="A277" s="102" t="s">
        <v>312</v>
      </c>
      <c r="B277" s="102"/>
      <c r="C277" s="104">
        <v>3</v>
      </c>
      <c r="D277" s="105" t="s">
        <v>357</v>
      </c>
      <c r="E277" s="106">
        <v>0.67</v>
      </c>
      <c r="F277" s="107">
        <v>0.1</v>
      </c>
      <c r="G277" s="108">
        <v>0.1</v>
      </c>
      <c r="H277" s="121" t="s">
        <v>55</v>
      </c>
      <c r="I277" s="110">
        <v>0.76200000000000001</v>
      </c>
      <c r="J277" s="110">
        <v>0.76</v>
      </c>
      <c r="K277" s="119">
        <v>0.748</v>
      </c>
      <c r="L277" s="111">
        <f t="shared" si="69"/>
        <v>9.1999999999999971E-2</v>
      </c>
      <c r="M277" s="112">
        <f t="shared" si="70"/>
        <v>8.9999999999999969E-2</v>
      </c>
      <c r="N277" s="112">
        <f t="shared" si="71"/>
        <v>7.7999999999999958E-2</v>
      </c>
      <c r="O277" s="112">
        <f t="shared" si="63"/>
        <v>0.75666666666666671</v>
      </c>
      <c r="P277" s="113">
        <f t="shared" si="64"/>
        <v>0.91999999999999971</v>
      </c>
      <c r="Q277" s="114">
        <f t="shared" si="65"/>
        <v>0</v>
      </c>
      <c r="R277" s="115" t="str">
        <f t="shared" si="66"/>
        <v>Alert</v>
      </c>
      <c r="S277" s="115" t="str">
        <f t="shared" si="67"/>
        <v xml:space="preserve"> </v>
      </c>
      <c r="T277" s="116" t="str">
        <f t="shared" si="68"/>
        <v>Alert</v>
      </c>
      <c r="U277" s="120"/>
      <c r="V277" s="118"/>
      <c r="W277" s="131"/>
    </row>
    <row r="278" spans="1:23" ht="13.2">
      <c r="A278" s="102" t="s">
        <v>313</v>
      </c>
      <c r="B278" s="102"/>
      <c r="C278" s="104">
        <v>3</v>
      </c>
      <c r="D278" s="105" t="s">
        <v>357</v>
      </c>
      <c r="E278" s="106">
        <v>0.67</v>
      </c>
      <c r="F278" s="107">
        <v>0.1</v>
      </c>
      <c r="G278" s="108">
        <v>0.1</v>
      </c>
      <c r="H278" s="121" t="s">
        <v>55</v>
      </c>
      <c r="I278" s="110">
        <v>0.76400000000000001</v>
      </c>
      <c r="J278" s="110">
        <v>0.751</v>
      </c>
      <c r="K278" s="119">
        <v>0.752</v>
      </c>
      <c r="L278" s="111">
        <f t="shared" si="69"/>
        <v>9.3999999999999972E-2</v>
      </c>
      <c r="M278" s="112">
        <f t="shared" si="70"/>
        <v>8.0999999999999961E-2</v>
      </c>
      <c r="N278" s="112">
        <f t="shared" si="71"/>
        <v>8.1999999999999962E-2</v>
      </c>
      <c r="O278" s="112">
        <f t="shared" si="63"/>
        <v>0.75566666666666682</v>
      </c>
      <c r="P278" s="113">
        <f t="shared" si="64"/>
        <v>0.93999999999999972</v>
      </c>
      <c r="Q278" s="114">
        <f t="shared" si="65"/>
        <v>0</v>
      </c>
      <c r="R278" s="115" t="str">
        <f t="shared" si="66"/>
        <v>Alert</v>
      </c>
      <c r="S278" s="115" t="str">
        <f t="shared" si="67"/>
        <v xml:space="preserve"> </v>
      </c>
      <c r="T278" s="116" t="str">
        <f t="shared" si="68"/>
        <v>Alert</v>
      </c>
      <c r="U278" s="120"/>
      <c r="V278" s="118"/>
      <c r="W278" s="131"/>
    </row>
    <row r="279" spans="1:23" ht="13.2">
      <c r="A279" s="102" t="s">
        <v>314</v>
      </c>
      <c r="B279" s="102"/>
      <c r="C279" s="104">
        <v>3</v>
      </c>
      <c r="D279" s="105" t="s">
        <v>357</v>
      </c>
      <c r="E279" s="106">
        <v>0.67</v>
      </c>
      <c r="F279" s="107">
        <v>0.1</v>
      </c>
      <c r="G279" s="108">
        <v>0.1</v>
      </c>
      <c r="H279" s="121" t="s">
        <v>55</v>
      </c>
      <c r="I279" s="110">
        <v>0.76500000000000001</v>
      </c>
      <c r="J279" s="110">
        <v>0.751</v>
      </c>
      <c r="K279" s="119">
        <v>0.751</v>
      </c>
      <c r="L279" s="111">
        <f t="shared" si="69"/>
        <v>9.4999999999999973E-2</v>
      </c>
      <c r="M279" s="112">
        <f t="shared" si="70"/>
        <v>8.0999999999999961E-2</v>
      </c>
      <c r="N279" s="112">
        <f t="shared" si="71"/>
        <v>8.0999999999999961E-2</v>
      </c>
      <c r="O279" s="112">
        <f t="shared" si="63"/>
        <v>0.7556666666666666</v>
      </c>
      <c r="P279" s="113">
        <f t="shared" si="64"/>
        <v>0.94999999999999973</v>
      </c>
      <c r="Q279" s="114">
        <f t="shared" si="65"/>
        <v>0</v>
      </c>
      <c r="R279" s="115" t="str">
        <f t="shared" si="66"/>
        <v>Alert</v>
      </c>
      <c r="S279" s="115" t="str">
        <f t="shared" si="67"/>
        <v xml:space="preserve"> </v>
      </c>
      <c r="T279" s="116" t="str">
        <f t="shared" si="68"/>
        <v>Alert</v>
      </c>
      <c r="U279" s="120"/>
      <c r="V279" s="118"/>
      <c r="W279" s="131"/>
    </row>
    <row r="280" spans="1:23" ht="13.2">
      <c r="A280" s="102" t="s">
        <v>315</v>
      </c>
      <c r="B280" s="102"/>
      <c r="C280" s="104">
        <v>3</v>
      </c>
      <c r="D280" s="105" t="s">
        <v>357</v>
      </c>
      <c r="E280" s="106">
        <v>0.67</v>
      </c>
      <c r="F280" s="107">
        <v>0.1</v>
      </c>
      <c r="G280" s="108">
        <v>0.1</v>
      </c>
      <c r="H280" s="121" t="s">
        <v>55</v>
      </c>
      <c r="I280" s="110">
        <v>0.76</v>
      </c>
      <c r="J280" s="110">
        <v>0.75900000000000001</v>
      </c>
      <c r="K280" s="119">
        <v>0.75600000000000001</v>
      </c>
      <c r="L280" s="111">
        <f t="shared" si="69"/>
        <v>8.9999999999999969E-2</v>
      </c>
      <c r="M280" s="112">
        <f t="shared" si="70"/>
        <v>8.8999999999999968E-2</v>
      </c>
      <c r="N280" s="112">
        <f t="shared" si="71"/>
        <v>8.5999999999999965E-2</v>
      </c>
      <c r="O280" s="112">
        <f t="shared" si="63"/>
        <v>0.75833333333333341</v>
      </c>
      <c r="P280" s="113">
        <f t="shared" si="64"/>
        <v>0.89999999999999969</v>
      </c>
      <c r="Q280" s="114">
        <f t="shared" si="65"/>
        <v>0</v>
      </c>
      <c r="R280" s="115" t="str">
        <f t="shared" si="66"/>
        <v>Alert</v>
      </c>
      <c r="S280" s="115" t="str">
        <f t="shared" si="67"/>
        <v xml:space="preserve"> </v>
      </c>
      <c r="T280" s="116" t="str">
        <f t="shared" si="68"/>
        <v>Alert</v>
      </c>
      <c r="U280" s="120"/>
      <c r="V280" s="118"/>
      <c r="W280" s="131"/>
    </row>
    <row r="281" spans="1:23" ht="13.2">
      <c r="A281" s="102" t="s">
        <v>316</v>
      </c>
      <c r="B281" s="102"/>
      <c r="C281" s="104">
        <v>3</v>
      </c>
      <c r="D281" s="105" t="s">
        <v>357</v>
      </c>
      <c r="E281" s="106">
        <v>0.67</v>
      </c>
      <c r="F281" s="107">
        <v>0.1</v>
      </c>
      <c r="G281" s="108">
        <v>0.1</v>
      </c>
      <c r="H281" s="121" t="s">
        <v>55</v>
      </c>
      <c r="I281" s="110">
        <v>0.76900000000000002</v>
      </c>
      <c r="J281" s="110">
        <v>0.75</v>
      </c>
      <c r="K281" s="119">
        <v>0.73199999999999998</v>
      </c>
      <c r="L281" s="111">
        <f t="shared" si="69"/>
        <v>9.8999999999999977E-2</v>
      </c>
      <c r="M281" s="112">
        <f t="shared" si="70"/>
        <v>7.999999999999996E-2</v>
      </c>
      <c r="N281" s="112">
        <f t="shared" si="71"/>
        <v>6.1999999999999944E-2</v>
      </c>
      <c r="O281" s="112">
        <f t="shared" si="63"/>
        <v>0.75033333333333341</v>
      </c>
      <c r="P281" s="113">
        <f t="shared" si="64"/>
        <v>0.98999999999999977</v>
      </c>
      <c r="Q281" s="114">
        <f t="shared" si="65"/>
        <v>0</v>
      </c>
      <c r="R281" s="115" t="str">
        <f t="shared" si="66"/>
        <v>Alert</v>
      </c>
      <c r="S281" s="115" t="str">
        <f t="shared" si="67"/>
        <v xml:space="preserve"> </v>
      </c>
      <c r="T281" s="116" t="str">
        <f t="shared" si="68"/>
        <v>Alert</v>
      </c>
      <c r="U281" s="120"/>
      <c r="V281" s="118"/>
      <c r="W281" s="131"/>
    </row>
    <row r="282" spans="1:23" ht="13.2">
      <c r="A282" s="102" t="s">
        <v>317</v>
      </c>
      <c r="B282" s="103"/>
      <c r="C282" s="104">
        <v>3</v>
      </c>
      <c r="D282" s="105" t="s">
        <v>357</v>
      </c>
      <c r="E282" s="106">
        <v>0.67</v>
      </c>
      <c r="F282" s="107">
        <v>0.1</v>
      </c>
      <c r="G282" s="108">
        <v>0.1</v>
      </c>
      <c r="H282" s="121" t="s">
        <v>55</v>
      </c>
      <c r="I282" s="110">
        <v>0.76500000000000001</v>
      </c>
      <c r="J282" s="110">
        <v>0.75800000000000001</v>
      </c>
      <c r="K282" s="119">
        <v>0.76400000000000001</v>
      </c>
      <c r="L282" s="111">
        <f t="shared" si="69"/>
        <v>9.4999999999999973E-2</v>
      </c>
      <c r="M282" s="112">
        <f t="shared" si="70"/>
        <v>8.7999999999999967E-2</v>
      </c>
      <c r="N282" s="112">
        <f t="shared" si="71"/>
        <v>9.3999999999999972E-2</v>
      </c>
      <c r="O282" s="112">
        <f t="shared" si="63"/>
        <v>0.76233333333333331</v>
      </c>
      <c r="P282" s="113">
        <f t="shared" si="64"/>
        <v>0.94999999999999973</v>
      </c>
      <c r="Q282" s="114">
        <f t="shared" si="65"/>
        <v>0</v>
      </c>
      <c r="R282" s="115" t="str">
        <f t="shared" si="66"/>
        <v>Alert</v>
      </c>
      <c r="S282" s="115" t="str">
        <f t="shared" si="67"/>
        <v xml:space="preserve"> </v>
      </c>
      <c r="T282" s="116" t="str">
        <f t="shared" si="68"/>
        <v>Alert</v>
      </c>
      <c r="U282" s="120"/>
      <c r="V282" s="118"/>
      <c r="W282" s="131"/>
    </row>
    <row r="283" spans="1:23" ht="13.2">
      <c r="A283" s="102" t="s">
        <v>318</v>
      </c>
      <c r="B283" s="103"/>
      <c r="C283" s="104">
        <v>3</v>
      </c>
      <c r="D283" s="105" t="s">
        <v>357</v>
      </c>
      <c r="E283" s="106">
        <v>0.67</v>
      </c>
      <c r="F283" s="107">
        <v>0.1</v>
      </c>
      <c r="G283" s="108">
        <v>0.1</v>
      </c>
      <c r="H283" s="121" t="s">
        <v>55</v>
      </c>
      <c r="I283" s="110">
        <v>0.76300000000000001</v>
      </c>
      <c r="J283" s="110">
        <v>0.753</v>
      </c>
      <c r="K283" s="119">
        <v>0.74099999999999999</v>
      </c>
      <c r="L283" s="111">
        <f t="shared" si="69"/>
        <v>9.2999999999999972E-2</v>
      </c>
      <c r="M283" s="112">
        <f t="shared" si="70"/>
        <v>8.2999999999999963E-2</v>
      </c>
      <c r="N283" s="112">
        <f t="shared" si="71"/>
        <v>7.0999999999999952E-2</v>
      </c>
      <c r="O283" s="112">
        <f t="shared" si="63"/>
        <v>0.75233333333333341</v>
      </c>
      <c r="P283" s="113">
        <f t="shared" si="64"/>
        <v>0.92999999999999972</v>
      </c>
      <c r="Q283" s="114">
        <f t="shared" si="65"/>
        <v>0</v>
      </c>
      <c r="R283" s="115" t="str">
        <f t="shared" si="66"/>
        <v>Alert</v>
      </c>
      <c r="S283" s="115" t="str">
        <f t="shared" si="67"/>
        <v xml:space="preserve"> </v>
      </c>
      <c r="T283" s="116" t="str">
        <f t="shared" si="68"/>
        <v>Alert</v>
      </c>
      <c r="U283" s="120"/>
      <c r="V283" s="118"/>
      <c r="W283" s="131"/>
    </row>
    <row r="284" spans="1:23" ht="13.2">
      <c r="A284" s="102" t="s">
        <v>319</v>
      </c>
      <c r="B284" s="103"/>
      <c r="C284" s="104">
        <v>3</v>
      </c>
      <c r="D284" s="105" t="s">
        <v>357</v>
      </c>
      <c r="E284" s="106">
        <v>0.67</v>
      </c>
      <c r="F284" s="107">
        <v>0.1</v>
      </c>
      <c r="G284" s="108">
        <v>0.1</v>
      </c>
      <c r="H284" s="121" t="s">
        <v>55</v>
      </c>
      <c r="I284" s="110">
        <v>0.76400000000000001</v>
      </c>
      <c r="J284" s="110">
        <v>0.752</v>
      </c>
      <c r="K284" s="119">
        <v>0.75</v>
      </c>
      <c r="L284" s="111">
        <f t="shared" si="69"/>
        <v>9.3999999999999972E-2</v>
      </c>
      <c r="M284" s="112">
        <f t="shared" si="70"/>
        <v>8.1999999999999962E-2</v>
      </c>
      <c r="N284" s="112">
        <f t="shared" si="71"/>
        <v>7.999999999999996E-2</v>
      </c>
      <c r="O284" s="112">
        <f t="shared" si="63"/>
        <v>0.7553333333333333</v>
      </c>
      <c r="P284" s="113">
        <f t="shared" si="64"/>
        <v>0.93999999999999972</v>
      </c>
      <c r="Q284" s="114">
        <f t="shared" si="65"/>
        <v>0</v>
      </c>
      <c r="R284" s="115" t="str">
        <f t="shared" si="66"/>
        <v>Alert</v>
      </c>
      <c r="S284" s="115" t="str">
        <f t="shared" si="67"/>
        <v xml:space="preserve"> </v>
      </c>
      <c r="T284" s="116" t="str">
        <f t="shared" si="68"/>
        <v>Alert</v>
      </c>
      <c r="U284" s="120"/>
      <c r="V284" s="118"/>
      <c r="W284" s="131"/>
    </row>
    <row r="285" spans="1:23" ht="13.2">
      <c r="A285" s="102" t="s">
        <v>320</v>
      </c>
      <c r="B285" s="102"/>
      <c r="C285" s="104">
        <v>3</v>
      </c>
      <c r="D285" s="105" t="s">
        <v>357</v>
      </c>
      <c r="E285" s="106">
        <v>0.67</v>
      </c>
      <c r="F285" s="107">
        <v>0.1</v>
      </c>
      <c r="G285" s="108">
        <v>0.1</v>
      </c>
      <c r="H285" s="121" t="s">
        <v>55</v>
      </c>
      <c r="I285" s="110">
        <v>0.75900000000000001</v>
      </c>
      <c r="J285" s="110">
        <v>0.754</v>
      </c>
      <c r="K285" s="119">
        <v>0.755</v>
      </c>
      <c r="L285" s="111">
        <f t="shared" si="69"/>
        <v>8.8999999999999968E-2</v>
      </c>
      <c r="M285" s="112">
        <f t="shared" si="70"/>
        <v>8.3999999999999964E-2</v>
      </c>
      <c r="N285" s="112">
        <f t="shared" si="71"/>
        <v>8.4999999999999964E-2</v>
      </c>
      <c r="O285" s="112">
        <f t="shared" si="63"/>
        <v>0.75599999999999989</v>
      </c>
      <c r="P285" s="113">
        <f t="shared" si="64"/>
        <v>0.88999999999999968</v>
      </c>
      <c r="Q285" s="114">
        <f t="shared" si="65"/>
        <v>0</v>
      </c>
      <c r="R285" s="115" t="str">
        <f t="shared" si="66"/>
        <v>Alert</v>
      </c>
      <c r="S285" s="115" t="str">
        <f t="shared" si="67"/>
        <v xml:space="preserve"> </v>
      </c>
      <c r="T285" s="116" t="str">
        <f t="shared" si="68"/>
        <v>Alert</v>
      </c>
      <c r="U285" s="120"/>
      <c r="V285" s="118"/>
      <c r="W285" s="131"/>
    </row>
    <row r="286" spans="1:23" ht="13.2">
      <c r="A286" s="102" t="s">
        <v>321</v>
      </c>
      <c r="B286" s="102"/>
      <c r="C286" s="104">
        <v>3</v>
      </c>
      <c r="D286" s="105" t="s">
        <v>357</v>
      </c>
      <c r="E286" s="106">
        <v>0.67</v>
      </c>
      <c r="F286" s="107">
        <v>0.1</v>
      </c>
      <c r="G286" s="108">
        <v>0.1</v>
      </c>
      <c r="H286" s="121" t="s">
        <v>55</v>
      </c>
      <c r="I286" s="110">
        <v>0.76</v>
      </c>
      <c r="J286" s="110">
        <v>0.76</v>
      </c>
      <c r="K286" s="119">
        <v>0.75900000000000001</v>
      </c>
      <c r="L286" s="111">
        <f t="shared" si="69"/>
        <v>8.9999999999999969E-2</v>
      </c>
      <c r="M286" s="112">
        <f t="shared" si="70"/>
        <v>8.9999999999999969E-2</v>
      </c>
      <c r="N286" s="112">
        <f t="shared" si="71"/>
        <v>8.8999999999999968E-2</v>
      </c>
      <c r="O286" s="112">
        <f t="shared" si="63"/>
        <v>0.7596666666666666</v>
      </c>
      <c r="P286" s="113">
        <f t="shared" si="64"/>
        <v>0.89999999999999969</v>
      </c>
      <c r="Q286" s="114">
        <f t="shared" si="65"/>
        <v>0</v>
      </c>
      <c r="R286" s="115" t="str">
        <f t="shared" si="66"/>
        <v>Alert</v>
      </c>
      <c r="S286" s="115" t="str">
        <f t="shared" si="67"/>
        <v xml:space="preserve"> </v>
      </c>
      <c r="T286" s="116" t="str">
        <f t="shared" si="68"/>
        <v>Alert</v>
      </c>
      <c r="U286" s="120"/>
      <c r="V286" s="118"/>
      <c r="W286" s="131"/>
    </row>
    <row r="287" spans="1:23" ht="13.2">
      <c r="A287" s="102" t="s">
        <v>322</v>
      </c>
      <c r="B287" s="102"/>
      <c r="C287" s="104">
        <v>3</v>
      </c>
      <c r="D287" s="105" t="s">
        <v>357</v>
      </c>
      <c r="E287" s="106">
        <v>0.67</v>
      </c>
      <c r="F287" s="107">
        <v>0.1</v>
      </c>
      <c r="G287" s="108">
        <v>0.1</v>
      </c>
      <c r="H287" s="121" t="s">
        <v>55</v>
      </c>
      <c r="I287" s="110">
        <v>0.75900000000000001</v>
      </c>
      <c r="J287" s="110">
        <v>0.748</v>
      </c>
      <c r="K287" s="119">
        <v>0.752</v>
      </c>
      <c r="L287" s="111">
        <f t="shared" si="69"/>
        <v>8.8999999999999968E-2</v>
      </c>
      <c r="M287" s="112">
        <f t="shared" si="70"/>
        <v>7.7999999999999958E-2</v>
      </c>
      <c r="N287" s="112">
        <f t="shared" si="71"/>
        <v>8.1999999999999962E-2</v>
      </c>
      <c r="O287" s="112">
        <f t="shared" si="63"/>
        <v>0.75300000000000011</v>
      </c>
      <c r="P287" s="113">
        <f t="shared" si="64"/>
        <v>0.88999999999999968</v>
      </c>
      <c r="Q287" s="114">
        <f t="shared" si="65"/>
        <v>0</v>
      </c>
      <c r="R287" s="115" t="str">
        <f t="shared" si="66"/>
        <v>Alert</v>
      </c>
      <c r="S287" s="115" t="str">
        <f t="shared" si="67"/>
        <v xml:space="preserve"> </v>
      </c>
      <c r="T287" s="116" t="str">
        <f t="shared" si="68"/>
        <v>Alert</v>
      </c>
      <c r="U287" s="120"/>
      <c r="V287" s="118"/>
      <c r="W287" s="131"/>
    </row>
    <row r="288" spans="1:23" ht="13.2">
      <c r="A288" s="102" t="s">
        <v>323</v>
      </c>
      <c r="B288" s="102"/>
      <c r="C288" s="104">
        <v>3</v>
      </c>
      <c r="D288" s="105" t="s">
        <v>357</v>
      </c>
      <c r="E288" s="106">
        <v>0.67</v>
      </c>
      <c r="F288" s="107">
        <v>0.1</v>
      </c>
      <c r="G288" s="108">
        <v>0.1</v>
      </c>
      <c r="H288" s="121" t="s">
        <v>55</v>
      </c>
      <c r="I288" s="110">
        <v>0.76100000000000001</v>
      </c>
      <c r="J288" s="110">
        <v>0.748</v>
      </c>
      <c r="K288" s="119">
        <v>0.753</v>
      </c>
      <c r="L288" s="111">
        <f t="shared" si="69"/>
        <v>9.099999999999997E-2</v>
      </c>
      <c r="M288" s="112">
        <f t="shared" si="70"/>
        <v>7.7999999999999958E-2</v>
      </c>
      <c r="N288" s="112">
        <f t="shared" si="71"/>
        <v>8.2999999999999963E-2</v>
      </c>
      <c r="O288" s="112">
        <f t="shared" si="63"/>
        <v>0.754</v>
      </c>
      <c r="P288" s="113">
        <f t="shared" si="64"/>
        <v>0.9099999999999997</v>
      </c>
      <c r="Q288" s="114">
        <f t="shared" si="65"/>
        <v>0</v>
      </c>
      <c r="R288" s="115" t="str">
        <f t="shared" si="66"/>
        <v>Alert</v>
      </c>
      <c r="S288" s="115" t="str">
        <f t="shared" si="67"/>
        <v xml:space="preserve"> </v>
      </c>
      <c r="T288" s="116" t="str">
        <f t="shared" si="68"/>
        <v>Alert</v>
      </c>
      <c r="U288" s="120"/>
      <c r="V288" s="118"/>
      <c r="W288" s="131"/>
    </row>
    <row r="289" spans="1:23" ht="13.2">
      <c r="A289" s="102" t="s">
        <v>324</v>
      </c>
      <c r="B289" s="102"/>
      <c r="C289" s="104">
        <v>3</v>
      </c>
      <c r="D289" s="105" t="s">
        <v>357</v>
      </c>
      <c r="E289" s="106">
        <v>0.67</v>
      </c>
      <c r="F289" s="107">
        <v>0.1</v>
      </c>
      <c r="G289" s="108">
        <v>0.1</v>
      </c>
      <c r="H289" s="121" t="s">
        <v>55</v>
      </c>
      <c r="I289" s="110">
        <v>0.76300000000000001</v>
      </c>
      <c r="J289" s="110">
        <v>0.74299999999999999</v>
      </c>
      <c r="K289" s="119">
        <v>0.76700000000000002</v>
      </c>
      <c r="L289" s="111">
        <f t="shared" si="69"/>
        <v>9.2999999999999972E-2</v>
      </c>
      <c r="M289" s="112">
        <f t="shared" si="70"/>
        <v>7.2999999999999954E-2</v>
      </c>
      <c r="N289" s="112">
        <f t="shared" si="71"/>
        <v>9.6999999999999975E-2</v>
      </c>
      <c r="O289" s="112">
        <f t="shared" si="63"/>
        <v>0.75766666666666671</v>
      </c>
      <c r="P289" s="113">
        <f t="shared" si="64"/>
        <v>0.96999999999999975</v>
      </c>
      <c r="Q289" s="114">
        <f t="shared" si="65"/>
        <v>0</v>
      </c>
      <c r="R289" s="115" t="str">
        <f t="shared" si="66"/>
        <v>Alert</v>
      </c>
      <c r="S289" s="115" t="str">
        <f t="shared" si="67"/>
        <v xml:space="preserve"> </v>
      </c>
      <c r="T289" s="116" t="str">
        <f t="shared" si="68"/>
        <v>Alert</v>
      </c>
      <c r="U289" s="120"/>
      <c r="V289" s="118"/>
      <c r="W289" s="131"/>
    </row>
    <row r="290" spans="1:23" ht="13.2">
      <c r="A290" s="102" t="s">
        <v>325</v>
      </c>
      <c r="B290" s="102"/>
      <c r="C290" s="104">
        <v>3</v>
      </c>
      <c r="D290" s="105" t="s">
        <v>357</v>
      </c>
      <c r="E290" s="106">
        <v>0.67</v>
      </c>
      <c r="F290" s="107">
        <v>0.1</v>
      </c>
      <c r="G290" s="108">
        <v>0.1</v>
      </c>
      <c r="H290" s="121" t="s">
        <v>55</v>
      </c>
      <c r="I290" s="110">
        <v>0.745</v>
      </c>
      <c r="J290" s="110">
        <v>0.746</v>
      </c>
      <c r="K290" s="119">
        <v>0.753</v>
      </c>
      <c r="L290" s="111">
        <f t="shared" si="69"/>
        <v>7.4999999999999956E-2</v>
      </c>
      <c r="M290" s="112">
        <f t="shared" si="70"/>
        <v>7.5999999999999956E-2</v>
      </c>
      <c r="N290" s="112">
        <f t="shared" si="71"/>
        <v>8.2999999999999963E-2</v>
      </c>
      <c r="O290" s="112">
        <f t="shared" si="63"/>
        <v>0.74800000000000011</v>
      </c>
      <c r="P290" s="113">
        <f t="shared" si="64"/>
        <v>0.82999999999999963</v>
      </c>
      <c r="Q290" s="114">
        <f t="shared" si="65"/>
        <v>0</v>
      </c>
      <c r="R290" s="115" t="str">
        <f t="shared" si="66"/>
        <v>Alert</v>
      </c>
      <c r="S290" s="115" t="str">
        <f t="shared" si="67"/>
        <v xml:space="preserve"> </v>
      </c>
      <c r="T290" s="116" t="str">
        <f t="shared" si="68"/>
        <v>Alert</v>
      </c>
      <c r="U290" s="120"/>
      <c r="V290" s="118"/>
      <c r="W290" s="131"/>
    </row>
    <row r="291" spans="1:23" ht="13.2">
      <c r="A291" s="102" t="s">
        <v>326</v>
      </c>
      <c r="B291" s="102"/>
      <c r="C291" s="104">
        <v>3</v>
      </c>
      <c r="D291" s="105" t="s">
        <v>357</v>
      </c>
      <c r="E291" s="106">
        <v>0.67</v>
      </c>
      <c r="F291" s="107">
        <v>0.1</v>
      </c>
      <c r="G291" s="108">
        <v>0.1</v>
      </c>
      <c r="H291" s="121" t="s">
        <v>55</v>
      </c>
      <c r="I291" s="110">
        <v>0.753</v>
      </c>
      <c r="J291" s="110">
        <v>0.75700000000000001</v>
      </c>
      <c r="K291" s="119">
        <v>0.76100000000000001</v>
      </c>
      <c r="L291" s="111">
        <f t="shared" si="69"/>
        <v>8.2999999999999963E-2</v>
      </c>
      <c r="M291" s="112">
        <f t="shared" si="70"/>
        <v>8.6999999999999966E-2</v>
      </c>
      <c r="N291" s="112">
        <f t="shared" si="71"/>
        <v>9.099999999999997E-2</v>
      </c>
      <c r="O291" s="112">
        <f t="shared" si="63"/>
        <v>0.75700000000000001</v>
      </c>
      <c r="P291" s="113">
        <f t="shared" si="64"/>
        <v>0.9099999999999997</v>
      </c>
      <c r="Q291" s="114">
        <f t="shared" si="65"/>
        <v>0</v>
      </c>
      <c r="R291" s="115" t="str">
        <f t="shared" si="66"/>
        <v>Alert</v>
      </c>
      <c r="S291" s="115" t="str">
        <f t="shared" si="67"/>
        <v xml:space="preserve"> </v>
      </c>
      <c r="T291" s="116" t="str">
        <f t="shared" si="68"/>
        <v>Alert</v>
      </c>
      <c r="U291" s="120"/>
      <c r="V291" s="118"/>
      <c r="W291" s="131"/>
    </row>
    <row r="292" spans="1:23" ht="13.2">
      <c r="A292" s="102" t="s">
        <v>327</v>
      </c>
      <c r="B292" s="102"/>
      <c r="C292" s="104">
        <v>3</v>
      </c>
      <c r="D292" s="105" t="s">
        <v>357</v>
      </c>
      <c r="E292" s="106">
        <v>0.67</v>
      </c>
      <c r="F292" s="107">
        <v>0.1</v>
      </c>
      <c r="G292" s="108">
        <v>0.1</v>
      </c>
      <c r="H292" s="121" t="s">
        <v>55</v>
      </c>
      <c r="I292" s="110">
        <v>0.755</v>
      </c>
      <c r="J292" s="110">
        <v>0.74399999999999999</v>
      </c>
      <c r="K292" s="119">
        <v>0.754</v>
      </c>
      <c r="L292" s="111">
        <f t="shared" si="69"/>
        <v>8.4999999999999964E-2</v>
      </c>
      <c r="M292" s="112">
        <f t="shared" si="70"/>
        <v>7.3999999999999955E-2</v>
      </c>
      <c r="N292" s="112">
        <f t="shared" si="71"/>
        <v>8.3999999999999964E-2</v>
      </c>
      <c r="O292" s="112">
        <f t="shared" si="63"/>
        <v>0.751</v>
      </c>
      <c r="P292" s="113">
        <f t="shared" si="64"/>
        <v>0.84999999999999964</v>
      </c>
      <c r="Q292" s="114">
        <f t="shared" si="65"/>
        <v>0</v>
      </c>
      <c r="R292" s="115" t="str">
        <f t="shared" si="66"/>
        <v>Alert</v>
      </c>
      <c r="S292" s="115" t="str">
        <f t="shared" si="67"/>
        <v xml:space="preserve"> </v>
      </c>
      <c r="T292" s="116" t="str">
        <f t="shared" si="68"/>
        <v>Alert</v>
      </c>
      <c r="U292" s="120"/>
      <c r="V292" s="118"/>
      <c r="W292" s="131"/>
    </row>
    <row r="293" spans="1:23" ht="13.2">
      <c r="A293" s="102" t="s">
        <v>328</v>
      </c>
      <c r="B293" s="102"/>
      <c r="C293" s="104">
        <v>3</v>
      </c>
      <c r="D293" s="105" t="s">
        <v>357</v>
      </c>
      <c r="E293" s="106">
        <v>0.67</v>
      </c>
      <c r="F293" s="107">
        <v>0.1</v>
      </c>
      <c r="G293" s="108">
        <v>0.1</v>
      </c>
      <c r="H293" s="121" t="s">
        <v>55</v>
      </c>
      <c r="I293" s="110">
        <v>0.76600000000000001</v>
      </c>
      <c r="J293" s="110">
        <v>0.748</v>
      </c>
      <c r="K293" s="119">
        <v>0.75900000000000001</v>
      </c>
      <c r="L293" s="111">
        <f t="shared" si="69"/>
        <v>9.5999999999999974E-2</v>
      </c>
      <c r="M293" s="112">
        <f t="shared" si="70"/>
        <v>7.7999999999999958E-2</v>
      </c>
      <c r="N293" s="112">
        <f t="shared" si="71"/>
        <v>8.8999999999999968E-2</v>
      </c>
      <c r="O293" s="112">
        <f t="shared" si="63"/>
        <v>0.75766666666666671</v>
      </c>
      <c r="P293" s="113">
        <f t="shared" si="64"/>
        <v>0.95999999999999974</v>
      </c>
      <c r="Q293" s="114">
        <f t="shared" si="65"/>
        <v>0</v>
      </c>
      <c r="R293" s="115" t="str">
        <f t="shared" si="66"/>
        <v>Alert</v>
      </c>
      <c r="S293" s="115" t="str">
        <f t="shared" si="67"/>
        <v xml:space="preserve"> </v>
      </c>
      <c r="T293" s="116" t="str">
        <f t="shared" si="68"/>
        <v>Alert</v>
      </c>
      <c r="U293" s="120"/>
      <c r="V293" s="118"/>
      <c r="W293" s="131"/>
    </row>
    <row r="294" spans="1:23" ht="13.2">
      <c r="A294" s="102" t="s">
        <v>329</v>
      </c>
      <c r="B294" s="102"/>
      <c r="C294" s="104">
        <v>3</v>
      </c>
      <c r="D294" s="105" t="s">
        <v>357</v>
      </c>
      <c r="E294" s="106">
        <v>0.67</v>
      </c>
      <c r="F294" s="107">
        <v>0.1</v>
      </c>
      <c r="G294" s="108">
        <v>0.1</v>
      </c>
      <c r="H294" s="121" t="s">
        <v>55</v>
      </c>
      <c r="I294" s="110">
        <v>0.76400000000000001</v>
      </c>
      <c r="J294" s="110">
        <v>0.74399999999999999</v>
      </c>
      <c r="K294" s="119">
        <v>0.755</v>
      </c>
      <c r="L294" s="111">
        <f t="shared" si="69"/>
        <v>9.3999999999999972E-2</v>
      </c>
      <c r="M294" s="112">
        <f t="shared" si="70"/>
        <v>7.3999999999999955E-2</v>
      </c>
      <c r="N294" s="112">
        <f t="shared" si="71"/>
        <v>8.4999999999999964E-2</v>
      </c>
      <c r="O294" s="112">
        <f t="shared" si="63"/>
        <v>0.7543333333333333</v>
      </c>
      <c r="P294" s="113">
        <f t="shared" si="64"/>
        <v>0.93999999999999972</v>
      </c>
      <c r="Q294" s="114">
        <f t="shared" si="65"/>
        <v>0</v>
      </c>
      <c r="R294" s="115" t="str">
        <f t="shared" si="66"/>
        <v>Alert</v>
      </c>
      <c r="S294" s="115" t="str">
        <f t="shared" si="67"/>
        <v xml:space="preserve"> </v>
      </c>
      <c r="T294" s="116" t="str">
        <f t="shared" si="68"/>
        <v>Alert</v>
      </c>
      <c r="U294" s="120"/>
      <c r="V294" s="118"/>
      <c r="W294" s="131"/>
    </row>
    <row r="295" spans="1:23" ht="13.2">
      <c r="A295" s="102" t="s">
        <v>330</v>
      </c>
      <c r="B295" s="102"/>
      <c r="C295" s="104">
        <v>3</v>
      </c>
      <c r="D295" s="105" t="s">
        <v>357</v>
      </c>
      <c r="E295" s="106">
        <v>0.67</v>
      </c>
      <c r="F295" s="107">
        <v>0.1</v>
      </c>
      <c r="G295" s="108">
        <v>0.1</v>
      </c>
      <c r="H295" s="121" t="s">
        <v>55</v>
      </c>
      <c r="I295" s="110">
        <v>0.75700000000000001</v>
      </c>
      <c r="J295" s="110">
        <v>0.75</v>
      </c>
      <c r="K295" s="119">
        <v>0.76300000000000001</v>
      </c>
      <c r="L295" s="111">
        <f t="shared" si="69"/>
        <v>8.6999999999999966E-2</v>
      </c>
      <c r="M295" s="112">
        <f t="shared" si="70"/>
        <v>7.999999999999996E-2</v>
      </c>
      <c r="N295" s="112">
        <f t="shared" si="71"/>
        <v>9.2999999999999972E-2</v>
      </c>
      <c r="O295" s="112">
        <f t="shared" si="63"/>
        <v>0.75666666666666671</v>
      </c>
      <c r="P295" s="113">
        <f t="shared" si="64"/>
        <v>0.92999999999999972</v>
      </c>
      <c r="Q295" s="114">
        <f t="shared" si="65"/>
        <v>0</v>
      </c>
      <c r="R295" s="115" t="str">
        <f t="shared" si="66"/>
        <v>Alert</v>
      </c>
      <c r="S295" s="115" t="str">
        <f t="shared" si="67"/>
        <v xml:space="preserve"> </v>
      </c>
      <c r="T295" s="116" t="str">
        <f t="shared" si="68"/>
        <v>Alert</v>
      </c>
      <c r="U295" s="120"/>
      <c r="V295" s="118"/>
      <c r="W295" s="131"/>
    </row>
    <row r="296" spans="1:23" ht="13.2">
      <c r="A296" s="102" t="s">
        <v>331</v>
      </c>
      <c r="B296" s="102"/>
      <c r="C296" s="104">
        <v>3</v>
      </c>
      <c r="D296" s="105" t="s">
        <v>357</v>
      </c>
      <c r="E296" s="106">
        <v>0.67</v>
      </c>
      <c r="F296" s="107">
        <v>0.1</v>
      </c>
      <c r="G296" s="108">
        <v>0.1</v>
      </c>
      <c r="H296" s="121" t="s">
        <v>55</v>
      </c>
      <c r="I296" s="110">
        <v>0.75900000000000001</v>
      </c>
      <c r="J296" s="110">
        <v>0.752</v>
      </c>
      <c r="K296" s="119">
        <v>0.754</v>
      </c>
      <c r="L296" s="111">
        <f t="shared" si="69"/>
        <v>8.8999999999999968E-2</v>
      </c>
      <c r="M296" s="112">
        <f t="shared" si="70"/>
        <v>8.1999999999999962E-2</v>
      </c>
      <c r="N296" s="112">
        <f t="shared" si="71"/>
        <v>8.3999999999999964E-2</v>
      </c>
      <c r="O296" s="112">
        <f t="shared" si="63"/>
        <v>0.755</v>
      </c>
      <c r="P296" s="113">
        <f t="shared" si="64"/>
        <v>0.88999999999999968</v>
      </c>
      <c r="Q296" s="114">
        <f t="shared" si="65"/>
        <v>0</v>
      </c>
      <c r="R296" s="115" t="str">
        <f t="shared" si="66"/>
        <v>Alert</v>
      </c>
      <c r="S296" s="115" t="str">
        <f t="shared" si="67"/>
        <v xml:space="preserve"> </v>
      </c>
      <c r="T296" s="116" t="str">
        <f t="shared" si="68"/>
        <v>Alert</v>
      </c>
      <c r="U296" s="120"/>
      <c r="V296" s="118"/>
      <c r="W296" s="131"/>
    </row>
    <row r="297" spans="1:23" ht="13.2">
      <c r="A297" s="102" t="s">
        <v>332</v>
      </c>
      <c r="B297" s="103"/>
      <c r="C297" s="104">
        <v>3</v>
      </c>
      <c r="D297" s="105" t="s">
        <v>357</v>
      </c>
      <c r="E297" s="106">
        <v>0.67</v>
      </c>
      <c r="F297" s="107">
        <v>0.1</v>
      </c>
      <c r="G297" s="108">
        <v>0.1</v>
      </c>
      <c r="H297" s="121" t="s">
        <v>55</v>
      </c>
      <c r="I297" s="110">
        <v>0.76</v>
      </c>
      <c r="J297" s="110">
        <v>0.76300000000000001</v>
      </c>
      <c r="K297" s="119">
        <v>0.75800000000000001</v>
      </c>
      <c r="L297" s="111">
        <f t="shared" si="69"/>
        <v>8.9999999999999969E-2</v>
      </c>
      <c r="M297" s="112">
        <f t="shared" si="70"/>
        <v>9.2999999999999972E-2</v>
      </c>
      <c r="N297" s="112">
        <f t="shared" si="71"/>
        <v>8.7999999999999967E-2</v>
      </c>
      <c r="O297" s="112">
        <f t="shared" si="63"/>
        <v>0.76033333333333342</v>
      </c>
      <c r="P297" s="113">
        <f t="shared" si="64"/>
        <v>0.92999999999999972</v>
      </c>
      <c r="Q297" s="114">
        <f t="shared" si="65"/>
        <v>0</v>
      </c>
      <c r="R297" s="115" t="str">
        <f t="shared" si="66"/>
        <v>Alert</v>
      </c>
      <c r="S297" s="115" t="str">
        <f t="shared" si="67"/>
        <v xml:space="preserve"> </v>
      </c>
      <c r="T297" s="116" t="str">
        <f t="shared" si="68"/>
        <v>Alert</v>
      </c>
      <c r="U297" s="120"/>
      <c r="V297" s="118"/>
      <c r="W297" s="131"/>
    </row>
    <row r="298" spans="1:23" ht="13.2">
      <c r="A298" s="102" t="s">
        <v>333</v>
      </c>
      <c r="B298" s="103"/>
      <c r="C298" s="104">
        <v>3</v>
      </c>
      <c r="D298" s="105" t="s">
        <v>357</v>
      </c>
      <c r="E298" s="106">
        <v>0.67</v>
      </c>
      <c r="F298" s="107">
        <v>0.1</v>
      </c>
      <c r="G298" s="108">
        <v>0.1</v>
      </c>
      <c r="H298" s="121" t="s">
        <v>55</v>
      </c>
      <c r="I298" s="110">
        <v>0.76900000000000002</v>
      </c>
      <c r="J298" s="110">
        <v>0.75800000000000001</v>
      </c>
      <c r="K298" s="119">
        <v>0.76200000000000001</v>
      </c>
      <c r="L298" s="111">
        <f t="shared" si="69"/>
        <v>9.8999999999999977E-2</v>
      </c>
      <c r="M298" s="112">
        <f t="shared" si="70"/>
        <v>8.7999999999999967E-2</v>
      </c>
      <c r="N298" s="112">
        <f t="shared" si="71"/>
        <v>9.1999999999999971E-2</v>
      </c>
      <c r="O298" s="112">
        <f t="shared" si="63"/>
        <v>0.76300000000000001</v>
      </c>
      <c r="P298" s="113">
        <f t="shared" si="64"/>
        <v>0.98999999999999977</v>
      </c>
      <c r="Q298" s="114">
        <f t="shared" si="65"/>
        <v>0</v>
      </c>
      <c r="R298" s="115" t="str">
        <f t="shared" si="66"/>
        <v>Alert</v>
      </c>
      <c r="S298" s="115" t="str">
        <f t="shared" si="67"/>
        <v xml:space="preserve"> </v>
      </c>
      <c r="T298" s="116" t="str">
        <f t="shared" si="68"/>
        <v>Alert</v>
      </c>
      <c r="U298" s="120"/>
      <c r="V298" s="118"/>
      <c r="W298" s="131"/>
    </row>
    <row r="299" spans="1:23" ht="13.2">
      <c r="A299" s="102" t="s">
        <v>334</v>
      </c>
      <c r="B299" s="103"/>
      <c r="C299" s="104">
        <v>3</v>
      </c>
      <c r="D299" s="105" t="s">
        <v>357</v>
      </c>
      <c r="E299" s="106">
        <v>0.67</v>
      </c>
      <c r="F299" s="107">
        <v>0.1</v>
      </c>
      <c r="G299" s="108">
        <v>0.1</v>
      </c>
      <c r="H299" s="121" t="s">
        <v>55</v>
      </c>
      <c r="I299" s="110">
        <v>0.75900000000000001</v>
      </c>
      <c r="J299" s="110">
        <v>0.75600000000000001</v>
      </c>
      <c r="K299" s="119">
        <v>0.753</v>
      </c>
      <c r="L299" s="111">
        <f t="shared" si="69"/>
        <v>8.8999999999999968E-2</v>
      </c>
      <c r="M299" s="112">
        <f t="shared" si="70"/>
        <v>8.5999999999999965E-2</v>
      </c>
      <c r="N299" s="112">
        <f t="shared" si="71"/>
        <v>8.2999999999999963E-2</v>
      </c>
      <c r="O299" s="112">
        <f t="shared" si="63"/>
        <v>0.75600000000000012</v>
      </c>
      <c r="P299" s="113">
        <f t="shared" si="64"/>
        <v>0.88999999999999968</v>
      </c>
      <c r="Q299" s="114">
        <f t="shared" si="65"/>
        <v>0</v>
      </c>
      <c r="R299" s="115" t="str">
        <f t="shared" si="66"/>
        <v>Alert</v>
      </c>
      <c r="S299" s="115" t="str">
        <f t="shared" si="67"/>
        <v xml:space="preserve"> </v>
      </c>
      <c r="T299" s="116" t="str">
        <f t="shared" si="68"/>
        <v>Alert</v>
      </c>
      <c r="U299" s="120"/>
      <c r="V299" s="118"/>
      <c r="W299" s="131"/>
    </row>
    <row r="300" spans="1:23" ht="13.2">
      <c r="A300" s="102" t="s">
        <v>335</v>
      </c>
      <c r="B300" s="102"/>
      <c r="C300" s="104">
        <v>3</v>
      </c>
      <c r="D300" s="105" t="s">
        <v>357</v>
      </c>
      <c r="E300" s="106">
        <v>0.67</v>
      </c>
      <c r="F300" s="107">
        <v>0.1</v>
      </c>
      <c r="G300" s="108">
        <v>0.1</v>
      </c>
      <c r="H300" s="121" t="s">
        <v>55</v>
      </c>
      <c r="I300" s="110">
        <v>0.76400000000000001</v>
      </c>
      <c r="J300" s="110">
        <v>0.76300000000000001</v>
      </c>
      <c r="K300" s="119">
        <v>0.748</v>
      </c>
      <c r="L300" s="111">
        <f t="shared" si="69"/>
        <v>9.3999999999999972E-2</v>
      </c>
      <c r="M300" s="112">
        <f t="shared" si="70"/>
        <v>9.2999999999999972E-2</v>
      </c>
      <c r="N300" s="112">
        <f t="shared" si="71"/>
        <v>7.7999999999999958E-2</v>
      </c>
      <c r="O300" s="112">
        <f t="shared" si="63"/>
        <v>0.75833333333333341</v>
      </c>
      <c r="P300" s="113">
        <f t="shared" si="64"/>
        <v>0.93999999999999972</v>
      </c>
      <c r="Q300" s="114">
        <f t="shared" si="65"/>
        <v>0</v>
      </c>
      <c r="R300" s="115" t="str">
        <f t="shared" si="66"/>
        <v>Alert</v>
      </c>
      <c r="S300" s="115" t="str">
        <f t="shared" si="67"/>
        <v xml:space="preserve"> </v>
      </c>
      <c r="T300" s="116" t="str">
        <f t="shared" si="68"/>
        <v>Alert</v>
      </c>
      <c r="U300" s="120"/>
      <c r="V300" s="118"/>
      <c r="W300" s="131"/>
    </row>
    <row r="301" spans="1:23" ht="13.2">
      <c r="A301" s="102" t="s">
        <v>336</v>
      </c>
      <c r="B301" s="102"/>
      <c r="C301" s="104">
        <v>3</v>
      </c>
      <c r="D301" s="105" t="s">
        <v>357</v>
      </c>
      <c r="E301" s="106">
        <v>0.67</v>
      </c>
      <c r="F301" s="107">
        <v>0.1</v>
      </c>
      <c r="G301" s="108">
        <v>0.1</v>
      </c>
      <c r="H301" s="121" t="s">
        <v>55</v>
      </c>
      <c r="I301" s="110">
        <v>0.76400000000000001</v>
      </c>
      <c r="J301" s="110">
        <v>0.754</v>
      </c>
      <c r="K301" s="119">
        <v>0.755</v>
      </c>
      <c r="L301" s="111">
        <f t="shared" si="69"/>
        <v>9.3999999999999972E-2</v>
      </c>
      <c r="M301" s="112">
        <f t="shared" si="70"/>
        <v>8.3999999999999964E-2</v>
      </c>
      <c r="N301" s="112">
        <f t="shared" si="71"/>
        <v>8.4999999999999964E-2</v>
      </c>
      <c r="O301" s="112">
        <f t="shared" si="63"/>
        <v>0.75766666666666671</v>
      </c>
      <c r="P301" s="113">
        <f t="shared" si="64"/>
        <v>0.93999999999999972</v>
      </c>
      <c r="Q301" s="114">
        <f t="shared" si="65"/>
        <v>0</v>
      </c>
      <c r="R301" s="115" t="str">
        <f t="shared" si="66"/>
        <v>Alert</v>
      </c>
      <c r="S301" s="115" t="str">
        <f t="shared" si="67"/>
        <v xml:space="preserve"> </v>
      </c>
      <c r="T301" s="116" t="str">
        <f t="shared" si="68"/>
        <v>Alert</v>
      </c>
      <c r="U301" s="120"/>
      <c r="V301" s="118"/>
      <c r="W301" s="131"/>
    </row>
    <row r="302" spans="1:23" ht="13.2">
      <c r="A302" s="102" t="s">
        <v>337</v>
      </c>
      <c r="B302" s="102"/>
      <c r="C302" s="104">
        <v>3</v>
      </c>
      <c r="D302" s="105" t="s">
        <v>357</v>
      </c>
      <c r="E302" s="106">
        <v>0.67</v>
      </c>
      <c r="F302" s="107">
        <v>0.1</v>
      </c>
      <c r="G302" s="108">
        <v>0.1</v>
      </c>
      <c r="H302" s="121" t="s">
        <v>55</v>
      </c>
      <c r="I302" s="110">
        <v>0.76100000000000001</v>
      </c>
      <c r="J302" s="110">
        <v>0.76</v>
      </c>
      <c r="K302" s="119">
        <v>0.76100000000000001</v>
      </c>
      <c r="L302" s="111">
        <f t="shared" si="69"/>
        <v>9.099999999999997E-2</v>
      </c>
      <c r="M302" s="112">
        <f t="shared" si="70"/>
        <v>8.9999999999999969E-2</v>
      </c>
      <c r="N302" s="112">
        <f t="shared" si="71"/>
        <v>9.099999999999997E-2</v>
      </c>
      <c r="O302" s="112">
        <f t="shared" si="63"/>
        <v>0.76066666666666671</v>
      </c>
      <c r="P302" s="113">
        <f t="shared" si="64"/>
        <v>0.9099999999999997</v>
      </c>
      <c r="Q302" s="114">
        <f t="shared" si="65"/>
        <v>0</v>
      </c>
      <c r="R302" s="115" t="str">
        <f t="shared" si="66"/>
        <v>Alert</v>
      </c>
      <c r="S302" s="115" t="str">
        <f t="shared" si="67"/>
        <v xml:space="preserve"> </v>
      </c>
      <c r="T302" s="116" t="str">
        <f t="shared" si="68"/>
        <v>Alert</v>
      </c>
      <c r="U302" s="120"/>
      <c r="V302" s="118"/>
      <c r="W302" s="131"/>
    </row>
    <row r="303" spans="1:23" ht="13.2">
      <c r="A303" s="102" t="s">
        <v>338</v>
      </c>
      <c r="B303" s="102"/>
      <c r="C303" s="104">
        <v>3</v>
      </c>
      <c r="D303" s="105" t="s">
        <v>357</v>
      </c>
      <c r="E303" s="106">
        <v>0.67</v>
      </c>
      <c r="F303" s="107">
        <v>0.1</v>
      </c>
      <c r="G303" s="108">
        <v>0.1</v>
      </c>
      <c r="H303" s="121" t="s">
        <v>55</v>
      </c>
      <c r="I303" s="110">
        <v>0.76600000000000001</v>
      </c>
      <c r="J303" s="110">
        <v>0.753</v>
      </c>
      <c r="K303" s="119">
        <v>0.77</v>
      </c>
      <c r="L303" s="111">
        <f t="shared" si="69"/>
        <v>9.5999999999999974E-2</v>
      </c>
      <c r="M303" s="112">
        <f t="shared" si="70"/>
        <v>8.2999999999999963E-2</v>
      </c>
      <c r="N303" s="112">
        <f t="shared" si="71"/>
        <v>9.9999999999999978E-2</v>
      </c>
      <c r="O303" s="112">
        <f t="shared" si="63"/>
        <v>0.76300000000000001</v>
      </c>
      <c r="P303" s="113">
        <f t="shared" si="64"/>
        <v>0.99999999999999978</v>
      </c>
      <c r="Q303" s="114">
        <f t="shared" si="65"/>
        <v>0</v>
      </c>
      <c r="R303" s="115" t="str">
        <f t="shared" si="66"/>
        <v>Alert</v>
      </c>
      <c r="S303" s="115" t="str">
        <f t="shared" si="67"/>
        <v xml:space="preserve"> </v>
      </c>
      <c r="T303" s="116" t="str">
        <f t="shared" si="68"/>
        <v>Alert</v>
      </c>
      <c r="U303" s="120"/>
      <c r="V303" s="118"/>
      <c r="W303" s="131"/>
    </row>
    <row r="304" spans="1:23" ht="13.2">
      <c r="A304" s="102" t="s">
        <v>339</v>
      </c>
      <c r="B304" s="102"/>
      <c r="C304" s="104">
        <v>3</v>
      </c>
      <c r="D304" s="105" t="s">
        <v>357</v>
      </c>
      <c r="E304" s="106">
        <v>0.67</v>
      </c>
      <c r="F304" s="107">
        <v>0.1</v>
      </c>
      <c r="G304" s="108">
        <v>0.1</v>
      </c>
      <c r="H304" s="121" t="s">
        <v>55</v>
      </c>
      <c r="I304" s="110">
        <v>0.754</v>
      </c>
      <c r="J304" s="110">
        <v>0.73499999999999999</v>
      </c>
      <c r="K304" s="119">
        <v>0.752</v>
      </c>
      <c r="L304" s="111">
        <f t="shared" si="69"/>
        <v>8.3999999999999964E-2</v>
      </c>
      <c r="M304" s="112">
        <f t="shared" si="70"/>
        <v>6.4999999999999947E-2</v>
      </c>
      <c r="N304" s="112">
        <f t="shared" si="71"/>
        <v>8.1999999999999962E-2</v>
      </c>
      <c r="O304" s="112">
        <f t="shared" si="63"/>
        <v>0.74699999999999989</v>
      </c>
      <c r="P304" s="113">
        <f t="shared" si="64"/>
        <v>0.83999999999999964</v>
      </c>
      <c r="Q304" s="114">
        <f t="shared" si="65"/>
        <v>0</v>
      </c>
      <c r="R304" s="115" t="str">
        <f t="shared" si="66"/>
        <v>Alert</v>
      </c>
      <c r="S304" s="115" t="str">
        <f t="shared" si="67"/>
        <v xml:space="preserve"> </v>
      </c>
      <c r="T304" s="116" t="str">
        <f t="shared" si="68"/>
        <v>Alert</v>
      </c>
      <c r="U304" s="120"/>
      <c r="V304" s="118"/>
      <c r="W304" s="131"/>
    </row>
    <row r="305" spans="1:23" ht="13.2">
      <c r="A305" s="102" t="s">
        <v>340</v>
      </c>
      <c r="B305" s="102"/>
      <c r="C305" s="104">
        <v>3</v>
      </c>
      <c r="D305" s="105" t="s">
        <v>357</v>
      </c>
      <c r="E305" s="106">
        <v>0.67</v>
      </c>
      <c r="F305" s="107">
        <v>0.1</v>
      </c>
      <c r="G305" s="108">
        <v>0.1</v>
      </c>
      <c r="H305" s="121" t="s">
        <v>55</v>
      </c>
      <c r="I305" s="110">
        <v>0.75600000000000001</v>
      </c>
      <c r="J305" s="110">
        <v>0.748</v>
      </c>
      <c r="K305" s="119">
        <v>0.75800000000000001</v>
      </c>
      <c r="L305" s="111">
        <f t="shared" si="69"/>
        <v>8.5999999999999965E-2</v>
      </c>
      <c r="M305" s="112">
        <f t="shared" si="70"/>
        <v>7.7999999999999958E-2</v>
      </c>
      <c r="N305" s="112">
        <f t="shared" si="71"/>
        <v>8.7999999999999967E-2</v>
      </c>
      <c r="O305" s="112">
        <f t="shared" si="63"/>
        <v>0.754</v>
      </c>
      <c r="P305" s="113">
        <f t="shared" si="64"/>
        <v>0.87999999999999967</v>
      </c>
      <c r="Q305" s="114">
        <f t="shared" si="65"/>
        <v>0</v>
      </c>
      <c r="R305" s="115" t="str">
        <f t="shared" si="66"/>
        <v>Alert</v>
      </c>
      <c r="S305" s="115" t="str">
        <f t="shared" si="67"/>
        <v xml:space="preserve"> </v>
      </c>
      <c r="T305" s="116" t="str">
        <f t="shared" si="68"/>
        <v>Alert</v>
      </c>
      <c r="U305" s="120"/>
      <c r="V305" s="118"/>
      <c r="W305" s="131"/>
    </row>
    <row r="306" spans="1:23" ht="13.2">
      <c r="A306" s="102" t="s">
        <v>341</v>
      </c>
      <c r="B306" s="102"/>
      <c r="C306" s="104">
        <v>3</v>
      </c>
      <c r="D306" s="105" t="s">
        <v>357</v>
      </c>
      <c r="E306" s="106">
        <v>0.67</v>
      </c>
      <c r="F306" s="107">
        <v>0.1</v>
      </c>
      <c r="G306" s="108">
        <v>0.1</v>
      </c>
      <c r="H306" s="121" t="s">
        <v>55</v>
      </c>
      <c r="I306" s="110">
        <v>0.76700000000000002</v>
      </c>
      <c r="J306" s="110">
        <v>0.74399999999999999</v>
      </c>
      <c r="K306" s="119">
        <v>0.76500000000000001</v>
      </c>
      <c r="L306" s="111">
        <f t="shared" si="69"/>
        <v>9.6999999999999975E-2</v>
      </c>
      <c r="M306" s="112">
        <f t="shared" si="70"/>
        <v>7.3999999999999955E-2</v>
      </c>
      <c r="N306" s="112">
        <f t="shared" si="71"/>
        <v>9.4999999999999973E-2</v>
      </c>
      <c r="O306" s="112">
        <f t="shared" si="63"/>
        <v>0.75866666666666671</v>
      </c>
      <c r="P306" s="113">
        <f t="shared" si="64"/>
        <v>0.96999999999999975</v>
      </c>
      <c r="Q306" s="114">
        <f t="shared" si="65"/>
        <v>0</v>
      </c>
      <c r="R306" s="115" t="str">
        <f t="shared" si="66"/>
        <v>Alert</v>
      </c>
      <c r="S306" s="115" t="str">
        <f t="shared" si="67"/>
        <v xml:space="preserve"> </v>
      </c>
      <c r="T306" s="116" t="str">
        <f t="shared" si="68"/>
        <v>Alert</v>
      </c>
      <c r="U306" s="120"/>
      <c r="V306" s="118"/>
      <c r="W306" s="131"/>
    </row>
    <row r="307" spans="1:23" ht="13.2">
      <c r="A307" s="102" t="s">
        <v>342</v>
      </c>
      <c r="B307" s="102"/>
      <c r="C307" s="104">
        <v>3</v>
      </c>
      <c r="D307" s="105" t="s">
        <v>357</v>
      </c>
      <c r="E307" s="106">
        <v>0.67</v>
      </c>
      <c r="F307" s="107">
        <v>0.1</v>
      </c>
      <c r="G307" s="108">
        <v>0.1</v>
      </c>
      <c r="H307" s="121" t="s">
        <v>55</v>
      </c>
      <c r="I307" s="110">
        <v>0.751</v>
      </c>
      <c r="J307" s="110">
        <v>0.755</v>
      </c>
      <c r="K307" s="119">
        <v>0.75900000000000001</v>
      </c>
      <c r="L307" s="111">
        <f t="shared" si="69"/>
        <v>8.0999999999999961E-2</v>
      </c>
      <c r="M307" s="112">
        <f t="shared" si="70"/>
        <v>8.4999999999999964E-2</v>
      </c>
      <c r="N307" s="112">
        <f t="shared" si="71"/>
        <v>8.8999999999999968E-2</v>
      </c>
      <c r="O307" s="112">
        <f t="shared" si="63"/>
        <v>0.755</v>
      </c>
      <c r="P307" s="113">
        <f t="shared" si="64"/>
        <v>0.88999999999999968</v>
      </c>
      <c r="Q307" s="114">
        <f t="shared" si="65"/>
        <v>0</v>
      </c>
      <c r="R307" s="115" t="str">
        <f t="shared" si="66"/>
        <v>Alert</v>
      </c>
      <c r="S307" s="115" t="str">
        <f t="shared" si="67"/>
        <v xml:space="preserve"> </v>
      </c>
      <c r="T307" s="116" t="str">
        <f t="shared" si="68"/>
        <v>Alert</v>
      </c>
      <c r="U307" s="120"/>
      <c r="V307" s="118"/>
      <c r="W307" s="131"/>
    </row>
    <row r="308" spans="1:23" ht="13.2">
      <c r="A308" s="102" t="s">
        <v>343</v>
      </c>
      <c r="B308" s="102"/>
      <c r="C308" s="104">
        <v>3</v>
      </c>
      <c r="D308" s="105" t="s">
        <v>357</v>
      </c>
      <c r="E308" s="106">
        <v>0.67</v>
      </c>
      <c r="F308" s="107">
        <v>0.1</v>
      </c>
      <c r="G308" s="108">
        <v>0.1</v>
      </c>
      <c r="H308" s="121" t="s">
        <v>55</v>
      </c>
      <c r="I308" s="110">
        <v>0.76500000000000001</v>
      </c>
      <c r="J308" s="110">
        <v>0.751</v>
      </c>
      <c r="K308" s="119">
        <v>0.76100000000000001</v>
      </c>
      <c r="L308" s="111">
        <f t="shared" si="69"/>
        <v>9.4999999999999973E-2</v>
      </c>
      <c r="M308" s="112">
        <f t="shared" si="70"/>
        <v>8.0999999999999961E-2</v>
      </c>
      <c r="N308" s="112">
        <f t="shared" si="71"/>
        <v>9.099999999999997E-2</v>
      </c>
      <c r="O308" s="112">
        <f t="shared" si="63"/>
        <v>0.75900000000000001</v>
      </c>
      <c r="P308" s="113">
        <f t="shared" si="64"/>
        <v>0.94999999999999973</v>
      </c>
      <c r="Q308" s="114">
        <f t="shared" si="65"/>
        <v>0</v>
      </c>
      <c r="R308" s="115" t="str">
        <f t="shared" si="66"/>
        <v>Alert</v>
      </c>
      <c r="S308" s="115" t="str">
        <f t="shared" si="67"/>
        <v xml:space="preserve"> </v>
      </c>
      <c r="T308" s="116" t="str">
        <f t="shared" si="68"/>
        <v>Alert</v>
      </c>
      <c r="U308" s="120"/>
      <c r="V308" s="118"/>
      <c r="W308" s="131"/>
    </row>
    <row r="309" spans="1:23" ht="13.2">
      <c r="A309" s="102" t="s">
        <v>344</v>
      </c>
      <c r="B309" s="102"/>
      <c r="C309" s="104">
        <v>3</v>
      </c>
      <c r="D309" s="105" t="s">
        <v>357</v>
      </c>
      <c r="E309" s="106">
        <v>0.67</v>
      </c>
      <c r="F309" s="107">
        <v>0.1</v>
      </c>
      <c r="G309" s="108">
        <v>0.1</v>
      </c>
      <c r="H309" s="121" t="s">
        <v>55</v>
      </c>
      <c r="I309" s="110">
        <v>0.76300000000000001</v>
      </c>
      <c r="J309" s="110">
        <v>0.74399999999999999</v>
      </c>
      <c r="K309" s="119">
        <v>0.75</v>
      </c>
      <c r="L309" s="111">
        <f t="shared" si="69"/>
        <v>9.2999999999999972E-2</v>
      </c>
      <c r="M309" s="112">
        <f t="shared" si="70"/>
        <v>7.3999999999999955E-2</v>
      </c>
      <c r="N309" s="112">
        <f t="shared" si="71"/>
        <v>7.999999999999996E-2</v>
      </c>
      <c r="O309" s="112">
        <f t="shared" si="63"/>
        <v>0.75233333333333341</v>
      </c>
      <c r="P309" s="113">
        <f t="shared" si="64"/>
        <v>0.92999999999999972</v>
      </c>
      <c r="Q309" s="114">
        <f t="shared" si="65"/>
        <v>0</v>
      </c>
      <c r="R309" s="115" t="str">
        <f t="shared" si="66"/>
        <v>Alert</v>
      </c>
      <c r="S309" s="115" t="str">
        <f t="shared" si="67"/>
        <v xml:space="preserve"> </v>
      </c>
      <c r="T309" s="116" t="str">
        <f t="shared" si="68"/>
        <v>Alert</v>
      </c>
      <c r="U309" s="120"/>
      <c r="V309" s="118"/>
      <c r="W309" s="131"/>
    </row>
    <row r="310" spans="1:23" ht="13.2">
      <c r="A310" s="102" t="s">
        <v>345</v>
      </c>
      <c r="B310" s="102"/>
      <c r="C310" s="104">
        <v>3</v>
      </c>
      <c r="D310" s="105" t="s">
        <v>357</v>
      </c>
      <c r="E310" s="106">
        <v>0.67</v>
      </c>
      <c r="F310" s="107">
        <v>0.1</v>
      </c>
      <c r="G310" s="108">
        <v>0.1</v>
      </c>
      <c r="H310" s="121" t="s">
        <v>55</v>
      </c>
      <c r="I310" s="110">
        <v>0.76200000000000001</v>
      </c>
      <c r="J310" s="110">
        <v>0.753</v>
      </c>
      <c r="K310" s="119">
        <v>0.752</v>
      </c>
      <c r="L310" s="111">
        <f t="shared" si="69"/>
        <v>9.1999999999999971E-2</v>
      </c>
      <c r="M310" s="112">
        <f t="shared" si="70"/>
        <v>8.2999999999999963E-2</v>
      </c>
      <c r="N310" s="112">
        <f t="shared" si="71"/>
        <v>8.1999999999999962E-2</v>
      </c>
      <c r="O310" s="112">
        <f t="shared" si="63"/>
        <v>0.75566666666666682</v>
      </c>
      <c r="P310" s="113">
        <f t="shared" si="64"/>
        <v>0.91999999999999971</v>
      </c>
      <c r="Q310" s="114">
        <f t="shared" si="65"/>
        <v>0</v>
      </c>
      <c r="R310" s="115" t="str">
        <f t="shared" si="66"/>
        <v>Alert</v>
      </c>
      <c r="S310" s="115" t="str">
        <f t="shared" si="67"/>
        <v xml:space="preserve"> </v>
      </c>
      <c r="T310" s="116" t="str">
        <f t="shared" si="68"/>
        <v>Alert</v>
      </c>
      <c r="U310" s="120"/>
      <c r="V310" s="118"/>
      <c r="W310" s="131"/>
    </row>
    <row r="311" spans="1:23" ht="13.2">
      <c r="A311" s="102" t="s">
        <v>346</v>
      </c>
      <c r="B311" s="102"/>
      <c r="C311" s="104">
        <v>3</v>
      </c>
      <c r="D311" s="105" t="s">
        <v>357</v>
      </c>
      <c r="E311" s="106">
        <v>0.67</v>
      </c>
      <c r="F311" s="107">
        <v>0.1</v>
      </c>
      <c r="G311" s="108">
        <v>0.1</v>
      </c>
      <c r="H311" s="121" t="s">
        <v>55</v>
      </c>
      <c r="I311" s="110">
        <v>0.74399999999999999</v>
      </c>
      <c r="J311" s="110">
        <v>0.753</v>
      </c>
      <c r="K311" s="119">
        <v>0.753</v>
      </c>
      <c r="L311" s="111">
        <f t="shared" si="69"/>
        <v>7.3999999999999955E-2</v>
      </c>
      <c r="M311" s="112">
        <f t="shared" si="70"/>
        <v>8.2999999999999963E-2</v>
      </c>
      <c r="N311" s="112">
        <f t="shared" si="71"/>
        <v>8.2999999999999963E-2</v>
      </c>
      <c r="O311" s="112">
        <f t="shared" si="63"/>
        <v>0.75</v>
      </c>
      <c r="P311" s="113">
        <f t="shared" si="64"/>
        <v>0.82999999999999963</v>
      </c>
      <c r="Q311" s="114">
        <f t="shared" si="65"/>
        <v>0</v>
      </c>
      <c r="R311" s="115" t="str">
        <f t="shared" si="66"/>
        <v>Alert</v>
      </c>
      <c r="S311" s="115" t="str">
        <f t="shared" si="67"/>
        <v xml:space="preserve"> </v>
      </c>
      <c r="T311" s="116" t="str">
        <f t="shared" si="68"/>
        <v>Alert</v>
      </c>
      <c r="U311" s="120"/>
      <c r="V311" s="118"/>
      <c r="W311" s="131"/>
    </row>
    <row r="312" spans="1:23" ht="13.2">
      <c r="A312" s="102" t="s">
        <v>347</v>
      </c>
      <c r="B312" s="103"/>
      <c r="C312" s="104">
        <v>3</v>
      </c>
      <c r="D312" s="105" t="s">
        <v>357</v>
      </c>
      <c r="E312" s="106">
        <v>0.67</v>
      </c>
      <c r="F312" s="107">
        <v>0.1</v>
      </c>
      <c r="G312" s="108">
        <v>0.1</v>
      </c>
      <c r="H312" s="121" t="s">
        <v>55</v>
      </c>
      <c r="I312" s="110">
        <v>0.76600000000000001</v>
      </c>
      <c r="J312" s="110">
        <v>0.73499999999999999</v>
      </c>
      <c r="K312" s="119">
        <v>0.753</v>
      </c>
      <c r="L312" s="111">
        <f t="shared" si="69"/>
        <v>9.5999999999999974E-2</v>
      </c>
      <c r="M312" s="112">
        <f t="shared" si="70"/>
        <v>6.4999999999999947E-2</v>
      </c>
      <c r="N312" s="112">
        <f t="shared" si="71"/>
        <v>8.2999999999999963E-2</v>
      </c>
      <c r="O312" s="112">
        <f t="shared" si="63"/>
        <v>0.7513333333333333</v>
      </c>
      <c r="P312" s="113">
        <f t="shared" si="64"/>
        <v>0.95999999999999974</v>
      </c>
      <c r="Q312" s="114">
        <f t="shared" si="65"/>
        <v>0</v>
      </c>
      <c r="R312" s="115" t="str">
        <f t="shared" si="66"/>
        <v>Alert</v>
      </c>
      <c r="S312" s="115" t="str">
        <f t="shared" si="67"/>
        <v xml:space="preserve"> </v>
      </c>
      <c r="T312" s="116" t="str">
        <f t="shared" si="68"/>
        <v>Alert</v>
      </c>
      <c r="U312" s="120"/>
      <c r="V312" s="118"/>
      <c r="W312" s="131"/>
    </row>
    <row r="313" spans="1:23" ht="13.2">
      <c r="A313" s="102" t="s">
        <v>348</v>
      </c>
      <c r="B313" s="103"/>
      <c r="C313" s="104">
        <v>3</v>
      </c>
      <c r="D313" s="105" t="s">
        <v>357</v>
      </c>
      <c r="E313" s="106">
        <v>0.67</v>
      </c>
      <c r="F313" s="107">
        <v>0.1</v>
      </c>
      <c r="G313" s="108">
        <v>0.1</v>
      </c>
      <c r="H313" s="121" t="s">
        <v>55</v>
      </c>
      <c r="I313" s="110">
        <v>0.76800000000000002</v>
      </c>
      <c r="J313" s="110">
        <v>0.74099999999999999</v>
      </c>
      <c r="K313" s="119">
        <v>0.75900000000000001</v>
      </c>
      <c r="L313" s="111">
        <f t="shared" si="69"/>
        <v>9.7999999999999976E-2</v>
      </c>
      <c r="M313" s="112">
        <f t="shared" si="70"/>
        <v>7.0999999999999952E-2</v>
      </c>
      <c r="N313" s="112">
        <f t="shared" si="71"/>
        <v>8.8999999999999968E-2</v>
      </c>
      <c r="O313" s="112">
        <f t="shared" si="63"/>
        <v>0.75599999999999989</v>
      </c>
      <c r="P313" s="113">
        <f t="shared" si="64"/>
        <v>0.97999999999999976</v>
      </c>
      <c r="Q313" s="114">
        <f t="shared" si="65"/>
        <v>0</v>
      </c>
      <c r="R313" s="115" t="str">
        <f t="shared" si="66"/>
        <v>Alert</v>
      </c>
      <c r="S313" s="115" t="str">
        <f t="shared" si="67"/>
        <v xml:space="preserve"> </v>
      </c>
      <c r="T313" s="116" t="str">
        <f t="shared" si="68"/>
        <v>Alert</v>
      </c>
      <c r="U313" s="120"/>
      <c r="V313" s="118"/>
      <c r="W313" s="131"/>
    </row>
    <row r="314" spans="1:23" ht="13.2">
      <c r="A314" s="102" t="s">
        <v>349</v>
      </c>
      <c r="B314" s="103"/>
      <c r="C314" s="104">
        <v>3</v>
      </c>
      <c r="D314" s="105" t="s">
        <v>357</v>
      </c>
      <c r="E314" s="106">
        <v>0.67</v>
      </c>
      <c r="F314" s="107">
        <v>0.1</v>
      </c>
      <c r="G314" s="108">
        <v>0.1</v>
      </c>
      <c r="H314" s="121" t="s">
        <v>55</v>
      </c>
      <c r="I314" s="110">
        <v>0.76700000000000002</v>
      </c>
      <c r="J314" s="110">
        <v>0.753</v>
      </c>
      <c r="K314" s="119">
        <v>0.76300000000000001</v>
      </c>
      <c r="L314" s="111">
        <f t="shared" si="69"/>
        <v>9.6999999999999975E-2</v>
      </c>
      <c r="M314" s="112">
        <f t="shared" si="70"/>
        <v>8.2999999999999963E-2</v>
      </c>
      <c r="N314" s="112">
        <f t="shared" si="71"/>
        <v>9.2999999999999972E-2</v>
      </c>
      <c r="O314" s="112">
        <f t="shared" si="63"/>
        <v>0.76100000000000001</v>
      </c>
      <c r="P314" s="113">
        <f t="shared" si="64"/>
        <v>0.96999999999999975</v>
      </c>
      <c r="Q314" s="114">
        <f t="shared" si="65"/>
        <v>0</v>
      </c>
      <c r="R314" s="115" t="str">
        <f t="shared" si="66"/>
        <v>Alert</v>
      </c>
      <c r="S314" s="115" t="str">
        <f t="shared" si="67"/>
        <v xml:space="preserve"> </v>
      </c>
      <c r="T314" s="116" t="str">
        <f t="shared" si="68"/>
        <v>Alert</v>
      </c>
      <c r="U314" s="120"/>
      <c r="V314" s="118"/>
      <c r="W314" s="131"/>
    </row>
    <row r="315" spans="1:23" ht="13.2">
      <c r="A315" s="102" t="s">
        <v>350</v>
      </c>
      <c r="B315" s="102"/>
      <c r="C315" s="104">
        <v>3</v>
      </c>
      <c r="D315" s="105" t="s">
        <v>357</v>
      </c>
      <c r="E315" s="106">
        <v>0.67</v>
      </c>
      <c r="F315" s="107">
        <v>0.1</v>
      </c>
      <c r="G315" s="108">
        <v>0.1</v>
      </c>
      <c r="H315" s="121" t="s">
        <v>55</v>
      </c>
      <c r="I315" s="110">
        <v>0.76600000000000001</v>
      </c>
      <c r="J315" s="110">
        <v>0.73799999999999999</v>
      </c>
      <c r="K315" s="119">
        <v>0.75700000000000001</v>
      </c>
      <c r="L315" s="111">
        <f t="shared" si="69"/>
        <v>9.5999999999999974E-2</v>
      </c>
      <c r="M315" s="112">
        <f t="shared" si="70"/>
        <v>6.7999999999999949E-2</v>
      </c>
      <c r="N315" s="112">
        <f t="shared" si="71"/>
        <v>8.6999999999999966E-2</v>
      </c>
      <c r="O315" s="112">
        <f t="shared" si="63"/>
        <v>0.75366666666666671</v>
      </c>
      <c r="P315" s="113">
        <f t="shared" si="64"/>
        <v>0.95999999999999974</v>
      </c>
      <c r="Q315" s="114">
        <f t="shared" si="65"/>
        <v>0</v>
      </c>
      <c r="R315" s="115" t="str">
        <f t="shared" si="66"/>
        <v>Alert</v>
      </c>
      <c r="S315" s="115" t="str">
        <f t="shared" si="67"/>
        <v xml:space="preserve"> </v>
      </c>
      <c r="T315" s="116" t="str">
        <f t="shared" si="68"/>
        <v>Alert</v>
      </c>
      <c r="U315" s="120"/>
      <c r="V315" s="118"/>
      <c r="W315" s="131"/>
    </row>
    <row r="316" spans="1:23" ht="13.2">
      <c r="A316" s="102" t="s">
        <v>351</v>
      </c>
      <c r="B316" s="102"/>
      <c r="C316" s="104">
        <v>3</v>
      </c>
      <c r="D316" s="105" t="s">
        <v>357</v>
      </c>
      <c r="E316" s="106">
        <v>0.67</v>
      </c>
      <c r="F316" s="107">
        <v>0.1</v>
      </c>
      <c r="G316" s="108">
        <v>0.1</v>
      </c>
      <c r="H316" s="121" t="s">
        <v>55</v>
      </c>
      <c r="I316" s="110">
        <v>0.76300000000000001</v>
      </c>
      <c r="J316" s="110">
        <v>0.74099999999999999</v>
      </c>
      <c r="K316" s="119">
        <v>0.75800000000000001</v>
      </c>
      <c r="L316" s="111">
        <f t="shared" si="69"/>
        <v>9.2999999999999972E-2</v>
      </c>
      <c r="M316" s="112">
        <f t="shared" si="70"/>
        <v>7.0999999999999952E-2</v>
      </c>
      <c r="N316" s="112">
        <f t="shared" si="71"/>
        <v>8.7999999999999967E-2</v>
      </c>
      <c r="O316" s="112">
        <f t="shared" si="63"/>
        <v>0.754</v>
      </c>
      <c r="P316" s="113">
        <f t="shared" si="64"/>
        <v>0.92999999999999972</v>
      </c>
      <c r="Q316" s="114">
        <f t="shared" si="65"/>
        <v>0</v>
      </c>
      <c r="R316" s="115" t="str">
        <f t="shared" si="66"/>
        <v>Alert</v>
      </c>
      <c r="S316" s="115" t="str">
        <f t="shared" si="67"/>
        <v xml:space="preserve"> </v>
      </c>
      <c r="T316" s="116" t="str">
        <f t="shared" si="68"/>
        <v>Alert</v>
      </c>
      <c r="U316" s="120"/>
      <c r="V316" s="118"/>
      <c r="W316" s="131"/>
    </row>
    <row r="317" spans="1:23" ht="13.2">
      <c r="A317" s="102" t="s">
        <v>352</v>
      </c>
      <c r="B317" s="102"/>
      <c r="C317" s="104">
        <v>3</v>
      </c>
      <c r="D317" s="105" t="s">
        <v>357</v>
      </c>
      <c r="E317" s="106">
        <v>0.67</v>
      </c>
      <c r="F317" s="107">
        <v>0.1</v>
      </c>
      <c r="G317" s="108">
        <v>0.1</v>
      </c>
      <c r="H317" s="121" t="s">
        <v>55</v>
      </c>
      <c r="I317" s="110">
        <v>0.75700000000000001</v>
      </c>
      <c r="J317" s="110">
        <v>0.74199999999999999</v>
      </c>
      <c r="K317" s="119">
        <v>0.76800000000000002</v>
      </c>
      <c r="L317" s="111">
        <f t="shared" si="69"/>
        <v>8.6999999999999966E-2</v>
      </c>
      <c r="M317" s="112">
        <f t="shared" si="70"/>
        <v>7.1999999999999953E-2</v>
      </c>
      <c r="N317" s="112">
        <f t="shared" si="71"/>
        <v>9.7999999999999976E-2</v>
      </c>
      <c r="O317" s="112">
        <f t="shared" si="63"/>
        <v>0.75566666666666682</v>
      </c>
      <c r="P317" s="113">
        <f t="shared" si="64"/>
        <v>0.97999999999999976</v>
      </c>
      <c r="Q317" s="114">
        <f t="shared" si="65"/>
        <v>0</v>
      </c>
      <c r="R317" s="115" t="str">
        <f t="shared" si="66"/>
        <v>Alert</v>
      </c>
      <c r="S317" s="115" t="str">
        <f t="shared" si="67"/>
        <v xml:space="preserve"> </v>
      </c>
      <c r="T317" s="116" t="str">
        <f t="shared" si="68"/>
        <v>Alert</v>
      </c>
      <c r="U317" s="120"/>
      <c r="V317" s="118"/>
      <c r="W317" s="131"/>
    </row>
    <row r="318" spans="1:23" ht="13.2">
      <c r="A318" s="102" t="s">
        <v>353</v>
      </c>
      <c r="B318" s="102"/>
      <c r="C318" s="104">
        <v>3</v>
      </c>
      <c r="D318" s="105" t="s">
        <v>357</v>
      </c>
      <c r="E318" s="106">
        <v>0.67</v>
      </c>
      <c r="F318" s="107">
        <v>0.1</v>
      </c>
      <c r="G318" s="108">
        <v>0.1</v>
      </c>
      <c r="H318" s="121" t="s">
        <v>55</v>
      </c>
      <c r="I318" s="110">
        <v>0.75900000000000001</v>
      </c>
      <c r="J318" s="110">
        <v>0.745</v>
      </c>
      <c r="K318" s="119">
        <v>0.76700000000000002</v>
      </c>
      <c r="L318" s="111">
        <f t="shared" si="69"/>
        <v>8.8999999999999968E-2</v>
      </c>
      <c r="M318" s="112">
        <f t="shared" si="70"/>
        <v>7.4999999999999956E-2</v>
      </c>
      <c r="N318" s="112">
        <f t="shared" si="71"/>
        <v>9.6999999999999975E-2</v>
      </c>
      <c r="O318" s="112">
        <f t="shared" ref="O318:O381" si="72">IF(ISERR(I318/I318)=TRUE," ",AVERAGE(I318:K318))</f>
        <v>0.75700000000000001</v>
      </c>
      <c r="P318" s="113">
        <f t="shared" ref="P318:P381" si="73">IF(ISBLANK($E318),"",IF(ISNUMBER(F318)=FALSE,"BAD TOL", IF(F318=0,"N/A",IF(ISERR(I318/I318)=TRUE,"BAD INSP",IF(AND(ISNUMBER($I318),ISNUMBER($J318),ISNUMBER($K318))=FALSE,"BAD INSP",IF(MAX($I318:$K318)&lt;$E318,0,(MAX($I318:$K318)-$E318)/$F318))))))</f>
        <v>0.96999999999999975</v>
      </c>
      <c r="Q318" s="114">
        <f t="shared" ref="Q318:Q381" si="74">IF(ISBLANK($E318),"",IF(ISNUMBER(G318)=FALSE,"BAD TOL",IF(G318=0,"N/A",IF(ISERR(I318/I318)=TRUE,"BAD INSP",IF(AND(ISNUMBER($I318),ISNUMBER($J318),ISNUMBER($K318))=FALSE,"BAD INSP",IF(MIN(I318:K318)&gt;$E318,0,($E318-MIN(I318:K318))/G318))))))</f>
        <v>0</v>
      </c>
      <c r="R318" s="115" t="str">
        <f t="shared" ref="R318:R381" si="75">IF(ISBLANK($E318),"",IF(ISNUMBER($P318)=TRUE,IF($P318&gt;0.651,IF($P318&gt;1.001,"Reject","Alert")," "),IF(AND(F318=0, ISNUMBER(F318)),IF(MAX(I318:K318)&gt;(E318+F318),"Reject",IF(MAX(I318:K318)=(E318+F318),"Alert","")),"Reject")))</f>
        <v>Alert</v>
      </c>
      <c r="S318" s="115" t="str">
        <f t="shared" ref="S318:S381" si="76">IF(ISBLANK($E318),"",IF(ISNUMBER($Q318)=TRUE,IF($Q318&gt;0.651,IF($Q318&gt;1.001,"Reject","Alert")," "),IF(AND(G318=0, ISNUMBER(G318)),IF(MIN(I318:K318)&lt;(E318-G318),"Reject",IF(MIN(I318:K318)=(E318-G318),"Alert","")),"Reject")))</f>
        <v xml:space="preserve"> </v>
      </c>
      <c r="T318" s="116" t="str">
        <f t="shared" ref="T318:T381" si="77">IF(OR(R318="Reject",S318="Reject"),"Reject",IF(OR(R318="Alert",S318="Alert"),"Alert", ""))</f>
        <v>Alert</v>
      </c>
      <c r="U318" s="120"/>
      <c r="V318" s="118"/>
      <c r="W318" s="131"/>
    </row>
    <row r="319" spans="1:23" ht="13.2">
      <c r="A319" s="102" t="s">
        <v>354</v>
      </c>
      <c r="B319" s="102"/>
      <c r="C319" s="104">
        <v>3</v>
      </c>
      <c r="D319" s="105" t="s">
        <v>357</v>
      </c>
      <c r="E319" s="106">
        <v>0.67</v>
      </c>
      <c r="F319" s="107">
        <v>0.1</v>
      </c>
      <c r="G319" s="108">
        <v>0.1</v>
      </c>
      <c r="H319" s="121" t="s">
        <v>55</v>
      </c>
      <c r="I319" s="110">
        <v>0.76600000000000001</v>
      </c>
      <c r="J319" s="110">
        <v>0.76</v>
      </c>
      <c r="K319" s="119">
        <v>0.76400000000000001</v>
      </c>
      <c r="L319" s="111">
        <f t="shared" si="69"/>
        <v>9.5999999999999974E-2</v>
      </c>
      <c r="M319" s="112">
        <f t="shared" si="70"/>
        <v>8.9999999999999969E-2</v>
      </c>
      <c r="N319" s="112">
        <f t="shared" si="71"/>
        <v>9.3999999999999972E-2</v>
      </c>
      <c r="O319" s="112">
        <f t="shared" si="72"/>
        <v>0.76333333333333331</v>
      </c>
      <c r="P319" s="113">
        <f t="shared" si="73"/>
        <v>0.95999999999999974</v>
      </c>
      <c r="Q319" s="114">
        <f t="shared" si="74"/>
        <v>0</v>
      </c>
      <c r="R319" s="115" t="str">
        <f t="shared" si="75"/>
        <v>Alert</v>
      </c>
      <c r="S319" s="115" t="str">
        <f t="shared" si="76"/>
        <v xml:space="preserve"> </v>
      </c>
      <c r="T319" s="116" t="str">
        <f t="shared" si="77"/>
        <v>Alert</v>
      </c>
      <c r="U319" s="120"/>
      <c r="V319" s="118"/>
      <c r="W319" s="131"/>
    </row>
    <row r="320" spans="1:23" ht="13.2">
      <c r="A320" s="102" t="s">
        <v>355</v>
      </c>
      <c r="B320" s="102"/>
      <c r="C320" s="104">
        <v>3</v>
      </c>
      <c r="D320" s="105" t="s">
        <v>357</v>
      </c>
      <c r="E320" s="106">
        <v>0.67</v>
      </c>
      <c r="F320" s="107">
        <v>0.1</v>
      </c>
      <c r="G320" s="108">
        <v>0.1</v>
      </c>
      <c r="H320" s="121" t="s">
        <v>55</v>
      </c>
      <c r="I320" s="110">
        <v>0.76300000000000001</v>
      </c>
      <c r="J320" s="110">
        <v>0.75700000000000001</v>
      </c>
      <c r="K320" s="119">
        <v>0.75900000000000001</v>
      </c>
      <c r="L320" s="111">
        <f t="shared" si="69"/>
        <v>9.2999999999999972E-2</v>
      </c>
      <c r="M320" s="112">
        <f t="shared" si="70"/>
        <v>8.6999999999999966E-2</v>
      </c>
      <c r="N320" s="112">
        <f t="shared" si="71"/>
        <v>8.8999999999999968E-2</v>
      </c>
      <c r="O320" s="112">
        <f t="shared" si="72"/>
        <v>0.7596666666666666</v>
      </c>
      <c r="P320" s="113">
        <f t="shared" si="73"/>
        <v>0.92999999999999972</v>
      </c>
      <c r="Q320" s="114">
        <f t="shared" si="74"/>
        <v>0</v>
      </c>
      <c r="R320" s="115" t="str">
        <f t="shared" si="75"/>
        <v>Alert</v>
      </c>
      <c r="S320" s="115" t="str">
        <f t="shared" si="76"/>
        <v xml:space="preserve"> </v>
      </c>
      <c r="T320" s="116" t="str">
        <f t="shared" si="77"/>
        <v>Alert</v>
      </c>
      <c r="U320" s="120"/>
      <c r="V320" s="118"/>
      <c r="W320" s="131"/>
    </row>
    <row r="321" spans="1:23" ht="13.2">
      <c r="A321" s="102" t="s">
        <v>356</v>
      </c>
      <c r="B321" s="102"/>
      <c r="C321" s="104">
        <v>3</v>
      </c>
      <c r="D321" s="105" t="s">
        <v>357</v>
      </c>
      <c r="E321" s="106">
        <v>0.67</v>
      </c>
      <c r="F321" s="107">
        <v>0.1</v>
      </c>
      <c r="G321" s="108">
        <v>0.1</v>
      </c>
      <c r="H321" s="121" t="s">
        <v>55</v>
      </c>
      <c r="I321" s="110">
        <v>0.76100000000000001</v>
      </c>
      <c r="J321" s="110">
        <v>0.74299999999999999</v>
      </c>
      <c r="K321" s="119">
        <v>0.751</v>
      </c>
      <c r="L321" s="111">
        <f t="shared" si="69"/>
        <v>9.099999999999997E-2</v>
      </c>
      <c r="M321" s="112">
        <f t="shared" si="70"/>
        <v>7.2999999999999954E-2</v>
      </c>
      <c r="N321" s="112">
        <f t="shared" si="71"/>
        <v>8.0999999999999961E-2</v>
      </c>
      <c r="O321" s="112">
        <f t="shared" si="72"/>
        <v>0.75166666666666659</v>
      </c>
      <c r="P321" s="113">
        <f t="shared" si="73"/>
        <v>0.9099999999999997</v>
      </c>
      <c r="Q321" s="114">
        <f t="shared" si="74"/>
        <v>0</v>
      </c>
      <c r="R321" s="115" t="str">
        <f t="shared" si="75"/>
        <v>Alert</v>
      </c>
      <c r="S321" s="115" t="str">
        <f t="shared" si="76"/>
        <v xml:space="preserve"> </v>
      </c>
      <c r="T321" s="116" t="str">
        <f t="shared" si="77"/>
        <v>Alert</v>
      </c>
      <c r="U321" s="120"/>
      <c r="V321" s="118"/>
      <c r="W321" s="131"/>
    </row>
    <row r="322" spans="1:23" ht="13.2">
      <c r="A322" s="102" t="s">
        <v>358</v>
      </c>
      <c r="B322" s="102"/>
      <c r="C322" s="104">
        <v>3</v>
      </c>
      <c r="D322" s="105" t="s">
        <v>357</v>
      </c>
      <c r="E322" s="106">
        <v>1.1499999999999999</v>
      </c>
      <c r="F322" s="107">
        <v>0.1</v>
      </c>
      <c r="G322" s="108">
        <v>0.1</v>
      </c>
      <c r="H322" s="121" t="s">
        <v>55</v>
      </c>
      <c r="I322" s="110">
        <v>1.2430000000000001</v>
      </c>
      <c r="J322" s="110">
        <v>1.2330000000000001</v>
      </c>
      <c r="K322" s="119">
        <v>1.228</v>
      </c>
      <c r="L322" s="111">
        <f t="shared" si="69"/>
        <v>9.3000000000000194E-2</v>
      </c>
      <c r="M322" s="112">
        <f t="shared" si="70"/>
        <v>8.3000000000000185E-2</v>
      </c>
      <c r="N322" s="112">
        <f t="shared" si="71"/>
        <v>7.8000000000000069E-2</v>
      </c>
      <c r="O322" s="112">
        <f t="shared" si="72"/>
        <v>1.2346666666666666</v>
      </c>
      <c r="P322" s="113">
        <f t="shared" si="73"/>
        <v>0.93000000000000194</v>
      </c>
      <c r="Q322" s="114">
        <f t="shared" si="74"/>
        <v>0</v>
      </c>
      <c r="R322" s="115" t="str">
        <f t="shared" si="75"/>
        <v>Alert</v>
      </c>
      <c r="S322" s="115" t="str">
        <f t="shared" si="76"/>
        <v xml:space="preserve"> </v>
      </c>
      <c r="T322" s="116" t="str">
        <f t="shared" si="77"/>
        <v>Alert</v>
      </c>
      <c r="U322" s="120"/>
      <c r="V322" s="118"/>
      <c r="W322" s="131"/>
    </row>
    <row r="323" spans="1:23" ht="13.2">
      <c r="A323" s="102" t="s">
        <v>359</v>
      </c>
      <c r="B323" s="102"/>
      <c r="C323" s="104">
        <v>3</v>
      </c>
      <c r="D323" s="105" t="s">
        <v>357</v>
      </c>
      <c r="E323" s="106">
        <v>1.1499999999999999</v>
      </c>
      <c r="F323" s="107">
        <v>0.1</v>
      </c>
      <c r="G323" s="108">
        <v>0.1</v>
      </c>
      <c r="H323" s="121" t="s">
        <v>55</v>
      </c>
      <c r="I323" s="110">
        <v>1.2430000000000001</v>
      </c>
      <c r="J323" s="110">
        <v>1.2110000000000001</v>
      </c>
      <c r="K323" s="119">
        <v>1.2290000000000001</v>
      </c>
      <c r="L323" s="111">
        <f t="shared" si="69"/>
        <v>9.3000000000000194E-2</v>
      </c>
      <c r="M323" s="112">
        <f t="shared" si="70"/>
        <v>6.1000000000000165E-2</v>
      </c>
      <c r="N323" s="112">
        <f t="shared" si="71"/>
        <v>7.9000000000000181E-2</v>
      </c>
      <c r="O323" s="112">
        <f t="shared" si="72"/>
        <v>1.2276666666666667</v>
      </c>
      <c r="P323" s="113">
        <f t="shared" si="73"/>
        <v>0.93000000000000194</v>
      </c>
      <c r="Q323" s="114">
        <f t="shared" si="74"/>
        <v>0</v>
      </c>
      <c r="R323" s="115" t="str">
        <f t="shared" si="75"/>
        <v>Alert</v>
      </c>
      <c r="S323" s="115" t="str">
        <f t="shared" si="76"/>
        <v xml:space="preserve"> </v>
      </c>
      <c r="T323" s="116" t="str">
        <f t="shared" si="77"/>
        <v>Alert</v>
      </c>
      <c r="U323" s="120"/>
      <c r="V323" s="118"/>
      <c r="W323" s="131"/>
    </row>
    <row r="324" spans="1:23" ht="13.2">
      <c r="A324" s="102" t="s">
        <v>360</v>
      </c>
      <c r="B324" s="102"/>
      <c r="C324" s="104">
        <v>3</v>
      </c>
      <c r="D324" s="105" t="s">
        <v>357</v>
      </c>
      <c r="E324" s="106">
        <v>1.1499999999999999</v>
      </c>
      <c r="F324" s="107">
        <v>0.1</v>
      </c>
      <c r="G324" s="108">
        <v>0.1</v>
      </c>
      <c r="H324" s="121" t="s">
        <v>55</v>
      </c>
      <c r="I324" s="110">
        <v>1.2490000000000001</v>
      </c>
      <c r="J324" s="110">
        <v>1.2130000000000001</v>
      </c>
      <c r="K324" s="119">
        <v>1.218</v>
      </c>
      <c r="L324" s="111">
        <f t="shared" si="69"/>
        <v>9.9000000000000199E-2</v>
      </c>
      <c r="M324" s="112">
        <f t="shared" si="70"/>
        <v>6.3000000000000167E-2</v>
      </c>
      <c r="N324" s="112">
        <f t="shared" si="71"/>
        <v>6.800000000000006E-2</v>
      </c>
      <c r="O324" s="112">
        <f t="shared" si="72"/>
        <v>1.2266666666666668</v>
      </c>
      <c r="P324" s="113">
        <f t="shared" si="73"/>
        <v>0.99000000000000199</v>
      </c>
      <c r="Q324" s="114">
        <f t="shared" si="74"/>
        <v>0</v>
      </c>
      <c r="R324" s="115" t="str">
        <f t="shared" si="75"/>
        <v>Alert</v>
      </c>
      <c r="S324" s="115" t="str">
        <f t="shared" si="76"/>
        <v xml:space="preserve"> </v>
      </c>
      <c r="T324" s="116" t="str">
        <f t="shared" si="77"/>
        <v>Alert</v>
      </c>
      <c r="U324" s="120"/>
      <c r="V324" s="118"/>
      <c r="W324" s="131"/>
    </row>
    <row r="325" spans="1:23" ht="13.2">
      <c r="A325" s="102" t="s">
        <v>361</v>
      </c>
      <c r="B325" s="102"/>
      <c r="C325" s="104">
        <v>3</v>
      </c>
      <c r="D325" s="105" t="s">
        <v>357</v>
      </c>
      <c r="E325" s="106">
        <v>1.1499999999999999</v>
      </c>
      <c r="F325" s="107">
        <v>0.1</v>
      </c>
      <c r="G325" s="108">
        <v>0.1</v>
      </c>
      <c r="H325" s="121" t="s">
        <v>55</v>
      </c>
      <c r="I325" s="110">
        <v>1.246</v>
      </c>
      <c r="J325" s="110">
        <v>1.21</v>
      </c>
      <c r="K325" s="119">
        <v>1.216</v>
      </c>
      <c r="L325" s="111">
        <f t="shared" si="69"/>
        <v>9.6000000000000085E-2</v>
      </c>
      <c r="M325" s="112">
        <f t="shared" si="70"/>
        <v>6.0000000000000053E-2</v>
      </c>
      <c r="N325" s="112">
        <f t="shared" si="71"/>
        <v>6.6000000000000059E-2</v>
      </c>
      <c r="O325" s="112">
        <f t="shared" si="72"/>
        <v>1.224</v>
      </c>
      <c r="P325" s="113">
        <f t="shared" si="73"/>
        <v>0.96000000000000085</v>
      </c>
      <c r="Q325" s="114">
        <f t="shared" si="74"/>
        <v>0</v>
      </c>
      <c r="R325" s="115" t="str">
        <f t="shared" si="75"/>
        <v>Alert</v>
      </c>
      <c r="S325" s="115" t="str">
        <f t="shared" si="76"/>
        <v xml:space="preserve"> </v>
      </c>
      <c r="T325" s="116" t="str">
        <f t="shared" si="77"/>
        <v>Alert</v>
      </c>
      <c r="U325" s="120"/>
      <c r="V325" s="118"/>
      <c r="W325" s="131"/>
    </row>
    <row r="326" spans="1:23" ht="13.2">
      <c r="A326" s="102" t="s">
        <v>362</v>
      </c>
      <c r="B326" s="102"/>
      <c r="C326" s="104">
        <v>3</v>
      </c>
      <c r="D326" s="105" t="s">
        <v>357</v>
      </c>
      <c r="E326" s="106">
        <v>1.1499999999999999</v>
      </c>
      <c r="F326" s="107">
        <v>0.1</v>
      </c>
      <c r="G326" s="108">
        <v>0.1</v>
      </c>
      <c r="H326" s="121" t="s">
        <v>55</v>
      </c>
      <c r="I326" s="110">
        <v>1.248</v>
      </c>
      <c r="J326" s="110">
        <v>1.2110000000000001</v>
      </c>
      <c r="K326" s="119">
        <v>1.2250000000000001</v>
      </c>
      <c r="L326" s="111">
        <f t="shared" si="69"/>
        <v>9.8000000000000087E-2</v>
      </c>
      <c r="M326" s="112">
        <f t="shared" si="70"/>
        <v>6.1000000000000165E-2</v>
      </c>
      <c r="N326" s="112">
        <f t="shared" si="71"/>
        <v>7.5000000000000178E-2</v>
      </c>
      <c r="O326" s="112">
        <f t="shared" si="72"/>
        <v>1.228</v>
      </c>
      <c r="P326" s="113">
        <f t="shared" si="73"/>
        <v>0.98000000000000087</v>
      </c>
      <c r="Q326" s="114">
        <f t="shared" si="74"/>
        <v>0</v>
      </c>
      <c r="R326" s="115" t="str">
        <f t="shared" si="75"/>
        <v>Alert</v>
      </c>
      <c r="S326" s="115" t="str">
        <f t="shared" si="76"/>
        <v xml:space="preserve"> </v>
      </c>
      <c r="T326" s="116" t="str">
        <f t="shared" si="77"/>
        <v>Alert</v>
      </c>
      <c r="U326" s="120"/>
      <c r="V326" s="118"/>
      <c r="W326" s="131"/>
    </row>
    <row r="327" spans="1:23" ht="13.2">
      <c r="A327" s="102" t="s">
        <v>363</v>
      </c>
      <c r="B327" s="103"/>
      <c r="C327" s="104">
        <v>3</v>
      </c>
      <c r="D327" s="105" t="s">
        <v>357</v>
      </c>
      <c r="E327" s="106">
        <v>1.1499999999999999</v>
      </c>
      <c r="F327" s="107">
        <v>0.1</v>
      </c>
      <c r="G327" s="108">
        <v>0.1</v>
      </c>
      <c r="H327" s="121" t="s">
        <v>55</v>
      </c>
      <c r="I327" s="110">
        <v>1.242</v>
      </c>
      <c r="J327" s="110">
        <v>1.22</v>
      </c>
      <c r="K327" s="119">
        <v>1.228</v>
      </c>
      <c r="L327" s="111">
        <f t="shared" si="69"/>
        <v>9.2000000000000082E-2</v>
      </c>
      <c r="M327" s="112">
        <f t="shared" si="70"/>
        <v>7.0000000000000062E-2</v>
      </c>
      <c r="N327" s="112">
        <f t="shared" si="71"/>
        <v>7.8000000000000069E-2</v>
      </c>
      <c r="O327" s="112">
        <f t="shared" si="72"/>
        <v>1.2299999999999998</v>
      </c>
      <c r="P327" s="113">
        <f t="shared" si="73"/>
        <v>0.92000000000000082</v>
      </c>
      <c r="Q327" s="114">
        <f t="shared" si="74"/>
        <v>0</v>
      </c>
      <c r="R327" s="115" t="str">
        <f t="shared" si="75"/>
        <v>Alert</v>
      </c>
      <c r="S327" s="115" t="str">
        <f t="shared" si="76"/>
        <v xml:space="preserve"> </v>
      </c>
      <c r="T327" s="116" t="str">
        <f t="shared" si="77"/>
        <v>Alert</v>
      </c>
      <c r="U327" s="120"/>
      <c r="V327" s="118"/>
      <c r="W327" s="131"/>
    </row>
    <row r="328" spans="1:23" ht="13.2">
      <c r="A328" s="102" t="s">
        <v>364</v>
      </c>
      <c r="B328" s="103"/>
      <c r="C328" s="104">
        <v>3</v>
      </c>
      <c r="D328" s="105" t="s">
        <v>357</v>
      </c>
      <c r="E328" s="106">
        <v>1.1499999999999999</v>
      </c>
      <c r="F328" s="107">
        <v>0.1</v>
      </c>
      <c r="G328" s="108">
        <v>0.1</v>
      </c>
      <c r="H328" s="121" t="s">
        <v>55</v>
      </c>
      <c r="I328" s="110">
        <v>1.234</v>
      </c>
      <c r="J328" s="110">
        <v>1.214</v>
      </c>
      <c r="K328" s="119">
        <v>1.216</v>
      </c>
      <c r="L328" s="111">
        <f t="shared" si="69"/>
        <v>8.4000000000000075E-2</v>
      </c>
      <c r="M328" s="112">
        <f t="shared" si="70"/>
        <v>6.4000000000000057E-2</v>
      </c>
      <c r="N328" s="112">
        <f t="shared" si="71"/>
        <v>6.6000000000000059E-2</v>
      </c>
      <c r="O328" s="112">
        <f t="shared" si="72"/>
        <v>1.2213333333333332</v>
      </c>
      <c r="P328" s="113">
        <f t="shared" si="73"/>
        <v>0.84000000000000075</v>
      </c>
      <c r="Q328" s="114">
        <f t="shared" si="74"/>
        <v>0</v>
      </c>
      <c r="R328" s="115" t="str">
        <f t="shared" si="75"/>
        <v>Alert</v>
      </c>
      <c r="S328" s="115" t="str">
        <f t="shared" si="76"/>
        <v xml:space="preserve"> </v>
      </c>
      <c r="T328" s="116" t="str">
        <f t="shared" si="77"/>
        <v>Alert</v>
      </c>
      <c r="U328" s="120"/>
      <c r="V328" s="118"/>
      <c r="W328" s="131"/>
    </row>
    <row r="329" spans="1:23" ht="13.2">
      <c r="A329" s="102" t="s">
        <v>365</v>
      </c>
      <c r="B329" s="103"/>
      <c r="C329" s="104">
        <v>3</v>
      </c>
      <c r="D329" s="105" t="s">
        <v>357</v>
      </c>
      <c r="E329" s="106">
        <v>1.1499999999999999</v>
      </c>
      <c r="F329" s="107">
        <v>0.1</v>
      </c>
      <c r="G329" s="108">
        <v>0.1</v>
      </c>
      <c r="H329" s="121" t="s">
        <v>55</v>
      </c>
      <c r="I329" s="110">
        <v>1.2370000000000001</v>
      </c>
      <c r="J329" s="110">
        <v>1.2030000000000001</v>
      </c>
      <c r="K329" s="119">
        <v>1.2130000000000001</v>
      </c>
      <c r="L329" s="111">
        <f t="shared" si="69"/>
        <v>8.7000000000000188E-2</v>
      </c>
      <c r="M329" s="112">
        <f t="shared" si="70"/>
        <v>5.3000000000000158E-2</v>
      </c>
      <c r="N329" s="112">
        <f t="shared" si="71"/>
        <v>6.3000000000000167E-2</v>
      </c>
      <c r="O329" s="112">
        <f t="shared" si="72"/>
        <v>1.2176666666666669</v>
      </c>
      <c r="P329" s="113">
        <f t="shared" si="73"/>
        <v>0.87000000000000188</v>
      </c>
      <c r="Q329" s="114">
        <f t="shared" si="74"/>
        <v>0</v>
      </c>
      <c r="R329" s="115" t="str">
        <f t="shared" si="75"/>
        <v>Alert</v>
      </c>
      <c r="S329" s="115" t="str">
        <f t="shared" si="76"/>
        <v xml:space="preserve"> </v>
      </c>
      <c r="T329" s="116" t="str">
        <f t="shared" si="77"/>
        <v>Alert</v>
      </c>
      <c r="U329" s="120"/>
      <c r="V329" s="118"/>
      <c r="W329" s="131"/>
    </row>
    <row r="330" spans="1:23" ht="13.2">
      <c r="A330" s="102" t="s">
        <v>366</v>
      </c>
      <c r="B330" s="102"/>
      <c r="C330" s="104">
        <v>3</v>
      </c>
      <c r="D330" s="105" t="s">
        <v>357</v>
      </c>
      <c r="E330" s="106">
        <v>1.1499999999999999</v>
      </c>
      <c r="F330" s="107">
        <v>0.1</v>
      </c>
      <c r="G330" s="108">
        <v>0.1</v>
      </c>
      <c r="H330" s="121" t="s">
        <v>55</v>
      </c>
      <c r="I330" s="110">
        <v>1.2410000000000001</v>
      </c>
      <c r="J330" s="110">
        <v>1.2230000000000001</v>
      </c>
      <c r="K330" s="119">
        <v>1.228</v>
      </c>
      <c r="L330" s="111">
        <f t="shared" si="69"/>
        <v>9.1000000000000192E-2</v>
      </c>
      <c r="M330" s="112">
        <f t="shared" si="70"/>
        <v>7.3000000000000176E-2</v>
      </c>
      <c r="N330" s="112">
        <f t="shared" si="71"/>
        <v>7.8000000000000069E-2</v>
      </c>
      <c r="O330" s="112">
        <f t="shared" si="72"/>
        <v>1.2306666666666668</v>
      </c>
      <c r="P330" s="113">
        <f t="shared" si="73"/>
        <v>0.91000000000000192</v>
      </c>
      <c r="Q330" s="114">
        <f t="shared" si="74"/>
        <v>0</v>
      </c>
      <c r="R330" s="115" t="str">
        <f t="shared" si="75"/>
        <v>Alert</v>
      </c>
      <c r="S330" s="115" t="str">
        <f t="shared" si="76"/>
        <v xml:space="preserve"> </v>
      </c>
      <c r="T330" s="116" t="str">
        <f t="shared" si="77"/>
        <v>Alert</v>
      </c>
      <c r="U330" s="120"/>
      <c r="V330" s="118"/>
      <c r="W330" s="131"/>
    </row>
    <row r="331" spans="1:23" ht="13.2">
      <c r="A331" s="102" t="s">
        <v>367</v>
      </c>
      <c r="B331" s="102"/>
      <c r="C331" s="104">
        <v>3</v>
      </c>
      <c r="D331" s="105" t="s">
        <v>357</v>
      </c>
      <c r="E331" s="106">
        <v>1.1499999999999999</v>
      </c>
      <c r="F331" s="107">
        <v>0.1</v>
      </c>
      <c r="G331" s="108">
        <v>0.1</v>
      </c>
      <c r="H331" s="121" t="s">
        <v>55</v>
      </c>
      <c r="I331" s="110">
        <v>1.2210000000000001</v>
      </c>
      <c r="J331" s="110">
        <v>1.218</v>
      </c>
      <c r="K331" s="119">
        <v>1.204</v>
      </c>
      <c r="L331" s="111">
        <f t="shared" si="69"/>
        <v>7.1000000000000174E-2</v>
      </c>
      <c r="M331" s="112">
        <f t="shared" si="70"/>
        <v>6.800000000000006E-2</v>
      </c>
      <c r="N331" s="112">
        <f t="shared" si="71"/>
        <v>5.4000000000000048E-2</v>
      </c>
      <c r="O331" s="112">
        <f t="shared" si="72"/>
        <v>1.2143333333333333</v>
      </c>
      <c r="P331" s="113">
        <f t="shared" si="73"/>
        <v>0.71000000000000174</v>
      </c>
      <c r="Q331" s="114">
        <f t="shared" si="74"/>
        <v>0</v>
      </c>
      <c r="R331" s="115" t="str">
        <f t="shared" si="75"/>
        <v>Alert</v>
      </c>
      <c r="S331" s="115" t="str">
        <f t="shared" si="76"/>
        <v xml:space="preserve"> </v>
      </c>
      <c r="T331" s="116" t="str">
        <f t="shared" si="77"/>
        <v>Alert</v>
      </c>
      <c r="U331" s="120"/>
      <c r="V331" s="118"/>
      <c r="W331" s="131"/>
    </row>
    <row r="332" spans="1:23" ht="13.2">
      <c r="A332" s="102" t="s">
        <v>368</v>
      </c>
      <c r="B332" s="102"/>
      <c r="C332" s="104">
        <v>3</v>
      </c>
      <c r="D332" s="105" t="s">
        <v>357</v>
      </c>
      <c r="E332" s="106">
        <v>1.1499999999999999</v>
      </c>
      <c r="F332" s="107">
        <v>0.1</v>
      </c>
      <c r="G332" s="108">
        <v>0.1</v>
      </c>
      <c r="H332" s="121" t="s">
        <v>55</v>
      </c>
      <c r="I332" s="110">
        <v>1.216</v>
      </c>
      <c r="J332" s="110">
        <v>1.216</v>
      </c>
      <c r="K332" s="119">
        <v>1.228</v>
      </c>
      <c r="L332" s="111">
        <f t="shared" si="69"/>
        <v>6.6000000000000059E-2</v>
      </c>
      <c r="M332" s="112">
        <f t="shared" si="70"/>
        <v>6.6000000000000059E-2</v>
      </c>
      <c r="N332" s="112">
        <f t="shared" si="71"/>
        <v>7.8000000000000069E-2</v>
      </c>
      <c r="O332" s="112">
        <f t="shared" si="72"/>
        <v>1.22</v>
      </c>
      <c r="P332" s="113">
        <f t="shared" si="73"/>
        <v>0.78000000000000069</v>
      </c>
      <c r="Q332" s="114">
        <f t="shared" si="74"/>
        <v>0</v>
      </c>
      <c r="R332" s="115" t="str">
        <f t="shared" si="75"/>
        <v>Alert</v>
      </c>
      <c r="S332" s="115" t="str">
        <f t="shared" si="76"/>
        <v xml:space="preserve"> </v>
      </c>
      <c r="T332" s="116" t="str">
        <f t="shared" si="77"/>
        <v>Alert</v>
      </c>
      <c r="U332" s="120"/>
      <c r="V332" s="118"/>
      <c r="W332" s="131"/>
    </row>
    <row r="333" spans="1:23" ht="13.2">
      <c r="A333" s="102" t="s">
        <v>369</v>
      </c>
      <c r="B333" s="102"/>
      <c r="C333" s="104">
        <v>3</v>
      </c>
      <c r="D333" s="105" t="s">
        <v>357</v>
      </c>
      <c r="E333" s="106">
        <v>1.1499999999999999</v>
      </c>
      <c r="F333" s="107">
        <v>0.1</v>
      </c>
      <c r="G333" s="108">
        <v>0.1</v>
      </c>
      <c r="H333" s="121" t="s">
        <v>55</v>
      </c>
      <c r="I333" s="110">
        <v>1.224</v>
      </c>
      <c r="J333" s="110">
        <v>1.21</v>
      </c>
      <c r="K333" s="119">
        <v>1.22</v>
      </c>
      <c r="L333" s="111">
        <f t="shared" si="69"/>
        <v>7.4000000000000066E-2</v>
      </c>
      <c r="M333" s="112">
        <f t="shared" si="70"/>
        <v>6.0000000000000053E-2</v>
      </c>
      <c r="N333" s="112">
        <f t="shared" si="71"/>
        <v>7.0000000000000062E-2</v>
      </c>
      <c r="O333" s="112">
        <f t="shared" si="72"/>
        <v>1.218</v>
      </c>
      <c r="P333" s="113">
        <f t="shared" si="73"/>
        <v>0.74000000000000066</v>
      </c>
      <c r="Q333" s="114">
        <f t="shared" si="74"/>
        <v>0</v>
      </c>
      <c r="R333" s="115" t="str">
        <f t="shared" si="75"/>
        <v>Alert</v>
      </c>
      <c r="S333" s="115" t="str">
        <f t="shared" si="76"/>
        <v xml:space="preserve"> </v>
      </c>
      <c r="T333" s="116" t="str">
        <f t="shared" si="77"/>
        <v>Alert</v>
      </c>
      <c r="U333" s="120"/>
      <c r="V333" s="118"/>
      <c r="W333" s="131"/>
    </row>
    <row r="334" spans="1:23" ht="13.2">
      <c r="A334" s="102" t="s">
        <v>370</v>
      </c>
      <c r="B334" s="102"/>
      <c r="C334" s="104">
        <v>3</v>
      </c>
      <c r="D334" s="105" t="s">
        <v>357</v>
      </c>
      <c r="E334" s="106">
        <v>1.1499999999999999</v>
      </c>
      <c r="F334" s="107">
        <v>0.1</v>
      </c>
      <c r="G334" s="108">
        <v>0.1</v>
      </c>
      <c r="H334" s="121" t="s">
        <v>55</v>
      </c>
      <c r="I334" s="110">
        <v>1.23</v>
      </c>
      <c r="J334" s="110">
        <v>1.2230000000000001</v>
      </c>
      <c r="K334" s="119">
        <v>1.1950000000000001</v>
      </c>
      <c r="L334" s="111">
        <f t="shared" si="69"/>
        <v>8.0000000000000071E-2</v>
      </c>
      <c r="M334" s="112">
        <f t="shared" si="70"/>
        <v>7.3000000000000176E-2</v>
      </c>
      <c r="N334" s="112">
        <f t="shared" si="71"/>
        <v>4.5000000000000151E-2</v>
      </c>
      <c r="O334" s="112">
        <f t="shared" si="72"/>
        <v>1.2160000000000002</v>
      </c>
      <c r="P334" s="113">
        <f t="shared" si="73"/>
        <v>0.80000000000000071</v>
      </c>
      <c r="Q334" s="114">
        <f t="shared" si="74"/>
        <v>0</v>
      </c>
      <c r="R334" s="115" t="str">
        <f t="shared" si="75"/>
        <v>Alert</v>
      </c>
      <c r="S334" s="115" t="str">
        <f t="shared" si="76"/>
        <v xml:space="preserve"> </v>
      </c>
      <c r="T334" s="116" t="str">
        <f t="shared" si="77"/>
        <v>Alert</v>
      </c>
      <c r="U334" s="120"/>
      <c r="V334" s="118"/>
      <c r="W334" s="131"/>
    </row>
    <row r="335" spans="1:23" ht="13.2">
      <c r="A335" s="102" t="s">
        <v>371</v>
      </c>
      <c r="B335" s="102"/>
      <c r="C335" s="104">
        <v>3</v>
      </c>
      <c r="D335" s="105" t="s">
        <v>357</v>
      </c>
      <c r="E335" s="106">
        <v>1.1499999999999999</v>
      </c>
      <c r="F335" s="107">
        <v>0.1</v>
      </c>
      <c r="G335" s="108">
        <v>0.1</v>
      </c>
      <c r="H335" s="121" t="s">
        <v>55</v>
      </c>
      <c r="I335" s="110">
        <v>1.2210000000000001</v>
      </c>
      <c r="J335" s="110">
        <v>1.2110000000000001</v>
      </c>
      <c r="K335" s="119">
        <v>1.2150000000000001</v>
      </c>
      <c r="L335" s="111">
        <f t="shared" si="69"/>
        <v>7.1000000000000174E-2</v>
      </c>
      <c r="M335" s="112">
        <f t="shared" si="70"/>
        <v>6.1000000000000165E-2</v>
      </c>
      <c r="N335" s="112">
        <f t="shared" si="71"/>
        <v>6.5000000000000169E-2</v>
      </c>
      <c r="O335" s="112">
        <f t="shared" si="72"/>
        <v>1.2156666666666667</v>
      </c>
      <c r="P335" s="113">
        <f t="shared" si="73"/>
        <v>0.71000000000000174</v>
      </c>
      <c r="Q335" s="114">
        <f t="shared" si="74"/>
        <v>0</v>
      </c>
      <c r="R335" s="115" t="str">
        <f t="shared" si="75"/>
        <v>Alert</v>
      </c>
      <c r="S335" s="115" t="str">
        <f t="shared" si="76"/>
        <v xml:space="preserve"> </v>
      </c>
      <c r="T335" s="116" t="str">
        <f t="shared" si="77"/>
        <v>Alert</v>
      </c>
      <c r="U335" s="120"/>
      <c r="V335" s="118"/>
      <c r="W335" s="131"/>
    </row>
    <row r="336" spans="1:23" ht="13.2">
      <c r="A336" s="102" t="s">
        <v>372</v>
      </c>
      <c r="B336" s="102"/>
      <c r="C336" s="104">
        <v>3</v>
      </c>
      <c r="D336" s="105" t="s">
        <v>357</v>
      </c>
      <c r="E336" s="106">
        <v>1.1499999999999999</v>
      </c>
      <c r="F336" s="107">
        <v>0.1</v>
      </c>
      <c r="G336" s="108">
        <v>0.1</v>
      </c>
      <c r="H336" s="121" t="s">
        <v>55</v>
      </c>
      <c r="I336" s="110">
        <v>1.2410000000000001</v>
      </c>
      <c r="J336" s="110">
        <v>1.2190000000000001</v>
      </c>
      <c r="K336" s="119">
        <v>1.2010000000000001</v>
      </c>
      <c r="L336" s="111">
        <f t="shared" si="69"/>
        <v>9.1000000000000192E-2</v>
      </c>
      <c r="M336" s="112">
        <f t="shared" si="70"/>
        <v>6.9000000000000172E-2</v>
      </c>
      <c r="N336" s="112">
        <f t="shared" si="71"/>
        <v>5.1000000000000156E-2</v>
      </c>
      <c r="O336" s="112">
        <f t="shared" si="72"/>
        <v>1.2203333333333333</v>
      </c>
      <c r="P336" s="113">
        <f t="shared" si="73"/>
        <v>0.91000000000000192</v>
      </c>
      <c r="Q336" s="114">
        <f t="shared" si="74"/>
        <v>0</v>
      </c>
      <c r="R336" s="115" t="str">
        <f t="shared" si="75"/>
        <v>Alert</v>
      </c>
      <c r="S336" s="115" t="str">
        <f t="shared" si="76"/>
        <v xml:space="preserve"> </v>
      </c>
      <c r="T336" s="116" t="str">
        <f t="shared" si="77"/>
        <v>Alert</v>
      </c>
      <c r="U336" s="120"/>
      <c r="V336" s="118"/>
      <c r="W336" s="131"/>
    </row>
    <row r="337" spans="1:23" ht="13.2">
      <c r="A337" s="102" t="s">
        <v>373</v>
      </c>
      <c r="B337" s="102"/>
      <c r="C337" s="104">
        <v>3</v>
      </c>
      <c r="D337" s="105" t="s">
        <v>357</v>
      </c>
      <c r="E337" s="106">
        <v>1.1499999999999999</v>
      </c>
      <c r="F337" s="107">
        <v>0.1</v>
      </c>
      <c r="G337" s="108">
        <v>0.1</v>
      </c>
      <c r="H337" s="121" t="s">
        <v>55</v>
      </c>
      <c r="I337" s="110">
        <v>1.2450000000000001</v>
      </c>
      <c r="J337" s="110">
        <v>1.218</v>
      </c>
      <c r="K337" s="119">
        <v>1.2390000000000001</v>
      </c>
      <c r="L337" s="111">
        <f t="shared" si="69"/>
        <v>9.5000000000000195E-2</v>
      </c>
      <c r="M337" s="112">
        <f t="shared" si="70"/>
        <v>6.800000000000006E-2</v>
      </c>
      <c r="N337" s="112">
        <f t="shared" si="71"/>
        <v>8.900000000000019E-2</v>
      </c>
      <c r="O337" s="112">
        <f t="shared" si="72"/>
        <v>1.234</v>
      </c>
      <c r="P337" s="113">
        <f t="shared" si="73"/>
        <v>0.95000000000000195</v>
      </c>
      <c r="Q337" s="114">
        <f t="shared" si="74"/>
        <v>0</v>
      </c>
      <c r="R337" s="115" t="str">
        <f t="shared" si="75"/>
        <v>Alert</v>
      </c>
      <c r="S337" s="115" t="str">
        <f t="shared" si="76"/>
        <v xml:space="preserve"> </v>
      </c>
      <c r="T337" s="116" t="str">
        <f t="shared" si="77"/>
        <v>Alert</v>
      </c>
      <c r="U337" s="120"/>
      <c r="V337" s="118"/>
      <c r="W337" s="131"/>
    </row>
    <row r="338" spans="1:23" ht="13.2">
      <c r="A338" s="102" t="s">
        <v>374</v>
      </c>
      <c r="B338" s="102"/>
      <c r="C338" s="104">
        <v>3</v>
      </c>
      <c r="D338" s="105" t="s">
        <v>357</v>
      </c>
      <c r="E338" s="106">
        <v>1.1499999999999999</v>
      </c>
      <c r="F338" s="107">
        <v>0.1</v>
      </c>
      <c r="G338" s="108">
        <v>0.1</v>
      </c>
      <c r="H338" s="121" t="s">
        <v>55</v>
      </c>
      <c r="I338" s="110">
        <v>1.2370000000000001</v>
      </c>
      <c r="J338" s="110">
        <v>1.2130000000000001</v>
      </c>
      <c r="K338" s="119">
        <v>1.2210000000000001</v>
      </c>
      <c r="L338" s="111">
        <f t="shared" si="69"/>
        <v>8.7000000000000188E-2</v>
      </c>
      <c r="M338" s="112">
        <f t="shared" si="70"/>
        <v>6.3000000000000167E-2</v>
      </c>
      <c r="N338" s="112">
        <f t="shared" si="71"/>
        <v>7.1000000000000174E-2</v>
      </c>
      <c r="O338" s="112">
        <f t="shared" si="72"/>
        <v>1.2236666666666667</v>
      </c>
      <c r="P338" s="113">
        <f t="shared" si="73"/>
        <v>0.87000000000000188</v>
      </c>
      <c r="Q338" s="114">
        <f t="shared" si="74"/>
        <v>0</v>
      </c>
      <c r="R338" s="115" t="str">
        <f t="shared" si="75"/>
        <v>Alert</v>
      </c>
      <c r="S338" s="115" t="str">
        <f t="shared" si="76"/>
        <v xml:space="preserve"> </v>
      </c>
      <c r="T338" s="116" t="str">
        <f t="shared" si="77"/>
        <v>Alert</v>
      </c>
      <c r="U338" s="120"/>
      <c r="V338" s="118"/>
      <c r="W338" s="131"/>
    </row>
    <row r="339" spans="1:23" ht="13.2">
      <c r="A339" s="102" t="s">
        <v>375</v>
      </c>
      <c r="B339" s="102"/>
      <c r="C339" s="104">
        <v>3</v>
      </c>
      <c r="D339" s="105" t="s">
        <v>357</v>
      </c>
      <c r="E339" s="106">
        <v>1.1499999999999999</v>
      </c>
      <c r="F339" s="107">
        <v>0.1</v>
      </c>
      <c r="G339" s="108">
        <v>0.1</v>
      </c>
      <c r="H339" s="121" t="s">
        <v>55</v>
      </c>
      <c r="I339" s="110">
        <v>1.218</v>
      </c>
      <c r="J339" s="110">
        <v>1.2190000000000001</v>
      </c>
      <c r="K339" s="119">
        <v>1.226</v>
      </c>
      <c r="L339" s="111">
        <f t="shared" ref="L339:L402" si="78">IF(ISBLANK($E339),"",IF(ISERR(I339/I339)=TRUE,"BAD INSP",I339-$E339))</f>
        <v>6.800000000000006E-2</v>
      </c>
      <c r="M339" s="112">
        <f t="shared" ref="M339:M402" si="79">IF(ISBLANK($E339),"",IF(ISERR(J339/J339)=TRUE,"BAD INSP",J339-$E339))</f>
        <v>6.9000000000000172E-2</v>
      </c>
      <c r="N339" s="112">
        <f t="shared" ref="N339:N402" si="80">IF(ISBLANK($E339),"",IF(ISERR(K339/K339)=TRUE,"BAD INSP",K339-$E339))</f>
        <v>7.6000000000000068E-2</v>
      </c>
      <c r="O339" s="112">
        <f t="shared" si="72"/>
        <v>1.2210000000000001</v>
      </c>
      <c r="P339" s="113">
        <f t="shared" si="73"/>
        <v>0.76000000000000068</v>
      </c>
      <c r="Q339" s="114">
        <f t="shared" si="74"/>
        <v>0</v>
      </c>
      <c r="R339" s="115" t="str">
        <f t="shared" si="75"/>
        <v>Alert</v>
      </c>
      <c r="S339" s="115" t="str">
        <f t="shared" si="76"/>
        <v xml:space="preserve"> </v>
      </c>
      <c r="T339" s="116" t="str">
        <f t="shared" si="77"/>
        <v>Alert</v>
      </c>
      <c r="U339" s="120"/>
      <c r="V339" s="118"/>
      <c r="W339" s="131"/>
    </row>
    <row r="340" spans="1:23" ht="13.2">
      <c r="A340" s="102" t="s">
        <v>376</v>
      </c>
      <c r="B340" s="102"/>
      <c r="C340" s="104">
        <v>3</v>
      </c>
      <c r="D340" s="105" t="s">
        <v>357</v>
      </c>
      <c r="E340" s="106">
        <v>1.1499999999999999</v>
      </c>
      <c r="F340" s="107">
        <v>0.1</v>
      </c>
      <c r="G340" s="108">
        <v>0.1</v>
      </c>
      <c r="H340" s="121" t="s">
        <v>55</v>
      </c>
      <c r="I340" s="110">
        <v>1.232</v>
      </c>
      <c r="J340" s="110">
        <v>1.2130000000000001</v>
      </c>
      <c r="K340" s="119">
        <v>1.226</v>
      </c>
      <c r="L340" s="111">
        <f t="shared" si="78"/>
        <v>8.2000000000000073E-2</v>
      </c>
      <c r="M340" s="112">
        <f t="shared" si="79"/>
        <v>6.3000000000000167E-2</v>
      </c>
      <c r="N340" s="112">
        <f t="shared" si="80"/>
        <v>7.6000000000000068E-2</v>
      </c>
      <c r="O340" s="112">
        <f t="shared" si="72"/>
        <v>1.2236666666666667</v>
      </c>
      <c r="P340" s="113">
        <f t="shared" si="73"/>
        <v>0.82000000000000073</v>
      </c>
      <c r="Q340" s="114">
        <f t="shared" si="74"/>
        <v>0</v>
      </c>
      <c r="R340" s="115" t="str">
        <f t="shared" si="75"/>
        <v>Alert</v>
      </c>
      <c r="S340" s="115" t="str">
        <f t="shared" si="76"/>
        <v xml:space="preserve"> </v>
      </c>
      <c r="T340" s="116" t="str">
        <f t="shared" si="77"/>
        <v>Alert</v>
      </c>
      <c r="U340" s="120"/>
      <c r="V340" s="118"/>
      <c r="W340" s="131"/>
    </row>
    <row r="341" spans="1:23" ht="13.2">
      <c r="A341" s="102" t="s">
        <v>377</v>
      </c>
      <c r="B341" s="102"/>
      <c r="C341" s="104">
        <v>3</v>
      </c>
      <c r="D341" s="105" t="s">
        <v>357</v>
      </c>
      <c r="E341" s="106">
        <v>1.1499999999999999</v>
      </c>
      <c r="F341" s="107">
        <v>0.1</v>
      </c>
      <c r="G341" s="108">
        <v>0.1</v>
      </c>
      <c r="H341" s="121" t="s">
        <v>55</v>
      </c>
      <c r="I341" s="110">
        <v>1.2250000000000001</v>
      </c>
      <c r="J341" s="110">
        <v>1.212</v>
      </c>
      <c r="K341" s="119">
        <v>1.212</v>
      </c>
      <c r="L341" s="111">
        <f t="shared" si="78"/>
        <v>7.5000000000000178E-2</v>
      </c>
      <c r="M341" s="112">
        <f t="shared" si="79"/>
        <v>6.2000000000000055E-2</v>
      </c>
      <c r="N341" s="112">
        <f t="shared" si="80"/>
        <v>6.2000000000000055E-2</v>
      </c>
      <c r="O341" s="112">
        <f t="shared" si="72"/>
        <v>1.2163333333333333</v>
      </c>
      <c r="P341" s="113">
        <f t="shared" si="73"/>
        <v>0.75000000000000178</v>
      </c>
      <c r="Q341" s="114">
        <f t="shared" si="74"/>
        <v>0</v>
      </c>
      <c r="R341" s="115" t="str">
        <f t="shared" si="75"/>
        <v>Alert</v>
      </c>
      <c r="S341" s="115" t="str">
        <f t="shared" si="76"/>
        <v xml:space="preserve"> </v>
      </c>
      <c r="T341" s="116" t="str">
        <f t="shared" si="77"/>
        <v>Alert</v>
      </c>
      <c r="U341" s="120"/>
      <c r="V341" s="118"/>
      <c r="W341" s="131"/>
    </row>
    <row r="342" spans="1:23" ht="13.2">
      <c r="A342" s="102" t="s">
        <v>378</v>
      </c>
      <c r="B342" s="103"/>
      <c r="C342" s="104">
        <v>3</v>
      </c>
      <c r="D342" s="105" t="s">
        <v>357</v>
      </c>
      <c r="E342" s="106">
        <v>1.1499999999999999</v>
      </c>
      <c r="F342" s="107">
        <v>0.1</v>
      </c>
      <c r="G342" s="108">
        <v>0.1</v>
      </c>
      <c r="H342" s="121" t="s">
        <v>55</v>
      </c>
      <c r="I342" s="110">
        <v>1.232</v>
      </c>
      <c r="J342" s="110">
        <v>1.2190000000000001</v>
      </c>
      <c r="K342" s="119">
        <v>1.2150000000000001</v>
      </c>
      <c r="L342" s="111">
        <f t="shared" si="78"/>
        <v>8.2000000000000073E-2</v>
      </c>
      <c r="M342" s="112">
        <f t="shared" si="79"/>
        <v>6.9000000000000172E-2</v>
      </c>
      <c r="N342" s="112">
        <f t="shared" si="80"/>
        <v>6.5000000000000169E-2</v>
      </c>
      <c r="O342" s="112">
        <f t="shared" si="72"/>
        <v>1.2220000000000002</v>
      </c>
      <c r="P342" s="113">
        <f t="shared" si="73"/>
        <v>0.82000000000000073</v>
      </c>
      <c r="Q342" s="114">
        <f t="shared" si="74"/>
        <v>0</v>
      </c>
      <c r="R342" s="115" t="str">
        <f t="shared" si="75"/>
        <v>Alert</v>
      </c>
      <c r="S342" s="115" t="str">
        <f t="shared" si="76"/>
        <v xml:space="preserve"> </v>
      </c>
      <c r="T342" s="116" t="str">
        <f t="shared" si="77"/>
        <v>Alert</v>
      </c>
      <c r="U342" s="120"/>
      <c r="V342" s="118"/>
      <c r="W342" s="131"/>
    </row>
    <row r="343" spans="1:23" ht="13.2">
      <c r="A343" s="102" t="s">
        <v>379</v>
      </c>
      <c r="B343" s="103"/>
      <c r="C343" s="104">
        <v>3</v>
      </c>
      <c r="D343" s="105" t="s">
        <v>357</v>
      </c>
      <c r="E343" s="106">
        <v>1.1499999999999999</v>
      </c>
      <c r="F343" s="107">
        <v>0.1</v>
      </c>
      <c r="G343" s="108">
        <v>0.1</v>
      </c>
      <c r="H343" s="121" t="s">
        <v>55</v>
      </c>
      <c r="I343" s="110">
        <v>1.2230000000000001</v>
      </c>
      <c r="J343" s="110">
        <v>1.2150000000000001</v>
      </c>
      <c r="K343" s="119">
        <v>1.2230000000000001</v>
      </c>
      <c r="L343" s="111">
        <f t="shared" si="78"/>
        <v>7.3000000000000176E-2</v>
      </c>
      <c r="M343" s="112">
        <f t="shared" si="79"/>
        <v>6.5000000000000169E-2</v>
      </c>
      <c r="N343" s="112">
        <f t="shared" si="80"/>
        <v>7.3000000000000176E-2</v>
      </c>
      <c r="O343" s="112">
        <f t="shared" si="72"/>
        <v>1.2203333333333335</v>
      </c>
      <c r="P343" s="113">
        <f t="shared" si="73"/>
        <v>0.73000000000000176</v>
      </c>
      <c r="Q343" s="114">
        <f t="shared" si="74"/>
        <v>0</v>
      </c>
      <c r="R343" s="115" t="str">
        <f t="shared" si="75"/>
        <v>Alert</v>
      </c>
      <c r="S343" s="115" t="str">
        <f t="shared" si="76"/>
        <v xml:space="preserve"> </v>
      </c>
      <c r="T343" s="116" t="str">
        <f t="shared" si="77"/>
        <v>Alert</v>
      </c>
      <c r="U343" s="120"/>
      <c r="V343" s="118"/>
      <c r="W343" s="131"/>
    </row>
    <row r="344" spans="1:23" ht="13.2">
      <c r="A344" s="102" t="s">
        <v>380</v>
      </c>
      <c r="B344" s="103"/>
      <c r="C344" s="104">
        <v>3</v>
      </c>
      <c r="D344" s="105" t="s">
        <v>357</v>
      </c>
      <c r="E344" s="106">
        <v>1.1499999999999999</v>
      </c>
      <c r="F344" s="107">
        <v>0.1</v>
      </c>
      <c r="G344" s="108">
        <v>0.1</v>
      </c>
      <c r="H344" s="121" t="s">
        <v>55</v>
      </c>
      <c r="I344" s="110">
        <v>1.2250000000000001</v>
      </c>
      <c r="J344" s="110">
        <v>1.23</v>
      </c>
      <c r="K344" s="119">
        <v>1.2190000000000001</v>
      </c>
      <c r="L344" s="111">
        <f t="shared" si="78"/>
        <v>7.5000000000000178E-2</v>
      </c>
      <c r="M344" s="112">
        <f t="shared" si="79"/>
        <v>8.0000000000000071E-2</v>
      </c>
      <c r="N344" s="112">
        <f t="shared" si="80"/>
        <v>6.9000000000000172E-2</v>
      </c>
      <c r="O344" s="112">
        <f t="shared" si="72"/>
        <v>1.2246666666666668</v>
      </c>
      <c r="P344" s="113">
        <f t="shared" si="73"/>
        <v>0.80000000000000071</v>
      </c>
      <c r="Q344" s="114">
        <f t="shared" si="74"/>
        <v>0</v>
      </c>
      <c r="R344" s="115" t="str">
        <f t="shared" si="75"/>
        <v>Alert</v>
      </c>
      <c r="S344" s="115" t="str">
        <f t="shared" si="76"/>
        <v xml:space="preserve"> </v>
      </c>
      <c r="T344" s="116" t="str">
        <f t="shared" si="77"/>
        <v>Alert</v>
      </c>
      <c r="U344" s="120"/>
      <c r="V344" s="118"/>
      <c r="W344" s="131"/>
    </row>
    <row r="345" spans="1:23" ht="13.2">
      <c r="A345" s="102" t="s">
        <v>381</v>
      </c>
      <c r="B345" s="102"/>
      <c r="C345" s="104">
        <v>3</v>
      </c>
      <c r="D345" s="105" t="s">
        <v>357</v>
      </c>
      <c r="E345" s="106">
        <v>1.1499999999999999</v>
      </c>
      <c r="F345" s="107">
        <v>0.1</v>
      </c>
      <c r="G345" s="108">
        <v>0.1</v>
      </c>
      <c r="H345" s="121" t="s">
        <v>55</v>
      </c>
      <c r="I345" s="110">
        <v>1.2350000000000001</v>
      </c>
      <c r="J345" s="110">
        <v>1.218</v>
      </c>
      <c r="K345" s="119">
        <v>1.2230000000000001</v>
      </c>
      <c r="L345" s="111">
        <f t="shared" si="78"/>
        <v>8.5000000000000187E-2</v>
      </c>
      <c r="M345" s="112">
        <f t="shared" si="79"/>
        <v>6.800000000000006E-2</v>
      </c>
      <c r="N345" s="112">
        <f t="shared" si="80"/>
        <v>7.3000000000000176E-2</v>
      </c>
      <c r="O345" s="112">
        <f t="shared" si="72"/>
        <v>1.2253333333333334</v>
      </c>
      <c r="P345" s="113">
        <f t="shared" si="73"/>
        <v>0.85000000000000187</v>
      </c>
      <c r="Q345" s="114">
        <f t="shared" si="74"/>
        <v>0</v>
      </c>
      <c r="R345" s="115" t="str">
        <f t="shared" si="75"/>
        <v>Alert</v>
      </c>
      <c r="S345" s="115" t="str">
        <f t="shared" si="76"/>
        <v xml:space="preserve"> </v>
      </c>
      <c r="T345" s="116" t="str">
        <f t="shared" si="77"/>
        <v>Alert</v>
      </c>
      <c r="U345" s="120"/>
      <c r="V345" s="118"/>
      <c r="W345" s="131"/>
    </row>
    <row r="346" spans="1:23" ht="13.2">
      <c r="A346" s="102" t="s">
        <v>382</v>
      </c>
      <c r="B346" s="102"/>
      <c r="C346" s="104">
        <v>3</v>
      </c>
      <c r="D346" s="105" t="s">
        <v>357</v>
      </c>
      <c r="E346" s="106">
        <v>1.1499999999999999</v>
      </c>
      <c r="F346" s="107">
        <v>0.1</v>
      </c>
      <c r="G346" s="108">
        <v>0.1</v>
      </c>
      <c r="H346" s="121" t="s">
        <v>55</v>
      </c>
      <c r="I346" s="110">
        <v>1.234</v>
      </c>
      <c r="J346" s="110">
        <v>1.2210000000000001</v>
      </c>
      <c r="K346" s="119">
        <v>1.214</v>
      </c>
      <c r="L346" s="111">
        <f t="shared" si="78"/>
        <v>8.4000000000000075E-2</v>
      </c>
      <c r="M346" s="112">
        <f t="shared" si="79"/>
        <v>7.1000000000000174E-2</v>
      </c>
      <c r="N346" s="112">
        <f t="shared" si="80"/>
        <v>6.4000000000000057E-2</v>
      </c>
      <c r="O346" s="112">
        <f t="shared" si="72"/>
        <v>1.2230000000000001</v>
      </c>
      <c r="P346" s="113">
        <f t="shared" si="73"/>
        <v>0.84000000000000075</v>
      </c>
      <c r="Q346" s="114">
        <f t="shared" si="74"/>
        <v>0</v>
      </c>
      <c r="R346" s="115" t="str">
        <f t="shared" si="75"/>
        <v>Alert</v>
      </c>
      <c r="S346" s="115" t="str">
        <f t="shared" si="76"/>
        <v xml:space="preserve"> </v>
      </c>
      <c r="T346" s="116" t="str">
        <f t="shared" si="77"/>
        <v>Alert</v>
      </c>
      <c r="U346" s="120"/>
      <c r="V346" s="118"/>
      <c r="W346" s="131"/>
    </row>
    <row r="347" spans="1:23" ht="13.2">
      <c r="A347" s="102" t="s">
        <v>383</v>
      </c>
      <c r="B347" s="102"/>
      <c r="C347" s="104">
        <v>3</v>
      </c>
      <c r="D347" s="105" t="s">
        <v>357</v>
      </c>
      <c r="E347" s="106">
        <v>1.1499999999999999</v>
      </c>
      <c r="F347" s="107">
        <v>0.1</v>
      </c>
      <c r="G347" s="108">
        <v>0.1</v>
      </c>
      <c r="H347" s="121" t="s">
        <v>55</v>
      </c>
      <c r="I347" s="110">
        <v>1.2350000000000001</v>
      </c>
      <c r="J347" s="110">
        <v>1.23</v>
      </c>
      <c r="K347" s="119">
        <v>1.2430000000000001</v>
      </c>
      <c r="L347" s="111">
        <f t="shared" si="78"/>
        <v>8.5000000000000187E-2</v>
      </c>
      <c r="M347" s="112">
        <f t="shared" si="79"/>
        <v>8.0000000000000071E-2</v>
      </c>
      <c r="N347" s="112">
        <f t="shared" si="80"/>
        <v>9.3000000000000194E-2</v>
      </c>
      <c r="O347" s="112">
        <f t="shared" si="72"/>
        <v>1.236</v>
      </c>
      <c r="P347" s="113">
        <f t="shared" si="73"/>
        <v>0.93000000000000194</v>
      </c>
      <c r="Q347" s="114">
        <f t="shared" si="74"/>
        <v>0</v>
      </c>
      <c r="R347" s="115" t="str">
        <f t="shared" si="75"/>
        <v>Alert</v>
      </c>
      <c r="S347" s="115" t="str">
        <f t="shared" si="76"/>
        <v xml:space="preserve"> </v>
      </c>
      <c r="T347" s="116" t="str">
        <f t="shared" si="77"/>
        <v>Alert</v>
      </c>
      <c r="U347" s="120"/>
      <c r="V347" s="118"/>
      <c r="W347" s="131"/>
    </row>
    <row r="348" spans="1:23" ht="13.2">
      <c r="A348" s="102" t="s">
        <v>384</v>
      </c>
      <c r="B348" s="102"/>
      <c r="C348" s="104">
        <v>3</v>
      </c>
      <c r="D348" s="105" t="s">
        <v>357</v>
      </c>
      <c r="E348" s="106">
        <v>1.1499999999999999</v>
      </c>
      <c r="F348" s="107">
        <v>0.1</v>
      </c>
      <c r="G348" s="108">
        <v>0.1</v>
      </c>
      <c r="H348" s="121" t="s">
        <v>55</v>
      </c>
      <c r="I348" s="110">
        <v>1.214</v>
      </c>
      <c r="J348" s="110">
        <v>1.2130000000000001</v>
      </c>
      <c r="K348" s="119">
        <v>1.208</v>
      </c>
      <c r="L348" s="111">
        <f t="shared" si="78"/>
        <v>6.4000000000000057E-2</v>
      </c>
      <c r="M348" s="112">
        <f t="shared" si="79"/>
        <v>6.3000000000000167E-2</v>
      </c>
      <c r="N348" s="112">
        <f t="shared" si="80"/>
        <v>5.8000000000000052E-2</v>
      </c>
      <c r="O348" s="112">
        <f t="shared" si="72"/>
        <v>1.2116666666666667</v>
      </c>
      <c r="P348" s="113">
        <f t="shared" si="73"/>
        <v>0.64000000000000057</v>
      </c>
      <c r="Q348" s="114">
        <f t="shared" si="74"/>
        <v>0</v>
      </c>
      <c r="R348" s="115" t="str">
        <f t="shared" si="75"/>
        <v xml:space="preserve"> </v>
      </c>
      <c r="S348" s="115" t="str">
        <f t="shared" si="76"/>
        <v xml:space="preserve"> </v>
      </c>
      <c r="T348" s="116" t="str">
        <f t="shared" si="77"/>
        <v/>
      </c>
      <c r="U348" s="120"/>
      <c r="V348" s="118"/>
      <c r="W348" s="131"/>
    </row>
    <row r="349" spans="1:23" ht="13.2">
      <c r="A349" s="102" t="s">
        <v>385</v>
      </c>
      <c r="B349" s="102"/>
      <c r="C349" s="104">
        <v>3</v>
      </c>
      <c r="D349" s="105" t="s">
        <v>357</v>
      </c>
      <c r="E349" s="106">
        <v>1.1499999999999999</v>
      </c>
      <c r="F349" s="107">
        <v>0.1</v>
      </c>
      <c r="G349" s="108">
        <v>0.1</v>
      </c>
      <c r="H349" s="121" t="s">
        <v>55</v>
      </c>
      <c r="I349" s="110">
        <v>1.242</v>
      </c>
      <c r="J349" s="110">
        <v>1.22</v>
      </c>
      <c r="K349" s="119">
        <v>1.2210000000000001</v>
      </c>
      <c r="L349" s="111">
        <f t="shared" si="78"/>
        <v>9.2000000000000082E-2</v>
      </c>
      <c r="M349" s="112">
        <f t="shared" si="79"/>
        <v>7.0000000000000062E-2</v>
      </c>
      <c r="N349" s="112">
        <f t="shared" si="80"/>
        <v>7.1000000000000174E-2</v>
      </c>
      <c r="O349" s="112">
        <f t="shared" si="72"/>
        <v>1.2276666666666667</v>
      </c>
      <c r="P349" s="113">
        <f t="shared" si="73"/>
        <v>0.92000000000000082</v>
      </c>
      <c r="Q349" s="114">
        <f t="shared" si="74"/>
        <v>0</v>
      </c>
      <c r="R349" s="115" t="str">
        <f t="shared" si="75"/>
        <v>Alert</v>
      </c>
      <c r="S349" s="115" t="str">
        <f t="shared" si="76"/>
        <v xml:space="preserve"> </v>
      </c>
      <c r="T349" s="116" t="str">
        <f t="shared" si="77"/>
        <v>Alert</v>
      </c>
      <c r="U349" s="120"/>
      <c r="V349" s="118"/>
      <c r="W349" s="131"/>
    </row>
    <row r="350" spans="1:23" ht="13.2">
      <c r="A350" s="102" t="s">
        <v>386</v>
      </c>
      <c r="B350" s="102"/>
      <c r="C350" s="104">
        <v>3</v>
      </c>
      <c r="D350" s="105" t="s">
        <v>357</v>
      </c>
      <c r="E350" s="106">
        <v>1.1499999999999999</v>
      </c>
      <c r="F350" s="107">
        <v>0.1</v>
      </c>
      <c r="G350" s="108">
        <v>0.1</v>
      </c>
      <c r="H350" s="121" t="s">
        <v>55</v>
      </c>
      <c r="I350" s="110">
        <v>1.2290000000000001</v>
      </c>
      <c r="J350" s="110">
        <v>1.214</v>
      </c>
      <c r="K350" s="119">
        <v>1.224</v>
      </c>
      <c r="L350" s="111">
        <f t="shared" si="78"/>
        <v>7.9000000000000181E-2</v>
      </c>
      <c r="M350" s="112">
        <f t="shared" si="79"/>
        <v>6.4000000000000057E-2</v>
      </c>
      <c r="N350" s="112">
        <f t="shared" si="80"/>
        <v>7.4000000000000066E-2</v>
      </c>
      <c r="O350" s="112">
        <f t="shared" si="72"/>
        <v>1.2223333333333333</v>
      </c>
      <c r="P350" s="113">
        <f t="shared" si="73"/>
        <v>0.79000000000000181</v>
      </c>
      <c r="Q350" s="114">
        <f t="shared" si="74"/>
        <v>0</v>
      </c>
      <c r="R350" s="115" t="str">
        <f t="shared" si="75"/>
        <v>Alert</v>
      </c>
      <c r="S350" s="115" t="str">
        <f t="shared" si="76"/>
        <v xml:space="preserve"> </v>
      </c>
      <c r="T350" s="116" t="str">
        <f t="shared" si="77"/>
        <v>Alert</v>
      </c>
      <c r="U350" s="120"/>
      <c r="V350" s="118"/>
      <c r="W350" s="131"/>
    </row>
    <row r="351" spans="1:23" ht="13.2">
      <c r="A351" s="102" t="s">
        <v>387</v>
      </c>
      <c r="B351" s="102"/>
      <c r="C351" s="104">
        <v>3</v>
      </c>
      <c r="D351" s="105" t="s">
        <v>357</v>
      </c>
      <c r="E351" s="106">
        <v>1.1499999999999999</v>
      </c>
      <c r="F351" s="107">
        <v>0.1</v>
      </c>
      <c r="G351" s="108">
        <v>0.1</v>
      </c>
      <c r="H351" s="121" t="s">
        <v>55</v>
      </c>
      <c r="I351" s="110">
        <v>1.238</v>
      </c>
      <c r="J351" s="110">
        <v>1.21</v>
      </c>
      <c r="K351" s="119">
        <v>1.2270000000000001</v>
      </c>
      <c r="L351" s="111">
        <f t="shared" si="78"/>
        <v>8.8000000000000078E-2</v>
      </c>
      <c r="M351" s="112">
        <f t="shared" si="79"/>
        <v>6.0000000000000053E-2</v>
      </c>
      <c r="N351" s="112">
        <f t="shared" si="80"/>
        <v>7.7000000000000179E-2</v>
      </c>
      <c r="O351" s="112">
        <f t="shared" si="72"/>
        <v>1.2249999999999999</v>
      </c>
      <c r="P351" s="113">
        <f t="shared" si="73"/>
        <v>0.88000000000000078</v>
      </c>
      <c r="Q351" s="114">
        <f t="shared" si="74"/>
        <v>0</v>
      </c>
      <c r="R351" s="115" t="str">
        <f t="shared" si="75"/>
        <v>Alert</v>
      </c>
      <c r="S351" s="115" t="str">
        <f t="shared" si="76"/>
        <v xml:space="preserve"> </v>
      </c>
      <c r="T351" s="116" t="str">
        <f t="shared" si="77"/>
        <v>Alert</v>
      </c>
      <c r="U351" s="120"/>
      <c r="V351" s="118"/>
      <c r="W351" s="131"/>
    </row>
    <row r="352" spans="1:23" ht="13.2">
      <c r="A352" s="102" t="s">
        <v>388</v>
      </c>
      <c r="B352" s="102"/>
      <c r="C352" s="104">
        <v>3</v>
      </c>
      <c r="D352" s="105" t="s">
        <v>357</v>
      </c>
      <c r="E352" s="106">
        <v>1.1499999999999999</v>
      </c>
      <c r="F352" s="107">
        <v>0.1</v>
      </c>
      <c r="G352" s="108">
        <v>0.1</v>
      </c>
      <c r="H352" s="121" t="s">
        <v>55</v>
      </c>
      <c r="I352" s="110">
        <v>1.23</v>
      </c>
      <c r="J352" s="110">
        <v>1.2</v>
      </c>
      <c r="K352" s="119">
        <v>1.2230000000000001</v>
      </c>
      <c r="L352" s="111">
        <f t="shared" si="78"/>
        <v>8.0000000000000071E-2</v>
      </c>
      <c r="M352" s="112">
        <f t="shared" si="79"/>
        <v>5.0000000000000044E-2</v>
      </c>
      <c r="N352" s="112">
        <f t="shared" si="80"/>
        <v>7.3000000000000176E-2</v>
      </c>
      <c r="O352" s="112">
        <f t="shared" si="72"/>
        <v>1.2176666666666665</v>
      </c>
      <c r="P352" s="113">
        <f t="shared" si="73"/>
        <v>0.80000000000000071</v>
      </c>
      <c r="Q352" s="114">
        <f t="shared" si="74"/>
        <v>0</v>
      </c>
      <c r="R352" s="115" t="str">
        <f t="shared" si="75"/>
        <v>Alert</v>
      </c>
      <c r="S352" s="115" t="str">
        <f t="shared" si="76"/>
        <v xml:space="preserve"> </v>
      </c>
      <c r="T352" s="116" t="str">
        <f t="shared" si="77"/>
        <v>Alert</v>
      </c>
      <c r="U352" s="120"/>
      <c r="V352" s="118"/>
      <c r="W352" s="131"/>
    </row>
    <row r="353" spans="1:23" ht="13.2">
      <c r="A353" s="102" t="s">
        <v>389</v>
      </c>
      <c r="B353" s="102"/>
      <c r="C353" s="104">
        <v>3</v>
      </c>
      <c r="D353" s="105" t="s">
        <v>357</v>
      </c>
      <c r="E353" s="106">
        <v>1.1499999999999999</v>
      </c>
      <c r="F353" s="107">
        <v>0.1</v>
      </c>
      <c r="G353" s="108">
        <v>0.1</v>
      </c>
      <c r="H353" s="121" t="s">
        <v>55</v>
      </c>
      <c r="I353" s="110">
        <v>1.2370000000000001</v>
      </c>
      <c r="J353" s="110">
        <v>1.2090000000000001</v>
      </c>
      <c r="K353" s="119">
        <v>1.2250000000000001</v>
      </c>
      <c r="L353" s="111">
        <f t="shared" si="78"/>
        <v>8.7000000000000188E-2</v>
      </c>
      <c r="M353" s="112">
        <f t="shared" si="79"/>
        <v>5.9000000000000163E-2</v>
      </c>
      <c r="N353" s="112">
        <f t="shared" si="80"/>
        <v>7.5000000000000178E-2</v>
      </c>
      <c r="O353" s="112">
        <f t="shared" si="72"/>
        <v>1.2236666666666667</v>
      </c>
      <c r="P353" s="113">
        <f t="shared" si="73"/>
        <v>0.87000000000000188</v>
      </c>
      <c r="Q353" s="114">
        <f t="shared" si="74"/>
        <v>0</v>
      </c>
      <c r="R353" s="115" t="str">
        <f t="shared" si="75"/>
        <v>Alert</v>
      </c>
      <c r="S353" s="115" t="str">
        <f t="shared" si="76"/>
        <v xml:space="preserve"> </v>
      </c>
      <c r="T353" s="116" t="str">
        <f t="shared" si="77"/>
        <v>Alert</v>
      </c>
      <c r="U353" s="120"/>
      <c r="V353" s="118"/>
      <c r="W353" s="131"/>
    </row>
    <row r="354" spans="1:23" ht="13.2">
      <c r="A354" s="102" t="s">
        <v>390</v>
      </c>
      <c r="B354" s="102"/>
      <c r="C354" s="104">
        <v>3</v>
      </c>
      <c r="D354" s="105" t="s">
        <v>357</v>
      </c>
      <c r="E354" s="106">
        <v>1.67</v>
      </c>
      <c r="F354" s="107">
        <v>0.1</v>
      </c>
      <c r="G354" s="108">
        <v>0.1</v>
      </c>
      <c r="H354" s="109" t="s">
        <v>55</v>
      </c>
      <c r="I354" s="110">
        <v>1.7529999999999999</v>
      </c>
      <c r="J354" s="110">
        <v>1.738</v>
      </c>
      <c r="K354" s="119">
        <v>1.7569999999999999</v>
      </c>
      <c r="L354" s="111">
        <f t="shared" si="78"/>
        <v>8.2999999999999963E-2</v>
      </c>
      <c r="M354" s="112">
        <f t="shared" si="79"/>
        <v>6.800000000000006E-2</v>
      </c>
      <c r="N354" s="112">
        <f t="shared" si="80"/>
        <v>8.6999999999999966E-2</v>
      </c>
      <c r="O354" s="112">
        <f t="shared" si="72"/>
        <v>1.7493333333333332</v>
      </c>
      <c r="P354" s="113">
        <f t="shared" si="73"/>
        <v>0.86999999999999966</v>
      </c>
      <c r="Q354" s="114">
        <f t="shared" si="74"/>
        <v>0</v>
      </c>
      <c r="R354" s="115" t="str">
        <f t="shared" si="75"/>
        <v>Alert</v>
      </c>
      <c r="S354" s="115" t="str">
        <f t="shared" si="76"/>
        <v xml:space="preserve"> </v>
      </c>
      <c r="T354" s="116" t="str">
        <f t="shared" si="77"/>
        <v>Alert</v>
      </c>
      <c r="U354" s="120"/>
      <c r="V354" s="118"/>
      <c r="W354" s="131"/>
    </row>
    <row r="355" spans="1:23" ht="13.2">
      <c r="A355" s="102" t="s">
        <v>391</v>
      </c>
      <c r="B355" s="102"/>
      <c r="C355" s="104">
        <v>3</v>
      </c>
      <c r="D355" s="105" t="s">
        <v>357</v>
      </c>
      <c r="E355" s="106">
        <v>1.67</v>
      </c>
      <c r="F355" s="107">
        <v>0.1</v>
      </c>
      <c r="G355" s="108">
        <v>0.1</v>
      </c>
      <c r="H355" s="109" t="s">
        <v>55</v>
      </c>
      <c r="I355" s="110">
        <v>1.7569999999999999</v>
      </c>
      <c r="J355" s="110">
        <v>1.7410000000000001</v>
      </c>
      <c r="K355" s="119">
        <v>1.7450000000000001</v>
      </c>
      <c r="L355" s="111">
        <f t="shared" si="78"/>
        <v>8.6999999999999966E-2</v>
      </c>
      <c r="M355" s="112">
        <f t="shared" si="79"/>
        <v>7.1000000000000174E-2</v>
      </c>
      <c r="N355" s="112">
        <f t="shared" si="80"/>
        <v>7.5000000000000178E-2</v>
      </c>
      <c r="O355" s="112">
        <f t="shared" si="72"/>
        <v>1.7476666666666667</v>
      </c>
      <c r="P355" s="113">
        <f t="shared" si="73"/>
        <v>0.86999999999999966</v>
      </c>
      <c r="Q355" s="114">
        <f t="shared" si="74"/>
        <v>0</v>
      </c>
      <c r="R355" s="115" t="str">
        <f t="shared" si="75"/>
        <v>Alert</v>
      </c>
      <c r="S355" s="115" t="str">
        <f t="shared" si="76"/>
        <v xml:space="preserve"> </v>
      </c>
      <c r="T355" s="116" t="str">
        <f t="shared" si="77"/>
        <v>Alert</v>
      </c>
      <c r="U355" s="120"/>
      <c r="V355" s="118"/>
      <c r="W355" s="131"/>
    </row>
    <row r="356" spans="1:23" ht="13.2">
      <c r="A356" s="102" t="s">
        <v>392</v>
      </c>
      <c r="B356" s="102"/>
      <c r="C356" s="104">
        <v>3</v>
      </c>
      <c r="D356" s="105" t="s">
        <v>357</v>
      </c>
      <c r="E356" s="106">
        <v>1.67</v>
      </c>
      <c r="F356" s="107">
        <v>0.1</v>
      </c>
      <c r="G356" s="108">
        <v>0.1</v>
      </c>
      <c r="H356" s="109" t="s">
        <v>55</v>
      </c>
      <c r="I356" s="110">
        <v>1.7450000000000001</v>
      </c>
      <c r="J356" s="110">
        <v>1.742</v>
      </c>
      <c r="K356" s="119">
        <v>1.7430000000000001</v>
      </c>
      <c r="L356" s="111">
        <f t="shared" si="78"/>
        <v>7.5000000000000178E-2</v>
      </c>
      <c r="M356" s="112">
        <f t="shared" si="79"/>
        <v>7.2000000000000064E-2</v>
      </c>
      <c r="N356" s="112">
        <f t="shared" si="80"/>
        <v>7.3000000000000176E-2</v>
      </c>
      <c r="O356" s="112">
        <f t="shared" si="72"/>
        <v>1.7433333333333334</v>
      </c>
      <c r="P356" s="113">
        <f t="shared" si="73"/>
        <v>0.75000000000000178</v>
      </c>
      <c r="Q356" s="114">
        <f t="shared" si="74"/>
        <v>0</v>
      </c>
      <c r="R356" s="115" t="str">
        <f t="shared" si="75"/>
        <v>Alert</v>
      </c>
      <c r="S356" s="115" t="str">
        <f t="shared" si="76"/>
        <v xml:space="preserve"> </v>
      </c>
      <c r="T356" s="116" t="str">
        <f t="shared" si="77"/>
        <v>Alert</v>
      </c>
      <c r="U356" s="120"/>
      <c r="V356" s="118"/>
      <c r="W356" s="131"/>
    </row>
    <row r="357" spans="1:23" ht="13.2">
      <c r="A357" s="102" t="s">
        <v>393</v>
      </c>
      <c r="B357" s="103"/>
      <c r="C357" s="104">
        <v>3</v>
      </c>
      <c r="D357" s="105" t="s">
        <v>357</v>
      </c>
      <c r="E357" s="106">
        <v>1.67</v>
      </c>
      <c r="F357" s="107">
        <v>0.1</v>
      </c>
      <c r="G357" s="108">
        <v>0.1</v>
      </c>
      <c r="H357" s="109" t="s">
        <v>55</v>
      </c>
      <c r="I357" s="110">
        <v>1.756</v>
      </c>
      <c r="J357" s="110">
        <v>1.7230000000000001</v>
      </c>
      <c r="K357" s="119">
        <v>1.7250000000000001</v>
      </c>
      <c r="L357" s="111">
        <f t="shared" si="78"/>
        <v>8.6000000000000076E-2</v>
      </c>
      <c r="M357" s="112">
        <f t="shared" si="79"/>
        <v>5.3000000000000158E-2</v>
      </c>
      <c r="N357" s="112">
        <f t="shared" si="80"/>
        <v>5.500000000000016E-2</v>
      </c>
      <c r="O357" s="112">
        <f t="shared" si="72"/>
        <v>1.7346666666666668</v>
      </c>
      <c r="P357" s="113">
        <f t="shared" si="73"/>
        <v>0.86000000000000076</v>
      </c>
      <c r="Q357" s="114">
        <f t="shared" si="74"/>
        <v>0</v>
      </c>
      <c r="R357" s="115" t="str">
        <f t="shared" si="75"/>
        <v>Alert</v>
      </c>
      <c r="S357" s="115" t="str">
        <f t="shared" si="76"/>
        <v xml:space="preserve"> </v>
      </c>
      <c r="T357" s="116" t="str">
        <f t="shared" si="77"/>
        <v>Alert</v>
      </c>
      <c r="U357" s="120"/>
      <c r="V357" s="118"/>
      <c r="W357" s="131"/>
    </row>
    <row r="358" spans="1:23" ht="13.2">
      <c r="A358" s="102" t="s">
        <v>394</v>
      </c>
      <c r="B358" s="103"/>
      <c r="C358" s="104">
        <v>3</v>
      </c>
      <c r="D358" s="105" t="s">
        <v>357</v>
      </c>
      <c r="E358" s="106">
        <v>1.67</v>
      </c>
      <c r="F358" s="107">
        <v>0.1</v>
      </c>
      <c r="G358" s="108">
        <v>0.1</v>
      </c>
      <c r="H358" s="109" t="s">
        <v>55</v>
      </c>
      <c r="I358" s="110">
        <v>1.752</v>
      </c>
      <c r="J358" s="110">
        <v>1.724</v>
      </c>
      <c r="K358" s="119">
        <v>1.734</v>
      </c>
      <c r="L358" s="111">
        <f t="shared" si="78"/>
        <v>8.2000000000000073E-2</v>
      </c>
      <c r="M358" s="112">
        <f t="shared" si="79"/>
        <v>5.4000000000000048E-2</v>
      </c>
      <c r="N358" s="112">
        <f t="shared" si="80"/>
        <v>6.4000000000000057E-2</v>
      </c>
      <c r="O358" s="112">
        <f t="shared" si="72"/>
        <v>1.7366666666666666</v>
      </c>
      <c r="P358" s="113">
        <f t="shared" si="73"/>
        <v>0.82000000000000073</v>
      </c>
      <c r="Q358" s="114">
        <f t="shared" si="74"/>
        <v>0</v>
      </c>
      <c r="R358" s="115" t="str">
        <f t="shared" si="75"/>
        <v>Alert</v>
      </c>
      <c r="S358" s="115" t="str">
        <f t="shared" si="76"/>
        <v xml:space="preserve"> </v>
      </c>
      <c r="T358" s="116" t="str">
        <f t="shared" si="77"/>
        <v>Alert</v>
      </c>
      <c r="U358" s="120"/>
      <c r="V358" s="118"/>
      <c r="W358" s="131"/>
    </row>
    <row r="359" spans="1:23" ht="13.2">
      <c r="A359" s="102" t="s">
        <v>395</v>
      </c>
      <c r="B359" s="103"/>
      <c r="C359" s="104">
        <v>3</v>
      </c>
      <c r="D359" s="105" t="s">
        <v>357</v>
      </c>
      <c r="E359" s="106">
        <v>1.67</v>
      </c>
      <c r="F359" s="107">
        <v>0.1</v>
      </c>
      <c r="G359" s="108">
        <v>0.1</v>
      </c>
      <c r="H359" s="109" t="s">
        <v>55</v>
      </c>
      <c r="I359" s="110">
        <v>1.744</v>
      </c>
      <c r="J359" s="110">
        <v>1.7350000000000001</v>
      </c>
      <c r="K359" s="119">
        <v>1.732</v>
      </c>
      <c r="L359" s="111">
        <f t="shared" si="78"/>
        <v>7.4000000000000066E-2</v>
      </c>
      <c r="M359" s="112">
        <f t="shared" si="79"/>
        <v>6.5000000000000169E-2</v>
      </c>
      <c r="N359" s="112">
        <f t="shared" si="80"/>
        <v>6.2000000000000055E-2</v>
      </c>
      <c r="O359" s="112">
        <f t="shared" si="72"/>
        <v>1.7370000000000001</v>
      </c>
      <c r="P359" s="113">
        <f t="shared" si="73"/>
        <v>0.74000000000000066</v>
      </c>
      <c r="Q359" s="114">
        <f t="shared" si="74"/>
        <v>0</v>
      </c>
      <c r="R359" s="115" t="str">
        <f t="shared" si="75"/>
        <v>Alert</v>
      </c>
      <c r="S359" s="115" t="str">
        <f t="shared" si="76"/>
        <v xml:space="preserve"> </v>
      </c>
      <c r="T359" s="116" t="str">
        <f t="shared" si="77"/>
        <v>Alert</v>
      </c>
      <c r="U359" s="120"/>
      <c r="V359" s="118"/>
      <c r="W359" s="131"/>
    </row>
    <row r="360" spans="1:23" ht="13.2">
      <c r="A360" s="102" t="s">
        <v>396</v>
      </c>
      <c r="B360" s="102"/>
      <c r="C360" s="104">
        <v>3</v>
      </c>
      <c r="D360" s="105" t="s">
        <v>357</v>
      </c>
      <c r="E360" s="106">
        <v>1.67</v>
      </c>
      <c r="F360" s="107">
        <v>0.1</v>
      </c>
      <c r="G360" s="108">
        <v>0.1</v>
      </c>
      <c r="H360" s="109" t="s">
        <v>55</v>
      </c>
      <c r="I360" s="110">
        <v>1.7569999999999999</v>
      </c>
      <c r="J360" s="110">
        <v>1.742</v>
      </c>
      <c r="K360" s="119">
        <v>1.732</v>
      </c>
      <c r="L360" s="111">
        <f t="shared" si="78"/>
        <v>8.6999999999999966E-2</v>
      </c>
      <c r="M360" s="112">
        <f t="shared" si="79"/>
        <v>7.2000000000000064E-2</v>
      </c>
      <c r="N360" s="112">
        <f t="shared" si="80"/>
        <v>6.2000000000000055E-2</v>
      </c>
      <c r="O360" s="112">
        <f t="shared" si="72"/>
        <v>1.7436666666666667</v>
      </c>
      <c r="P360" s="113">
        <f t="shared" si="73"/>
        <v>0.86999999999999966</v>
      </c>
      <c r="Q360" s="114">
        <f t="shared" si="74"/>
        <v>0</v>
      </c>
      <c r="R360" s="115" t="str">
        <f t="shared" si="75"/>
        <v>Alert</v>
      </c>
      <c r="S360" s="115" t="str">
        <f t="shared" si="76"/>
        <v xml:space="preserve"> </v>
      </c>
      <c r="T360" s="116" t="str">
        <f t="shared" si="77"/>
        <v>Alert</v>
      </c>
      <c r="U360" s="120"/>
      <c r="V360" s="118"/>
      <c r="W360" s="131"/>
    </row>
    <row r="361" spans="1:23" ht="13.2">
      <c r="A361" s="102" t="s">
        <v>397</v>
      </c>
      <c r="B361" s="102"/>
      <c r="C361" s="104">
        <v>3</v>
      </c>
      <c r="D361" s="105" t="s">
        <v>357</v>
      </c>
      <c r="E361" s="106">
        <v>1.67</v>
      </c>
      <c r="F361" s="107">
        <v>0.1</v>
      </c>
      <c r="G361" s="108">
        <v>0.1</v>
      </c>
      <c r="H361" s="109" t="s">
        <v>55</v>
      </c>
      <c r="I361" s="110">
        <v>1.752</v>
      </c>
      <c r="J361" s="110">
        <v>1.7290000000000001</v>
      </c>
      <c r="K361" s="119">
        <v>1.7390000000000001</v>
      </c>
      <c r="L361" s="111">
        <f t="shared" si="78"/>
        <v>8.2000000000000073E-2</v>
      </c>
      <c r="M361" s="112">
        <f t="shared" si="79"/>
        <v>5.9000000000000163E-2</v>
      </c>
      <c r="N361" s="112">
        <f t="shared" si="80"/>
        <v>6.9000000000000172E-2</v>
      </c>
      <c r="O361" s="112">
        <f t="shared" si="72"/>
        <v>1.74</v>
      </c>
      <c r="P361" s="113">
        <f t="shared" si="73"/>
        <v>0.82000000000000073</v>
      </c>
      <c r="Q361" s="114">
        <f t="shared" si="74"/>
        <v>0</v>
      </c>
      <c r="R361" s="115" t="str">
        <f t="shared" si="75"/>
        <v>Alert</v>
      </c>
      <c r="S361" s="115" t="str">
        <f t="shared" si="76"/>
        <v xml:space="preserve"> </v>
      </c>
      <c r="T361" s="116" t="str">
        <f t="shared" si="77"/>
        <v>Alert</v>
      </c>
      <c r="U361" s="120"/>
      <c r="V361" s="118"/>
      <c r="W361" s="131"/>
    </row>
    <row r="362" spans="1:23" ht="13.2">
      <c r="A362" s="102" t="s">
        <v>398</v>
      </c>
      <c r="B362" s="102"/>
      <c r="C362" s="104">
        <v>3</v>
      </c>
      <c r="D362" s="105" t="s">
        <v>357</v>
      </c>
      <c r="E362" s="106">
        <v>1.67</v>
      </c>
      <c r="F362" s="107">
        <v>0.1</v>
      </c>
      <c r="G362" s="108">
        <v>0.1</v>
      </c>
      <c r="H362" s="109" t="s">
        <v>55</v>
      </c>
      <c r="I362" s="110">
        <v>1.7310000000000001</v>
      </c>
      <c r="J362" s="110">
        <v>1.732</v>
      </c>
      <c r="K362" s="119">
        <v>1.73</v>
      </c>
      <c r="L362" s="111">
        <f t="shared" si="78"/>
        <v>6.1000000000000165E-2</v>
      </c>
      <c r="M362" s="112">
        <f t="shared" si="79"/>
        <v>6.2000000000000055E-2</v>
      </c>
      <c r="N362" s="112">
        <f t="shared" si="80"/>
        <v>6.0000000000000053E-2</v>
      </c>
      <c r="O362" s="112">
        <f t="shared" si="72"/>
        <v>1.7309999999999999</v>
      </c>
      <c r="P362" s="113">
        <f t="shared" si="73"/>
        <v>0.62000000000000055</v>
      </c>
      <c r="Q362" s="114">
        <f t="shared" si="74"/>
        <v>0</v>
      </c>
      <c r="R362" s="115" t="str">
        <f t="shared" si="75"/>
        <v xml:space="preserve"> </v>
      </c>
      <c r="S362" s="115" t="str">
        <f t="shared" si="76"/>
        <v xml:space="preserve"> </v>
      </c>
      <c r="T362" s="116" t="str">
        <f t="shared" si="77"/>
        <v/>
      </c>
      <c r="U362" s="120"/>
      <c r="V362" s="118"/>
      <c r="W362" s="131"/>
    </row>
    <row r="363" spans="1:23" ht="13.2">
      <c r="A363" s="102" t="s">
        <v>399</v>
      </c>
      <c r="B363" s="102"/>
      <c r="C363" s="104">
        <v>3</v>
      </c>
      <c r="D363" s="105" t="s">
        <v>357</v>
      </c>
      <c r="E363" s="106">
        <v>1.67</v>
      </c>
      <c r="F363" s="107">
        <v>0.1</v>
      </c>
      <c r="G363" s="108">
        <v>0.1</v>
      </c>
      <c r="H363" s="109" t="s">
        <v>55</v>
      </c>
      <c r="I363" s="110">
        <v>1.752</v>
      </c>
      <c r="J363" s="110">
        <v>1.7290000000000001</v>
      </c>
      <c r="K363" s="119">
        <v>1.736</v>
      </c>
      <c r="L363" s="111">
        <f t="shared" si="78"/>
        <v>8.2000000000000073E-2</v>
      </c>
      <c r="M363" s="112">
        <f t="shared" si="79"/>
        <v>5.9000000000000163E-2</v>
      </c>
      <c r="N363" s="112">
        <f t="shared" si="80"/>
        <v>6.6000000000000059E-2</v>
      </c>
      <c r="O363" s="112">
        <f t="shared" si="72"/>
        <v>1.7389999999999999</v>
      </c>
      <c r="P363" s="113">
        <f t="shared" si="73"/>
        <v>0.82000000000000073</v>
      </c>
      <c r="Q363" s="114">
        <f t="shared" si="74"/>
        <v>0</v>
      </c>
      <c r="R363" s="115" t="str">
        <f t="shared" si="75"/>
        <v>Alert</v>
      </c>
      <c r="S363" s="115" t="str">
        <f t="shared" si="76"/>
        <v xml:space="preserve"> </v>
      </c>
      <c r="T363" s="116" t="str">
        <f t="shared" si="77"/>
        <v>Alert</v>
      </c>
      <c r="U363" s="120"/>
      <c r="V363" s="118"/>
      <c r="W363" s="131"/>
    </row>
    <row r="364" spans="1:23" ht="13.2">
      <c r="A364" s="102" t="s">
        <v>400</v>
      </c>
      <c r="B364" s="102"/>
      <c r="C364" s="104">
        <v>3</v>
      </c>
      <c r="D364" s="105" t="s">
        <v>357</v>
      </c>
      <c r="E364" s="106">
        <v>1.67</v>
      </c>
      <c r="F364" s="107">
        <v>0.1</v>
      </c>
      <c r="G364" s="108">
        <v>0.1</v>
      </c>
      <c r="H364" s="109" t="s">
        <v>55</v>
      </c>
      <c r="I364" s="110">
        <v>1.74</v>
      </c>
      <c r="J364" s="110">
        <v>1.7250000000000001</v>
      </c>
      <c r="K364" s="119">
        <v>1.726</v>
      </c>
      <c r="L364" s="111">
        <f t="shared" si="78"/>
        <v>7.0000000000000062E-2</v>
      </c>
      <c r="M364" s="112">
        <f t="shared" si="79"/>
        <v>5.500000000000016E-2</v>
      </c>
      <c r="N364" s="112">
        <f t="shared" si="80"/>
        <v>5.600000000000005E-2</v>
      </c>
      <c r="O364" s="112">
        <f t="shared" si="72"/>
        <v>1.7303333333333333</v>
      </c>
      <c r="P364" s="113">
        <f t="shared" si="73"/>
        <v>0.70000000000000062</v>
      </c>
      <c r="Q364" s="114">
        <f t="shared" si="74"/>
        <v>0</v>
      </c>
      <c r="R364" s="115" t="str">
        <f t="shared" si="75"/>
        <v>Alert</v>
      </c>
      <c r="S364" s="115" t="str">
        <f t="shared" si="76"/>
        <v xml:space="preserve"> </v>
      </c>
      <c r="T364" s="116" t="str">
        <f t="shared" si="77"/>
        <v>Alert</v>
      </c>
      <c r="U364" s="120"/>
      <c r="V364" s="118"/>
      <c r="W364" s="131"/>
    </row>
    <row r="365" spans="1:23" ht="13.2">
      <c r="A365" s="102" t="s">
        <v>401</v>
      </c>
      <c r="B365" s="102"/>
      <c r="C365" s="104">
        <v>3</v>
      </c>
      <c r="D365" s="105" t="s">
        <v>357</v>
      </c>
      <c r="E365" s="106">
        <v>1.67</v>
      </c>
      <c r="F365" s="107">
        <v>0.1</v>
      </c>
      <c r="G365" s="108">
        <v>0.1</v>
      </c>
      <c r="H365" s="109" t="s">
        <v>55</v>
      </c>
      <c r="I365" s="110">
        <v>1.7589999999999999</v>
      </c>
      <c r="J365" s="110">
        <v>1.7270000000000001</v>
      </c>
      <c r="K365" s="119">
        <v>1.7410000000000001</v>
      </c>
      <c r="L365" s="111">
        <f t="shared" si="78"/>
        <v>8.8999999999999968E-2</v>
      </c>
      <c r="M365" s="112">
        <f t="shared" si="79"/>
        <v>5.7000000000000162E-2</v>
      </c>
      <c r="N365" s="112">
        <f t="shared" si="80"/>
        <v>7.1000000000000174E-2</v>
      </c>
      <c r="O365" s="112">
        <f t="shared" si="72"/>
        <v>1.7423333333333335</v>
      </c>
      <c r="P365" s="113">
        <f t="shared" si="73"/>
        <v>0.88999999999999968</v>
      </c>
      <c r="Q365" s="114">
        <f t="shared" si="74"/>
        <v>0</v>
      </c>
      <c r="R365" s="115" t="str">
        <f t="shared" si="75"/>
        <v>Alert</v>
      </c>
      <c r="S365" s="115" t="str">
        <f t="shared" si="76"/>
        <v xml:space="preserve"> </v>
      </c>
      <c r="T365" s="116" t="str">
        <f t="shared" si="77"/>
        <v>Alert</v>
      </c>
      <c r="U365" s="120"/>
      <c r="V365" s="118"/>
      <c r="W365" s="131"/>
    </row>
    <row r="366" spans="1:23" ht="13.2">
      <c r="A366" s="102" t="s">
        <v>402</v>
      </c>
      <c r="B366" s="102"/>
      <c r="C366" s="104">
        <v>3</v>
      </c>
      <c r="D366" s="105" t="s">
        <v>357</v>
      </c>
      <c r="E366" s="106">
        <v>1.67</v>
      </c>
      <c r="F366" s="107">
        <v>0.1</v>
      </c>
      <c r="G366" s="108">
        <v>0.1</v>
      </c>
      <c r="H366" s="109" t="s">
        <v>55</v>
      </c>
      <c r="I366" s="110">
        <v>1.736</v>
      </c>
      <c r="J366" s="110">
        <v>1.7270000000000001</v>
      </c>
      <c r="K366" s="119">
        <v>1.7350000000000001</v>
      </c>
      <c r="L366" s="111">
        <f t="shared" si="78"/>
        <v>6.6000000000000059E-2</v>
      </c>
      <c r="M366" s="112">
        <f t="shared" si="79"/>
        <v>5.7000000000000162E-2</v>
      </c>
      <c r="N366" s="112">
        <f t="shared" si="80"/>
        <v>6.5000000000000169E-2</v>
      </c>
      <c r="O366" s="112">
        <f t="shared" si="72"/>
        <v>1.7326666666666668</v>
      </c>
      <c r="P366" s="113">
        <f t="shared" si="73"/>
        <v>0.66000000000000059</v>
      </c>
      <c r="Q366" s="114">
        <f t="shared" si="74"/>
        <v>0</v>
      </c>
      <c r="R366" s="115" t="str">
        <f t="shared" si="75"/>
        <v>Alert</v>
      </c>
      <c r="S366" s="115" t="str">
        <f t="shared" si="76"/>
        <v xml:space="preserve"> </v>
      </c>
      <c r="T366" s="116" t="str">
        <f t="shared" si="77"/>
        <v>Alert</v>
      </c>
      <c r="U366" s="120"/>
      <c r="V366" s="118"/>
      <c r="W366" s="131"/>
    </row>
    <row r="367" spans="1:23" ht="13.2">
      <c r="A367" s="102" t="s">
        <v>403</v>
      </c>
      <c r="B367" s="102"/>
      <c r="C367" s="104">
        <v>3</v>
      </c>
      <c r="D367" s="105" t="s">
        <v>357</v>
      </c>
      <c r="E367" s="106">
        <v>1.67</v>
      </c>
      <c r="F367" s="107">
        <v>0.1</v>
      </c>
      <c r="G367" s="108">
        <v>0.1</v>
      </c>
      <c r="H367" s="109" t="s">
        <v>55</v>
      </c>
      <c r="I367" s="110">
        <v>1.7330000000000001</v>
      </c>
      <c r="J367" s="110">
        <v>1.7330000000000001</v>
      </c>
      <c r="K367" s="119">
        <v>1.756</v>
      </c>
      <c r="L367" s="111">
        <f t="shared" si="78"/>
        <v>6.3000000000000167E-2</v>
      </c>
      <c r="M367" s="112">
        <f t="shared" si="79"/>
        <v>6.3000000000000167E-2</v>
      </c>
      <c r="N367" s="112">
        <f t="shared" si="80"/>
        <v>8.6000000000000076E-2</v>
      </c>
      <c r="O367" s="112">
        <f t="shared" si="72"/>
        <v>1.7406666666666668</v>
      </c>
      <c r="P367" s="113">
        <f t="shared" si="73"/>
        <v>0.86000000000000076</v>
      </c>
      <c r="Q367" s="114">
        <f t="shared" si="74"/>
        <v>0</v>
      </c>
      <c r="R367" s="115" t="str">
        <f t="shared" si="75"/>
        <v>Alert</v>
      </c>
      <c r="S367" s="115" t="str">
        <f t="shared" si="76"/>
        <v xml:space="preserve"> </v>
      </c>
      <c r="T367" s="116" t="str">
        <f t="shared" si="77"/>
        <v>Alert</v>
      </c>
      <c r="U367" s="120"/>
      <c r="V367" s="118"/>
      <c r="W367" s="131"/>
    </row>
    <row r="368" spans="1:23" ht="13.2">
      <c r="A368" s="102" t="s">
        <v>404</v>
      </c>
      <c r="B368" s="102"/>
      <c r="C368" s="104">
        <v>3</v>
      </c>
      <c r="D368" s="105" t="s">
        <v>357</v>
      </c>
      <c r="E368" s="106">
        <v>1.67</v>
      </c>
      <c r="F368" s="107">
        <v>0.1</v>
      </c>
      <c r="G368" s="108">
        <v>0.1</v>
      </c>
      <c r="H368" s="109" t="s">
        <v>55</v>
      </c>
      <c r="I368" s="110">
        <v>1.75</v>
      </c>
      <c r="J368" s="110">
        <v>1.7090000000000001</v>
      </c>
      <c r="K368" s="119">
        <v>1.7390000000000001</v>
      </c>
      <c r="L368" s="111">
        <f t="shared" si="78"/>
        <v>8.0000000000000071E-2</v>
      </c>
      <c r="M368" s="112">
        <f t="shared" si="79"/>
        <v>3.9000000000000146E-2</v>
      </c>
      <c r="N368" s="112">
        <f t="shared" si="80"/>
        <v>6.9000000000000172E-2</v>
      </c>
      <c r="O368" s="112">
        <f t="shared" si="72"/>
        <v>1.7326666666666668</v>
      </c>
      <c r="P368" s="113">
        <f t="shared" si="73"/>
        <v>0.80000000000000071</v>
      </c>
      <c r="Q368" s="114">
        <f t="shared" si="74"/>
        <v>0</v>
      </c>
      <c r="R368" s="115" t="str">
        <f t="shared" si="75"/>
        <v>Alert</v>
      </c>
      <c r="S368" s="115" t="str">
        <f t="shared" si="76"/>
        <v xml:space="preserve"> </v>
      </c>
      <c r="T368" s="116" t="str">
        <f t="shared" si="77"/>
        <v>Alert</v>
      </c>
      <c r="U368" s="120"/>
      <c r="V368" s="118"/>
      <c r="W368" s="131"/>
    </row>
    <row r="369" spans="1:23" ht="13.2">
      <c r="A369" s="102" t="s">
        <v>405</v>
      </c>
      <c r="B369" s="102"/>
      <c r="C369" s="104">
        <v>3</v>
      </c>
      <c r="D369" s="105" t="s">
        <v>357</v>
      </c>
      <c r="E369" s="106">
        <v>1.67</v>
      </c>
      <c r="F369" s="107">
        <v>0.1</v>
      </c>
      <c r="G369" s="108">
        <v>0.1</v>
      </c>
      <c r="H369" s="109" t="s">
        <v>55</v>
      </c>
      <c r="I369" s="110">
        <v>1.748</v>
      </c>
      <c r="J369" s="110">
        <v>1.7250000000000001</v>
      </c>
      <c r="K369" s="119">
        <v>1.7430000000000001</v>
      </c>
      <c r="L369" s="111">
        <f t="shared" si="78"/>
        <v>7.8000000000000069E-2</v>
      </c>
      <c r="M369" s="112">
        <f t="shared" si="79"/>
        <v>5.500000000000016E-2</v>
      </c>
      <c r="N369" s="112">
        <f t="shared" si="80"/>
        <v>7.3000000000000176E-2</v>
      </c>
      <c r="O369" s="112">
        <f t="shared" si="72"/>
        <v>1.7386666666666668</v>
      </c>
      <c r="P369" s="113">
        <f t="shared" si="73"/>
        <v>0.78000000000000069</v>
      </c>
      <c r="Q369" s="114">
        <f t="shared" si="74"/>
        <v>0</v>
      </c>
      <c r="R369" s="115" t="str">
        <f t="shared" si="75"/>
        <v>Alert</v>
      </c>
      <c r="S369" s="115" t="str">
        <f t="shared" si="76"/>
        <v xml:space="preserve"> </v>
      </c>
      <c r="T369" s="116" t="str">
        <f t="shared" si="77"/>
        <v>Alert</v>
      </c>
      <c r="U369" s="120"/>
      <c r="V369" s="118"/>
      <c r="W369" s="131"/>
    </row>
    <row r="370" spans="1:23" ht="13.2">
      <c r="A370" s="102" t="s">
        <v>406</v>
      </c>
      <c r="B370" s="102"/>
      <c r="C370" s="104">
        <v>3</v>
      </c>
      <c r="D370" s="105" t="s">
        <v>357</v>
      </c>
      <c r="E370" s="106">
        <v>2.1</v>
      </c>
      <c r="F370" s="107">
        <v>0.1</v>
      </c>
      <c r="G370" s="108">
        <v>0.1</v>
      </c>
      <c r="H370" s="109" t="s">
        <v>55</v>
      </c>
      <c r="I370" s="110">
        <v>2.1930000000000001</v>
      </c>
      <c r="J370" s="110">
        <v>2.1659999999999999</v>
      </c>
      <c r="K370" s="119">
        <v>2.1520000000000001</v>
      </c>
      <c r="L370" s="111">
        <f t="shared" si="78"/>
        <v>9.2999999999999972E-2</v>
      </c>
      <c r="M370" s="112">
        <f t="shared" si="79"/>
        <v>6.5999999999999837E-2</v>
      </c>
      <c r="N370" s="112">
        <f t="shared" si="80"/>
        <v>5.2000000000000046E-2</v>
      </c>
      <c r="O370" s="112">
        <f t="shared" si="72"/>
        <v>2.1703333333333332</v>
      </c>
      <c r="P370" s="113">
        <f t="shared" si="73"/>
        <v>0.92999999999999972</v>
      </c>
      <c r="Q370" s="114">
        <f t="shared" si="74"/>
        <v>0</v>
      </c>
      <c r="R370" s="115" t="str">
        <f t="shared" si="75"/>
        <v>Alert</v>
      </c>
      <c r="S370" s="115" t="str">
        <f t="shared" si="76"/>
        <v xml:space="preserve"> </v>
      </c>
      <c r="T370" s="116" t="str">
        <f t="shared" si="77"/>
        <v>Alert</v>
      </c>
      <c r="U370" s="120"/>
      <c r="V370" s="118"/>
      <c r="W370" s="131"/>
    </row>
    <row r="371" spans="1:23" ht="13.2">
      <c r="A371" s="102" t="s">
        <v>407</v>
      </c>
      <c r="B371" s="102"/>
      <c r="C371" s="104">
        <v>3</v>
      </c>
      <c r="D371" s="105" t="s">
        <v>357</v>
      </c>
      <c r="E371" s="106">
        <v>2.1</v>
      </c>
      <c r="F371" s="107">
        <v>0.1</v>
      </c>
      <c r="G371" s="108">
        <v>0.1</v>
      </c>
      <c r="H371" s="109" t="s">
        <v>55</v>
      </c>
      <c r="I371" s="110">
        <v>2.1800000000000002</v>
      </c>
      <c r="J371" s="110">
        <v>2.1520000000000001</v>
      </c>
      <c r="K371" s="119">
        <v>2.161</v>
      </c>
      <c r="L371" s="111">
        <f t="shared" si="78"/>
        <v>8.0000000000000071E-2</v>
      </c>
      <c r="M371" s="112">
        <f t="shared" si="79"/>
        <v>5.2000000000000046E-2</v>
      </c>
      <c r="N371" s="112">
        <f t="shared" si="80"/>
        <v>6.0999999999999943E-2</v>
      </c>
      <c r="O371" s="112">
        <f t="shared" si="72"/>
        <v>2.1643333333333334</v>
      </c>
      <c r="P371" s="113">
        <f t="shared" si="73"/>
        <v>0.80000000000000071</v>
      </c>
      <c r="Q371" s="114">
        <f t="shared" si="74"/>
        <v>0</v>
      </c>
      <c r="R371" s="115" t="str">
        <f t="shared" si="75"/>
        <v>Alert</v>
      </c>
      <c r="S371" s="115" t="str">
        <f t="shared" si="76"/>
        <v xml:space="preserve"> </v>
      </c>
      <c r="T371" s="116" t="str">
        <f t="shared" si="77"/>
        <v>Alert</v>
      </c>
      <c r="U371" s="120"/>
      <c r="V371" s="118"/>
      <c r="W371" s="131"/>
    </row>
    <row r="372" spans="1:23" ht="13.2">
      <c r="A372" s="102" t="s">
        <v>408</v>
      </c>
      <c r="B372" s="103"/>
      <c r="C372" s="104">
        <v>3</v>
      </c>
      <c r="D372" s="105" t="s">
        <v>357</v>
      </c>
      <c r="E372" s="106">
        <v>2.1</v>
      </c>
      <c r="F372" s="107">
        <v>0.1</v>
      </c>
      <c r="G372" s="108">
        <v>0.1</v>
      </c>
      <c r="H372" s="109" t="s">
        <v>55</v>
      </c>
      <c r="I372" s="110">
        <v>2.161</v>
      </c>
      <c r="J372" s="110">
        <v>2.1539999999999999</v>
      </c>
      <c r="K372" s="119">
        <v>2.145</v>
      </c>
      <c r="L372" s="111">
        <f t="shared" si="78"/>
        <v>6.0999999999999943E-2</v>
      </c>
      <c r="M372" s="112">
        <f t="shared" si="79"/>
        <v>5.3999999999999826E-2</v>
      </c>
      <c r="N372" s="112">
        <f t="shared" si="80"/>
        <v>4.4999999999999929E-2</v>
      </c>
      <c r="O372" s="112">
        <f t="shared" si="72"/>
        <v>2.1533333333333329</v>
      </c>
      <c r="P372" s="113">
        <f t="shared" si="73"/>
        <v>0.60999999999999943</v>
      </c>
      <c r="Q372" s="114">
        <f t="shared" si="74"/>
        <v>0</v>
      </c>
      <c r="R372" s="115" t="str">
        <f t="shared" si="75"/>
        <v xml:space="preserve"> </v>
      </c>
      <c r="S372" s="115" t="str">
        <f t="shared" si="76"/>
        <v xml:space="preserve"> </v>
      </c>
      <c r="T372" s="116" t="str">
        <f t="shared" si="77"/>
        <v/>
      </c>
      <c r="U372" s="120"/>
      <c r="V372" s="118"/>
      <c r="W372" s="131"/>
    </row>
    <row r="373" spans="1:23" ht="13.2">
      <c r="A373" s="102" t="s">
        <v>409</v>
      </c>
      <c r="B373" s="103"/>
      <c r="C373" s="104">
        <v>3</v>
      </c>
      <c r="D373" s="105" t="s">
        <v>357</v>
      </c>
      <c r="E373" s="106">
        <v>2.1</v>
      </c>
      <c r="F373" s="107">
        <v>0.1</v>
      </c>
      <c r="G373" s="108">
        <v>0.1</v>
      </c>
      <c r="H373" s="109" t="s">
        <v>55</v>
      </c>
      <c r="I373" s="110">
        <v>2.1629999999999998</v>
      </c>
      <c r="J373" s="110">
        <v>2.1539999999999999</v>
      </c>
      <c r="K373" s="119">
        <v>2.1419999999999999</v>
      </c>
      <c r="L373" s="111">
        <f t="shared" si="78"/>
        <v>6.2999999999999723E-2</v>
      </c>
      <c r="M373" s="112">
        <f t="shared" si="79"/>
        <v>5.3999999999999826E-2</v>
      </c>
      <c r="N373" s="112">
        <f t="shared" si="80"/>
        <v>4.1999999999999815E-2</v>
      </c>
      <c r="O373" s="112">
        <f t="shared" si="72"/>
        <v>2.153</v>
      </c>
      <c r="P373" s="113">
        <f t="shared" si="73"/>
        <v>0.62999999999999723</v>
      </c>
      <c r="Q373" s="114">
        <f t="shared" si="74"/>
        <v>0</v>
      </c>
      <c r="R373" s="115" t="str">
        <f t="shared" si="75"/>
        <v xml:space="preserve"> </v>
      </c>
      <c r="S373" s="115" t="str">
        <f t="shared" si="76"/>
        <v xml:space="preserve"> </v>
      </c>
      <c r="T373" s="116" t="str">
        <f t="shared" si="77"/>
        <v/>
      </c>
      <c r="U373" s="120"/>
      <c r="V373" s="118"/>
      <c r="W373" s="131"/>
    </row>
    <row r="374" spans="1:23" ht="13.2">
      <c r="A374" s="102" t="s">
        <v>410</v>
      </c>
      <c r="B374" s="103"/>
      <c r="C374" s="104">
        <v>3</v>
      </c>
      <c r="D374" s="105" t="s">
        <v>357</v>
      </c>
      <c r="E374" s="106">
        <v>2.1</v>
      </c>
      <c r="F374" s="107">
        <v>0.1</v>
      </c>
      <c r="G374" s="108">
        <v>0.1</v>
      </c>
      <c r="H374" s="109" t="s">
        <v>55</v>
      </c>
      <c r="I374" s="110">
        <v>2.1629999999999998</v>
      </c>
      <c r="J374" s="110">
        <v>2.1509999999999998</v>
      </c>
      <c r="K374" s="119">
        <v>2.16</v>
      </c>
      <c r="L374" s="111">
        <f t="shared" si="78"/>
        <v>6.2999999999999723E-2</v>
      </c>
      <c r="M374" s="112">
        <f t="shared" si="79"/>
        <v>5.0999999999999712E-2</v>
      </c>
      <c r="N374" s="112">
        <f t="shared" si="80"/>
        <v>6.0000000000000053E-2</v>
      </c>
      <c r="O374" s="112">
        <f t="shared" si="72"/>
        <v>2.1579999999999999</v>
      </c>
      <c r="P374" s="113">
        <f t="shared" si="73"/>
        <v>0.62999999999999723</v>
      </c>
      <c r="Q374" s="114">
        <f t="shared" si="74"/>
        <v>0</v>
      </c>
      <c r="R374" s="115" t="str">
        <f t="shared" si="75"/>
        <v xml:space="preserve"> </v>
      </c>
      <c r="S374" s="115" t="str">
        <f t="shared" si="76"/>
        <v xml:space="preserve"> </v>
      </c>
      <c r="T374" s="116" t="str">
        <f t="shared" si="77"/>
        <v/>
      </c>
      <c r="U374" s="120"/>
      <c r="V374" s="118"/>
      <c r="W374" s="131"/>
    </row>
    <row r="375" spans="1:23" ht="13.2">
      <c r="A375" s="102" t="s">
        <v>411</v>
      </c>
      <c r="B375" s="102"/>
      <c r="C375" s="104">
        <v>3</v>
      </c>
      <c r="D375" s="105" t="s">
        <v>357</v>
      </c>
      <c r="E375" s="106">
        <v>2.1</v>
      </c>
      <c r="F375" s="107">
        <v>0.1</v>
      </c>
      <c r="G375" s="108">
        <v>0.1</v>
      </c>
      <c r="H375" s="109" t="s">
        <v>55</v>
      </c>
      <c r="I375" s="110">
        <v>2.1829999999999998</v>
      </c>
      <c r="J375" s="110">
        <v>2.1389999999999998</v>
      </c>
      <c r="K375" s="119">
        <v>2.1579999999999999</v>
      </c>
      <c r="L375" s="111">
        <f t="shared" si="78"/>
        <v>8.2999999999999741E-2</v>
      </c>
      <c r="M375" s="112">
        <f t="shared" si="79"/>
        <v>3.8999999999999702E-2</v>
      </c>
      <c r="N375" s="112">
        <f t="shared" si="80"/>
        <v>5.7999999999999829E-2</v>
      </c>
      <c r="O375" s="112">
        <f t="shared" si="72"/>
        <v>2.1599999999999997</v>
      </c>
      <c r="P375" s="113">
        <f t="shared" si="73"/>
        <v>0.82999999999999741</v>
      </c>
      <c r="Q375" s="114">
        <f t="shared" si="74"/>
        <v>0</v>
      </c>
      <c r="R375" s="115" t="str">
        <f t="shared" si="75"/>
        <v>Alert</v>
      </c>
      <c r="S375" s="115" t="str">
        <f t="shared" si="76"/>
        <v xml:space="preserve"> </v>
      </c>
      <c r="T375" s="116" t="str">
        <f t="shared" si="77"/>
        <v>Alert</v>
      </c>
      <c r="U375" s="120"/>
      <c r="V375" s="118"/>
      <c r="W375" s="131"/>
    </row>
    <row r="376" spans="1:23" ht="13.2">
      <c r="A376" s="102" t="s">
        <v>412</v>
      </c>
      <c r="B376" s="102"/>
      <c r="C376" s="104">
        <v>3</v>
      </c>
      <c r="D376" s="105" t="s">
        <v>357</v>
      </c>
      <c r="E376" s="106">
        <v>2.1</v>
      </c>
      <c r="F376" s="107">
        <v>0.1</v>
      </c>
      <c r="G376" s="108">
        <v>0.1</v>
      </c>
      <c r="H376" s="109" t="s">
        <v>55</v>
      </c>
      <c r="I376" s="110">
        <v>2.1629999999999998</v>
      </c>
      <c r="J376" s="110">
        <v>2.1549999999999998</v>
      </c>
      <c r="K376" s="119">
        <v>2.1520000000000001</v>
      </c>
      <c r="L376" s="111">
        <f t="shared" si="78"/>
        <v>6.2999999999999723E-2</v>
      </c>
      <c r="M376" s="112">
        <f t="shared" si="79"/>
        <v>5.4999999999999716E-2</v>
      </c>
      <c r="N376" s="112">
        <f t="shared" si="80"/>
        <v>5.2000000000000046E-2</v>
      </c>
      <c r="O376" s="112">
        <f t="shared" si="72"/>
        <v>2.1566666666666667</v>
      </c>
      <c r="P376" s="113">
        <f t="shared" si="73"/>
        <v>0.62999999999999723</v>
      </c>
      <c r="Q376" s="114">
        <f t="shared" si="74"/>
        <v>0</v>
      </c>
      <c r="R376" s="115" t="str">
        <f t="shared" si="75"/>
        <v xml:space="preserve"> </v>
      </c>
      <c r="S376" s="115" t="str">
        <f t="shared" si="76"/>
        <v xml:space="preserve"> </v>
      </c>
      <c r="T376" s="116" t="str">
        <f t="shared" si="77"/>
        <v/>
      </c>
      <c r="U376" s="120"/>
      <c r="V376" s="118"/>
      <c r="W376" s="131"/>
    </row>
    <row r="377" spans="1:23" ht="13.2">
      <c r="A377" s="102" t="s">
        <v>413</v>
      </c>
      <c r="B377" s="102"/>
      <c r="C377" s="104">
        <v>3</v>
      </c>
      <c r="D377" s="105" t="s">
        <v>357</v>
      </c>
      <c r="E377" s="106">
        <v>2.1</v>
      </c>
      <c r="F377" s="107">
        <v>0.1</v>
      </c>
      <c r="G377" s="108">
        <v>0.1</v>
      </c>
      <c r="H377" s="109" t="s">
        <v>55</v>
      </c>
      <c r="I377" s="110">
        <v>2.1520000000000001</v>
      </c>
      <c r="J377" s="110">
        <v>2.16</v>
      </c>
      <c r="K377" s="119">
        <v>2.1360000000000001</v>
      </c>
      <c r="L377" s="111">
        <f t="shared" si="78"/>
        <v>5.2000000000000046E-2</v>
      </c>
      <c r="M377" s="112">
        <f t="shared" si="79"/>
        <v>6.0000000000000053E-2</v>
      </c>
      <c r="N377" s="112">
        <f t="shared" si="80"/>
        <v>3.6000000000000032E-2</v>
      </c>
      <c r="O377" s="112">
        <f t="shared" si="72"/>
        <v>2.1493333333333333</v>
      </c>
      <c r="P377" s="113">
        <f t="shared" si="73"/>
        <v>0.60000000000000053</v>
      </c>
      <c r="Q377" s="114">
        <f t="shared" si="74"/>
        <v>0</v>
      </c>
      <c r="R377" s="115" t="str">
        <f t="shared" si="75"/>
        <v xml:space="preserve"> </v>
      </c>
      <c r="S377" s="115" t="str">
        <f t="shared" si="76"/>
        <v xml:space="preserve"> </v>
      </c>
      <c r="T377" s="116" t="str">
        <f t="shared" si="77"/>
        <v/>
      </c>
      <c r="U377" s="120"/>
      <c r="V377" s="118"/>
      <c r="W377" s="131"/>
    </row>
    <row r="378" spans="1:23" ht="13.2">
      <c r="A378" s="102" t="s">
        <v>414</v>
      </c>
      <c r="B378" s="102"/>
      <c r="C378" s="104">
        <v>3</v>
      </c>
      <c r="D378" s="105" t="s">
        <v>357</v>
      </c>
      <c r="E378" s="106">
        <v>3.05</v>
      </c>
      <c r="F378" s="107">
        <v>0.1</v>
      </c>
      <c r="G378" s="108">
        <v>0.1</v>
      </c>
      <c r="H378" s="109" t="s">
        <v>55</v>
      </c>
      <c r="I378" s="110">
        <v>3.1150000000000002</v>
      </c>
      <c r="J378" s="110">
        <v>3.09</v>
      </c>
      <c r="K378" s="119">
        <v>3.1059999999999999</v>
      </c>
      <c r="L378" s="111">
        <f t="shared" si="78"/>
        <v>6.5000000000000391E-2</v>
      </c>
      <c r="M378" s="112">
        <f t="shared" si="79"/>
        <v>4.0000000000000036E-2</v>
      </c>
      <c r="N378" s="112">
        <f t="shared" si="80"/>
        <v>5.600000000000005E-2</v>
      </c>
      <c r="O378" s="112">
        <f t="shared" si="72"/>
        <v>3.1036666666666668</v>
      </c>
      <c r="P378" s="113">
        <f t="shared" si="73"/>
        <v>0.65000000000000391</v>
      </c>
      <c r="Q378" s="114">
        <f t="shared" si="74"/>
        <v>0</v>
      </c>
      <c r="R378" s="115" t="str">
        <f t="shared" si="75"/>
        <v xml:space="preserve"> </v>
      </c>
      <c r="S378" s="115" t="str">
        <f t="shared" si="76"/>
        <v xml:space="preserve"> </v>
      </c>
      <c r="T378" s="116" t="str">
        <f t="shared" si="77"/>
        <v/>
      </c>
      <c r="U378" s="120"/>
      <c r="V378" s="118"/>
      <c r="W378" s="131"/>
    </row>
    <row r="379" spans="1:23" ht="13.2">
      <c r="A379" s="102" t="s">
        <v>415</v>
      </c>
      <c r="B379" s="102"/>
      <c r="C379" s="104">
        <v>3</v>
      </c>
      <c r="D379" s="105" t="s">
        <v>357</v>
      </c>
      <c r="E379" s="106">
        <v>3.05</v>
      </c>
      <c r="F379" s="107">
        <v>0.1</v>
      </c>
      <c r="G379" s="108">
        <v>0.1</v>
      </c>
      <c r="H379" s="109" t="s">
        <v>55</v>
      </c>
      <c r="I379" s="110">
        <v>3.09</v>
      </c>
      <c r="J379" s="110">
        <v>3.0870000000000002</v>
      </c>
      <c r="K379" s="119">
        <v>3.0659999999999998</v>
      </c>
      <c r="L379" s="111">
        <f t="shared" si="78"/>
        <v>4.0000000000000036E-2</v>
      </c>
      <c r="M379" s="112">
        <f t="shared" si="79"/>
        <v>3.7000000000000366E-2</v>
      </c>
      <c r="N379" s="112">
        <f t="shared" si="80"/>
        <v>1.6000000000000014E-2</v>
      </c>
      <c r="O379" s="112">
        <f t="shared" si="72"/>
        <v>3.0809999999999995</v>
      </c>
      <c r="P379" s="113">
        <f t="shared" si="73"/>
        <v>0.40000000000000036</v>
      </c>
      <c r="Q379" s="114">
        <f t="shared" si="74"/>
        <v>0</v>
      </c>
      <c r="R379" s="115" t="str">
        <f t="shared" si="75"/>
        <v xml:space="preserve"> </v>
      </c>
      <c r="S379" s="115" t="str">
        <f t="shared" si="76"/>
        <v xml:space="preserve"> </v>
      </c>
      <c r="T379" s="116" t="str">
        <f t="shared" si="77"/>
        <v/>
      </c>
      <c r="U379" s="120"/>
      <c r="V379" s="118"/>
      <c r="W379" s="131"/>
    </row>
    <row r="380" spans="1:23" ht="13.2">
      <c r="A380" s="102" t="s">
        <v>416</v>
      </c>
      <c r="B380" s="102"/>
      <c r="C380" s="104">
        <v>3</v>
      </c>
      <c r="D380" s="105" t="s">
        <v>357</v>
      </c>
      <c r="E380" s="106">
        <v>3.05</v>
      </c>
      <c r="F380" s="107">
        <v>0.1</v>
      </c>
      <c r="G380" s="108">
        <v>0.1</v>
      </c>
      <c r="H380" s="109" t="s">
        <v>55</v>
      </c>
      <c r="I380" s="110">
        <v>3.0680000000000001</v>
      </c>
      <c r="J380" s="110">
        <v>3.0819999999999999</v>
      </c>
      <c r="K380" s="119">
        <v>3.0840000000000001</v>
      </c>
      <c r="L380" s="111">
        <f t="shared" si="78"/>
        <v>1.8000000000000238E-2</v>
      </c>
      <c r="M380" s="112">
        <f t="shared" si="79"/>
        <v>3.2000000000000028E-2</v>
      </c>
      <c r="N380" s="112">
        <f t="shared" si="80"/>
        <v>3.4000000000000252E-2</v>
      </c>
      <c r="O380" s="112">
        <f t="shared" si="72"/>
        <v>3.0779999999999998</v>
      </c>
      <c r="P380" s="113">
        <f t="shared" si="73"/>
        <v>0.34000000000000252</v>
      </c>
      <c r="Q380" s="114">
        <f t="shared" si="74"/>
        <v>0</v>
      </c>
      <c r="R380" s="115" t="str">
        <f t="shared" si="75"/>
        <v xml:space="preserve"> </v>
      </c>
      <c r="S380" s="115" t="str">
        <f t="shared" si="76"/>
        <v xml:space="preserve"> </v>
      </c>
      <c r="T380" s="116" t="str">
        <f t="shared" si="77"/>
        <v/>
      </c>
      <c r="U380" s="120"/>
      <c r="V380" s="118"/>
      <c r="W380" s="131"/>
    </row>
    <row r="381" spans="1:23" ht="13.2">
      <c r="A381" s="102" t="s">
        <v>417</v>
      </c>
      <c r="B381" s="102"/>
      <c r="C381" s="104">
        <v>3</v>
      </c>
      <c r="D381" s="105" t="s">
        <v>357</v>
      </c>
      <c r="E381" s="106">
        <v>3.05</v>
      </c>
      <c r="F381" s="107">
        <v>0.1</v>
      </c>
      <c r="G381" s="108">
        <v>0.1</v>
      </c>
      <c r="H381" s="109" t="s">
        <v>55</v>
      </c>
      <c r="I381" s="110">
        <v>3.105</v>
      </c>
      <c r="J381" s="110">
        <v>3.0710000000000002</v>
      </c>
      <c r="K381" s="119">
        <v>3.089</v>
      </c>
      <c r="L381" s="111">
        <f t="shared" si="78"/>
        <v>5.500000000000016E-2</v>
      </c>
      <c r="M381" s="112">
        <f t="shared" si="79"/>
        <v>2.1000000000000352E-2</v>
      </c>
      <c r="N381" s="112">
        <f t="shared" si="80"/>
        <v>3.9000000000000146E-2</v>
      </c>
      <c r="O381" s="112">
        <f t="shared" si="72"/>
        <v>3.0883333333333334</v>
      </c>
      <c r="P381" s="113">
        <f t="shared" si="73"/>
        <v>0.5500000000000016</v>
      </c>
      <c r="Q381" s="114">
        <f t="shared" si="74"/>
        <v>0</v>
      </c>
      <c r="R381" s="115" t="str">
        <f t="shared" si="75"/>
        <v xml:space="preserve"> </v>
      </c>
      <c r="S381" s="115" t="str">
        <f t="shared" si="76"/>
        <v xml:space="preserve"> </v>
      </c>
      <c r="T381" s="116" t="str">
        <f t="shared" si="77"/>
        <v/>
      </c>
      <c r="U381" s="120"/>
      <c r="V381" s="118"/>
      <c r="W381" s="131"/>
    </row>
    <row r="382" spans="1:23" ht="13.2">
      <c r="A382" s="102" t="s">
        <v>418</v>
      </c>
      <c r="B382" s="102"/>
      <c r="C382" s="104">
        <v>3</v>
      </c>
      <c r="D382" s="105" t="s">
        <v>357</v>
      </c>
      <c r="E382" s="106">
        <v>4</v>
      </c>
      <c r="F382" s="107">
        <v>0.1</v>
      </c>
      <c r="G382" s="108">
        <v>0.1</v>
      </c>
      <c r="H382" s="109" t="s">
        <v>55</v>
      </c>
      <c r="I382" s="110">
        <v>4.0369999999999999</v>
      </c>
      <c r="J382" s="110">
        <v>4.0250000000000004</v>
      </c>
      <c r="K382" s="119">
        <v>4.0359999999999996</v>
      </c>
      <c r="L382" s="111">
        <f t="shared" si="78"/>
        <v>3.6999999999999922E-2</v>
      </c>
      <c r="M382" s="112">
        <f t="shared" si="79"/>
        <v>2.5000000000000355E-2</v>
      </c>
      <c r="N382" s="112">
        <f t="shared" si="80"/>
        <v>3.5999999999999588E-2</v>
      </c>
      <c r="O382" s="112">
        <f t="shared" ref="O382:O445" si="81">IF(ISERR(I382/I382)=TRUE," ",AVERAGE(I382:K382))</f>
        <v>4.0326666666666666</v>
      </c>
      <c r="P382" s="113">
        <f t="shared" ref="P382:P445" si="82">IF(ISBLANK($E382),"",IF(ISNUMBER(F382)=FALSE,"BAD TOL", IF(F382=0,"N/A",IF(ISERR(I382/I382)=TRUE,"BAD INSP",IF(AND(ISNUMBER($I382),ISNUMBER($J382),ISNUMBER($K382))=FALSE,"BAD INSP",IF(MAX($I382:$K382)&lt;$E382,0,(MAX($I382:$K382)-$E382)/$F382))))))</f>
        <v>0.36999999999999922</v>
      </c>
      <c r="Q382" s="114">
        <f t="shared" ref="Q382:Q445" si="83">IF(ISBLANK($E382),"",IF(ISNUMBER(G382)=FALSE,"BAD TOL",IF(G382=0,"N/A",IF(ISERR(I382/I382)=TRUE,"BAD INSP",IF(AND(ISNUMBER($I382),ISNUMBER($J382),ISNUMBER($K382))=FALSE,"BAD INSP",IF(MIN(I382:K382)&gt;$E382,0,($E382-MIN(I382:K382))/G382))))))</f>
        <v>0</v>
      </c>
      <c r="R382" s="115" t="str">
        <f t="shared" ref="R382:R445" si="84">IF(ISBLANK($E382),"",IF(ISNUMBER($P382)=TRUE,IF($P382&gt;0.651,IF($P382&gt;1.001,"Reject","Alert")," "),IF(AND(F382=0, ISNUMBER(F382)),IF(MAX(I382:K382)&gt;(E382+F382),"Reject",IF(MAX(I382:K382)=(E382+F382),"Alert","")),"Reject")))</f>
        <v xml:space="preserve"> </v>
      </c>
      <c r="S382" s="115" t="str">
        <f t="shared" ref="S382:S445" si="85">IF(ISBLANK($E382),"",IF(ISNUMBER($Q382)=TRUE,IF($Q382&gt;0.651,IF($Q382&gt;1.001,"Reject","Alert")," "),IF(AND(G382=0, ISNUMBER(G382)),IF(MIN(I382:K382)&lt;(E382-G382),"Reject",IF(MIN(I382:K382)=(E382-G382),"Alert","")),"Reject")))</f>
        <v xml:space="preserve"> </v>
      </c>
      <c r="T382" s="116" t="str">
        <f t="shared" ref="T382:T445" si="86">IF(OR(R382="Reject",S382="Reject"),"Reject",IF(OR(R382="Alert",S382="Alert"),"Alert", ""))</f>
        <v/>
      </c>
      <c r="U382" s="120"/>
      <c r="V382" s="118"/>
      <c r="W382" s="131"/>
    </row>
    <row r="383" spans="1:23" ht="13.2">
      <c r="A383" s="102" t="s">
        <v>419</v>
      </c>
      <c r="B383" s="102"/>
      <c r="C383" s="104">
        <v>3</v>
      </c>
      <c r="D383" s="105" t="s">
        <v>357</v>
      </c>
      <c r="E383" s="106">
        <v>4</v>
      </c>
      <c r="F383" s="107">
        <v>0.1</v>
      </c>
      <c r="G383" s="108">
        <v>0.1</v>
      </c>
      <c r="H383" s="109" t="s">
        <v>55</v>
      </c>
      <c r="I383" s="110">
        <v>4.0330000000000004</v>
      </c>
      <c r="J383" s="110">
        <v>4.0259999999999998</v>
      </c>
      <c r="K383" s="119">
        <v>4.024</v>
      </c>
      <c r="L383" s="111">
        <f t="shared" si="78"/>
        <v>3.3000000000000362E-2</v>
      </c>
      <c r="M383" s="112">
        <f t="shared" si="79"/>
        <v>2.5999999999999801E-2</v>
      </c>
      <c r="N383" s="112">
        <f t="shared" si="80"/>
        <v>2.4000000000000021E-2</v>
      </c>
      <c r="O383" s="112">
        <f t="shared" si="81"/>
        <v>4.0276666666666676</v>
      </c>
      <c r="P383" s="113">
        <f t="shared" si="82"/>
        <v>0.33000000000000362</v>
      </c>
      <c r="Q383" s="114">
        <f t="shared" si="83"/>
        <v>0</v>
      </c>
      <c r="R383" s="115" t="str">
        <f t="shared" si="84"/>
        <v xml:space="preserve"> </v>
      </c>
      <c r="S383" s="115" t="str">
        <f t="shared" si="85"/>
        <v xml:space="preserve"> </v>
      </c>
      <c r="T383" s="116" t="str">
        <f t="shared" si="86"/>
        <v/>
      </c>
      <c r="U383" s="120"/>
      <c r="V383" s="118"/>
      <c r="W383" s="131"/>
    </row>
    <row r="384" spans="1:23" ht="13.2">
      <c r="A384" s="102" t="s">
        <v>420</v>
      </c>
      <c r="B384" s="102"/>
      <c r="C384" s="104">
        <v>3</v>
      </c>
      <c r="D384" s="105" t="s">
        <v>357</v>
      </c>
      <c r="E384" s="106">
        <v>4</v>
      </c>
      <c r="F384" s="107">
        <v>0.1</v>
      </c>
      <c r="G384" s="108">
        <v>0.1</v>
      </c>
      <c r="H384" s="109" t="s">
        <v>55</v>
      </c>
      <c r="I384" s="110">
        <v>4.0529999999999999</v>
      </c>
      <c r="J384" s="110">
        <v>4.024</v>
      </c>
      <c r="K384" s="119">
        <v>4.0259999999999998</v>
      </c>
      <c r="L384" s="111">
        <f t="shared" si="78"/>
        <v>5.2999999999999936E-2</v>
      </c>
      <c r="M384" s="112">
        <f t="shared" si="79"/>
        <v>2.4000000000000021E-2</v>
      </c>
      <c r="N384" s="112">
        <f t="shared" si="80"/>
        <v>2.5999999999999801E-2</v>
      </c>
      <c r="O384" s="112">
        <f t="shared" si="81"/>
        <v>4.0343333333333335</v>
      </c>
      <c r="P384" s="113">
        <f t="shared" si="82"/>
        <v>0.52999999999999936</v>
      </c>
      <c r="Q384" s="114">
        <f t="shared" si="83"/>
        <v>0</v>
      </c>
      <c r="R384" s="115" t="str">
        <f t="shared" si="84"/>
        <v xml:space="preserve"> </v>
      </c>
      <c r="S384" s="115" t="str">
        <f t="shared" si="85"/>
        <v xml:space="preserve"> </v>
      </c>
      <c r="T384" s="116" t="str">
        <f t="shared" si="86"/>
        <v/>
      </c>
      <c r="U384" s="120"/>
      <c r="V384" s="118"/>
      <c r="W384" s="131"/>
    </row>
    <row r="385" spans="1:23" ht="13.2">
      <c r="A385" s="102" t="s">
        <v>421</v>
      </c>
      <c r="B385" s="102"/>
      <c r="C385" s="104">
        <v>3</v>
      </c>
      <c r="D385" s="105" t="s">
        <v>357</v>
      </c>
      <c r="E385" s="106">
        <v>4</v>
      </c>
      <c r="F385" s="107">
        <v>0.1</v>
      </c>
      <c r="G385" s="108">
        <v>0.1</v>
      </c>
      <c r="H385" s="109" t="s">
        <v>55</v>
      </c>
      <c r="I385" s="110">
        <v>4.0229999999999997</v>
      </c>
      <c r="J385" s="110">
        <v>4.0140000000000002</v>
      </c>
      <c r="K385" s="119">
        <v>4.0220000000000002</v>
      </c>
      <c r="L385" s="111">
        <f t="shared" si="78"/>
        <v>2.2999999999999687E-2</v>
      </c>
      <c r="M385" s="112">
        <f t="shared" si="79"/>
        <v>1.4000000000000234E-2</v>
      </c>
      <c r="N385" s="112">
        <f t="shared" si="80"/>
        <v>2.2000000000000242E-2</v>
      </c>
      <c r="O385" s="112">
        <f t="shared" si="81"/>
        <v>4.0196666666666667</v>
      </c>
      <c r="P385" s="113">
        <f t="shared" si="82"/>
        <v>0.22999999999999687</v>
      </c>
      <c r="Q385" s="114">
        <f t="shared" si="83"/>
        <v>0</v>
      </c>
      <c r="R385" s="115" t="str">
        <f t="shared" si="84"/>
        <v xml:space="preserve"> </v>
      </c>
      <c r="S385" s="115" t="str">
        <f t="shared" si="85"/>
        <v xml:space="preserve"> </v>
      </c>
      <c r="T385" s="116" t="str">
        <f t="shared" si="86"/>
        <v/>
      </c>
      <c r="U385" s="120"/>
      <c r="V385" s="118"/>
      <c r="W385" s="131"/>
    </row>
    <row r="386" spans="1:23" ht="13.2">
      <c r="A386" s="102" t="s">
        <v>422</v>
      </c>
      <c r="B386" s="102"/>
      <c r="C386" s="104">
        <v>3</v>
      </c>
      <c r="D386" s="105" t="s">
        <v>357</v>
      </c>
      <c r="E386" s="106">
        <v>4</v>
      </c>
      <c r="F386" s="107">
        <v>0.1</v>
      </c>
      <c r="G386" s="108">
        <v>0.1</v>
      </c>
      <c r="H386" s="109" t="s">
        <v>55</v>
      </c>
      <c r="I386" s="110">
        <v>4.0110000000000001</v>
      </c>
      <c r="J386" s="110">
        <v>4.0110000000000001</v>
      </c>
      <c r="K386" s="119">
        <v>4.0190000000000001</v>
      </c>
      <c r="L386" s="111">
        <f t="shared" si="78"/>
        <v>1.1000000000000121E-2</v>
      </c>
      <c r="M386" s="112">
        <f t="shared" si="79"/>
        <v>1.1000000000000121E-2</v>
      </c>
      <c r="N386" s="112">
        <f t="shared" si="80"/>
        <v>1.9000000000000128E-2</v>
      </c>
      <c r="O386" s="112">
        <f t="shared" si="81"/>
        <v>4.0136666666666665</v>
      </c>
      <c r="P386" s="113">
        <f t="shared" si="82"/>
        <v>0.19000000000000128</v>
      </c>
      <c r="Q386" s="114">
        <f t="shared" si="83"/>
        <v>0</v>
      </c>
      <c r="R386" s="115" t="str">
        <f t="shared" si="84"/>
        <v xml:space="preserve"> </v>
      </c>
      <c r="S386" s="115" t="str">
        <f t="shared" si="85"/>
        <v xml:space="preserve"> </v>
      </c>
      <c r="T386" s="116" t="str">
        <f t="shared" si="86"/>
        <v/>
      </c>
      <c r="U386" s="120"/>
      <c r="V386" s="118"/>
      <c r="W386" s="131"/>
    </row>
    <row r="387" spans="1:23" ht="13.2">
      <c r="A387" s="102" t="s">
        <v>423</v>
      </c>
      <c r="B387" s="103"/>
      <c r="C387" s="104">
        <v>3</v>
      </c>
      <c r="D387" s="105" t="s">
        <v>64</v>
      </c>
      <c r="E387" s="106">
        <v>6.35</v>
      </c>
      <c r="F387" s="107">
        <v>0.1</v>
      </c>
      <c r="G387" s="108">
        <v>0.1</v>
      </c>
      <c r="H387" s="121" t="s">
        <v>55</v>
      </c>
      <c r="I387" s="110">
        <v>6.3460000000000001</v>
      </c>
      <c r="J387" s="110">
        <v>6.3620000000000001</v>
      </c>
      <c r="K387" s="119">
        <v>6.3780000000000001</v>
      </c>
      <c r="L387" s="111">
        <f t="shared" si="78"/>
        <v>-3.9999999999995595E-3</v>
      </c>
      <c r="M387" s="112">
        <f t="shared" si="79"/>
        <v>1.2000000000000455E-2</v>
      </c>
      <c r="N387" s="112">
        <f t="shared" si="80"/>
        <v>2.8000000000000469E-2</v>
      </c>
      <c r="O387" s="112">
        <f t="shared" si="81"/>
        <v>6.3619999999999992</v>
      </c>
      <c r="P387" s="113">
        <f t="shared" si="82"/>
        <v>0.28000000000000469</v>
      </c>
      <c r="Q387" s="114">
        <f t="shared" si="83"/>
        <v>3.9999999999995595E-2</v>
      </c>
      <c r="R387" s="115" t="str">
        <f t="shared" si="84"/>
        <v xml:space="preserve"> </v>
      </c>
      <c r="S387" s="115" t="str">
        <f t="shared" si="85"/>
        <v xml:space="preserve"> </v>
      </c>
      <c r="T387" s="116" t="str">
        <f t="shared" si="86"/>
        <v/>
      </c>
      <c r="U387" s="120"/>
      <c r="V387" s="118"/>
      <c r="W387" s="131"/>
    </row>
    <row r="388" spans="1:23" ht="13.2">
      <c r="A388" s="102" t="s">
        <v>424</v>
      </c>
      <c r="B388" s="103"/>
      <c r="C388" s="104">
        <v>3</v>
      </c>
      <c r="D388" s="105" t="s">
        <v>64</v>
      </c>
      <c r="E388" s="106">
        <v>6.35</v>
      </c>
      <c r="F388" s="107">
        <v>0.1</v>
      </c>
      <c r="G388" s="108">
        <v>0.1</v>
      </c>
      <c r="H388" s="121" t="s">
        <v>55</v>
      </c>
      <c r="I388" s="110">
        <v>6.3540000000000001</v>
      </c>
      <c r="J388" s="110">
        <v>6.359</v>
      </c>
      <c r="K388" s="119">
        <v>6.3780000000000001</v>
      </c>
      <c r="L388" s="111">
        <f t="shared" si="78"/>
        <v>4.0000000000004476E-3</v>
      </c>
      <c r="M388" s="112">
        <f t="shared" si="79"/>
        <v>9.0000000000003411E-3</v>
      </c>
      <c r="N388" s="112">
        <f t="shared" si="80"/>
        <v>2.8000000000000469E-2</v>
      </c>
      <c r="O388" s="112">
        <f t="shared" si="81"/>
        <v>6.363666666666667</v>
      </c>
      <c r="P388" s="113">
        <f t="shared" si="82"/>
        <v>0.28000000000000469</v>
      </c>
      <c r="Q388" s="114">
        <f t="shared" si="83"/>
        <v>0</v>
      </c>
      <c r="R388" s="115" t="str">
        <f t="shared" si="84"/>
        <v xml:space="preserve"> </v>
      </c>
      <c r="S388" s="115" t="str">
        <f t="shared" si="85"/>
        <v xml:space="preserve"> </v>
      </c>
      <c r="T388" s="116" t="str">
        <f t="shared" si="86"/>
        <v/>
      </c>
      <c r="U388" s="120"/>
      <c r="V388" s="118"/>
      <c r="W388" s="131"/>
    </row>
    <row r="389" spans="1:23" ht="13.2">
      <c r="A389" s="102" t="s">
        <v>425</v>
      </c>
      <c r="B389" s="103"/>
      <c r="C389" s="104">
        <v>3</v>
      </c>
      <c r="D389" s="105" t="s">
        <v>64</v>
      </c>
      <c r="E389" s="106">
        <v>6.35</v>
      </c>
      <c r="F389" s="107">
        <v>0.1</v>
      </c>
      <c r="G389" s="108">
        <v>0.1</v>
      </c>
      <c r="H389" s="121" t="s">
        <v>55</v>
      </c>
      <c r="I389" s="110">
        <v>6.3339999999999996</v>
      </c>
      <c r="J389" s="110">
        <v>6.3529999999999998</v>
      </c>
      <c r="K389" s="119">
        <v>6.3470000000000004</v>
      </c>
      <c r="L389" s="111">
        <f t="shared" si="78"/>
        <v>-1.6000000000000014E-2</v>
      </c>
      <c r="M389" s="112">
        <f t="shared" si="79"/>
        <v>3.0000000000001137E-3</v>
      </c>
      <c r="N389" s="112">
        <f t="shared" si="80"/>
        <v>-2.9999999999992255E-3</v>
      </c>
      <c r="O389" s="112">
        <f t="shared" si="81"/>
        <v>6.344666666666666</v>
      </c>
      <c r="P389" s="113">
        <f t="shared" si="82"/>
        <v>3.0000000000001137E-2</v>
      </c>
      <c r="Q389" s="114">
        <f t="shared" si="83"/>
        <v>0.16000000000000014</v>
      </c>
      <c r="R389" s="115" t="str">
        <f t="shared" si="84"/>
        <v xml:space="preserve"> </v>
      </c>
      <c r="S389" s="115" t="str">
        <f t="shared" si="85"/>
        <v xml:space="preserve"> </v>
      </c>
      <c r="T389" s="116" t="str">
        <f t="shared" si="86"/>
        <v/>
      </c>
      <c r="U389" s="120"/>
      <c r="V389" s="118"/>
      <c r="W389" s="131"/>
    </row>
    <row r="390" spans="1:23" ht="13.2">
      <c r="A390" s="102" t="s">
        <v>426</v>
      </c>
      <c r="B390" s="102"/>
      <c r="C390" s="104">
        <v>3</v>
      </c>
      <c r="D390" s="105" t="s">
        <v>64</v>
      </c>
      <c r="E390" s="106">
        <v>6.35</v>
      </c>
      <c r="F390" s="107">
        <v>0.1</v>
      </c>
      <c r="G390" s="108">
        <v>0.1</v>
      </c>
      <c r="H390" s="121" t="s">
        <v>55</v>
      </c>
      <c r="I390" s="110">
        <v>6.335</v>
      </c>
      <c r="J390" s="110">
        <v>6.3609999999999998</v>
      </c>
      <c r="K390" s="119">
        <v>6.3550000000000004</v>
      </c>
      <c r="L390" s="111">
        <f t="shared" si="78"/>
        <v>-1.499999999999968E-2</v>
      </c>
      <c r="M390" s="112">
        <f t="shared" si="79"/>
        <v>1.1000000000000121E-2</v>
      </c>
      <c r="N390" s="112">
        <f t="shared" si="80"/>
        <v>5.0000000000007816E-3</v>
      </c>
      <c r="O390" s="112">
        <f t="shared" si="81"/>
        <v>6.3503333333333343</v>
      </c>
      <c r="P390" s="113">
        <f t="shared" si="82"/>
        <v>0.11000000000000121</v>
      </c>
      <c r="Q390" s="114">
        <f t="shared" si="83"/>
        <v>0.1499999999999968</v>
      </c>
      <c r="R390" s="115" t="str">
        <f t="shared" si="84"/>
        <v xml:space="preserve"> </v>
      </c>
      <c r="S390" s="115" t="str">
        <f t="shared" si="85"/>
        <v xml:space="preserve"> </v>
      </c>
      <c r="T390" s="116" t="str">
        <f t="shared" si="86"/>
        <v/>
      </c>
      <c r="U390" s="120"/>
      <c r="V390" s="118"/>
      <c r="W390" s="131"/>
    </row>
    <row r="391" spans="1:23" ht="13.2">
      <c r="A391" s="102" t="s">
        <v>427</v>
      </c>
      <c r="B391" s="102"/>
      <c r="C391" s="104">
        <v>3</v>
      </c>
      <c r="D391" s="105" t="s">
        <v>64</v>
      </c>
      <c r="E391" s="106">
        <v>3.17</v>
      </c>
      <c r="F391" s="107">
        <v>0.1</v>
      </c>
      <c r="G391" s="108">
        <v>0.1</v>
      </c>
      <c r="H391" s="121" t="s">
        <v>55</v>
      </c>
      <c r="I391" s="110">
        <v>3.1739999999999999</v>
      </c>
      <c r="J391" s="110">
        <v>3.1920000000000002</v>
      </c>
      <c r="K391" s="119">
        <v>3.1859999999999999</v>
      </c>
      <c r="L391" s="111">
        <f t="shared" si="78"/>
        <v>4.0000000000000036E-3</v>
      </c>
      <c r="M391" s="112">
        <f t="shared" si="79"/>
        <v>2.2000000000000242E-2</v>
      </c>
      <c r="N391" s="112">
        <f t="shared" si="80"/>
        <v>1.6000000000000014E-2</v>
      </c>
      <c r="O391" s="112">
        <f t="shared" si="81"/>
        <v>3.1839999999999997</v>
      </c>
      <c r="P391" s="113">
        <f t="shared" si="82"/>
        <v>0.22000000000000242</v>
      </c>
      <c r="Q391" s="114">
        <f t="shared" si="83"/>
        <v>0</v>
      </c>
      <c r="R391" s="115" t="str">
        <f t="shared" si="84"/>
        <v xml:space="preserve"> </v>
      </c>
      <c r="S391" s="115" t="str">
        <f t="shared" si="85"/>
        <v xml:space="preserve"> </v>
      </c>
      <c r="T391" s="116" t="str">
        <f t="shared" si="86"/>
        <v/>
      </c>
      <c r="U391" s="120"/>
      <c r="V391" s="118"/>
      <c r="W391" s="131"/>
    </row>
    <row r="392" spans="1:23" ht="13.2">
      <c r="A392" s="102" t="s">
        <v>428</v>
      </c>
      <c r="B392" s="102"/>
      <c r="C392" s="104">
        <v>3</v>
      </c>
      <c r="D392" s="105" t="s">
        <v>64</v>
      </c>
      <c r="E392" s="106">
        <v>3.17</v>
      </c>
      <c r="F392" s="107">
        <v>0.1</v>
      </c>
      <c r="G392" s="108">
        <v>0.1</v>
      </c>
      <c r="H392" s="121" t="s">
        <v>55</v>
      </c>
      <c r="I392" s="110">
        <v>3.1819999999999999</v>
      </c>
      <c r="J392" s="110">
        <v>3.1819999999999999</v>
      </c>
      <c r="K392" s="119">
        <v>3.177</v>
      </c>
      <c r="L392" s="111">
        <f t="shared" si="78"/>
        <v>1.2000000000000011E-2</v>
      </c>
      <c r="M392" s="112">
        <f t="shared" si="79"/>
        <v>1.2000000000000011E-2</v>
      </c>
      <c r="N392" s="112">
        <f t="shared" si="80"/>
        <v>7.0000000000001172E-3</v>
      </c>
      <c r="O392" s="112">
        <f t="shared" si="81"/>
        <v>3.1803333333333335</v>
      </c>
      <c r="P392" s="113">
        <f t="shared" si="82"/>
        <v>0.12000000000000011</v>
      </c>
      <c r="Q392" s="114">
        <f t="shared" si="83"/>
        <v>0</v>
      </c>
      <c r="R392" s="115" t="str">
        <f t="shared" si="84"/>
        <v xml:space="preserve"> </v>
      </c>
      <c r="S392" s="115" t="str">
        <f t="shared" si="85"/>
        <v xml:space="preserve"> </v>
      </c>
      <c r="T392" s="116" t="str">
        <f t="shared" si="86"/>
        <v/>
      </c>
      <c r="U392" s="120"/>
      <c r="V392" s="118"/>
      <c r="W392" s="131"/>
    </row>
    <row r="393" spans="1:23" ht="13.2">
      <c r="A393" s="102" t="s">
        <v>429</v>
      </c>
      <c r="B393" s="102"/>
      <c r="C393" s="104">
        <v>3</v>
      </c>
      <c r="D393" s="105" t="s">
        <v>64</v>
      </c>
      <c r="E393" s="106">
        <v>3.17</v>
      </c>
      <c r="F393" s="107">
        <v>0.1</v>
      </c>
      <c r="G393" s="108">
        <v>0.1</v>
      </c>
      <c r="H393" s="121" t="s">
        <v>55</v>
      </c>
      <c r="I393" s="110">
        <v>3.1640000000000001</v>
      </c>
      <c r="J393" s="110">
        <v>3.18</v>
      </c>
      <c r="K393" s="119">
        <v>3.177</v>
      </c>
      <c r="L393" s="111">
        <f t="shared" si="78"/>
        <v>-5.9999999999997833E-3</v>
      </c>
      <c r="M393" s="112">
        <f t="shared" si="79"/>
        <v>1.0000000000000231E-2</v>
      </c>
      <c r="N393" s="112">
        <f t="shared" si="80"/>
        <v>7.0000000000001172E-3</v>
      </c>
      <c r="O393" s="112">
        <f t="shared" si="81"/>
        <v>3.1736666666666671</v>
      </c>
      <c r="P393" s="113">
        <f t="shared" si="82"/>
        <v>0.10000000000000231</v>
      </c>
      <c r="Q393" s="114">
        <f t="shared" si="83"/>
        <v>5.9999999999997833E-2</v>
      </c>
      <c r="R393" s="115" t="str">
        <f t="shared" si="84"/>
        <v xml:space="preserve"> </v>
      </c>
      <c r="S393" s="115" t="str">
        <f t="shared" si="85"/>
        <v xml:space="preserve"> </v>
      </c>
      <c r="T393" s="116" t="str">
        <f t="shared" si="86"/>
        <v/>
      </c>
      <c r="U393" s="120"/>
      <c r="V393" s="118"/>
      <c r="W393" s="131"/>
    </row>
    <row r="394" spans="1:23" ht="13.2">
      <c r="A394" s="102" t="s">
        <v>430</v>
      </c>
      <c r="B394" s="102"/>
      <c r="C394" s="104">
        <v>3</v>
      </c>
      <c r="D394" s="105" t="s">
        <v>64</v>
      </c>
      <c r="E394" s="106">
        <v>3.17</v>
      </c>
      <c r="F394" s="107">
        <v>0.1</v>
      </c>
      <c r="G394" s="108">
        <v>0.1</v>
      </c>
      <c r="H394" s="121" t="s">
        <v>55</v>
      </c>
      <c r="I394" s="110">
        <v>3.16</v>
      </c>
      <c r="J394" s="110">
        <v>3.18</v>
      </c>
      <c r="K394" s="119">
        <v>3.1829999999999998</v>
      </c>
      <c r="L394" s="111">
        <f t="shared" si="78"/>
        <v>-9.9999999999997868E-3</v>
      </c>
      <c r="M394" s="112">
        <f t="shared" si="79"/>
        <v>1.0000000000000231E-2</v>
      </c>
      <c r="N394" s="112">
        <f t="shared" si="80"/>
        <v>1.2999999999999901E-2</v>
      </c>
      <c r="O394" s="112">
        <f t="shared" si="81"/>
        <v>3.1743333333333332</v>
      </c>
      <c r="P394" s="113">
        <f t="shared" si="82"/>
        <v>0.12999999999999901</v>
      </c>
      <c r="Q394" s="114">
        <f t="shared" si="83"/>
        <v>9.9999999999997868E-2</v>
      </c>
      <c r="R394" s="115" t="str">
        <f t="shared" si="84"/>
        <v xml:space="preserve"> </v>
      </c>
      <c r="S394" s="115" t="str">
        <f t="shared" si="85"/>
        <v xml:space="preserve"> </v>
      </c>
      <c r="T394" s="116" t="str">
        <f t="shared" si="86"/>
        <v/>
      </c>
      <c r="U394" s="120"/>
      <c r="V394" s="118"/>
      <c r="W394" s="131"/>
    </row>
    <row r="395" spans="1:23" ht="13.2">
      <c r="A395" s="102" t="s">
        <v>431</v>
      </c>
      <c r="B395" s="102"/>
      <c r="C395" s="104">
        <v>3</v>
      </c>
      <c r="D395" s="105" t="s">
        <v>64</v>
      </c>
      <c r="E395" s="106">
        <v>1.59</v>
      </c>
      <c r="F395" s="107">
        <v>0.1</v>
      </c>
      <c r="G395" s="108">
        <v>0.1</v>
      </c>
      <c r="H395" s="121" t="s">
        <v>55</v>
      </c>
      <c r="I395" s="110">
        <v>1.587</v>
      </c>
      <c r="J395" s="110">
        <v>1.601</v>
      </c>
      <c r="K395" s="119">
        <v>1.595</v>
      </c>
      <c r="L395" s="111">
        <f t="shared" si="78"/>
        <v>-3.0000000000001137E-3</v>
      </c>
      <c r="M395" s="112">
        <f t="shared" si="79"/>
        <v>1.0999999999999899E-2</v>
      </c>
      <c r="N395" s="112">
        <f t="shared" si="80"/>
        <v>4.9999999999998934E-3</v>
      </c>
      <c r="O395" s="112">
        <f t="shared" si="81"/>
        <v>1.5943333333333332</v>
      </c>
      <c r="P395" s="113">
        <f t="shared" si="82"/>
        <v>0.10999999999999899</v>
      </c>
      <c r="Q395" s="114">
        <f t="shared" si="83"/>
        <v>3.0000000000001137E-2</v>
      </c>
      <c r="R395" s="115" t="str">
        <f t="shared" si="84"/>
        <v xml:space="preserve"> </v>
      </c>
      <c r="S395" s="115" t="str">
        <f t="shared" si="85"/>
        <v xml:space="preserve"> </v>
      </c>
      <c r="T395" s="116" t="str">
        <f t="shared" si="86"/>
        <v/>
      </c>
      <c r="U395" s="120"/>
      <c r="V395" s="118"/>
      <c r="W395" s="131"/>
    </row>
    <row r="396" spans="1:23" ht="13.2">
      <c r="A396" s="102" t="s">
        <v>432</v>
      </c>
      <c r="B396" s="102"/>
      <c r="C396" s="104">
        <v>3</v>
      </c>
      <c r="D396" s="105" t="s">
        <v>64</v>
      </c>
      <c r="E396" s="106">
        <v>1.59</v>
      </c>
      <c r="F396" s="107">
        <v>0.1</v>
      </c>
      <c r="G396" s="108">
        <v>0.1</v>
      </c>
      <c r="H396" s="121" t="s">
        <v>55</v>
      </c>
      <c r="I396" s="110">
        <v>1.585</v>
      </c>
      <c r="J396" s="110">
        <v>1.597</v>
      </c>
      <c r="K396" s="119">
        <v>1.599</v>
      </c>
      <c r="L396" s="111">
        <f t="shared" si="78"/>
        <v>-5.0000000000001155E-3</v>
      </c>
      <c r="M396" s="112">
        <f t="shared" si="79"/>
        <v>6.9999999999998952E-3</v>
      </c>
      <c r="N396" s="112">
        <f t="shared" si="80"/>
        <v>8.999999999999897E-3</v>
      </c>
      <c r="O396" s="112">
        <f t="shared" si="81"/>
        <v>1.5936666666666666</v>
      </c>
      <c r="P396" s="113">
        <f t="shared" si="82"/>
        <v>8.999999999999897E-2</v>
      </c>
      <c r="Q396" s="114">
        <f t="shared" si="83"/>
        <v>5.0000000000001155E-2</v>
      </c>
      <c r="R396" s="115" t="str">
        <f t="shared" si="84"/>
        <v xml:space="preserve"> </v>
      </c>
      <c r="S396" s="115" t="str">
        <f t="shared" si="85"/>
        <v xml:space="preserve"> </v>
      </c>
      <c r="T396" s="116" t="str">
        <f t="shared" si="86"/>
        <v/>
      </c>
      <c r="U396" s="120"/>
      <c r="V396" s="118"/>
      <c r="W396" s="131"/>
    </row>
    <row r="397" spans="1:23" ht="13.2">
      <c r="A397" s="102" t="s">
        <v>433</v>
      </c>
      <c r="B397" s="102"/>
      <c r="C397" s="104">
        <v>3</v>
      </c>
      <c r="D397" s="105" t="s">
        <v>64</v>
      </c>
      <c r="E397" s="106">
        <v>1.59</v>
      </c>
      <c r="F397" s="107">
        <v>0.1</v>
      </c>
      <c r="G397" s="108">
        <v>0.1</v>
      </c>
      <c r="H397" s="121" t="s">
        <v>55</v>
      </c>
      <c r="I397" s="110">
        <v>1.5820000000000001</v>
      </c>
      <c r="J397" s="110">
        <v>1.5940000000000001</v>
      </c>
      <c r="K397" s="119">
        <v>1.5840000000000001</v>
      </c>
      <c r="L397" s="111">
        <f t="shared" si="78"/>
        <v>-8.0000000000000071E-3</v>
      </c>
      <c r="M397" s="112">
        <f t="shared" si="79"/>
        <v>4.0000000000000036E-3</v>
      </c>
      <c r="N397" s="112">
        <f t="shared" si="80"/>
        <v>-6.0000000000000053E-3</v>
      </c>
      <c r="O397" s="112">
        <f t="shared" si="81"/>
        <v>1.5866666666666667</v>
      </c>
      <c r="P397" s="113">
        <f t="shared" si="82"/>
        <v>4.0000000000000036E-2</v>
      </c>
      <c r="Q397" s="114">
        <f t="shared" si="83"/>
        <v>8.0000000000000071E-2</v>
      </c>
      <c r="R397" s="115" t="str">
        <f t="shared" si="84"/>
        <v xml:space="preserve"> </v>
      </c>
      <c r="S397" s="115" t="str">
        <f t="shared" si="85"/>
        <v xml:space="preserve"> </v>
      </c>
      <c r="T397" s="116" t="str">
        <f t="shared" si="86"/>
        <v/>
      </c>
      <c r="U397" s="120"/>
      <c r="V397" s="118"/>
      <c r="W397" s="131"/>
    </row>
    <row r="398" spans="1:23" ht="13.2">
      <c r="A398" s="102" t="s">
        <v>434</v>
      </c>
      <c r="B398" s="102"/>
      <c r="C398" s="104">
        <v>3</v>
      </c>
      <c r="D398" s="105" t="s">
        <v>64</v>
      </c>
      <c r="E398" s="106">
        <v>1.59</v>
      </c>
      <c r="F398" s="107">
        <v>0.1</v>
      </c>
      <c r="G398" s="108">
        <v>0.1</v>
      </c>
      <c r="H398" s="121" t="s">
        <v>55</v>
      </c>
      <c r="I398" s="110">
        <v>1.571</v>
      </c>
      <c r="J398" s="110">
        <v>1.5880000000000001</v>
      </c>
      <c r="K398" s="119">
        <v>1.5920000000000001</v>
      </c>
      <c r="L398" s="111">
        <f t="shared" si="78"/>
        <v>-1.9000000000000128E-2</v>
      </c>
      <c r="M398" s="112">
        <f t="shared" si="79"/>
        <v>-2.0000000000000018E-3</v>
      </c>
      <c r="N398" s="112">
        <f t="shared" si="80"/>
        <v>2.0000000000000018E-3</v>
      </c>
      <c r="O398" s="112">
        <f t="shared" si="81"/>
        <v>1.5836666666666666</v>
      </c>
      <c r="P398" s="113">
        <f t="shared" si="82"/>
        <v>2.0000000000000018E-2</v>
      </c>
      <c r="Q398" s="114">
        <f t="shared" si="83"/>
        <v>0.19000000000000128</v>
      </c>
      <c r="R398" s="115" t="str">
        <f t="shared" si="84"/>
        <v xml:space="preserve"> </v>
      </c>
      <c r="S398" s="115" t="str">
        <f t="shared" si="85"/>
        <v xml:space="preserve"> </v>
      </c>
      <c r="T398" s="116" t="str">
        <f t="shared" si="86"/>
        <v/>
      </c>
      <c r="U398" s="120"/>
      <c r="V398" s="118"/>
      <c r="W398" s="131"/>
    </row>
    <row r="399" spans="1:23" ht="13.2">
      <c r="A399" s="102" t="s">
        <v>435</v>
      </c>
      <c r="B399" s="102"/>
      <c r="C399" s="104">
        <v>3</v>
      </c>
      <c r="D399" s="105" t="s">
        <v>64</v>
      </c>
      <c r="E399" s="106">
        <v>0.79</v>
      </c>
      <c r="F399" s="107">
        <v>0.1</v>
      </c>
      <c r="G399" s="108">
        <v>0.1</v>
      </c>
      <c r="H399" s="121" t="s">
        <v>55</v>
      </c>
      <c r="I399" s="110">
        <v>0.79100000000000004</v>
      </c>
      <c r="J399" s="110">
        <v>0.80200000000000005</v>
      </c>
      <c r="K399" s="119">
        <v>0.80400000000000005</v>
      </c>
      <c r="L399" s="111">
        <f t="shared" si="78"/>
        <v>1.0000000000000009E-3</v>
      </c>
      <c r="M399" s="112">
        <f t="shared" si="79"/>
        <v>1.2000000000000011E-2</v>
      </c>
      <c r="N399" s="112">
        <f t="shared" si="80"/>
        <v>1.4000000000000012E-2</v>
      </c>
      <c r="O399" s="112">
        <f t="shared" si="81"/>
        <v>0.79900000000000004</v>
      </c>
      <c r="P399" s="113">
        <f t="shared" si="82"/>
        <v>0.14000000000000012</v>
      </c>
      <c r="Q399" s="114">
        <f t="shared" si="83"/>
        <v>0</v>
      </c>
      <c r="R399" s="115" t="str">
        <f t="shared" si="84"/>
        <v xml:space="preserve"> </v>
      </c>
      <c r="S399" s="115" t="str">
        <f t="shared" si="85"/>
        <v xml:space="preserve"> </v>
      </c>
      <c r="T399" s="116" t="str">
        <f t="shared" si="86"/>
        <v/>
      </c>
      <c r="U399" s="120"/>
      <c r="V399" s="118"/>
      <c r="W399" s="131"/>
    </row>
    <row r="400" spans="1:23" ht="13.2">
      <c r="A400" s="102" t="s">
        <v>39</v>
      </c>
      <c r="B400" s="102"/>
      <c r="C400" s="104">
        <v>3</v>
      </c>
      <c r="D400" s="105" t="s">
        <v>64</v>
      </c>
      <c r="E400" s="106">
        <v>0.79</v>
      </c>
      <c r="F400" s="107">
        <v>0.1</v>
      </c>
      <c r="G400" s="108">
        <v>0.1</v>
      </c>
      <c r="H400" s="121" t="s">
        <v>55</v>
      </c>
      <c r="I400" s="110">
        <v>0.79800000000000004</v>
      </c>
      <c r="J400" s="110">
        <v>0.80200000000000005</v>
      </c>
      <c r="K400" s="119">
        <v>0.80200000000000005</v>
      </c>
      <c r="L400" s="111">
        <f t="shared" si="78"/>
        <v>8.0000000000000071E-3</v>
      </c>
      <c r="M400" s="112">
        <f t="shared" si="79"/>
        <v>1.2000000000000011E-2</v>
      </c>
      <c r="N400" s="112">
        <f t="shared" si="80"/>
        <v>1.2000000000000011E-2</v>
      </c>
      <c r="O400" s="112">
        <f t="shared" si="81"/>
        <v>0.80066666666666675</v>
      </c>
      <c r="P400" s="113">
        <f t="shared" si="82"/>
        <v>0.12000000000000011</v>
      </c>
      <c r="Q400" s="114">
        <f t="shared" si="83"/>
        <v>0</v>
      </c>
      <c r="R400" s="115" t="str">
        <f t="shared" si="84"/>
        <v xml:space="preserve"> </v>
      </c>
      <c r="S400" s="115" t="str">
        <f t="shared" si="85"/>
        <v xml:space="preserve"> </v>
      </c>
      <c r="T400" s="116" t="str">
        <f t="shared" si="86"/>
        <v/>
      </c>
      <c r="U400" s="120"/>
      <c r="V400" s="118"/>
      <c r="W400" s="131"/>
    </row>
    <row r="401" spans="1:23" ht="13.2">
      <c r="A401" s="102" t="s">
        <v>40</v>
      </c>
      <c r="B401" s="102"/>
      <c r="C401" s="104">
        <v>3</v>
      </c>
      <c r="D401" s="105" t="s">
        <v>64</v>
      </c>
      <c r="E401" s="106">
        <v>0.79</v>
      </c>
      <c r="F401" s="107">
        <v>0.1</v>
      </c>
      <c r="G401" s="108">
        <v>0.1</v>
      </c>
      <c r="H401" s="121" t="s">
        <v>55</v>
      </c>
      <c r="I401" s="110">
        <v>0.78800000000000003</v>
      </c>
      <c r="J401" s="110">
        <v>0.80300000000000005</v>
      </c>
      <c r="K401" s="119">
        <v>0.80400000000000005</v>
      </c>
      <c r="L401" s="111">
        <f t="shared" si="78"/>
        <v>-2.0000000000000018E-3</v>
      </c>
      <c r="M401" s="112">
        <f t="shared" si="79"/>
        <v>1.3000000000000012E-2</v>
      </c>
      <c r="N401" s="112">
        <f t="shared" si="80"/>
        <v>1.4000000000000012E-2</v>
      </c>
      <c r="O401" s="112">
        <f t="shared" si="81"/>
        <v>0.79833333333333345</v>
      </c>
      <c r="P401" s="113">
        <f t="shared" si="82"/>
        <v>0.14000000000000012</v>
      </c>
      <c r="Q401" s="114">
        <f t="shared" si="83"/>
        <v>2.0000000000000018E-2</v>
      </c>
      <c r="R401" s="115" t="str">
        <f t="shared" si="84"/>
        <v xml:space="preserve"> </v>
      </c>
      <c r="S401" s="115" t="str">
        <f t="shared" si="85"/>
        <v xml:space="preserve"> </v>
      </c>
      <c r="T401" s="116" t="str">
        <f t="shared" si="86"/>
        <v/>
      </c>
      <c r="U401" s="120"/>
      <c r="V401" s="118"/>
      <c r="W401" s="131"/>
    </row>
    <row r="402" spans="1:23" ht="13.2">
      <c r="A402" s="102" t="s">
        <v>436</v>
      </c>
      <c r="B402" s="103"/>
      <c r="C402" s="104">
        <v>3</v>
      </c>
      <c r="D402" s="105" t="s">
        <v>64</v>
      </c>
      <c r="E402" s="106">
        <v>0.79</v>
      </c>
      <c r="F402" s="107">
        <v>0.1</v>
      </c>
      <c r="G402" s="108">
        <v>0.1</v>
      </c>
      <c r="H402" s="121" t="s">
        <v>55</v>
      </c>
      <c r="I402" s="110">
        <v>0.77800000000000002</v>
      </c>
      <c r="J402" s="110">
        <v>0.79200000000000004</v>
      </c>
      <c r="K402" s="119">
        <v>0.78900000000000003</v>
      </c>
      <c r="L402" s="111">
        <f t="shared" si="78"/>
        <v>-1.2000000000000011E-2</v>
      </c>
      <c r="M402" s="112">
        <f t="shared" si="79"/>
        <v>2.0000000000000018E-3</v>
      </c>
      <c r="N402" s="112">
        <f t="shared" si="80"/>
        <v>-1.0000000000000009E-3</v>
      </c>
      <c r="O402" s="112">
        <f t="shared" si="81"/>
        <v>0.78633333333333333</v>
      </c>
      <c r="P402" s="113">
        <f t="shared" si="82"/>
        <v>2.0000000000000018E-2</v>
      </c>
      <c r="Q402" s="114">
        <f t="shared" si="83"/>
        <v>0.12000000000000011</v>
      </c>
      <c r="R402" s="115" t="str">
        <f t="shared" si="84"/>
        <v xml:space="preserve"> </v>
      </c>
      <c r="S402" s="115" t="str">
        <f t="shared" si="85"/>
        <v xml:space="preserve"> </v>
      </c>
      <c r="T402" s="116" t="str">
        <f t="shared" si="86"/>
        <v/>
      </c>
      <c r="U402" s="120"/>
      <c r="V402" s="118"/>
      <c r="W402" s="131"/>
    </row>
    <row r="403" spans="1:23" ht="13.2">
      <c r="A403" s="102" t="s">
        <v>437</v>
      </c>
      <c r="B403" s="103"/>
      <c r="C403" s="104">
        <v>3</v>
      </c>
      <c r="D403" s="105" t="s">
        <v>64</v>
      </c>
      <c r="E403" s="106">
        <v>12.7</v>
      </c>
      <c r="F403" s="107">
        <v>0.1</v>
      </c>
      <c r="G403" s="108">
        <v>0.1</v>
      </c>
      <c r="H403" s="121" t="s">
        <v>55</v>
      </c>
      <c r="I403" s="110">
        <v>12.696999999999999</v>
      </c>
      <c r="J403" s="110">
        <v>12.728</v>
      </c>
      <c r="K403" s="119">
        <v>12.733000000000001</v>
      </c>
      <c r="L403" s="111">
        <f t="shared" ref="L403:L466" si="87">IF(ISBLANK($E403),"",IF(ISERR(I403/I403)=TRUE,"BAD INSP",I403-$E403))</f>
        <v>-3.0000000000001137E-3</v>
      </c>
      <c r="M403" s="112">
        <f t="shared" ref="M403:M466" si="88">IF(ISBLANK($E403),"",IF(ISERR(J403/J403)=TRUE,"BAD INSP",J403-$E403))</f>
        <v>2.8000000000000469E-2</v>
      </c>
      <c r="N403" s="112">
        <f t="shared" ref="N403:N466" si="89">IF(ISBLANK($E403),"",IF(ISERR(K403/K403)=TRUE,"BAD INSP",K403-$E403))</f>
        <v>3.3000000000001251E-2</v>
      </c>
      <c r="O403" s="112">
        <f t="shared" si="81"/>
        <v>12.719333333333333</v>
      </c>
      <c r="P403" s="113">
        <f t="shared" si="82"/>
        <v>0.33000000000001251</v>
      </c>
      <c r="Q403" s="114">
        <f t="shared" si="83"/>
        <v>3.0000000000001137E-2</v>
      </c>
      <c r="R403" s="115" t="str">
        <f t="shared" si="84"/>
        <v xml:space="preserve"> </v>
      </c>
      <c r="S403" s="115" t="str">
        <f t="shared" si="85"/>
        <v xml:space="preserve"> </v>
      </c>
      <c r="T403" s="116" t="str">
        <f t="shared" si="86"/>
        <v/>
      </c>
      <c r="U403" s="120"/>
      <c r="V403" s="118"/>
      <c r="W403" s="131"/>
    </row>
    <row r="404" spans="1:23" ht="13.2">
      <c r="A404" s="102" t="s">
        <v>438</v>
      </c>
      <c r="B404" s="103"/>
      <c r="C404" s="104">
        <v>3</v>
      </c>
      <c r="D404" s="105" t="s">
        <v>64</v>
      </c>
      <c r="E404" s="106">
        <v>12.7</v>
      </c>
      <c r="F404" s="107">
        <v>0.1</v>
      </c>
      <c r="G404" s="108">
        <v>0.1</v>
      </c>
      <c r="H404" s="121" t="s">
        <v>55</v>
      </c>
      <c r="I404" s="110">
        <v>12.695</v>
      </c>
      <c r="J404" s="110">
        <v>12.705</v>
      </c>
      <c r="K404" s="119">
        <v>12.718999999999999</v>
      </c>
      <c r="L404" s="111">
        <f t="shared" si="87"/>
        <v>-4.9999999999990052E-3</v>
      </c>
      <c r="M404" s="112">
        <f t="shared" si="88"/>
        <v>5.0000000000007816E-3</v>
      </c>
      <c r="N404" s="112">
        <f t="shared" si="89"/>
        <v>1.9000000000000128E-2</v>
      </c>
      <c r="O404" s="112">
        <f t="shared" si="81"/>
        <v>12.706333333333333</v>
      </c>
      <c r="P404" s="113">
        <f t="shared" si="82"/>
        <v>0.19000000000000128</v>
      </c>
      <c r="Q404" s="114">
        <f t="shared" si="83"/>
        <v>4.9999999999990052E-2</v>
      </c>
      <c r="R404" s="115" t="str">
        <f t="shared" si="84"/>
        <v xml:space="preserve"> </v>
      </c>
      <c r="S404" s="115" t="str">
        <f t="shared" si="85"/>
        <v xml:space="preserve"> </v>
      </c>
      <c r="T404" s="116" t="str">
        <f t="shared" si="86"/>
        <v/>
      </c>
      <c r="U404" s="120"/>
      <c r="V404" s="118"/>
      <c r="W404" s="131"/>
    </row>
    <row r="405" spans="1:23" ht="13.2">
      <c r="A405" s="102" t="s">
        <v>439</v>
      </c>
      <c r="B405" s="102"/>
      <c r="C405" s="104">
        <v>3</v>
      </c>
      <c r="D405" s="105" t="s">
        <v>64</v>
      </c>
      <c r="E405" s="106">
        <v>12.7</v>
      </c>
      <c r="F405" s="107">
        <v>0.1</v>
      </c>
      <c r="G405" s="108">
        <v>0.1</v>
      </c>
      <c r="H405" s="121" t="s">
        <v>55</v>
      </c>
      <c r="I405" s="110">
        <v>12.68</v>
      </c>
      <c r="J405" s="110">
        <v>12.71</v>
      </c>
      <c r="K405" s="119">
        <v>12.699</v>
      </c>
      <c r="L405" s="111">
        <f t="shared" si="87"/>
        <v>-1.9999999999999574E-2</v>
      </c>
      <c r="M405" s="112">
        <f t="shared" si="88"/>
        <v>1.0000000000001563E-2</v>
      </c>
      <c r="N405" s="112">
        <f t="shared" si="89"/>
        <v>-9.9999999999944578E-4</v>
      </c>
      <c r="O405" s="112">
        <f t="shared" si="81"/>
        <v>12.696333333333333</v>
      </c>
      <c r="P405" s="113">
        <f t="shared" si="82"/>
        <v>0.10000000000001563</v>
      </c>
      <c r="Q405" s="114">
        <f t="shared" si="83"/>
        <v>0.19999999999999574</v>
      </c>
      <c r="R405" s="115" t="str">
        <f t="shared" si="84"/>
        <v xml:space="preserve"> </v>
      </c>
      <c r="S405" s="115" t="str">
        <f t="shared" si="85"/>
        <v xml:space="preserve"> </v>
      </c>
      <c r="T405" s="116" t="str">
        <f t="shared" si="86"/>
        <v/>
      </c>
      <c r="U405" s="120"/>
      <c r="V405" s="118"/>
      <c r="W405" s="131"/>
    </row>
    <row r="406" spans="1:23" ht="13.2">
      <c r="A406" s="102" t="s">
        <v>440</v>
      </c>
      <c r="B406" s="102"/>
      <c r="C406" s="104">
        <v>3</v>
      </c>
      <c r="D406" s="105" t="s">
        <v>64</v>
      </c>
      <c r="E406" s="106">
        <v>12.7</v>
      </c>
      <c r="F406" s="107">
        <v>0.1</v>
      </c>
      <c r="G406" s="108">
        <v>0.1</v>
      </c>
      <c r="H406" s="121" t="s">
        <v>55</v>
      </c>
      <c r="I406" s="110">
        <v>12.68</v>
      </c>
      <c r="J406" s="110">
        <v>12.712</v>
      </c>
      <c r="K406" s="119">
        <v>12.722</v>
      </c>
      <c r="L406" s="111">
        <f t="shared" si="87"/>
        <v>-1.9999999999999574E-2</v>
      </c>
      <c r="M406" s="112">
        <f t="shared" si="88"/>
        <v>1.2000000000000455E-2</v>
      </c>
      <c r="N406" s="112">
        <f t="shared" si="89"/>
        <v>2.2000000000000242E-2</v>
      </c>
      <c r="O406" s="112">
        <f t="shared" si="81"/>
        <v>12.704666666666666</v>
      </c>
      <c r="P406" s="113">
        <f t="shared" si="82"/>
        <v>0.22000000000000242</v>
      </c>
      <c r="Q406" s="114">
        <f t="shared" si="83"/>
        <v>0.19999999999999574</v>
      </c>
      <c r="R406" s="115" t="str">
        <f t="shared" si="84"/>
        <v xml:space="preserve"> </v>
      </c>
      <c r="S406" s="115" t="str">
        <f t="shared" si="85"/>
        <v xml:space="preserve"> </v>
      </c>
      <c r="T406" s="116" t="str">
        <f t="shared" si="86"/>
        <v/>
      </c>
      <c r="U406" s="120"/>
      <c r="V406" s="118"/>
      <c r="W406" s="131"/>
    </row>
    <row r="407" spans="1:23" ht="13.2">
      <c r="A407" s="102" t="s">
        <v>441</v>
      </c>
      <c r="B407" s="102" t="s">
        <v>573</v>
      </c>
      <c r="C407" s="104">
        <v>3</v>
      </c>
      <c r="D407" s="105" t="s">
        <v>64</v>
      </c>
      <c r="E407" s="106">
        <v>25.4</v>
      </c>
      <c r="F407" s="107">
        <v>0.1</v>
      </c>
      <c r="G407" s="108">
        <v>0.1</v>
      </c>
      <c r="H407" s="121" t="s">
        <v>55</v>
      </c>
      <c r="I407" s="110">
        <v>25.39</v>
      </c>
      <c r="J407" s="110">
        <v>25.436</v>
      </c>
      <c r="K407" s="119">
        <v>25.446999999999999</v>
      </c>
      <c r="L407" s="111">
        <f t="shared" si="87"/>
        <v>-9.9999999999980105E-3</v>
      </c>
      <c r="M407" s="112">
        <f t="shared" si="88"/>
        <v>3.6000000000001364E-2</v>
      </c>
      <c r="N407" s="112">
        <f t="shared" si="89"/>
        <v>4.7000000000000597E-2</v>
      </c>
      <c r="O407" s="112">
        <f t="shared" si="81"/>
        <v>25.424333333333333</v>
      </c>
      <c r="P407" s="113">
        <f t="shared" si="82"/>
        <v>0.47000000000000597</v>
      </c>
      <c r="Q407" s="114">
        <f t="shared" si="83"/>
        <v>9.9999999999980105E-2</v>
      </c>
      <c r="R407" s="115" t="str">
        <f t="shared" si="84"/>
        <v xml:space="preserve"> </v>
      </c>
      <c r="S407" s="115" t="str">
        <f t="shared" si="85"/>
        <v xml:space="preserve"> </v>
      </c>
      <c r="T407" s="116" t="str">
        <f t="shared" si="86"/>
        <v/>
      </c>
      <c r="U407" s="120"/>
      <c r="V407" s="118"/>
      <c r="W407" s="131"/>
    </row>
    <row r="408" spans="1:23" ht="13.2">
      <c r="A408" s="102" t="s">
        <v>442</v>
      </c>
      <c r="B408" s="102" t="s">
        <v>573</v>
      </c>
      <c r="C408" s="104">
        <v>3</v>
      </c>
      <c r="D408" s="105" t="s">
        <v>64</v>
      </c>
      <c r="E408" s="106">
        <v>25.4</v>
      </c>
      <c r="F408" s="107">
        <v>0.1</v>
      </c>
      <c r="G408" s="108">
        <v>0.1</v>
      </c>
      <c r="H408" s="121" t="s">
        <v>55</v>
      </c>
      <c r="I408" s="110">
        <v>25.398</v>
      </c>
      <c r="J408" s="110">
        <v>25.428999999999998</v>
      </c>
      <c r="K408" s="119">
        <v>25.42</v>
      </c>
      <c r="L408" s="111">
        <f t="shared" si="87"/>
        <v>-1.9999999999988916E-3</v>
      </c>
      <c r="M408" s="112">
        <f t="shared" si="88"/>
        <v>2.8999999999999915E-2</v>
      </c>
      <c r="N408" s="112">
        <f t="shared" si="89"/>
        <v>2.0000000000003126E-2</v>
      </c>
      <c r="O408" s="112">
        <f t="shared" si="81"/>
        <v>25.415666666666667</v>
      </c>
      <c r="P408" s="113">
        <f t="shared" si="82"/>
        <v>0.28999999999999915</v>
      </c>
      <c r="Q408" s="114">
        <f t="shared" si="83"/>
        <v>1.9999999999988916E-2</v>
      </c>
      <c r="R408" s="115" t="str">
        <f t="shared" si="84"/>
        <v xml:space="preserve"> </v>
      </c>
      <c r="S408" s="115" t="str">
        <f t="shared" si="85"/>
        <v xml:space="preserve"> </v>
      </c>
      <c r="T408" s="116" t="str">
        <f t="shared" si="86"/>
        <v/>
      </c>
      <c r="U408" s="120"/>
      <c r="V408" s="118"/>
      <c r="W408" s="131"/>
    </row>
    <row r="409" spans="1:23" ht="13.2">
      <c r="A409" s="102" t="s">
        <v>443</v>
      </c>
      <c r="B409" s="102" t="s">
        <v>573</v>
      </c>
      <c r="C409" s="104">
        <v>3</v>
      </c>
      <c r="D409" s="105" t="s">
        <v>64</v>
      </c>
      <c r="E409" s="106">
        <v>25.4</v>
      </c>
      <c r="F409" s="107">
        <v>0.1</v>
      </c>
      <c r="G409" s="108">
        <v>0.1</v>
      </c>
      <c r="H409" s="121" t="s">
        <v>55</v>
      </c>
      <c r="I409" s="110">
        <v>25.37</v>
      </c>
      <c r="J409" s="110">
        <v>25.425000000000001</v>
      </c>
      <c r="K409" s="119">
        <v>25.419</v>
      </c>
      <c r="L409" s="111">
        <f t="shared" si="87"/>
        <v>-2.9999999999997584E-2</v>
      </c>
      <c r="M409" s="112">
        <f t="shared" si="88"/>
        <v>2.5000000000002132E-2</v>
      </c>
      <c r="N409" s="112">
        <f t="shared" si="89"/>
        <v>1.9000000000001904E-2</v>
      </c>
      <c r="O409" s="112">
        <f t="shared" si="81"/>
        <v>25.404666666666667</v>
      </c>
      <c r="P409" s="113">
        <f t="shared" si="82"/>
        <v>0.25000000000002132</v>
      </c>
      <c r="Q409" s="114">
        <f t="shared" si="83"/>
        <v>0.29999999999997584</v>
      </c>
      <c r="R409" s="115" t="str">
        <f t="shared" si="84"/>
        <v xml:space="preserve"> </v>
      </c>
      <c r="S409" s="115" t="str">
        <f t="shared" si="85"/>
        <v xml:space="preserve"> </v>
      </c>
      <c r="T409" s="116" t="str">
        <f t="shared" si="86"/>
        <v/>
      </c>
      <c r="U409" s="120"/>
      <c r="V409" s="118"/>
      <c r="W409" s="131"/>
    </row>
    <row r="410" spans="1:23" ht="13.2">
      <c r="A410" s="102" t="s">
        <v>444</v>
      </c>
      <c r="B410" s="102" t="s">
        <v>573</v>
      </c>
      <c r="C410" s="104">
        <v>3</v>
      </c>
      <c r="D410" s="105" t="s">
        <v>64</v>
      </c>
      <c r="E410" s="106">
        <v>25.4</v>
      </c>
      <c r="F410" s="107">
        <v>0.1</v>
      </c>
      <c r="G410" s="108">
        <v>0.1</v>
      </c>
      <c r="H410" s="121" t="s">
        <v>55</v>
      </c>
      <c r="I410" s="110">
        <v>25.376999999999999</v>
      </c>
      <c r="J410" s="110">
        <v>25.408999999999999</v>
      </c>
      <c r="K410" s="119">
        <v>25.417000000000002</v>
      </c>
      <c r="L410" s="111">
        <f t="shared" si="87"/>
        <v>-2.2999999999999687E-2</v>
      </c>
      <c r="M410" s="112">
        <f t="shared" si="88"/>
        <v>9.0000000000003411E-3</v>
      </c>
      <c r="N410" s="112">
        <f t="shared" si="89"/>
        <v>1.7000000000003013E-2</v>
      </c>
      <c r="O410" s="112">
        <f t="shared" si="81"/>
        <v>25.401</v>
      </c>
      <c r="P410" s="113">
        <f t="shared" si="82"/>
        <v>0.17000000000003013</v>
      </c>
      <c r="Q410" s="114">
        <f t="shared" si="83"/>
        <v>0.22999999999999687</v>
      </c>
      <c r="R410" s="115" t="str">
        <f t="shared" si="84"/>
        <v xml:space="preserve"> </v>
      </c>
      <c r="S410" s="115" t="str">
        <f t="shared" si="85"/>
        <v xml:space="preserve"> </v>
      </c>
      <c r="T410" s="116" t="str">
        <f t="shared" si="86"/>
        <v/>
      </c>
      <c r="U410" s="120"/>
      <c r="V410" s="118"/>
      <c r="W410" s="131"/>
    </row>
    <row r="411" spans="1:23" ht="13.2">
      <c r="A411" s="102" t="s">
        <v>445</v>
      </c>
      <c r="B411" s="102"/>
      <c r="C411" s="104">
        <v>3</v>
      </c>
      <c r="D411" s="105" t="s">
        <v>64</v>
      </c>
      <c r="E411" s="106">
        <v>0.79</v>
      </c>
      <c r="F411" s="107">
        <v>0.03</v>
      </c>
      <c r="G411" s="108">
        <v>0.03</v>
      </c>
      <c r="H411" s="109" t="s">
        <v>55</v>
      </c>
      <c r="I411" s="110">
        <v>0.80600000000000005</v>
      </c>
      <c r="J411" s="110">
        <v>0.79900000000000004</v>
      </c>
      <c r="K411" s="119">
        <v>0.79600000000000004</v>
      </c>
      <c r="L411" s="111">
        <f t="shared" si="87"/>
        <v>1.6000000000000014E-2</v>
      </c>
      <c r="M411" s="112">
        <f t="shared" si="88"/>
        <v>9.000000000000008E-3</v>
      </c>
      <c r="N411" s="112">
        <f t="shared" si="89"/>
        <v>6.0000000000000053E-3</v>
      </c>
      <c r="O411" s="112">
        <f t="shared" si="81"/>
        <v>0.80033333333333323</v>
      </c>
      <c r="P411" s="113">
        <f t="shared" si="82"/>
        <v>0.53333333333333388</v>
      </c>
      <c r="Q411" s="114">
        <f t="shared" si="83"/>
        <v>0</v>
      </c>
      <c r="R411" s="115" t="str">
        <f t="shared" si="84"/>
        <v xml:space="preserve"> </v>
      </c>
      <c r="S411" s="115" t="str">
        <f t="shared" si="85"/>
        <v xml:space="preserve"> </v>
      </c>
      <c r="T411" s="116" t="str">
        <f t="shared" si="86"/>
        <v/>
      </c>
      <c r="U411" s="120"/>
      <c r="V411" s="118"/>
      <c r="W411" s="131"/>
    </row>
    <row r="412" spans="1:23" ht="13.2">
      <c r="A412" s="102" t="s">
        <v>446</v>
      </c>
      <c r="B412" s="102"/>
      <c r="C412" s="104">
        <v>3</v>
      </c>
      <c r="D412" s="105" t="s">
        <v>64</v>
      </c>
      <c r="E412" s="106">
        <v>0.79</v>
      </c>
      <c r="F412" s="107">
        <v>0.03</v>
      </c>
      <c r="G412" s="108">
        <v>0.03</v>
      </c>
      <c r="H412" s="109" t="s">
        <v>55</v>
      </c>
      <c r="I412" s="110">
        <v>0.78</v>
      </c>
      <c r="J412" s="110">
        <v>0.79300000000000004</v>
      </c>
      <c r="K412" s="119">
        <v>0.79200000000000004</v>
      </c>
      <c r="L412" s="111">
        <f t="shared" si="87"/>
        <v>-1.0000000000000009E-2</v>
      </c>
      <c r="M412" s="112">
        <f t="shared" si="88"/>
        <v>3.0000000000000027E-3</v>
      </c>
      <c r="N412" s="112">
        <f t="shared" si="89"/>
        <v>2.0000000000000018E-3</v>
      </c>
      <c r="O412" s="112">
        <f t="shared" si="81"/>
        <v>0.78833333333333344</v>
      </c>
      <c r="P412" s="113">
        <f t="shared" si="82"/>
        <v>0.10000000000000009</v>
      </c>
      <c r="Q412" s="114">
        <f t="shared" si="83"/>
        <v>0.33333333333333365</v>
      </c>
      <c r="R412" s="115" t="str">
        <f t="shared" si="84"/>
        <v xml:space="preserve"> </v>
      </c>
      <c r="S412" s="115" t="str">
        <f t="shared" si="85"/>
        <v xml:space="preserve"> </v>
      </c>
      <c r="T412" s="116" t="str">
        <f t="shared" si="86"/>
        <v/>
      </c>
      <c r="U412" s="120"/>
      <c r="V412" s="118"/>
      <c r="W412" s="131"/>
    </row>
    <row r="413" spans="1:23" ht="13.2">
      <c r="A413" s="102" t="s">
        <v>447</v>
      </c>
      <c r="B413" s="102"/>
      <c r="C413" s="104">
        <v>3</v>
      </c>
      <c r="D413" s="105" t="s">
        <v>64</v>
      </c>
      <c r="E413" s="106">
        <v>0.79</v>
      </c>
      <c r="F413" s="107">
        <v>0.03</v>
      </c>
      <c r="G413" s="108">
        <v>0.03</v>
      </c>
      <c r="H413" s="109" t="s">
        <v>55</v>
      </c>
      <c r="I413" s="110">
        <v>0.79400000000000004</v>
      </c>
      <c r="J413" s="110">
        <v>0.8</v>
      </c>
      <c r="K413" s="119">
        <v>0.79500000000000004</v>
      </c>
      <c r="L413" s="111">
        <f t="shared" si="87"/>
        <v>4.0000000000000036E-3</v>
      </c>
      <c r="M413" s="112">
        <f t="shared" si="88"/>
        <v>1.0000000000000009E-2</v>
      </c>
      <c r="N413" s="112">
        <f t="shared" si="89"/>
        <v>5.0000000000000044E-3</v>
      </c>
      <c r="O413" s="112">
        <f t="shared" si="81"/>
        <v>0.79633333333333345</v>
      </c>
      <c r="P413" s="113">
        <f t="shared" si="82"/>
        <v>0.33333333333333365</v>
      </c>
      <c r="Q413" s="114">
        <f t="shared" si="83"/>
        <v>0</v>
      </c>
      <c r="R413" s="115" t="str">
        <f t="shared" si="84"/>
        <v xml:space="preserve"> </v>
      </c>
      <c r="S413" s="115" t="str">
        <f t="shared" si="85"/>
        <v xml:space="preserve"> </v>
      </c>
      <c r="T413" s="116" t="str">
        <f t="shared" si="86"/>
        <v/>
      </c>
      <c r="U413" s="120"/>
      <c r="V413" s="118"/>
      <c r="W413" s="131"/>
    </row>
    <row r="414" spans="1:23" ht="13.2">
      <c r="A414" s="102" t="s">
        <v>448</v>
      </c>
      <c r="B414" s="102"/>
      <c r="C414" s="104">
        <v>3</v>
      </c>
      <c r="D414" s="105" t="s">
        <v>64</v>
      </c>
      <c r="E414" s="106">
        <v>0.79</v>
      </c>
      <c r="F414" s="107">
        <v>0.03</v>
      </c>
      <c r="G414" s="108">
        <v>0.03</v>
      </c>
      <c r="H414" s="109" t="s">
        <v>55</v>
      </c>
      <c r="I414" s="110">
        <v>0.79100000000000004</v>
      </c>
      <c r="J414" s="110">
        <v>0.78900000000000003</v>
      </c>
      <c r="K414" s="119">
        <v>0.78900000000000003</v>
      </c>
      <c r="L414" s="111">
        <f t="shared" si="87"/>
        <v>1.0000000000000009E-3</v>
      </c>
      <c r="M414" s="112">
        <f t="shared" si="88"/>
        <v>-1.0000000000000009E-3</v>
      </c>
      <c r="N414" s="112">
        <f t="shared" si="89"/>
        <v>-1.0000000000000009E-3</v>
      </c>
      <c r="O414" s="112">
        <f t="shared" si="81"/>
        <v>0.78966666666666674</v>
      </c>
      <c r="P414" s="113">
        <f t="shared" si="82"/>
        <v>3.3333333333333368E-2</v>
      </c>
      <c r="Q414" s="114">
        <f t="shared" si="83"/>
        <v>3.3333333333333368E-2</v>
      </c>
      <c r="R414" s="115" t="str">
        <f t="shared" si="84"/>
        <v xml:space="preserve"> </v>
      </c>
      <c r="S414" s="115" t="str">
        <f t="shared" si="85"/>
        <v xml:space="preserve"> </v>
      </c>
      <c r="T414" s="116" t="str">
        <f t="shared" si="86"/>
        <v/>
      </c>
      <c r="U414" s="120"/>
      <c r="V414" s="118"/>
      <c r="W414" s="131"/>
    </row>
    <row r="415" spans="1:23" ht="13.2">
      <c r="A415" s="102" t="s">
        <v>449</v>
      </c>
      <c r="B415" s="102"/>
      <c r="C415" s="104">
        <v>3</v>
      </c>
      <c r="D415" s="105" t="s">
        <v>64</v>
      </c>
      <c r="E415" s="106">
        <v>0.79</v>
      </c>
      <c r="F415" s="107">
        <v>0.03</v>
      </c>
      <c r="G415" s="108">
        <v>0.03</v>
      </c>
      <c r="H415" s="109" t="s">
        <v>55</v>
      </c>
      <c r="I415" s="110">
        <v>0.8</v>
      </c>
      <c r="J415" s="110">
        <v>0.79200000000000004</v>
      </c>
      <c r="K415" s="119">
        <v>0.80300000000000005</v>
      </c>
      <c r="L415" s="111">
        <f t="shared" si="87"/>
        <v>1.0000000000000009E-2</v>
      </c>
      <c r="M415" s="112">
        <f t="shared" si="88"/>
        <v>2.0000000000000018E-3</v>
      </c>
      <c r="N415" s="112">
        <f t="shared" si="89"/>
        <v>1.3000000000000012E-2</v>
      </c>
      <c r="O415" s="112">
        <f t="shared" si="81"/>
        <v>0.79833333333333334</v>
      </c>
      <c r="P415" s="113">
        <f t="shared" si="82"/>
        <v>0.43333333333333374</v>
      </c>
      <c r="Q415" s="114">
        <f t="shared" si="83"/>
        <v>0</v>
      </c>
      <c r="R415" s="115" t="str">
        <f t="shared" si="84"/>
        <v xml:space="preserve"> </v>
      </c>
      <c r="S415" s="115" t="str">
        <f t="shared" si="85"/>
        <v xml:space="preserve"> </v>
      </c>
      <c r="T415" s="116" t="str">
        <f t="shared" si="86"/>
        <v/>
      </c>
      <c r="U415" s="120"/>
      <c r="V415" s="118"/>
      <c r="W415" s="131"/>
    </row>
    <row r="416" spans="1:23" ht="13.2">
      <c r="A416" s="102" t="s">
        <v>450</v>
      </c>
      <c r="B416" s="102"/>
      <c r="C416" s="104">
        <v>3</v>
      </c>
      <c r="D416" s="105" t="s">
        <v>64</v>
      </c>
      <c r="E416" s="106">
        <v>0.79</v>
      </c>
      <c r="F416" s="107">
        <v>0.03</v>
      </c>
      <c r="G416" s="108">
        <v>0.03</v>
      </c>
      <c r="H416" s="109" t="s">
        <v>55</v>
      </c>
      <c r="I416" s="110">
        <v>0.78800000000000003</v>
      </c>
      <c r="J416" s="110">
        <v>0.78900000000000003</v>
      </c>
      <c r="K416" s="119">
        <v>0.78500000000000003</v>
      </c>
      <c r="L416" s="111">
        <f t="shared" si="87"/>
        <v>-2.0000000000000018E-3</v>
      </c>
      <c r="M416" s="112">
        <f t="shared" si="88"/>
        <v>-1.0000000000000009E-3</v>
      </c>
      <c r="N416" s="112">
        <f t="shared" si="89"/>
        <v>-5.0000000000000044E-3</v>
      </c>
      <c r="O416" s="112">
        <f t="shared" si="81"/>
        <v>0.78733333333333333</v>
      </c>
      <c r="P416" s="113">
        <f t="shared" si="82"/>
        <v>0</v>
      </c>
      <c r="Q416" s="114">
        <f t="shared" si="83"/>
        <v>0.16666666666666682</v>
      </c>
      <c r="R416" s="115" t="str">
        <f t="shared" si="84"/>
        <v xml:space="preserve"> </v>
      </c>
      <c r="S416" s="115" t="str">
        <f t="shared" si="85"/>
        <v xml:space="preserve"> </v>
      </c>
      <c r="T416" s="116" t="str">
        <f t="shared" si="86"/>
        <v/>
      </c>
      <c r="U416" s="120"/>
      <c r="V416" s="118"/>
      <c r="W416" s="131"/>
    </row>
    <row r="417" spans="1:23" ht="13.2">
      <c r="A417" s="102" t="s">
        <v>451</v>
      </c>
      <c r="B417" s="103"/>
      <c r="C417" s="104">
        <v>3</v>
      </c>
      <c r="D417" s="105" t="s">
        <v>64</v>
      </c>
      <c r="E417" s="106">
        <v>0.79</v>
      </c>
      <c r="F417" s="107">
        <v>0.03</v>
      </c>
      <c r="G417" s="108">
        <v>0.03</v>
      </c>
      <c r="H417" s="109" t="s">
        <v>55</v>
      </c>
      <c r="I417" s="110">
        <v>0.79800000000000004</v>
      </c>
      <c r="J417" s="110">
        <v>0.80300000000000005</v>
      </c>
      <c r="K417" s="119">
        <v>0.79900000000000004</v>
      </c>
      <c r="L417" s="111">
        <f t="shared" si="87"/>
        <v>8.0000000000000071E-3</v>
      </c>
      <c r="M417" s="112">
        <f t="shared" si="88"/>
        <v>1.3000000000000012E-2</v>
      </c>
      <c r="N417" s="112">
        <f t="shared" si="89"/>
        <v>9.000000000000008E-3</v>
      </c>
      <c r="O417" s="112">
        <f t="shared" si="81"/>
        <v>0.79999999999999993</v>
      </c>
      <c r="P417" s="113">
        <f t="shared" si="82"/>
        <v>0.43333333333333374</v>
      </c>
      <c r="Q417" s="114">
        <f t="shared" si="83"/>
        <v>0</v>
      </c>
      <c r="R417" s="115" t="str">
        <f t="shared" si="84"/>
        <v xml:space="preserve"> </v>
      </c>
      <c r="S417" s="115" t="str">
        <f t="shared" si="85"/>
        <v xml:space="preserve"> </v>
      </c>
      <c r="T417" s="116" t="str">
        <f t="shared" si="86"/>
        <v/>
      </c>
      <c r="U417" s="120"/>
      <c r="V417" s="118"/>
      <c r="W417" s="131"/>
    </row>
    <row r="418" spans="1:23" ht="13.2">
      <c r="A418" s="102" t="s">
        <v>452</v>
      </c>
      <c r="B418" s="103"/>
      <c r="C418" s="104">
        <v>3</v>
      </c>
      <c r="D418" s="105" t="s">
        <v>64</v>
      </c>
      <c r="E418" s="106">
        <v>0.79</v>
      </c>
      <c r="F418" s="107">
        <v>0.03</v>
      </c>
      <c r="G418" s="108">
        <v>0.03</v>
      </c>
      <c r="H418" s="109" t="s">
        <v>55</v>
      </c>
      <c r="I418" s="110">
        <v>0.79900000000000004</v>
      </c>
      <c r="J418" s="110">
        <v>0.8</v>
      </c>
      <c r="K418" s="119">
        <v>0.78600000000000003</v>
      </c>
      <c r="L418" s="111">
        <f t="shared" si="87"/>
        <v>9.000000000000008E-3</v>
      </c>
      <c r="M418" s="112">
        <f t="shared" si="88"/>
        <v>1.0000000000000009E-2</v>
      </c>
      <c r="N418" s="112">
        <f t="shared" si="89"/>
        <v>-4.0000000000000036E-3</v>
      </c>
      <c r="O418" s="112">
        <f t="shared" si="81"/>
        <v>0.79500000000000004</v>
      </c>
      <c r="P418" s="113">
        <f t="shared" si="82"/>
        <v>0.33333333333333365</v>
      </c>
      <c r="Q418" s="114">
        <f t="shared" si="83"/>
        <v>0.13333333333333347</v>
      </c>
      <c r="R418" s="115" t="str">
        <f t="shared" si="84"/>
        <v xml:space="preserve"> </v>
      </c>
      <c r="S418" s="115" t="str">
        <f t="shared" si="85"/>
        <v xml:space="preserve"> </v>
      </c>
      <c r="T418" s="116" t="str">
        <f t="shared" si="86"/>
        <v/>
      </c>
      <c r="U418" s="120"/>
      <c r="V418" s="118"/>
      <c r="W418" s="131"/>
    </row>
    <row r="419" spans="1:23" ht="13.2">
      <c r="A419" s="102" t="s">
        <v>453</v>
      </c>
      <c r="B419" s="103"/>
      <c r="C419" s="104">
        <v>3</v>
      </c>
      <c r="D419" s="105" t="s">
        <v>64</v>
      </c>
      <c r="E419" s="106">
        <v>0.79</v>
      </c>
      <c r="F419" s="107">
        <v>0.03</v>
      </c>
      <c r="G419" s="108">
        <v>0.03</v>
      </c>
      <c r="H419" s="109" t="s">
        <v>55</v>
      </c>
      <c r="I419" s="110">
        <v>0.78100000000000003</v>
      </c>
      <c r="J419" s="110">
        <v>0.78800000000000003</v>
      </c>
      <c r="K419" s="119">
        <v>0.8</v>
      </c>
      <c r="L419" s="111">
        <f t="shared" si="87"/>
        <v>-9.000000000000008E-3</v>
      </c>
      <c r="M419" s="112">
        <f t="shared" si="88"/>
        <v>-2.0000000000000018E-3</v>
      </c>
      <c r="N419" s="112">
        <f t="shared" si="89"/>
        <v>1.0000000000000009E-2</v>
      </c>
      <c r="O419" s="112">
        <f t="shared" si="81"/>
        <v>0.78966666666666663</v>
      </c>
      <c r="P419" s="113">
        <f t="shared" si="82"/>
        <v>0.33333333333333365</v>
      </c>
      <c r="Q419" s="114">
        <f t="shared" si="83"/>
        <v>0.30000000000000027</v>
      </c>
      <c r="R419" s="115" t="str">
        <f t="shared" si="84"/>
        <v xml:space="preserve"> </v>
      </c>
      <c r="S419" s="115" t="str">
        <f t="shared" si="85"/>
        <v xml:space="preserve"> </v>
      </c>
      <c r="T419" s="116" t="str">
        <f t="shared" si="86"/>
        <v/>
      </c>
      <c r="U419" s="120"/>
      <c r="V419" s="118"/>
      <c r="W419" s="131"/>
    </row>
    <row r="420" spans="1:23" ht="13.2">
      <c r="A420" s="102" t="s">
        <v>454</v>
      </c>
      <c r="B420" s="102"/>
      <c r="C420" s="104">
        <v>3</v>
      </c>
      <c r="D420" s="105" t="s">
        <v>64</v>
      </c>
      <c r="E420" s="106">
        <v>0.79</v>
      </c>
      <c r="F420" s="107">
        <v>0.03</v>
      </c>
      <c r="G420" s="108">
        <v>0.03</v>
      </c>
      <c r="H420" s="109" t="s">
        <v>55</v>
      </c>
      <c r="I420" s="110">
        <v>0.79400000000000004</v>
      </c>
      <c r="J420" s="110">
        <v>0.79500000000000004</v>
      </c>
      <c r="K420" s="119">
        <v>0.79100000000000004</v>
      </c>
      <c r="L420" s="111">
        <f t="shared" si="87"/>
        <v>4.0000000000000036E-3</v>
      </c>
      <c r="M420" s="112">
        <f t="shared" si="88"/>
        <v>5.0000000000000044E-3</v>
      </c>
      <c r="N420" s="112">
        <f t="shared" si="89"/>
        <v>1.0000000000000009E-3</v>
      </c>
      <c r="O420" s="112">
        <f t="shared" si="81"/>
        <v>0.79333333333333333</v>
      </c>
      <c r="P420" s="113">
        <f t="shared" si="82"/>
        <v>0.16666666666666682</v>
      </c>
      <c r="Q420" s="114">
        <f t="shared" si="83"/>
        <v>0</v>
      </c>
      <c r="R420" s="115" t="str">
        <f t="shared" si="84"/>
        <v xml:space="preserve"> </v>
      </c>
      <c r="S420" s="115" t="str">
        <f t="shared" si="85"/>
        <v xml:space="preserve"> </v>
      </c>
      <c r="T420" s="116" t="str">
        <f t="shared" si="86"/>
        <v/>
      </c>
      <c r="U420" s="120"/>
      <c r="V420" s="118"/>
      <c r="W420" s="131"/>
    </row>
    <row r="421" spans="1:23" ht="13.2">
      <c r="A421" s="102" t="s">
        <v>455</v>
      </c>
      <c r="B421" s="102"/>
      <c r="C421" s="104">
        <v>3</v>
      </c>
      <c r="D421" s="105" t="s">
        <v>64</v>
      </c>
      <c r="E421" s="106">
        <v>0.79</v>
      </c>
      <c r="F421" s="107">
        <v>0.03</v>
      </c>
      <c r="G421" s="108">
        <v>0.03</v>
      </c>
      <c r="H421" s="109" t="s">
        <v>55</v>
      </c>
      <c r="I421" s="110">
        <v>0.78700000000000003</v>
      </c>
      <c r="J421" s="110">
        <v>0.79200000000000004</v>
      </c>
      <c r="K421" s="119">
        <v>0.79800000000000004</v>
      </c>
      <c r="L421" s="111">
        <f t="shared" si="87"/>
        <v>-3.0000000000000027E-3</v>
      </c>
      <c r="M421" s="112">
        <f t="shared" si="88"/>
        <v>2.0000000000000018E-3</v>
      </c>
      <c r="N421" s="112">
        <f t="shared" si="89"/>
        <v>8.0000000000000071E-3</v>
      </c>
      <c r="O421" s="112">
        <f t="shared" si="81"/>
        <v>0.79233333333333344</v>
      </c>
      <c r="P421" s="113">
        <f t="shared" si="82"/>
        <v>0.26666666666666694</v>
      </c>
      <c r="Q421" s="114">
        <f t="shared" si="83"/>
        <v>0.10000000000000009</v>
      </c>
      <c r="R421" s="115" t="str">
        <f t="shared" si="84"/>
        <v xml:space="preserve"> </v>
      </c>
      <c r="S421" s="115" t="str">
        <f t="shared" si="85"/>
        <v xml:space="preserve"> </v>
      </c>
      <c r="T421" s="116" t="str">
        <f t="shared" si="86"/>
        <v/>
      </c>
      <c r="U421" s="120"/>
      <c r="V421" s="118"/>
      <c r="W421" s="131"/>
    </row>
    <row r="422" spans="1:23" ht="13.2">
      <c r="A422" s="102" t="s">
        <v>456</v>
      </c>
      <c r="B422" s="102"/>
      <c r="C422" s="104">
        <v>3</v>
      </c>
      <c r="D422" s="105" t="s">
        <v>64</v>
      </c>
      <c r="E422" s="106">
        <v>0.79</v>
      </c>
      <c r="F422" s="107">
        <v>0.03</v>
      </c>
      <c r="G422" s="108">
        <v>0.03</v>
      </c>
      <c r="H422" s="109" t="s">
        <v>55</v>
      </c>
      <c r="I422" s="110">
        <v>0.79600000000000004</v>
      </c>
      <c r="J422" s="110">
        <v>0.79800000000000004</v>
      </c>
      <c r="K422" s="119">
        <v>0.79400000000000004</v>
      </c>
      <c r="L422" s="111">
        <f t="shared" si="87"/>
        <v>6.0000000000000053E-3</v>
      </c>
      <c r="M422" s="112">
        <f t="shared" si="88"/>
        <v>8.0000000000000071E-3</v>
      </c>
      <c r="N422" s="112">
        <f t="shared" si="89"/>
        <v>4.0000000000000036E-3</v>
      </c>
      <c r="O422" s="112">
        <f t="shared" si="81"/>
        <v>0.79599999999999993</v>
      </c>
      <c r="P422" s="113">
        <f t="shared" si="82"/>
        <v>0.26666666666666694</v>
      </c>
      <c r="Q422" s="114">
        <f t="shared" si="83"/>
        <v>0</v>
      </c>
      <c r="R422" s="115" t="str">
        <f t="shared" si="84"/>
        <v xml:space="preserve"> </v>
      </c>
      <c r="S422" s="115" t="str">
        <f t="shared" si="85"/>
        <v xml:space="preserve"> </v>
      </c>
      <c r="T422" s="116" t="str">
        <f t="shared" si="86"/>
        <v/>
      </c>
      <c r="U422" s="120"/>
      <c r="V422" s="118"/>
      <c r="W422" s="131"/>
    </row>
    <row r="423" spans="1:23" ht="13.2">
      <c r="A423" s="102" t="s">
        <v>457</v>
      </c>
      <c r="B423" s="102"/>
      <c r="C423" s="104">
        <v>3</v>
      </c>
      <c r="D423" s="105" t="s">
        <v>64</v>
      </c>
      <c r="E423" s="106">
        <v>0.79</v>
      </c>
      <c r="F423" s="107">
        <v>0.03</v>
      </c>
      <c r="G423" s="108">
        <v>0.03</v>
      </c>
      <c r="H423" s="109" t="s">
        <v>55</v>
      </c>
      <c r="I423" s="110">
        <v>0.79300000000000004</v>
      </c>
      <c r="J423" s="110">
        <v>0.79800000000000004</v>
      </c>
      <c r="K423" s="119">
        <v>0.80100000000000005</v>
      </c>
      <c r="L423" s="111">
        <f t="shared" si="87"/>
        <v>3.0000000000000027E-3</v>
      </c>
      <c r="M423" s="112">
        <f t="shared" si="88"/>
        <v>8.0000000000000071E-3</v>
      </c>
      <c r="N423" s="112">
        <f t="shared" si="89"/>
        <v>1.100000000000001E-2</v>
      </c>
      <c r="O423" s="112">
        <f t="shared" si="81"/>
        <v>0.79733333333333345</v>
      </c>
      <c r="P423" s="113">
        <f t="shared" si="82"/>
        <v>0.36666666666666703</v>
      </c>
      <c r="Q423" s="114">
        <f t="shared" si="83"/>
        <v>0</v>
      </c>
      <c r="R423" s="115" t="str">
        <f t="shared" si="84"/>
        <v xml:space="preserve"> </v>
      </c>
      <c r="S423" s="115" t="str">
        <f t="shared" si="85"/>
        <v xml:space="preserve"> </v>
      </c>
      <c r="T423" s="116" t="str">
        <f t="shared" si="86"/>
        <v/>
      </c>
      <c r="U423" s="120"/>
      <c r="V423" s="118"/>
      <c r="W423" s="131"/>
    </row>
    <row r="424" spans="1:23" ht="13.2">
      <c r="A424" s="102" t="s">
        <v>458</v>
      </c>
      <c r="B424" s="102"/>
      <c r="C424" s="104">
        <v>3</v>
      </c>
      <c r="D424" s="105" t="s">
        <v>64</v>
      </c>
      <c r="E424" s="106">
        <v>0.79</v>
      </c>
      <c r="F424" s="107">
        <v>0.03</v>
      </c>
      <c r="G424" s="108">
        <v>0.03</v>
      </c>
      <c r="H424" s="109" t="s">
        <v>55</v>
      </c>
      <c r="I424" s="110">
        <v>0.79300000000000004</v>
      </c>
      <c r="J424" s="110">
        <v>0.79700000000000004</v>
      </c>
      <c r="K424" s="119">
        <v>0.79300000000000004</v>
      </c>
      <c r="L424" s="111">
        <f t="shared" si="87"/>
        <v>3.0000000000000027E-3</v>
      </c>
      <c r="M424" s="112">
        <f t="shared" si="88"/>
        <v>7.0000000000000062E-3</v>
      </c>
      <c r="N424" s="112">
        <f t="shared" si="89"/>
        <v>3.0000000000000027E-3</v>
      </c>
      <c r="O424" s="112">
        <f t="shared" si="81"/>
        <v>0.79433333333333334</v>
      </c>
      <c r="P424" s="113">
        <f t="shared" si="82"/>
        <v>0.23333333333333356</v>
      </c>
      <c r="Q424" s="114">
        <f t="shared" si="83"/>
        <v>0</v>
      </c>
      <c r="R424" s="115" t="str">
        <f t="shared" si="84"/>
        <v xml:space="preserve"> </v>
      </c>
      <c r="S424" s="115" t="str">
        <f t="shared" si="85"/>
        <v xml:space="preserve"> </v>
      </c>
      <c r="T424" s="116" t="str">
        <f t="shared" si="86"/>
        <v/>
      </c>
      <c r="U424" s="120"/>
      <c r="V424" s="118"/>
      <c r="W424" s="131"/>
    </row>
    <row r="425" spans="1:23" ht="13.2">
      <c r="A425" s="102" t="s">
        <v>459</v>
      </c>
      <c r="B425" s="102"/>
      <c r="C425" s="104">
        <v>3</v>
      </c>
      <c r="D425" s="105" t="s">
        <v>64</v>
      </c>
      <c r="E425" s="106">
        <v>0.79</v>
      </c>
      <c r="F425" s="107">
        <v>0.03</v>
      </c>
      <c r="G425" s="108">
        <v>0.03</v>
      </c>
      <c r="H425" s="109" t="s">
        <v>55</v>
      </c>
      <c r="I425" s="110">
        <v>0.79800000000000004</v>
      </c>
      <c r="J425" s="110">
        <v>0.78600000000000003</v>
      </c>
      <c r="K425" s="119">
        <v>0.79900000000000004</v>
      </c>
      <c r="L425" s="111">
        <f t="shared" si="87"/>
        <v>8.0000000000000071E-3</v>
      </c>
      <c r="M425" s="112">
        <f t="shared" si="88"/>
        <v>-4.0000000000000036E-3</v>
      </c>
      <c r="N425" s="112">
        <f t="shared" si="89"/>
        <v>9.000000000000008E-3</v>
      </c>
      <c r="O425" s="112">
        <f t="shared" si="81"/>
        <v>0.79433333333333334</v>
      </c>
      <c r="P425" s="113">
        <f t="shared" si="82"/>
        <v>0.30000000000000027</v>
      </c>
      <c r="Q425" s="114">
        <f t="shared" si="83"/>
        <v>0.13333333333333347</v>
      </c>
      <c r="R425" s="115" t="str">
        <f t="shared" si="84"/>
        <v xml:space="preserve"> </v>
      </c>
      <c r="S425" s="115" t="str">
        <f t="shared" si="85"/>
        <v xml:space="preserve"> </v>
      </c>
      <c r="T425" s="116" t="str">
        <f t="shared" si="86"/>
        <v/>
      </c>
      <c r="U425" s="120"/>
      <c r="V425" s="118"/>
      <c r="W425" s="131"/>
    </row>
    <row r="426" spans="1:23" ht="13.2">
      <c r="A426" s="102" t="s">
        <v>460</v>
      </c>
      <c r="B426" s="102"/>
      <c r="C426" s="104">
        <v>3</v>
      </c>
      <c r="D426" s="105" t="s">
        <v>64</v>
      </c>
      <c r="E426" s="106">
        <v>0.79</v>
      </c>
      <c r="F426" s="107">
        <v>0.03</v>
      </c>
      <c r="G426" s="108">
        <v>0.03</v>
      </c>
      <c r="H426" s="109" t="s">
        <v>55</v>
      </c>
      <c r="I426" s="110">
        <v>0.79400000000000004</v>
      </c>
      <c r="J426" s="110">
        <v>0.79800000000000004</v>
      </c>
      <c r="K426" s="119">
        <v>0.78500000000000003</v>
      </c>
      <c r="L426" s="111">
        <f t="shared" si="87"/>
        <v>4.0000000000000036E-3</v>
      </c>
      <c r="M426" s="112">
        <f t="shared" si="88"/>
        <v>8.0000000000000071E-3</v>
      </c>
      <c r="N426" s="112">
        <f t="shared" si="89"/>
        <v>-5.0000000000000044E-3</v>
      </c>
      <c r="O426" s="112">
        <f t="shared" si="81"/>
        <v>0.79233333333333344</v>
      </c>
      <c r="P426" s="113">
        <f t="shared" si="82"/>
        <v>0.26666666666666694</v>
      </c>
      <c r="Q426" s="114">
        <f t="shared" si="83"/>
        <v>0.16666666666666682</v>
      </c>
      <c r="R426" s="115" t="str">
        <f t="shared" si="84"/>
        <v xml:space="preserve"> </v>
      </c>
      <c r="S426" s="115" t="str">
        <f t="shared" si="85"/>
        <v xml:space="preserve"> </v>
      </c>
      <c r="T426" s="116" t="str">
        <f t="shared" si="86"/>
        <v/>
      </c>
      <c r="U426" s="120"/>
      <c r="V426" s="118"/>
      <c r="W426" s="131"/>
    </row>
    <row r="427" spans="1:23" ht="13.2">
      <c r="A427" s="102" t="s">
        <v>461</v>
      </c>
      <c r="B427" s="102"/>
      <c r="C427" s="104">
        <v>3</v>
      </c>
      <c r="D427" s="105" t="s">
        <v>64</v>
      </c>
      <c r="E427" s="106">
        <v>0.79</v>
      </c>
      <c r="F427" s="107">
        <v>0.03</v>
      </c>
      <c r="G427" s="108">
        <v>0.03</v>
      </c>
      <c r="H427" s="109" t="s">
        <v>55</v>
      </c>
      <c r="I427" s="110">
        <v>0.78900000000000003</v>
      </c>
      <c r="J427" s="110">
        <v>0.79500000000000004</v>
      </c>
      <c r="K427" s="119">
        <v>0.78500000000000003</v>
      </c>
      <c r="L427" s="111">
        <f t="shared" si="87"/>
        <v>-1.0000000000000009E-3</v>
      </c>
      <c r="M427" s="112">
        <f t="shared" si="88"/>
        <v>5.0000000000000044E-3</v>
      </c>
      <c r="N427" s="112">
        <f t="shared" si="89"/>
        <v>-5.0000000000000044E-3</v>
      </c>
      <c r="O427" s="112">
        <f t="shared" si="81"/>
        <v>0.78966666666666674</v>
      </c>
      <c r="P427" s="113">
        <f t="shared" si="82"/>
        <v>0.16666666666666682</v>
      </c>
      <c r="Q427" s="114">
        <f t="shared" si="83"/>
        <v>0.16666666666666682</v>
      </c>
      <c r="R427" s="115" t="str">
        <f t="shared" si="84"/>
        <v xml:space="preserve"> </v>
      </c>
      <c r="S427" s="115" t="str">
        <f t="shared" si="85"/>
        <v xml:space="preserve"> </v>
      </c>
      <c r="T427" s="116" t="str">
        <f t="shared" si="86"/>
        <v/>
      </c>
      <c r="U427" s="120"/>
      <c r="V427" s="118"/>
      <c r="W427" s="131"/>
    </row>
    <row r="428" spans="1:23" ht="13.2">
      <c r="A428" s="102" t="s">
        <v>462</v>
      </c>
      <c r="B428" s="102"/>
      <c r="C428" s="104">
        <v>3</v>
      </c>
      <c r="D428" s="105" t="s">
        <v>64</v>
      </c>
      <c r="E428" s="106">
        <v>0.79</v>
      </c>
      <c r="F428" s="107">
        <v>0.03</v>
      </c>
      <c r="G428" s="108">
        <v>0.03</v>
      </c>
      <c r="H428" s="109" t="s">
        <v>55</v>
      </c>
      <c r="I428" s="110">
        <v>0.79300000000000004</v>
      </c>
      <c r="J428" s="110">
        <v>0.79600000000000004</v>
      </c>
      <c r="K428" s="119">
        <v>0.79600000000000004</v>
      </c>
      <c r="L428" s="111">
        <f t="shared" si="87"/>
        <v>3.0000000000000027E-3</v>
      </c>
      <c r="M428" s="112">
        <f t="shared" si="88"/>
        <v>6.0000000000000053E-3</v>
      </c>
      <c r="N428" s="112">
        <f t="shared" si="89"/>
        <v>6.0000000000000053E-3</v>
      </c>
      <c r="O428" s="112">
        <f t="shared" si="81"/>
        <v>0.79499999999999993</v>
      </c>
      <c r="P428" s="113">
        <f t="shared" si="82"/>
        <v>0.20000000000000018</v>
      </c>
      <c r="Q428" s="114">
        <f t="shared" si="83"/>
        <v>0</v>
      </c>
      <c r="R428" s="115" t="str">
        <f t="shared" si="84"/>
        <v xml:space="preserve"> </v>
      </c>
      <c r="S428" s="115" t="str">
        <f t="shared" si="85"/>
        <v xml:space="preserve"> </v>
      </c>
      <c r="T428" s="116" t="str">
        <f t="shared" si="86"/>
        <v/>
      </c>
      <c r="U428" s="120"/>
      <c r="V428" s="118"/>
      <c r="W428" s="131"/>
    </row>
    <row r="429" spans="1:23" ht="13.2">
      <c r="A429" s="102" t="s">
        <v>463</v>
      </c>
      <c r="B429" s="102"/>
      <c r="C429" s="104">
        <v>3</v>
      </c>
      <c r="D429" s="105" t="s">
        <v>64</v>
      </c>
      <c r="E429" s="106">
        <v>0.79</v>
      </c>
      <c r="F429" s="107">
        <v>0.03</v>
      </c>
      <c r="G429" s="108">
        <v>0.03</v>
      </c>
      <c r="H429" s="109" t="s">
        <v>55</v>
      </c>
      <c r="I429" s="110">
        <v>0.79900000000000004</v>
      </c>
      <c r="J429" s="110">
        <v>0.78600000000000003</v>
      </c>
      <c r="K429" s="119">
        <v>0.79400000000000004</v>
      </c>
      <c r="L429" s="111">
        <f t="shared" si="87"/>
        <v>9.000000000000008E-3</v>
      </c>
      <c r="M429" s="112">
        <f t="shared" si="88"/>
        <v>-4.0000000000000036E-3</v>
      </c>
      <c r="N429" s="112">
        <f t="shared" si="89"/>
        <v>4.0000000000000036E-3</v>
      </c>
      <c r="O429" s="112">
        <f t="shared" si="81"/>
        <v>0.79300000000000004</v>
      </c>
      <c r="P429" s="113">
        <f t="shared" si="82"/>
        <v>0.30000000000000027</v>
      </c>
      <c r="Q429" s="114">
        <f t="shared" si="83"/>
        <v>0.13333333333333347</v>
      </c>
      <c r="R429" s="115" t="str">
        <f t="shared" si="84"/>
        <v xml:space="preserve"> </v>
      </c>
      <c r="S429" s="115" t="str">
        <f t="shared" si="85"/>
        <v xml:space="preserve"> </v>
      </c>
      <c r="T429" s="116" t="str">
        <f t="shared" si="86"/>
        <v/>
      </c>
      <c r="U429" s="120"/>
      <c r="V429" s="118"/>
      <c r="W429" s="131"/>
    </row>
    <row r="430" spans="1:23" ht="13.2">
      <c r="A430" s="102" t="s">
        <v>464</v>
      </c>
      <c r="B430" s="102"/>
      <c r="C430" s="104">
        <v>3</v>
      </c>
      <c r="D430" s="105" t="s">
        <v>64</v>
      </c>
      <c r="E430" s="106">
        <v>0.79</v>
      </c>
      <c r="F430" s="107">
        <v>0.03</v>
      </c>
      <c r="G430" s="108">
        <v>0.03</v>
      </c>
      <c r="H430" s="109" t="s">
        <v>55</v>
      </c>
      <c r="I430" s="110">
        <v>0.79800000000000004</v>
      </c>
      <c r="J430" s="110">
        <v>0.80500000000000005</v>
      </c>
      <c r="K430" s="119">
        <v>0.79900000000000004</v>
      </c>
      <c r="L430" s="111">
        <f t="shared" si="87"/>
        <v>8.0000000000000071E-3</v>
      </c>
      <c r="M430" s="112">
        <f t="shared" si="88"/>
        <v>1.5000000000000013E-2</v>
      </c>
      <c r="N430" s="112">
        <f t="shared" si="89"/>
        <v>9.000000000000008E-3</v>
      </c>
      <c r="O430" s="112">
        <f t="shared" si="81"/>
        <v>0.80066666666666675</v>
      </c>
      <c r="P430" s="113">
        <f t="shared" si="82"/>
        <v>0.50000000000000044</v>
      </c>
      <c r="Q430" s="114">
        <f t="shared" si="83"/>
        <v>0</v>
      </c>
      <c r="R430" s="115" t="str">
        <f t="shared" si="84"/>
        <v xml:space="preserve"> </v>
      </c>
      <c r="S430" s="115" t="str">
        <f t="shared" si="85"/>
        <v xml:space="preserve"> </v>
      </c>
      <c r="T430" s="116" t="str">
        <f t="shared" si="86"/>
        <v/>
      </c>
      <c r="U430" s="120"/>
      <c r="V430" s="118"/>
      <c r="W430" s="131"/>
    </row>
    <row r="431" spans="1:23" ht="13.2">
      <c r="A431" s="102" t="s">
        <v>465</v>
      </c>
      <c r="B431" s="102"/>
      <c r="C431" s="104">
        <v>3</v>
      </c>
      <c r="D431" s="105" t="s">
        <v>64</v>
      </c>
      <c r="E431" s="106">
        <v>0.79</v>
      </c>
      <c r="F431" s="107">
        <v>0.03</v>
      </c>
      <c r="G431" s="108">
        <v>0.03</v>
      </c>
      <c r="H431" s="109" t="s">
        <v>55</v>
      </c>
      <c r="I431" s="110">
        <v>0.78800000000000003</v>
      </c>
      <c r="J431" s="110">
        <v>0.78800000000000003</v>
      </c>
      <c r="K431" s="119">
        <v>0.79500000000000004</v>
      </c>
      <c r="L431" s="111">
        <f t="shared" si="87"/>
        <v>-2.0000000000000018E-3</v>
      </c>
      <c r="M431" s="112">
        <f t="shared" si="88"/>
        <v>-2.0000000000000018E-3</v>
      </c>
      <c r="N431" s="112">
        <f t="shared" si="89"/>
        <v>5.0000000000000044E-3</v>
      </c>
      <c r="O431" s="112">
        <f t="shared" si="81"/>
        <v>0.79033333333333333</v>
      </c>
      <c r="P431" s="113">
        <f t="shared" si="82"/>
        <v>0.16666666666666682</v>
      </c>
      <c r="Q431" s="114">
        <f t="shared" si="83"/>
        <v>6.6666666666666735E-2</v>
      </c>
      <c r="R431" s="115" t="str">
        <f t="shared" si="84"/>
        <v xml:space="preserve"> </v>
      </c>
      <c r="S431" s="115" t="str">
        <f t="shared" si="85"/>
        <v xml:space="preserve"> </v>
      </c>
      <c r="T431" s="116" t="str">
        <f t="shared" si="86"/>
        <v/>
      </c>
      <c r="U431" s="120"/>
      <c r="V431" s="118"/>
      <c r="W431" s="131"/>
    </row>
    <row r="432" spans="1:23" ht="13.2">
      <c r="A432" s="102" t="s">
        <v>466</v>
      </c>
      <c r="B432" s="103"/>
      <c r="C432" s="104">
        <v>3</v>
      </c>
      <c r="D432" s="105" t="s">
        <v>64</v>
      </c>
      <c r="E432" s="106">
        <v>0.79</v>
      </c>
      <c r="F432" s="107">
        <v>0.03</v>
      </c>
      <c r="G432" s="108">
        <v>0.03</v>
      </c>
      <c r="H432" s="109" t="s">
        <v>55</v>
      </c>
      <c r="I432" s="110">
        <v>0.79700000000000004</v>
      </c>
      <c r="J432" s="110">
        <v>0.79800000000000004</v>
      </c>
      <c r="K432" s="119">
        <v>0.80100000000000005</v>
      </c>
      <c r="L432" s="111">
        <f t="shared" si="87"/>
        <v>7.0000000000000062E-3</v>
      </c>
      <c r="M432" s="112">
        <f t="shared" si="88"/>
        <v>8.0000000000000071E-3</v>
      </c>
      <c r="N432" s="112">
        <f t="shared" si="89"/>
        <v>1.100000000000001E-2</v>
      </c>
      <c r="O432" s="112">
        <f t="shared" si="81"/>
        <v>0.79866666666666675</v>
      </c>
      <c r="P432" s="113">
        <f t="shared" si="82"/>
        <v>0.36666666666666703</v>
      </c>
      <c r="Q432" s="114">
        <f t="shared" si="83"/>
        <v>0</v>
      </c>
      <c r="R432" s="115" t="str">
        <f t="shared" si="84"/>
        <v xml:space="preserve"> </v>
      </c>
      <c r="S432" s="115" t="str">
        <f t="shared" si="85"/>
        <v xml:space="preserve"> </v>
      </c>
      <c r="T432" s="116" t="str">
        <f t="shared" si="86"/>
        <v/>
      </c>
      <c r="U432" s="120"/>
      <c r="V432" s="118"/>
      <c r="W432" s="131"/>
    </row>
    <row r="433" spans="1:23" ht="13.2">
      <c r="A433" s="102" t="s">
        <v>467</v>
      </c>
      <c r="B433" s="103"/>
      <c r="C433" s="104">
        <v>3</v>
      </c>
      <c r="D433" s="105" t="s">
        <v>64</v>
      </c>
      <c r="E433" s="106">
        <v>0.79</v>
      </c>
      <c r="F433" s="107">
        <v>0.03</v>
      </c>
      <c r="G433" s="108">
        <v>0.03</v>
      </c>
      <c r="H433" s="109" t="s">
        <v>55</v>
      </c>
      <c r="I433" s="110">
        <v>0.79800000000000004</v>
      </c>
      <c r="J433" s="110">
        <v>0.79600000000000004</v>
      </c>
      <c r="K433" s="119">
        <v>0.79600000000000004</v>
      </c>
      <c r="L433" s="111">
        <f t="shared" si="87"/>
        <v>8.0000000000000071E-3</v>
      </c>
      <c r="M433" s="112">
        <f t="shared" si="88"/>
        <v>6.0000000000000053E-3</v>
      </c>
      <c r="N433" s="112">
        <f t="shared" si="89"/>
        <v>6.0000000000000053E-3</v>
      </c>
      <c r="O433" s="112">
        <f t="shared" si="81"/>
        <v>0.79666666666666675</v>
      </c>
      <c r="P433" s="113">
        <f t="shared" si="82"/>
        <v>0.26666666666666694</v>
      </c>
      <c r="Q433" s="114">
        <f t="shared" si="83"/>
        <v>0</v>
      </c>
      <c r="R433" s="115" t="str">
        <f t="shared" si="84"/>
        <v xml:space="preserve"> </v>
      </c>
      <c r="S433" s="115" t="str">
        <f t="shared" si="85"/>
        <v xml:space="preserve"> </v>
      </c>
      <c r="T433" s="116" t="str">
        <f t="shared" si="86"/>
        <v/>
      </c>
      <c r="U433" s="120"/>
      <c r="V433" s="118"/>
      <c r="W433" s="131"/>
    </row>
    <row r="434" spans="1:23" ht="13.2">
      <c r="A434" s="102" t="s">
        <v>468</v>
      </c>
      <c r="B434" s="103"/>
      <c r="C434" s="104">
        <v>3</v>
      </c>
      <c r="D434" s="105" t="s">
        <v>64</v>
      </c>
      <c r="E434" s="106">
        <v>0.79</v>
      </c>
      <c r="F434" s="107">
        <v>0.03</v>
      </c>
      <c r="G434" s="108">
        <v>0.03</v>
      </c>
      <c r="H434" s="109" t="s">
        <v>55</v>
      </c>
      <c r="I434" s="110">
        <v>0.78500000000000003</v>
      </c>
      <c r="J434" s="110">
        <v>0.78900000000000003</v>
      </c>
      <c r="K434" s="119">
        <v>0.79100000000000004</v>
      </c>
      <c r="L434" s="111">
        <f t="shared" si="87"/>
        <v>-5.0000000000000044E-3</v>
      </c>
      <c r="M434" s="112">
        <f t="shared" si="88"/>
        <v>-1.0000000000000009E-3</v>
      </c>
      <c r="N434" s="112">
        <f t="shared" si="89"/>
        <v>1.0000000000000009E-3</v>
      </c>
      <c r="O434" s="112">
        <f t="shared" si="81"/>
        <v>0.78833333333333344</v>
      </c>
      <c r="P434" s="113">
        <f t="shared" si="82"/>
        <v>3.3333333333333368E-2</v>
      </c>
      <c r="Q434" s="114">
        <f t="shared" si="83"/>
        <v>0.16666666666666682</v>
      </c>
      <c r="R434" s="115" t="str">
        <f t="shared" si="84"/>
        <v xml:space="preserve"> </v>
      </c>
      <c r="S434" s="115" t="str">
        <f t="shared" si="85"/>
        <v xml:space="preserve"> </v>
      </c>
      <c r="T434" s="116" t="str">
        <f t="shared" si="86"/>
        <v/>
      </c>
      <c r="U434" s="120"/>
      <c r="V434" s="118"/>
      <c r="W434" s="131"/>
    </row>
    <row r="435" spans="1:23" ht="13.2">
      <c r="A435" s="102" t="s">
        <v>469</v>
      </c>
      <c r="B435" s="102"/>
      <c r="C435" s="104">
        <v>3</v>
      </c>
      <c r="D435" s="105" t="s">
        <v>64</v>
      </c>
      <c r="E435" s="106">
        <v>0.79</v>
      </c>
      <c r="F435" s="107">
        <v>0.03</v>
      </c>
      <c r="G435" s="108">
        <v>0.03</v>
      </c>
      <c r="H435" s="109" t="s">
        <v>55</v>
      </c>
      <c r="I435" s="110">
        <v>0.79600000000000004</v>
      </c>
      <c r="J435" s="110">
        <v>0.79800000000000004</v>
      </c>
      <c r="K435" s="119">
        <v>0.79600000000000004</v>
      </c>
      <c r="L435" s="111">
        <f t="shared" si="87"/>
        <v>6.0000000000000053E-3</v>
      </c>
      <c r="M435" s="112">
        <f t="shared" si="88"/>
        <v>8.0000000000000071E-3</v>
      </c>
      <c r="N435" s="112">
        <f t="shared" si="89"/>
        <v>6.0000000000000053E-3</v>
      </c>
      <c r="O435" s="112">
        <f t="shared" si="81"/>
        <v>0.79666666666666675</v>
      </c>
      <c r="P435" s="113">
        <f t="shared" si="82"/>
        <v>0.26666666666666694</v>
      </c>
      <c r="Q435" s="114">
        <f t="shared" si="83"/>
        <v>0</v>
      </c>
      <c r="R435" s="115" t="str">
        <f t="shared" si="84"/>
        <v xml:space="preserve"> </v>
      </c>
      <c r="S435" s="115" t="str">
        <f t="shared" si="85"/>
        <v xml:space="preserve"> </v>
      </c>
      <c r="T435" s="116" t="str">
        <f t="shared" si="86"/>
        <v/>
      </c>
      <c r="U435" s="120"/>
      <c r="V435" s="118"/>
      <c r="W435" s="131"/>
    </row>
    <row r="436" spans="1:23" ht="13.2">
      <c r="A436" s="102" t="s">
        <v>470</v>
      </c>
      <c r="B436" s="102"/>
      <c r="C436" s="104">
        <v>3</v>
      </c>
      <c r="D436" s="105" t="s">
        <v>64</v>
      </c>
      <c r="E436" s="106">
        <v>0.79</v>
      </c>
      <c r="F436" s="107">
        <v>0.03</v>
      </c>
      <c r="G436" s="108">
        <v>0.03</v>
      </c>
      <c r="H436" s="109" t="s">
        <v>55</v>
      </c>
      <c r="I436" s="110">
        <v>0.79900000000000004</v>
      </c>
      <c r="J436" s="110">
        <v>0.79900000000000004</v>
      </c>
      <c r="K436" s="119">
        <v>0.80100000000000005</v>
      </c>
      <c r="L436" s="111">
        <f t="shared" si="87"/>
        <v>9.000000000000008E-3</v>
      </c>
      <c r="M436" s="112">
        <f t="shared" si="88"/>
        <v>9.000000000000008E-3</v>
      </c>
      <c r="N436" s="112">
        <f t="shared" si="89"/>
        <v>1.100000000000001E-2</v>
      </c>
      <c r="O436" s="112">
        <f t="shared" si="81"/>
        <v>0.79966666666666664</v>
      </c>
      <c r="P436" s="113">
        <f t="shared" si="82"/>
        <v>0.36666666666666703</v>
      </c>
      <c r="Q436" s="114">
        <f t="shared" si="83"/>
        <v>0</v>
      </c>
      <c r="R436" s="115" t="str">
        <f t="shared" si="84"/>
        <v xml:space="preserve"> </v>
      </c>
      <c r="S436" s="115" t="str">
        <f t="shared" si="85"/>
        <v xml:space="preserve"> </v>
      </c>
      <c r="T436" s="116" t="str">
        <f t="shared" si="86"/>
        <v/>
      </c>
      <c r="U436" s="120"/>
      <c r="V436" s="118"/>
      <c r="W436" s="131"/>
    </row>
    <row r="437" spans="1:23" ht="13.2">
      <c r="A437" s="102" t="s">
        <v>471</v>
      </c>
      <c r="B437" s="102"/>
      <c r="C437" s="104">
        <v>3</v>
      </c>
      <c r="D437" s="105" t="s">
        <v>64</v>
      </c>
      <c r="E437" s="106">
        <v>0.79</v>
      </c>
      <c r="F437" s="107">
        <v>0.03</v>
      </c>
      <c r="G437" s="108">
        <v>0.03</v>
      </c>
      <c r="H437" s="109" t="s">
        <v>55</v>
      </c>
      <c r="I437" s="110">
        <v>0.79600000000000004</v>
      </c>
      <c r="J437" s="110">
        <v>0.79800000000000004</v>
      </c>
      <c r="K437" s="119">
        <v>0.78500000000000003</v>
      </c>
      <c r="L437" s="111">
        <f t="shared" si="87"/>
        <v>6.0000000000000053E-3</v>
      </c>
      <c r="M437" s="112">
        <f t="shared" si="88"/>
        <v>8.0000000000000071E-3</v>
      </c>
      <c r="N437" s="112">
        <f t="shared" si="89"/>
        <v>-5.0000000000000044E-3</v>
      </c>
      <c r="O437" s="112">
        <f t="shared" si="81"/>
        <v>0.79300000000000004</v>
      </c>
      <c r="P437" s="113">
        <f t="shared" si="82"/>
        <v>0.26666666666666694</v>
      </c>
      <c r="Q437" s="114">
        <f t="shared" si="83"/>
        <v>0.16666666666666682</v>
      </c>
      <c r="R437" s="115" t="str">
        <f t="shared" si="84"/>
        <v xml:space="preserve"> </v>
      </c>
      <c r="S437" s="115" t="str">
        <f t="shared" si="85"/>
        <v xml:space="preserve"> </v>
      </c>
      <c r="T437" s="116" t="str">
        <f t="shared" si="86"/>
        <v/>
      </c>
      <c r="U437" s="120"/>
      <c r="V437" s="118"/>
      <c r="W437" s="131"/>
    </row>
    <row r="438" spans="1:23" ht="13.2">
      <c r="A438" s="102" t="s">
        <v>472</v>
      </c>
      <c r="B438" s="102"/>
      <c r="C438" s="104">
        <v>3</v>
      </c>
      <c r="D438" s="105" t="s">
        <v>64</v>
      </c>
      <c r="E438" s="106">
        <v>0.79</v>
      </c>
      <c r="F438" s="107">
        <v>0.03</v>
      </c>
      <c r="G438" s="108">
        <v>0.03</v>
      </c>
      <c r="H438" s="109" t="s">
        <v>55</v>
      </c>
      <c r="I438" s="110">
        <v>0.79700000000000004</v>
      </c>
      <c r="J438" s="110">
        <v>0.79200000000000004</v>
      </c>
      <c r="K438" s="119">
        <v>0.79700000000000004</v>
      </c>
      <c r="L438" s="111">
        <f t="shared" si="87"/>
        <v>7.0000000000000062E-3</v>
      </c>
      <c r="M438" s="112">
        <f t="shared" si="88"/>
        <v>2.0000000000000018E-3</v>
      </c>
      <c r="N438" s="112">
        <f t="shared" si="89"/>
        <v>7.0000000000000062E-3</v>
      </c>
      <c r="O438" s="112">
        <f t="shared" si="81"/>
        <v>0.79533333333333334</v>
      </c>
      <c r="P438" s="113">
        <f t="shared" si="82"/>
        <v>0.23333333333333356</v>
      </c>
      <c r="Q438" s="114">
        <f t="shared" si="83"/>
        <v>0</v>
      </c>
      <c r="R438" s="115" t="str">
        <f t="shared" si="84"/>
        <v xml:space="preserve"> </v>
      </c>
      <c r="S438" s="115" t="str">
        <f t="shared" si="85"/>
        <v xml:space="preserve"> </v>
      </c>
      <c r="T438" s="116" t="str">
        <f t="shared" si="86"/>
        <v/>
      </c>
      <c r="U438" s="120"/>
      <c r="V438" s="118"/>
      <c r="W438" s="131"/>
    </row>
    <row r="439" spans="1:23" ht="13.2">
      <c r="A439" s="102" t="s">
        <v>473</v>
      </c>
      <c r="B439" s="102"/>
      <c r="C439" s="104">
        <v>3</v>
      </c>
      <c r="D439" s="105" t="s">
        <v>64</v>
      </c>
      <c r="E439" s="106">
        <v>0.79</v>
      </c>
      <c r="F439" s="107">
        <v>0.03</v>
      </c>
      <c r="G439" s="108">
        <v>0.03</v>
      </c>
      <c r="H439" s="109" t="s">
        <v>55</v>
      </c>
      <c r="I439" s="110">
        <v>0.77800000000000002</v>
      </c>
      <c r="J439" s="110">
        <v>0.79300000000000004</v>
      </c>
      <c r="K439" s="119">
        <v>0.79400000000000004</v>
      </c>
      <c r="L439" s="111">
        <f t="shared" si="87"/>
        <v>-1.2000000000000011E-2</v>
      </c>
      <c r="M439" s="112">
        <f t="shared" si="88"/>
        <v>3.0000000000000027E-3</v>
      </c>
      <c r="N439" s="112">
        <f t="shared" si="89"/>
        <v>4.0000000000000036E-3</v>
      </c>
      <c r="O439" s="112">
        <f t="shared" si="81"/>
        <v>0.78833333333333344</v>
      </c>
      <c r="P439" s="113">
        <f t="shared" si="82"/>
        <v>0.13333333333333347</v>
      </c>
      <c r="Q439" s="114">
        <f t="shared" si="83"/>
        <v>0.40000000000000036</v>
      </c>
      <c r="R439" s="115" t="str">
        <f t="shared" si="84"/>
        <v xml:space="preserve"> </v>
      </c>
      <c r="S439" s="115" t="str">
        <f t="shared" si="85"/>
        <v xml:space="preserve"> </v>
      </c>
      <c r="T439" s="116" t="str">
        <f t="shared" si="86"/>
        <v/>
      </c>
      <c r="U439" s="120"/>
      <c r="V439" s="118"/>
      <c r="W439" s="131"/>
    </row>
    <row r="440" spans="1:23" ht="13.2">
      <c r="A440" s="102" t="s">
        <v>474</v>
      </c>
      <c r="B440" s="102"/>
      <c r="C440" s="104">
        <v>3</v>
      </c>
      <c r="D440" s="105" t="s">
        <v>64</v>
      </c>
      <c r="E440" s="106">
        <v>0.79</v>
      </c>
      <c r="F440" s="107">
        <v>0.03</v>
      </c>
      <c r="G440" s="108">
        <v>0.03</v>
      </c>
      <c r="H440" s="109" t="s">
        <v>55</v>
      </c>
      <c r="I440" s="110">
        <v>0.80100000000000005</v>
      </c>
      <c r="J440" s="110">
        <v>0.79300000000000004</v>
      </c>
      <c r="K440" s="119">
        <v>0.80400000000000005</v>
      </c>
      <c r="L440" s="111">
        <f t="shared" si="87"/>
        <v>1.100000000000001E-2</v>
      </c>
      <c r="M440" s="112">
        <f t="shared" si="88"/>
        <v>3.0000000000000027E-3</v>
      </c>
      <c r="N440" s="112">
        <f t="shared" si="89"/>
        <v>1.4000000000000012E-2</v>
      </c>
      <c r="O440" s="112">
        <f t="shared" si="81"/>
        <v>0.79933333333333334</v>
      </c>
      <c r="P440" s="113">
        <f t="shared" si="82"/>
        <v>0.46666666666666712</v>
      </c>
      <c r="Q440" s="114">
        <f t="shared" si="83"/>
        <v>0</v>
      </c>
      <c r="R440" s="115" t="str">
        <f t="shared" si="84"/>
        <v xml:space="preserve"> </v>
      </c>
      <c r="S440" s="115" t="str">
        <f t="shared" si="85"/>
        <v xml:space="preserve"> </v>
      </c>
      <c r="T440" s="116" t="str">
        <f t="shared" si="86"/>
        <v/>
      </c>
      <c r="U440" s="120"/>
      <c r="V440" s="118"/>
      <c r="W440" s="131"/>
    </row>
    <row r="441" spans="1:23" ht="13.2">
      <c r="A441" s="102" t="s">
        <v>475</v>
      </c>
      <c r="B441" s="102"/>
      <c r="C441" s="104">
        <v>3</v>
      </c>
      <c r="D441" s="105" t="s">
        <v>64</v>
      </c>
      <c r="E441" s="106">
        <v>0.79</v>
      </c>
      <c r="F441" s="107">
        <v>0.03</v>
      </c>
      <c r="G441" s="108">
        <v>0.03</v>
      </c>
      <c r="H441" s="109" t="s">
        <v>55</v>
      </c>
      <c r="I441" s="110">
        <v>0.79300000000000004</v>
      </c>
      <c r="J441" s="110">
        <v>0.80900000000000005</v>
      </c>
      <c r="K441" s="119">
        <v>0.77500000000000002</v>
      </c>
      <c r="L441" s="111">
        <f t="shared" si="87"/>
        <v>3.0000000000000027E-3</v>
      </c>
      <c r="M441" s="112">
        <f t="shared" si="88"/>
        <v>1.9000000000000017E-2</v>
      </c>
      <c r="N441" s="112">
        <f t="shared" si="89"/>
        <v>-1.5000000000000013E-2</v>
      </c>
      <c r="O441" s="112">
        <f t="shared" si="81"/>
        <v>0.79233333333333344</v>
      </c>
      <c r="P441" s="113">
        <f t="shared" si="82"/>
        <v>0.63333333333333397</v>
      </c>
      <c r="Q441" s="114">
        <f t="shared" si="83"/>
        <v>0.50000000000000044</v>
      </c>
      <c r="R441" s="115" t="str">
        <f t="shared" si="84"/>
        <v xml:space="preserve"> </v>
      </c>
      <c r="S441" s="115" t="str">
        <f t="shared" si="85"/>
        <v xml:space="preserve"> </v>
      </c>
      <c r="T441" s="116" t="str">
        <f t="shared" si="86"/>
        <v/>
      </c>
      <c r="U441" s="120"/>
      <c r="V441" s="118"/>
      <c r="W441" s="131"/>
    </row>
    <row r="442" spans="1:23" ht="13.2">
      <c r="A442" s="102" t="s">
        <v>476</v>
      </c>
      <c r="B442" s="102"/>
      <c r="C442" s="104">
        <v>3</v>
      </c>
      <c r="D442" s="105" t="s">
        <v>64</v>
      </c>
      <c r="E442" s="106">
        <v>0.79</v>
      </c>
      <c r="F442" s="107">
        <v>0.03</v>
      </c>
      <c r="G442" s="108">
        <v>0.03</v>
      </c>
      <c r="H442" s="109" t="s">
        <v>55</v>
      </c>
      <c r="I442" s="110">
        <v>0.81699999999999995</v>
      </c>
      <c r="J442" s="110">
        <v>0.79100000000000004</v>
      </c>
      <c r="K442" s="119">
        <v>0.80500000000000005</v>
      </c>
      <c r="L442" s="111">
        <f t="shared" si="87"/>
        <v>2.6999999999999913E-2</v>
      </c>
      <c r="M442" s="112">
        <f t="shared" si="88"/>
        <v>1.0000000000000009E-3</v>
      </c>
      <c r="N442" s="112">
        <f t="shared" si="89"/>
        <v>1.5000000000000013E-2</v>
      </c>
      <c r="O442" s="112">
        <f t="shared" si="81"/>
        <v>0.80433333333333346</v>
      </c>
      <c r="P442" s="113">
        <f t="shared" si="82"/>
        <v>0.89999999999999714</v>
      </c>
      <c r="Q442" s="114">
        <f t="shared" si="83"/>
        <v>0</v>
      </c>
      <c r="R442" s="115" t="str">
        <f t="shared" si="84"/>
        <v>Alert</v>
      </c>
      <c r="S442" s="115" t="str">
        <f t="shared" si="85"/>
        <v xml:space="preserve"> </v>
      </c>
      <c r="T442" s="116" t="str">
        <f t="shared" si="86"/>
        <v>Alert</v>
      </c>
      <c r="U442" s="120"/>
      <c r="V442" s="118"/>
      <c r="W442" s="131"/>
    </row>
    <row r="443" spans="1:23" ht="13.2">
      <c r="A443" s="102" t="s">
        <v>477</v>
      </c>
      <c r="B443" s="102"/>
      <c r="C443" s="104">
        <v>3</v>
      </c>
      <c r="D443" s="105" t="s">
        <v>64</v>
      </c>
      <c r="E443" s="106">
        <v>0.79</v>
      </c>
      <c r="F443" s="107">
        <v>0.03</v>
      </c>
      <c r="G443" s="108">
        <v>0.03</v>
      </c>
      <c r="H443" s="109" t="s">
        <v>55</v>
      </c>
      <c r="I443" s="110">
        <v>0.78200000000000003</v>
      </c>
      <c r="J443" s="110">
        <v>0.80100000000000005</v>
      </c>
      <c r="K443" s="119">
        <v>0.79400000000000004</v>
      </c>
      <c r="L443" s="111">
        <f t="shared" si="87"/>
        <v>-8.0000000000000071E-3</v>
      </c>
      <c r="M443" s="112">
        <f t="shared" si="88"/>
        <v>1.100000000000001E-2</v>
      </c>
      <c r="N443" s="112">
        <f t="shared" si="89"/>
        <v>4.0000000000000036E-3</v>
      </c>
      <c r="O443" s="112">
        <f t="shared" si="81"/>
        <v>0.79233333333333344</v>
      </c>
      <c r="P443" s="113">
        <f t="shared" si="82"/>
        <v>0.36666666666666703</v>
      </c>
      <c r="Q443" s="114">
        <f t="shared" si="83"/>
        <v>0.26666666666666694</v>
      </c>
      <c r="R443" s="115" t="str">
        <f t="shared" si="84"/>
        <v xml:space="preserve"> </v>
      </c>
      <c r="S443" s="115" t="str">
        <f t="shared" si="85"/>
        <v xml:space="preserve"> </v>
      </c>
      <c r="T443" s="116" t="str">
        <f t="shared" si="86"/>
        <v/>
      </c>
      <c r="U443" s="120"/>
      <c r="V443" s="118"/>
      <c r="W443" s="131"/>
    </row>
    <row r="444" spans="1:23" ht="13.2">
      <c r="A444" s="102" t="s">
        <v>478</v>
      </c>
      <c r="B444" s="102"/>
      <c r="C444" s="104">
        <v>3</v>
      </c>
      <c r="D444" s="105" t="s">
        <v>64</v>
      </c>
      <c r="E444" s="106">
        <v>0.79</v>
      </c>
      <c r="F444" s="107">
        <v>0.03</v>
      </c>
      <c r="G444" s="108">
        <v>0.03</v>
      </c>
      <c r="H444" s="109" t="s">
        <v>55</v>
      </c>
      <c r="I444" s="110">
        <v>0.80100000000000005</v>
      </c>
      <c r="J444" s="110">
        <v>0.78300000000000003</v>
      </c>
      <c r="K444" s="119">
        <v>0.78700000000000003</v>
      </c>
      <c r="L444" s="111">
        <f t="shared" si="87"/>
        <v>1.100000000000001E-2</v>
      </c>
      <c r="M444" s="112">
        <f t="shared" si="88"/>
        <v>-7.0000000000000062E-3</v>
      </c>
      <c r="N444" s="112">
        <f t="shared" si="89"/>
        <v>-3.0000000000000027E-3</v>
      </c>
      <c r="O444" s="112">
        <f t="shared" si="81"/>
        <v>0.79033333333333333</v>
      </c>
      <c r="P444" s="113">
        <f t="shared" si="82"/>
        <v>0.36666666666666703</v>
      </c>
      <c r="Q444" s="114">
        <f t="shared" si="83"/>
        <v>0.23333333333333356</v>
      </c>
      <c r="R444" s="115" t="str">
        <f t="shared" si="84"/>
        <v xml:space="preserve"> </v>
      </c>
      <c r="S444" s="115" t="str">
        <f t="shared" si="85"/>
        <v xml:space="preserve"> </v>
      </c>
      <c r="T444" s="116" t="str">
        <f t="shared" si="86"/>
        <v/>
      </c>
      <c r="U444" s="120"/>
      <c r="V444" s="118"/>
      <c r="W444" s="131"/>
    </row>
    <row r="445" spans="1:23" ht="13.2">
      <c r="A445" s="102" t="s">
        <v>479</v>
      </c>
      <c r="B445" s="102"/>
      <c r="C445" s="104">
        <v>3</v>
      </c>
      <c r="D445" s="105" t="s">
        <v>64</v>
      </c>
      <c r="E445" s="106">
        <v>0.79</v>
      </c>
      <c r="F445" s="107">
        <v>0.03</v>
      </c>
      <c r="G445" s="108">
        <v>0.03</v>
      </c>
      <c r="H445" s="109" t="s">
        <v>55</v>
      </c>
      <c r="I445" s="110">
        <v>0.78200000000000003</v>
      </c>
      <c r="J445" s="110">
        <v>0.79</v>
      </c>
      <c r="K445" s="119">
        <v>0.80800000000000005</v>
      </c>
      <c r="L445" s="111">
        <f t="shared" si="87"/>
        <v>-8.0000000000000071E-3</v>
      </c>
      <c r="M445" s="112">
        <f t="shared" si="88"/>
        <v>0</v>
      </c>
      <c r="N445" s="112">
        <f t="shared" si="89"/>
        <v>1.8000000000000016E-2</v>
      </c>
      <c r="O445" s="112">
        <f t="shared" si="81"/>
        <v>0.79333333333333333</v>
      </c>
      <c r="P445" s="113">
        <f t="shared" si="82"/>
        <v>0.60000000000000053</v>
      </c>
      <c r="Q445" s="114">
        <f t="shared" si="83"/>
        <v>0.26666666666666694</v>
      </c>
      <c r="R445" s="115" t="str">
        <f t="shared" si="84"/>
        <v xml:space="preserve"> </v>
      </c>
      <c r="S445" s="115" t="str">
        <f t="shared" si="85"/>
        <v xml:space="preserve"> </v>
      </c>
      <c r="T445" s="116" t="str">
        <f t="shared" si="86"/>
        <v/>
      </c>
      <c r="U445" s="120"/>
      <c r="V445" s="118"/>
      <c r="W445" s="131"/>
    </row>
    <row r="446" spans="1:23" ht="13.2">
      <c r="A446" s="102" t="s">
        <v>480</v>
      </c>
      <c r="B446" s="102"/>
      <c r="C446" s="104">
        <v>3</v>
      </c>
      <c r="D446" s="105" t="s">
        <v>64</v>
      </c>
      <c r="E446" s="106">
        <v>0.79</v>
      </c>
      <c r="F446" s="107">
        <v>0.03</v>
      </c>
      <c r="G446" s="108">
        <v>0.03</v>
      </c>
      <c r="H446" s="109" t="s">
        <v>55</v>
      </c>
      <c r="I446" s="110">
        <v>0.78600000000000003</v>
      </c>
      <c r="J446" s="110">
        <v>0.79700000000000004</v>
      </c>
      <c r="K446" s="119">
        <v>0.79400000000000004</v>
      </c>
      <c r="L446" s="111">
        <f t="shared" si="87"/>
        <v>-4.0000000000000036E-3</v>
      </c>
      <c r="M446" s="112">
        <f t="shared" si="88"/>
        <v>7.0000000000000062E-3</v>
      </c>
      <c r="N446" s="112">
        <f t="shared" si="89"/>
        <v>4.0000000000000036E-3</v>
      </c>
      <c r="O446" s="112">
        <f t="shared" ref="O446:O509" si="90">IF(ISERR(I446/I446)=TRUE," ",AVERAGE(I446:K446))</f>
        <v>0.79233333333333344</v>
      </c>
      <c r="P446" s="113">
        <f t="shared" ref="P446:P509" si="91">IF(ISBLANK($E446),"",IF(ISNUMBER(F446)=FALSE,"BAD TOL", IF(F446=0,"N/A",IF(ISERR(I446/I446)=TRUE,"BAD INSP",IF(AND(ISNUMBER($I446),ISNUMBER($J446),ISNUMBER($K446))=FALSE,"BAD INSP",IF(MAX($I446:$K446)&lt;$E446,0,(MAX($I446:$K446)-$E446)/$F446))))))</f>
        <v>0.23333333333333356</v>
      </c>
      <c r="Q446" s="114">
        <f t="shared" ref="Q446:Q509" si="92">IF(ISBLANK($E446),"",IF(ISNUMBER(G446)=FALSE,"BAD TOL",IF(G446=0,"N/A",IF(ISERR(I446/I446)=TRUE,"BAD INSP",IF(AND(ISNUMBER($I446),ISNUMBER($J446),ISNUMBER($K446))=FALSE,"BAD INSP",IF(MIN(I446:K446)&gt;$E446,0,($E446-MIN(I446:K446))/G446))))))</f>
        <v>0.13333333333333347</v>
      </c>
      <c r="R446" s="115" t="str">
        <f t="shared" ref="R446:R509" si="93">IF(ISBLANK($E446),"",IF(ISNUMBER($P446)=TRUE,IF($P446&gt;0.651,IF($P446&gt;1.001,"Reject","Alert")," "),IF(AND(F446=0, ISNUMBER(F446)),IF(MAX(I446:K446)&gt;(E446+F446),"Reject",IF(MAX(I446:K446)=(E446+F446),"Alert","")),"Reject")))</f>
        <v xml:space="preserve"> </v>
      </c>
      <c r="S446" s="115" t="str">
        <f t="shared" ref="S446:S509" si="94">IF(ISBLANK($E446),"",IF(ISNUMBER($Q446)=TRUE,IF($Q446&gt;0.651,IF($Q446&gt;1.001,"Reject","Alert")," "),IF(AND(G446=0, ISNUMBER(G446)),IF(MIN(I446:K446)&lt;(E446-G446),"Reject",IF(MIN(I446:K446)=(E446-G446),"Alert","")),"Reject")))</f>
        <v xml:space="preserve"> </v>
      </c>
      <c r="T446" s="116" t="str">
        <f t="shared" ref="T446:T509" si="95">IF(OR(R446="Reject",S446="Reject"),"Reject",IF(OR(R446="Alert",S446="Alert"),"Alert", ""))</f>
        <v/>
      </c>
      <c r="U446" s="120"/>
      <c r="V446" s="118"/>
      <c r="W446" s="131"/>
    </row>
    <row r="447" spans="1:23" ht="13.2">
      <c r="A447" s="102" t="s">
        <v>481</v>
      </c>
      <c r="B447" s="103"/>
      <c r="C447" s="104">
        <v>3</v>
      </c>
      <c r="D447" s="105" t="s">
        <v>64</v>
      </c>
      <c r="E447" s="106">
        <v>0.79</v>
      </c>
      <c r="F447" s="107">
        <v>0.03</v>
      </c>
      <c r="G447" s="108">
        <v>0.03</v>
      </c>
      <c r="H447" s="109" t="s">
        <v>55</v>
      </c>
      <c r="I447" s="110">
        <v>0.79</v>
      </c>
      <c r="J447" s="110">
        <v>0.79300000000000004</v>
      </c>
      <c r="K447" s="119">
        <v>0.78700000000000003</v>
      </c>
      <c r="L447" s="111">
        <f t="shared" si="87"/>
        <v>0</v>
      </c>
      <c r="M447" s="112">
        <f t="shared" si="88"/>
        <v>3.0000000000000027E-3</v>
      </c>
      <c r="N447" s="112">
        <f t="shared" si="89"/>
        <v>-3.0000000000000027E-3</v>
      </c>
      <c r="O447" s="112">
        <f t="shared" si="90"/>
        <v>0.79</v>
      </c>
      <c r="P447" s="113">
        <f t="shared" si="91"/>
        <v>0.10000000000000009</v>
      </c>
      <c r="Q447" s="114">
        <f t="shared" si="92"/>
        <v>0.10000000000000009</v>
      </c>
      <c r="R447" s="115" t="str">
        <f t="shared" si="93"/>
        <v xml:space="preserve"> </v>
      </c>
      <c r="S447" s="115" t="str">
        <f t="shared" si="94"/>
        <v xml:space="preserve"> </v>
      </c>
      <c r="T447" s="116" t="str">
        <f t="shared" si="95"/>
        <v/>
      </c>
      <c r="U447" s="120"/>
      <c r="V447" s="118"/>
      <c r="W447" s="131"/>
    </row>
    <row r="448" spans="1:23" ht="13.2">
      <c r="A448" s="102" t="s">
        <v>482</v>
      </c>
      <c r="B448" s="103"/>
      <c r="C448" s="104">
        <v>3</v>
      </c>
      <c r="D448" s="105" t="s">
        <v>64</v>
      </c>
      <c r="E448" s="106">
        <v>0.79</v>
      </c>
      <c r="F448" s="107">
        <v>0.03</v>
      </c>
      <c r="G448" s="108">
        <v>0.03</v>
      </c>
      <c r="H448" s="109" t="s">
        <v>55</v>
      </c>
      <c r="I448" s="110">
        <v>0.81100000000000005</v>
      </c>
      <c r="J448" s="110">
        <v>0.77700000000000002</v>
      </c>
      <c r="K448" s="119">
        <v>0.81200000000000006</v>
      </c>
      <c r="L448" s="111">
        <f t="shared" si="87"/>
        <v>2.1000000000000019E-2</v>
      </c>
      <c r="M448" s="112">
        <f t="shared" si="88"/>
        <v>-1.3000000000000012E-2</v>
      </c>
      <c r="N448" s="112">
        <f t="shared" si="89"/>
        <v>2.200000000000002E-2</v>
      </c>
      <c r="O448" s="112">
        <f t="shared" si="90"/>
        <v>0.80000000000000016</v>
      </c>
      <c r="P448" s="113">
        <f t="shared" si="91"/>
        <v>0.73333333333333406</v>
      </c>
      <c r="Q448" s="114">
        <f t="shared" si="92"/>
        <v>0.43333333333333374</v>
      </c>
      <c r="R448" s="115" t="str">
        <f t="shared" si="93"/>
        <v>Alert</v>
      </c>
      <c r="S448" s="115" t="str">
        <f t="shared" si="94"/>
        <v xml:space="preserve"> </v>
      </c>
      <c r="T448" s="116" t="str">
        <f t="shared" si="95"/>
        <v>Alert</v>
      </c>
      <c r="U448" s="120"/>
      <c r="V448" s="118"/>
      <c r="W448" s="131"/>
    </row>
    <row r="449" spans="1:23" ht="13.2">
      <c r="A449" s="102" t="s">
        <v>483</v>
      </c>
      <c r="B449" s="103"/>
      <c r="C449" s="104">
        <v>3</v>
      </c>
      <c r="D449" s="105" t="s">
        <v>64</v>
      </c>
      <c r="E449" s="106">
        <v>0.79</v>
      </c>
      <c r="F449" s="107">
        <v>0.03</v>
      </c>
      <c r="G449" s="108">
        <v>0.03</v>
      </c>
      <c r="H449" s="109" t="s">
        <v>55</v>
      </c>
      <c r="I449" s="110">
        <v>0.78400000000000003</v>
      </c>
      <c r="J449" s="110">
        <v>0.80100000000000005</v>
      </c>
      <c r="K449" s="119">
        <v>0.77500000000000002</v>
      </c>
      <c r="L449" s="111">
        <f t="shared" si="87"/>
        <v>-6.0000000000000053E-3</v>
      </c>
      <c r="M449" s="112">
        <f t="shared" si="88"/>
        <v>1.100000000000001E-2</v>
      </c>
      <c r="N449" s="112">
        <f t="shared" si="89"/>
        <v>-1.5000000000000013E-2</v>
      </c>
      <c r="O449" s="112">
        <f t="shared" si="90"/>
        <v>0.78666666666666663</v>
      </c>
      <c r="P449" s="113">
        <f t="shared" si="91"/>
        <v>0.36666666666666703</v>
      </c>
      <c r="Q449" s="114">
        <f t="shared" si="92"/>
        <v>0.50000000000000044</v>
      </c>
      <c r="R449" s="115" t="str">
        <f t="shared" si="93"/>
        <v xml:space="preserve"> </v>
      </c>
      <c r="S449" s="115" t="str">
        <f t="shared" si="94"/>
        <v xml:space="preserve"> </v>
      </c>
      <c r="T449" s="116" t="str">
        <f t="shared" si="95"/>
        <v/>
      </c>
      <c r="U449" s="120"/>
      <c r="V449" s="118"/>
      <c r="W449" s="131"/>
    </row>
    <row r="450" spans="1:23" ht="13.2">
      <c r="A450" s="102" t="s">
        <v>484</v>
      </c>
      <c r="B450" s="102"/>
      <c r="C450" s="104">
        <v>3</v>
      </c>
      <c r="D450" s="105" t="s">
        <v>64</v>
      </c>
      <c r="E450" s="106">
        <v>0.79</v>
      </c>
      <c r="F450" s="107">
        <v>0.03</v>
      </c>
      <c r="G450" s="108">
        <v>0.03</v>
      </c>
      <c r="H450" s="109" t="s">
        <v>55</v>
      </c>
      <c r="I450" s="110">
        <v>0.77500000000000002</v>
      </c>
      <c r="J450" s="110">
        <v>0.80300000000000005</v>
      </c>
      <c r="K450" s="119">
        <v>0.80400000000000005</v>
      </c>
      <c r="L450" s="111">
        <f t="shared" si="87"/>
        <v>-1.5000000000000013E-2</v>
      </c>
      <c r="M450" s="112">
        <f t="shared" si="88"/>
        <v>1.3000000000000012E-2</v>
      </c>
      <c r="N450" s="112">
        <f t="shared" si="89"/>
        <v>1.4000000000000012E-2</v>
      </c>
      <c r="O450" s="112">
        <f t="shared" si="90"/>
        <v>0.79400000000000004</v>
      </c>
      <c r="P450" s="113">
        <f t="shared" si="91"/>
        <v>0.46666666666666712</v>
      </c>
      <c r="Q450" s="114">
        <f t="shared" si="92"/>
        <v>0.50000000000000044</v>
      </c>
      <c r="R450" s="115" t="str">
        <f t="shared" si="93"/>
        <v xml:space="preserve"> </v>
      </c>
      <c r="S450" s="115" t="str">
        <f t="shared" si="94"/>
        <v xml:space="preserve"> </v>
      </c>
      <c r="T450" s="116" t="str">
        <f t="shared" si="95"/>
        <v/>
      </c>
      <c r="U450" s="120"/>
      <c r="V450" s="118"/>
      <c r="W450" s="131"/>
    </row>
    <row r="451" spans="1:23" ht="13.2">
      <c r="A451" s="102" t="s">
        <v>485</v>
      </c>
      <c r="B451" s="102"/>
      <c r="C451" s="104">
        <v>3</v>
      </c>
      <c r="D451" s="105" t="s">
        <v>64</v>
      </c>
      <c r="E451" s="106">
        <v>0.79</v>
      </c>
      <c r="F451" s="107">
        <v>0.03</v>
      </c>
      <c r="G451" s="108">
        <v>0.03</v>
      </c>
      <c r="H451" s="109" t="s">
        <v>55</v>
      </c>
      <c r="I451" s="110">
        <v>0.80300000000000005</v>
      </c>
      <c r="J451" s="110">
        <v>0.79700000000000004</v>
      </c>
      <c r="K451" s="119">
        <v>0.79500000000000004</v>
      </c>
      <c r="L451" s="111">
        <f t="shared" si="87"/>
        <v>1.3000000000000012E-2</v>
      </c>
      <c r="M451" s="112">
        <f t="shared" si="88"/>
        <v>7.0000000000000062E-3</v>
      </c>
      <c r="N451" s="112">
        <f t="shared" si="89"/>
        <v>5.0000000000000044E-3</v>
      </c>
      <c r="O451" s="112">
        <f t="shared" si="90"/>
        <v>0.79833333333333334</v>
      </c>
      <c r="P451" s="113">
        <f t="shared" si="91"/>
        <v>0.43333333333333374</v>
      </c>
      <c r="Q451" s="114">
        <f t="shared" si="92"/>
        <v>0</v>
      </c>
      <c r="R451" s="115" t="str">
        <f t="shared" si="93"/>
        <v xml:space="preserve"> </v>
      </c>
      <c r="S451" s="115" t="str">
        <f t="shared" si="94"/>
        <v xml:space="preserve"> </v>
      </c>
      <c r="T451" s="116" t="str">
        <f t="shared" si="95"/>
        <v/>
      </c>
      <c r="U451" s="120"/>
      <c r="V451" s="118"/>
      <c r="W451" s="131"/>
    </row>
    <row r="452" spans="1:23" ht="13.2">
      <c r="A452" s="102" t="s">
        <v>486</v>
      </c>
      <c r="B452" s="102"/>
      <c r="C452" s="104">
        <v>3</v>
      </c>
      <c r="D452" s="105" t="s">
        <v>64</v>
      </c>
      <c r="E452" s="106">
        <v>0.79</v>
      </c>
      <c r="F452" s="107">
        <v>0.03</v>
      </c>
      <c r="G452" s="108">
        <v>0.03</v>
      </c>
      <c r="H452" s="109" t="s">
        <v>55</v>
      </c>
      <c r="I452" s="110">
        <v>0.80300000000000005</v>
      </c>
      <c r="J452" s="110">
        <v>0.80400000000000005</v>
      </c>
      <c r="K452" s="119">
        <v>0.80300000000000005</v>
      </c>
      <c r="L452" s="111">
        <f t="shared" si="87"/>
        <v>1.3000000000000012E-2</v>
      </c>
      <c r="M452" s="112">
        <f t="shared" si="88"/>
        <v>1.4000000000000012E-2</v>
      </c>
      <c r="N452" s="112">
        <f t="shared" si="89"/>
        <v>1.3000000000000012E-2</v>
      </c>
      <c r="O452" s="112">
        <f t="shared" si="90"/>
        <v>0.80333333333333334</v>
      </c>
      <c r="P452" s="113">
        <f t="shared" si="91"/>
        <v>0.46666666666666712</v>
      </c>
      <c r="Q452" s="114">
        <f t="shared" si="92"/>
        <v>0</v>
      </c>
      <c r="R452" s="115" t="str">
        <f t="shared" si="93"/>
        <v xml:space="preserve"> </v>
      </c>
      <c r="S452" s="115" t="str">
        <f t="shared" si="94"/>
        <v xml:space="preserve"> </v>
      </c>
      <c r="T452" s="116" t="str">
        <f t="shared" si="95"/>
        <v/>
      </c>
      <c r="U452" s="120"/>
      <c r="V452" s="118"/>
      <c r="W452" s="131"/>
    </row>
    <row r="453" spans="1:23" ht="13.2">
      <c r="A453" s="102" t="s">
        <v>487</v>
      </c>
      <c r="B453" s="102"/>
      <c r="C453" s="104">
        <v>3</v>
      </c>
      <c r="D453" s="105" t="s">
        <v>64</v>
      </c>
      <c r="E453" s="106">
        <v>0.79</v>
      </c>
      <c r="F453" s="107">
        <v>0.03</v>
      </c>
      <c r="G453" s="108">
        <v>0.03</v>
      </c>
      <c r="H453" s="109" t="s">
        <v>55</v>
      </c>
      <c r="I453" s="110">
        <v>0.78</v>
      </c>
      <c r="J453" s="110">
        <v>0.79200000000000004</v>
      </c>
      <c r="K453" s="119">
        <v>0.78100000000000003</v>
      </c>
      <c r="L453" s="111">
        <f t="shared" si="87"/>
        <v>-1.0000000000000009E-2</v>
      </c>
      <c r="M453" s="112">
        <f t="shared" si="88"/>
        <v>2.0000000000000018E-3</v>
      </c>
      <c r="N453" s="112">
        <f t="shared" si="89"/>
        <v>-9.000000000000008E-3</v>
      </c>
      <c r="O453" s="112">
        <f t="shared" si="90"/>
        <v>0.78433333333333344</v>
      </c>
      <c r="P453" s="113">
        <f t="shared" si="91"/>
        <v>6.6666666666666735E-2</v>
      </c>
      <c r="Q453" s="114">
        <f t="shared" si="92"/>
        <v>0.33333333333333365</v>
      </c>
      <c r="R453" s="115" t="str">
        <f t="shared" si="93"/>
        <v xml:space="preserve"> </v>
      </c>
      <c r="S453" s="115" t="str">
        <f t="shared" si="94"/>
        <v xml:space="preserve"> </v>
      </c>
      <c r="T453" s="116" t="str">
        <f t="shared" si="95"/>
        <v/>
      </c>
      <c r="U453" s="120"/>
      <c r="V453" s="118"/>
      <c r="W453" s="131"/>
    </row>
    <row r="454" spans="1:23" ht="13.2">
      <c r="A454" s="102" t="s">
        <v>488</v>
      </c>
      <c r="B454" s="102"/>
      <c r="C454" s="104">
        <v>3</v>
      </c>
      <c r="D454" s="105" t="s">
        <v>64</v>
      </c>
      <c r="E454" s="106">
        <v>0.79</v>
      </c>
      <c r="F454" s="107">
        <v>0.03</v>
      </c>
      <c r="G454" s="108">
        <v>0.03</v>
      </c>
      <c r="H454" s="109" t="s">
        <v>55</v>
      </c>
      <c r="I454" s="110">
        <v>0.79700000000000004</v>
      </c>
      <c r="J454" s="110">
        <v>0.79</v>
      </c>
      <c r="K454" s="119">
        <v>0.79800000000000004</v>
      </c>
      <c r="L454" s="111">
        <f t="shared" si="87"/>
        <v>7.0000000000000062E-3</v>
      </c>
      <c r="M454" s="112">
        <f t="shared" si="88"/>
        <v>0</v>
      </c>
      <c r="N454" s="112">
        <f t="shared" si="89"/>
        <v>8.0000000000000071E-3</v>
      </c>
      <c r="O454" s="112">
        <f t="shared" si="90"/>
        <v>0.79500000000000004</v>
      </c>
      <c r="P454" s="113">
        <f t="shared" si="91"/>
        <v>0.26666666666666694</v>
      </c>
      <c r="Q454" s="114">
        <f t="shared" si="92"/>
        <v>0</v>
      </c>
      <c r="R454" s="115" t="str">
        <f t="shared" si="93"/>
        <v xml:space="preserve"> </v>
      </c>
      <c r="S454" s="115" t="str">
        <f t="shared" si="94"/>
        <v xml:space="preserve"> </v>
      </c>
      <c r="T454" s="116" t="str">
        <f t="shared" si="95"/>
        <v/>
      </c>
      <c r="U454" s="120"/>
      <c r="V454" s="118"/>
      <c r="W454" s="131"/>
    </row>
    <row r="455" spans="1:23" ht="13.2">
      <c r="A455" s="102" t="s">
        <v>489</v>
      </c>
      <c r="B455" s="102"/>
      <c r="C455" s="104">
        <v>3</v>
      </c>
      <c r="D455" s="105" t="s">
        <v>64</v>
      </c>
      <c r="E455" s="106">
        <v>0.79</v>
      </c>
      <c r="F455" s="107">
        <v>0.03</v>
      </c>
      <c r="G455" s="108">
        <v>0.03</v>
      </c>
      <c r="H455" s="109" t="s">
        <v>55</v>
      </c>
      <c r="I455" s="110">
        <v>0.78900000000000003</v>
      </c>
      <c r="J455" s="110">
        <v>0.79400000000000004</v>
      </c>
      <c r="K455" s="119">
        <v>0.79</v>
      </c>
      <c r="L455" s="111">
        <f t="shared" si="87"/>
        <v>-1.0000000000000009E-3</v>
      </c>
      <c r="M455" s="112">
        <f t="shared" si="88"/>
        <v>4.0000000000000036E-3</v>
      </c>
      <c r="N455" s="112">
        <f t="shared" si="89"/>
        <v>0</v>
      </c>
      <c r="O455" s="112">
        <f t="shared" si="90"/>
        <v>0.79100000000000004</v>
      </c>
      <c r="P455" s="113">
        <f t="shared" si="91"/>
        <v>0.13333333333333347</v>
      </c>
      <c r="Q455" s="114">
        <f t="shared" si="92"/>
        <v>3.3333333333333368E-2</v>
      </c>
      <c r="R455" s="115" t="str">
        <f t="shared" si="93"/>
        <v xml:space="preserve"> </v>
      </c>
      <c r="S455" s="115" t="str">
        <f t="shared" si="94"/>
        <v xml:space="preserve"> </v>
      </c>
      <c r="T455" s="116" t="str">
        <f t="shared" si="95"/>
        <v/>
      </c>
      <c r="U455" s="120"/>
      <c r="V455" s="118"/>
      <c r="W455" s="131"/>
    </row>
    <row r="456" spans="1:23" ht="13.2">
      <c r="A456" s="102" t="s">
        <v>490</v>
      </c>
      <c r="B456" s="102"/>
      <c r="C456" s="104">
        <v>3</v>
      </c>
      <c r="D456" s="105" t="s">
        <v>64</v>
      </c>
      <c r="E456" s="106">
        <v>0.79</v>
      </c>
      <c r="F456" s="107">
        <v>0.03</v>
      </c>
      <c r="G456" s="108">
        <v>0.03</v>
      </c>
      <c r="H456" s="109" t="s">
        <v>55</v>
      </c>
      <c r="I456" s="110">
        <v>0.79300000000000004</v>
      </c>
      <c r="J456" s="110">
        <v>0.80500000000000005</v>
      </c>
      <c r="K456" s="119">
        <v>0.78900000000000003</v>
      </c>
      <c r="L456" s="111">
        <f t="shared" si="87"/>
        <v>3.0000000000000027E-3</v>
      </c>
      <c r="M456" s="112">
        <f t="shared" si="88"/>
        <v>1.5000000000000013E-2</v>
      </c>
      <c r="N456" s="112">
        <f t="shared" si="89"/>
        <v>-1.0000000000000009E-3</v>
      </c>
      <c r="O456" s="112">
        <f t="shared" si="90"/>
        <v>0.79566666666666663</v>
      </c>
      <c r="P456" s="113">
        <f t="shared" si="91"/>
        <v>0.50000000000000044</v>
      </c>
      <c r="Q456" s="114">
        <f t="shared" si="92"/>
        <v>3.3333333333333368E-2</v>
      </c>
      <c r="R456" s="115" t="str">
        <f t="shared" si="93"/>
        <v xml:space="preserve"> </v>
      </c>
      <c r="S456" s="115" t="str">
        <f t="shared" si="94"/>
        <v xml:space="preserve"> </v>
      </c>
      <c r="T456" s="116" t="str">
        <f t="shared" si="95"/>
        <v/>
      </c>
      <c r="U456" s="120"/>
      <c r="V456" s="118"/>
      <c r="W456" s="131"/>
    </row>
    <row r="457" spans="1:23" ht="13.2">
      <c r="A457" s="102" t="s">
        <v>491</v>
      </c>
      <c r="B457" s="102"/>
      <c r="C457" s="104">
        <v>3</v>
      </c>
      <c r="D457" s="105" t="s">
        <v>64</v>
      </c>
      <c r="E457" s="106">
        <v>0.79</v>
      </c>
      <c r="F457" s="107">
        <v>0.03</v>
      </c>
      <c r="G457" s="108">
        <v>0.03</v>
      </c>
      <c r="H457" s="109" t="s">
        <v>55</v>
      </c>
      <c r="I457" s="110">
        <v>0.80600000000000005</v>
      </c>
      <c r="J457" s="110">
        <v>0.78300000000000003</v>
      </c>
      <c r="K457" s="119">
        <v>0.81</v>
      </c>
      <c r="L457" s="111">
        <f t="shared" si="87"/>
        <v>1.6000000000000014E-2</v>
      </c>
      <c r="M457" s="112">
        <f t="shared" si="88"/>
        <v>-7.0000000000000062E-3</v>
      </c>
      <c r="N457" s="112">
        <f t="shared" si="89"/>
        <v>2.0000000000000018E-2</v>
      </c>
      <c r="O457" s="112">
        <f t="shared" si="90"/>
        <v>0.79966666666666664</v>
      </c>
      <c r="P457" s="113">
        <f t="shared" si="91"/>
        <v>0.6666666666666673</v>
      </c>
      <c r="Q457" s="114">
        <f t="shared" si="92"/>
        <v>0.23333333333333356</v>
      </c>
      <c r="R457" s="115" t="str">
        <f t="shared" si="93"/>
        <v>Alert</v>
      </c>
      <c r="S457" s="115" t="str">
        <f t="shared" si="94"/>
        <v xml:space="preserve"> </v>
      </c>
      <c r="T457" s="116" t="str">
        <f t="shared" si="95"/>
        <v>Alert</v>
      </c>
      <c r="U457" s="120"/>
      <c r="V457" s="118"/>
      <c r="W457" s="131"/>
    </row>
    <row r="458" spans="1:23" ht="13.2">
      <c r="A458" s="102" t="s">
        <v>492</v>
      </c>
      <c r="B458" s="102"/>
      <c r="C458" s="104">
        <v>3</v>
      </c>
      <c r="D458" s="105" t="s">
        <v>64</v>
      </c>
      <c r="E458" s="106">
        <v>0.79</v>
      </c>
      <c r="F458" s="107">
        <v>0.03</v>
      </c>
      <c r="G458" s="108">
        <v>0.03</v>
      </c>
      <c r="H458" s="109" t="s">
        <v>55</v>
      </c>
      <c r="I458" s="110">
        <v>0.78900000000000003</v>
      </c>
      <c r="J458" s="110">
        <v>0.79600000000000004</v>
      </c>
      <c r="K458" s="119">
        <v>0.79400000000000004</v>
      </c>
      <c r="L458" s="111">
        <f t="shared" si="87"/>
        <v>-1.0000000000000009E-3</v>
      </c>
      <c r="M458" s="112">
        <f t="shared" si="88"/>
        <v>6.0000000000000053E-3</v>
      </c>
      <c r="N458" s="112">
        <f t="shared" si="89"/>
        <v>4.0000000000000036E-3</v>
      </c>
      <c r="O458" s="112">
        <f t="shared" si="90"/>
        <v>0.79300000000000004</v>
      </c>
      <c r="P458" s="113">
        <f t="shared" si="91"/>
        <v>0.20000000000000018</v>
      </c>
      <c r="Q458" s="114">
        <f t="shared" si="92"/>
        <v>3.3333333333333368E-2</v>
      </c>
      <c r="R458" s="115" t="str">
        <f t="shared" si="93"/>
        <v xml:space="preserve"> </v>
      </c>
      <c r="S458" s="115" t="str">
        <f t="shared" si="94"/>
        <v xml:space="preserve"> </v>
      </c>
      <c r="T458" s="116" t="str">
        <f t="shared" si="95"/>
        <v/>
      </c>
      <c r="U458" s="120"/>
      <c r="V458" s="118"/>
      <c r="W458" s="131"/>
    </row>
    <row r="459" spans="1:23" ht="13.2">
      <c r="A459" s="102" t="s">
        <v>493</v>
      </c>
      <c r="B459" s="102"/>
      <c r="C459" s="104">
        <v>3</v>
      </c>
      <c r="D459" s="105" t="s">
        <v>64</v>
      </c>
      <c r="E459" s="106">
        <v>0.79</v>
      </c>
      <c r="F459" s="107">
        <v>0.03</v>
      </c>
      <c r="G459" s="108">
        <v>0.03</v>
      </c>
      <c r="H459" s="109" t="s">
        <v>55</v>
      </c>
      <c r="I459" s="110">
        <v>0.78700000000000003</v>
      </c>
      <c r="J459" s="110">
        <v>0.79200000000000004</v>
      </c>
      <c r="K459" s="119">
        <v>0.79700000000000004</v>
      </c>
      <c r="L459" s="111">
        <f t="shared" si="87"/>
        <v>-3.0000000000000027E-3</v>
      </c>
      <c r="M459" s="112">
        <f t="shared" si="88"/>
        <v>2.0000000000000018E-3</v>
      </c>
      <c r="N459" s="112">
        <f t="shared" si="89"/>
        <v>7.0000000000000062E-3</v>
      </c>
      <c r="O459" s="112">
        <f t="shared" si="90"/>
        <v>0.79200000000000015</v>
      </c>
      <c r="P459" s="113">
        <f t="shared" si="91"/>
        <v>0.23333333333333356</v>
      </c>
      <c r="Q459" s="114">
        <f t="shared" si="92"/>
        <v>0.10000000000000009</v>
      </c>
      <c r="R459" s="115" t="str">
        <f t="shared" si="93"/>
        <v xml:space="preserve"> </v>
      </c>
      <c r="S459" s="115" t="str">
        <f t="shared" si="94"/>
        <v xml:space="preserve"> </v>
      </c>
      <c r="T459" s="116" t="str">
        <f t="shared" si="95"/>
        <v/>
      </c>
      <c r="U459" s="120"/>
      <c r="V459" s="118"/>
      <c r="W459" s="131"/>
    </row>
    <row r="460" spans="1:23" ht="13.2">
      <c r="A460" s="102" t="s">
        <v>494</v>
      </c>
      <c r="B460" s="102"/>
      <c r="C460" s="104">
        <v>3</v>
      </c>
      <c r="D460" s="105" t="s">
        <v>64</v>
      </c>
      <c r="E460" s="106">
        <v>0.79</v>
      </c>
      <c r="F460" s="107">
        <v>0.03</v>
      </c>
      <c r="G460" s="108">
        <v>0.03</v>
      </c>
      <c r="H460" s="109" t="s">
        <v>55</v>
      </c>
      <c r="I460" s="110">
        <v>0.78900000000000003</v>
      </c>
      <c r="J460" s="110">
        <v>0.79500000000000004</v>
      </c>
      <c r="K460" s="119">
        <v>0.79600000000000004</v>
      </c>
      <c r="L460" s="111">
        <f t="shared" si="87"/>
        <v>-1.0000000000000009E-3</v>
      </c>
      <c r="M460" s="112">
        <f t="shared" si="88"/>
        <v>5.0000000000000044E-3</v>
      </c>
      <c r="N460" s="112">
        <f t="shared" si="89"/>
        <v>6.0000000000000053E-3</v>
      </c>
      <c r="O460" s="112">
        <f t="shared" si="90"/>
        <v>0.79333333333333333</v>
      </c>
      <c r="P460" s="113">
        <f t="shared" si="91"/>
        <v>0.20000000000000018</v>
      </c>
      <c r="Q460" s="114">
        <f t="shared" si="92"/>
        <v>3.3333333333333368E-2</v>
      </c>
      <c r="R460" s="115" t="str">
        <f t="shared" si="93"/>
        <v xml:space="preserve"> </v>
      </c>
      <c r="S460" s="115" t="str">
        <f t="shared" si="94"/>
        <v xml:space="preserve"> </v>
      </c>
      <c r="T460" s="116" t="str">
        <f t="shared" si="95"/>
        <v/>
      </c>
      <c r="U460" s="120"/>
      <c r="V460" s="118"/>
      <c r="W460" s="131"/>
    </row>
    <row r="461" spans="1:23" ht="13.2">
      <c r="A461" s="102" t="s">
        <v>495</v>
      </c>
      <c r="B461" s="102"/>
      <c r="C461" s="104">
        <v>3</v>
      </c>
      <c r="D461" s="105" t="s">
        <v>64</v>
      </c>
      <c r="E461" s="106">
        <v>0.79</v>
      </c>
      <c r="F461" s="107">
        <v>0.03</v>
      </c>
      <c r="G461" s="108">
        <v>0.03</v>
      </c>
      <c r="H461" s="109" t="s">
        <v>55</v>
      </c>
      <c r="I461" s="110">
        <v>0.79300000000000004</v>
      </c>
      <c r="J461" s="110">
        <v>0.79800000000000004</v>
      </c>
      <c r="K461" s="119">
        <v>0.79700000000000004</v>
      </c>
      <c r="L461" s="111">
        <f t="shared" si="87"/>
        <v>3.0000000000000027E-3</v>
      </c>
      <c r="M461" s="112">
        <f t="shared" si="88"/>
        <v>8.0000000000000071E-3</v>
      </c>
      <c r="N461" s="112">
        <f t="shared" si="89"/>
        <v>7.0000000000000062E-3</v>
      </c>
      <c r="O461" s="112">
        <f t="shared" si="90"/>
        <v>0.79600000000000015</v>
      </c>
      <c r="P461" s="113">
        <f t="shared" si="91"/>
        <v>0.26666666666666694</v>
      </c>
      <c r="Q461" s="114">
        <f t="shared" si="92"/>
        <v>0</v>
      </c>
      <c r="R461" s="115" t="str">
        <f t="shared" si="93"/>
        <v xml:space="preserve"> </v>
      </c>
      <c r="S461" s="115" t="str">
        <f t="shared" si="94"/>
        <v xml:space="preserve"> </v>
      </c>
      <c r="T461" s="116" t="str">
        <f t="shared" si="95"/>
        <v/>
      </c>
      <c r="U461" s="120"/>
      <c r="V461" s="118"/>
      <c r="W461" s="131"/>
    </row>
    <row r="462" spans="1:23" ht="13.2">
      <c r="A462" s="102" t="s">
        <v>496</v>
      </c>
      <c r="B462" s="103"/>
      <c r="C462" s="104">
        <v>3</v>
      </c>
      <c r="D462" s="105" t="s">
        <v>64</v>
      </c>
      <c r="E462" s="106">
        <v>0.79</v>
      </c>
      <c r="F462" s="107">
        <v>0.03</v>
      </c>
      <c r="G462" s="108">
        <v>0.03</v>
      </c>
      <c r="H462" s="109" t="s">
        <v>55</v>
      </c>
      <c r="I462" s="110">
        <v>0.79200000000000004</v>
      </c>
      <c r="J462" s="110">
        <v>0.79200000000000004</v>
      </c>
      <c r="K462" s="119">
        <v>0.79800000000000004</v>
      </c>
      <c r="L462" s="111">
        <f t="shared" si="87"/>
        <v>2.0000000000000018E-3</v>
      </c>
      <c r="M462" s="112">
        <f t="shared" si="88"/>
        <v>2.0000000000000018E-3</v>
      </c>
      <c r="N462" s="112">
        <f t="shared" si="89"/>
        <v>8.0000000000000071E-3</v>
      </c>
      <c r="O462" s="112">
        <f t="shared" si="90"/>
        <v>0.79400000000000004</v>
      </c>
      <c r="P462" s="113">
        <f t="shared" si="91"/>
        <v>0.26666666666666694</v>
      </c>
      <c r="Q462" s="114">
        <f t="shared" si="92"/>
        <v>0</v>
      </c>
      <c r="R462" s="115" t="str">
        <f t="shared" si="93"/>
        <v xml:space="preserve"> </v>
      </c>
      <c r="S462" s="115" t="str">
        <f t="shared" si="94"/>
        <v xml:space="preserve"> </v>
      </c>
      <c r="T462" s="116" t="str">
        <f t="shared" si="95"/>
        <v/>
      </c>
      <c r="U462" s="120"/>
      <c r="V462" s="118"/>
      <c r="W462" s="131"/>
    </row>
    <row r="463" spans="1:23" ht="13.2">
      <c r="A463" s="102" t="s">
        <v>497</v>
      </c>
      <c r="B463" s="103"/>
      <c r="C463" s="104">
        <v>3</v>
      </c>
      <c r="D463" s="105" t="s">
        <v>64</v>
      </c>
      <c r="E463" s="106">
        <v>0.79</v>
      </c>
      <c r="F463" s="107">
        <v>0.03</v>
      </c>
      <c r="G463" s="108">
        <v>0.03</v>
      </c>
      <c r="H463" s="109" t="s">
        <v>55</v>
      </c>
      <c r="I463" s="110">
        <v>0.81100000000000005</v>
      </c>
      <c r="J463" s="110">
        <v>0.78800000000000003</v>
      </c>
      <c r="K463" s="119">
        <v>0.77900000000000003</v>
      </c>
      <c r="L463" s="111">
        <f t="shared" si="87"/>
        <v>2.1000000000000019E-2</v>
      </c>
      <c r="M463" s="112">
        <f t="shared" si="88"/>
        <v>-2.0000000000000018E-3</v>
      </c>
      <c r="N463" s="112">
        <f t="shared" si="89"/>
        <v>-1.100000000000001E-2</v>
      </c>
      <c r="O463" s="112">
        <f t="shared" si="90"/>
        <v>0.79266666666666674</v>
      </c>
      <c r="P463" s="113">
        <f t="shared" si="91"/>
        <v>0.70000000000000062</v>
      </c>
      <c r="Q463" s="114">
        <f t="shared" si="92"/>
        <v>0.36666666666666703</v>
      </c>
      <c r="R463" s="115" t="str">
        <f t="shared" si="93"/>
        <v>Alert</v>
      </c>
      <c r="S463" s="115" t="str">
        <f t="shared" si="94"/>
        <v xml:space="preserve"> </v>
      </c>
      <c r="T463" s="116" t="str">
        <f t="shared" si="95"/>
        <v>Alert</v>
      </c>
      <c r="U463" s="120"/>
      <c r="V463" s="118"/>
      <c r="W463" s="131"/>
    </row>
    <row r="464" spans="1:23" ht="13.2">
      <c r="A464" s="102" t="s">
        <v>498</v>
      </c>
      <c r="B464" s="103"/>
      <c r="C464" s="104">
        <v>3</v>
      </c>
      <c r="D464" s="105" t="s">
        <v>64</v>
      </c>
      <c r="E464" s="106">
        <v>0.79</v>
      </c>
      <c r="F464" s="107">
        <v>0.03</v>
      </c>
      <c r="G464" s="108">
        <v>0.03</v>
      </c>
      <c r="H464" s="109" t="s">
        <v>55</v>
      </c>
      <c r="I464" s="110">
        <v>0.76600000000000001</v>
      </c>
      <c r="J464" s="110">
        <v>0.79</v>
      </c>
      <c r="K464" s="119">
        <v>0.79800000000000004</v>
      </c>
      <c r="L464" s="111">
        <f t="shared" si="87"/>
        <v>-2.4000000000000021E-2</v>
      </c>
      <c r="M464" s="112">
        <f t="shared" si="88"/>
        <v>0</v>
      </c>
      <c r="N464" s="112">
        <f t="shared" si="89"/>
        <v>8.0000000000000071E-3</v>
      </c>
      <c r="O464" s="112">
        <f t="shared" si="90"/>
        <v>0.78466666666666673</v>
      </c>
      <c r="P464" s="113">
        <f t="shared" si="91"/>
        <v>0.26666666666666694</v>
      </c>
      <c r="Q464" s="114">
        <f t="shared" si="92"/>
        <v>0.80000000000000071</v>
      </c>
      <c r="R464" s="115" t="str">
        <f t="shared" si="93"/>
        <v xml:space="preserve"> </v>
      </c>
      <c r="S464" s="115" t="str">
        <f t="shared" si="94"/>
        <v>Alert</v>
      </c>
      <c r="T464" s="116" t="str">
        <f t="shared" si="95"/>
        <v>Alert</v>
      </c>
      <c r="U464" s="120"/>
      <c r="V464" s="118"/>
      <c r="W464" s="131"/>
    </row>
    <row r="465" spans="1:23" ht="13.2">
      <c r="A465" s="102" t="s">
        <v>499</v>
      </c>
      <c r="B465" s="102"/>
      <c r="C465" s="104">
        <v>3</v>
      </c>
      <c r="D465" s="105" t="s">
        <v>64</v>
      </c>
      <c r="E465" s="106">
        <v>0.79</v>
      </c>
      <c r="F465" s="107">
        <v>0.03</v>
      </c>
      <c r="G465" s="108">
        <v>0.03</v>
      </c>
      <c r="H465" s="109" t="s">
        <v>55</v>
      </c>
      <c r="I465" s="110">
        <v>0.80500000000000005</v>
      </c>
      <c r="J465" s="110">
        <v>0.80600000000000005</v>
      </c>
      <c r="K465" s="119">
        <v>0.80300000000000005</v>
      </c>
      <c r="L465" s="111">
        <f t="shared" si="87"/>
        <v>1.5000000000000013E-2</v>
      </c>
      <c r="M465" s="112">
        <f t="shared" si="88"/>
        <v>1.6000000000000014E-2</v>
      </c>
      <c r="N465" s="112">
        <f t="shared" si="89"/>
        <v>1.3000000000000012E-2</v>
      </c>
      <c r="O465" s="112">
        <f t="shared" si="90"/>
        <v>0.80466666666666675</v>
      </c>
      <c r="P465" s="113">
        <f t="shared" si="91"/>
        <v>0.53333333333333388</v>
      </c>
      <c r="Q465" s="114">
        <f t="shared" si="92"/>
        <v>0</v>
      </c>
      <c r="R465" s="115" t="str">
        <f t="shared" si="93"/>
        <v xml:space="preserve"> </v>
      </c>
      <c r="S465" s="115" t="str">
        <f t="shared" si="94"/>
        <v xml:space="preserve"> </v>
      </c>
      <c r="T465" s="116" t="str">
        <f t="shared" si="95"/>
        <v/>
      </c>
      <c r="U465" s="120"/>
      <c r="V465" s="118"/>
      <c r="W465" s="131"/>
    </row>
    <row r="466" spans="1:23" ht="13.2">
      <c r="A466" s="102" t="s">
        <v>500</v>
      </c>
      <c r="B466" s="102"/>
      <c r="C466" s="104">
        <v>3</v>
      </c>
      <c r="D466" s="105" t="s">
        <v>64</v>
      </c>
      <c r="E466" s="106">
        <v>0.79</v>
      </c>
      <c r="F466" s="107">
        <v>0.03</v>
      </c>
      <c r="G466" s="108">
        <v>0.03</v>
      </c>
      <c r="H466" s="109" t="s">
        <v>55</v>
      </c>
      <c r="I466" s="110">
        <v>0.8</v>
      </c>
      <c r="J466" s="110">
        <v>0.79900000000000004</v>
      </c>
      <c r="K466" s="119">
        <v>0.77900000000000003</v>
      </c>
      <c r="L466" s="111">
        <f t="shared" si="87"/>
        <v>1.0000000000000009E-2</v>
      </c>
      <c r="M466" s="112">
        <f t="shared" si="88"/>
        <v>9.000000000000008E-3</v>
      </c>
      <c r="N466" s="112">
        <f t="shared" si="89"/>
        <v>-1.100000000000001E-2</v>
      </c>
      <c r="O466" s="112">
        <f t="shared" si="90"/>
        <v>0.79266666666666674</v>
      </c>
      <c r="P466" s="113">
        <f t="shared" si="91"/>
        <v>0.33333333333333365</v>
      </c>
      <c r="Q466" s="114">
        <f t="shared" si="92"/>
        <v>0.36666666666666703</v>
      </c>
      <c r="R466" s="115" t="str">
        <f t="shared" si="93"/>
        <v xml:space="preserve"> </v>
      </c>
      <c r="S466" s="115" t="str">
        <f t="shared" si="94"/>
        <v xml:space="preserve"> </v>
      </c>
      <c r="T466" s="116" t="str">
        <f t="shared" si="95"/>
        <v/>
      </c>
      <c r="U466" s="120"/>
      <c r="V466" s="118"/>
      <c r="W466" s="131"/>
    </row>
    <row r="467" spans="1:23" ht="13.2">
      <c r="A467" s="102" t="s">
        <v>501</v>
      </c>
      <c r="B467" s="102"/>
      <c r="C467" s="104">
        <v>3</v>
      </c>
      <c r="D467" s="105" t="s">
        <v>64</v>
      </c>
      <c r="E467" s="106">
        <v>0.79</v>
      </c>
      <c r="F467" s="107">
        <v>0.03</v>
      </c>
      <c r="G467" s="108">
        <v>0.03</v>
      </c>
      <c r="H467" s="109" t="s">
        <v>55</v>
      </c>
      <c r="I467" s="110">
        <v>0.80900000000000005</v>
      </c>
      <c r="J467" s="110">
        <v>0.79400000000000004</v>
      </c>
      <c r="K467" s="119">
        <v>0.80800000000000005</v>
      </c>
      <c r="L467" s="111">
        <f t="shared" ref="L467:L530" si="96">IF(ISBLANK($E467),"",IF(ISERR(I467/I467)=TRUE,"BAD INSP",I467-$E467))</f>
        <v>1.9000000000000017E-2</v>
      </c>
      <c r="M467" s="112">
        <f t="shared" ref="M467:M530" si="97">IF(ISBLANK($E467),"",IF(ISERR(J467/J467)=TRUE,"BAD INSP",J467-$E467))</f>
        <v>4.0000000000000036E-3</v>
      </c>
      <c r="N467" s="112">
        <f t="shared" ref="N467:N530" si="98">IF(ISBLANK($E467),"",IF(ISERR(K467/K467)=TRUE,"BAD INSP",K467-$E467))</f>
        <v>1.8000000000000016E-2</v>
      </c>
      <c r="O467" s="112">
        <f t="shared" si="90"/>
        <v>0.80366666666666686</v>
      </c>
      <c r="P467" s="113">
        <f t="shared" si="91"/>
        <v>0.63333333333333397</v>
      </c>
      <c r="Q467" s="114">
        <f t="shared" si="92"/>
        <v>0</v>
      </c>
      <c r="R467" s="115" t="str">
        <f t="shared" si="93"/>
        <v xml:space="preserve"> </v>
      </c>
      <c r="S467" s="115" t="str">
        <f t="shared" si="94"/>
        <v xml:space="preserve"> </v>
      </c>
      <c r="T467" s="116" t="str">
        <f t="shared" si="95"/>
        <v/>
      </c>
      <c r="U467" s="120"/>
      <c r="V467" s="118"/>
      <c r="W467" s="131"/>
    </row>
    <row r="468" spans="1:23" ht="13.2">
      <c r="A468" s="102" t="s">
        <v>502</v>
      </c>
      <c r="B468" s="102"/>
      <c r="C468" s="104">
        <v>3</v>
      </c>
      <c r="D468" s="105" t="s">
        <v>64</v>
      </c>
      <c r="E468" s="106">
        <v>0.79</v>
      </c>
      <c r="F468" s="107">
        <v>0.03</v>
      </c>
      <c r="G468" s="108">
        <v>0.03</v>
      </c>
      <c r="H468" s="109" t="s">
        <v>55</v>
      </c>
      <c r="I468" s="110">
        <v>0.77100000000000002</v>
      </c>
      <c r="J468" s="110">
        <v>0.78100000000000003</v>
      </c>
      <c r="K468" s="119">
        <v>0.78600000000000003</v>
      </c>
      <c r="L468" s="111">
        <f t="shared" si="96"/>
        <v>-1.9000000000000017E-2</v>
      </c>
      <c r="M468" s="112">
        <f t="shared" si="97"/>
        <v>-9.000000000000008E-3</v>
      </c>
      <c r="N468" s="112">
        <f t="shared" si="98"/>
        <v>-4.0000000000000036E-3</v>
      </c>
      <c r="O468" s="112">
        <f t="shared" si="90"/>
        <v>0.77933333333333332</v>
      </c>
      <c r="P468" s="113">
        <f t="shared" si="91"/>
        <v>0</v>
      </c>
      <c r="Q468" s="114">
        <f t="shared" si="92"/>
        <v>0.63333333333333397</v>
      </c>
      <c r="R468" s="115" t="str">
        <f t="shared" si="93"/>
        <v xml:space="preserve"> </v>
      </c>
      <c r="S468" s="115" t="str">
        <f t="shared" si="94"/>
        <v xml:space="preserve"> </v>
      </c>
      <c r="T468" s="116" t="str">
        <f t="shared" si="95"/>
        <v/>
      </c>
      <c r="U468" s="120"/>
      <c r="V468" s="118"/>
      <c r="W468" s="131"/>
    </row>
    <row r="469" spans="1:23" ht="13.2">
      <c r="A469" s="102" t="s">
        <v>503</v>
      </c>
      <c r="B469" s="102"/>
      <c r="C469" s="104">
        <v>3</v>
      </c>
      <c r="D469" s="105" t="s">
        <v>64</v>
      </c>
      <c r="E469" s="106">
        <v>0.79</v>
      </c>
      <c r="F469" s="107">
        <v>0.03</v>
      </c>
      <c r="G469" s="108">
        <v>0.03</v>
      </c>
      <c r="H469" s="109" t="s">
        <v>55</v>
      </c>
      <c r="I469" s="110">
        <v>0.78500000000000003</v>
      </c>
      <c r="J469" s="110">
        <v>0.79600000000000004</v>
      </c>
      <c r="K469" s="119">
        <v>0.80200000000000005</v>
      </c>
      <c r="L469" s="111">
        <f t="shared" si="96"/>
        <v>-5.0000000000000044E-3</v>
      </c>
      <c r="M469" s="112">
        <f t="shared" si="97"/>
        <v>6.0000000000000053E-3</v>
      </c>
      <c r="N469" s="112">
        <f t="shared" si="98"/>
        <v>1.2000000000000011E-2</v>
      </c>
      <c r="O469" s="112">
        <f t="shared" si="90"/>
        <v>0.79433333333333334</v>
      </c>
      <c r="P469" s="113">
        <f t="shared" si="91"/>
        <v>0.40000000000000036</v>
      </c>
      <c r="Q469" s="114">
        <f t="shared" si="92"/>
        <v>0.16666666666666682</v>
      </c>
      <c r="R469" s="115" t="str">
        <f t="shared" si="93"/>
        <v xml:space="preserve"> </v>
      </c>
      <c r="S469" s="115" t="str">
        <f t="shared" si="94"/>
        <v xml:space="preserve"> </v>
      </c>
      <c r="T469" s="116" t="str">
        <f t="shared" si="95"/>
        <v/>
      </c>
      <c r="U469" s="120"/>
      <c r="V469" s="118"/>
      <c r="W469" s="131"/>
    </row>
    <row r="470" spans="1:23" ht="13.2">
      <c r="A470" s="102" t="s">
        <v>504</v>
      </c>
      <c r="B470" s="102"/>
      <c r="C470" s="104">
        <v>3</v>
      </c>
      <c r="D470" s="105" t="s">
        <v>64</v>
      </c>
      <c r="E470" s="106">
        <v>0.79</v>
      </c>
      <c r="F470" s="107">
        <v>0.03</v>
      </c>
      <c r="G470" s="108">
        <v>0.03</v>
      </c>
      <c r="H470" s="109" t="s">
        <v>55</v>
      </c>
      <c r="I470" s="110">
        <v>0.78900000000000003</v>
      </c>
      <c r="J470" s="110">
        <v>0.80300000000000005</v>
      </c>
      <c r="K470" s="119">
        <v>0.8</v>
      </c>
      <c r="L470" s="111">
        <f t="shared" si="96"/>
        <v>-1.0000000000000009E-3</v>
      </c>
      <c r="M470" s="112">
        <f t="shared" si="97"/>
        <v>1.3000000000000012E-2</v>
      </c>
      <c r="N470" s="112">
        <f t="shared" si="98"/>
        <v>1.0000000000000009E-2</v>
      </c>
      <c r="O470" s="112">
        <f t="shared" si="90"/>
        <v>0.79733333333333345</v>
      </c>
      <c r="P470" s="113">
        <f t="shared" si="91"/>
        <v>0.43333333333333374</v>
      </c>
      <c r="Q470" s="114">
        <f t="shared" si="92"/>
        <v>3.3333333333333368E-2</v>
      </c>
      <c r="R470" s="115" t="str">
        <f t="shared" si="93"/>
        <v xml:space="preserve"> </v>
      </c>
      <c r="S470" s="115" t="str">
        <f t="shared" si="94"/>
        <v xml:space="preserve"> </v>
      </c>
      <c r="T470" s="116" t="str">
        <f t="shared" si="95"/>
        <v/>
      </c>
      <c r="U470" s="120"/>
      <c r="V470" s="118"/>
      <c r="W470" s="131"/>
    </row>
    <row r="471" spans="1:23" ht="13.2">
      <c r="A471" s="102" t="s">
        <v>505</v>
      </c>
      <c r="B471" s="102"/>
      <c r="C471" s="104">
        <v>3</v>
      </c>
      <c r="D471" s="105" t="s">
        <v>64</v>
      </c>
      <c r="E471" s="106">
        <v>0.79</v>
      </c>
      <c r="F471" s="107">
        <v>0.03</v>
      </c>
      <c r="G471" s="108">
        <v>0.03</v>
      </c>
      <c r="H471" s="109" t="s">
        <v>55</v>
      </c>
      <c r="I471" s="110">
        <v>0.80800000000000005</v>
      </c>
      <c r="J471" s="110">
        <v>0.78600000000000003</v>
      </c>
      <c r="K471" s="119">
        <v>0.78700000000000003</v>
      </c>
      <c r="L471" s="111">
        <f t="shared" si="96"/>
        <v>1.8000000000000016E-2</v>
      </c>
      <c r="M471" s="112">
        <f t="shared" si="97"/>
        <v>-4.0000000000000036E-3</v>
      </c>
      <c r="N471" s="112">
        <f t="shared" si="98"/>
        <v>-3.0000000000000027E-3</v>
      </c>
      <c r="O471" s="112">
        <f t="shared" si="90"/>
        <v>0.79366666666666674</v>
      </c>
      <c r="P471" s="113">
        <f t="shared" si="91"/>
        <v>0.60000000000000053</v>
      </c>
      <c r="Q471" s="114">
        <f t="shared" si="92"/>
        <v>0.13333333333333347</v>
      </c>
      <c r="R471" s="115" t="str">
        <f t="shared" si="93"/>
        <v xml:space="preserve"> </v>
      </c>
      <c r="S471" s="115" t="str">
        <f t="shared" si="94"/>
        <v xml:space="preserve"> </v>
      </c>
      <c r="T471" s="116" t="str">
        <f t="shared" si="95"/>
        <v/>
      </c>
      <c r="U471" s="120"/>
      <c r="V471" s="118"/>
      <c r="W471" s="131"/>
    </row>
    <row r="472" spans="1:23" ht="13.2">
      <c r="A472" s="102" t="s">
        <v>506</v>
      </c>
      <c r="B472" s="102"/>
      <c r="C472" s="104">
        <v>3</v>
      </c>
      <c r="D472" s="105" t="s">
        <v>64</v>
      </c>
      <c r="E472" s="106">
        <v>0.79</v>
      </c>
      <c r="F472" s="107">
        <v>0.03</v>
      </c>
      <c r="G472" s="108">
        <v>0.03</v>
      </c>
      <c r="H472" s="109" t="s">
        <v>55</v>
      </c>
      <c r="I472" s="110">
        <v>0.79500000000000004</v>
      </c>
      <c r="J472" s="110">
        <v>0.79500000000000004</v>
      </c>
      <c r="K472" s="119">
        <v>0.78300000000000003</v>
      </c>
      <c r="L472" s="111">
        <f t="shared" si="96"/>
        <v>5.0000000000000044E-3</v>
      </c>
      <c r="M472" s="112">
        <f t="shared" si="97"/>
        <v>5.0000000000000044E-3</v>
      </c>
      <c r="N472" s="112">
        <f t="shared" si="98"/>
        <v>-7.0000000000000062E-3</v>
      </c>
      <c r="O472" s="112">
        <f t="shared" si="90"/>
        <v>0.79100000000000004</v>
      </c>
      <c r="P472" s="113">
        <f t="shared" si="91"/>
        <v>0.16666666666666682</v>
      </c>
      <c r="Q472" s="114">
        <f t="shared" si="92"/>
        <v>0.23333333333333356</v>
      </c>
      <c r="R472" s="115" t="str">
        <f t="shared" si="93"/>
        <v xml:space="preserve"> </v>
      </c>
      <c r="S472" s="115" t="str">
        <f t="shared" si="94"/>
        <v xml:space="preserve"> </v>
      </c>
      <c r="T472" s="116" t="str">
        <f t="shared" si="95"/>
        <v/>
      </c>
      <c r="U472" s="120"/>
      <c r="V472" s="118"/>
      <c r="W472" s="131"/>
    </row>
    <row r="473" spans="1:23" ht="13.2">
      <c r="A473" s="102" t="s">
        <v>507</v>
      </c>
      <c r="B473" s="102"/>
      <c r="C473" s="104">
        <v>3</v>
      </c>
      <c r="D473" s="105" t="s">
        <v>64</v>
      </c>
      <c r="E473" s="106">
        <v>0.79</v>
      </c>
      <c r="F473" s="107">
        <v>0.03</v>
      </c>
      <c r="G473" s="108">
        <v>0.03</v>
      </c>
      <c r="H473" s="109" t="s">
        <v>55</v>
      </c>
      <c r="I473" s="110">
        <v>0.79100000000000004</v>
      </c>
      <c r="J473" s="110">
        <v>0.79800000000000004</v>
      </c>
      <c r="K473" s="119">
        <v>0.79800000000000004</v>
      </c>
      <c r="L473" s="111">
        <f t="shared" si="96"/>
        <v>1.0000000000000009E-3</v>
      </c>
      <c r="M473" s="112">
        <f t="shared" si="97"/>
        <v>8.0000000000000071E-3</v>
      </c>
      <c r="N473" s="112">
        <f t="shared" si="98"/>
        <v>8.0000000000000071E-3</v>
      </c>
      <c r="O473" s="112">
        <f t="shared" si="90"/>
        <v>0.79566666666666663</v>
      </c>
      <c r="P473" s="113">
        <f t="shared" si="91"/>
        <v>0.26666666666666694</v>
      </c>
      <c r="Q473" s="114">
        <f t="shared" si="92"/>
        <v>0</v>
      </c>
      <c r="R473" s="115" t="str">
        <f t="shared" si="93"/>
        <v xml:space="preserve"> </v>
      </c>
      <c r="S473" s="115" t="str">
        <f t="shared" si="94"/>
        <v xml:space="preserve"> </v>
      </c>
      <c r="T473" s="116" t="str">
        <f t="shared" si="95"/>
        <v/>
      </c>
      <c r="U473" s="120"/>
      <c r="V473" s="118"/>
      <c r="W473" s="131"/>
    </row>
    <row r="474" spans="1:23" ht="13.2">
      <c r="A474" s="102" t="s">
        <v>508</v>
      </c>
      <c r="B474" s="102"/>
      <c r="C474" s="104">
        <v>3</v>
      </c>
      <c r="D474" s="105" t="s">
        <v>64</v>
      </c>
      <c r="E474" s="106">
        <v>0.79</v>
      </c>
      <c r="F474" s="107">
        <v>0.03</v>
      </c>
      <c r="G474" s="108">
        <v>0.03</v>
      </c>
      <c r="H474" s="109" t="s">
        <v>55</v>
      </c>
      <c r="I474" s="110">
        <v>0.79900000000000004</v>
      </c>
      <c r="J474" s="110">
        <v>0.79800000000000004</v>
      </c>
      <c r="K474" s="119">
        <v>0.81</v>
      </c>
      <c r="L474" s="111">
        <f t="shared" si="96"/>
        <v>9.000000000000008E-3</v>
      </c>
      <c r="M474" s="112">
        <f t="shared" si="97"/>
        <v>8.0000000000000071E-3</v>
      </c>
      <c r="N474" s="112">
        <f t="shared" si="98"/>
        <v>2.0000000000000018E-2</v>
      </c>
      <c r="O474" s="112">
        <f t="shared" si="90"/>
        <v>0.80233333333333334</v>
      </c>
      <c r="P474" s="113">
        <f t="shared" si="91"/>
        <v>0.6666666666666673</v>
      </c>
      <c r="Q474" s="114">
        <f t="shared" si="92"/>
        <v>0</v>
      </c>
      <c r="R474" s="115" t="str">
        <f t="shared" si="93"/>
        <v>Alert</v>
      </c>
      <c r="S474" s="115" t="str">
        <f t="shared" si="94"/>
        <v xml:space="preserve"> </v>
      </c>
      <c r="T474" s="116" t="str">
        <f t="shared" si="95"/>
        <v>Alert</v>
      </c>
      <c r="U474" s="120"/>
      <c r="V474" s="118"/>
      <c r="W474" s="131"/>
    </row>
    <row r="475" spans="1:23" ht="13.2">
      <c r="A475" s="102" t="s">
        <v>509</v>
      </c>
      <c r="B475" s="102"/>
      <c r="C475" s="104">
        <v>3</v>
      </c>
      <c r="D475" s="105" t="s">
        <v>64</v>
      </c>
      <c r="E475" s="106">
        <v>0.79</v>
      </c>
      <c r="F475" s="107">
        <v>0.03</v>
      </c>
      <c r="G475" s="108">
        <v>0.03</v>
      </c>
      <c r="H475" s="109" t="s">
        <v>55</v>
      </c>
      <c r="I475" s="110">
        <v>0.78500000000000003</v>
      </c>
      <c r="J475" s="110">
        <v>0.79400000000000004</v>
      </c>
      <c r="K475" s="119">
        <v>0.79300000000000004</v>
      </c>
      <c r="L475" s="111">
        <f t="shared" si="96"/>
        <v>-5.0000000000000044E-3</v>
      </c>
      <c r="M475" s="112">
        <f t="shared" si="97"/>
        <v>4.0000000000000036E-3</v>
      </c>
      <c r="N475" s="112">
        <f t="shared" si="98"/>
        <v>3.0000000000000027E-3</v>
      </c>
      <c r="O475" s="112">
        <f t="shared" si="90"/>
        <v>0.79066666666666674</v>
      </c>
      <c r="P475" s="113">
        <f t="shared" si="91"/>
        <v>0.13333333333333347</v>
      </c>
      <c r="Q475" s="114">
        <f t="shared" si="92"/>
        <v>0.16666666666666682</v>
      </c>
      <c r="R475" s="115" t="str">
        <f t="shared" si="93"/>
        <v xml:space="preserve"> </v>
      </c>
      <c r="S475" s="115" t="str">
        <f t="shared" si="94"/>
        <v xml:space="preserve"> </v>
      </c>
      <c r="T475" s="116" t="str">
        <f t="shared" si="95"/>
        <v/>
      </c>
      <c r="U475" s="120"/>
      <c r="V475" s="118"/>
      <c r="W475" s="131"/>
    </row>
    <row r="476" spans="1:23" ht="13.2">
      <c r="A476" s="102" t="s">
        <v>510</v>
      </c>
      <c r="B476" s="102"/>
      <c r="C476" s="104">
        <v>3</v>
      </c>
      <c r="D476" s="105" t="s">
        <v>64</v>
      </c>
      <c r="E476" s="106">
        <v>0.79</v>
      </c>
      <c r="F476" s="107">
        <v>0.03</v>
      </c>
      <c r="G476" s="108">
        <v>0.03</v>
      </c>
      <c r="H476" s="109" t="s">
        <v>55</v>
      </c>
      <c r="I476" s="110">
        <v>0.77800000000000002</v>
      </c>
      <c r="J476" s="110">
        <v>0.78200000000000003</v>
      </c>
      <c r="K476" s="119">
        <v>0.78100000000000003</v>
      </c>
      <c r="L476" s="111">
        <f t="shared" si="96"/>
        <v>-1.2000000000000011E-2</v>
      </c>
      <c r="M476" s="112">
        <f t="shared" si="97"/>
        <v>-8.0000000000000071E-3</v>
      </c>
      <c r="N476" s="112">
        <f t="shared" si="98"/>
        <v>-9.000000000000008E-3</v>
      </c>
      <c r="O476" s="112">
        <f t="shared" si="90"/>
        <v>0.78033333333333343</v>
      </c>
      <c r="P476" s="113">
        <f t="shared" si="91"/>
        <v>0</v>
      </c>
      <c r="Q476" s="114">
        <f t="shared" si="92"/>
        <v>0.40000000000000036</v>
      </c>
      <c r="R476" s="115" t="str">
        <f t="shared" si="93"/>
        <v xml:space="preserve"> </v>
      </c>
      <c r="S476" s="115" t="str">
        <f t="shared" si="94"/>
        <v xml:space="preserve"> </v>
      </c>
      <c r="T476" s="116" t="str">
        <f t="shared" si="95"/>
        <v/>
      </c>
      <c r="U476" s="120"/>
      <c r="V476" s="118"/>
      <c r="W476" s="131"/>
    </row>
    <row r="477" spans="1:23" ht="13.2">
      <c r="A477" s="102" t="s">
        <v>511</v>
      </c>
      <c r="B477" s="103"/>
      <c r="C477" s="104">
        <v>3</v>
      </c>
      <c r="D477" s="105" t="s">
        <v>64</v>
      </c>
      <c r="E477" s="106">
        <v>0.79</v>
      </c>
      <c r="F477" s="107">
        <v>0.03</v>
      </c>
      <c r="G477" s="108">
        <v>0.03</v>
      </c>
      <c r="H477" s="109" t="s">
        <v>55</v>
      </c>
      <c r="I477" s="110">
        <v>0.8</v>
      </c>
      <c r="J477" s="110">
        <v>0.80700000000000005</v>
      </c>
      <c r="K477" s="119">
        <v>0.79900000000000004</v>
      </c>
      <c r="L477" s="111">
        <f t="shared" si="96"/>
        <v>1.0000000000000009E-2</v>
      </c>
      <c r="M477" s="112">
        <f t="shared" si="97"/>
        <v>1.7000000000000015E-2</v>
      </c>
      <c r="N477" s="112">
        <f t="shared" si="98"/>
        <v>9.000000000000008E-3</v>
      </c>
      <c r="O477" s="112">
        <f t="shared" si="90"/>
        <v>0.80200000000000005</v>
      </c>
      <c r="P477" s="113">
        <f t="shared" si="91"/>
        <v>0.56666666666666721</v>
      </c>
      <c r="Q477" s="114">
        <f t="shared" si="92"/>
        <v>0</v>
      </c>
      <c r="R477" s="115" t="str">
        <f t="shared" si="93"/>
        <v xml:space="preserve"> </v>
      </c>
      <c r="S477" s="115" t="str">
        <f t="shared" si="94"/>
        <v xml:space="preserve"> </v>
      </c>
      <c r="T477" s="116" t="str">
        <f t="shared" si="95"/>
        <v/>
      </c>
      <c r="U477" s="120"/>
      <c r="V477" s="118"/>
      <c r="W477" s="131"/>
    </row>
    <row r="478" spans="1:23" ht="13.2">
      <c r="A478" s="102" t="s">
        <v>512</v>
      </c>
      <c r="B478" s="103"/>
      <c r="C478" s="104">
        <v>3</v>
      </c>
      <c r="D478" s="105" t="s">
        <v>64</v>
      </c>
      <c r="E478" s="106">
        <v>0.79</v>
      </c>
      <c r="F478" s="107">
        <v>0.03</v>
      </c>
      <c r="G478" s="108">
        <v>0.03</v>
      </c>
      <c r="H478" s="109" t="s">
        <v>55</v>
      </c>
      <c r="I478" s="110">
        <v>0.80300000000000005</v>
      </c>
      <c r="J478" s="110">
        <v>0.79400000000000004</v>
      </c>
      <c r="K478" s="119">
        <v>0.80400000000000005</v>
      </c>
      <c r="L478" s="111">
        <f t="shared" si="96"/>
        <v>1.3000000000000012E-2</v>
      </c>
      <c r="M478" s="112">
        <f t="shared" si="97"/>
        <v>4.0000000000000036E-3</v>
      </c>
      <c r="N478" s="112">
        <f t="shared" si="98"/>
        <v>1.4000000000000012E-2</v>
      </c>
      <c r="O478" s="112">
        <f t="shared" si="90"/>
        <v>0.80033333333333323</v>
      </c>
      <c r="P478" s="113">
        <f t="shared" si="91"/>
        <v>0.46666666666666712</v>
      </c>
      <c r="Q478" s="114">
        <f t="shared" si="92"/>
        <v>0</v>
      </c>
      <c r="R478" s="115" t="str">
        <f t="shared" si="93"/>
        <v xml:space="preserve"> </v>
      </c>
      <c r="S478" s="115" t="str">
        <f t="shared" si="94"/>
        <v xml:space="preserve"> </v>
      </c>
      <c r="T478" s="116" t="str">
        <f t="shared" si="95"/>
        <v/>
      </c>
      <c r="U478" s="120"/>
      <c r="V478" s="118"/>
      <c r="W478" s="131"/>
    </row>
    <row r="479" spans="1:23" ht="13.2">
      <c r="A479" s="102" t="s">
        <v>513</v>
      </c>
      <c r="B479" s="103"/>
      <c r="C479" s="104">
        <v>3</v>
      </c>
      <c r="D479" s="105" t="s">
        <v>64</v>
      </c>
      <c r="E479" s="106">
        <v>0.79</v>
      </c>
      <c r="F479" s="107">
        <v>0.03</v>
      </c>
      <c r="G479" s="108">
        <v>0.03</v>
      </c>
      <c r="H479" s="109" t="s">
        <v>55</v>
      </c>
      <c r="I479" s="110">
        <v>0.79300000000000004</v>
      </c>
      <c r="J479" s="110">
        <v>0.79</v>
      </c>
      <c r="K479" s="119">
        <v>0.79100000000000004</v>
      </c>
      <c r="L479" s="111">
        <f t="shared" si="96"/>
        <v>3.0000000000000027E-3</v>
      </c>
      <c r="M479" s="112">
        <f t="shared" si="97"/>
        <v>0</v>
      </c>
      <c r="N479" s="112">
        <f t="shared" si="98"/>
        <v>1.0000000000000009E-3</v>
      </c>
      <c r="O479" s="112">
        <f t="shared" si="90"/>
        <v>0.79133333333333333</v>
      </c>
      <c r="P479" s="113">
        <f t="shared" si="91"/>
        <v>0.10000000000000009</v>
      </c>
      <c r="Q479" s="114">
        <f t="shared" si="92"/>
        <v>0</v>
      </c>
      <c r="R479" s="115" t="str">
        <f t="shared" si="93"/>
        <v xml:space="preserve"> </v>
      </c>
      <c r="S479" s="115" t="str">
        <f t="shared" si="94"/>
        <v xml:space="preserve"> </v>
      </c>
      <c r="T479" s="116" t="str">
        <f t="shared" si="95"/>
        <v/>
      </c>
      <c r="U479" s="120"/>
      <c r="V479" s="118"/>
      <c r="W479" s="131"/>
    </row>
    <row r="480" spans="1:23" ht="13.2">
      <c r="A480" s="102" t="s">
        <v>514</v>
      </c>
      <c r="B480" s="102"/>
      <c r="C480" s="104">
        <v>3</v>
      </c>
      <c r="D480" s="105" t="s">
        <v>64</v>
      </c>
      <c r="E480" s="106">
        <v>0.79</v>
      </c>
      <c r="F480" s="107">
        <v>0.03</v>
      </c>
      <c r="G480" s="108">
        <v>0.03</v>
      </c>
      <c r="H480" s="109" t="s">
        <v>55</v>
      </c>
      <c r="I480" s="110">
        <v>0.80100000000000005</v>
      </c>
      <c r="J480" s="110">
        <v>0.80400000000000005</v>
      </c>
      <c r="K480" s="119">
        <v>0.77900000000000003</v>
      </c>
      <c r="L480" s="111">
        <f t="shared" si="96"/>
        <v>1.100000000000001E-2</v>
      </c>
      <c r="M480" s="112">
        <f t="shared" si="97"/>
        <v>1.4000000000000012E-2</v>
      </c>
      <c r="N480" s="112">
        <f t="shared" si="98"/>
        <v>-1.100000000000001E-2</v>
      </c>
      <c r="O480" s="112">
        <f t="shared" si="90"/>
        <v>0.79466666666666663</v>
      </c>
      <c r="P480" s="113">
        <f t="shared" si="91"/>
        <v>0.46666666666666712</v>
      </c>
      <c r="Q480" s="114">
        <f t="shared" si="92"/>
        <v>0.36666666666666703</v>
      </c>
      <c r="R480" s="115" t="str">
        <f t="shared" si="93"/>
        <v xml:space="preserve"> </v>
      </c>
      <c r="S480" s="115" t="str">
        <f t="shared" si="94"/>
        <v xml:space="preserve"> </v>
      </c>
      <c r="T480" s="116" t="str">
        <f t="shared" si="95"/>
        <v/>
      </c>
      <c r="U480" s="120"/>
      <c r="V480" s="118"/>
      <c r="W480" s="131"/>
    </row>
    <row r="481" spans="1:23" ht="13.2">
      <c r="A481" s="102" t="s">
        <v>515</v>
      </c>
      <c r="B481" s="102"/>
      <c r="C481" s="104">
        <v>3</v>
      </c>
      <c r="D481" s="105" t="s">
        <v>64</v>
      </c>
      <c r="E481" s="106">
        <v>0.79</v>
      </c>
      <c r="F481" s="107">
        <v>0.03</v>
      </c>
      <c r="G481" s="108">
        <v>0.03</v>
      </c>
      <c r="H481" s="109" t="s">
        <v>55</v>
      </c>
      <c r="I481" s="110">
        <v>0.78400000000000003</v>
      </c>
      <c r="J481" s="110">
        <v>0.78500000000000003</v>
      </c>
      <c r="K481" s="119">
        <v>0.80300000000000005</v>
      </c>
      <c r="L481" s="111">
        <f t="shared" si="96"/>
        <v>-6.0000000000000053E-3</v>
      </c>
      <c r="M481" s="112">
        <f t="shared" si="97"/>
        <v>-5.0000000000000044E-3</v>
      </c>
      <c r="N481" s="112">
        <f t="shared" si="98"/>
        <v>1.3000000000000012E-2</v>
      </c>
      <c r="O481" s="112">
        <f t="shared" si="90"/>
        <v>0.79066666666666663</v>
      </c>
      <c r="P481" s="113">
        <f t="shared" si="91"/>
        <v>0.43333333333333374</v>
      </c>
      <c r="Q481" s="114">
        <f t="shared" si="92"/>
        <v>0.20000000000000018</v>
      </c>
      <c r="R481" s="115" t="str">
        <f t="shared" si="93"/>
        <v xml:space="preserve"> </v>
      </c>
      <c r="S481" s="115" t="str">
        <f t="shared" si="94"/>
        <v xml:space="preserve"> </v>
      </c>
      <c r="T481" s="116" t="str">
        <f t="shared" si="95"/>
        <v/>
      </c>
      <c r="U481" s="120"/>
      <c r="V481" s="118"/>
      <c r="W481" s="131"/>
    </row>
    <row r="482" spans="1:23" ht="13.2">
      <c r="A482" s="102" t="s">
        <v>516</v>
      </c>
      <c r="B482" s="102"/>
      <c r="C482" s="104">
        <v>3</v>
      </c>
      <c r="D482" s="105" t="s">
        <v>64</v>
      </c>
      <c r="E482" s="106">
        <v>0.79</v>
      </c>
      <c r="F482" s="107">
        <v>0.03</v>
      </c>
      <c r="G482" s="108">
        <v>0.03</v>
      </c>
      <c r="H482" s="109" t="s">
        <v>55</v>
      </c>
      <c r="I482" s="110">
        <v>0.78200000000000003</v>
      </c>
      <c r="J482" s="110">
        <v>0.78800000000000003</v>
      </c>
      <c r="K482" s="119">
        <v>0.79800000000000004</v>
      </c>
      <c r="L482" s="111">
        <f t="shared" si="96"/>
        <v>-8.0000000000000071E-3</v>
      </c>
      <c r="M482" s="112">
        <f t="shared" si="97"/>
        <v>-2.0000000000000018E-3</v>
      </c>
      <c r="N482" s="112">
        <f t="shared" si="98"/>
        <v>8.0000000000000071E-3</v>
      </c>
      <c r="O482" s="112">
        <f t="shared" si="90"/>
        <v>0.78933333333333344</v>
      </c>
      <c r="P482" s="113">
        <f t="shared" si="91"/>
        <v>0.26666666666666694</v>
      </c>
      <c r="Q482" s="114">
        <f t="shared" si="92"/>
        <v>0.26666666666666694</v>
      </c>
      <c r="R482" s="115" t="str">
        <f t="shared" si="93"/>
        <v xml:space="preserve"> </v>
      </c>
      <c r="S482" s="115" t="str">
        <f t="shared" si="94"/>
        <v xml:space="preserve"> </v>
      </c>
      <c r="T482" s="116" t="str">
        <f t="shared" si="95"/>
        <v/>
      </c>
      <c r="U482" s="120"/>
      <c r="V482" s="118"/>
      <c r="W482" s="131"/>
    </row>
    <row r="483" spans="1:23" ht="13.2">
      <c r="A483" s="102" t="s">
        <v>517</v>
      </c>
      <c r="B483" s="102"/>
      <c r="C483" s="104">
        <v>3</v>
      </c>
      <c r="D483" s="105" t="s">
        <v>64</v>
      </c>
      <c r="E483" s="106">
        <v>0.79</v>
      </c>
      <c r="F483" s="107">
        <v>0.03</v>
      </c>
      <c r="G483" s="108">
        <v>0.03</v>
      </c>
      <c r="H483" s="109" t="s">
        <v>55</v>
      </c>
      <c r="I483" s="110">
        <v>0.79400000000000004</v>
      </c>
      <c r="J483" s="110">
        <v>0.80300000000000005</v>
      </c>
      <c r="K483" s="119">
        <v>0.79500000000000004</v>
      </c>
      <c r="L483" s="111">
        <f t="shared" si="96"/>
        <v>4.0000000000000036E-3</v>
      </c>
      <c r="M483" s="112">
        <f t="shared" si="97"/>
        <v>1.3000000000000012E-2</v>
      </c>
      <c r="N483" s="112">
        <f t="shared" si="98"/>
        <v>5.0000000000000044E-3</v>
      </c>
      <c r="O483" s="112">
        <f t="shared" si="90"/>
        <v>0.79733333333333334</v>
      </c>
      <c r="P483" s="113">
        <f t="shared" si="91"/>
        <v>0.43333333333333374</v>
      </c>
      <c r="Q483" s="114">
        <f t="shared" si="92"/>
        <v>0</v>
      </c>
      <c r="R483" s="115" t="str">
        <f t="shared" si="93"/>
        <v xml:space="preserve"> </v>
      </c>
      <c r="S483" s="115" t="str">
        <f t="shared" si="94"/>
        <v xml:space="preserve"> </v>
      </c>
      <c r="T483" s="116" t="str">
        <f t="shared" si="95"/>
        <v/>
      </c>
      <c r="U483" s="120"/>
      <c r="V483" s="118"/>
      <c r="W483" s="131"/>
    </row>
    <row r="484" spans="1:23" ht="13.2">
      <c r="A484" s="102" t="s">
        <v>518</v>
      </c>
      <c r="B484" s="102"/>
      <c r="C484" s="104">
        <v>3</v>
      </c>
      <c r="D484" s="105" t="s">
        <v>64</v>
      </c>
      <c r="E484" s="106">
        <v>0.79</v>
      </c>
      <c r="F484" s="107">
        <v>0.03</v>
      </c>
      <c r="G484" s="108">
        <v>0.03</v>
      </c>
      <c r="H484" s="109" t="s">
        <v>55</v>
      </c>
      <c r="I484" s="110">
        <v>0.79600000000000004</v>
      </c>
      <c r="J484" s="110">
        <v>0.78100000000000003</v>
      </c>
      <c r="K484" s="119">
        <v>0.81</v>
      </c>
      <c r="L484" s="111">
        <f t="shared" si="96"/>
        <v>6.0000000000000053E-3</v>
      </c>
      <c r="M484" s="112">
        <f t="shared" si="97"/>
        <v>-9.000000000000008E-3</v>
      </c>
      <c r="N484" s="112">
        <f t="shared" si="98"/>
        <v>2.0000000000000018E-2</v>
      </c>
      <c r="O484" s="112">
        <f t="shared" si="90"/>
        <v>0.79566666666666663</v>
      </c>
      <c r="P484" s="113">
        <f t="shared" si="91"/>
        <v>0.6666666666666673</v>
      </c>
      <c r="Q484" s="114">
        <f t="shared" si="92"/>
        <v>0.30000000000000027</v>
      </c>
      <c r="R484" s="115" t="str">
        <f t="shared" si="93"/>
        <v>Alert</v>
      </c>
      <c r="S484" s="115" t="str">
        <f t="shared" si="94"/>
        <v xml:space="preserve"> </v>
      </c>
      <c r="T484" s="116" t="str">
        <f t="shared" si="95"/>
        <v>Alert</v>
      </c>
      <c r="U484" s="120"/>
      <c r="V484" s="118"/>
      <c r="W484" s="131"/>
    </row>
    <row r="485" spans="1:23" ht="13.2">
      <c r="A485" s="102" t="s">
        <v>519</v>
      </c>
      <c r="B485" s="102"/>
      <c r="C485" s="104">
        <v>3</v>
      </c>
      <c r="D485" s="105" t="s">
        <v>64</v>
      </c>
      <c r="E485" s="106">
        <v>0.79</v>
      </c>
      <c r="F485" s="107">
        <v>0.03</v>
      </c>
      <c r="G485" s="108">
        <v>0.03</v>
      </c>
      <c r="H485" s="109" t="s">
        <v>55</v>
      </c>
      <c r="I485" s="110">
        <v>0.79400000000000004</v>
      </c>
      <c r="J485" s="110">
        <v>0.80500000000000005</v>
      </c>
      <c r="K485" s="119">
        <v>0.76900000000000002</v>
      </c>
      <c r="L485" s="111">
        <f t="shared" si="96"/>
        <v>4.0000000000000036E-3</v>
      </c>
      <c r="M485" s="112">
        <f t="shared" si="97"/>
        <v>1.5000000000000013E-2</v>
      </c>
      <c r="N485" s="112">
        <f t="shared" si="98"/>
        <v>-2.1000000000000019E-2</v>
      </c>
      <c r="O485" s="112">
        <f t="shared" si="90"/>
        <v>0.78933333333333344</v>
      </c>
      <c r="P485" s="113">
        <f t="shared" si="91"/>
        <v>0.50000000000000044</v>
      </c>
      <c r="Q485" s="114">
        <f t="shared" si="92"/>
        <v>0.70000000000000062</v>
      </c>
      <c r="R485" s="115" t="str">
        <f t="shared" si="93"/>
        <v xml:space="preserve"> </v>
      </c>
      <c r="S485" s="115" t="str">
        <f t="shared" si="94"/>
        <v>Alert</v>
      </c>
      <c r="T485" s="116" t="str">
        <f t="shared" si="95"/>
        <v>Alert</v>
      </c>
      <c r="U485" s="120"/>
      <c r="V485" s="118"/>
      <c r="W485" s="131"/>
    </row>
    <row r="486" spans="1:23" ht="13.2">
      <c r="A486" s="102" t="s">
        <v>520</v>
      </c>
      <c r="B486" s="102"/>
      <c r="C486" s="104">
        <v>3</v>
      </c>
      <c r="D486" s="105" t="s">
        <v>64</v>
      </c>
      <c r="E486" s="106">
        <v>0.79</v>
      </c>
      <c r="F486" s="107">
        <v>0.03</v>
      </c>
      <c r="G486" s="108">
        <v>0.03</v>
      </c>
      <c r="H486" s="109" t="s">
        <v>55</v>
      </c>
      <c r="I486" s="110">
        <v>0.79100000000000004</v>
      </c>
      <c r="J486" s="110">
        <v>0.79200000000000004</v>
      </c>
      <c r="K486" s="119">
        <v>0.78500000000000003</v>
      </c>
      <c r="L486" s="111">
        <f t="shared" si="96"/>
        <v>1.0000000000000009E-3</v>
      </c>
      <c r="M486" s="112">
        <f t="shared" si="97"/>
        <v>2.0000000000000018E-3</v>
      </c>
      <c r="N486" s="112">
        <f t="shared" si="98"/>
        <v>-5.0000000000000044E-3</v>
      </c>
      <c r="O486" s="112">
        <f t="shared" si="90"/>
        <v>0.78933333333333344</v>
      </c>
      <c r="P486" s="113">
        <f t="shared" si="91"/>
        <v>6.6666666666666735E-2</v>
      </c>
      <c r="Q486" s="114">
        <f t="shared" si="92"/>
        <v>0.16666666666666682</v>
      </c>
      <c r="R486" s="115" t="str">
        <f t="shared" si="93"/>
        <v xml:space="preserve"> </v>
      </c>
      <c r="S486" s="115" t="str">
        <f t="shared" si="94"/>
        <v xml:space="preserve"> </v>
      </c>
      <c r="T486" s="116" t="str">
        <f t="shared" si="95"/>
        <v/>
      </c>
      <c r="U486" s="120"/>
      <c r="V486" s="118"/>
      <c r="W486" s="131"/>
    </row>
    <row r="487" spans="1:23" ht="13.2">
      <c r="A487" s="102" t="s">
        <v>521</v>
      </c>
      <c r="B487" s="102"/>
      <c r="C487" s="104">
        <v>3</v>
      </c>
      <c r="D487" s="105" t="s">
        <v>64</v>
      </c>
      <c r="E487" s="106">
        <v>0.79</v>
      </c>
      <c r="F487" s="107">
        <v>0.03</v>
      </c>
      <c r="G487" s="108">
        <v>0.03</v>
      </c>
      <c r="H487" s="109" t="s">
        <v>55</v>
      </c>
      <c r="I487" s="110">
        <v>0.79100000000000004</v>
      </c>
      <c r="J487" s="110">
        <v>0.78600000000000003</v>
      </c>
      <c r="K487" s="119">
        <v>0.8</v>
      </c>
      <c r="L487" s="111">
        <f t="shared" si="96"/>
        <v>1.0000000000000009E-3</v>
      </c>
      <c r="M487" s="112">
        <f t="shared" si="97"/>
        <v>-4.0000000000000036E-3</v>
      </c>
      <c r="N487" s="112">
        <f t="shared" si="98"/>
        <v>1.0000000000000009E-2</v>
      </c>
      <c r="O487" s="112">
        <f t="shared" si="90"/>
        <v>0.79233333333333322</v>
      </c>
      <c r="P487" s="113">
        <f t="shared" si="91"/>
        <v>0.33333333333333365</v>
      </c>
      <c r="Q487" s="114">
        <f t="shared" si="92"/>
        <v>0.13333333333333347</v>
      </c>
      <c r="R487" s="115" t="str">
        <f t="shared" si="93"/>
        <v xml:space="preserve"> </v>
      </c>
      <c r="S487" s="115" t="str">
        <f t="shared" si="94"/>
        <v xml:space="preserve"> </v>
      </c>
      <c r="T487" s="116" t="str">
        <f t="shared" si="95"/>
        <v/>
      </c>
      <c r="U487" s="120"/>
      <c r="V487" s="118"/>
      <c r="W487" s="131"/>
    </row>
    <row r="488" spans="1:23" ht="13.2">
      <c r="A488" s="102" t="s">
        <v>522</v>
      </c>
      <c r="B488" s="102"/>
      <c r="C488" s="104">
        <v>3</v>
      </c>
      <c r="D488" s="105" t="s">
        <v>64</v>
      </c>
      <c r="E488" s="106">
        <v>0.79</v>
      </c>
      <c r="F488" s="107">
        <v>0.03</v>
      </c>
      <c r="G488" s="108">
        <v>0.03</v>
      </c>
      <c r="H488" s="109" t="s">
        <v>55</v>
      </c>
      <c r="I488" s="110">
        <v>0.78300000000000003</v>
      </c>
      <c r="J488" s="110">
        <v>0.80200000000000005</v>
      </c>
      <c r="K488" s="119">
        <v>0.79400000000000004</v>
      </c>
      <c r="L488" s="111">
        <f t="shared" si="96"/>
        <v>-7.0000000000000062E-3</v>
      </c>
      <c r="M488" s="112">
        <f t="shared" si="97"/>
        <v>1.2000000000000011E-2</v>
      </c>
      <c r="N488" s="112">
        <f t="shared" si="98"/>
        <v>4.0000000000000036E-3</v>
      </c>
      <c r="O488" s="112">
        <f t="shared" si="90"/>
        <v>0.79300000000000004</v>
      </c>
      <c r="P488" s="113">
        <f t="shared" si="91"/>
        <v>0.40000000000000036</v>
      </c>
      <c r="Q488" s="114">
        <f t="shared" si="92"/>
        <v>0.23333333333333356</v>
      </c>
      <c r="R488" s="115" t="str">
        <f t="shared" si="93"/>
        <v xml:space="preserve"> </v>
      </c>
      <c r="S488" s="115" t="str">
        <f t="shared" si="94"/>
        <v xml:space="preserve"> </v>
      </c>
      <c r="T488" s="116" t="str">
        <f t="shared" si="95"/>
        <v/>
      </c>
      <c r="U488" s="120"/>
      <c r="V488" s="118"/>
      <c r="W488" s="131"/>
    </row>
    <row r="489" spans="1:23" ht="13.2">
      <c r="A489" s="102" t="s">
        <v>523</v>
      </c>
      <c r="B489" s="102"/>
      <c r="C489" s="104">
        <v>3</v>
      </c>
      <c r="D489" s="105" t="s">
        <v>64</v>
      </c>
      <c r="E489" s="106">
        <v>0.79</v>
      </c>
      <c r="F489" s="107">
        <v>0.03</v>
      </c>
      <c r="G489" s="108">
        <v>0.03</v>
      </c>
      <c r="H489" s="109" t="s">
        <v>55</v>
      </c>
      <c r="I489" s="110">
        <v>0.80200000000000005</v>
      </c>
      <c r="J489" s="110">
        <v>0.80200000000000005</v>
      </c>
      <c r="K489" s="119">
        <v>0.79600000000000004</v>
      </c>
      <c r="L489" s="111">
        <f t="shared" si="96"/>
        <v>1.2000000000000011E-2</v>
      </c>
      <c r="M489" s="112">
        <f t="shared" si="97"/>
        <v>1.2000000000000011E-2</v>
      </c>
      <c r="N489" s="112">
        <f t="shared" si="98"/>
        <v>6.0000000000000053E-3</v>
      </c>
      <c r="O489" s="112">
        <f t="shared" si="90"/>
        <v>0.80000000000000016</v>
      </c>
      <c r="P489" s="113">
        <f t="shared" si="91"/>
        <v>0.40000000000000036</v>
      </c>
      <c r="Q489" s="114">
        <f t="shared" si="92"/>
        <v>0</v>
      </c>
      <c r="R489" s="115" t="str">
        <f t="shared" si="93"/>
        <v xml:space="preserve"> </v>
      </c>
      <c r="S489" s="115" t="str">
        <f t="shared" si="94"/>
        <v xml:space="preserve"> </v>
      </c>
      <c r="T489" s="116" t="str">
        <f t="shared" si="95"/>
        <v/>
      </c>
      <c r="U489" s="120"/>
      <c r="V489" s="118"/>
      <c r="W489" s="131"/>
    </row>
    <row r="490" spans="1:23" ht="13.2">
      <c r="A490" s="102" t="s">
        <v>524</v>
      </c>
      <c r="B490" s="102"/>
      <c r="C490" s="104">
        <v>3</v>
      </c>
      <c r="D490" s="105" t="s">
        <v>64</v>
      </c>
      <c r="E490" s="106">
        <v>0.79</v>
      </c>
      <c r="F490" s="107">
        <v>0.03</v>
      </c>
      <c r="G490" s="108">
        <v>0.03</v>
      </c>
      <c r="H490" s="109" t="s">
        <v>55</v>
      </c>
      <c r="I490" s="110">
        <v>0.79100000000000004</v>
      </c>
      <c r="J490" s="110">
        <v>0.79600000000000004</v>
      </c>
      <c r="K490" s="119">
        <v>0.81299999999999994</v>
      </c>
      <c r="L490" s="111">
        <f t="shared" si="96"/>
        <v>1.0000000000000009E-3</v>
      </c>
      <c r="M490" s="112">
        <f t="shared" si="97"/>
        <v>6.0000000000000053E-3</v>
      </c>
      <c r="N490" s="112">
        <f t="shared" si="98"/>
        <v>2.2999999999999909E-2</v>
      </c>
      <c r="O490" s="112">
        <f t="shared" si="90"/>
        <v>0.80000000000000016</v>
      </c>
      <c r="P490" s="113">
        <f t="shared" si="91"/>
        <v>0.76666666666666372</v>
      </c>
      <c r="Q490" s="114">
        <f t="shared" si="92"/>
        <v>0</v>
      </c>
      <c r="R490" s="115" t="str">
        <f t="shared" si="93"/>
        <v>Alert</v>
      </c>
      <c r="S490" s="115" t="str">
        <f t="shared" si="94"/>
        <v xml:space="preserve"> </v>
      </c>
      <c r="T490" s="116" t="str">
        <f t="shared" si="95"/>
        <v>Alert</v>
      </c>
      <c r="U490" s="120"/>
      <c r="V490" s="118"/>
      <c r="W490" s="131"/>
    </row>
    <row r="491" spans="1:23" ht="13.2">
      <c r="A491" s="102" t="s">
        <v>525</v>
      </c>
      <c r="B491" s="102"/>
      <c r="C491" s="104">
        <v>3</v>
      </c>
      <c r="D491" s="105" t="s">
        <v>64</v>
      </c>
      <c r="E491" s="106">
        <v>0.79</v>
      </c>
      <c r="F491" s="107">
        <v>0.03</v>
      </c>
      <c r="G491" s="108">
        <v>0.03</v>
      </c>
      <c r="H491" s="109" t="s">
        <v>55</v>
      </c>
      <c r="I491" s="110">
        <v>0.79700000000000004</v>
      </c>
      <c r="J491" s="110">
        <v>0.79300000000000004</v>
      </c>
      <c r="K491" s="119">
        <v>0.76400000000000001</v>
      </c>
      <c r="L491" s="111">
        <f t="shared" si="96"/>
        <v>7.0000000000000062E-3</v>
      </c>
      <c r="M491" s="112">
        <f t="shared" si="97"/>
        <v>3.0000000000000027E-3</v>
      </c>
      <c r="N491" s="112">
        <f t="shared" si="98"/>
        <v>-2.6000000000000023E-2</v>
      </c>
      <c r="O491" s="112">
        <f t="shared" si="90"/>
        <v>0.78466666666666673</v>
      </c>
      <c r="P491" s="113">
        <f t="shared" si="91"/>
        <v>0.23333333333333356</v>
      </c>
      <c r="Q491" s="114">
        <f t="shared" si="92"/>
        <v>0.86666666666666747</v>
      </c>
      <c r="R491" s="115" t="str">
        <f t="shared" si="93"/>
        <v xml:space="preserve"> </v>
      </c>
      <c r="S491" s="115" t="str">
        <f t="shared" si="94"/>
        <v>Alert</v>
      </c>
      <c r="T491" s="116" t="str">
        <f t="shared" si="95"/>
        <v>Alert</v>
      </c>
      <c r="U491" s="120"/>
      <c r="V491" s="118"/>
      <c r="W491" s="131"/>
    </row>
    <row r="492" spans="1:23" ht="13.2">
      <c r="A492" s="102" t="s">
        <v>526</v>
      </c>
      <c r="B492" s="103"/>
      <c r="C492" s="104">
        <v>3</v>
      </c>
      <c r="D492" s="105" t="s">
        <v>64</v>
      </c>
      <c r="E492" s="106">
        <v>0.79</v>
      </c>
      <c r="F492" s="107">
        <v>0.03</v>
      </c>
      <c r="G492" s="108">
        <v>0.03</v>
      </c>
      <c r="H492" s="109" t="s">
        <v>55</v>
      </c>
      <c r="I492" s="110">
        <v>0.80100000000000005</v>
      </c>
      <c r="J492" s="110">
        <v>0.78800000000000003</v>
      </c>
      <c r="K492" s="119">
        <v>0.82699999999999996</v>
      </c>
      <c r="L492" s="111">
        <f t="shared" si="96"/>
        <v>1.100000000000001E-2</v>
      </c>
      <c r="M492" s="112">
        <f t="shared" si="97"/>
        <v>-2.0000000000000018E-3</v>
      </c>
      <c r="N492" s="112">
        <f t="shared" si="98"/>
        <v>3.6999999999999922E-2</v>
      </c>
      <c r="O492" s="112">
        <f t="shared" si="90"/>
        <v>0.80533333333333335</v>
      </c>
      <c r="P492" s="113">
        <f t="shared" si="91"/>
        <v>1.2333333333333307</v>
      </c>
      <c r="Q492" s="114">
        <f t="shared" si="92"/>
        <v>6.6666666666666735E-2</v>
      </c>
      <c r="R492" s="115" t="str">
        <f t="shared" si="93"/>
        <v>Reject</v>
      </c>
      <c r="S492" s="115" t="str">
        <f t="shared" si="94"/>
        <v xml:space="preserve"> </v>
      </c>
      <c r="T492" s="116" t="str">
        <f t="shared" si="95"/>
        <v>Reject</v>
      </c>
      <c r="U492" s="120"/>
      <c r="V492" s="118"/>
      <c r="W492" s="131"/>
    </row>
    <row r="493" spans="1:23" ht="13.2">
      <c r="A493" s="102" t="s">
        <v>527</v>
      </c>
      <c r="B493" s="103"/>
      <c r="C493" s="104">
        <v>3</v>
      </c>
      <c r="D493" s="105" t="s">
        <v>64</v>
      </c>
      <c r="E493" s="106">
        <v>0.79</v>
      </c>
      <c r="F493" s="107">
        <v>0.03</v>
      </c>
      <c r="G493" s="108">
        <v>0.03</v>
      </c>
      <c r="H493" s="109" t="s">
        <v>55</v>
      </c>
      <c r="I493" s="110">
        <v>0.79400000000000004</v>
      </c>
      <c r="J493" s="110">
        <v>0.78800000000000003</v>
      </c>
      <c r="K493" s="119">
        <v>0.79200000000000004</v>
      </c>
      <c r="L493" s="111">
        <f t="shared" si="96"/>
        <v>4.0000000000000036E-3</v>
      </c>
      <c r="M493" s="112">
        <f t="shared" si="97"/>
        <v>-2.0000000000000018E-3</v>
      </c>
      <c r="N493" s="112">
        <f t="shared" si="98"/>
        <v>2.0000000000000018E-3</v>
      </c>
      <c r="O493" s="112">
        <f t="shared" si="90"/>
        <v>0.79133333333333333</v>
      </c>
      <c r="P493" s="113">
        <f t="shared" si="91"/>
        <v>0.13333333333333347</v>
      </c>
      <c r="Q493" s="114">
        <f t="shared" si="92"/>
        <v>6.6666666666666735E-2</v>
      </c>
      <c r="R493" s="115" t="str">
        <f t="shared" si="93"/>
        <v xml:space="preserve"> </v>
      </c>
      <c r="S493" s="115" t="str">
        <f t="shared" si="94"/>
        <v xml:space="preserve"> </v>
      </c>
      <c r="T493" s="116" t="str">
        <f t="shared" si="95"/>
        <v/>
      </c>
      <c r="U493" s="120"/>
      <c r="V493" s="118"/>
      <c r="W493" s="131"/>
    </row>
    <row r="494" spans="1:23" ht="13.2">
      <c r="A494" s="102" t="s">
        <v>528</v>
      </c>
      <c r="B494" s="103"/>
      <c r="C494" s="104">
        <v>3</v>
      </c>
      <c r="D494" s="105" t="s">
        <v>64</v>
      </c>
      <c r="E494" s="106">
        <v>0.79</v>
      </c>
      <c r="F494" s="107">
        <v>0.03</v>
      </c>
      <c r="G494" s="108">
        <v>0.03</v>
      </c>
      <c r="H494" s="109" t="s">
        <v>55</v>
      </c>
      <c r="I494" s="110">
        <v>0.80500000000000005</v>
      </c>
      <c r="J494" s="110">
        <v>0.79600000000000004</v>
      </c>
      <c r="K494" s="119">
        <v>0.78600000000000003</v>
      </c>
      <c r="L494" s="111">
        <f t="shared" si="96"/>
        <v>1.5000000000000013E-2</v>
      </c>
      <c r="M494" s="112">
        <f t="shared" si="97"/>
        <v>6.0000000000000053E-3</v>
      </c>
      <c r="N494" s="112">
        <f t="shared" si="98"/>
        <v>-4.0000000000000036E-3</v>
      </c>
      <c r="O494" s="112">
        <f t="shared" si="90"/>
        <v>0.79566666666666663</v>
      </c>
      <c r="P494" s="113">
        <f t="shared" si="91"/>
        <v>0.50000000000000044</v>
      </c>
      <c r="Q494" s="114">
        <f t="shared" si="92"/>
        <v>0.13333333333333347</v>
      </c>
      <c r="R494" s="115" t="str">
        <f t="shared" si="93"/>
        <v xml:space="preserve"> </v>
      </c>
      <c r="S494" s="115" t="str">
        <f t="shared" si="94"/>
        <v xml:space="preserve"> </v>
      </c>
      <c r="T494" s="116" t="str">
        <f t="shared" si="95"/>
        <v/>
      </c>
      <c r="U494" s="120"/>
      <c r="V494" s="118"/>
      <c r="W494" s="131"/>
    </row>
    <row r="495" spans="1:23" ht="13.2">
      <c r="A495" s="102" t="s">
        <v>529</v>
      </c>
      <c r="B495" s="102"/>
      <c r="C495" s="104">
        <v>3</v>
      </c>
      <c r="D495" s="105" t="s">
        <v>64</v>
      </c>
      <c r="E495" s="106">
        <v>0.79</v>
      </c>
      <c r="F495" s="107">
        <v>0.03</v>
      </c>
      <c r="G495" s="108">
        <v>0.03</v>
      </c>
      <c r="H495" s="109" t="s">
        <v>55</v>
      </c>
      <c r="I495" s="110">
        <v>0.77700000000000002</v>
      </c>
      <c r="J495" s="110">
        <v>0.78900000000000003</v>
      </c>
      <c r="K495" s="119">
        <v>0.79700000000000004</v>
      </c>
      <c r="L495" s="111">
        <f t="shared" si="96"/>
        <v>-1.3000000000000012E-2</v>
      </c>
      <c r="M495" s="112">
        <f t="shared" si="97"/>
        <v>-1.0000000000000009E-3</v>
      </c>
      <c r="N495" s="112">
        <f t="shared" si="98"/>
        <v>7.0000000000000062E-3</v>
      </c>
      <c r="O495" s="112">
        <f t="shared" si="90"/>
        <v>0.78766666666666663</v>
      </c>
      <c r="P495" s="113">
        <f t="shared" si="91"/>
        <v>0.23333333333333356</v>
      </c>
      <c r="Q495" s="114">
        <f t="shared" si="92"/>
        <v>0.43333333333333374</v>
      </c>
      <c r="R495" s="115" t="str">
        <f t="shared" si="93"/>
        <v xml:space="preserve"> </v>
      </c>
      <c r="S495" s="115" t="str">
        <f t="shared" si="94"/>
        <v xml:space="preserve"> </v>
      </c>
      <c r="T495" s="116" t="str">
        <f t="shared" si="95"/>
        <v/>
      </c>
      <c r="U495" s="120"/>
      <c r="V495" s="118"/>
      <c r="W495" s="131"/>
    </row>
    <row r="496" spans="1:23" ht="13.2">
      <c r="A496" s="102" t="s">
        <v>530</v>
      </c>
      <c r="B496" s="102"/>
      <c r="C496" s="104">
        <v>3</v>
      </c>
      <c r="D496" s="105" t="s">
        <v>64</v>
      </c>
      <c r="E496" s="106">
        <v>0.79</v>
      </c>
      <c r="F496" s="107">
        <v>0.03</v>
      </c>
      <c r="G496" s="108">
        <v>0.03</v>
      </c>
      <c r="H496" s="109" t="s">
        <v>55</v>
      </c>
      <c r="I496" s="110">
        <v>0.79800000000000004</v>
      </c>
      <c r="J496" s="110">
        <v>0.81</v>
      </c>
      <c r="K496" s="119">
        <v>0.79700000000000004</v>
      </c>
      <c r="L496" s="111">
        <f t="shared" si="96"/>
        <v>8.0000000000000071E-3</v>
      </c>
      <c r="M496" s="112">
        <f t="shared" si="97"/>
        <v>2.0000000000000018E-2</v>
      </c>
      <c r="N496" s="112">
        <f t="shared" si="98"/>
        <v>7.0000000000000062E-3</v>
      </c>
      <c r="O496" s="112">
        <f t="shared" si="90"/>
        <v>0.80166666666666675</v>
      </c>
      <c r="P496" s="113">
        <f t="shared" si="91"/>
        <v>0.6666666666666673</v>
      </c>
      <c r="Q496" s="114">
        <f t="shared" si="92"/>
        <v>0</v>
      </c>
      <c r="R496" s="115" t="str">
        <f t="shared" si="93"/>
        <v>Alert</v>
      </c>
      <c r="S496" s="115" t="str">
        <f t="shared" si="94"/>
        <v xml:space="preserve"> </v>
      </c>
      <c r="T496" s="116" t="str">
        <f t="shared" si="95"/>
        <v>Alert</v>
      </c>
      <c r="U496" s="120"/>
      <c r="V496" s="118"/>
      <c r="W496" s="131"/>
    </row>
    <row r="497" spans="1:23" ht="13.2">
      <c r="A497" s="102" t="s">
        <v>531</v>
      </c>
      <c r="B497" s="102"/>
      <c r="C497" s="104">
        <v>3</v>
      </c>
      <c r="D497" s="105" t="s">
        <v>64</v>
      </c>
      <c r="E497" s="106">
        <v>0.79</v>
      </c>
      <c r="F497" s="107">
        <v>0.03</v>
      </c>
      <c r="G497" s="108">
        <v>0.03</v>
      </c>
      <c r="H497" s="109" t="s">
        <v>55</v>
      </c>
      <c r="I497" s="110">
        <v>0.79900000000000004</v>
      </c>
      <c r="J497" s="110">
        <v>0.79300000000000004</v>
      </c>
      <c r="K497" s="119">
        <v>0.79700000000000004</v>
      </c>
      <c r="L497" s="111">
        <f t="shared" si="96"/>
        <v>9.000000000000008E-3</v>
      </c>
      <c r="M497" s="112">
        <f t="shared" si="97"/>
        <v>3.0000000000000027E-3</v>
      </c>
      <c r="N497" s="112">
        <f t="shared" si="98"/>
        <v>7.0000000000000062E-3</v>
      </c>
      <c r="O497" s="112">
        <f t="shared" si="90"/>
        <v>0.79633333333333345</v>
      </c>
      <c r="P497" s="113">
        <f t="shared" si="91"/>
        <v>0.30000000000000027</v>
      </c>
      <c r="Q497" s="114">
        <f t="shared" si="92"/>
        <v>0</v>
      </c>
      <c r="R497" s="115" t="str">
        <f t="shared" si="93"/>
        <v xml:space="preserve"> </v>
      </c>
      <c r="S497" s="115" t="str">
        <f t="shared" si="94"/>
        <v xml:space="preserve"> </v>
      </c>
      <c r="T497" s="116" t="str">
        <f t="shared" si="95"/>
        <v/>
      </c>
      <c r="U497" s="120"/>
      <c r="V497" s="118"/>
      <c r="W497" s="131"/>
    </row>
    <row r="498" spans="1:23" ht="13.2">
      <c r="A498" s="102" t="s">
        <v>532</v>
      </c>
      <c r="B498" s="102"/>
      <c r="C498" s="104">
        <v>3</v>
      </c>
      <c r="D498" s="105" t="s">
        <v>64</v>
      </c>
      <c r="E498" s="106">
        <v>0.79</v>
      </c>
      <c r="F498" s="107">
        <v>0.03</v>
      </c>
      <c r="G498" s="108">
        <v>0.03</v>
      </c>
      <c r="H498" s="109" t="s">
        <v>55</v>
      </c>
      <c r="I498" s="110">
        <v>0.78200000000000003</v>
      </c>
      <c r="J498" s="110">
        <v>0.80300000000000005</v>
      </c>
      <c r="K498" s="119">
        <v>0.77300000000000002</v>
      </c>
      <c r="L498" s="111">
        <f t="shared" si="96"/>
        <v>-8.0000000000000071E-3</v>
      </c>
      <c r="M498" s="112">
        <f t="shared" si="97"/>
        <v>1.3000000000000012E-2</v>
      </c>
      <c r="N498" s="112">
        <f t="shared" si="98"/>
        <v>-1.7000000000000015E-2</v>
      </c>
      <c r="O498" s="112">
        <f t="shared" si="90"/>
        <v>0.78600000000000003</v>
      </c>
      <c r="P498" s="113">
        <f t="shared" si="91"/>
        <v>0.43333333333333374</v>
      </c>
      <c r="Q498" s="114">
        <f t="shared" si="92"/>
        <v>0.56666666666666721</v>
      </c>
      <c r="R498" s="115" t="str">
        <f t="shared" si="93"/>
        <v xml:space="preserve"> </v>
      </c>
      <c r="S498" s="115" t="str">
        <f t="shared" si="94"/>
        <v xml:space="preserve"> </v>
      </c>
      <c r="T498" s="116" t="str">
        <f t="shared" si="95"/>
        <v/>
      </c>
      <c r="U498" s="120"/>
      <c r="V498" s="118"/>
      <c r="W498" s="131"/>
    </row>
    <row r="499" spans="1:23" ht="13.2">
      <c r="A499" s="102" t="s">
        <v>533</v>
      </c>
      <c r="B499" s="102"/>
      <c r="C499" s="104">
        <v>3</v>
      </c>
      <c r="D499" s="105" t="s">
        <v>64</v>
      </c>
      <c r="E499" s="106">
        <v>0.79</v>
      </c>
      <c r="F499" s="107">
        <v>0.03</v>
      </c>
      <c r="G499" s="108">
        <v>0.03</v>
      </c>
      <c r="H499" s="109" t="s">
        <v>55</v>
      </c>
      <c r="I499" s="110">
        <v>0.79200000000000004</v>
      </c>
      <c r="J499" s="110">
        <v>0.79400000000000004</v>
      </c>
      <c r="K499" s="119">
        <v>0.80500000000000005</v>
      </c>
      <c r="L499" s="111">
        <f t="shared" si="96"/>
        <v>2.0000000000000018E-3</v>
      </c>
      <c r="M499" s="112">
        <f t="shared" si="97"/>
        <v>4.0000000000000036E-3</v>
      </c>
      <c r="N499" s="112">
        <f t="shared" si="98"/>
        <v>1.5000000000000013E-2</v>
      </c>
      <c r="O499" s="112">
        <f t="shared" si="90"/>
        <v>0.79700000000000004</v>
      </c>
      <c r="P499" s="113">
        <f t="shared" si="91"/>
        <v>0.50000000000000044</v>
      </c>
      <c r="Q499" s="114">
        <f t="shared" si="92"/>
        <v>0</v>
      </c>
      <c r="R499" s="115" t="str">
        <f t="shared" si="93"/>
        <v xml:space="preserve"> </v>
      </c>
      <c r="S499" s="115" t="str">
        <f t="shared" si="94"/>
        <v xml:space="preserve"> </v>
      </c>
      <c r="T499" s="116" t="str">
        <f t="shared" si="95"/>
        <v/>
      </c>
      <c r="U499" s="120"/>
      <c r="V499" s="118"/>
      <c r="W499" s="131"/>
    </row>
    <row r="500" spans="1:23" ht="13.2">
      <c r="A500" s="102" t="s">
        <v>534</v>
      </c>
      <c r="B500" s="102"/>
      <c r="C500" s="104">
        <v>3</v>
      </c>
      <c r="D500" s="105" t="s">
        <v>64</v>
      </c>
      <c r="E500" s="106">
        <v>0.79</v>
      </c>
      <c r="F500" s="107">
        <v>0.03</v>
      </c>
      <c r="G500" s="108">
        <v>0.03</v>
      </c>
      <c r="H500" s="109" t="s">
        <v>55</v>
      </c>
      <c r="I500" s="110">
        <v>0.79700000000000004</v>
      </c>
      <c r="J500" s="110">
        <v>0.79400000000000004</v>
      </c>
      <c r="K500" s="119">
        <v>0.80100000000000005</v>
      </c>
      <c r="L500" s="111">
        <f t="shared" si="96"/>
        <v>7.0000000000000062E-3</v>
      </c>
      <c r="M500" s="112">
        <f t="shared" si="97"/>
        <v>4.0000000000000036E-3</v>
      </c>
      <c r="N500" s="112">
        <f t="shared" si="98"/>
        <v>1.100000000000001E-2</v>
      </c>
      <c r="O500" s="112">
        <f t="shared" si="90"/>
        <v>0.79733333333333345</v>
      </c>
      <c r="P500" s="113">
        <f t="shared" si="91"/>
        <v>0.36666666666666703</v>
      </c>
      <c r="Q500" s="114">
        <f t="shared" si="92"/>
        <v>0</v>
      </c>
      <c r="R500" s="115" t="str">
        <f t="shared" si="93"/>
        <v xml:space="preserve"> </v>
      </c>
      <c r="S500" s="115" t="str">
        <f t="shared" si="94"/>
        <v xml:space="preserve"> </v>
      </c>
      <c r="T500" s="116" t="str">
        <f t="shared" si="95"/>
        <v/>
      </c>
      <c r="U500" s="120"/>
      <c r="V500" s="118"/>
      <c r="W500" s="131"/>
    </row>
    <row r="501" spans="1:23" ht="13.2">
      <c r="A501" s="102" t="s">
        <v>535</v>
      </c>
      <c r="B501" s="102"/>
      <c r="C501" s="104">
        <v>3</v>
      </c>
      <c r="D501" s="105" t="s">
        <v>64</v>
      </c>
      <c r="E501" s="106">
        <v>0.79</v>
      </c>
      <c r="F501" s="107">
        <v>0.03</v>
      </c>
      <c r="G501" s="108">
        <v>0.03</v>
      </c>
      <c r="H501" s="109" t="s">
        <v>55</v>
      </c>
      <c r="I501" s="110">
        <v>0.79400000000000004</v>
      </c>
      <c r="J501" s="110">
        <v>0.79500000000000004</v>
      </c>
      <c r="K501" s="119">
        <v>0.79500000000000004</v>
      </c>
      <c r="L501" s="111">
        <f t="shared" si="96"/>
        <v>4.0000000000000036E-3</v>
      </c>
      <c r="M501" s="112">
        <f t="shared" si="97"/>
        <v>5.0000000000000044E-3</v>
      </c>
      <c r="N501" s="112">
        <f t="shared" si="98"/>
        <v>5.0000000000000044E-3</v>
      </c>
      <c r="O501" s="112">
        <f t="shared" si="90"/>
        <v>0.79466666666666663</v>
      </c>
      <c r="P501" s="113">
        <f t="shared" si="91"/>
        <v>0.16666666666666682</v>
      </c>
      <c r="Q501" s="114">
        <f t="shared" si="92"/>
        <v>0</v>
      </c>
      <c r="R501" s="115" t="str">
        <f t="shared" si="93"/>
        <v xml:space="preserve"> </v>
      </c>
      <c r="S501" s="115" t="str">
        <f t="shared" si="94"/>
        <v xml:space="preserve"> </v>
      </c>
      <c r="T501" s="116" t="str">
        <f t="shared" si="95"/>
        <v/>
      </c>
      <c r="U501" s="120"/>
      <c r="V501" s="118"/>
      <c r="W501" s="131"/>
    </row>
    <row r="502" spans="1:23" ht="13.2">
      <c r="A502" s="102" t="s">
        <v>536</v>
      </c>
      <c r="B502" s="102"/>
      <c r="C502" s="104">
        <v>3</v>
      </c>
      <c r="D502" s="105" t="s">
        <v>64</v>
      </c>
      <c r="E502" s="106">
        <v>0.79</v>
      </c>
      <c r="F502" s="107">
        <v>0.03</v>
      </c>
      <c r="G502" s="108">
        <v>0.03</v>
      </c>
      <c r="H502" s="109" t="s">
        <v>55</v>
      </c>
      <c r="I502" s="110">
        <v>0.78200000000000003</v>
      </c>
      <c r="J502" s="110">
        <v>0.77400000000000002</v>
      </c>
      <c r="K502" s="119">
        <v>0.79600000000000004</v>
      </c>
      <c r="L502" s="111">
        <f t="shared" si="96"/>
        <v>-8.0000000000000071E-3</v>
      </c>
      <c r="M502" s="112">
        <f t="shared" si="97"/>
        <v>-1.6000000000000014E-2</v>
      </c>
      <c r="N502" s="112">
        <f t="shared" si="98"/>
        <v>6.0000000000000053E-3</v>
      </c>
      <c r="O502" s="112">
        <f t="shared" si="90"/>
        <v>0.78400000000000014</v>
      </c>
      <c r="P502" s="113">
        <f t="shared" si="91"/>
        <v>0.20000000000000018</v>
      </c>
      <c r="Q502" s="114">
        <f t="shared" si="92"/>
        <v>0.53333333333333388</v>
      </c>
      <c r="R502" s="115" t="str">
        <f t="shared" si="93"/>
        <v xml:space="preserve"> </v>
      </c>
      <c r="S502" s="115" t="str">
        <f t="shared" si="94"/>
        <v xml:space="preserve"> </v>
      </c>
      <c r="T502" s="116" t="str">
        <f t="shared" si="95"/>
        <v/>
      </c>
      <c r="U502" s="120"/>
      <c r="V502" s="118"/>
      <c r="W502" s="131"/>
    </row>
    <row r="503" spans="1:23" ht="13.2">
      <c r="A503" s="102" t="s">
        <v>537</v>
      </c>
      <c r="B503" s="102"/>
      <c r="C503" s="104">
        <v>3</v>
      </c>
      <c r="D503" s="105" t="s">
        <v>64</v>
      </c>
      <c r="E503" s="106">
        <v>0.79</v>
      </c>
      <c r="F503" s="107">
        <v>0.03</v>
      </c>
      <c r="G503" s="108">
        <v>0.03</v>
      </c>
      <c r="H503" s="109" t="s">
        <v>55</v>
      </c>
      <c r="I503" s="110">
        <v>0.80100000000000005</v>
      </c>
      <c r="J503" s="110">
        <v>0.80300000000000005</v>
      </c>
      <c r="K503" s="119">
        <v>0.79200000000000004</v>
      </c>
      <c r="L503" s="111">
        <f t="shared" si="96"/>
        <v>1.100000000000001E-2</v>
      </c>
      <c r="M503" s="112">
        <f t="shared" si="97"/>
        <v>1.3000000000000012E-2</v>
      </c>
      <c r="N503" s="112">
        <f t="shared" si="98"/>
        <v>2.0000000000000018E-3</v>
      </c>
      <c r="O503" s="112">
        <f t="shared" si="90"/>
        <v>0.79866666666666664</v>
      </c>
      <c r="P503" s="113">
        <f t="shared" si="91"/>
        <v>0.43333333333333374</v>
      </c>
      <c r="Q503" s="114">
        <f t="shared" si="92"/>
        <v>0</v>
      </c>
      <c r="R503" s="115" t="str">
        <f t="shared" si="93"/>
        <v xml:space="preserve"> </v>
      </c>
      <c r="S503" s="115" t="str">
        <f t="shared" si="94"/>
        <v xml:space="preserve"> </v>
      </c>
      <c r="T503" s="116" t="str">
        <f t="shared" si="95"/>
        <v/>
      </c>
      <c r="U503" s="120"/>
      <c r="V503" s="118"/>
      <c r="W503" s="131"/>
    </row>
    <row r="504" spans="1:23" ht="13.2">
      <c r="A504" s="102" t="s">
        <v>538</v>
      </c>
      <c r="B504" s="102"/>
      <c r="C504" s="104">
        <v>3</v>
      </c>
      <c r="D504" s="105" t="s">
        <v>64</v>
      </c>
      <c r="E504" s="106">
        <v>0.79</v>
      </c>
      <c r="F504" s="107">
        <v>0.03</v>
      </c>
      <c r="G504" s="108">
        <v>0.03</v>
      </c>
      <c r="H504" s="109" t="s">
        <v>55</v>
      </c>
      <c r="I504" s="110">
        <v>0.77500000000000002</v>
      </c>
      <c r="J504" s="110">
        <v>0.78600000000000003</v>
      </c>
      <c r="K504" s="119">
        <v>0.79500000000000004</v>
      </c>
      <c r="L504" s="111">
        <f t="shared" si="96"/>
        <v>-1.5000000000000013E-2</v>
      </c>
      <c r="M504" s="112">
        <f t="shared" si="97"/>
        <v>-4.0000000000000036E-3</v>
      </c>
      <c r="N504" s="112">
        <f t="shared" si="98"/>
        <v>5.0000000000000044E-3</v>
      </c>
      <c r="O504" s="112">
        <f t="shared" si="90"/>
        <v>0.78533333333333333</v>
      </c>
      <c r="P504" s="113">
        <f t="shared" si="91"/>
        <v>0.16666666666666682</v>
      </c>
      <c r="Q504" s="114">
        <f t="shared" si="92"/>
        <v>0.50000000000000044</v>
      </c>
      <c r="R504" s="115" t="str">
        <f t="shared" si="93"/>
        <v xml:space="preserve"> </v>
      </c>
      <c r="S504" s="115" t="str">
        <f t="shared" si="94"/>
        <v xml:space="preserve"> </v>
      </c>
      <c r="T504" s="116" t="str">
        <f t="shared" si="95"/>
        <v/>
      </c>
      <c r="U504" s="120"/>
      <c r="V504" s="118"/>
      <c r="W504" s="131"/>
    </row>
    <row r="505" spans="1:23" ht="13.2">
      <c r="A505" s="102" t="s">
        <v>539</v>
      </c>
      <c r="B505" s="102"/>
      <c r="C505" s="104">
        <v>3</v>
      </c>
      <c r="D505" s="105" t="s">
        <v>64</v>
      </c>
      <c r="E505" s="106">
        <v>0.79</v>
      </c>
      <c r="F505" s="107">
        <v>0.03</v>
      </c>
      <c r="G505" s="108">
        <v>0.03</v>
      </c>
      <c r="H505" s="109" t="s">
        <v>55</v>
      </c>
      <c r="I505" s="110">
        <v>0.79900000000000004</v>
      </c>
      <c r="J505" s="110">
        <v>0.81399999999999995</v>
      </c>
      <c r="K505" s="119">
        <v>0.79800000000000004</v>
      </c>
      <c r="L505" s="111">
        <f t="shared" si="96"/>
        <v>9.000000000000008E-3</v>
      </c>
      <c r="M505" s="112">
        <f t="shared" si="97"/>
        <v>2.399999999999991E-2</v>
      </c>
      <c r="N505" s="112">
        <f t="shared" si="98"/>
        <v>8.0000000000000071E-3</v>
      </c>
      <c r="O505" s="112">
        <f t="shared" si="90"/>
        <v>0.80366666666666664</v>
      </c>
      <c r="P505" s="113">
        <f t="shared" si="91"/>
        <v>0.79999999999999705</v>
      </c>
      <c r="Q505" s="114">
        <f t="shared" si="92"/>
        <v>0</v>
      </c>
      <c r="R505" s="115" t="str">
        <f t="shared" si="93"/>
        <v>Alert</v>
      </c>
      <c r="S505" s="115" t="str">
        <f t="shared" si="94"/>
        <v xml:space="preserve"> </v>
      </c>
      <c r="T505" s="116" t="str">
        <f t="shared" si="95"/>
        <v>Alert</v>
      </c>
      <c r="U505" s="120"/>
      <c r="V505" s="118"/>
      <c r="W505" s="131"/>
    </row>
    <row r="506" spans="1:23" ht="13.2">
      <c r="A506" s="102" t="s">
        <v>540</v>
      </c>
      <c r="B506" s="102"/>
      <c r="C506" s="104">
        <v>3</v>
      </c>
      <c r="D506" s="105" t="s">
        <v>64</v>
      </c>
      <c r="E506" s="106">
        <v>0.79</v>
      </c>
      <c r="F506" s="107">
        <v>0.03</v>
      </c>
      <c r="G506" s="108">
        <v>0.03</v>
      </c>
      <c r="H506" s="109" t="s">
        <v>55</v>
      </c>
      <c r="I506" s="110">
        <v>0.81299999999999994</v>
      </c>
      <c r="J506" s="110">
        <v>0.78600000000000003</v>
      </c>
      <c r="K506" s="119">
        <v>0.78100000000000003</v>
      </c>
      <c r="L506" s="111">
        <f t="shared" si="96"/>
        <v>2.2999999999999909E-2</v>
      </c>
      <c r="M506" s="112">
        <f t="shared" si="97"/>
        <v>-4.0000000000000036E-3</v>
      </c>
      <c r="N506" s="112">
        <f t="shared" si="98"/>
        <v>-9.000000000000008E-3</v>
      </c>
      <c r="O506" s="112">
        <f t="shared" si="90"/>
        <v>0.79333333333333333</v>
      </c>
      <c r="P506" s="113">
        <f t="shared" si="91"/>
        <v>0.76666666666666372</v>
      </c>
      <c r="Q506" s="114">
        <f t="shared" si="92"/>
        <v>0.30000000000000027</v>
      </c>
      <c r="R506" s="115" t="str">
        <f t="shared" si="93"/>
        <v>Alert</v>
      </c>
      <c r="S506" s="115" t="str">
        <f t="shared" si="94"/>
        <v xml:space="preserve"> </v>
      </c>
      <c r="T506" s="116" t="str">
        <f t="shared" si="95"/>
        <v>Alert</v>
      </c>
      <c r="U506" s="120"/>
      <c r="V506" s="118"/>
      <c r="W506" s="131"/>
    </row>
    <row r="507" spans="1:23" ht="13.2">
      <c r="A507" s="102" t="s">
        <v>541</v>
      </c>
      <c r="B507" s="103"/>
      <c r="C507" s="104">
        <v>3</v>
      </c>
      <c r="D507" s="105" t="s">
        <v>64</v>
      </c>
      <c r="E507" s="106">
        <v>0.79</v>
      </c>
      <c r="F507" s="107">
        <v>0.03</v>
      </c>
      <c r="G507" s="108">
        <v>0.03</v>
      </c>
      <c r="H507" s="109" t="s">
        <v>55</v>
      </c>
      <c r="I507" s="110">
        <v>0.78400000000000003</v>
      </c>
      <c r="J507" s="110">
        <v>0.79400000000000004</v>
      </c>
      <c r="K507" s="119">
        <v>0.80600000000000005</v>
      </c>
      <c r="L507" s="111">
        <f t="shared" si="96"/>
        <v>-6.0000000000000053E-3</v>
      </c>
      <c r="M507" s="112">
        <f t="shared" si="97"/>
        <v>4.0000000000000036E-3</v>
      </c>
      <c r="N507" s="112">
        <f t="shared" si="98"/>
        <v>1.6000000000000014E-2</v>
      </c>
      <c r="O507" s="112">
        <f t="shared" si="90"/>
        <v>0.79466666666666674</v>
      </c>
      <c r="P507" s="113">
        <f t="shared" si="91"/>
        <v>0.53333333333333388</v>
      </c>
      <c r="Q507" s="114">
        <f t="shared" si="92"/>
        <v>0.20000000000000018</v>
      </c>
      <c r="R507" s="115" t="str">
        <f t="shared" si="93"/>
        <v xml:space="preserve"> </v>
      </c>
      <c r="S507" s="115" t="str">
        <f t="shared" si="94"/>
        <v xml:space="preserve"> </v>
      </c>
      <c r="T507" s="116" t="str">
        <f t="shared" si="95"/>
        <v/>
      </c>
      <c r="U507" s="120"/>
      <c r="V507" s="118"/>
      <c r="W507" s="131"/>
    </row>
    <row r="508" spans="1:23" ht="13.2">
      <c r="A508" s="102" t="s">
        <v>542</v>
      </c>
      <c r="B508" s="103"/>
      <c r="C508" s="104">
        <v>3</v>
      </c>
      <c r="D508" s="105" t="s">
        <v>64</v>
      </c>
      <c r="E508" s="106">
        <v>0.79</v>
      </c>
      <c r="F508" s="107">
        <v>0.03</v>
      </c>
      <c r="G508" s="108">
        <v>0.03</v>
      </c>
      <c r="H508" s="109" t="s">
        <v>55</v>
      </c>
      <c r="I508" s="110">
        <v>0.79700000000000004</v>
      </c>
      <c r="J508" s="110">
        <v>0.79</v>
      </c>
      <c r="K508" s="119">
        <v>0.78500000000000003</v>
      </c>
      <c r="L508" s="111">
        <f t="shared" si="96"/>
        <v>7.0000000000000062E-3</v>
      </c>
      <c r="M508" s="112">
        <f t="shared" si="97"/>
        <v>0</v>
      </c>
      <c r="N508" s="112">
        <f t="shared" si="98"/>
        <v>-5.0000000000000044E-3</v>
      </c>
      <c r="O508" s="112">
        <f t="shared" si="90"/>
        <v>0.79066666666666674</v>
      </c>
      <c r="P508" s="113">
        <f t="shared" si="91"/>
        <v>0.23333333333333356</v>
      </c>
      <c r="Q508" s="114">
        <f t="shared" si="92"/>
        <v>0.16666666666666682</v>
      </c>
      <c r="R508" s="115" t="str">
        <f t="shared" si="93"/>
        <v xml:space="preserve"> </v>
      </c>
      <c r="S508" s="115" t="str">
        <f t="shared" si="94"/>
        <v xml:space="preserve"> </v>
      </c>
      <c r="T508" s="116" t="str">
        <f t="shared" si="95"/>
        <v/>
      </c>
      <c r="U508" s="120"/>
      <c r="V508" s="118"/>
      <c r="W508" s="131"/>
    </row>
    <row r="509" spans="1:23" ht="13.2">
      <c r="A509" s="102" t="s">
        <v>543</v>
      </c>
      <c r="B509" s="103"/>
      <c r="C509" s="104">
        <v>3</v>
      </c>
      <c r="D509" s="105" t="s">
        <v>64</v>
      </c>
      <c r="E509" s="106">
        <v>0.79</v>
      </c>
      <c r="F509" s="107">
        <v>0.03</v>
      </c>
      <c r="G509" s="108">
        <v>0.03</v>
      </c>
      <c r="H509" s="109" t="s">
        <v>55</v>
      </c>
      <c r="I509" s="110">
        <v>0.78900000000000003</v>
      </c>
      <c r="J509" s="110">
        <v>0.79200000000000004</v>
      </c>
      <c r="K509" s="119">
        <v>0.80300000000000005</v>
      </c>
      <c r="L509" s="111">
        <f t="shared" si="96"/>
        <v>-1.0000000000000009E-3</v>
      </c>
      <c r="M509" s="112">
        <f t="shared" si="97"/>
        <v>2.0000000000000018E-3</v>
      </c>
      <c r="N509" s="112">
        <f t="shared" si="98"/>
        <v>1.3000000000000012E-2</v>
      </c>
      <c r="O509" s="112">
        <f t="shared" si="90"/>
        <v>0.79466666666666663</v>
      </c>
      <c r="P509" s="113">
        <f t="shared" si="91"/>
        <v>0.43333333333333374</v>
      </c>
      <c r="Q509" s="114">
        <f t="shared" si="92"/>
        <v>3.3333333333333368E-2</v>
      </c>
      <c r="R509" s="115" t="str">
        <f t="shared" si="93"/>
        <v xml:space="preserve"> </v>
      </c>
      <c r="S509" s="115" t="str">
        <f t="shared" si="94"/>
        <v xml:space="preserve"> </v>
      </c>
      <c r="T509" s="116" t="str">
        <f t="shared" si="95"/>
        <v/>
      </c>
      <c r="U509" s="120"/>
      <c r="V509" s="118"/>
      <c r="W509" s="131"/>
    </row>
    <row r="510" spans="1:23" ht="13.2">
      <c r="A510" s="102" t="s">
        <v>544</v>
      </c>
      <c r="B510" s="102"/>
      <c r="C510" s="104">
        <v>3</v>
      </c>
      <c r="D510" s="105" t="s">
        <v>64</v>
      </c>
      <c r="E510" s="106">
        <v>0.79</v>
      </c>
      <c r="F510" s="107">
        <v>0.03</v>
      </c>
      <c r="G510" s="108">
        <v>0.03</v>
      </c>
      <c r="H510" s="109" t="s">
        <v>55</v>
      </c>
      <c r="I510" s="110">
        <v>0.79900000000000004</v>
      </c>
      <c r="J510" s="110">
        <v>0.79800000000000004</v>
      </c>
      <c r="K510" s="119">
        <v>0.78700000000000003</v>
      </c>
      <c r="L510" s="111">
        <f t="shared" si="96"/>
        <v>9.000000000000008E-3</v>
      </c>
      <c r="M510" s="112">
        <f t="shared" si="97"/>
        <v>8.0000000000000071E-3</v>
      </c>
      <c r="N510" s="112">
        <f t="shared" si="98"/>
        <v>-3.0000000000000027E-3</v>
      </c>
      <c r="O510" s="112">
        <f t="shared" ref="O510:O573" si="99">IF(ISERR(I510/I510)=TRUE," ",AVERAGE(I510:K510))</f>
        <v>0.79466666666666663</v>
      </c>
      <c r="P510" s="113">
        <f t="shared" ref="P510:P573" si="100">IF(ISBLANK($E510),"",IF(ISNUMBER(F510)=FALSE,"BAD TOL", IF(F510=0,"N/A",IF(ISERR(I510/I510)=TRUE,"BAD INSP",IF(AND(ISNUMBER($I510),ISNUMBER($J510),ISNUMBER($K510))=FALSE,"BAD INSP",IF(MAX($I510:$K510)&lt;$E510,0,(MAX($I510:$K510)-$E510)/$F510))))))</f>
        <v>0.30000000000000027</v>
      </c>
      <c r="Q510" s="114">
        <f t="shared" ref="Q510:Q573" si="101">IF(ISBLANK($E510),"",IF(ISNUMBER(G510)=FALSE,"BAD TOL",IF(G510=0,"N/A",IF(ISERR(I510/I510)=TRUE,"BAD INSP",IF(AND(ISNUMBER($I510),ISNUMBER($J510),ISNUMBER($K510))=FALSE,"BAD INSP",IF(MIN(I510:K510)&gt;$E510,0,($E510-MIN(I510:K510))/G510))))))</f>
        <v>0.10000000000000009</v>
      </c>
      <c r="R510" s="115" t="str">
        <f t="shared" ref="R510:R573" si="102">IF(ISBLANK($E510),"",IF(ISNUMBER($P510)=TRUE,IF($P510&gt;0.651,IF($P510&gt;1.001,"Reject","Alert")," "),IF(AND(F510=0, ISNUMBER(F510)),IF(MAX(I510:K510)&gt;(E510+F510),"Reject",IF(MAX(I510:K510)=(E510+F510),"Alert","")),"Reject")))</f>
        <v xml:space="preserve"> </v>
      </c>
      <c r="S510" s="115" t="str">
        <f t="shared" ref="S510:S573" si="103">IF(ISBLANK($E510),"",IF(ISNUMBER($Q510)=TRUE,IF($Q510&gt;0.651,IF($Q510&gt;1.001,"Reject","Alert")," "),IF(AND(G510=0, ISNUMBER(G510)),IF(MIN(I510:K510)&lt;(E510-G510),"Reject",IF(MIN(I510:K510)=(E510-G510),"Alert","")),"Reject")))</f>
        <v xml:space="preserve"> </v>
      </c>
      <c r="T510" s="116" t="str">
        <f t="shared" ref="T510:T573" si="104">IF(OR(R510="Reject",S510="Reject"),"Reject",IF(OR(R510="Alert",S510="Alert"),"Alert", ""))</f>
        <v/>
      </c>
      <c r="U510" s="120"/>
      <c r="V510" s="118"/>
      <c r="W510" s="131"/>
    </row>
    <row r="511" spans="1:23" ht="13.2">
      <c r="A511" s="102" t="s">
        <v>545</v>
      </c>
      <c r="B511" s="102"/>
      <c r="C511" s="104">
        <v>3</v>
      </c>
      <c r="D511" s="105" t="s">
        <v>64</v>
      </c>
      <c r="E511" s="106">
        <v>0.79</v>
      </c>
      <c r="F511" s="107">
        <v>0.03</v>
      </c>
      <c r="G511" s="108">
        <v>0.03</v>
      </c>
      <c r="H511" s="109" t="s">
        <v>55</v>
      </c>
      <c r="I511" s="110">
        <v>0.79700000000000004</v>
      </c>
      <c r="J511" s="110">
        <v>0.79900000000000004</v>
      </c>
      <c r="K511" s="119">
        <v>0.8</v>
      </c>
      <c r="L511" s="111">
        <f t="shared" si="96"/>
        <v>7.0000000000000062E-3</v>
      </c>
      <c r="M511" s="112">
        <f t="shared" si="97"/>
        <v>9.000000000000008E-3</v>
      </c>
      <c r="N511" s="112">
        <f t="shared" si="98"/>
        <v>1.0000000000000009E-2</v>
      </c>
      <c r="O511" s="112">
        <f t="shared" si="99"/>
        <v>0.79866666666666664</v>
      </c>
      <c r="P511" s="113">
        <f t="shared" si="100"/>
        <v>0.33333333333333365</v>
      </c>
      <c r="Q511" s="114">
        <f t="shared" si="101"/>
        <v>0</v>
      </c>
      <c r="R511" s="115" t="str">
        <f t="shared" si="102"/>
        <v xml:space="preserve"> </v>
      </c>
      <c r="S511" s="115" t="str">
        <f t="shared" si="103"/>
        <v xml:space="preserve"> </v>
      </c>
      <c r="T511" s="116" t="str">
        <f t="shared" si="104"/>
        <v/>
      </c>
      <c r="U511" s="120"/>
      <c r="V511" s="118"/>
      <c r="W511" s="131"/>
    </row>
    <row r="512" spans="1:23" ht="13.2">
      <c r="A512" s="102" t="s">
        <v>546</v>
      </c>
      <c r="B512" s="102"/>
      <c r="C512" s="104">
        <v>3</v>
      </c>
      <c r="D512" s="105" t="s">
        <v>64</v>
      </c>
      <c r="E512" s="106">
        <v>0.79</v>
      </c>
      <c r="F512" s="107">
        <v>0.03</v>
      </c>
      <c r="G512" s="108">
        <v>0.03</v>
      </c>
      <c r="H512" s="109" t="s">
        <v>55</v>
      </c>
      <c r="I512" s="110">
        <v>0.79100000000000004</v>
      </c>
      <c r="J512" s="110">
        <v>0.8</v>
      </c>
      <c r="K512" s="119">
        <v>0.79500000000000004</v>
      </c>
      <c r="L512" s="111">
        <f t="shared" si="96"/>
        <v>1.0000000000000009E-3</v>
      </c>
      <c r="M512" s="112">
        <f t="shared" si="97"/>
        <v>1.0000000000000009E-2</v>
      </c>
      <c r="N512" s="112">
        <f t="shared" si="98"/>
        <v>5.0000000000000044E-3</v>
      </c>
      <c r="O512" s="112">
        <f t="shared" si="99"/>
        <v>0.79533333333333334</v>
      </c>
      <c r="P512" s="113">
        <f t="shared" si="100"/>
        <v>0.33333333333333365</v>
      </c>
      <c r="Q512" s="114">
        <f t="shared" si="101"/>
        <v>0</v>
      </c>
      <c r="R512" s="115" t="str">
        <f t="shared" si="102"/>
        <v xml:space="preserve"> </v>
      </c>
      <c r="S512" s="115" t="str">
        <f t="shared" si="103"/>
        <v xml:space="preserve"> </v>
      </c>
      <c r="T512" s="116" t="str">
        <f t="shared" si="104"/>
        <v/>
      </c>
      <c r="U512" s="120"/>
      <c r="V512" s="118"/>
      <c r="W512" s="131"/>
    </row>
    <row r="513" spans="1:23" ht="13.2">
      <c r="A513" s="102" t="s">
        <v>547</v>
      </c>
      <c r="B513" s="102"/>
      <c r="C513" s="104">
        <v>3</v>
      </c>
      <c r="D513" s="105" t="s">
        <v>64</v>
      </c>
      <c r="E513" s="106">
        <v>0.79</v>
      </c>
      <c r="F513" s="107">
        <v>0.03</v>
      </c>
      <c r="G513" s="108">
        <v>0.03</v>
      </c>
      <c r="H513" s="109" t="s">
        <v>55</v>
      </c>
      <c r="I513" s="110">
        <v>0.79800000000000004</v>
      </c>
      <c r="J513" s="110">
        <v>0.77700000000000002</v>
      </c>
      <c r="K513" s="119">
        <v>0.79800000000000004</v>
      </c>
      <c r="L513" s="111">
        <f t="shared" si="96"/>
        <v>8.0000000000000071E-3</v>
      </c>
      <c r="M513" s="112">
        <f t="shared" si="97"/>
        <v>-1.3000000000000012E-2</v>
      </c>
      <c r="N513" s="112">
        <f t="shared" si="98"/>
        <v>8.0000000000000071E-3</v>
      </c>
      <c r="O513" s="112">
        <f t="shared" si="99"/>
        <v>0.79100000000000004</v>
      </c>
      <c r="P513" s="113">
        <f t="shared" si="100"/>
        <v>0.26666666666666694</v>
      </c>
      <c r="Q513" s="114">
        <f t="shared" si="101"/>
        <v>0.43333333333333374</v>
      </c>
      <c r="R513" s="115" t="str">
        <f t="shared" si="102"/>
        <v xml:space="preserve"> </v>
      </c>
      <c r="S513" s="115" t="str">
        <f t="shared" si="103"/>
        <v xml:space="preserve"> </v>
      </c>
      <c r="T513" s="116" t="str">
        <f t="shared" si="104"/>
        <v/>
      </c>
      <c r="U513" s="120"/>
      <c r="V513" s="118"/>
      <c r="W513" s="131"/>
    </row>
    <row r="514" spans="1:23" ht="13.2">
      <c r="A514" s="102" t="s">
        <v>548</v>
      </c>
      <c r="B514" s="102"/>
      <c r="C514" s="104">
        <v>3</v>
      </c>
      <c r="D514" s="105" t="s">
        <v>64</v>
      </c>
      <c r="E514" s="106">
        <v>0.79</v>
      </c>
      <c r="F514" s="107">
        <v>0.03</v>
      </c>
      <c r="G514" s="108">
        <v>0.03</v>
      </c>
      <c r="H514" s="109" t="s">
        <v>55</v>
      </c>
      <c r="I514" s="110">
        <v>0.79100000000000004</v>
      </c>
      <c r="J514" s="110">
        <v>0.80300000000000005</v>
      </c>
      <c r="K514" s="119">
        <v>0.79100000000000004</v>
      </c>
      <c r="L514" s="111">
        <f t="shared" si="96"/>
        <v>1.0000000000000009E-3</v>
      </c>
      <c r="M514" s="112">
        <f t="shared" si="97"/>
        <v>1.3000000000000012E-2</v>
      </c>
      <c r="N514" s="112">
        <f t="shared" si="98"/>
        <v>1.0000000000000009E-3</v>
      </c>
      <c r="O514" s="112">
        <f t="shared" si="99"/>
        <v>0.79500000000000004</v>
      </c>
      <c r="P514" s="113">
        <f t="shared" si="100"/>
        <v>0.43333333333333374</v>
      </c>
      <c r="Q514" s="114">
        <f t="shared" si="101"/>
        <v>0</v>
      </c>
      <c r="R514" s="115" t="str">
        <f t="shared" si="102"/>
        <v xml:space="preserve"> </v>
      </c>
      <c r="S514" s="115" t="str">
        <f t="shared" si="103"/>
        <v xml:space="preserve"> </v>
      </c>
      <c r="T514" s="116" t="str">
        <f t="shared" si="104"/>
        <v/>
      </c>
      <c r="U514" s="120"/>
      <c r="V514" s="118"/>
      <c r="W514" s="131"/>
    </row>
    <row r="515" spans="1:23" ht="13.2">
      <c r="A515" s="102" t="s">
        <v>549</v>
      </c>
      <c r="B515" s="102"/>
      <c r="C515" s="104">
        <v>3</v>
      </c>
      <c r="D515" s="105" t="s">
        <v>64</v>
      </c>
      <c r="E515" s="106">
        <v>0.79</v>
      </c>
      <c r="F515" s="107">
        <v>0.03</v>
      </c>
      <c r="G515" s="108">
        <v>0.03</v>
      </c>
      <c r="H515" s="109" t="s">
        <v>55</v>
      </c>
      <c r="I515" s="110">
        <v>0.79300000000000004</v>
      </c>
      <c r="J515" s="110">
        <v>0.80200000000000005</v>
      </c>
      <c r="K515" s="119">
        <v>0.8</v>
      </c>
      <c r="L515" s="111">
        <f t="shared" si="96"/>
        <v>3.0000000000000027E-3</v>
      </c>
      <c r="M515" s="112">
        <f t="shared" si="97"/>
        <v>1.2000000000000011E-2</v>
      </c>
      <c r="N515" s="112">
        <f t="shared" si="98"/>
        <v>1.0000000000000009E-2</v>
      </c>
      <c r="O515" s="112">
        <f t="shared" si="99"/>
        <v>0.79833333333333345</v>
      </c>
      <c r="P515" s="113">
        <f t="shared" si="100"/>
        <v>0.40000000000000036</v>
      </c>
      <c r="Q515" s="114">
        <f t="shared" si="101"/>
        <v>0</v>
      </c>
      <c r="R515" s="115" t="str">
        <f t="shared" si="102"/>
        <v xml:space="preserve"> </v>
      </c>
      <c r="S515" s="115" t="str">
        <f t="shared" si="103"/>
        <v xml:space="preserve"> </v>
      </c>
      <c r="T515" s="116" t="str">
        <f t="shared" si="104"/>
        <v/>
      </c>
      <c r="U515" s="120"/>
      <c r="V515" s="118"/>
      <c r="W515" s="131"/>
    </row>
    <row r="516" spans="1:23" ht="13.2">
      <c r="A516" s="102" t="s">
        <v>550</v>
      </c>
      <c r="B516" s="102"/>
      <c r="C516" s="104">
        <v>3</v>
      </c>
      <c r="D516" s="105" t="s">
        <v>64</v>
      </c>
      <c r="E516" s="106">
        <v>0.79</v>
      </c>
      <c r="F516" s="107">
        <v>0.03</v>
      </c>
      <c r="G516" s="108">
        <v>0.03</v>
      </c>
      <c r="H516" s="109" t="s">
        <v>55</v>
      </c>
      <c r="I516" s="110">
        <v>0.78700000000000003</v>
      </c>
      <c r="J516" s="110">
        <v>0.79600000000000004</v>
      </c>
      <c r="K516" s="119">
        <v>0.79300000000000004</v>
      </c>
      <c r="L516" s="111">
        <f t="shared" si="96"/>
        <v>-3.0000000000000027E-3</v>
      </c>
      <c r="M516" s="112">
        <f t="shared" si="97"/>
        <v>6.0000000000000053E-3</v>
      </c>
      <c r="N516" s="112">
        <f t="shared" si="98"/>
        <v>3.0000000000000027E-3</v>
      </c>
      <c r="O516" s="112">
        <f t="shared" si="99"/>
        <v>0.79200000000000015</v>
      </c>
      <c r="P516" s="113">
        <f t="shared" si="100"/>
        <v>0.20000000000000018</v>
      </c>
      <c r="Q516" s="114">
        <f t="shared" si="101"/>
        <v>0.10000000000000009</v>
      </c>
      <c r="R516" s="115" t="str">
        <f t="shared" si="102"/>
        <v xml:space="preserve"> </v>
      </c>
      <c r="S516" s="115" t="str">
        <f t="shared" si="103"/>
        <v xml:space="preserve"> </v>
      </c>
      <c r="T516" s="116" t="str">
        <f t="shared" si="104"/>
        <v/>
      </c>
      <c r="U516" s="120"/>
      <c r="V516" s="118"/>
      <c r="W516" s="131"/>
    </row>
    <row r="517" spans="1:23" ht="13.2">
      <c r="A517" s="102" t="s">
        <v>551</v>
      </c>
      <c r="B517" s="102"/>
      <c r="C517" s="104">
        <v>3</v>
      </c>
      <c r="D517" s="105" t="s">
        <v>64</v>
      </c>
      <c r="E517" s="106">
        <v>0.79</v>
      </c>
      <c r="F517" s="107">
        <v>0.03</v>
      </c>
      <c r="G517" s="108">
        <v>0.03</v>
      </c>
      <c r="H517" s="109" t="s">
        <v>55</v>
      </c>
      <c r="I517" s="110">
        <v>0.78900000000000003</v>
      </c>
      <c r="J517" s="110">
        <v>0.79500000000000004</v>
      </c>
      <c r="K517" s="119">
        <v>0.78500000000000003</v>
      </c>
      <c r="L517" s="111">
        <f t="shared" si="96"/>
        <v>-1.0000000000000009E-3</v>
      </c>
      <c r="M517" s="112">
        <f t="shared" si="97"/>
        <v>5.0000000000000044E-3</v>
      </c>
      <c r="N517" s="112">
        <f t="shared" si="98"/>
        <v>-5.0000000000000044E-3</v>
      </c>
      <c r="O517" s="112">
        <f t="shared" si="99"/>
        <v>0.78966666666666674</v>
      </c>
      <c r="P517" s="113">
        <f t="shared" si="100"/>
        <v>0.16666666666666682</v>
      </c>
      <c r="Q517" s="114">
        <f t="shared" si="101"/>
        <v>0.16666666666666682</v>
      </c>
      <c r="R517" s="115" t="str">
        <f t="shared" si="102"/>
        <v xml:space="preserve"> </v>
      </c>
      <c r="S517" s="115" t="str">
        <f t="shared" si="103"/>
        <v xml:space="preserve"> </v>
      </c>
      <c r="T517" s="116" t="str">
        <f t="shared" si="104"/>
        <v/>
      </c>
      <c r="U517" s="120"/>
      <c r="V517" s="118"/>
      <c r="W517" s="131"/>
    </row>
    <row r="518" spans="1:23" ht="13.2">
      <c r="A518" s="102" t="s">
        <v>552</v>
      </c>
      <c r="B518" s="102"/>
      <c r="C518" s="104">
        <v>3</v>
      </c>
      <c r="D518" s="105" t="s">
        <v>64</v>
      </c>
      <c r="E518" s="106">
        <v>0.79</v>
      </c>
      <c r="F518" s="107">
        <v>0.03</v>
      </c>
      <c r="G518" s="108">
        <v>0.03</v>
      </c>
      <c r="H518" s="109" t="s">
        <v>55</v>
      </c>
      <c r="I518" s="110">
        <v>0.79100000000000004</v>
      </c>
      <c r="J518" s="110">
        <v>0.76700000000000002</v>
      </c>
      <c r="K518" s="119">
        <v>0.78600000000000003</v>
      </c>
      <c r="L518" s="111">
        <f t="shared" si="96"/>
        <v>1.0000000000000009E-3</v>
      </c>
      <c r="M518" s="112">
        <f t="shared" si="97"/>
        <v>-2.300000000000002E-2</v>
      </c>
      <c r="N518" s="112">
        <f t="shared" si="98"/>
        <v>-4.0000000000000036E-3</v>
      </c>
      <c r="O518" s="112">
        <f t="shared" si="99"/>
        <v>0.78133333333333344</v>
      </c>
      <c r="P518" s="113">
        <f t="shared" si="100"/>
        <v>3.3333333333333368E-2</v>
      </c>
      <c r="Q518" s="114">
        <f t="shared" si="101"/>
        <v>0.76666666666666738</v>
      </c>
      <c r="R518" s="115" t="str">
        <f t="shared" si="102"/>
        <v xml:space="preserve"> </v>
      </c>
      <c r="S518" s="115" t="str">
        <f t="shared" si="103"/>
        <v>Alert</v>
      </c>
      <c r="T518" s="116" t="str">
        <f t="shared" si="104"/>
        <v>Alert</v>
      </c>
      <c r="U518" s="120"/>
      <c r="V518" s="118"/>
      <c r="W518" s="131"/>
    </row>
    <row r="519" spans="1:23" ht="13.2">
      <c r="A519" s="102" t="s">
        <v>553</v>
      </c>
      <c r="B519" s="102"/>
      <c r="C519" s="104">
        <v>3</v>
      </c>
      <c r="D519" s="105" t="s">
        <v>64</v>
      </c>
      <c r="E519" s="106">
        <v>0.79</v>
      </c>
      <c r="F519" s="107">
        <v>0.03</v>
      </c>
      <c r="G519" s="108">
        <v>0.03</v>
      </c>
      <c r="H519" s="109" t="s">
        <v>55</v>
      </c>
      <c r="I519" s="110">
        <v>0.79500000000000004</v>
      </c>
      <c r="J519" s="110">
        <v>0.79900000000000004</v>
      </c>
      <c r="K519" s="119">
        <v>0.81</v>
      </c>
      <c r="L519" s="111">
        <f t="shared" si="96"/>
        <v>5.0000000000000044E-3</v>
      </c>
      <c r="M519" s="112">
        <f t="shared" si="97"/>
        <v>9.000000000000008E-3</v>
      </c>
      <c r="N519" s="112">
        <f t="shared" si="98"/>
        <v>2.0000000000000018E-2</v>
      </c>
      <c r="O519" s="112">
        <f t="shared" si="99"/>
        <v>0.80133333333333334</v>
      </c>
      <c r="P519" s="113">
        <f t="shared" si="100"/>
        <v>0.6666666666666673</v>
      </c>
      <c r="Q519" s="114">
        <f t="shared" si="101"/>
        <v>0</v>
      </c>
      <c r="R519" s="115" t="str">
        <f t="shared" si="102"/>
        <v>Alert</v>
      </c>
      <c r="S519" s="115" t="str">
        <f t="shared" si="103"/>
        <v xml:space="preserve"> </v>
      </c>
      <c r="T519" s="116" t="str">
        <f t="shared" si="104"/>
        <v>Alert</v>
      </c>
      <c r="U519" s="120"/>
      <c r="V519" s="118"/>
      <c r="W519" s="131"/>
    </row>
    <row r="520" spans="1:23" ht="13.2">
      <c r="A520" s="102" t="s">
        <v>554</v>
      </c>
      <c r="B520" s="102"/>
      <c r="C520" s="104">
        <v>3</v>
      </c>
      <c r="D520" s="105" t="s">
        <v>64</v>
      </c>
      <c r="E520" s="106">
        <v>0.79</v>
      </c>
      <c r="F520" s="107">
        <v>0.03</v>
      </c>
      <c r="G520" s="108">
        <v>0.03</v>
      </c>
      <c r="H520" s="109" t="s">
        <v>55</v>
      </c>
      <c r="I520" s="110">
        <v>0.80400000000000005</v>
      </c>
      <c r="J520" s="110">
        <v>0.79800000000000004</v>
      </c>
      <c r="K520" s="119">
        <v>0.79800000000000004</v>
      </c>
      <c r="L520" s="111">
        <f t="shared" si="96"/>
        <v>1.4000000000000012E-2</v>
      </c>
      <c r="M520" s="112">
        <f t="shared" si="97"/>
        <v>8.0000000000000071E-3</v>
      </c>
      <c r="N520" s="112">
        <f t="shared" si="98"/>
        <v>8.0000000000000071E-3</v>
      </c>
      <c r="O520" s="112">
        <f t="shared" si="99"/>
        <v>0.80000000000000016</v>
      </c>
      <c r="P520" s="113">
        <f t="shared" si="100"/>
        <v>0.46666666666666712</v>
      </c>
      <c r="Q520" s="114">
        <f t="shared" si="101"/>
        <v>0</v>
      </c>
      <c r="R520" s="115" t="str">
        <f t="shared" si="102"/>
        <v xml:space="preserve"> </v>
      </c>
      <c r="S520" s="115" t="str">
        <f t="shared" si="103"/>
        <v xml:space="preserve"> </v>
      </c>
      <c r="T520" s="116" t="str">
        <f t="shared" si="104"/>
        <v/>
      </c>
      <c r="U520" s="120"/>
      <c r="V520" s="118"/>
      <c r="W520" s="131"/>
    </row>
    <row r="521" spans="1:23" ht="13.2">
      <c r="A521" s="102" t="s">
        <v>555</v>
      </c>
      <c r="B521" s="102"/>
      <c r="C521" s="104">
        <v>3</v>
      </c>
      <c r="D521" s="105" t="s">
        <v>64</v>
      </c>
      <c r="E521" s="106">
        <v>0.79</v>
      </c>
      <c r="F521" s="107">
        <v>0.03</v>
      </c>
      <c r="G521" s="108">
        <v>0.03</v>
      </c>
      <c r="H521" s="109" t="s">
        <v>55</v>
      </c>
      <c r="I521" s="110">
        <v>0.78800000000000003</v>
      </c>
      <c r="J521" s="110">
        <v>0.81299999999999994</v>
      </c>
      <c r="K521" s="119">
        <v>0.78900000000000003</v>
      </c>
      <c r="L521" s="111">
        <f t="shared" si="96"/>
        <v>-2.0000000000000018E-3</v>
      </c>
      <c r="M521" s="112">
        <f t="shared" si="97"/>
        <v>2.2999999999999909E-2</v>
      </c>
      <c r="N521" s="112">
        <f t="shared" si="98"/>
        <v>-1.0000000000000009E-3</v>
      </c>
      <c r="O521" s="112">
        <f t="shared" si="99"/>
        <v>0.79666666666666675</v>
      </c>
      <c r="P521" s="113">
        <f t="shared" si="100"/>
        <v>0.76666666666666372</v>
      </c>
      <c r="Q521" s="114">
        <f t="shared" si="101"/>
        <v>6.6666666666666735E-2</v>
      </c>
      <c r="R521" s="115" t="str">
        <f t="shared" si="102"/>
        <v>Alert</v>
      </c>
      <c r="S521" s="115" t="str">
        <f t="shared" si="103"/>
        <v xml:space="preserve"> </v>
      </c>
      <c r="T521" s="116" t="str">
        <f t="shared" si="104"/>
        <v>Alert</v>
      </c>
      <c r="U521" s="120"/>
      <c r="V521" s="118"/>
      <c r="W521" s="131"/>
    </row>
    <row r="522" spans="1:23" ht="13.2">
      <c r="A522" s="102" t="s">
        <v>556</v>
      </c>
      <c r="B522" s="103"/>
      <c r="C522" s="104">
        <v>3</v>
      </c>
      <c r="D522" s="105" t="s">
        <v>64</v>
      </c>
      <c r="E522" s="106">
        <v>0.79</v>
      </c>
      <c r="F522" s="107">
        <v>0.03</v>
      </c>
      <c r="G522" s="108">
        <v>0.03</v>
      </c>
      <c r="H522" s="109" t="s">
        <v>55</v>
      </c>
      <c r="I522" s="110">
        <v>0.80100000000000005</v>
      </c>
      <c r="J522" s="110">
        <v>0.78900000000000003</v>
      </c>
      <c r="K522" s="119">
        <v>0.79100000000000004</v>
      </c>
      <c r="L522" s="111">
        <f t="shared" si="96"/>
        <v>1.100000000000001E-2</v>
      </c>
      <c r="M522" s="112">
        <f t="shared" si="97"/>
        <v>-1.0000000000000009E-3</v>
      </c>
      <c r="N522" s="112">
        <f t="shared" si="98"/>
        <v>1.0000000000000009E-3</v>
      </c>
      <c r="O522" s="112">
        <f t="shared" si="99"/>
        <v>0.79366666666666674</v>
      </c>
      <c r="P522" s="113">
        <f t="shared" si="100"/>
        <v>0.36666666666666703</v>
      </c>
      <c r="Q522" s="114">
        <f t="shared" si="101"/>
        <v>3.3333333333333368E-2</v>
      </c>
      <c r="R522" s="115" t="str">
        <f t="shared" si="102"/>
        <v xml:space="preserve"> </v>
      </c>
      <c r="S522" s="115" t="str">
        <f t="shared" si="103"/>
        <v xml:space="preserve"> </v>
      </c>
      <c r="T522" s="116" t="str">
        <f t="shared" si="104"/>
        <v/>
      </c>
      <c r="U522" s="120"/>
      <c r="V522" s="118"/>
      <c r="W522" s="131"/>
    </row>
    <row r="523" spans="1:23" ht="13.2">
      <c r="A523" s="102" t="s">
        <v>557</v>
      </c>
      <c r="B523" s="103"/>
      <c r="C523" s="104">
        <v>3</v>
      </c>
      <c r="D523" s="105" t="s">
        <v>64</v>
      </c>
      <c r="E523" s="106">
        <v>0.79</v>
      </c>
      <c r="F523" s="107">
        <v>0.03</v>
      </c>
      <c r="G523" s="108">
        <v>0.03</v>
      </c>
      <c r="H523" s="109" t="s">
        <v>55</v>
      </c>
      <c r="I523" s="110">
        <v>0.80100000000000005</v>
      </c>
      <c r="J523" s="110">
        <v>0.80100000000000005</v>
      </c>
      <c r="K523" s="119">
        <v>0.80200000000000005</v>
      </c>
      <c r="L523" s="111">
        <f t="shared" si="96"/>
        <v>1.100000000000001E-2</v>
      </c>
      <c r="M523" s="112">
        <f t="shared" si="97"/>
        <v>1.100000000000001E-2</v>
      </c>
      <c r="N523" s="112">
        <f t="shared" si="98"/>
        <v>1.2000000000000011E-2</v>
      </c>
      <c r="O523" s="112">
        <f t="shared" si="99"/>
        <v>0.80133333333333334</v>
      </c>
      <c r="P523" s="113">
        <f t="shared" si="100"/>
        <v>0.40000000000000036</v>
      </c>
      <c r="Q523" s="114">
        <f t="shared" si="101"/>
        <v>0</v>
      </c>
      <c r="R523" s="115" t="str">
        <f t="shared" si="102"/>
        <v xml:space="preserve"> </v>
      </c>
      <c r="S523" s="115" t="str">
        <f t="shared" si="103"/>
        <v xml:space="preserve"> </v>
      </c>
      <c r="T523" s="116" t="str">
        <f t="shared" si="104"/>
        <v/>
      </c>
      <c r="U523" s="120"/>
      <c r="V523" s="118"/>
      <c r="W523" s="131"/>
    </row>
    <row r="524" spans="1:23" ht="13.2">
      <c r="A524" s="102" t="s">
        <v>558</v>
      </c>
      <c r="B524" s="103"/>
      <c r="C524" s="104">
        <v>3</v>
      </c>
      <c r="D524" s="105" t="s">
        <v>64</v>
      </c>
      <c r="E524" s="106">
        <v>0.79</v>
      </c>
      <c r="F524" s="107">
        <v>0.03</v>
      </c>
      <c r="G524" s="108">
        <v>0.03</v>
      </c>
      <c r="H524" s="109" t="s">
        <v>55</v>
      </c>
      <c r="I524" s="110">
        <v>0.78400000000000003</v>
      </c>
      <c r="J524" s="110">
        <v>0.78100000000000003</v>
      </c>
      <c r="K524" s="119">
        <v>0.78300000000000003</v>
      </c>
      <c r="L524" s="111">
        <f t="shared" si="96"/>
        <v>-6.0000000000000053E-3</v>
      </c>
      <c r="M524" s="112">
        <f t="shared" si="97"/>
        <v>-9.000000000000008E-3</v>
      </c>
      <c r="N524" s="112">
        <f t="shared" si="98"/>
        <v>-7.0000000000000062E-3</v>
      </c>
      <c r="O524" s="112">
        <f t="shared" si="99"/>
        <v>0.78266666666666662</v>
      </c>
      <c r="P524" s="113">
        <f t="shared" si="100"/>
        <v>0</v>
      </c>
      <c r="Q524" s="114">
        <f t="shared" si="101"/>
        <v>0.30000000000000027</v>
      </c>
      <c r="R524" s="115" t="str">
        <f t="shared" si="102"/>
        <v xml:space="preserve"> </v>
      </c>
      <c r="S524" s="115" t="str">
        <f t="shared" si="103"/>
        <v xml:space="preserve"> </v>
      </c>
      <c r="T524" s="116" t="str">
        <f t="shared" si="104"/>
        <v/>
      </c>
      <c r="U524" s="120"/>
      <c r="V524" s="118"/>
      <c r="W524" s="131"/>
    </row>
    <row r="525" spans="1:23" ht="13.2">
      <c r="A525" s="102" t="s">
        <v>559</v>
      </c>
      <c r="B525" s="102"/>
      <c r="C525" s="104">
        <v>3</v>
      </c>
      <c r="D525" s="105" t="s">
        <v>64</v>
      </c>
      <c r="E525" s="106">
        <v>0.79</v>
      </c>
      <c r="F525" s="107">
        <v>0.03</v>
      </c>
      <c r="G525" s="108">
        <v>0.03</v>
      </c>
      <c r="H525" s="109" t="s">
        <v>55</v>
      </c>
      <c r="I525" s="110">
        <v>0.8</v>
      </c>
      <c r="J525" s="110">
        <v>0.79400000000000004</v>
      </c>
      <c r="K525" s="119">
        <v>0.79200000000000004</v>
      </c>
      <c r="L525" s="111">
        <f t="shared" si="96"/>
        <v>1.0000000000000009E-2</v>
      </c>
      <c r="M525" s="112">
        <f t="shared" si="97"/>
        <v>4.0000000000000036E-3</v>
      </c>
      <c r="N525" s="112">
        <f t="shared" si="98"/>
        <v>2.0000000000000018E-3</v>
      </c>
      <c r="O525" s="112">
        <f t="shared" si="99"/>
        <v>0.79533333333333334</v>
      </c>
      <c r="P525" s="113">
        <f t="shared" si="100"/>
        <v>0.33333333333333365</v>
      </c>
      <c r="Q525" s="114">
        <f t="shared" si="101"/>
        <v>0</v>
      </c>
      <c r="R525" s="115" t="str">
        <f t="shared" si="102"/>
        <v xml:space="preserve"> </v>
      </c>
      <c r="S525" s="115" t="str">
        <f t="shared" si="103"/>
        <v xml:space="preserve"> </v>
      </c>
      <c r="T525" s="116" t="str">
        <f t="shared" si="104"/>
        <v/>
      </c>
      <c r="U525" s="120"/>
      <c r="V525" s="118"/>
      <c r="W525" s="131"/>
    </row>
    <row r="526" spans="1:23" ht="13.2">
      <c r="A526" s="102" t="s">
        <v>560</v>
      </c>
      <c r="B526" s="102"/>
      <c r="C526" s="104">
        <v>3</v>
      </c>
      <c r="D526" s="105" t="s">
        <v>64</v>
      </c>
      <c r="E526" s="106">
        <v>0.79</v>
      </c>
      <c r="F526" s="107">
        <v>0.03</v>
      </c>
      <c r="G526" s="108">
        <v>0.03</v>
      </c>
      <c r="H526" s="109" t="s">
        <v>55</v>
      </c>
      <c r="I526" s="110">
        <v>0.78800000000000003</v>
      </c>
      <c r="J526" s="110">
        <v>0.80400000000000005</v>
      </c>
      <c r="K526" s="119">
        <v>0.80600000000000005</v>
      </c>
      <c r="L526" s="111">
        <f t="shared" si="96"/>
        <v>-2.0000000000000018E-3</v>
      </c>
      <c r="M526" s="112">
        <f t="shared" si="97"/>
        <v>1.4000000000000012E-2</v>
      </c>
      <c r="N526" s="112">
        <f t="shared" si="98"/>
        <v>1.6000000000000014E-2</v>
      </c>
      <c r="O526" s="112">
        <f t="shared" si="99"/>
        <v>0.79933333333333334</v>
      </c>
      <c r="P526" s="113">
        <f t="shared" si="100"/>
        <v>0.53333333333333388</v>
      </c>
      <c r="Q526" s="114">
        <f t="shared" si="101"/>
        <v>6.6666666666666735E-2</v>
      </c>
      <c r="R526" s="115" t="str">
        <f t="shared" si="102"/>
        <v xml:space="preserve"> </v>
      </c>
      <c r="S526" s="115" t="str">
        <f t="shared" si="103"/>
        <v xml:space="preserve"> </v>
      </c>
      <c r="T526" s="116" t="str">
        <f t="shared" si="104"/>
        <v/>
      </c>
      <c r="U526" s="120"/>
      <c r="V526" s="118"/>
      <c r="W526" s="131"/>
    </row>
    <row r="527" spans="1:23" ht="13.2">
      <c r="A527" s="102" t="s">
        <v>561</v>
      </c>
      <c r="B527" s="102"/>
      <c r="C527" s="104">
        <v>3</v>
      </c>
      <c r="D527" s="105" t="s">
        <v>64</v>
      </c>
      <c r="E527" s="106">
        <v>0.79</v>
      </c>
      <c r="F527" s="107">
        <v>0.03</v>
      </c>
      <c r="G527" s="108">
        <v>0.03</v>
      </c>
      <c r="H527" s="109" t="s">
        <v>55</v>
      </c>
      <c r="I527" s="110">
        <v>0.79900000000000004</v>
      </c>
      <c r="J527" s="110">
        <v>0.79</v>
      </c>
      <c r="K527" s="119">
        <v>0.79700000000000004</v>
      </c>
      <c r="L527" s="111">
        <f t="shared" si="96"/>
        <v>9.000000000000008E-3</v>
      </c>
      <c r="M527" s="112">
        <f t="shared" si="97"/>
        <v>0</v>
      </c>
      <c r="N527" s="112">
        <f t="shared" si="98"/>
        <v>7.0000000000000062E-3</v>
      </c>
      <c r="O527" s="112">
        <f t="shared" si="99"/>
        <v>0.79533333333333334</v>
      </c>
      <c r="P527" s="113">
        <f t="shared" si="100"/>
        <v>0.30000000000000027</v>
      </c>
      <c r="Q527" s="114">
        <f t="shared" si="101"/>
        <v>0</v>
      </c>
      <c r="R527" s="115" t="str">
        <f t="shared" si="102"/>
        <v xml:space="preserve"> </v>
      </c>
      <c r="S527" s="115" t="str">
        <f t="shared" si="103"/>
        <v xml:space="preserve"> </v>
      </c>
      <c r="T527" s="116" t="str">
        <f t="shared" si="104"/>
        <v/>
      </c>
      <c r="U527" s="120"/>
      <c r="V527" s="118"/>
      <c r="W527" s="131"/>
    </row>
    <row r="528" spans="1:23" ht="13.2">
      <c r="A528" s="102" t="s">
        <v>562</v>
      </c>
      <c r="B528" s="102"/>
      <c r="C528" s="104">
        <v>3</v>
      </c>
      <c r="D528" s="105" t="s">
        <v>64</v>
      </c>
      <c r="E528" s="106">
        <v>0.79</v>
      </c>
      <c r="F528" s="107">
        <v>0.03</v>
      </c>
      <c r="G528" s="108">
        <v>0.03</v>
      </c>
      <c r="H528" s="109" t="s">
        <v>55</v>
      </c>
      <c r="I528" s="110">
        <v>0.78600000000000003</v>
      </c>
      <c r="J528" s="110">
        <v>0.79200000000000004</v>
      </c>
      <c r="K528" s="119">
        <v>0.79500000000000004</v>
      </c>
      <c r="L528" s="111">
        <f t="shared" si="96"/>
        <v>-4.0000000000000036E-3</v>
      </c>
      <c r="M528" s="112">
        <f t="shared" si="97"/>
        <v>2.0000000000000018E-3</v>
      </c>
      <c r="N528" s="112">
        <f t="shared" si="98"/>
        <v>5.0000000000000044E-3</v>
      </c>
      <c r="O528" s="112">
        <f t="shared" si="99"/>
        <v>0.79100000000000004</v>
      </c>
      <c r="P528" s="113">
        <f t="shared" si="100"/>
        <v>0.16666666666666682</v>
      </c>
      <c r="Q528" s="114">
        <f t="shared" si="101"/>
        <v>0.13333333333333347</v>
      </c>
      <c r="R528" s="115" t="str">
        <f t="shared" si="102"/>
        <v xml:space="preserve"> </v>
      </c>
      <c r="S528" s="115" t="str">
        <f t="shared" si="103"/>
        <v xml:space="preserve"> </v>
      </c>
      <c r="T528" s="116" t="str">
        <f t="shared" si="104"/>
        <v/>
      </c>
      <c r="U528" s="120"/>
      <c r="V528" s="118"/>
      <c r="W528" s="131"/>
    </row>
    <row r="529" spans="1:23" ht="13.2">
      <c r="A529" s="102" t="s">
        <v>563</v>
      </c>
      <c r="B529" s="102"/>
      <c r="C529" s="104">
        <v>3</v>
      </c>
      <c r="D529" s="105" t="s">
        <v>64</v>
      </c>
      <c r="E529" s="106">
        <v>0.79</v>
      </c>
      <c r="F529" s="107">
        <v>0.03</v>
      </c>
      <c r="G529" s="108">
        <v>0.03</v>
      </c>
      <c r="H529" s="109" t="s">
        <v>55</v>
      </c>
      <c r="I529" s="110">
        <v>0.78600000000000003</v>
      </c>
      <c r="J529" s="110">
        <v>0.78600000000000003</v>
      </c>
      <c r="K529" s="119">
        <v>0.77800000000000002</v>
      </c>
      <c r="L529" s="111">
        <f t="shared" si="96"/>
        <v>-4.0000000000000036E-3</v>
      </c>
      <c r="M529" s="112">
        <f t="shared" si="97"/>
        <v>-4.0000000000000036E-3</v>
      </c>
      <c r="N529" s="112">
        <f t="shared" si="98"/>
        <v>-1.2000000000000011E-2</v>
      </c>
      <c r="O529" s="112">
        <f t="shared" si="99"/>
        <v>0.78333333333333333</v>
      </c>
      <c r="P529" s="113">
        <f t="shared" si="100"/>
        <v>0</v>
      </c>
      <c r="Q529" s="114">
        <f t="shared" si="101"/>
        <v>0.40000000000000036</v>
      </c>
      <c r="R529" s="115" t="str">
        <f t="shared" si="102"/>
        <v xml:space="preserve"> </v>
      </c>
      <c r="S529" s="115" t="str">
        <f t="shared" si="103"/>
        <v xml:space="preserve"> </v>
      </c>
      <c r="T529" s="116" t="str">
        <f t="shared" si="104"/>
        <v/>
      </c>
      <c r="U529" s="120"/>
      <c r="V529" s="118"/>
      <c r="W529" s="131"/>
    </row>
    <row r="530" spans="1:23" ht="13.2">
      <c r="A530" s="102" t="s">
        <v>564</v>
      </c>
      <c r="B530" s="102"/>
      <c r="C530" s="104">
        <v>3</v>
      </c>
      <c r="D530" s="105" t="s">
        <v>64</v>
      </c>
      <c r="E530" s="106">
        <v>0.79</v>
      </c>
      <c r="F530" s="107">
        <v>0.03</v>
      </c>
      <c r="G530" s="108">
        <v>0.03</v>
      </c>
      <c r="H530" s="109" t="s">
        <v>55</v>
      </c>
      <c r="I530" s="110">
        <v>0.79500000000000004</v>
      </c>
      <c r="J530" s="110">
        <v>0.80300000000000005</v>
      </c>
      <c r="K530" s="119">
        <v>0.79100000000000004</v>
      </c>
      <c r="L530" s="111">
        <f t="shared" si="96"/>
        <v>5.0000000000000044E-3</v>
      </c>
      <c r="M530" s="112">
        <f t="shared" si="97"/>
        <v>1.3000000000000012E-2</v>
      </c>
      <c r="N530" s="112">
        <f t="shared" si="98"/>
        <v>1.0000000000000009E-3</v>
      </c>
      <c r="O530" s="112">
        <f t="shared" si="99"/>
        <v>0.79633333333333345</v>
      </c>
      <c r="P530" s="113">
        <f t="shared" si="100"/>
        <v>0.43333333333333374</v>
      </c>
      <c r="Q530" s="114">
        <f t="shared" si="101"/>
        <v>0</v>
      </c>
      <c r="R530" s="115" t="str">
        <f t="shared" si="102"/>
        <v xml:space="preserve"> </v>
      </c>
      <c r="S530" s="115" t="str">
        <f t="shared" si="103"/>
        <v xml:space="preserve"> </v>
      </c>
      <c r="T530" s="116" t="str">
        <f t="shared" si="104"/>
        <v/>
      </c>
      <c r="U530" s="120"/>
      <c r="V530" s="118"/>
      <c r="W530" s="131"/>
    </row>
    <row r="531" spans="1:23" ht="13.2">
      <c r="A531" s="102" t="s">
        <v>565</v>
      </c>
      <c r="B531" s="102"/>
      <c r="C531" s="104">
        <v>3</v>
      </c>
      <c r="D531" s="105" t="s">
        <v>64</v>
      </c>
      <c r="E531" s="106">
        <v>0.79</v>
      </c>
      <c r="F531" s="107">
        <v>0.03</v>
      </c>
      <c r="G531" s="108">
        <v>0.03</v>
      </c>
      <c r="H531" s="109" t="s">
        <v>55</v>
      </c>
      <c r="I531" s="110">
        <v>0.79100000000000004</v>
      </c>
      <c r="J531" s="110">
        <v>0.78900000000000003</v>
      </c>
      <c r="K531" s="119">
        <v>0.81399999999999995</v>
      </c>
      <c r="L531" s="111">
        <f t="shared" ref="L531:L594" si="105">IF(ISBLANK($E531),"",IF(ISERR(I531/I531)=TRUE,"BAD INSP",I531-$E531))</f>
        <v>1.0000000000000009E-3</v>
      </c>
      <c r="M531" s="112">
        <f t="shared" ref="M531:M594" si="106">IF(ISBLANK($E531),"",IF(ISERR(J531/J531)=TRUE,"BAD INSP",J531-$E531))</f>
        <v>-1.0000000000000009E-3</v>
      </c>
      <c r="N531" s="112">
        <f t="shared" ref="N531:N594" si="107">IF(ISBLANK($E531),"",IF(ISERR(K531/K531)=TRUE,"BAD INSP",K531-$E531))</f>
        <v>2.399999999999991E-2</v>
      </c>
      <c r="O531" s="112">
        <f t="shared" si="99"/>
        <v>0.79800000000000004</v>
      </c>
      <c r="P531" s="113">
        <f t="shared" si="100"/>
        <v>0.79999999999999705</v>
      </c>
      <c r="Q531" s="114">
        <f t="shared" si="101"/>
        <v>3.3333333333333368E-2</v>
      </c>
      <c r="R531" s="115" t="str">
        <f t="shared" si="102"/>
        <v>Alert</v>
      </c>
      <c r="S531" s="115" t="str">
        <f t="shared" si="103"/>
        <v xml:space="preserve"> </v>
      </c>
      <c r="T531" s="116" t="str">
        <f t="shared" si="104"/>
        <v>Alert</v>
      </c>
      <c r="U531" s="120"/>
      <c r="V531" s="118"/>
      <c r="W531" s="131"/>
    </row>
    <row r="532" spans="1:23" ht="13.2">
      <c r="A532" s="102" t="s">
        <v>566</v>
      </c>
      <c r="B532" s="102"/>
      <c r="C532" s="104">
        <v>3</v>
      </c>
      <c r="D532" s="105" t="s">
        <v>64</v>
      </c>
      <c r="E532" s="106">
        <v>0.79</v>
      </c>
      <c r="F532" s="107">
        <v>0.03</v>
      </c>
      <c r="G532" s="108">
        <v>0.03</v>
      </c>
      <c r="H532" s="109" t="s">
        <v>55</v>
      </c>
      <c r="I532" s="110">
        <v>0.79400000000000004</v>
      </c>
      <c r="J532" s="110">
        <v>0.80500000000000005</v>
      </c>
      <c r="K532" s="119">
        <v>0.78100000000000003</v>
      </c>
      <c r="L532" s="111">
        <f t="shared" si="105"/>
        <v>4.0000000000000036E-3</v>
      </c>
      <c r="M532" s="112">
        <f t="shared" si="106"/>
        <v>1.5000000000000013E-2</v>
      </c>
      <c r="N532" s="112">
        <f t="shared" si="107"/>
        <v>-9.000000000000008E-3</v>
      </c>
      <c r="O532" s="112">
        <f t="shared" si="99"/>
        <v>0.79333333333333345</v>
      </c>
      <c r="P532" s="113">
        <f t="shared" si="100"/>
        <v>0.50000000000000044</v>
      </c>
      <c r="Q532" s="114">
        <f t="shared" si="101"/>
        <v>0.30000000000000027</v>
      </c>
      <c r="R532" s="115" t="str">
        <f t="shared" si="102"/>
        <v xml:space="preserve"> </v>
      </c>
      <c r="S532" s="115" t="str">
        <f t="shared" si="103"/>
        <v xml:space="preserve"> </v>
      </c>
      <c r="T532" s="116" t="str">
        <f t="shared" si="104"/>
        <v/>
      </c>
      <c r="U532" s="120"/>
      <c r="V532" s="118"/>
      <c r="W532" s="131"/>
    </row>
    <row r="533" spans="1:23" ht="13.2">
      <c r="A533" s="102" t="s">
        <v>567</v>
      </c>
      <c r="B533" s="102"/>
      <c r="C533" s="104">
        <v>3</v>
      </c>
      <c r="D533" s="105" t="s">
        <v>64</v>
      </c>
      <c r="E533" s="106">
        <v>0.79</v>
      </c>
      <c r="F533" s="107">
        <v>0.03</v>
      </c>
      <c r="G533" s="108">
        <v>0.03</v>
      </c>
      <c r="H533" s="109" t="s">
        <v>55</v>
      </c>
      <c r="I533" s="110">
        <v>0.79300000000000004</v>
      </c>
      <c r="J533" s="110">
        <v>0.79</v>
      </c>
      <c r="K533" s="119">
        <v>0.79500000000000004</v>
      </c>
      <c r="L533" s="111">
        <f t="shared" si="105"/>
        <v>3.0000000000000027E-3</v>
      </c>
      <c r="M533" s="112">
        <f t="shared" si="106"/>
        <v>0</v>
      </c>
      <c r="N533" s="112">
        <f t="shared" si="107"/>
        <v>5.0000000000000044E-3</v>
      </c>
      <c r="O533" s="112">
        <f t="shared" si="99"/>
        <v>0.79266666666666674</v>
      </c>
      <c r="P533" s="113">
        <f t="shared" si="100"/>
        <v>0.16666666666666682</v>
      </c>
      <c r="Q533" s="114">
        <f t="shared" si="101"/>
        <v>0</v>
      </c>
      <c r="R533" s="115" t="str">
        <f t="shared" si="102"/>
        <v xml:space="preserve"> </v>
      </c>
      <c r="S533" s="115" t="str">
        <f t="shared" si="103"/>
        <v xml:space="preserve"> </v>
      </c>
      <c r="T533" s="116" t="str">
        <f t="shared" si="104"/>
        <v/>
      </c>
      <c r="U533" s="120"/>
      <c r="V533" s="118"/>
      <c r="W533" s="131"/>
    </row>
    <row r="534" spans="1:23" ht="13.2">
      <c r="A534" s="102" t="s">
        <v>568</v>
      </c>
      <c r="B534" s="102"/>
      <c r="C534" s="104">
        <v>3</v>
      </c>
      <c r="D534" s="105" t="s">
        <v>64</v>
      </c>
      <c r="E534" s="106">
        <v>0.79</v>
      </c>
      <c r="F534" s="107">
        <v>0.03</v>
      </c>
      <c r="G534" s="108">
        <v>0.03</v>
      </c>
      <c r="H534" s="109" t="s">
        <v>55</v>
      </c>
      <c r="I534" s="110">
        <v>0.79700000000000004</v>
      </c>
      <c r="J534" s="110">
        <v>0.79200000000000004</v>
      </c>
      <c r="K534" s="119">
        <v>0.79500000000000004</v>
      </c>
      <c r="L534" s="111">
        <f t="shared" si="105"/>
        <v>7.0000000000000062E-3</v>
      </c>
      <c r="M534" s="112">
        <f t="shared" si="106"/>
        <v>2.0000000000000018E-3</v>
      </c>
      <c r="N534" s="112">
        <f t="shared" si="107"/>
        <v>5.0000000000000044E-3</v>
      </c>
      <c r="O534" s="112">
        <f t="shared" si="99"/>
        <v>0.79466666666666663</v>
      </c>
      <c r="P534" s="113">
        <f t="shared" si="100"/>
        <v>0.23333333333333356</v>
      </c>
      <c r="Q534" s="114">
        <f t="shared" si="101"/>
        <v>0</v>
      </c>
      <c r="R534" s="115" t="str">
        <f t="shared" si="102"/>
        <v xml:space="preserve"> </v>
      </c>
      <c r="S534" s="115" t="str">
        <f t="shared" si="103"/>
        <v xml:space="preserve"> </v>
      </c>
      <c r="T534" s="116" t="str">
        <f t="shared" si="104"/>
        <v/>
      </c>
      <c r="U534" s="120"/>
      <c r="V534" s="118"/>
      <c r="W534" s="131"/>
    </row>
    <row r="535" spans="1:23" ht="13.2">
      <c r="A535" s="102" t="s">
        <v>569</v>
      </c>
      <c r="B535" s="102"/>
      <c r="C535" s="104">
        <v>3</v>
      </c>
      <c r="D535" s="105" t="s">
        <v>64</v>
      </c>
      <c r="E535" s="106">
        <v>0.79</v>
      </c>
      <c r="F535" s="107">
        <v>0.03</v>
      </c>
      <c r="G535" s="108">
        <v>0.03</v>
      </c>
      <c r="H535" s="109" t="s">
        <v>55</v>
      </c>
      <c r="I535" s="110">
        <v>0.79800000000000004</v>
      </c>
      <c r="J535" s="110">
        <v>0.79600000000000004</v>
      </c>
      <c r="K535" s="119">
        <v>0.81</v>
      </c>
      <c r="L535" s="111">
        <f t="shared" si="105"/>
        <v>8.0000000000000071E-3</v>
      </c>
      <c r="M535" s="112">
        <f t="shared" si="106"/>
        <v>6.0000000000000053E-3</v>
      </c>
      <c r="N535" s="112">
        <f t="shared" si="107"/>
        <v>2.0000000000000018E-2</v>
      </c>
      <c r="O535" s="112">
        <f t="shared" si="99"/>
        <v>0.80133333333333334</v>
      </c>
      <c r="P535" s="113">
        <f t="shared" si="100"/>
        <v>0.6666666666666673</v>
      </c>
      <c r="Q535" s="114">
        <f t="shared" si="101"/>
        <v>0</v>
      </c>
      <c r="R535" s="115" t="str">
        <f t="shared" si="102"/>
        <v>Alert</v>
      </c>
      <c r="S535" s="115" t="str">
        <f t="shared" si="103"/>
        <v xml:space="preserve"> </v>
      </c>
      <c r="T535" s="116" t="str">
        <f t="shared" si="104"/>
        <v>Alert</v>
      </c>
      <c r="U535" s="120"/>
      <c r="V535" s="118"/>
      <c r="W535" s="131"/>
    </row>
    <row r="536" spans="1:23" ht="13.2">
      <c r="A536" s="102" t="s">
        <v>570</v>
      </c>
      <c r="B536" s="102"/>
      <c r="C536" s="104">
        <v>3</v>
      </c>
      <c r="D536" s="105" t="s">
        <v>64</v>
      </c>
      <c r="E536" s="106">
        <v>0.79</v>
      </c>
      <c r="F536" s="107">
        <v>0.03</v>
      </c>
      <c r="G536" s="108">
        <v>0.03</v>
      </c>
      <c r="H536" s="109" t="s">
        <v>55</v>
      </c>
      <c r="I536" s="110">
        <v>0.78300000000000003</v>
      </c>
      <c r="J536" s="110">
        <v>0.79500000000000004</v>
      </c>
      <c r="K536" s="119">
        <v>0.78300000000000003</v>
      </c>
      <c r="L536" s="111">
        <f t="shared" si="105"/>
        <v>-7.0000000000000062E-3</v>
      </c>
      <c r="M536" s="112">
        <f t="shared" si="106"/>
        <v>5.0000000000000044E-3</v>
      </c>
      <c r="N536" s="112">
        <f t="shared" si="107"/>
        <v>-7.0000000000000062E-3</v>
      </c>
      <c r="O536" s="112">
        <f t="shared" si="99"/>
        <v>0.78700000000000003</v>
      </c>
      <c r="P536" s="113">
        <f t="shared" si="100"/>
        <v>0.16666666666666682</v>
      </c>
      <c r="Q536" s="114">
        <f t="shared" si="101"/>
        <v>0.23333333333333356</v>
      </c>
      <c r="R536" s="115" t="str">
        <f t="shared" si="102"/>
        <v xml:space="preserve"> </v>
      </c>
      <c r="S536" s="115" t="str">
        <f t="shared" si="103"/>
        <v xml:space="preserve"> </v>
      </c>
      <c r="T536" s="116" t="str">
        <f t="shared" si="104"/>
        <v/>
      </c>
      <c r="U536" s="120"/>
      <c r="V536" s="118"/>
      <c r="W536" s="131"/>
    </row>
    <row r="537" spans="1:23" ht="13.2">
      <c r="A537" s="102" t="s">
        <v>571</v>
      </c>
      <c r="B537" s="103"/>
      <c r="C537" s="104">
        <v>3</v>
      </c>
      <c r="D537" s="105" t="s">
        <v>64</v>
      </c>
      <c r="E537" s="106">
        <v>0.79</v>
      </c>
      <c r="F537" s="107">
        <v>0.03</v>
      </c>
      <c r="G537" s="108">
        <v>0.03</v>
      </c>
      <c r="H537" s="109" t="s">
        <v>55</v>
      </c>
      <c r="I537" s="110">
        <v>0.78800000000000003</v>
      </c>
      <c r="J537" s="110">
        <v>0.79</v>
      </c>
      <c r="K537" s="119">
        <v>0.79900000000000004</v>
      </c>
      <c r="L537" s="111">
        <f t="shared" si="105"/>
        <v>-2.0000000000000018E-3</v>
      </c>
      <c r="M537" s="112">
        <f t="shared" si="106"/>
        <v>0</v>
      </c>
      <c r="N537" s="112">
        <f t="shared" si="107"/>
        <v>9.000000000000008E-3</v>
      </c>
      <c r="O537" s="112">
        <f t="shared" si="99"/>
        <v>0.79233333333333344</v>
      </c>
      <c r="P537" s="113">
        <f t="shared" si="100"/>
        <v>0.30000000000000027</v>
      </c>
      <c r="Q537" s="114">
        <f t="shared" si="101"/>
        <v>6.6666666666666735E-2</v>
      </c>
      <c r="R537" s="115" t="str">
        <f t="shared" si="102"/>
        <v xml:space="preserve"> </v>
      </c>
      <c r="S537" s="115" t="str">
        <f t="shared" si="103"/>
        <v xml:space="preserve"> </v>
      </c>
      <c r="T537" s="116" t="str">
        <f t="shared" si="104"/>
        <v/>
      </c>
      <c r="U537" s="120"/>
      <c r="V537" s="118"/>
      <c r="W537" s="131"/>
    </row>
    <row r="538" spans="1:23" ht="13.2">
      <c r="A538" s="102" t="s">
        <v>572</v>
      </c>
      <c r="B538" s="103"/>
      <c r="C538" s="104">
        <v>3</v>
      </c>
      <c r="D538" s="105" t="s">
        <v>64</v>
      </c>
      <c r="E538" s="106">
        <v>0.79</v>
      </c>
      <c r="F538" s="107">
        <v>0.03</v>
      </c>
      <c r="G538" s="108">
        <v>0.03</v>
      </c>
      <c r="H538" s="109" t="s">
        <v>55</v>
      </c>
      <c r="I538" s="110">
        <v>0.79100000000000004</v>
      </c>
      <c r="J538" s="110">
        <v>0.79300000000000004</v>
      </c>
      <c r="K538" s="119">
        <v>0.78500000000000003</v>
      </c>
      <c r="L538" s="111">
        <f t="shared" si="105"/>
        <v>1.0000000000000009E-3</v>
      </c>
      <c r="M538" s="112">
        <f t="shared" si="106"/>
        <v>3.0000000000000027E-3</v>
      </c>
      <c r="N538" s="112">
        <f t="shared" si="107"/>
        <v>-5.0000000000000044E-3</v>
      </c>
      <c r="O538" s="112">
        <f t="shared" si="99"/>
        <v>0.78966666666666674</v>
      </c>
      <c r="P538" s="113">
        <f t="shared" si="100"/>
        <v>0.10000000000000009</v>
      </c>
      <c r="Q538" s="114">
        <f t="shared" si="101"/>
        <v>0.16666666666666682</v>
      </c>
      <c r="R538" s="115" t="str">
        <f t="shared" si="102"/>
        <v xml:space="preserve"> </v>
      </c>
      <c r="S538" s="115" t="str">
        <f t="shared" si="103"/>
        <v xml:space="preserve"> </v>
      </c>
      <c r="T538" s="116" t="str">
        <f t="shared" si="104"/>
        <v/>
      </c>
      <c r="U538" s="120"/>
      <c r="V538" s="118"/>
      <c r="W538" s="131"/>
    </row>
    <row r="539" spans="1:23" ht="13.2">
      <c r="A539" s="102">
        <v>37</v>
      </c>
      <c r="B539" s="103"/>
      <c r="C539" s="104">
        <v>1</v>
      </c>
      <c r="D539" s="105" t="s">
        <v>582</v>
      </c>
      <c r="E539" s="106">
        <v>0.2</v>
      </c>
      <c r="F539" s="107">
        <v>0.05</v>
      </c>
      <c r="G539" s="108">
        <v>0.1</v>
      </c>
      <c r="H539" s="109" t="s">
        <v>55</v>
      </c>
      <c r="I539" s="110">
        <v>0.155</v>
      </c>
      <c r="J539" s="110">
        <v>0.159</v>
      </c>
      <c r="K539" s="119">
        <v>0.154</v>
      </c>
      <c r="L539" s="111">
        <f t="shared" si="105"/>
        <v>-4.5000000000000012E-2</v>
      </c>
      <c r="M539" s="112">
        <f t="shared" si="106"/>
        <v>-4.1000000000000009E-2</v>
      </c>
      <c r="N539" s="112">
        <f t="shared" si="107"/>
        <v>-4.6000000000000013E-2</v>
      </c>
      <c r="O539" s="112">
        <f t="shared" si="99"/>
        <v>0.156</v>
      </c>
      <c r="P539" s="113">
        <f t="shared" si="100"/>
        <v>0</v>
      </c>
      <c r="Q539" s="114">
        <f t="shared" si="101"/>
        <v>0.46000000000000013</v>
      </c>
      <c r="R539" s="115" t="str">
        <f t="shared" si="102"/>
        <v xml:space="preserve"> </v>
      </c>
      <c r="S539" s="115" t="str">
        <f t="shared" si="103"/>
        <v xml:space="preserve"> </v>
      </c>
      <c r="T539" s="116" t="str">
        <f t="shared" si="104"/>
        <v/>
      </c>
      <c r="U539" s="120"/>
      <c r="V539" s="118"/>
      <c r="W539" s="131"/>
    </row>
    <row r="540" spans="1:23" ht="13.2">
      <c r="A540" s="102">
        <v>38</v>
      </c>
      <c r="B540" s="103"/>
      <c r="C540" s="104">
        <v>1</v>
      </c>
      <c r="D540" s="105" t="s">
        <v>582</v>
      </c>
      <c r="E540" s="106">
        <v>0.2</v>
      </c>
      <c r="F540" s="107">
        <v>0.1</v>
      </c>
      <c r="G540" s="108">
        <v>0.1</v>
      </c>
      <c r="H540" s="109" t="s">
        <v>55</v>
      </c>
      <c r="I540" s="110">
        <v>0.215</v>
      </c>
      <c r="J540" s="110">
        <v>0.216</v>
      </c>
      <c r="K540" s="119">
        <v>0.24299999999999999</v>
      </c>
      <c r="L540" s="111">
        <f t="shared" si="105"/>
        <v>1.4999999999999986E-2</v>
      </c>
      <c r="M540" s="112">
        <f t="shared" si="106"/>
        <v>1.5999999999999986E-2</v>
      </c>
      <c r="N540" s="112">
        <f t="shared" si="107"/>
        <v>4.2999999999999983E-2</v>
      </c>
      <c r="O540" s="112">
        <f t="shared" si="99"/>
        <v>0.22466666666666665</v>
      </c>
      <c r="P540" s="113">
        <f t="shared" si="100"/>
        <v>0.42999999999999983</v>
      </c>
      <c r="Q540" s="114">
        <f t="shared" si="101"/>
        <v>0</v>
      </c>
      <c r="R540" s="115" t="str">
        <f t="shared" si="102"/>
        <v xml:space="preserve"> </v>
      </c>
      <c r="S540" s="115" t="str">
        <f t="shared" si="103"/>
        <v xml:space="preserve"> </v>
      </c>
      <c r="T540" s="116" t="str">
        <f t="shared" si="104"/>
        <v/>
      </c>
      <c r="U540" s="120"/>
      <c r="V540" s="118"/>
      <c r="W540" s="131"/>
    </row>
    <row r="541" spans="1:23" ht="13.2">
      <c r="A541" s="102"/>
      <c r="B541" s="103"/>
      <c r="C541" s="104"/>
      <c r="D541" s="105"/>
      <c r="E541" s="106"/>
      <c r="F541" s="107"/>
      <c r="G541" s="108"/>
      <c r="H541" s="121"/>
      <c r="I541" s="122"/>
      <c r="J541" s="122"/>
      <c r="K541" s="123"/>
      <c r="L541" s="111" t="str">
        <f t="shared" si="105"/>
        <v/>
      </c>
      <c r="M541" s="112" t="str">
        <f t="shared" si="106"/>
        <v/>
      </c>
      <c r="N541" s="112" t="str">
        <f t="shared" si="107"/>
        <v/>
      </c>
      <c r="O541" s="112" t="str">
        <f t="shared" si="99"/>
        <v xml:space="preserve"> </v>
      </c>
      <c r="P541" s="113" t="str">
        <f t="shared" si="100"/>
        <v/>
      </c>
      <c r="Q541" s="114" t="str">
        <f t="shared" si="101"/>
        <v/>
      </c>
      <c r="R541" s="115" t="str">
        <f t="shared" si="102"/>
        <v/>
      </c>
      <c r="S541" s="115" t="str">
        <f t="shared" si="103"/>
        <v/>
      </c>
      <c r="T541" s="116" t="str">
        <f t="shared" si="104"/>
        <v/>
      </c>
      <c r="U541" s="120"/>
      <c r="V541" s="118"/>
    </row>
    <row r="542" spans="1:23" ht="13.2">
      <c r="A542" s="102"/>
      <c r="B542" s="102"/>
      <c r="C542" s="103"/>
      <c r="D542" s="105"/>
      <c r="E542" s="106"/>
      <c r="F542" s="107"/>
      <c r="G542" s="108"/>
      <c r="H542" s="109"/>
      <c r="I542" s="110"/>
      <c r="J542" s="110"/>
      <c r="K542" s="119"/>
      <c r="L542" s="111" t="str">
        <f t="shared" si="105"/>
        <v/>
      </c>
      <c r="M542" s="112" t="str">
        <f t="shared" si="106"/>
        <v/>
      </c>
      <c r="N542" s="112" t="str">
        <f t="shared" si="107"/>
        <v/>
      </c>
      <c r="O542" s="112" t="str">
        <f t="shared" si="99"/>
        <v xml:space="preserve"> </v>
      </c>
      <c r="P542" s="113" t="str">
        <f t="shared" si="100"/>
        <v/>
      </c>
      <c r="Q542" s="114" t="str">
        <f t="shared" si="101"/>
        <v/>
      </c>
      <c r="R542" s="115" t="str">
        <f t="shared" si="102"/>
        <v/>
      </c>
      <c r="S542" s="115" t="str">
        <f t="shared" si="103"/>
        <v/>
      </c>
      <c r="T542" s="116" t="str">
        <f t="shared" si="104"/>
        <v/>
      </c>
      <c r="U542" s="120"/>
      <c r="V542" s="118"/>
    </row>
    <row r="543" spans="1:23" ht="13.2">
      <c r="A543" s="102"/>
      <c r="B543" s="102"/>
      <c r="C543" s="103"/>
      <c r="D543" s="105"/>
      <c r="E543" s="106"/>
      <c r="F543" s="107"/>
      <c r="G543" s="108"/>
      <c r="H543" s="109"/>
      <c r="I543" s="110"/>
      <c r="J543" s="110"/>
      <c r="K543" s="119"/>
      <c r="L543" s="111" t="str">
        <f t="shared" si="105"/>
        <v/>
      </c>
      <c r="M543" s="112" t="str">
        <f t="shared" si="106"/>
        <v/>
      </c>
      <c r="N543" s="112" t="str">
        <f t="shared" si="107"/>
        <v/>
      </c>
      <c r="O543" s="112" t="str">
        <f t="shared" si="99"/>
        <v xml:space="preserve"> </v>
      </c>
      <c r="P543" s="113" t="str">
        <f t="shared" si="100"/>
        <v/>
      </c>
      <c r="Q543" s="114" t="str">
        <f t="shared" si="101"/>
        <v/>
      </c>
      <c r="R543" s="115" t="str">
        <f t="shared" si="102"/>
        <v/>
      </c>
      <c r="S543" s="115" t="str">
        <f t="shared" si="103"/>
        <v/>
      </c>
      <c r="T543" s="116" t="str">
        <f t="shared" si="104"/>
        <v/>
      </c>
      <c r="U543" s="120"/>
      <c r="V543" s="118"/>
    </row>
    <row r="544" spans="1:23" ht="13.2">
      <c r="A544" s="102"/>
      <c r="B544" s="102"/>
      <c r="C544" s="104"/>
      <c r="D544" s="105"/>
      <c r="E544" s="106"/>
      <c r="F544" s="107"/>
      <c r="G544" s="108"/>
      <c r="H544" s="109"/>
      <c r="I544" s="110"/>
      <c r="J544" s="110"/>
      <c r="K544" s="119"/>
      <c r="L544" s="111" t="str">
        <f t="shared" si="105"/>
        <v/>
      </c>
      <c r="M544" s="112" t="str">
        <f t="shared" si="106"/>
        <v/>
      </c>
      <c r="N544" s="112" t="str">
        <f t="shared" si="107"/>
        <v/>
      </c>
      <c r="O544" s="112" t="str">
        <f t="shared" si="99"/>
        <v xml:space="preserve"> </v>
      </c>
      <c r="P544" s="113" t="str">
        <f t="shared" si="100"/>
        <v/>
      </c>
      <c r="Q544" s="114" t="str">
        <f t="shared" si="101"/>
        <v/>
      </c>
      <c r="R544" s="115" t="str">
        <f t="shared" si="102"/>
        <v/>
      </c>
      <c r="S544" s="115" t="str">
        <f t="shared" si="103"/>
        <v/>
      </c>
      <c r="T544" s="116" t="str">
        <f t="shared" si="104"/>
        <v/>
      </c>
      <c r="U544" s="120"/>
      <c r="V544" s="118"/>
    </row>
    <row r="545" spans="1:22" ht="13.2">
      <c r="A545" s="102"/>
      <c r="B545" s="102"/>
      <c r="C545" s="104"/>
      <c r="D545" s="105"/>
      <c r="E545" s="106"/>
      <c r="F545" s="107"/>
      <c r="G545" s="108"/>
      <c r="H545" s="109"/>
      <c r="I545" s="110"/>
      <c r="J545" s="110"/>
      <c r="K545" s="119"/>
      <c r="L545" s="111" t="str">
        <f t="shared" si="105"/>
        <v/>
      </c>
      <c r="M545" s="112" t="str">
        <f t="shared" si="106"/>
        <v/>
      </c>
      <c r="N545" s="112" t="str">
        <f t="shared" si="107"/>
        <v/>
      </c>
      <c r="O545" s="112" t="str">
        <f t="shared" si="99"/>
        <v xml:space="preserve"> </v>
      </c>
      <c r="P545" s="113" t="str">
        <f t="shared" si="100"/>
        <v/>
      </c>
      <c r="Q545" s="114" t="str">
        <f t="shared" si="101"/>
        <v/>
      </c>
      <c r="R545" s="115" t="str">
        <f t="shared" si="102"/>
        <v/>
      </c>
      <c r="S545" s="115" t="str">
        <f t="shared" si="103"/>
        <v/>
      </c>
      <c r="T545" s="116" t="str">
        <f t="shared" si="104"/>
        <v/>
      </c>
      <c r="U545" s="120"/>
      <c r="V545" s="118"/>
    </row>
    <row r="546" spans="1:22" ht="13.2">
      <c r="A546" s="102"/>
      <c r="B546" s="102"/>
      <c r="C546" s="104"/>
      <c r="D546" s="105"/>
      <c r="E546" s="106"/>
      <c r="F546" s="107"/>
      <c r="G546" s="108"/>
      <c r="H546" s="109"/>
      <c r="I546" s="110"/>
      <c r="J546" s="110"/>
      <c r="K546" s="119"/>
      <c r="L546" s="111" t="str">
        <f t="shared" si="105"/>
        <v/>
      </c>
      <c r="M546" s="112" t="str">
        <f t="shared" si="106"/>
        <v/>
      </c>
      <c r="N546" s="112" t="str">
        <f t="shared" si="107"/>
        <v/>
      </c>
      <c r="O546" s="112" t="str">
        <f t="shared" si="99"/>
        <v xml:space="preserve"> </v>
      </c>
      <c r="P546" s="113" t="str">
        <f t="shared" si="100"/>
        <v/>
      </c>
      <c r="Q546" s="114" t="str">
        <f t="shared" si="101"/>
        <v/>
      </c>
      <c r="R546" s="115" t="str">
        <f t="shared" si="102"/>
        <v/>
      </c>
      <c r="S546" s="115" t="str">
        <f t="shared" si="103"/>
        <v/>
      </c>
      <c r="T546" s="116" t="str">
        <f t="shared" si="104"/>
        <v/>
      </c>
      <c r="U546" s="120"/>
      <c r="V546" s="118"/>
    </row>
    <row r="547" spans="1:22" ht="13.2">
      <c r="A547" s="102"/>
      <c r="B547" s="102"/>
      <c r="C547" s="104"/>
      <c r="D547" s="105"/>
      <c r="E547" s="106"/>
      <c r="F547" s="107"/>
      <c r="G547" s="108"/>
      <c r="H547" s="109"/>
      <c r="I547" s="110"/>
      <c r="J547" s="110"/>
      <c r="K547" s="119"/>
      <c r="L547" s="111" t="str">
        <f t="shared" si="105"/>
        <v/>
      </c>
      <c r="M547" s="112" t="str">
        <f t="shared" si="106"/>
        <v/>
      </c>
      <c r="N547" s="112" t="str">
        <f t="shared" si="107"/>
        <v/>
      </c>
      <c r="O547" s="112" t="str">
        <f t="shared" si="99"/>
        <v xml:space="preserve"> </v>
      </c>
      <c r="P547" s="113" t="str">
        <f t="shared" si="100"/>
        <v/>
      </c>
      <c r="Q547" s="114" t="str">
        <f t="shared" si="101"/>
        <v/>
      </c>
      <c r="R547" s="115" t="str">
        <f t="shared" si="102"/>
        <v/>
      </c>
      <c r="S547" s="115" t="str">
        <f t="shared" si="103"/>
        <v/>
      </c>
      <c r="T547" s="116" t="str">
        <f t="shared" si="104"/>
        <v/>
      </c>
      <c r="U547" s="120"/>
      <c r="V547" s="118"/>
    </row>
    <row r="548" spans="1:22" ht="13.2">
      <c r="A548" s="102"/>
      <c r="B548" s="102"/>
      <c r="C548" s="104"/>
      <c r="D548" s="105"/>
      <c r="E548" s="106"/>
      <c r="F548" s="107"/>
      <c r="G548" s="108"/>
      <c r="H548" s="109"/>
      <c r="I548" s="110"/>
      <c r="J548" s="110"/>
      <c r="K548" s="119"/>
      <c r="L548" s="111" t="str">
        <f t="shared" si="105"/>
        <v/>
      </c>
      <c r="M548" s="112" t="str">
        <f t="shared" si="106"/>
        <v/>
      </c>
      <c r="N548" s="112" t="str">
        <f t="shared" si="107"/>
        <v/>
      </c>
      <c r="O548" s="112" t="str">
        <f t="shared" si="99"/>
        <v xml:space="preserve"> </v>
      </c>
      <c r="P548" s="113" t="str">
        <f t="shared" si="100"/>
        <v/>
      </c>
      <c r="Q548" s="114" t="str">
        <f t="shared" si="101"/>
        <v/>
      </c>
      <c r="R548" s="115" t="str">
        <f t="shared" si="102"/>
        <v/>
      </c>
      <c r="S548" s="115" t="str">
        <f t="shared" si="103"/>
        <v/>
      </c>
      <c r="T548" s="116" t="str">
        <f t="shared" si="104"/>
        <v/>
      </c>
      <c r="U548" s="120"/>
      <c r="V548" s="118"/>
    </row>
    <row r="549" spans="1:22" ht="13.2">
      <c r="A549" s="102"/>
      <c r="B549" s="102"/>
      <c r="C549" s="104"/>
      <c r="D549" s="105"/>
      <c r="E549" s="106"/>
      <c r="F549" s="107"/>
      <c r="G549" s="108"/>
      <c r="H549" s="109"/>
      <c r="I549" s="110"/>
      <c r="J549" s="110"/>
      <c r="K549" s="110"/>
      <c r="L549" s="111" t="str">
        <f t="shared" si="105"/>
        <v/>
      </c>
      <c r="M549" s="112" t="str">
        <f t="shared" si="106"/>
        <v/>
      </c>
      <c r="N549" s="112" t="str">
        <f t="shared" si="107"/>
        <v/>
      </c>
      <c r="O549" s="112" t="str">
        <f t="shared" si="99"/>
        <v xml:space="preserve"> </v>
      </c>
      <c r="P549" s="113" t="str">
        <f t="shared" si="100"/>
        <v/>
      </c>
      <c r="Q549" s="114" t="str">
        <f t="shared" si="101"/>
        <v/>
      </c>
      <c r="R549" s="115" t="str">
        <f t="shared" si="102"/>
        <v/>
      </c>
      <c r="S549" s="115" t="str">
        <f t="shared" si="103"/>
        <v/>
      </c>
      <c r="T549" s="116" t="str">
        <f t="shared" si="104"/>
        <v/>
      </c>
      <c r="U549" s="120"/>
      <c r="V549" s="118"/>
    </row>
    <row r="550" spans="1:22" ht="13.2">
      <c r="A550" s="102"/>
      <c r="B550" s="102"/>
      <c r="C550" s="104"/>
      <c r="D550" s="105"/>
      <c r="E550" s="106"/>
      <c r="F550" s="107"/>
      <c r="G550" s="108"/>
      <c r="H550" s="109"/>
      <c r="I550" s="110"/>
      <c r="J550" s="110"/>
      <c r="K550" s="119"/>
      <c r="L550" s="111" t="str">
        <f t="shared" si="105"/>
        <v/>
      </c>
      <c r="M550" s="112" t="str">
        <f t="shared" si="106"/>
        <v/>
      </c>
      <c r="N550" s="112" t="str">
        <f t="shared" si="107"/>
        <v/>
      </c>
      <c r="O550" s="112" t="str">
        <f t="shared" si="99"/>
        <v xml:space="preserve"> </v>
      </c>
      <c r="P550" s="113" t="str">
        <f t="shared" si="100"/>
        <v/>
      </c>
      <c r="Q550" s="114" t="str">
        <f t="shared" si="101"/>
        <v/>
      </c>
      <c r="R550" s="115" t="str">
        <f t="shared" si="102"/>
        <v/>
      </c>
      <c r="S550" s="115" t="str">
        <f t="shared" si="103"/>
        <v/>
      </c>
      <c r="T550" s="116" t="str">
        <f t="shared" si="104"/>
        <v/>
      </c>
      <c r="U550" s="120"/>
      <c r="V550" s="118"/>
    </row>
    <row r="551" spans="1:22" ht="13.2">
      <c r="A551" s="102"/>
      <c r="B551" s="102"/>
      <c r="C551" s="104"/>
      <c r="D551" s="105"/>
      <c r="E551" s="106"/>
      <c r="F551" s="107"/>
      <c r="G551" s="108"/>
      <c r="H551" s="109"/>
      <c r="I551" s="110"/>
      <c r="J551" s="110"/>
      <c r="K551" s="119"/>
      <c r="L551" s="111" t="str">
        <f t="shared" si="105"/>
        <v/>
      </c>
      <c r="M551" s="112" t="str">
        <f t="shared" si="106"/>
        <v/>
      </c>
      <c r="N551" s="112" t="str">
        <f t="shared" si="107"/>
        <v/>
      </c>
      <c r="O551" s="112" t="str">
        <f t="shared" si="99"/>
        <v xml:space="preserve"> </v>
      </c>
      <c r="P551" s="113" t="str">
        <f t="shared" si="100"/>
        <v/>
      </c>
      <c r="Q551" s="114" t="str">
        <f t="shared" si="101"/>
        <v/>
      </c>
      <c r="R551" s="115" t="str">
        <f t="shared" si="102"/>
        <v/>
      </c>
      <c r="S551" s="115" t="str">
        <f t="shared" si="103"/>
        <v/>
      </c>
      <c r="T551" s="116" t="str">
        <f t="shared" si="104"/>
        <v/>
      </c>
      <c r="U551" s="120"/>
      <c r="V551" s="118"/>
    </row>
    <row r="552" spans="1:22" ht="13.2">
      <c r="A552" s="102"/>
      <c r="B552" s="102"/>
      <c r="C552" s="104"/>
      <c r="D552" s="105"/>
      <c r="E552" s="106"/>
      <c r="F552" s="107"/>
      <c r="G552" s="108"/>
      <c r="H552" s="109"/>
      <c r="I552" s="110"/>
      <c r="J552" s="110"/>
      <c r="K552" s="119"/>
      <c r="L552" s="111" t="str">
        <f t="shared" si="105"/>
        <v/>
      </c>
      <c r="M552" s="112" t="str">
        <f t="shared" si="106"/>
        <v/>
      </c>
      <c r="N552" s="112" t="str">
        <f t="shared" si="107"/>
        <v/>
      </c>
      <c r="O552" s="112" t="str">
        <f t="shared" si="99"/>
        <v xml:space="preserve"> </v>
      </c>
      <c r="P552" s="113" t="str">
        <f t="shared" si="100"/>
        <v/>
      </c>
      <c r="Q552" s="114" t="str">
        <f t="shared" si="101"/>
        <v/>
      </c>
      <c r="R552" s="115" t="str">
        <f t="shared" si="102"/>
        <v/>
      </c>
      <c r="S552" s="115" t="str">
        <f t="shared" si="103"/>
        <v/>
      </c>
      <c r="T552" s="116" t="str">
        <f t="shared" si="104"/>
        <v/>
      </c>
      <c r="U552" s="120"/>
      <c r="V552" s="118"/>
    </row>
    <row r="553" spans="1:22" ht="13.2">
      <c r="A553" s="102"/>
      <c r="B553" s="102"/>
      <c r="C553" s="104"/>
      <c r="D553" s="105"/>
      <c r="E553" s="106"/>
      <c r="F553" s="107"/>
      <c r="G553" s="108"/>
      <c r="H553" s="109"/>
      <c r="I553" s="110"/>
      <c r="J553" s="110"/>
      <c r="K553" s="119"/>
      <c r="L553" s="111" t="str">
        <f t="shared" si="105"/>
        <v/>
      </c>
      <c r="M553" s="112" t="str">
        <f t="shared" si="106"/>
        <v/>
      </c>
      <c r="N553" s="112" t="str">
        <f t="shared" si="107"/>
        <v/>
      </c>
      <c r="O553" s="112" t="str">
        <f t="shared" si="99"/>
        <v xml:space="preserve"> </v>
      </c>
      <c r="P553" s="113" t="str">
        <f t="shared" si="100"/>
        <v/>
      </c>
      <c r="Q553" s="114" t="str">
        <f t="shared" si="101"/>
        <v/>
      </c>
      <c r="R553" s="115" t="str">
        <f t="shared" si="102"/>
        <v/>
      </c>
      <c r="S553" s="115" t="str">
        <f t="shared" si="103"/>
        <v/>
      </c>
      <c r="T553" s="116" t="str">
        <f t="shared" si="104"/>
        <v/>
      </c>
      <c r="U553" s="120"/>
      <c r="V553" s="118"/>
    </row>
    <row r="554" spans="1:22" ht="13.2">
      <c r="A554" s="102"/>
      <c r="B554" s="103"/>
      <c r="C554" s="104"/>
      <c r="D554" s="105"/>
      <c r="E554" s="106"/>
      <c r="F554" s="107"/>
      <c r="G554" s="108"/>
      <c r="H554" s="121"/>
      <c r="I554" s="122"/>
      <c r="J554" s="122"/>
      <c r="K554" s="123"/>
      <c r="L554" s="111" t="str">
        <f t="shared" si="105"/>
        <v/>
      </c>
      <c r="M554" s="112" t="str">
        <f t="shared" si="106"/>
        <v/>
      </c>
      <c r="N554" s="112" t="str">
        <f t="shared" si="107"/>
        <v/>
      </c>
      <c r="O554" s="112" t="str">
        <f t="shared" si="99"/>
        <v xml:space="preserve"> </v>
      </c>
      <c r="P554" s="113" t="str">
        <f t="shared" si="100"/>
        <v/>
      </c>
      <c r="Q554" s="114" t="str">
        <f t="shared" si="101"/>
        <v/>
      </c>
      <c r="R554" s="115" t="str">
        <f t="shared" si="102"/>
        <v/>
      </c>
      <c r="S554" s="115" t="str">
        <f t="shared" si="103"/>
        <v/>
      </c>
      <c r="T554" s="116" t="str">
        <f t="shared" si="104"/>
        <v/>
      </c>
      <c r="U554" s="120"/>
      <c r="V554" s="118"/>
    </row>
    <row r="555" spans="1:22" ht="13.2">
      <c r="A555" s="102"/>
      <c r="B555" s="103"/>
      <c r="C555" s="104"/>
      <c r="D555" s="105"/>
      <c r="E555" s="106"/>
      <c r="F555" s="107"/>
      <c r="G555" s="108"/>
      <c r="H555" s="121"/>
      <c r="I555" s="122"/>
      <c r="J555" s="122"/>
      <c r="K555" s="123"/>
      <c r="L555" s="111" t="str">
        <f t="shared" si="105"/>
        <v/>
      </c>
      <c r="M555" s="112" t="str">
        <f t="shared" si="106"/>
        <v/>
      </c>
      <c r="N555" s="112" t="str">
        <f t="shared" si="107"/>
        <v/>
      </c>
      <c r="O555" s="112" t="str">
        <f t="shared" si="99"/>
        <v xml:space="preserve"> </v>
      </c>
      <c r="P555" s="113" t="str">
        <f t="shared" si="100"/>
        <v/>
      </c>
      <c r="Q555" s="114" t="str">
        <f t="shared" si="101"/>
        <v/>
      </c>
      <c r="R555" s="115" t="str">
        <f t="shared" si="102"/>
        <v/>
      </c>
      <c r="S555" s="115" t="str">
        <f t="shared" si="103"/>
        <v/>
      </c>
      <c r="T555" s="116" t="str">
        <f t="shared" si="104"/>
        <v/>
      </c>
      <c r="U555" s="120"/>
      <c r="V555" s="118"/>
    </row>
    <row r="556" spans="1:22" ht="13.2">
      <c r="A556" s="102"/>
      <c r="B556" s="103"/>
      <c r="C556" s="104"/>
      <c r="D556" s="105"/>
      <c r="E556" s="106"/>
      <c r="F556" s="107"/>
      <c r="G556" s="108"/>
      <c r="H556" s="121"/>
      <c r="I556" s="122"/>
      <c r="J556" s="122"/>
      <c r="K556" s="123"/>
      <c r="L556" s="111" t="str">
        <f t="shared" si="105"/>
        <v/>
      </c>
      <c r="M556" s="112" t="str">
        <f t="shared" si="106"/>
        <v/>
      </c>
      <c r="N556" s="112" t="str">
        <f t="shared" si="107"/>
        <v/>
      </c>
      <c r="O556" s="112" t="str">
        <f t="shared" si="99"/>
        <v xml:space="preserve"> </v>
      </c>
      <c r="P556" s="113" t="str">
        <f t="shared" si="100"/>
        <v/>
      </c>
      <c r="Q556" s="114" t="str">
        <f t="shared" si="101"/>
        <v/>
      </c>
      <c r="R556" s="115" t="str">
        <f t="shared" si="102"/>
        <v/>
      </c>
      <c r="S556" s="115" t="str">
        <f t="shared" si="103"/>
        <v/>
      </c>
      <c r="T556" s="116" t="str">
        <f t="shared" si="104"/>
        <v/>
      </c>
      <c r="U556" s="120"/>
      <c r="V556" s="118"/>
    </row>
    <row r="557" spans="1:22" ht="13.2">
      <c r="A557" s="102"/>
      <c r="B557" s="102"/>
      <c r="C557" s="103"/>
      <c r="D557" s="105"/>
      <c r="E557" s="106"/>
      <c r="F557" s="107"/>
      <c r="G557" s="108"/>
      <c r="H557" s="109"/>
      <c r="I557" s="110"/>
      <c r="J557" s="110"/>
      <c r="K557" s="119"/>
      <c r="L557" s="111" t="str">
        <f t="shared" si="105"/>
        <v/>
      </c>
      <c r="M557" s="112" t="str">
        <f t="shared" si="106"/>
        <v/>
      </c>
      <c r="N557" s="112" t="str">
        <f t="shared" si="107"/>
        <v/>
      </c>
      <c r="O557" s="112" t="str">
        <f t="shared" si="99"/>
        <v xml:space="preserve"> </v>
      </c>
      <c r="P557" s="113" t="str">
        <f t="shared" si="100"/>
        <v/>
      </c>
      <c r="Q557" s="114" t="str">
        <f t="shared" si="101"/>
        <v/>
      </c>
      <c r="R557" s="115" t="str">
        <f t="shared" si="102"/>
        <v/>
      </c>
      <c r="S557" s="115" t="str">
        <f t="shared" si="103"/>
        <v/>
      </c>
      <c r="T557" s="116" t="str">
        <f t="shared" si="104"/>
        <v/>
      </c>
      <c r="U557" s="120"/>
      <c r="V557" s="118"/>
    </row>
    <row r="558" spans="1:22" ht="13.2">
      <c r="A558" s="102"/>
      <c r="B558" s="102"/>
      <c r="C558" s="103"/>
      <c r="D558" s="105"/>
      <c r="E558" s="106"/>
      <c r="F558" s="107"/>
      <c r="G558" s="108"/>
      <c r="H558" s="109"/>
      <c r="I558" s="110"/>
      <c r="J558" s="110"/>
      <c r="K558" s="119"/>
      <c r="L558" s="111" t="str">
        <f t="shared" si="105"/>
        <v/>
      </c>
      <c r="M558" s="112" t="str">
        <f t="shared" si="106"/>
        <v/>
      </c>
      <c r="N558" s="112" t="str">
        <f t="shared" si="107"/>
        <v/>
      </c>
      <c r="O558" s="112" t="str">
        <f t="shared" si="99"/>
        <v xml:space="preserve"> </v>
      </c>
      <c r="P558" s="113" t="str">
        <f t="shared" si="100"/>
        <v/>
      </c>
      <c r="Q558" s="114" t="str">
        <f t="shared" si="101"/>
        <v/>
      </c>
      <c r="R558" s="115" t="str">
        <f t="shared" si="102"/>
        <v/>
      </c>
      <c r="S558" s="115" t="str">
        <f t="shared" si="103"/>
        <v/>
      </c>
      <c r="T558" s="116" t="str">
        <f t="shared" si="104"/>
        <v/>
      </c>
      <c r="U558" s="120"/>
      <c r="V558" s="118"/>
    </row>
    <row r="559" spans="1:22" ht="13.2">
      <c r="A559" s="102"/>
      <c r="B559" s="102"/>
      <c r="C559" s="104"/>
      <c r="D559" s="105"/>
      <c r="E559" s="106"/>
      <c r="F559" s="107"/>
      <c r="G559" s="108"/>
      <c r="H559" s="109"/>
      <c r="I559" s="110"/>
      <c r="J559" s="110"/>
      <c r="K559" s="119"/>
      <c r="L559" s="111" t="str">
        <f t="shared" si="105"/>
        <v/>
      </c>
      <c r="M559" s="112" t="str">
        <f t="shared" si="106"/>
        <v/>
      </c>
      <c r="N559" s="112" t="str">
        <f t="shared" si="107"/>
        <v/>
      </c>
      <c r="O559" s="112" t="str">
        <f t="shared" si="99"/>
        <v xml:space="preserve"> </v>
      </c>
      <c r="P559" s="113" t="str">
        <f t="shared" si="100"/>
        <v/>
      </c>
      <c r="Q559" s="114" t="str">
        <f t="shared" si="101"/>
        <v/>
      </c>
      <c r="R559" s="115" t="str">
        <f t="shared" si="102"/>
        <v/>
      </c>
      <c r="S559" s="115" t="str">
        <f t="shared" si="103"/>
        <v/>
      </c>
      <c r="T559" s="116" t="str">
        <f t="shared" si="104"/>
        <v/>
      </c>
      <c r="U559" s="120"/>
      <c r="V559" s="118"/>
    </row>
    <row r="560" spans="1:22" ht="13.2">
      <c r="A560" s="102"/>
      <c r="B560" s="102"/>
      <c r="C560" s="104"/>
      <c r="D560" s="105"/>
      <c r="E560" s="106"/>
      <c r="F560" s="107"/>
      <c r="G560" s="108"/>
      <c r="H560" s="109"/>
      <c r="I560" s="110"/>
      <c r="J560" s="110"/>
      <c r="K560" s="119"/>
      <c r="L560" s="111" t="str">
        <f t="shared" si="105"/>
        <v/>
      </c>
      <c r="M560" s="112" t="str">
        <f t="shared" si="106"/>
        <v/>
      </c>
      <c r="N560" s="112" t="str">
        <f t="shared" si="107"/>
        <v/>
      </c>
      <c r="O560" s="112" t="str">
        <f t="shared" si="99"/>
        <v xml:space="preserve"> </v>
      </c>
      <c r="P560" s="113" t="str">
        <f t="shared" si="100"/>
        <v/>
      </c>
      <c r="Q560" s="114" t="str">
        <f t="shared" si="101"/>
        <v/>
      </c>
      <c r="R560" s="115" t="str">
        <f t="shared" si="102"/>
        <v/>
      </c>
      <c r="S560" s="115" t="str">
        <f t="shared" si="103"/>
        <v/>
      </c>
      <c r="T560" s="116" t="str">
        <f t="shared" si="104"/>
        <v/>
      </c>
      <c r="U560" s="120"/>
      <c r="V560" s="118"/>
    </row>
    <row r="561" spans="1:22" ht="13.2">
      <c r="A561" s="102"/>
      <c r="B561" s="102"/>
      <c r="C561" s="104"/>
      <c r="D561" s="105"/>
      <c r="E561" s="106"/>
      <c r="F561" s="107"/>
      <c r="G561" s="108"/>
      <c r="H561" s="109"/>
      <c r="I561" s="110"/>
      <c r="J561" s="110"/>
      <c r="K561" s="119"/>
      <c r="L561" s="111" t="str">
        <f t="shared" si="105"/>
        <v/>
      </c>
      <c r="M561" s="112" t="str">
        <f t="shared" si="106"/>
        <v/>
      </c>
      <c r="N561" s="112" t="str">
        <f t="shared" si="107"/>
        <v/>
      </c>
      <c r="O561" s="112" t="str">
        <f t="shared" si="99"/>
        <v xml:space="preserve"> </v>
      </c>
      <c r="P561" s="113" t="str">
        <f t="shared" si="100"/>
        <v/>
      </c>
      <c r="Q561" s="114" t="str">
        <f t="shared" si="101"/>
        <v/>
      </c>
      <c r="R561" s="115" t="str">
        <f t="shared" si="102"/>
        <v/>
      </c>
      <c r="S561" s="115" t="str">
        <f t="shared" si="103"/>
        <v/>
      </c>
      <c r="T561" s="116" t="str">
        <f t="shared" si="104"/>
        <v/>
      </c>
      <c r="U561" s="120"/>
      <c r="V561" s="118"/>
    </row>
    <row r="562" spans="1:22" ht="13.2">
      <c r="A562" s="102"/>
      <c r="B562" s="102"/>
      <c r="C562" s="104"/>
      <c r="D562" s="105"/>
      <c r="E562" s="106"/>
      <c r="F562" s="107"/>
      <c r="G562" s="108"/>
      <c r="H562" s="109"/>
      <c r="I562" s="110"/>
      <c r="J562" s="110"/>
      <c r="K562" s="119"/>
      <c r="L562" s="111" t="str">
        <f t="shared" si="105"/>
        <v/>
      </c>
      <c r="M562" s="112" t="str">
        <f t="shared" si="106"/>
        <v/>
      </c>
      <c r="N562" s="112" t="str">
        <f t="shared" si="107"/>
        <v/>
      </c>
      <c r="O562" s="112" t="str">
        <f t="shared" si="99"/>
        <v xml:space="preserve"> </v>
      </c>
      <c r="P562" s="113" t="str">
        <f t="shared" si="100"/>
        <v/>
      </c>
      <c r="Q562" s="114" t="str">
        <f t="shared" si="101"/>
        <v/>
      </c>
      <c r="R562" s="115" t="str">
        <f t="shared" si="102"/>
        <v/>
      </c>
      <c r="S562" s="115" t="str">
        <f t="shared" si="103"/>
        <v/>
      </c>
      <c r="T562" s="116" t="str">
        <f t="shared" si="104"/>
        <v/>
      </c>
      <c r="U562" s="120"/>
      <c r="V562" s="118"/>
    </row>
    <row r="563" spans="1:22" ht="13.2">
      <c r="A563" s="102"/>
      <c r="B563" s="102"/>
      <c r="C563" s="104"/>
      <c r="D563" s="105"/>
      <c r="E563" s="106"/>
      <c r="F563" s="107"/>
      <c r="G563" s="108"/>
      <c r="H563" s="109"/>
      <c r="I563" s="110"/>
      <c r="J563" s="110"/>
      <c r="K563" s="119"/>
      <c r="L563" s="111" t="str">
        <f t="shared" si="105"/>
        <v/>
      </c>
      <c r="M563" s="112" t="str">
        <f t="shared" si="106"/>
        <v/>
      </c>
      <c r="N563" s="112" t="str">
        <f t="shared" si="107"/>
        <v/>
      </c>
      <c r="O563" s="112" t="str">
        <f t="shared" si="99"/>
        <v xml:space="preserve"> </v>
      </c>
      <c r="P563" s="113" t="str">
        <f t="shared" si="100"/>
        <v/>
      </c>
      <c r="Q563" s="114" t="str">
        <f t="shared" si="101"/>
        <v/>
      </c>
      <c r="R563" s="115" t="str">
        <f t="shared" si="102"/>
        <v/>
      </c>
      <c r="S563" s="115" t="str">
        <f t="shared" si="103"/>
        <v/>
      </c>
      <c r="T563" s="116" t="str">
        <f t="shared" si="104"/>
        <v/>
      </c>
      <c r="U563" s="120"/>
      <c r="V563" s="118"/>
    </row>
    <row r="564" spans="1:22" ht="13.2">
      <c r="A564" s="102"/>
      <c r="B564" s="102"/>
      <c r="C564" s="104"/>
      <c r="D564" s="105"/>
      <c r="E564" s="106"/>
      <c r="F564" s="107"/>
      <c r="G564" s="108"/>
      <c r="H564" s="109"/>
      <c r="I564" s="110"/>
      <c r="J564" s="110"/>
      <c r="K564" s="110"/>
      <c r="L564" s="111" t="str">
        <f t="shared" si="105"/>
        <v/>
      </c>
      <c r="M564" s="112" t="str">
        <f t="shared" si="106"/>
        <v/>
      </c>
      <c r="N564" s="112" t="str">
        <f t="shared" si="107"/>
        <v/>
      </c>
      <c r="O564" s="112" t="str">
        <f t="shared" si="99"/>
        <v xml:space="preserve"> </v>
      </c>
      <c r="P564" s="113" t="str">
        <f t="shared" si="100"/>
        <v/>
      </c>
      <c r="Q564" s="114" t="str">
        <f t="shared" si="101"/>
        <v/>
      </c>
      <c r="R564" s="115" t="str">
        <f t="shared" si="102"/>
        <v/>
      </c>
      <c r="S564" s="115" t="str">
        <f t="shared" si="103"/>
        <v/>
      </c>
      <c r="T564" s="116" t="str">
        <f t="shared" si="104"/>
        <v/>
      </c>
      <c r="U564" s="120"/>
      <c r="V564" s="118"/>
    </row>
    <row r="565" spans="1:22" ht="13.2">
      <c r="A565" s="102"/>
      <c r="B565" s="102"/>
      <c r="C565" s="104"/>
      <c r="D565" s="105"/>
      <c r="E565" s="106"/>
      <c r="F565" s="107"/>
      <c r="G565" s="108"/>
      <c r="H565" s="109"/>
      <c r="I565" s="110"/>
      <c r="J565" s="110"/>
      <c r="K565" s="119"/>
      <c r="L565" s="111" t="str">
        <f t="shared" si="105"/>
        <v/>
      </c>
      <c r="M565" s="112" t="str">
        <f t="shared" si="106"/>
        <v/>
      </c>
      <c r="N565" s="112" t="str">
        <f t="shared" si="107"/>
        <v/>
      </c>
      <c r="O565" s="112" t="str">
        <f t="shared" si="99"/>
        <v xml:space="preserve"> </v>
      </c>
      <c r="P565" s="113" t="str">
        <f t="shared" si="100"/>
        <v/>
      </c>
      <c r="Q565" s="114" t="str">
        <f t="shared" si="101"/>
        <v/>
      </c>
      <c r="R565" s="115" t="str">
        <f t="shared" si="102"/>
        <v/>
      </c>
      <c r="S565" s="115" t="str">
        <f t="shared" si="103"/>
        <v/>
      </c>
      <c r="T565" s="116" t="str">
        <f t="shared" si="104"/>
        <v/>
      </c>
      <c r="U565" s="120"/>
      <c r="V565" s="118"/>
    </row>
    <row r="566" spans="1:22" ht="13.2">
      <c r="A566" s="102"/>
      <c r="B566" s="102"/>
      <c r="C566" s="104"/>
      <c r="D566" s="105"/>
      <c r="E566" s="106"/>
      <c r="F566" s="107"/>
      <c r="G566" s="108"/>
      <c r="H566" s="109"/>
      <c r="I566" s="110"/>
      <c r="J566" s="110"/>
      <c r="K566" s="119"/>
      <c r="L566" s="111" t="str">
        <f t="shared" si="105"/>
        <v/>
      </c>
      <c r="M566" s="112" t="str">
        <f t="shared" si="106"/>
        <v/>
      </c>
      <c r="N566" s="112" t="str">
        <f t="shared" si="107"/>
        <v/>
      </c>
      <c r="O566" s="112" t="str">
        <f t="shared" si="99"/>
        <v xml:space="preserve"> </v>
      </c>
      <c r="P566" s="113" t="str">
        <f t="shared" si="100"/>
        <v/>
      </c>
      <c r="Q566" s="114" t="str">
        <f t="shared" si="101"/>
        <v/>
      </c>
      <c r="R566" s="115" t="str">
        <f t="shared" si="102"/>
        <v/>
      </c>
      <c r="S566" s="115" t="str">
        <f t="shared" si="103"/>
        <v/>
      </c>
      <c r="T566" s="116" t="str">
        <f t="shared" si="104"/>
        <v/>
      </c>
      <c r="U566" s="120"/>
      <c r="V566" s="118"/>
    </row>
    <row r="567" spans="1:22" ht="13.2">
      <c r="A567" s="102"/>
      <c r="B567" s="102"/>
      <c r="C567" s="104"/>
      <c r="D567" s="105"/>
      <c r="E567" s="106"/>
      <c r="F567" s="107"/>
      <c r="G567" s="108"/>
      <c r="H567" s="109"/>
      <c r="I567" s="110"/>
      <c r="J567" s="110"/>
      <c r="K567" s="119"/>
      <c r="L567" s="111" t="str">
        <f t="shared" si="105"/>
        <v/>
      </c>
      <c r="M567" s="112" t="str">
        <f t="shared" si="106"/>
        <v/>
      </c>
      <c r="N567" s="112" t="str">
        <f t="shared" si="107"/>
        <v/>
      </c>
      <c r="O567" s="112" t="str">
        <f t="shared" si="99"/>
        <v xml:space="preserve"> </v>
      </c>
      <c r="P567" s="113" t="str">
        <f t="shared" si="100"/>
        <v/>
      </c>
      <c r="Q567" s="114" t="str">
        <f t="shared" si="101"/>
        <v/>
      </c>
      <c r="R567" s="115" t="str">
        <f t="shared" si="102"/>
        <v/>
      </c>
      <c r="S567" s="115" t="str">
        <f t="shared" si="103"/>
        <v/>
      </c>
      <c r="T567" s="116" t="str">
        <f t="shared" si="104"/>
        <v/>
      </c>
      <c r="U567" s="120"/>
      <c r="V567" s="118"/>
    </row>
    <row r="568" spans="1:22" ht="13.2">
      <c r="A568" s="102"/>
      <c r="B568" s="102"/>
      <c r="C568" s="104"/>
      <c r="D568" s="105"/>
      <c r="E568" s="106"/>
      <c r="F568" s="107"/>
      <c r="G568" s="108"/>
      <c r="H568" s="109"/>
      <c r="I568" s="110"/>
      <c r="J568" s="110"/>
      <c r="K568" s="119"/>
      <c r="L568" s="111" t="str">
        <f t="shared" si="105"/>
        <v/>
      </c>
      <c r="M568" s="112" t="str">
        <f t="shared" si="106"/>
        <v/>
      </c>
      <c r="N568" s="112" t="str">
        <f t="shared" si="107"/>
        <v/>
      </c>
      <c r="O568" s="112" t="str">
        <f t="shared" si="99"/>
        <v xml:space="preserve"> </v>
      </c>
      <c r="P568" s="113" t="str">
        <f t="shared" si="100"/>
        <v/>
      </c>
      <c r="Q568" s="114" t="str">
        <f t="shared" si="101"/>
        <v/>
      </c>
      <c r="R568" s="115" t="str">
        <f t="shared" si="102"/>
        <v/>
      </c>
      <c r="S568" s="115" t="str">
        <f t="shared" si="103"/>
        <v/>
      </c>
      <c r="T568" s="116" t="str">
        <f t="shared" si="104"/>
        <v/>
      </c>
      <c r="U568" s="120"/>
      <c r="V568" s="118"/>
    </row>
    <row r="569" spans="1:22" ht="13.2">
      <c r="A569" s="102"/>
      <c r="B569" s="103"/>
      <c r="C569" s="104"/>
      <c r="D569" s="105"/>
      <c r="E569" s="106"/>
      <c r="F569" s="107"/>
      <c r="G569" s="108"/>
      <c r="H569" s="121"/>
      <c r="I569" s="122"/>
      <c r="J569" s="122"/>
      <c r="K569" s="123"/>
      <c r="L569" s="111" t="str">
        <f t="shared" si="105"/>
        <v/>
      </c>
      <c r="M569" s="112" t="str">
        <f t="shared" si="106"/>
        <v/>
      </c>
      <c r="N569" s="112" t="str">
        <f t="shared" si="107"/>
        <v/>
      </c>
      <c r="O569" s="112" t="str">
        <f t="shared" si="99"/>
        <v xml:space="preserve"> </v>
      </c>
      <c r="P569" s="113" t="str">
        <f t="shared" si="100"/>
        <v/>
      </c>
      <c r="Q569" s="114" t="str">
        <f t="shared" si="101"/>
        <v/>
      </c>
      <c r="R569" s="115" t="str">
        <f t="shared" si="102"/>
        <v/>
      </c>
      <c r="S569" s="115" t="str">
        <f t="shared" si="103"/>
        <v/>
      </c>
      <c r="T569" s="116" t="str">
        <f t="shared" si="104"/>
        <v/>
      </c>
      <c r="U569" s="120"/>
      <c r="V569" s="118"/>
    </row>
    <row r="570" spans="1:22" ht="13.2">
      <c r="A570" s="102"/>
      <c r="B570" s="103"/>
      <c r="C570" s="104"/>
      <c r="D570" s="105"/>
      <c r="E570" s="106"/>
      <c r="F570" s="107"/>
      <c r="G570" s="108"/>
      <c r="H570" s="121"/>
      <c r="I570" s="122"/>
      <c r="J570" s="122"/>
      <c r="K570" s="123"/>
      <c r="L570" s="111" t="str">
        <f t="shared" si="105"/>
        <v/>
      </c>
      <c r="M570" s="112" t="str">
        <f t="shared" si="106"/>
        <v/>
      </c>
      <c r="N570" s="112" t="str">
        <f t="shared" si="107"/>
        <v/>
      </c>
      <c r="O570" s="112" t="str">
        <f t="shared" si="99"/>
        <v xml:space="preserve"> </v>
      </c>
      <c r="P570" s="113" t="str">
        <f t="shared" si="100"/>
        <v/>
      </c>
      <c r="Q570" s="114" t="str">
        <f t="shared" si="101"/>
        <v/>
      </c>
      <c r="R570" s="115" t="str">
        <f t="shared" si="102"/>
        <v/>
      </c>
      <c r="S570" s="115" t="str">
        <f t="shared" si="103"/>
        <v/>
      </c>
      <c r="T570" s="116" t="str">
        <f t="shared" si="104"/>
        <v/>
      </c>
      <c r="U570" s="120"/>
      <c r="V570" s="118"/>
    </row>
    <row r="571" spans="1:22" ht="13.2">
      <c r="A571" s="102"/>
      <c r="B571" s="103"/>
      <c r="C571" s="104"/>
      <c r="D571" s="105"/>
      <c r="E571" s="106"/>
      <c r="F571" s="107"/>
      <c r="G571" s="108"/>
      <c r="H571" s="121"/>
      <c r="I571" s="122"/>
      <c r="J571" s="122"/>
      <c r="K571" s="123"/>
      <c r="L571" s="111" t="str">
        <f t="shared" si="105"/>
        <v/>
      </c>
      <c r="M571" s="112" t="str">
        <f t="shared" si="106"/>
        <v/>
      </c>
      <c r="N571" s="112" t="str">
        <f t="shared" si="107"/>
        <v/>
      </c>
      <c r="O571" s="112" t="str">
        <f t="shared" si="99"/>
        <v xml:space="preserve"> </v>
      </c>
      <c r="P571" s="113" t="str">
        <f t="shared" si="100"/>
        <v/>
      </c>
      <c r="Q571" s="114" t="str">
        <f t="shared" si="101"/>
        <v/>
      </c>
      <c r="R571" s="115" t="str">
        <f t="shared" si="102"/>
        <v/>
      </c>
      <c r="S571" s="115" t="str">
        <f t="shared" si="103"/>
        <v/>
      </c>
      <c r="T571" s="116" t="str">
        <f t="shared" si="104"/>
        <v/>
      </c>
      <c r="U571" s="120"/>
      <c r="V571" s="118"/>
    </row>
    <row r="572" spans="1:22" ht="13.2">
      <c r="A572" s="102"/>
      <c r="B572" s="102"/>
      <c r="C572" s="103"/>
      <c r="D572" s="105"/>
      <c r="E572" s="106"/>
      <c r="F572" s="107"/>
      <c r="G572" s="108"/>
      <c r="H572" s="109"/>
      <c r="I572" s="110"/>
      <c r="J572" s="110"/>
      <c r="K572" s="119"/>
      <c r="L572" s="111" t="str">
        <f t="shared" si="105"/>
        <v/>
      </c>
      <c r="M572" s="112" t="str">
        <f t="shared" si="106"/>
        <v/>
      </c>
      <c r="N572" s="112" t="str">
        <f t="shared" si="107"/>
        <v/>
      </c>
      <c r="O572" s="112" t="str">
        <f t="shared" si="99"/>
        <v xml:space="preserve"> </v>
      </c>
      <c r="P572" s="113" t="str">
        <f t="shared" si="100"/>
        <v/>
      </c>
      <c r="Q572" s="114" t="str">
        <f t="shared" si="101"/>
        <v/>
      </c>
      <c r="R572" s="115" t="str">
        <f t="shared" si="102"/>
        <v/>
      </c>
      <c r="S572" s="115" t="str">
        <f t="shared" si="103"/>
        <v/>
      </c>
      <c r="T572" s="116" t="str">
        <f t="shared" si="104"/>
        <v/>
      </c>
      <c r="U572" s="120"/>
      <c r="V572" s="118"/>
    </row>
    <row r="573" spans="1:22" ht="13.2">
      <c r="A573" s="102"/>
      <c r="B573" s="102"/>
      <c r="C573" s="103"/>
      <c r="D573" s="105"/>
      <c r="E573" s="106"/>
      <c r="F573" s="107"/>
      <c r="G573" s="108"/>
      <c r="H573" s="109"/>
      <c r="I573" s="110"/>
      <c r="J573" s="110"/>
      <c r="K573" s="119"/>
      <c r="L573" s="111" t="str">
        <f t="shared" si="105"/>
        <v/>
      </c>
      <c r="M573" s="112" t="str">
        <f t="shared" si="106"/>
        <v/>
      </c>
      <c r="N573" s="112" t="str">
        <f t="shared" si="107"/>
        <v/>
      </c>
      <c r="O573" s="112" t="str">
        <f t="shared" si="99"/>
        <v xml:space="preserve"> </v>
      </c>
      <c r="P573" s="113" t="str">
        <f t="shared" si="100"/>
        <v/>
      </c>
      <c r="Q573" s="114" t="str">
        <f t="shared" si="101"/>
        <v/>
      </c>
      <c r="R573" s="115" t="str">
        <f t="shared" si="102"/>
        <v/>
      </c>
      <c r="S573" s="115" t="str">
        <f t="shared" si="103"/>
        <v/>
      </c>
      <c r="T573" s="116" t="str">
        <f t="shared" si="104"/>
        <v/>
      </c>
      <c r="U573" s="120"/>
      <c r="V573" s="118"/>
    </row>
    <row r="574" spans="1:22" ht="13.2">
      <c r="A574" s="102"/>
      <c r="B574" s="102"/>
      <c r="C574" s="104"/>
      <c r="D574" s="105"/>
      <c r="E574" s="106"/>
      <c r="F574" s="107"/>
      <c r="G574" s="108"/>
      <c r="H574" s="109"/>
      <c r="I574" s="110"/>
      <c r="J574" s="110"/>
      <c r="K574" s="119"/>
      <c r="L574" s="111" t="str">
        <f t="shared" si="105"/>
        <v/>
      </c>
      <c r="M574" s="112" t="str">
        <f t="shared" si="106"/>
        <v/>
      </c>
      <c r="N574" s="112" t="str">
        <f t="shared" si="107"/>
        <v/>
      </c>
      <c r="O574" s="112" t="str">
        <f t="shared" ref="O574:O637" si="108">IF(ISERR(I574/I574)=TRUE," ",AVERAGE(I574:K574))</f>
        <v xml:space="preserve"> </v>
      </c>
      <c r="P574" s="113" t="str">
        <f t="shared" ref="P574:P637" si="109">IF(ISBLANK($E574),"",IF(ISNUMBER(F574)=FALSE,"BAD TOL", IF(F574=0,"N/A",IF(ISERR(I574/I574)=TRUE,"BAD INSP",IF(AND(ISNUMBER($I574),ISNUMBER($J574),ISNUMBER($K574))=FALSE,"BAD INSP",IF(MAX($I574:$K574)&lt;$E574,0,(MAX($I574:$K574)-$E574)/$F574))))))</f>
        <v/>
      </c>
      <c r="Q574" s="114" t="str">
        <f t="shared" ref="Q574:Q637" si="110">IF(ISBLANK($E574),"",IF(ISNUMBER(G574)=FALSE,"BAD TOL",IF(G574=0,"N/A",IF(ISERR(I574/I574)=TRUE,"BAD INSP",IF(AND(ISNUMBER($I574),ISNUMBER($J574),ISNUMBER($K574))=FALSE,"BAD INSP",IF(MIN(I574:K574)&gt;$E574,0,($E574-MIN(I574:K574))/G574))))))</f>
        <v/>
      </c>
      <c r="R574" s="115" t="str">
        <f t="shared" ref="R574:R637" si="111">IF(ISBLANK($E574),"",IF(ISNUMBER($P574)=TRUE,IF($P574&gt;0.651,IF($P574&gt;1.001,"Reject","Alert")," "),IF(AND(F574=0, ISNUMBER(F574)),IF(MAX(I574:K574)&gt;(E574+F574),"Reject",IF(MAX(I574:K574)=(E574+F574),"Alert","")),"Reject")))</f>
        <v/>
      </c>
      <c r="S574" s="115" t="str">
        <f t="shared" ref="S574:S637" si="112">IF(ISBLANK($E574),"",IF(ISNUMBER($Q574)=TRUE,IF($Q574&gt;0.651,IF($Q574&gt;1.001,"Reject","Alert")," "),IF(AND(G574=0, ISNUMBER(G574)),IF(MIN(I574:K574)&lt;(E574-G574),"Reject",IF(MIN(I574:K574)=(E574-G574),"Alert","")),"Reject")))</f>
        <v/>
      </c>
      <c r="T574" s="116" t="str">
        <f t="shared" ref="T574:T637" si="113">IF(OR(R574="Reject",S574="Reject"),"Reject",IF(OR(R574="Alert",S574="Alert"),"Alert", ""))</f>
        <v/>
      </c>
      <c r="U574" s="120"/>
      <c r="V574" s="118"/>
    </row>
    <row r="575" spans="1:22" ht="13.2">
      <c r="A575" s="102"/>
      <c r="B575" s="102"/>
      <c r="C575" s="104"/>
      <c r="D575" s="105"/>
      <c r="E575" s="106"/>
      <c r="F575" s="107"/>
      <c r="G575" s="108"/>
      <c r="H575" s="109"/>
      <c r="I575" s="110"/>
      <c r="J575" s="110"/>
      <c r="K575" s="119"/>
      <c r="L575" s="111" t="str">
        <f t="shared" si="105"/>
        <v/>
      </c>
      <c r="M575" s="112" t="str">
        <f t="shared" si="106"/>
        <v/>
      </c>
      <c r="N575" s="112" t="str">
        <f t="shared" si="107"/>
        <v/>
      </c>
      <c r="O575" s="112" t="str">
        <f t="shared" si="108"/>
        <v xml:space="preserve"> </v>
      </c>
      <c r="P575" s="113" t="str">
        <f t="shared" si="109"/>
        <v/>
      </c>
      <c r="Q575" s="114" t="str">
        <f t="shared" si="110"/>
        <v/>
      </c>
      <c r="R575" s="115" t="str">
        <f t="shared" si="111"/>
        <v/>
      </c>
      <c r="S575" s="115" t="str">
        <f t="shared" si="112"/>
        <v/>
      </c>
      <c r="T575" s="116" t="str">
        <f t="shared" si="113"/>
        <v/>
      </c>
      <c r="U575" s="120"/>
      <c r="V575" s="118"/>
    </row>
    <row r="576" spans="1:22" ht="13.2">
      <c r="A576" s="102"/>
      <c r="B576" s="102"/>
      <c r="C576" s="104"/>
      <c r="D576" s="105"/>
      <c r="E576" s="106"/>
      <c r="F576" s="107"/>
      <c r="G576" s="108"/>
      <c r="H576" s="109"/>
      <c r="I576" s="110"/>
      <c r="J576" s="110"/>
      <c r="K576" s="119"/>
      <c r="L576" s="111" t="str">
        <f t="shared" si="105"/>
        <v/>
      </c>
      <c r="M576" s="112" t="str">
        <f t="shared" si="106"/>
        <v/>
      </c>
      <c r="N576" s="112" t="str">
        <f t="shared" si="107"/>
        <v/>
      </c>
      <c r="O576" s="112" t="str">
        <f t="shared" si="108"/>
        <v xml:space="preserve"> </v>
      </c>
      <c r="P576" s="113" t="str">
        <f t="shared" si="109"/>
        <v/>
      </c>
      <c r="Q576" s="114" t="str">
        <f t="shared" si="110"/>
        <v/>
      </c>
      <c r="R576" s="115" t="str">
        <f t="shared" si="111"/>
        <v/>
      </c>
      <c r="S576" s="115" t="str">
        <f t="shared" si="112"/>
        <v/>
      </c>
      <c r="T576" s="116" t="str">
        <f t="shared" si="113"/>
        <v/>
      </c>
      <c r="U576" s="120"/>
      <c r="V576" s="118"/>
    </row>
    <row r="577" spans="1:22" ht="13.2">
      <c r="A577" s="102"/>
      <c r="B577" s="102"/>
      <c r="C577" s="104"/>
      <c r="D577" s="105"/>
      <c r="E577" s="106"/>
      <c r="F577" s="107"/>
      <c r="G577" s="108"/>
      <c r="H577" s="109"/>
      <c r="I577" s="110"/>
      <c r="J577" s="110"/>
      <c r="K577" s="119"/>
      <c r="L577" s="111" t="str">
        <f t="shared" si="105"/>
        <v/>
      </c>
      <c r="M577" s="112" t="str">
        <f t="shared" si="106"/>
        <v/>
      </c>
      <c r="N577" s="112" t="str">
        <f t="shared" si="107"/>
        <v/>
      </c>
      <c r="O577" s="112" t="str">
        <f t="shared" si="108"/>
        <v xml:space="preserve"> </v>
      </c>
      <c r="P577" s="113" t="str">
        <f t="shared" si="109"/>
        <v/>
      </c>
      <c r="Q577" s="114" t="str">
        <f t="shared" si="110"/>
        <v/>
      </c>
      <c r="R577" s="115" t="str">
        <f t="shared" si="111"/>
        <v/>
      </c>
      <c r="S577" s="115" t="str">
        <f t="shared" si="112"/>
        <v/>
      </c>
      <c r="T577" s="116" t="str">
        <f t="shared" si="113"/>
        <v/>
      </c>
      <c r="U577" s="120"/>
      <c r="V577" s="118"/>
    </row>
    <row r="578" spans="1:22" ht="13.2">
      <c r="A578" s="102"/>
      <c r="B578" s="102"/>
      <c r="C578" s="104"/>
      <c r="D578" s="105"/>
      <c r="E578" s="106"/>
      <c r="F578" s="107"/>
      <c r="G578" s="108"/>
      <c r="H578" s="109"/>
      <c r="I578" s="110"/>
      <c r="J578" s="110"/>
      <c r="K578" s="119"/>
      <c r="L578" s="111" t="str">
        <f t="shared" si="105"/>
        <v/>
      </c>
      <c r="M578" s="112" t="str">
        <f t="shared" si="106"/>
        <v/>
      </c>
      <c r="N578" s="112" t="str">
        <f t="shared" si="107"/>
        <v/>
      </c>
      <c r="O578" s="112" t="str">
        <f t="shared" si="108"/>
        <v xml:space="preserve"> </v>
      </c>
      <c r="P578" s="113" t="str">
        <f t="shared" si="109"/>
        <v/>
      </c>
      <c r="Q578" s="114" t="str">
        <f t="shared" si="110"/>
        <v/>
      </c>
      <c r="R578" s="115" t="str">
        <f t="shared" si="111"/>
        <v/>
      </c>
      <c r="S578" s="115" t="str">
        <f t="shared" si="112"/>
        <v/>
      </c>
      <c r="T578" s="116" t="str">
        <f t="shared" si="113"/>
        <v/>
      </c>
      <c r="U578" s="120"/>
      <c r="V578" s="118"/>
    </row>
    <row r="579" spans="1:22" ht="13.2">
      <c r="A579" s="102"/>
      <c r="B579" s="102"/>
      <c r="C579" s="104"/>
      <c r="D579" s="105"/>
      <c r="E579" s="106"/>
      <c r="F579" s="107"/>
      <c r="G579" s="108"/>
      <c r="H579" s="109"/>
      <c r="I579" s="110"/>
      <c r="J579" s="110"/>
      <c r="K579" s="110"/>
      <c r="L579" s="111" t="str">
        <f t="shared" si="105"/>
        <v/>
      </c>
      <c r="M579" s="112" t="str">
        <f t="shared" si="106"/>
        <v/>
      </c>
      <c r="N579" s="112" t="str">
        <f t="shared" si="107"/>
        <v/>
      </c>
      <c r="O579" s="112" t="str">
        <f t="shared" si="108"/>
        <v xml:space="preserve"> </v>
      </c>
      <c r="P579" s="113" t="str">
        <f t="shared" si="109"/>
        <v/>
      </c>
      <c r="Q579" s="114" t="str">
        <f t="shared" si="110"/>
        <v/>
      </c>
      <c r="R579" s="115" t="str">
        <f t="shared" si="111"/>
        <v/>
      </c>
      <c r="S579" s="115" t="str">
        <f t="shared" si="112"/>
        <v/>
      </c>
      <c r="T579" s="116" t="str">
        <f t="shared" si="113"/>
        <v/>
      </c>
      <c r="U579" s="120"/>
      <c r="V579" s="118"/>
    </row>
    <row r="580" spans="1:22" ht="13.2">
      <c r="A580" s="102"/>
      <c r="B580" s="102"/>
      <c r="C580" s="104"/>
      <c r="D580" s="105"/>
      <c r="E580" s="106"/>
      <c r="F580" s="107"/>
      <c r="G580" s="108"/>
      <c r="H580" s="109"/>
      <c r="I580" s="110"/>
      <c r="J580" s="110"/>
      <c r="K580" s="119"/>
      <c r="L580" s="111" t="str">
        <f t="shared" si="105"/>
        <v/>
      </c>
      <c r="M580" s="112" t="str">
        <f t="shared" si="106"/>
        <v/>
      </c>
      <c r="N580" s="112" t="str">
        <f t="shared" si="107"/>
        <v/>
      </c>
      <c r="O580" s="112" t="str">
        <f t="shared" si="108"/>
        <v xml:space="preserve"> </v>
      </c>
      <c r="P580" s="113" t="str">
        <f t="shared" si="109"/>
        <v/>
      </c>
      <c r="Q580" s="114" t="str">
        <f t="shared" si="110"/>
        <v/>
      </c>
      <c r="R580" s="115" t="str">
        <f t="shared" si="111"/>
        <v/>
      </c>
      <c r="S580" s="115" t="str">
        <f t="shared" si="112"/>
        <v/>
      </c>
      <c r="T580" s="116" t="str">
        <f t="shared" si="113"/>
        <v/>
      </c>
      <c r="U580" s="120"/>
      <c r="V580" s="118"/>
    </row>
    <row r="581" spans="1:22" ht="13.2">
      <c r="A581" s="102"/>
      <c r="B581" s="102"/>
      <c r="C581" s="104"/>
      <c r="D581" s="105"/>
      <c r="E581" s="106"/>
      <c r="F581" s="107"/>
      <c r="G581" s="108"/>
      <c r="H581" s="109"/>
      <c r="I581" s="110"/>
      <c r="J581" s="110"/>
      <c r="K581" s="119"/>
      <c r="L581" s="111" t="str">
        <f t="shared" si="105"/>
        <v/>
      </c>
      <c r="M581" s="112" t="str">
        <f t="shared" si="106"/>
        <v/>
      </c>
      <c r="N581" s="112" t="str">
        <f t="shared" si="107"/>
        <v/>
      </c>
      <c r="O581" s="112" t="str">
        <f t="shared" si="108"/>
        <v xml:space="preserve"> </v>
      </c>
      <c r="P581" s="113" t="str">
        <f t="shared" si="109"/>
        <v/>
      </c>
      <c r="Q581" s="114" t="str">
        <f t="shared" si="110"/>
        <v/>
      </c>
      <c r="R581" s="115" t="str">
        <f t="shared" si="111"/>
        <v/>
      </c>
      <c r="S581" s="115" t="str">
        <f t="shared" si="112"/>
        <v/>
      </c>
      <c r="T581" s="116" t="str">
        <f t="shared" si="113"/>
        <v/>
      </c>
      <c r="U581" s="120"/>
      <c r="V581" s="118"/>
    </row>
    <row r="582" spans="1:22" ht="13.2">
      <c r="A582" s="102"/>
      <c r="B582" s="102"/>
      <c r="C582" s="104"/>
      <c r="D582" s="105"/>
      <c r="E582" s="106"/>
      <c r="F582" s="107"/>
      <c r="G582" s="108"/>
      <c r="H582" s="109"/>
      <c r="I582" s="110"/>
      <c r="J582" s="110"/>
      <c r="K582" s="119"/>
      <c r="L582" s="111" t="str">
        <f t="shared" si="105"/>
        <v/>
      </c>
      <c r="M582" s="112" t="str">
        <f t="shared" si="106"/>
        <v/>
      </c>
      <c r="N582" s="112" t="str">
        <f t="shared" si="107"/>
        <v/>
      </c>
      <c r="O582" s="112" t="str">
        <f t="shared" si="108"/>
        <v xml:space="preserve"> </v>
      </c>
      <c r="P582" s="113" t="str">
        <f t="shared" si="109"/>
        <v/>
      </c>
      <c r="Q582" s="114" t="str">
        <f t="shared" si="110"/>
        <v/>
      </c>
      <c r="R582" s="115" t="str">
        <f t="shared" si="111"/>
        <v/>
      </c>
      <c r="S582" s="115" t="str">
        <f t="shared" si="112"/>
        <v/>
      </c>
      <c r="T582" s="116" t="str">
        <f t="shared" si="113"/>
        <v/>
      </c>
      <c r="U582" s="120"/>
      <c r="V582" s="118"/>
    </row>
    <row r="583" spans="1:22" ht="13.2">
      <c r="A583" s="102"/>
      <c r="B583" s="102"/>
      <c r="C583" s="104"/>
      <c r="D583" s="105"/>
      <c r="E583" s="106"/>
      <c r="F583" s="107"/>
      <c r="G583" s="108"/>
      <c r="H583" s="109"/>
      <c r="I583" s="110"/>
      <c r="J583" s="110"/>
      <c r="K583" s="119"/>
      <c r="L583" s="111" t="str">
        <f t="shared" si="105"/>
        <v/>
      </c>
      <c r="M583" s="112" t="str">
        <f t="shared" si="106"/>
        <v/>
      </c>
      <c r="N583" s="112" t="str">
        <f t="shared" si="107"/>
        <v/>
      </c>
      <c r="O583" s="112" t="str">
        <f t="shared" si="108"/>
        <v xml:space="preserve"> </v>
      </c>
      <c r="P583" s="113" t="str">
        <f t="shared" si="109"/>
        <v/>
      </c>
      <c r="Q583" s="114" t="str">
        <f t="shared" si="110"/>
        <v/>
      </c>
      <c r="R583" s="115" t="str">
        <f t="shared" si="111"/>
        <v/>
      </c>
      <c r="S583" s="115" t="str">
        <f t="shared" si="112"/>
        <v/>
      </c>
      <c r="T583" s="116" t="str">
        <f t="shared" si="113"/>
        <v/>
      </c>
      <c r="U583" s="120"/>
      <c r="V583" s="118"/>
    </row>
    <row r="584" spans="1:22" ht="13.2">
      <c r="A584" s="102"/>
      <c r="B584" s="103"/>
      <c r="C584" s="104"/>
      <c r="D584" s="105"/>
      <c r="E584" s="106"/>
      <c r="F584" s="107"/>
      <c r="G584" s="108"/>
      <c r="H584" s="121"/>
      <c r="I584" s="122"/>
      <c r="J584" s="122"/>
      <c r="K584" s="123"/>
      <c r="L584" s="111" t="str">
        <f t="shared" si="105"/>
        <v/>
      </c>
      <c r="M584" s="112" t="str">
        <f t="shared" si="106"/>
        <v/>
      </c>
      <c r="N584" s="112" t="str">
        <f t="shared" si="107"/>
        <v/>
      </c>
      <c r="O584" s="112" t="str">
        <f t="shared" si="108"/>
        <v xml:space="preserve"> </v>
      </c>
      <c r="P584" s="113" t="str">
        <f t="shared" si="109"/>
        <v/>
      </c>
      <c r="Q584" s="114" t="str">
        <f t="shared" si="110"/>
        <v/>
      </c>
      <c r="R584" s="115" t="str">
        <f t="shared" si="111"/>
        <v/>
      </c>
      <c r="S584" s="115" t="str">
        <f t="shared" si="112"/>
        <v/>
      </c>
      <c r="T584" s="116" t="str">
        <f t="shared" si="113"/>
        <v/>
      </c>
      <c r="U584" s="120"/>
      <c r="V584" s="118"/>
    </row>
    <row r="585" spans="1:22" ht="13.2">
      <c r="A585" s="102"/>
      <c r="B585" s="103"/>
      <c r="C585" s="104"/>
      <c r="D585" s="105"/>
      <c r="E585" s="106"/>
      <c r="F585" s="107"/>
      <c r="G585" s="108"/>
      <c r="H585" s="121"/>
      <c r="I585" s="122"/>
      <c r="J585" s="122"/>
      <c r="K585" s="123"/>
      <c r="L585" s="111" t="str">
        <f t="shared" si="105"/>
        <v/>
      </c>
      <c r="M585" s="112" t="str">
        <f t="shared" si="106"/>
        <v/>
      </c>
      <c r="N585" s="112" t="str">
        <f t="shared" si="107"/>
        <v/>
      </c>
      <c r="O585" s="112" t="str">
        <f t="shared" si="108"/>
        <v xml:space="preserve"> </v>
      </c>
      <c r="P585" s="113" t="str">
        <f t="shared" si="109"/>
        <v/>
      </c>
      <c r="Q585" s="114" t="str">
        <f t="shared" si="110"/>
        <v/>
      </c>
      <c r="R585" s="115" t="str">
        <f t="shared" si="111"/>
        <v/>
      </c>
      <c r="S585" s="115" t="str">
        <f t="shared" si="112"/>
        <v/>
      </c>
      <c r="T585" s="116" t="str">
        <f t="shared" si="113"/>
        <v/>
      </c>
      <c r="U585" s="120"/>
      <c r="V585" s="118"/>
    </row>
    <row r="586" spans="1:22" ht="13.2">
      <c r="A586" s="102"/>
      <c r="B586" s="103"/>
      <c r="C586" s="104"/>
      <c r="D586" s="105"/>
      <c r="E586" s="106"/>
      <c r="F586" s="107"/>
      <c r="G586" s="108"/>
      <c r="H586" s="121"/>
      <c r="I586" s="122"/>
      <c r="J586" s="122"/>
      <c r="K586" s="123"/>
      <c r="L586" s="111" t="str">
        <f t="shared" si="105"/>
        <v/>
      </c>
      <c r="M586" s="112" t="str">
        <f t="shared" si="106"/>
        <v/>
      </c>
      <c r="N586" s="112" t="str">
        <f t="shared" si="107"/>
        <v/>
      </c>
      <c r="O586" s="112" t="str">
        <f t="shared" si="108"/>
        <v xml:space="preserve"> </v>
      </c>
      <c r="P586" s="113" t="str">
        <f t="shared" si="109"/>
        <v/>
      </c>
      <c r="Q586" s="114" t="str">
        <f t="shared" si="110"/>
        <v/>
      </c>
      <c r="R586" s="115" t="str">
        <f t="shared" si="111"/>
        <v/>
      </c>
      <c r="S586" s="115" t="str">
        <f t="shared" si="112"/>
        <v/>
      </c>
      <c r="T586" s="116" t="str">
        <f t="shared" si="113"/>
        <v/>
      </c>
      <c r="U586" s="120"/>
      <c r="V586" s="118"/>
    </row>
    <row r="587" spans="1:22" ht="13.2">
      <c r="A587" s="102"/>
      <c r="B587" s="102"/>
      <c r="C587" s="103"/>
      <c r="D587" s="105"/>
      <c r="E587" s="106"/>
      <c r="F587" s="107"/>
      <c r="G587" s="108"/>
      <c r="H587" s="109"/>
      <c r="I587" s="110"/>
      <c r="J587" s="110"/>
      <c r="K587" s="119"/>
      <c r="L587" s="111" t="str">
        <f t="shared" si="105"/>
        <v/>
      </c>
      <c r="M587" s="112" t="str">
        <f t="shared" si="106"/>
        <v/>
      </c>
      <c r="N587" s="112" t="str">
        <f t="shared" si="107"/>
        <v/>
      </c>
      <c r="O587" s="112" t="str">
        <f t="shared" si="108"/>
        <v xml:space="preserve"> </v>
      </c>
      <c r="P587" s="113" t="str">
        <f t="shared" si="109"/>
        <v/>
      </c>
      <c r="Q587" s="114" t="str">
        <f t="shared" si="110"/>
        <v/>
      </c>
      <c r="R587" s="115" t="str">
        <f t="shared" si="111"/>
        <v/>
      </c>
      <c r="S587" s="115" t="str">
        <f t="shared" si="112"/>
        <v/>
      </c>
      <c r="T587" s="116" t="str">
        <f t="shared" si="113"/>
        <v/>
      </c>
      <c r="U587" s="120"/>
      <c r="V587" s="118"/>
    </row>
    <row r="588" spans="1:22" ht="13.2">
      <c r="A588" s="102"/>
      <c r="B588" s="102"/>
      <c r="C588" s="103"/>
      <c r="D588" s="105"/>
      <c r="E588" s="106"/>
      <c r="F588" s="107"/>
      <c r="G588" s="108"/>
      <c r="H588" s="109"/>
      <c r="I588" s="110"/>
      <c r="J588" s="110"/>
      <c r="K588" s="119"/>
      <c r="L588" s="111" t="str">
        <f t="shared" si="105"/>
        <v/>
      </c>
      <c r="M588" s="112" t="str">
        <f t="shared" si="106"/>
        <v/>
      </c>
      <c r="N588" s="112" t="str">
        <f t="shared" si="107"/>
        <v/>
      </c>
      <c r="O588" s="112" t="str">
        <f t="shared" si="108"/>
        <v xml:space="preserve"> </v>
      </c>
      <c r="P588" s="113" t="str">
        <f t="shared" si="109"/>
        <v/>
      </c>
      <c r="Q588" s="114" t="str">
        <f t="shared" si="110"/>
        <v/>
      </c>
      <c r="R588" s="115" t="str">
        <f t="shared" si="111"/>
        <v/>
      </c>
      <c r="S588" s="115" t="str">
        <f t="shared" si="112"/>
        <v/>
      </c>
      <c r="T588" s="116" t="str">
        <f t="shared" si="113"/>
        <v/>
      </c>
      <c r="U588" s="120"/>
      <c r="V588" s="118"/>
    </row>
    <row r="589" spans="1:22" ht="13.2">
      <c r="A589" s="102"/>
      <c r="B589" s="102"/>
      <c r="C589" s="104"/>
      <c r="D589" s="105"/>
      <c r="E589" s="106"/>
      <c r="F589" s="107"/>
      <c r="G589" s="108"/>
      <c r="H589" s="109"/>
      <c r="I589" s="110"/>
      <c r="J589" s="110"/>
      <c r="K589" s="119"/>
      <c r="L589" s="111" t="str">
        <f t="shared" si="105"/>
        <v/>
      </c>
      <c r="M589" s="112" t="str">
        <f t="shared" si="106"/>
        <v/>
      </c>
      <c r="N589" s="112" t="str">
        <f t="shared" si="107"/>
        <v/>
      </c>
      <c r="O589" s="112" t="str">
        <f t="shared" si="108"/>
        <v xml:space="preserve"> </v>
      </c>
      <c r="P589" s="113" t="str">
        <f t="shared" si="109"/>
        <v/>
      </c>
      <c r="Q589" s="114" t="str">
        <f t="shared" si="110"/>
        <v/>
      </c>
      <c r="R589" s="115" t="str">
        <f t="shared" si="111"/>
        <v/>
      </c>
      <c r="S589" s="115" t="str">
        <f t="shared" si="112"/>
        <v/>
      </c>
      <c r="T589" s="116" t="str">
        <f t="shared" si="113"/>
        <v/>
      </c>
      <c r="U589" s="120"/>
      <c r="V589" s="118"/>
    </row>
    <row r="590" spans="1:22" ht="13.2">
      <c r="A590" s="102"/>
      <c r="B590" s="102"/>
      <c r="C590" s="104"/>
      <c r="D590" s="105"/>
      <c r="E590" s="106"/>
      <c r="F590" s="107"/>
      <c r="G590" s="108"/>
      <c r="H590" s="109"/>
      <c r="I590" s="110"/>
      <c r="J590" s="110"/>
      <c r="K590" s="119"/>
      <c r="L590" s="111" t="str">
        <f t="shared" si="105"/>
        <v/>
      </c>
      <c r="M590" s="112" t="str">
        <f t="shared" si="106"/>
        <v/>
      </c>
      <c r="N590" s="112" t="str">
        <f t="shared" si="107"/>
        <v/>
      </c>
      <c r="O590" s="112" t="str">
        <f t="shared" si="108"/>
        <v xml:space="preserve"> </v>
      </c>
      <c r="P590" s="113" t="str">
        <f t="shared" si="109"/>
        <v/>
      </c>
      <c r="Q590" s="114" t="str">
        <f t="shared" si="110"/>
        <v/>
      </c>
      <c r="R590" s="115" t="str">
        <f t="shared" si="111"/>
        <v/>
      </c>
      <c r="S590" s="115" t="str">
        <f t="shared" si="112"/>
        <v/>
      </c>
      <c r="T590" s="116" t="str">
        <f t="shared" si="113"/>
        <v/>
      </c>
      <c r="U590" s="120"/>
      <c r="V590" s="118"/>
    </row>
    <row r="591" spans="1:22" ht="13.2">
      <c r="A591" s="102"/>
      <c r="B591" s="102"/>
      <c r="C591" s="104"/>
      <c r="D591" s="105"/>
      <c r="E591" s="106"/>
      <c r="F591" s="107"/>
      <c r="G591" s="108"/>
      <c r="H591" s="109"/>
      <c r="I591" s="110"/>
      <c r="J591" s="110"/>
      <c r="K591" s="119"/>
      <c r="L591" s="111" t="str">
        <f t="shared" si="105"/>
        <v/>
      </c>
      <c r="M591" s="112" t="str">
        <f t="shared" si="106"/>
        <v/>
      </c>
      <c r="N591" s="112" t="str">
        <f t="shared" si="107"/>
        <v/>
      </c>
      <c r="O591" s="112" t="str">
        <f t="shared" si="108"/>
        <v xml:space="preserve"> </v>
      </c>
      <c r="P591" s="113" t="str">
        <f t="shared" si="109"/>
        <v/>
      </c>
      <c r="Q591" s="114" t="str">
        <f t="shared" si="110"/>
        <v/>
      </c>
      <c r="R591" s="115" t="str">
        <f t="shared" si="111"/>
        <v/>
      </c>
      <c r="S591" s="115" t="str">
        <f t="shared" si="112"/>
        <v/>
      </c>
      <c r="T591" s="116" t="str">
        <f t="shared" si="113"/>
        <v/>
      </c>
      <c r="U591" s="120"/>
      <c r="V591" s="118"/>
    </row>
    <row r="592" spans="1:22" ht="13.2">
      <c r="A592" s="102"/>
      <c r="B592" s="102"/>
      <c r="C592" s="104"/>
      <c r="D592" s="105"/>
      <c r="E592" s="106"/>
      <c r="F592" s="107"/>
      <c r="G592" s="108"/>
      <c r="H592" s="109"/>
      <c r="I592" s="110"/>
      <c r="J592" s="110"/>
      <c r="K592" s="119"/>
      <c r="L592" s="111" t="str">
        <f t="shared" si="105"/>
        <v/>
      </c>
      <c r="M592" s="112" t="str">
        <f t="shared" si="106"/>
        <v/>
      </c>
      <c r="N592" s="112" t="str">
        <f t="shared" si="107"/>
        <v/>
      </c>
      <c r="O592" s="112" t="str">
        <f t="shared" si="108"/>
        <v xml:space="preserve"> </v>
      </c>
      <c r="P592" s="113" t="str">
        <f t="shared" si="109"/>
        <v/>
      </c>
      <c r="Q592" s="114" t="str">
        <f t="shared" si="110"/>
        <v/>
      </c>
      <c r="R592" s="115" t="str">
        <f t="shared" si="111"/>
        <v/>
      </c>
      <c r="S592" s="115" t="str">
        <f t="shared" si="112"/>
        <v/>
      </c>
      <c r="T592" s="116" t="str">
        <f t="shared" si="113"/>
        <v/>
      </c>
      <c r="U592" s="120"/>
      <c r="V592" s="118"/>
    </row>
    <row r="593" spans="1:22" ht="13.2">
      <c r="A593" s="102"/>
      <c r="B593" s="102"/>
      <c r="C593" s="104"/>
      <c r="D593" s="105"/>
      <c r="E593" s="106"/>
      <c r="F593" s="107"/>
      <c r="G593" s="108"/>
      <c r="H593" s="109"/>
      <c r="I593" s="110"/>
      <c r="J593" s="110"/>
      <c r="K593" s="119"/>
      <c r="L593" s="111" t="str">
        <f t="shared" si="105"/>
        <v/>
      </c>
      <c r="M593" s="112" t="str">
        <f t="shared" si="106"/>
        <v/>
      </c>
      <c r="N593" s="112" t="str">
        <f t="shared" si="107"/>
        <v/>
      </c>
      <c r="O593" s="112" t="str">
        <f t="shared" si="108"/>
        <v xml:space="preserve"> </v>
      </c>
      <c r="P593" s="113" t="str">
        <f t="shared" si="109"/>
        <v/>
      </c>
      <c r="Q593" s="114" t="str">
        <f t="shared" si="110"/>
        <v/>
      </c>
      <c r="R593" s="115" t="str">
        <f t="shared" si="111"/>
        <v/>
      </c>
      <c r="S593" s="115" t="str">
        <f t="shared" si="112"/>
        <v/>
      </c>
      <c r="T593" s="116" t="str">
        <f t="shared" si="113"/>
        <v/>
      </c>
      <c r="U593" s="120"/>
      <c r="V593" s="118"/>
    </row>
    <row r="594" spans="1:22" ht="13.2">
      <c r="A594" s="102"/>
      <c r="B594" s="102"/>
      <c r="C594" s="104"/>
      <c r="D594" s="105"/>
      <c r="E594" s="106"/>
      <c r="F594" s="107"/>
      <c r="G594" s="108"/>
      <c r="H594" s="109"/>
      <c r="I594" s="110"/>
      <c r="J594" s="110"/>
      <c r="K594" s="110"/>
      <c r="L594" s="111" t="str">
        <f t="shared" si="105"/>
        <v/>
      </c>
      <c r="M594" s="112" t="str">
        <f t="shared" si="106"/>
        <v/>
      </c>
      <c r="N594" s="112" t="str">
        <f t="shared" si="107"/>
        <v/>
      </c>
      <c r="O594" s="112" t="str">
        <f t="shared" si="108"/>
        <v xml:space="preserve"> </v>
      </c>
      <c r="P594" s="113" t="str">
        <f t="shared" si="109"/>
        <v/>
      </c>
      <c r="Q594" s="114" t="str">
        <f t="shared" si="110"/>
        <v/>
      </c>
      <c r="R594" s="115" t="str">
        <f t="shared" si="111"/>
        <v/>
      </c>
      <c r="S594" s="115" t="str">
        <f t="shared" si="112"/>
        <v/>
      </c>
      <c r="T594" s="116" t="str">
        <f t="shared" si="113"/>
        <v/>
      </c>
      <c r="U594" s="120"/>
      <c r="V594" s="118"/>
    </row>
    <row r="595" spans="1:22" ht="13.2">
      <c r="A595" s="102"/>
      <c r="B595" s="102"/>
      <c r="C595" s="104"/>
      <c r="D595" s="105"/>
      <c r="E595" s="106"/>
      <c r="F595" s="107"/>
      <c r="G595" s="108"/>
      <c r="H595" s="109"/>
      <c r="I595" s="110"/>
      <c r="J595" s="110"/>
      <c r="K595" s="119"/>
      <c r="L595" s="111" t="str">
        <f t="shared" ref="L595:L658" si="114">IF(ISBLANK($E595),"",IF(ISERR(I595/I595)=TRUE,"BAD INSP",I595-$E595))</f>
        <v/>
      </c>
      <c r="M595" s="112" t="str">
        <f t="shared" ref="M595:M658" si="115">IF(ISBLANK($E595),"",IF(ISERR(J595/J595)=TRUE,"BAD INSP",J595-$E595))</f>
        <v/>
      </c>
      <c r="N595" s="112" t="str">
        <f t="shared" ref="N595:N658" si="116">IF(ISBLANK($E595),"",IF(ISERR(K595/K595)=TRUE,"BAD INSP",K595-$E595))</f>
        <v/>
      </c>
      <c r="O595" s="112" t="str">
        <f t="shared" si="108"/>
        <v xml:space="preserve"> </v>
      </c>
      <c r="P595" s="113" t="str">
        <f t="shared" si="109"/>
        <v/>
      </c>
      <c r="Q595" s="114" t="str">
        <f t="shared" si="110"/>
        <v/>
      </c>
      <c r="R595" s="115" t="str">
        <f t="shared" si="111"/>
        <v/>
      </c>
      <c r="S595" s="115" t="str">
        <f t="shared" si="112"/>
        <v/>
      </c>
      <c r="T595" s="116" t="str">
        <f t="shared" si="113"/>
        <v/>
      </c>
      <c r="U595" s="120"/>
      <c r="V595" s="118"/>
    </row>
    <row r="596" spans="1:22" ht="13.2">
      <c r="A596" s="102"/>
      <c r="B596" s="102"/>
      <c r="C596" s="104"/>
      <c r="D596" s="105"/>
      <c r="E596" s="106"/>
      <c r="F596" s="107"/>
      <c r="G596" s="108"/>
      <c r="H596" s="109"/>
      <c r="I596" s="110"/>
      <c r="J596" s="110"/>
      <c r="K596" s="119"/>
      <c r="L596" s="111" t="str">
        <f t="shared" si="114"/>
        <v/>
      </c>
      <c r="M596" s="112" t="str">
        <f t="shared" si="115"/>
        <v/>
      </c>
      <c r="N596" s="112" t="str">
        <f t="shared" si="116"/>
        <v/>
      </c>
      <c r="O596" s="112" t="str">
        <f t="shared" si="108"/>
        <v xml:space="preserve"> </v>
      </c>
      <c r="P596" s="113" t="str">
        <f t="shared" si="109"/>
        <v/>
      </c>
      <c r="Q596" s="114" t="str">
        <f t="shared" si="110"/>
        <v/>
      </c>
      <c r="R596" s="115" t="str">
        <f t="shared" si="111"/>
        <v/>
      </c>
      <c r="S596" s="115" t="str">
        <f t="shared" si="112"/>
        <v/>
      </c>
      <c r="T596" s="116" t="str">
        <f t="shared" si="113"/>
        <v/>
      </c>
      <c r="U596" s="120"/>
      <c r="V596" s="118"/>
    </row>
    <row r="597" spans="1:22" ht="13.2">
      <c r="A597" s="102"/>
      <c r="B597" s="102"/>
      <c r="C597" s="104"/>
      <c r="D597" s="105"/>
      <c r="E597" s="106"/>
      <c r="F597" s="107"/>
      <c r="G597" s="108"/>
      <c r="H597" s="109"/>
      <c r="I597" s="110"/>
      <c r="J597" s="110"/>
      <c r="K597" s="119"/>
      <c r="L597" s="111" t="str">
        <f t="shared" si="114"/>
        <v/>
      </c>
      <c r="M597" s="112" t="str">
        <f t="shared" si="115"/>
        <v/>
      </c>
      <c r="N597" s="112" t="str">
        <f t="shared" si="116"/>
        <v/>
      </c>
      <c r="O597" s="112" t="str">
        <f t="shared" si="108"/>
        <v xml:space="preserve"> </v>
      </c>
      <c r="P597" s="113" t="str">
        <f t="shared" si="109"/>
        <v/>
      </c>
      <c r="Q597" s="114" t="str">
        <f t="shared" si="110"/>
        <v/>
      </c>
      <c r="R597" s="115" t="str">
        <f t="shared" si="111"/>
        <v/>
      </c>
      <c r="S597" s="115" t="str">
        <f t="shared" si="112"/>
        <v/>
      </c>
      <c r="T597" s="116" t="str">
        <f t="shared" si="113"/>
        <v/>
      </c>
      <c r="U597" s="120"/>
      <c r="V597" s="118"/>
    </row>
    <row r="598" spans="1:22" ht="13.2">
      <c r="A598" s="102"/>
      <c r="B598" s="102"/>
      <c r="C598" s="104"/>
      <c r="D598" s="105"/>
      <c r="E598" s="106"/>
      <c r="F598" s="107"/>
      <c r="G598" s="108"/>
      <c r="H598" s="109"/>
      <c r="I598" s="110"/>
      <c r="J598" s="110"/>
      <c r="K598" s="119"/>
      <c r="L598" s="111" t="str">
        <f t="shared" si="114"/>
        <v/>
      </c>
      <c r="M598" s="112" t="str">
        <f t="shared" si="115"/>
        <v/>
      </c>
      <c r="N598" s="112" t="str">
        <f t="shared" si="116"/>
        <v/>
      </c>
      <c r="O598" s="112" t="str">
        <f t="shared" si="108"/>
        <v xml:space="preserve"> </v>
      </c>
      <c r="P598" s="113" t="str">
        <f t="shared" si="109"/>
        <v/>
      </c>
      <c r="Q598" s="114" t="str">
        <f t="shared" si="110"/>
        <v/>
      </c>
      <c r="R598" s="115" t="str">
        <f t="shared" si="111"/>
        <v/>
      </c>
      <c r="S598" s="115" t="str">
        <f t="shared" si="112"/>
        <v/>
      </c>
      <c r="T598" s="116" t="str">
        <f t="shared" si="113"/>
        <v/>
      </c>
      <c r="U598" s="120"/>
      <c r="V598" s="118"/>
    </row>
    <row r="599" spans="1:22" ht="13.2">
      <c r="A599" s="102"/>
      <c r="B599" s="103"/>
      <c r="C599" s="104"/>
      <c r="D599" s="105"/>
      <c r="E599" s="106"/>
      <c r="F599" s="107"/>
      <c r="G599" s="108"/>
      <c r="H599" s="121"/>
      <c r="I599" s="122"/>
      <c r="J599" s="122"/>
      <c r="K599" s="123"/>
      <c r="L599" s="111" t="str">
        <f t="shared" si="114"/>
        <v/>
      </c>
      <c r="M599" s="112" t="str">
        <f t="shared" si="115"/>
        <v/>
      </c>
      <c r="N599" s="112" t="str">
        <f t="shared" si="116"/>
        <v/>
      </c>
      <c r="O599" s="112" t="str">
        <f t="shared" si="108"/>
        <v xml:space="preserve"> </v>
      </c>
      <c r="P599" s="113" t="str">
        <f t="shared" si="109"/>
        <v/>
      </c>
      <c r="Q599" s="114" t="str">
        <f t="shared" si="110"/>
        <v/>
      </c>
      <c r="R599" s="115" t="str">
        <f t="shared" si="111"/>
        <v/>
      </c>
      <c r="S599" s="115" t="str">
        <f t="shared" si="112"/>
        <v/>
      </c>
      <c r="T599" s="116" t="str">
        <f t="shared" si="113"/>
        <v/>
      </c>
      <c r="U599" s="120"/>
      <c r="V599" s="118"/>
    </row>
    <row r="600" spans="1:22" ht="13.2">
      <c r="A600" s="102"/>
      <c r="B600" s="103"/>
      <c r="C600" s="104"/>
      <c r="D600" s="105"/>
      <c r="E600" s="106"/>
      <c r="F600" s="107"/>
      <c r="G600" s="108"/>
      <c r="H600" s="121"/>
      <c r="I600" s="122"/>
      <c r="J600" s="122"/>
      <c r="K600" s="123"/>
      <c r="L600" s="111" t="str">
        <f t="shared" si="114"/>
        <v/>
      </c>
      <c r="M600" s="112" t="str">
        <f t="shared" si="115"/>
        <v/>
      </c>
      <c r="N600" s="112" t="str">
        <f t="shared" si="116"/>
        <v/>
      </c>
      <c r="O600" s="112" t="str">
        <f t="shared" si="108"/>
        <v xml:space="preserve"> </v>
      </c>
      <c r="P600" s="113" t="str">
        <f t="shared" si="109"/>
        <v/>
      </c>
      <c r="Q600" s="114" t="str">
        <f t="shared" si="110"/>
        <v/>
      </c>
      <c r="R600" s="115" t="str">
        <f t="shared" si="111"/>
        <v/>
      </c>
      <c r="S600" s="115" t="str">
        <f t="shared" si="112"/>
        <v/>
      </c>
      <c r="T600" s="116" t="str">
        <f t="shared" si="113"/>
        <v/>
      </c>
      <c r="U600" s="120"/>
      <c r="V600" s="118"/>
    </row>
    <row r="601" spans="1:22" ht="13.2">
      <c r="A601" s="102"/>
      <c r="B601" s="103"/>
      <c r="C601" s="104"/>
      <c r="D601" s="105"/>
      <c r="E601" s="106"/>
      <c r="F601" s="107"/>
      <c r="G601" s="108"/>
      <c r="H601" s="121"/>
      <c r="I601" s="122"/>
      <c r="J601" s="122"/>
      <c r="K601" s="123"/>
      <c r="L601" s="111" t="str">
        <f t="shared" si="114"/>
        <v/>
      </c>
      <c r="M601" s="112" t="str">
        <f t="shared" si="115"/>
        <v/>
      </c>
      <c r="N601" s="112" t="str">
        <f t="shared" si="116"/>
        <v/>
      </c>
      <c r="O601" s="112" t="str">
        <f t="shared" si="108"/>
        <v xml:space="preserve"> </v>
      </c>
      <c r="P601" s="113" t="str">
        <f t="shared" si="109"/>
        <v/>
      </c>
      <c r="Q601" s="114" t="str">
        <f t="shared" si="110"/>
        <v/>
      </c>
      <c r="R601" s="115" t="str">
        <f t="shared" si="111"/>
        <v/>
      </c>
      <c r="S601" s="115" t="str">
        <f t="shared" si="112"/>
        <v/>
      </c>
      <c r="T601" s="116" t="str">
        <f t="shared" si="113"/>
        <v/>
      </c>
      <c r="U601" s="120"/>
      <c r="V601" s="118"/>
    </row>
    <row r="602" spans="1:22" ht="13.2">
      <c r="A602" s="102"/>
      <c r="B602" s="102"/>
      <c r="C602" s="103"/>
      <c r="D602" s="105"/>
      <c r="E602" s="106"/>
      <c r="F602" s="107"/>
      <c r="G602" s="108"/>
      <c r="H602" s="109"/>
      <c r="I602" s="110"/>
      <c r="J602" s="110"/>
      <c r="K602" s="119"/>
      <c r="L602" s="111" t="str">
        <f t="shared" si="114"/>
        <v/>
      </c>
      <c r="M602" s="112" t="str">
        <f t="shared" si="115"/>
        <v/>
      </c>
      <c r="N602" s="112" t="str">
        <f t="shared" si="116"/>
        <v/>
      </c>
      <c r="O602" s="112" t="str">
        <f t="shared" si="108"/>
        <v xml:space="preserve"> </v>
      </c>
      <c r="P602" s="113" t="str">
        <f t="shared" si="109"/>
        <v/>
      </c>
      <c r="Q602" s="114" t="str">
        <f t="shared" si="110"/>
        <v/>
      </c>
      <c r="R602" s="115" t="str">
        <f t="shared" si="111"/>
        <v/>
      </c>
      <c r="S602" s="115" t="str">
        <f t="shared" si="112"/>
        <v/>
      </c>
      <c r="T602" s="116" t="str">
        <f t="shared" si="113"/>
        <v/>
      </c>
      <c r="U602" s="120"/>
      <c r="V602" s="118"/>
    </row>
    <row r="603" spans="1:22" ht="13.2">
      <c r="A603" s="102"/>
      <c r="B603" s="102"/>
      <c r="C603" s="103"/>
      <c r="D603" s="105"/>
      <c r="E603" s="106"/>
      <c r="F603" s="107"/>
      <c r="G603" s="108"/>
      <c r="H603" s="109"/>
      <c r="I603" s="110"/>
      <c r="J603" s="110"/>
      <c r="K603" s="119"/>
      <c r="L603" s="111" t="str">
        <f t="shared" si="114"/>
        <v/>
      </c>
      <c r="M603" s="112" t="str">
        <f t="shared" si="115"/>
        <v/>
      </c>
      <c r="N603" s="112" t="str">
        <f t="shared" si="116"/>
        <v/>
      </c>
      <c r="O603" s="112" t="str">
        <f t="shared" si="108"/>
        <v xml:space="preserve"> </v>
      </c>
      <c r="P603" s="113" t="str">
        <f t="shared" si="109"/>
        <v/>
      </c>
      <c r="Q603" s="114" t="str">
        <f t="shared" si="110"/>
        <v/>
      </c>
      <c r="R603" s="115" t="str">
        <f t="shared" si="111"/>
        <v/>
      </c>
      <c r="S603" s="115" t="str">
        <f t="shared" si="112"/>
        <v/>
      </c>
      <c r="T603" s="116" t="str">
        <f t="shared" si="113"/>
        <v/>
      </c>
      <c r="U603" s="120"/>
      <c r="V603" s="118"/>
    </row>
    <row r="604" spans="1:22" ht="13.2">
      <c r="A604" s="102"/>
      <c r="B604" s="102"/>
      <c r="C604" s="104"/>
      <c r="D604" s="105"/>
      <c r="E604" s="106"/>
      <c r="F604" s="107"/>
      <c r="G604" s="108"/>
      <c r="H604" s="109"/>
      <c r="I604" s="110"/>
      <c r="J604" s="110"/>
      <c r="K604" s="119"/>
      <c r="L604" s="111" t="str">
        <f t="shared" si="114"/>
        <v/>
      </c>
      <c r="M604" s="112" t="str">
        <f t="shared" si="115"/>
        <v/>
      </c>
      <c r="N604" s="112" t="str">
        <f t="shared" si="116"/>
        <v/>
      </c>
      <c r="O604" s="112" t="str">
        <f t="shared" si="108"/>
        <v xml:space="preserve"> </v>
      </c>
      <c r="P604" s="113" t="str">
        <f t="shared" si="109"/>
        <v/>
      </c>
      <c r="Q604" s="114" t="str">
        <f t="shared" si="110"/>
        <v/>
      </c>
      <c r="R604" s="115" t="str">
        <f t="shared" si="111"/>
        <v/>
      </c>
      <c r="S604" s="115" t="str">
        <f t="shared" si="112"/>
        <v/>
      </c>
      <c r="T604" s="116" t="str">
        <f t="shared" si="113"/>
        <v/>
      </c>
      <c r="U604" s="120"/>
      <c r="V604" s="118"/>
    </row>
    <row r="605" spans="1:22" ht="13.2">
      <c r="A605" s="102"/>
      <c r="B605" s="102"/>
      <c r="C605" s="104"/>
      <c r="D605" s="105"/>
      <c r="E605" s="106"/>
      <c r="F605" s="107"/>
      <c r="G605" s="108"/>
      <c r="H605" s="109"/>
      <c r="I605" s="110"/>
      <c r="J605" s="110"/>
      <c r="K605" s="119"/>
      <c r="L605" s="111" t="str">
        <f t="shared" si="114"/>
        <v/>
      </c>
      <c r="M605" s="112" t="str">
        <f t="shared" si="115"/>
        <v/>
      </c>
      <c r="N605" s="112" t="str">
        <f t="shared" si="116"/>
        <v/>
      </c>
      <c r="O605" s="112" t="str">
        <f t="shared" si="108"/>
        <v xml:space="preserve"> </v>
      </c>
      <c r="P605" s="113" t="str">
        <f t="shared" si="109"/>
        <v/>
      </c>
      <c r="Q605" s="114" t="str">
        <f t="shared" si="110"/>
        <v/>
      </c>
      <c r="R605" s="115" t="str">
        <f t="shared" si="111"/>
        <v/>
      </c>
      <c r="S605" s="115" t="str">
        <f t="shared" si="112"/>
        <v/>
      </c>
      <c r="T605" s="116" t="str">
        <f t="shared" si="113"/>
        <v/>
      </c>
      <c r="U605" s="120"/>
      <c r="V605" s="118"/>
    </row>
    <row r="606" spans="1:22" ht="13.2">
      <c r="A606" s="102"/>
      <c r="B606" s="102"/>
      <c r="C606" s="104"/>
      <c r="D606" s="105"/>
      <c r="E606" s="106"/>
      <c r="F606" s="107"/>
      <c r="G606" s="108"/>
      <c r="H606" s="109"/>
      <c r="I606" s="110"/>
      <c r="J606" s="110"/>
      <c r="K606" s="119"/>
      <c r="L606" s="111" t="str">
        <f t="shared" si="114"/>
        <v/>
      </c>
      <c r="M606" s="112" t="str">
        <f t="shared" si="115"/>
        <v/>
      </c>
      <c r="N606" s="112" t="str">
        <f t="shared" si="116"/>
        <v/>
      </c>
      <c r="O606" s="112" t="str">
        <f t="shared" si="108"/>
        <v xml:space="preserve"> </v>
      </c>
      <c r="P606" s="113" t="str">
        <f t="shared" si="109"/>
        <v/>
      </c>
      <c r="Q606" s="114" t="str">
        <f t="shared" si="110"/>
        <v/>
      </c>
      <c r="R606" s="115" t="str">
        <f t="shared" si="111"/>
        <v/>
      </c>
      <c r="S606" s="115" t="str">
        <f t="shared" si="112"/>
        <v/>
      </c>
      <c r="T606" s="116" t="str">
        <f t="shared" si="113"/>
        <v/>
      </c>
      <c r="U606" s="120"/>
      <c r="V606" s="118"/>
    </row>
    <row r="607" spans="1:22" ht="13.2">
      <c r="A607" s="102"/>
      <c r="B607" s="102"/>
      <c r="C607" s="104"/>
      <c r="D607" s="105"/>
      <c r="E607" s="106"/>
      <c r="F607" s="107"/>
      <c r="G607" s="108"/>
      <c r="H607" s="109"/>
      <c r="I607" s="110"/>
      <c r="J607" s="110"/>
      <c r="K607" s="119"/>
      <c r="L607" s="111" t="str">
        <f t="shared" si="114"/>
        <v/>
      </c>
      <c r="M607" s="112" t="str">
        <f t="shared" si="115"/>
        <v/>
      </c>
      <c r="N607" s="112" t="str">
        <f t="shared" si="116"/>
        <v/>
      </c>
      <c r="O607" s="112" t="str">
        <f t="shared" si="108"/>
        <v xml:space="preserve"> </v>
      </c>
      <c r="P607" s="113" t="str">
        <f t="shared" si="109"/>
        <v/>
      </c>
      <c r="Q607" s="114" t="str">
        <f t="shared" si="110"/>
        <v/>
      </c>
      <c r="R607" s="115" t="str">
        <f t="shared" si="111"/>
        <v/>
      </c>
      <c r="S607" s="115" t="str">
        <f t="shared" si="112"/>
        <v/>
      </c>
      <c r="T607" s="116" t="str">
        <f t="shared" si="113"/>
        <v/>
      </c>
      <c r="U607" s="120"/>
      <c r="V607" s="118"/>
    </row>
    <row r="608" spans="1:22" ht="13.2">
      <c r="A608" s="102"/>
      <c r="B608" s="102"/>
      <c r="C608" s="104"/>
      <c r="D608" s="105"/>
      <c r="E608" s="106"/>
      <c r="F608" s="107"/>
      <c r="G608" s="108"/>
      <c r="H608" s="109"/>
      <c r="I608" s="110"/>
      <c r="J608" s="110"/>
      <c r="K608" s="119"/>
      <c r="L608" s="111" t="str">
        <f t="shared" si="114"/>
        <v/>
      </c>
      <c r="M608" s="112" t="str">
        <f t="shared" si="115"/>
        <v/>
      </c>
      <c r="N608" s="112" t="str">
        <f t="shared" si="116"/>
        <v/>
      </c>
      <c r="O608" s="112" t="str">
        <f t="shared" si="108"/>
        <v xml:space="preserve"> </v>
      </c>
      <c r="P608" s="113" t="str">
        <f t="shared" si="109"/>
        <v/>
      </c>
      <c r="Q608" s="114" t="str">
        <f t="shared" si="110"/>
        <v/>
      </c>
      <c r="R608" s="115" t="str">
        <f t="shared" si="111"/>
        <v/>
      </c>
      <c r="S608" s="115" t="str">
        <f t="shared" si="112"/>
        <v/>
      </c>
      <c r="T608" s="116" t="str">
        <f t="shared" si="113"/>
        <v/>
      </c>
      <c r="U608" s="120"/>
      <c r="V608" s="118"/>
    </row>
    <row r="609" spans="1:22" ht="13.2">
      <c r="A609" s="102"/>
      <c r="B609" s="102"/>
      <c r="C609" s="104"/>
      <c r="D609" s="105"/>
      <c r="E609" s="106"/>
      <c r="F609" s="107"/>
      <c r="G609" s="108"/>
      <c r="H609" s="109"/>
      <c r="I609" s="110"/>
      <c r="J609" s="110"/>
      <c r="K609" s="110"/>
      <c r="L609" s="111" t="str">
        <f t="shared" si="114"/>
        <v/>
      </c>
      <c r="M609" s="112" t="str">
        <f t="shared" si="115"/>
        <v/>
      </c>
      <c r="N609" s="112" t="str">
        <f t="shared" si="116"/>
        <v/>
      </c>
      <c r="O609" s="112" t="str">
        <f t="shared" si="108"/>
        <v xml:space="preserve"> </v>
      </c>
      <c r="P609" s="113" t="str">
        <f t="shared" si="109"/>
        <v/>
      </c>
      <c r="Q609" s="114" t="str">
        <f t="shared" si="110"/>
        <v/>
      </c>
      <c r="R609" s="115" t="str">
        <f t="shared" si="111"/>
        <v/>
      </c>
      <c r="S609" s="115" t="str">
        <f t="shared" si="112"/>
        <v/>
      </c>
      <c r="T609" s="116" t="str">
        <f t="shared" si="113"/>
        <v/>
      </c>
      <c r="U609" s="120"/>
      <c r="V609" s="118"/>
    </row>
    <row r="610" spans="1:22" ht="13.2">
      <c r="A610" s="102"/>
      <c r="B610" s="102"/>
      <c r="C610" s="104"/>
      <c r="D610" s="105"/>
      <c r="E610" s="106"/>
      <c r="F610" s="107"/>
      <c r="G610" s="108"/>
      <c r="H610" s="109"/>
      <c r="I610" s="110"/>
      <c r="J610" s="110"/>
      <c r="K610" s="119"/>
      <c r="L610" s="111" t="str">
        <f t="shared" si="114"/>
        <v/>
      </c>
      <c r="M610" s="112" t="str">
        <f t="shared" si="115"/>
        <v/>
      </c>
      <c r="N610" s="112" t="str">
        <f t="shared" si="116"/>
        <v/>
      </c>
      <c r="O610" s="112" t="str">
        <f t="shared" si="108"/>
        <v xml:space="preserve"> </v>
      </c>
      <c r="P610" s="113" t="str">
        <f t="shared" si="109"/>
        <v/>
      </c>
      <c r="Q610" s="114" t="str">
        <f t="shared" si="110"/>
        <v/>
      </c>
      <c r="R610" s="115" t="str">
        <f t="shared" si="111"/>
        <v/>
      </c>
      <c r="S610" s="115" t="str">
        <f t="shared" si="112"/>
        <v/>
      </c>
      <c r="T610" s="116" t="str">
        <f t="shared" si="113"/>
        <v/>
      </c>
      <c r="U610" s="120"/>
      <c r="V610" s="118"/>
    </row>
    <row r="611" spans="1:22" ht="13.2">
      <c r="A611" s="102"/>
      <c r="B611" s="102"/>
      <c r="C611" s="104"/>
      <c r="D611" s="105"/>
      <c r="E611" s="106"/>
      <c r="F611" s="107"/>
      <c r="G611" s="108"/>
      <c r="H611" s="109"/>
      <c r="I611" s="110"/>
      <c r="J611" s="110"/>
      <c r="K611" s="119"/>
      <c r="L611" s="111" t="str">
        <f t="shared" si="114"/>
        <v/>
      </c>
      <c r="M611" s="112" t="str">
        <f t="shared" si="115"/>
        <v/>
      </c>
      <c r="N611" s="112" t="str">
        <f t="shared" si="116"/>
        <v/>
      </c>
      <c r="O611" s="112" t="str">
        <f t="shared" si="108"/>
        <v xml:space="preserve"> </v>
      </c>
      <c r="P611" s="113" t="str">
        <f t="shared" si="109"/>
        <v/>
      </c>
      <c r="Q611" s="114" t="str">
        <f t="shared" si="110"/>
        <v/>
      </c>
      <c r="R611" s="115" t="str">
        <f t="shared" si="111"/>
        <v/>
      </c>
      <c r="S611" s="115" t="str">
        <f t="shared" si="112"/>
        <v/>
      </c>
      <c r="T611" s="116" t="str">
        <f t="shared" si="113"/>
        <v/>
      </c>
      <c r="U611" s="120"/>
      <c r="V611" s="118"/>
    </row>
    <row r="612" spans="1:22" ht="13.2">
      <c r="A612" s="102"/>
      <c r="B612" s="102"/>
      <c r="C612" s="104"/>
      <c r="D612" s="105"/>
      <c r="E612" s="106"/>
      <c r="F612" s="107"/>
      <c r="G612" s="108"/>
      <c r="H612" s="109"/>
      <c r="I612" s="110"/>
      <c r="J612" s="110"/>
      <c r="K612" s="119"/>
      <c r="L612" s="111" t="str">
        <f t="shared" si="114"/>
        <v/>
      </c>
      <c r="M612" s="112" t="str">
        <f t="shared" si="115"/>
        <v/>
      </c>
      <c r="N612" s="112" t="str">
        <f t="shared" si="116"/>
        <v/>
      </c>
      <c r="O612" s="112" t="str">
        <f t="shared" si="108"/>
        <v xml:space="preserve"> </v>
      </c>
      <c r="P612" s="113" t="str">
        <f t="shared" si="109"/>
        <v/>
      </c>
      <c r="Q612" s="114" t="str">
        <f t="shared" si="110"/>
        <v/>
      </c>
      <c r="R612" s="115" t="str">
        <f t="shared" si="111"/>
        <v/>
      </c>
      <c r="S612" s="115" t="str">
        <f t="shared" si="112"/>
        <v/>
      </c>
      <c r="T612" s="116" t="str">
        <f t="shared" si="113"/>
        <v/>
      </c>
      <c r="U612" s="120"/>
      <c r="V612" s="118"/>
    </row>
    <row r="613" spans="1:22" ht="13.2">
      <c r="A613" s="102"/>
      <c r="B613" s="102"/>
      <c r="C613" s="104"/>
      <c r="D613" s="105"/>
      <c r="E613" s="106"/>
      <c r="F613" s="107"/>
      <c r="G613" s="108"/>
      <c r="H613" s="109"/>
      <c r="I613" s="110"/>
      <c r="J613" s="110"/>
      <c r="K613" s="119"/>
      <c r="L613" s="111" t="str">
        <f t="shared" si="114"/>
        <v/>
      </c>
      <c r="M613" s="112" t="str">
        <f t="shared" si="115"/>
        <v/>
      </c>
      <c r="N613" s="112" t="str">
        <f t="shared" si="116"/>
        <v/>
      </c>
      <c r="O613" s="112" t="str">
        <f t="shared" si="108"/>
        <v xml:space="preserve"> </v>
      </c>
      <c r="P613" s="113" t="str">
        <f t="shared" si="109"/>
        <v/>
      </c>
      <c r="Q613" s="114" t="str">
        <f t="shared" si="110"/>
        <v/>
      </c>
      <c r="R613" s="115" t="str">
        <f t="shared" si="111"/>
        <v/>
      </c>
      <c r="S613" s="115" t="str">
        <f t="shared" si="112"/>
        <v/>
      </c>
      <c r="T613" s="116" t="str">
        <f t="shared" si="113"/>
        <v/>
      </c>
      <c r="U613" s="120"/>
      <c r="V613" s="118"/>
    </row>
    <row r="614" spans="1:22" ht="13.2">
      <c r="A614" s="102"/>
      <c r="B614" s="103"/>
      <c r="C614" s="104"/>
      <c r="D614" s="105"/>
      <c r="E614" s="106"/>
      <c r="F614" s="107"/>
      <c r="G614" s="108"/>
      <c r="H614" s="121"/>
      <c r="I614" s="122"/>
      <c r="J614" s="122"/>
      <c r="K614" s="123"/>
      <c r="L614" s="111" t="str">
        <f t="shared" si="114"/>
        <v/>
      </c>
      <c r="M614" s="112" t="str">
        <f t="shared" si="115"/>
        <v/>
      </c>
      <c r="N614" s="112" t="str">
        <f t="shared" si="116"/>
        <v/>
      </c>
      <c r="O614" s="112" t="str">
        <f t="shared" si="108"/>
        <v xml:space="preserve"> </v>
      </c>
      <c r="P614" s="113" t="str">
        <f t="shared" si="109"/>
        <v/>
      </c>
      <c r="Q614" s="114" t="str">
        <f t="shared" si="110"/>
        <v/>
      </c>
      <c r="R614" s="115" t="str">
        <f t="shared" si="111"/>
        <v/>
      </c>
      <c r="S614" s="115" t="str">
        <f t="shared" si="112"/>
        <v/>
      </c>
      <c r="T614" s="116" t="str">
        <f t="shared" si="113"/>
        <v/>
      </c>
      <c r="U614" s="120"/>
      <c r="V614" s="118"/>
    </row>
    <row r="615" spans="1:22" ht="13.2">
      <c r="A615" s="102"/>
      <c r="B615" s="103"/>
      <c r="C615" s="104"/>
      <c r="D615" s="105"/>
      <c r="E615" s="106"/>
      <c r="F615" s="107"/>
      <c r="G615" s="108"/>
      <c r="H615" s="121"/>
      <c r="I615" s="122"/>
      <c r="J615" s="122"/>
      <c r="K615" s="123"/>
      <c r="L615" s="111" t="str">
        <f t="shared" si="114"/>
        <v/>
      </c>
      <c r="M615" s="112" t="str">
        <f t="shared" si="115"/>
        <v/>
      </c>
      <c r="N615" s="112" t="str">
        <f t="shared" si="116"/>
        <v/>
      </c>
      <c r="O615" s="112" t="str">
        <f t="shared" si="108"/>
        <v xml:space="preserve"> </v>
      </c>
      <c r="P615" s="113" t="str">
        <f t="shared" si="109"/>
        <v/>
      </c>
      <c r="Q615" s="114" t="str">
        <f t="shared" si="110"/>
        <v/>
      </c>
      <c r="R615" s="115" t="str">
        <f t="shared" si="111"/>
        <v/>
      </c>
      <c r="S615" s="115" t="str">
        <f t="shared" si="112"/>
        <v/>
      </c>
      <c r="T615" s="116" t="str">
        <f t="shared" si="113"/>
        <v/>
      </c>
      <c r="U615" s="120"/>
      <c r="V615" s="118"/>
    </row>
    <row r="616" spans="1:22" ht="13.2">
      <c r="A616" s="102"/>
      <c r="B616" s="103"/>
      <c r="C616" s="104"/>
      <c r="D616" s="105"/>
      <c r="E616" s="106"/>
      <c r="F616" s="107"/>
      <c r="G616" s="108"/>
      <c r="H616" s="121"/>
      <c r="I616" s="122"/>
      <c r="J616" s="122"/>
      <c r="K616" s="123"/>
      <c r="L616" s="111" t="str">
        <f t="shared" si="114"/>
        <v/>
      </c>
      <c r="M616" s="112" t="str">
        <f t="shared" si="115"/>
        <v/>
      </c>
      <c r="N616" s="112" t="str">
        <f t="shared" si="116"/>
        <v/>
      </c>
      <c r="O616" s="112" t="str">
        <f t="shared" si="108"/>
        <v xml:space="preserve"> </v>
      </c>
      <c r="P616" s="113" t="str">
        <f t="shared" si="109"/>
        <v/>
      </c>
      <c r="Q616" s="114" t="str">
        <f t="shared" si="110"/>
        <v/>
      </c>
      <c r="R616" s="115" t="str">
        <f t="shared" si="111"/>
        <v/>
      </c>
      <c r="S616" s="115" t="str">
        <f t="shared" si="112"/>
        <v/>
      </c>
      <c r="T616" s="116" t="str">
        <f t="shared" si="113"/>
        <v/>
      </c>
      <c r="U616" s="120"/>
      <c r="V616" s="118"/>
    </row>
    <row r="617" spans="1:22" ht="13.2">
      <c r="A617" s="102"/>
      <c r="B617" s="102"/>
      <c r="C617" s="103"/>
      <c r="D617" s="105"/>
      <c r="E617" s="106"/>
      <c r="F617" s="107"/>
      <c r="G617" s="108"/>
      <c r="H617" s="109"/>
      <c r="I617" s="110"/>
      <c r="J617" s="110"/>
      <c r="K617" s="119"/>
      <c r="L617" s="111" t="str">
        <f t="shared" si="114"/>
        <v/>
      </c>
      <c r="M617" s="112" t="str">
        <f t="shared" si="115"/>
        <v/>
      </c>
      <c r="N617" s="112" t="str">
        <f t="shared" si="116"/>
        <v/>
      </c>
      <c r="O617" s="112" t="str">
        <f t="shared" si="108"/>
        <v xml:space="preserve"> </v>
      </c>
      <c r="P617" s="113" t="str">
        <f t="shared" si="109"/>
        <v/>
      </c>
      <c r="Q617" s="114" t="str">
        <f t="shared" si="110"/>
        <v/>
      </c>
      <c r="R617" s="115" t="str">
        <f t="shared" si="111"/>
        <v/>
      </c>
      <c r="S617" s="115" t="str">
        <f t="shared" si="112"/>
        <v/>
      </c>
      <c r="T617" s="116" t="str">
        <f t="shared" si="113"/>
        <v/>
      </c>
      <c r="U617" s="120"/>
      <c r="V617" s="118"/>
    </row>
    <row r="618" spans="1:22" ht="13.2">
      <c r="A618" s="102"/>
      <c r="B618" s="102"/>
      <c r="C618" s="103"/>
      <c r="D618" s="105"/>
      <c r="E618" s="106"/>
      <c r="F618" s="107"/>
      <c r="G618" s="108"/>
      <c r="H618" s="109"/>
      <c r="I618" s="110"/>
      <c r="J618" s="110"/>
      <c r="K618" s="119"/>
      <c r="L618" s="111" t="str">
        <f t="shared" si="114"/>
        <v/>
      </c>
      <c r="M618" s="112" t="str">
        <f t="shared" si="115"/>
        <v/>
      </c>
      <c r="N618" s="112" t="str">
        <f t="shared" si="116"/>
        <v/>
      </c>
      <c r="O618" s="112" t="str">
        <f t="shared" si="108"/>
        <v xml:space="preserve"> </v>
      </c>
      <c r="P618" s="113" t="str">
        <f t="shared" si="109"/>
        <v/>
      </c>
      <c r="Q618" s="114" t="str">
        <f t="shared" si="110"/>
        <v/>
      </c>
      <c r="R618" s="115" t="str">
        <f t="shared" si="111"/>
        <v/>
      </c>
      <c r="S618" s="115" t="str">
        <f t="shared" si="112"/>
        <v/>
      </c>
      <c r="T618" s="116" t="str">
        <f t="shared" si="113"/>
        <v/>
      </c>
      <c r="U618" s="120"/>
      <c r="V618" s="118"/>
    </row>
    <row r="619" spans="1:22" ht="13.2">
      <c r="A619" s="102"/>
      <c r="B619" s="102"/>
      <c r="C619" s="104"/>
      <c r="D619" s="105"/>
      <c r="E619" s="106"/>
      <c r="F619" s="107"/>
      <c r="G619" s="108"/>
      <c r="H619" s="109"/>
      <c r="I619" s="110"/>
      <c r="J619" s="110"/>
      <c r="K619" s="119"/>
      <c r="L619" s="111" t="str">
        <f t="shared" si="114"/>
        <v/>
      </c>
      <c r="M619" s="112" t="str">
        <f t="shared" si="115"/>
        <v/>
      </c>
      <c r="N619" s="112" t="str">
        <f t="shared" si="116"/>
        <v/>
      </c>
      <c r="O619" s="112" t="str">
        <f t="shared" si="108"/>
        <v xml:space="preserve"> </v>
      </c>
      <c r="P619" s="113" t="str">
        <f t="shared" si="109"/>
        <v/>
      </c>
      <c r="Q619" s="114" t="str">
        <f t="shared" si="110"/>
        <v/>
      </c>
      <c r="R619" s="115" t="str">
        <f t="shared" si="111"/>
        <v/>
      </c>
      <c r="S619" s="115" t="str">
        <f t="shared" si="112"/>
        <v/>
      </c>
      <c r="T619" s="116" t="str">
        <f t="shared" si="113"/>
        <v/>
      </c>
      <c r="U619" s="120"/>
      <c r="V619" s="118"/>
    </row>
    <row r="620" spans="1:22" ht="13.2">
      <c r="A620" s="102"/>
      <c r="B620" s="102"/>
      <c r="C620" s="104"/>
      <c r="D620" s="105"/>
      <c r="E620" s="106"/>
      <c r="F620" s="107"/>
      <c r="G620" s="108"/>
      <c r="H620" s="109"/>
      <c r="I620" s="110"/>
      <c r="J620" s="110"/>
      <c r="K620" s="119"/>
      <c r="L620" s="111" t="str">
        <f t="shared" si="114"/>
        <v/>
      </c>
      <c r="M620" s="112" t="str">
        <f t="shared" si="115"/>
        <v/>
      </c>
      <c r="N620" s="112" t="str">
        <f t="shared" si="116"/>
        <v/>
      </c>
      <c r="O620" s="112" t="str">
        <f t="shared" si="108"/>
        <v xml:space="preserve"> </v>
      </c>
      <c r="P620" s="113" t="str">
        <f t="shared" si="109"/>
        <v/>
      </c>
      <c r="Q620" s="114" t="str">
        <f t="shared" si="110"/>
        <v/>
      </c>
      <c r="R620" s="115" t="str">
        <f t="shared" si="111"/>
        <v/>
      </c>
      <c r="S620" s="115" t="str">
        <f t="shared" si="112"/>
        <v/>
      </c>
      <c r="T620" s="116" t="str">
        <f t="shared" si="113"/>
        <v/>
      </c>
      <c r="U620" s="120"/>
      <c r="V620" s="118"/>
    </row>
    <row r="621" spans="1:22" ht="13.2">
      <c r="A621" s="102"/>
      <c r="B621" s="102"/>
      <c r="C621" s="104"/>
      <c r="D621" s="105"/>
      <c r="E621" s="106"/>
      <c r="F621" s="107"/>
      <c r="G621" s="108"/>
      <c r="H621" s="109"/>
      <c r="I621" s="110"/>
      <c r="J621" s="110"/>
      <c r="K621" s="119"/>
      <c r="L621" s="111" t="str">
        <f t="shared" si="114"/>
        <v/>
      </c>
      <c r="M621" s="112" t="str">
        <f t="shared" si="115"/>
        <v/>
      </c>
      <c r="N621" s="112" t="str">
        <f t="shared" si="116"/>
        <v/>
      </c>
      <c r="O621" s="112" t="str">
        <f t="shared" si="108"/>
        <v xml:space="preserve"> </v>
      </c>
      <c r="P621" s="113" t="str">
        <f t="shared" si="109"/>
        <v/>
      </c>
      <c r="Q621" s="114" t="str">
        <f t="shared" si="110"/>
        <v/>
      </c>
      <c r="R621" s="115" t="str">
        <f t="shared" si="111"/>
        <v/>
      </c>
      <c r="S621" s="115" t="str">
        <f t="shared" si="112"/>
        <v/>
      </c>
      <c r="T621" s="116" t="str">
        <f t="shared" si="113"/>
        <v/>
      </c>
      <c r="U621" s="120"/>
      <c r="V621" s="118"/>
    </row>
    <row r="622" spans="1:22" ht="13.2">
      <c r="A622" s="102"/>
      <c r="B622" s="102"/>
      <c r="C622" s="104"/>
      <c r="D622" s="105"/>
      <c r="E622" s="106"/>
      <c r="F622" s="107"/>
      <c r="G622" s="108"/>
      <c r="H622" s="109"/>
      <c r="I622" s="110"/>
      <c r="J622" s="110"/>
      <c r="K622" s="119"/>
      <c r="L622" s="111" t="str">
        <f t="shared" si="114"/>
        <v/>
      </c>
      <c r="M622" s="112" t="str">
        <f t="shared" si="115"/>
        <v/>
      </c>
      <c r="N622" s="112" t="str">
        <f t="shared" si="116"/>
        <v/>
      </c>
      <c r="O622" s="112" t="str">
        <f t="shared" si="108"/>
        <v xml:space="preserve"> </v>
      </c>
      <c r="P622" s="113" t="str">
        <f t="shared" si="109"/>
        <v/>
      </c>
      <c r="Q622" s="114" t="str">
        <f t="shared" si="110"/>
        <v/>
      </c>
      <c r="R622" s="115" t="str">
        <f t="shared" si="111"/>
        <v/>
      </c>
      <c r="S622" s="115" t="str">
        <f t="shared" si="112"/>
        <v/>
      </c>
      <c r="T622" s="116" t="str">
        <f t="shared" si="113"/>
        <v/>
      </c>
      <c r="U622" s="120"/>
      <c r="V622" s="118"/>
    </row>
    <row r="623" spans="1:22" ht="13.2">
      <c r="A623" s="102"/>
      <c r="B623" s="102"/>
      <c r="C623" s="104"/>
      <c r="D623" s="105"/>
      <c r="E623" s="106"/>
      <c r="F623" s="107"/>
      <c r="G623" s="108"/>
      <c r="H623" s="109"/>
      <c r="I623" s="110"/>
      <c r="J623" s="110"/>
      <c r="K623" s="119"/>
      <c r="L623" s="111" t="str">
        <f t="shared" si="114"/>
        <v/>
      </c>
      <c r="M623" s="112" t="str">
        <f t="shared" si="115"/>
        <v/>
      </c>
      <c r="N623" s="112" t="str">
        <f t="shared" si="116"/>
        <v/>
      </c>
      <c r="O623" s="112" t="str">
        <f t="shared" si="108"/>
        <v xml:space="preserve"> </v>
      </c>
      <c r="P623" s="113" t="str">
        <f t="shared" si="109"/>
        <v/>
      </c>
      <c r="Q623" s="114" t="str">
        <f t="shared" si="110"/>
        <v/>
      </c>
      <c r="R623" s="115" t="str">
        <f t="shared" si="111"/>
        <v/>
      </c>
      <c r="S623" s="115" t="str">
        <f t="shared" si="112"/>
        <v/>
      </c>
      <c r="T623" s="116" t="str">
        <f t="shared" si="113"/>
        <v/>
      </c>
      <c r="U623" s="120"/>
      <c r="V623" s="118"/>
    </row>
    <row r="624" spans="1:22" ht="13.2">
      <c r="A624" s="102"/>
      <c r="B624" s="102"/>
      <c r="C624" s="104"/>
      <c r="D624" s="105"/>
      <c r="E624" s="106"/>
      <c r="F624" s="107"/>
      <c r="G624" s="108"/>
      <c r="H624" s="109"/>
      <c r="I624" s="110"/>
      <c r="J624" s="110"/>
      <c r="K624" s="110"/>
      <c r="L624" s="111" t="str">
        <f t="shared" si="114"/>
        <v/>
      </c>
      <c r="M624" s="112" t="str">
        <f t="shared" si="115"/>
        <v/>
      </c>
      <c r="N624" s="112" t="str">
        <f t="shared" si="116"/>
        <v/>
      </c>
      <c r="O624" s="112" t="str">
        <f t="shared" si="108"/>
        <v xml:space="preserve"> </v>
      </c>
      <c r="P624" s="113" t="str">
        <f t="shared" si="109"/>
        <v/>
      </c>
      <c r="Q624" s="114" t="str">
        <f t="shared" si="110"/>
        <v/>
      </c>
      <c r="R624" s="115" t="str">
        <f t="shared" si="111"/>
        <v/>
      </c>
      <c r="S624" s="115" t="str">
        <f t="shared" si="112"/>
        <v/>
      </c>
      <c r="T624" s="116" t="str">
        <f t="shared" si="113"/>
        <v/>
      </c>
      <c r="U624" s="120"/>
      <c r="V624" s="118"/>
    </row>
    <row r="625" spans="1:22" ht="13.2">
      <c r="A625" s="102"/>
      <c r="B625" s="102"/>
      <c r="C625" s="104"/>
      <c r="D625" s="105"/>
      <c r="E625" s="106"/>
      <c r="F625" s="107"/>
      <c r="G625" s="108"/>
      <c r="H625" s="109"/>
      <c r="I625" s="110"/>
      <c r="J625" s="110"/>
      <c r="K625" s="119"/>
      <c r="L625" s="111" t="str">
        <f t="shared" si="114"/>
        <v/>
      </c>
      <c r="M625" s="112" t="str">
        <f t="shared" si="115"/>
        <v/>
      </c>
      <c r="N625" s="112" t="str">
        <f t="shared" si="116"/>
        <v/>
      </c>
      <c r="O625" s="112" t="str">
        <f t="shared" si="108"/>
        <v xml:space="preserve"> </v>
      </c>
      <c r="P625" s="113" t="str">
        <f t="shared" si="109"/>
        <v/>
      </c>
      <c r="Q625" s="114" t="str">
        <f t="shared" si="110"/>
        <v/>
      </c>
      <c r="R625" s="115" t="str">
        <f t="shared" si="111"/>
        <v/>
      </c>
      <c r="S625" s="115" t="str">
        <f t="shared" si="112"/>
        <v/>
      </c>
      <c r="T625" s="116" t="str">
        <f t="shared" si="113"/>
        <v/>
      </c>
      <c r="U625" s="120"/>
      <c r="V625" s="118"/>
    </row>
    <row r="626" spans="1:22" ht="13.2">
      <c r="A626" s="102"/>
      <c r="B626" s="102"/>
      <c r="C626" s="104"/>
      <c r="D626" s="105"/>
      <c r="E626" s="106"/>
      <c r="F626" s="107"/>
      <c r="G626" s="108"/>
      <c r="H626" s="109"/>
      <c r="I626" s="110"/>
      <c r="J626" s="110"/>
      <c r="K626" s="119"/>
      <c r="L626" s="111" t="str">
        <f t="shared" si="114"/>
        <v/>
      </c>
      <c r="M626" s="112" t="str">
        <f t="shared" si="115"/>
        <v/>
      </c>
      <c r="N626" s="112" t="str">
        <f t="shared" si="116"/>
        <v/>
      </c>
      <c r="O626" s="112" t="str">
        <f t="shared" si="108"/>
        <v xml:space="preserve"> </v>
      </c>
      <c r="P626" s="113" t="str">
        <f t="shared" si="109"/>
        <v/>
      </c>
      <c r="Q626" s="114" t="str">
        <f t="shared" si="110"/>
        <v/>
      </c>
      <c r="R626" s="115" t="str">
        <f t="shared" si="111"/>
        <v/>
      </c>
      <c r="S626" s="115" t="str">
        <f t="shared" si="112"/>
        <v/>
      </c>
      <c r="T626" s="116" t="str">
        <f t="shared" si="113"/>
        <v/>
      </c>
      <c r="U626" s="120"/>
      <c r="V626" s="118"/>
    </row>
    <row r="627" spans="1:22" ht="13.2">
      <c r="A627" s="102"/>
      <c r="B627" s="102"/>
      <c r="C627" s="104"/>
      <c r="D627" s="105"/>
      <c r="E627" s="106"/>
      <c r="F627" s="107"/>
      <c r="G627" s="108"/>
      <c r="H627" s="109"/>
      <c r="I627" s="110"/>
      <c r="J627" s="110"/>
      <c r="K627" s="119"/>
      <c r="L627" s="111" t="str">
        <f t="shared" si="114"/>
        <v/>
      </c>
      <c r="M627" s="112" t="str">
        <f t="shared" si="115"/>
        <v/>
      </c>
      <c r="N627" s="112" t="str">
        <f t="shared" si="116"/>
        <v/>
      </c>
      <c r="O627" s="112" t="str">
        <f t="shared" si="108"/>
        <v xml:space="preserve"> </v>
      </c>
      <c r="P627" s="113" t="str">
        <f t="shared" si="109"/>
        <v/>
      </c>
      <c r="Q627" s="114" t="str">
        <f t="shared" si="110"/>
        <v/>
      </c>
      <c r="R627" s="115" t="str">
        <f t="shared" si="111"/>
        <v/>
      </c>
      <c r="S627" s="115" t="str">
        <f t="shared" si="112"/>
        <v/>
      </c>
      <c r="T627" s="116" t="str">
        <f t="shared" si="113"/>
        <v/>
      </c>
      <c r="U627" s="120"/>
      <c r="V627" s="118"/>
    </row>
    <row r="628" spans="1:22" ht="13.2">
      <c r="A628" s="102"/>
      <c r="B628" s="102"/>
      <c r="C628" s="104"/>
      <c r="D628" s="105"/>
      <c r="E628" s="106"/>
      <c r="F628" s="107"/>
      <c r="G628" s="108"/>
      <c r="H628" s="109"/>
      <c r="I628" s="110"/>
      <c r="J628" s="110"/>
      <c r="K628" s="119"/>
      <c r="L628" s="111" t="str">
        <f t="shared" si="114"/>
        <v/>
      </c>
      <c r="M628" s="112" t="str">
        <f t="shared" si="115"/>
        <v/>
      </c>
      <c r="N628" s="112" t="str">
        <f t="shared" si="116"/>
        <v/>
      </c>
      <c r="O628" s="112" t="str">
        <f t="shared" si="108"/>
        <v xml:space="preserve"> </v>
      </c>
      <c r="P628" s="113" t="str">
        <f t="shared" si="109"/>
        <v/>
      </c>
      <c r="Q628" s="114" t="str">
        <f t="shared" si="110"/>
        <v/>
      </c>
      <c r="R628" s="115" t="str">
        <f t="shared" si="111"/>
        <v/>
      </c>
      <c r="S628" s="115" t="str">
        <f t="shared" si="112"/>
        <v/>
      </c>
      <c r="T628" s="116" t="str">
        <f t="shared" si="113"/>
        <v/>
      </c>
      <c r="U628" s="120"/>
      <c r="V628" s="118"/>
    </row>
    <row r="629" spans="1:22" ht="13.2">
      <c r="A629" s="102"/>
      <c r="B629" s="103"/>
      <c r="C629" s="104"/>
      <c r="D629" s="105"/>
      <c r="E629" s="106"/>
      <c r="F629" s="107"/>
      <c r="G629" s="108"/>
      <c r="H629" s="121"/>
      <c r="I629" s="122"/>
      <c r="J629" s="122"/>
      <c r="K629" s="123"/>
      <c r="L629" s="111" t="str">
        <f t="shared" si="114"/>
        <v/>
      </c>
      <c r="M629" s="112" t="str">
        <f t="shared" si="115"/>
        <v/>
      </c>
      <c r="N629" s="112" t="str">
        <f t="shared" si="116"/>
        <v/>
      </c>
      <c r="O629" s="112" t="str">
        <f t="shared" si="108"/>
        <v xml:space="preserve"> </v>
      </c>
      <c r="P629" s="113" t="str">
        <f t="shared" si="109"/>
        <v/>
      </c>
      <c r="Q629" s="114" t="str">
        <f t="shared" si="110"/>
        <v/>
      </c>
      <c r="R629" s="115" t="str">
        <f t="shared" si="111"/>
        <v/>
      </c>
      <c r="S629" s="115" t="str">
        <f t="shared" si="112"/>
        <v/>
      </c>
      <c r="T629" s="116" t="str">
        <f t="shared" si="113"/>
        <v/>
      </c>
      <c r="U629" s="120"/>
      <c r="V629" s="118"/>
    </row>
    <row r="630" spans="1:22" ht="13.2">
      <c r="A630" s="102"/>
      <c r="B630" s="103"/>
      <c r="C630" s="104"/>
      <c r="D630" s="105"/>
      <c r="E630" s="106"/>
      <c r="F630" s="107"/>
      <c r="G630" s="108"/>
      <c r="H630" s="121"/>
      <c r="I630" s="122"/>
      <c r="J630" s="122"/>
      <c r="K630" s="123"/>
      <c r="L630" s="111" t="str">
        <f t="shared" si="114"/>
        <v/>
      </c>
      <c r="M630" s="112" t="str">
        <f t="shared" si="115"/>
        <v/>
      </c>
      <c r="N630" s="112" t="str">
        <f t="shared" si="116"/>
        <v/>
      </c>
      <c r="O630" s="112" t="str">
        <f t="shared" si="108"/>
        <v xml:space="preserve"> </v>
      </c>
      <c r="P630" s="113" t="str">
        <f t="shared" si="109"/>
        <v/>
      </c>
      <c r="Q630" s="114" t="str">
        <f t="shared" si="110"/>
        <v/>
      </c>
      <c r="R630" s="115" t="str">
        <f t="shared" si="111"/>
        <v/>
      </c>
      <c r="S630" s="115" t="str">
        <f t="shared" si="112"/>
        <v/>
      </c>
      <c r="T630" s="116" t="str">
        <f t="shared" si="113"/>
        <v/>
      </c>
      <c r="U630" s="120"/>
      <c r="V630" s="118"/>
    </row>
    <row r="631" spans="1:22" ht="13.2">
      <c r="A631" s="102"/>
      <c r="B631" s="103"/>
      <c r="C631" s="104"/>
      <c r="D631" s="105"/>
      <c r="E631" s="106"/>
      <c r="F631" s="107"/>
      <c r="G631" s="108"/>
      <c r="H631" s="121"/>
      <c r="I631" s="122"/>
      <c r="J631" s="122"/>
      <c r="K631" s="123"/>
      <c r="L631" s="111" t="str">
        <f t="shared" si="114"/>
        <v/>
      </c>
      <c r="M631" s="112" t="str">
        <f t="shared" si="115"/>
        <v/>
      </c>
      <c r="N631" s="112" t="str">
        <f t="shared" si="116"/>
        <v/>
      </c>
      <c r="O631" s="112" t="str">
        <f t="shared" si="108"/>
        <v xml:space="preserve"> </v>
      </c>
      <c r="P631" s="113" t="str">
        <f t="shared" si="109"/>
        <v/>
      </c>
      <c r="Q631" s="114" t="str">
        <f t="shared" si="110"/>
        <v/>
      </c>
      <c r="R631" s="115" t="str">
        <f t="shared" si="111"/>
        <v/>
      </c>
      <c r="S631" s="115" t="str">
        <f t="shared" si="112"/>
        <v/>
      </c>
      <c r="T631" s="116" t="str">
        <f t="shared" si="113"/>
        <v/>
      </c>
      <c r="U631" s="120"/>
      <c r="V631" s="118"/>
    </row>
    <row r="632" spans="1:22" ht="13.2">
      <c r="A632" s="102"/>
      <c r="B632" s="102"/>
      <c r="C632" s="103"/>
      <c r="D632" s="105"/>
      <c r="E632" s="106"/>
      <c r="F632" s="107"/>
      <c r="G632" s="108"/>
      <c r="H632" s="109"/>
      <c r="I632" s="110"/>
      <c r="J632" s="110"/>
      <c r="K632" s="119"/>
      <c r="L632" s="111" t="str">
        <f t="shared" si="114"/>
        <v/>
      </c>
      <c r="M632" s="112" t="str">
        <f t="shared" si="115"/>
        <v/>
      </c>
      <c r="N632" s="112" t="str">
        <f t="shared" si="116"/>
        <v/>
      </c>
      <c r="O632" s="112" t="str">
        <f t="shared" si="108"/>
        <v xml:space="preserve"> </v>
      </c>
      <c r="P632" s="113" t="str">
        <f t="shared" si="109"/>
        <v/>
      </c>
      <c r="Q632" s="114" t="str">
        <f t="shared" si="110"/>
        <v/>
      </c>
      <c r="R632" s="115" t="str">
        <f t="shared" si="111"/>
        <v/>
      </c>
      <c r="S632" s="115" t="str">
        <f t="shared" si="112"/>
        <v/>
      </c>
      <c r="T632" s="116" t="str">
        <f t="shared" si="113"/>
        <v/>
      </c>
      <c r="U632" s="120"/>
      <c r="V632" s="118"/>
    </row>
    <row r="633" spans="1:22" ht="13.2">
      <c r="A633" s="102"/>
      <c r="B633" s="102"/>
      <c r="C633" s="103"/>
      <c r="D633" s="105"/>
      <c r="E633" s="106"/>
      <c r="F633" s="107"/>
      <c r="G633" s="108"/>
      <c r="H633" s="109"/>
      <c r="I633" s="110"/>
      <c r="J633" s="110"/>
      <c r="K633" s="119"/>
      <c r="L633" s="111" t="str">
        <f t="shared" si="114"/>
        <v/>
      </c>
      <c r="M633" s="112" t="str">
        <f t="shared" si="115"/>
        <v/>
      </c>
      <c r="N633" s="112" t="str">
        <f t="shared" si="116"/>
        <v/>
      </c>
      <c r="O633" s="112" t="str">
        <f t="shared" si="108"/>
        <v xml:space="preserve"> </v>
      </c>
      <c r="P633" s="113" t="str">
        <f t="shared" si="109"/>
        <v/>
      </c>
      <c r="Q633" s="114" t="str">
        <f t="shared" si="110"/>
        <v/>
      </c>
      <c r="R633" s="115" t="str">
        <f t="shared" si="111"/>
        <v/>
      </c>
      <c r="S633" s="115" t="str">
        <f t="shared" si="112"/>
        <v/>
      </c>
      <c r="T633" s="116" t="str">
        <f t="shared" si="113"/>
        <v/>
      </c>
      <c r="U633" s="120"/>
      <c r="V633" s="118"/>
    </row>
    <row r="634" spans="1:22" ht="13.2">
      <c r="A634" s="102"/>
      <c r="B634" s="102"/>
      <c r="C634" s="104"/>
      <c r="D634" s="105"/>
      <c r="E634" s="106"/>
      <c r="F634" s="107"/>
      <c r="G634" s="108"/>
      <c r="H634" s="109"/>
      <c r="I634" s="110"/>
      <c r="J634" s="110"/>
      <c r="K634" s="119"/>
      <c r="L634" s="111" t="str">
        <f t="shared" si="114"/>
        <v/>
      </c>
      <c r="M634" s="112" t="str">
        <f t="shared" si="115"/>
        <v/>
      </c>
      <c r="N634" s="112" t="str">
        <f t="shared" si="116"/>
        <v/>
      </c>
      <c r="O634" s="112" t="str">
        <f t="shared" si="108"/>
        <v xml:space="preserve"> </v>
      </c>
      <c r="P634" s="113" t="str">
        <f t="shared" si="109"/>
        <v/>
      </c>
      <c r="Q634" s="114" t="str">
        <f t="shared" si="110"/>
        <v/>
      </c>
      <c r="R634" s="115" t="str">
        <f t="shared" si="111"/>
        <v/>
      </c>
      <c r="S634" s="115" t="str">
        <f t="shared" si="112"/>
        <v/>
      </c>
      <c r="T634" s="116" t="str">
        <f t="shared" si="113"/>
        <v/>
      </c>
      <c r="U634" s="120"/>
      <c r="V634" s="118"/>
    </row>
    <row r="635" spans="1:22" ht="13.2">
      <c r="A635" s="102"/>
      <c r="B635" s="102"/>
      <c r="C635" s="104"/>
      <c r="D635" s="105"/>
      <c r="E635" s="106"/>
      <c r="F635" s="107"/>
      <c r="G635" s="108"/>
      <c r="H635" s="109"/>
      <c r="I635" s="110"/>
      <c r="J635" s="110"/>
      <c r="K635" s="119"/>
      <c r="L635" s="111" t="str">
        <f t="shared" si="114"/>
        <v/>
      </c>
      <c r="M635" s="112" t="str">
        <f t="shared" si="115"/>
        <v/>
      </c>
      <c r="N635" s="112" t="str">
        <f t="shared" si="116"/>
        <v/>
      </c>
      <c r="O635" s="112" t="str">
        <f t="shared" si="108"/>
        <v xml:space="preserve"> </v>
      </c>
      <c r="P635" s="113" t="str">
        <f t="shared" si="109"/>
        <v/>
      </c>
      <c r="Q635" s="114" t="str">
        <f t="shared" si="110"/>
        <v/>
      </c>
      <c r="R635" s="115" t="str">
        <f t="shared" si="111"/>
        <v/>
      </c>
      <c r="S635" s="115" t="str">
        <f t="shared" si="112"/>
        <v/>
      </c>
      <c r="T635" s="116" t="str">
        <f t="shared" si="113"/>
        <v/>
      </c>
      <c r="U635" s="120"/>
      <c r="V635" s="118"/>
    </row>
    <row r="636" spans="1:22" ht="13.2">
      <c r="A636" s="102"/>
      <c r="B636" s="102"/>
      <c r="C636" s="104"/>
      <c r="D636" s="105"/>
      <c r="E636" s="106"/>
      <c r="F636" s="107"/>
      <c r="G636" s="108"/>
      <c r="H636" s="109"/>
      <c r="I636" s="110"/>
      <c r="J636" s="110"/>
      <c r="K636" s="119"/>
      <c r="L636" s="111" t="str">
        <f t="shared" si="114"/>
        <v/>
      </c>
      <c r="M636" s="112" t="str">
        <f t="shared" si="115"/>
        <v/>
      </c>
      <c r="N636" s="112" t="str">
        <f t="shared" si="116"/>
        <v/>
      </c>
      <c r="O636" s="112" t="str">
        <f t="shared" si="108"/>
        <v xml:space="preserve"> </v>
      </c>
      <c r="P636" s="113" t="str">
        <f t="shared" si="109"/>
        <v/>
      </c>
      <c r="Q636" s="114" t="str">
        <f t="shared" si="110"/>
        <v/>
      </c>
      <c r="R636" s="115" t="str">
        <f t="shared" si="111"/>
        <v/>
      </c>
      <c r="S636" s="115" t="str">
        <f t="shared" si="112"/>
        <v/>
      </c>
      <c r="T636" s="116" t="str">
        <f t="shared" si="113"/>
        <v/>
      </c>
      <c r="U636" s="120"/>
      <c r="V636" s="118"/>
    </row>
    <row r="637" spans="1:22" ht="13.2">
      <c r="A637" s="102"/>
      <c r="B637" s="102"/>
      <c r="C637" s="104"/>
      <c r="D637" s="105"/>
      <c r="E637" s="106"/>
      <c r="F637" s="107"/>
      <c r="G637" s="108"/>
      <c r="H637" s="109"/>
      <c r="I637" s="110"/>
      <c r="J637" s="110"/>
      <c r="K637" s="119"/>
      <c r="L637" s="111" t="str">
        <f t="shared" si="114"/>
        <v/>
      </c>
      <c r="M637" s="112" t="str">
        <f t="shared" si="115"/>
        <v/>
      </c>
      <c r="N637" s="112" t="str">
        <f t="shared" si="116"/>
        <v/>
      </c>
      <c r="O637" s="112" t="str">
        <f t="shared" si="108"/>
        <v xml:space="preserve"> </v>
      </c>
      <c r="P637" s="113" t="str">
        <f t="shared" si="109"/>
        <v/>
      </c>
      <c r="Q637" s="114" t="str">
        <f t="shared" si="110"/>
        <v/>
      </c>
      <c r="R637" s="115" t="str">
        <f t="shared" si="111"/>
        <v/>
      </c>
      <c r="S637" s="115" t="str">
        <f t="shared" si="112"/>
        <v/>
      </c>
      <c r="T637" s="116" t="str">
        <f t="shared" si="113"/>
        <v/>
      </c>
      <c r="U637" s="120"/>
      <c r="V637" s="118"/>
    </row>
    <row r="638" spans="1:22" ht="13.2">
      <c r="A638" s="102"/>
      <c r="B638" s="102"/>
      <c r="C638" s="104"/>
      <c r="D638" s="105"/>
      <c r="E638" s="106"/>
      <c r="F638" s="107"/>
      <c r="G638" s="108"/>
      <c r="H638" s="109"/>
      <c r="I638" s="110"/>
      <c r="J638" s="110"/>
      <c r="K638" s="119"/>
      <c r="L638" s="111" t="str">
        <f t="shared" si="114"/>
        <v/>
      </c>
      <c r="M638" s="112" t="str">
        <f t="shared" si="115"/>
        <v/>
      </c>
      <c r="N638" s="112" t="str">
        <f t="shared" si="116"/>
        <v/>
      </c>
      <c r="O638" s="112" t="str">
        <f t="shared" ref="O638:O701" si="117">IF(ISERR(I638/I638)=TRUE," ",AVERAGE(I638:K638))</f>
        <v xml:space="preserve"> </v>
      </c>
      <c r="P638" s="113" t="str">
        <f t="shared" ref="P638:P701" si="118">IF(ISBLANK($E638),"",IF(ISNUMBER(F638)=FALSE,"BAD TOL", IF(F638=0,"N/A",IF(ISERR(I638/I638)=TRUE,"BAD INSP",IF(AND(ISNUMBER($I638),ISNUMBER($J638),ISNUMBER($K638))=FALSE,"BAD INSP",IF(MAX($I638:$K638)&lt;$E638,0,(MAX($I638:$K638)-$E638)/$F638))))))</f>
        <v/>
      </c>
      <c r="Q638" s="114" t="str">
        <f t="shared" ref="Q638:Q701" si="119">IF(ISBLANK($E638),"",IF(ISNUMBER(G638)=FALSE,"BAD TOL",IF(G638=0,"N/A",IF(ISERR(I638/I638)=TRUE,"BAD INSP",IF(AND(ISNUMBER($I638),ISNUMBER($J638),ISNUMBER($K638))=FALSE,"BAD INSP",IF(MIN(I638:K638)&gt;$E638,0,($E638-MIN(I638:K638))/G638))))))</f>
        <v/>
      </c>
      <c r="R638" s="115" t="str">
        <f t="shared" ref="R638:R701" si="120">IF(ISBLANK($E638),"",IF(ISNUMBER($P638)=TRUE,IF($P638&gt;0.651,IF($P638&gt;1.001,"Reject","Alert")," "),IF(AND(F638=0, ISNUMBER(F638)),IF(MAX(I638:K638)&gt;(E638+F638),"Reject",IF(MAX(I638:K638)=(E638+F638),"Alert","")),"Reject")))</f>
        <v/>
      </c>
      <c r="S638" s="115" t="str">
        <f t="shared" ref="S638:S701" si="121">IF(ISBLANK($E638),"",IF(ISNUMBER($Q638)=TRUE,IF($Q638&gt;0.651,IF($Q638&gt;1.001,"Reject","Alert")," "),IF(AND(G638=0, ISNUMBER(G638)),IF(MIN(I638:K638)&lt;(E638-G638),"Reject",IF(MIN(I638:K638)=(E638-G638),"Alert","")),"Reject")))</f>
        <v/>
      </c>
      <c r="T638" s="116" t="str">
        <f t="shared" ref="T638:T701" si="122">IF(OR(R638="Reject",S638="Reject"),"Reject",IF(OR(R638="Alert",S638="Alert"),"Alert", ""))</f>
        <v/>
      </c>
      <c r="U638" s="120"/>
      <c r="V638" s="118"/>
    </row>
    <row r="639" spans="1:22" ht="13.2">
      <c r="A639" s="102"/>
      <c r="B639" s="102"/>
      <c r="C639" s="104"/>
      <c r="D639" s="105"/>
      <c r="E639" s="106"/>
      <c r="F639" s="107"/>
      <c r="G639" s="108"/>
      <c r="H639" s="109"/>
      <c r="I639" s="110"/>
      <c r="J639" s="110"/>
      <c r="K639" s="110"/>
      <c r="L639" s="111" t="str">
        <f t="shared" si="114"/>
        <v/>
      </c>
      <c r="M639" s="112" t="str">
        <f t="shared" si="115"/>
        <v/>
      </c>
      <c r="N639" s="112" t="str">
        <f t="shared" si="116"/>
        <v/>
      </c>
      <c r="O639" s="112" t="str">
        <f t="shared" si="117"/>
        <v xml:space="preserve"> </v>
      </c>
      <c r="P639" s="113" t="str">
        <f t="shared" si="118"/>
        <v/>
      </c>
      <c r="Q639" s="114" t="str">
        <f t="shared" si="119"/>
        <v/>
      </c>
      <c r="R639" s="115" t="str">
        <f t="shared" si="120"/>
        <v/>
      </c>
      <c r="S639" s="115" t="str">
        <f t="shared" si="121"/>
        <v/>
      </c>
      <c r="T639" s="116" t="str">
        <f t="shared" si="122"/>
        <v/>
      </c>
      <c r="U639" s="120"/>
      <c r="V639" s="118"/>
    </row>
    <row r="640" spans="1:22" ht="13.2">
      <c r="A640" s="102"/>
      <c r="B640" s="102"/>
      <c r="C640" s="104"/>
      <c r="D640" s="105"/>
      <c r="E640" s="106"/>
      <c r="F640" s="107"/>
      <c r="G640" s="108"/>
      <c r="H640" s="109"/>
      <c r="I640" s="110"/>
      <c r="J640" s="110"/>
      <c r="K640" s="119"/>
      <c r="L640" s="111" t="str">
        <f t="shared" si="114"/>
        <v/>
      </c>
      <c r="M640" s="112" t="str">
        <f t="shared" si="115"/>
        <v/>
      </c>
      <c r="N640" s="112" t="str">
        <f t="shared" si="116"/>
        <v/>
      </c>
      <c r="O640" s="112" t="str">
        <f t="shared" si="117"/>
        <v xml:space="preserve"> </v>
      </c>
      <c r="P640" s="113" t="str">
        <f t="shared" si="118"/>
        <v/>
      </c>
      <c r="Q640" s="114" t="str">
        <f t="shared" si="119"/>
        <v/>
      </c>
      <c r="R640" s="115" t="str">
        <f t="shared" si="120"/>
        <v/>
      </c>
      <c r="S640" s="115" t="str">
        <f t="shared" si="121"/>
        <v/>
      </c>
      <c r="T640" s="116" t="str">
        <f t="shared" si="122"/>
        <v/>
      </c>
      <c r="U640" s="120"/>
      <c r="V640" s="118"/>
    </row>
    <row r="641" spans="1:22" ht="13.2">
      <c r="A641" s="102"/>
      <c r="B641" s="102"/>
      <c r="C641" s="104"/>
      <c r="D641" s="105"/>
      <c r="E641" s="106"/>
      <c r="F641" s="107"/>
      <c r="G641" s="108"/>
      <c r="H641" s="109"/>
      <c r="I641" s="110"/>
      <c r="J641" s="110"/>
      <c r="K641" s="119"/>
      <c r="L641" s="111" t="str">
        <f t="shared" si="114"/>
        <v/>
      </c>
      <c r="M641" s="112" t="str">
        <f t="shared" si="115"/>
        <v/>
      </c>
      <c r="N641" s="112" t="str">
        <f t="shared" si="116"/>
        <v/>
      </c>
      <c r="O641" s="112" t="str">
        <f t="shared" si="117"/>
        <v xml:space="preserve"> </v>
      </c>
      <c r="P641" s="113" t="str">
        <f t="shared" si="118"/>
        <v/>
      </c>
      <c r="Q641" s="114" t="str">
        <f t="shared" si="119"/>
        <v/>
      </c>
      <c r="R641" s="115" t="str">
        <f t="shared" si="120"/>
        <v/>
      </c>
      <c r="S641" s="115" t="str">
        <f t="shared" si="121"/>
        <v/>
      </c>
      <c r="T641" s="116" t="str">
        <f t="shared" si="122"/>
        <v/>
      </c>
      <c r="U641" s="120"/>
      <c r="V641" s="118"/>
    </row>
    <row r="642" spans="1:22" ht="13.2">
      <c r="A642" s="102"/>
      <c r="B642" s="102"/>
      <c r="C642" s="104"/>
      <c r="D642" s="105"/>
      <c r="E642" s="106"/>
      <c r="F642" s="107"/>
      <c r="G642" s="108"/>
      <c r="H642" s="109"/>
      <c r="I642" s="110"/>
      <c r="J642" s="110"/>
      <c r="K642" s="119"/>
      <c r="L642" s="111" t="str">
        <f t="shared" si="114"/>
        <v/>
      </c>
      <c r="M642" s="112" t="str">
        <f t="shared" si="115"/>
        <v/>
      </c>
      <c r="N642" s="112" t="str">
        <f t="shared" si="116"/>
        <v/>
      </c>
      <c r="O642" s="112" t="str">
        <f t="shared" si="117"/>
        <v xml:space="preserve"> </v>
      </c>
      <c r="P642" s="113" t="str">
        <f t="shared" si="118"/>
        <v/>
      </c>
      <c r="Q642" s="114" t="str">
        <f t="shared" si="119"/>
        <v/>
      </c>
      <c r="R642" s="115" t="str">
        <f t="shared" si="120"/>
        <v/>
      </c>
      <c r="S642" s="115" t="str">
        <f t="shared" si="121"/>
        <v/>
      </c>
      <c r="T642" s="116" t="str">
        <f t="shared" si="122"/>
        <v/>
      </c>
      <c r="U642" s="120"/>
      <c r="V642" s="118"/>
    </row>
    <row r="643" spans="1:22" ht="13.2">
      <c r="A643" s="102"/>
      <c r="B643" s="102"/>
      <c r="C643" s="104"/>
      <c r="D643" s="105"/>
      <c r="E643" s="106"/>
      <c r="F643" s="107"/>
      <c r="G643" s="108"/>
      <c r="H643" s="109"/>
      <c r="I643" s="110"/>
      <c r="J643" s="110"/>
      <c r="K643" s="119"/>
      <c r="L643" s="111" t="str">
        <f t="shared" si="114"/>
        <v/>
      </c>
      <c r="M643" s="112" t="str">
        <f t="shared" si="115"/>
        <v/>
      </c>
      <c r="N643" s="112" t="str">
        <f t="shared" si="116"/>
        <v/>
      </c>
      <c r="O643" s="112" t="str">
        <f t="shared" si="117"/>
        <v xml:space="preserve"> </v>
      </c>
      <c r="P643" s="113" t="str">
        <f t="shared" si="118"/>
        <v/>
      </c>
      <c r="Q643" s="114" t="str">
        <f t="shared" si="119"/>
        <v/>
      </c>
      <c r="R643" s="115" t="str">
        <f t="shared" si="120"/>
        <v/>
      </c>
      <c r="S643" s="115" t="str">
        <f t="shared" si="121"/>
        <v/>
      </c>
      <c r="T643" s="116" t="str">
        <f t="shared" si="122"/>
        <v/>
      </c>
      <c r="U643" s="120"/>
      <c r="V643" s="118"/>
    </row>
    <row r="644" spans="1:22" ht="13.2">
      <c r="A644" s="102"/>
      <c r="B644" s="103"/>
      <c r="C644" s="104"/>
      <c r="D644" s="105"/>
      <c r="E644" s="106"/>
      <c r="F644" s="107"/>
      <c r="G644" s="108"/>
      <c r="H644" s="121"/>
      <c r="I644" s="122"/>
      <c r="J644" s="122"/>
      <c r="K644" s="123"/>
      <c r="L644" s="111" t="str">
        <f t="shared" si="114"/>
        <v/>
      </c>
      <c r="M644" s="112" t="str">
        <f t="shared" si="115"/>
        <v/>
      </c>
      <c r="N644" s="112" t="str">
        <f t="shared" si="116"/>
        <v/>
      </c>
      <c r="O644" s="112" t="str">
        <f t="shared" si="117"/>
        <v xml:space="preserve"> </v>
      </c>
      <c r="P644" s="113" t="str">
        <f t="shared" si="118"/>
        <v/>
      </c>
      <c r="Q644" s="114" t="str">
        <f t="shared" si="119"/>
        <v/>
      </c>
      <c r="R644" s="115" t="str">
        <f t="shared" si="120"/>
        <v/>
      </c>
      <c r="S644" s="115" t="str">
        <f t="shared" si="121"/>
        <v/>
      </c>
      <c r="T644" s="116" t="str">
        <f t="shared" si="122"/>
        <v/>
      </c>
      <c r="U644" s="120"/>
      <c r="V644" s="118"/>
    </row>
    <row r="645" spans="1:22" ht="13.2">
      <c r="A645" s="102"/>
      <c r="B645" s="103"/>
      <c r="C645" s="104"/>
      <c r="D645" s="105"/>
      <c r="E645" s="106"/>
      <c r="F645" s="107"/>
      <c r="G645" s="108"/>
      <c r="H645" s="121"/>
      <c r="I645" s="122"/>
      <c r="J645" s="122"/>
      <c r="K645" s="123"/>
      <c r="L645" s="111" t="str">
        <f t="shared" si="114"/>
        <v/>
      </c>
      <c r="M645" s="112" t="str">
        <f t="shared" si="115"/>
        <v/>
      </c>
      <c r="N645" s="112" t="str">
        <f t="shared" si="116"/>
        <v/>
      </c>
      <c r="O645" s="112" t="str">
        <f t="shared" si="117"/>
        <v xml:space="preserve"> </v>
      </c>
      <c r="P645" s="113" t="str">
        <f t="shared" si="118"/>
        <v/>
      </c>
      <c r="Q645" s="114" t="str">
        <f t="shared" si="119"/>
        <v/>
      </c>
      <c r="R645" s="115" t="str">
        <f t="shared" si="120"/>
        <v/>
      </c>
      <c r="S645" s="115" t="str">
        <f t="shared" si="121"/>
        <v/>
      </c>
      <c r="T645" s="116" t="str">
        <f t="shared" si="122"/>
        <v/>
      </c>
      <c r="U645" s="120"/>
      <c r="V645" s="118"/>
    </row>
    <row r="646" spans="1:22" ht="13.2">
      <c r="A646" s="102"/>
      <c r="B646" s="103"/>
      <c r="C646" s="104"/>
      <c r="D646" s="105"/>
      <c r="E646" s="106"/>
      <c r="F646" s="107"/>
      <c r="G646" s="108"/>
      <c r="H646" s="121"/>
      <c r="I646" s="122"/>
      <c r="J646" s="122"/>
      <c r="K646" s="123"/>
      <c r="L646" s="111" t="str">
        <f t="shared" si="114"/>
        <v/>
      </c>
      <c r="M646" s="112" t="str">
        <f t="shared" si="115"/>
        <v/>
      </c>
      <c r="N646" s="112" t="str">
        <f t="shared" si="116"/>
        <v/>
      </c>
      <c r="O646" s="112" t="str">
        <f t="shared" si="117"/>
        <v xml:space="preserve"> </v>
      </c>
      <c r="P646" s="113" t="str">
        <f t="shared" si="118"/>
        <v/>
      </c>
      <c r="Q646" s="114" t="str">
        <f t="shared" si="119"/>
        <v/>
      </c>
      <c r="R646" s="115" t="str">
        <f t="shared" si="120"/>
        <v/>
      </c>
      <c r="S646" s="115" t="str">
        <f t="shared" si="121"/>
        <v/>
      </c>
      <c r="T646" s="116" t="str">
        <f t="shared" si="122"/>
        <v/>
      </c>
      <c r="U646" s="120"/>
      <c r="V646" s="118"/>
    </row>
    <row r="647" spans="1:22" ht="13.2">
      <c r="A647" s="102"/>
      <c r="B647" s="102"/>
      <c r="C647" s="103"/>
      <c r="D647" s="105"/>
      <c r="E647" s="106"/>
      <c r="F647" s="107"/>
      <c r="G647" s="108"/>
      <c r="H647" s="109"/>
      <c r="I647" s="110"/>
      <c r="J647" s="110"/>
      <c r="K647" s="119"/>
      <c r="L647" s="111" t="str">
        <f t="shared" si="114"/>
        <v/>
      </c>
      <c r="M647" s="112" t="str">
        <f t="shared" si="115"/>
        <v/>
      </c>
      <c r="N647" s="112" t="str">
        <f t="shared" si="116"/>
        <v/>
      </c>
      <c r="O647" s="112" t="str">
        <f t="shared" si="117"/>
        <v xml:space="preserve"> </v>
      </c>
      <c r="P647" s="113" t="str">
        <f t="shared" si="118"/>
        <v/>
      </c>
      <c r="Q647" s="114" t="str">
        <f t="shared" si="119"/>
        <v/>
      </c>
      <c r="R647" s="115" t="str">
        <f t="shared" si="120"/>
        <v/>
      </c>
      <c r="S647" s="115" t="str">
        <f t="shared" si="121"/>
        <v/>
      </c>
      <c r="T647" s="116" t="str">
        <f t="shared" si="122"/>
        <v/>
      </c>
      <c r="U647" s="120"/>
      <c r="V647" s="118"/>
    </row>
    <row r="648" spans="1:22" ht="13.2">
      <c r="A648" s="102"/>
      <c r="B648" s="102"/>
      <c r="C648" s="103"/>
      <c r="D648" s="105"/>
      <c r="E648" s="106"/>
      <c r="F648" s="107"/>
      <c r="G648" s="108"/>
      <c r="H648" s="109"/>
      <c r="I648" s="110"/>
      <c r="J648" s="110"/>
      <c r="K648" s="119"/>
      <c r="L648" s="111" t="str">
        <f t="shared" si="114"/>
        <v/>
      </c>
      <c r="M648" s="112" t="str">
        <f t="shared" si="115"/>
        <v/>
      </c>
      <c r="N648" s="112" t="str">
        <f t="shared" si="116"/>
        <v/>
      </c>
      <c r="O648" s="112" t="str">
        <f t="shared" si="117"/>
        <v xml:space="preserve"> </v>
      </c>
      <c r="P648" s="113" t="str">
        <f t="shared" si="118"/>
        <v/>
      </c>
      <c r="Q648" s="114" t="str">
        <f t="shared" si="119"/>
        <v/>
      </c>
      <c r="R648" s="115" t="str">
        <f t="shared" si="120"/>
        <v/>
      </c>
      <c r="S648" s="115" t="str">
        <f t="shared" si="121"/>
        <v/>
      </c>
      <c r="T648" s="116" t="str">
        <f t="shared" si="122"/>
        <v/>
      </c>
      <c r="U648" s="120"/>
      <c r="V648" s="118"/>
    </row>
    <row r="649" spans="1:22" ht="13.2">
      <c r="A649" s="102"/>
      <c r="B649" s="102"/>
      <c r="C649" s="104"/>
      <c r="D649" s="105"/>
      <c r="E649" s="106"/>
      <c r="F649" s="107"/>
      <c r="G649" s="108"/>
      <c r="H649" s="109"/>
      <c r="I649" s="110"/>
      <c r="J649" s="110"/>
      <c r="K649" s="119"/>
      <c r="L649" s="111" t="str">
        <f t="shared" si="114"/>
        <v/>
      </c>
      <c r="M649" s="112" t="str">
        <f t="shared" si="115"/>
        <v/>
      </c>
      <c r="N649" s="112" t="str">
        <f t="shared" si="116"/>
        <v/>
      </c>
      <c r="O649" s="112" t="str">
        <f t="shared" si="117"/>
        <v xml:space="preserve"> </v>
      </c>
      <c r="P649" s="113" t="str">
        <f t="shared" si="118"/>
        <v/>
      </c>
      <c r="Q649" s="114" t="str">
        <f t="shared" si="119"/>
        <v/>
      </c>
      <c r="R649" s="115" t="str">
        <f t="shared" si="120"/>
        <v/>
      </c>
      <c r="S649" s="115" t="str">
        <f t="shared" si="121"/>
        <v/>
      </c>
      <c r="T649" s="116" t="str">
        <f t="shared" si="122"/>
        <v/>
      </c>
      <c r="U649" s="120"/>
      <c r="V649" s="118"/>
    </row>
    <row r="650" spans="1:22" ht="13.2">
      <c r="A650" s="102"/>
      <c r="B650" s="102"/>
      <c r="C650" s="104"/>
      <c r="D650" s="105"/>
      <c r="E650" s="106"/>
      <c r="F650" s="107"/>
      <c r="G650" s="108"/>
      <c r="H650" s="109"/>
      <c r="I650" s="110"/>
      <c r="J650" s="110"/>
      <c r="K650" s="119"/>
      <c r="L650" s="111" t="str">
        <f t="shared" si="114"/>
        <v/>
      </c>
      <c r="M650" s="112" t="str">
        <f t="shared" si="115"/>
        <v/>
      </c>
      <c r="N650" s="112" t="str">
        <f t="shared" si="116"/>
        <v/>
      </c>
      <c r="O650" s="112" t="str">
        <f t="shared" si="117"/>
        <v xml:space="preserve"> </v>
      </c>
      <c r="P650" s="113" t="str">
        <f t="shared" si="118"/>
        <v/>
      </c>
      <c r="Q650" s="114" t="str">
        <f t="shared" si="119"/>
        <v/>
      </c>
      <c r="R650" s="115" t="str">
        <f t="shared" si="120"/>
        <v/>
      </c>
      <c r="S650" s="115" t="str">
        <f t="shared" si="121"/>
        <v/>
      </c>
      <c r="T650" s="116" t="str">
        <f t="shared" si="122"/>
        <v/>
      </c>
      <c r="U650" s="120"/>
      <c r="V650" s="118"/>
    </row>
    <row r="651" spans="1:22" ht="13.2">
      <c r="A651" s="102"/>
      <c r="B651" s="102"/>
      <c r="C651" s="104"/>
      <c r="D651" s="105"/>
      <c r="E651" s="106"/>
      <c r="F651" s="107"/>
      <c r="G651" s="108"/>
      <c r="H651" s="109"/>
      <c r="I651" s="110"/>
      <c r="J651" s="110"/>
      <c r="K651" s="119"/>
      <c r="L651" s="111" t="str">
        <f t="shared" si="114"/>
        <v/>
      </c>
      <c r="M651" s="112" t="str">
        <f t="shared" si="115"/>
        <v/>
      </c>
      <c r="N651" s="112" t="str">
        <f t="shared" si="116"/>
        <v/>
      </c>
      <c r="O651" s="112" t="str">
        <f t="shared" si="117"/>
        <v xml:space="preserve"> </v>
      </c>
      <c r="P651" s="113" t="str">
        <f t="shared" si="118"/>
        <v/>
      </c>
      <c r="Q651" s="114" t="str">
        <f t="shared" si="119"/>
        <v/>
      </c>
      <c r="R651" s="115" t="str">
        <f t="shared" si="120"/>
        <v/>
      </c>
      <c r="S651" s="115" t="str">
        <f t="shared" si="121"/>
        <v/>
      </c>
      <c r="T651" s="116" t="str">
        <f t="shared" si="122"/>
        <v/>
      </c>
      <c r="U651" s="120"/>
      <c r="V651" s="118"/>
    </row>
    <row r="652" spans="1:22" ht="13.2">
      <c r="A652" s="102"/>
      <c r="B652" s="102"/>
      <c r="C652" s="104"/>
      <c r="D652" s="105"/>
      <c r="E652" s="106"/>
      <c r="F652" s="107"/>
      <c r="G652" s="108"/>
      <c r="H652" s="109"/>
      <c r="I652" s="110"/>
      <c r="J652" s="110"/>
      <c r="K652" s="119"/>
      <c r="L652" s="111" t="str">
        <f t="shared" si="114"/>
        <v/>
      </c>
      <c r="M652" s="112" t="str">
        <f t="shared" si="115"/>
        <v/>
      </c>
      <c r="N652" s="112" t="str">
        <f t="shared" si="116"/>
        <v/>
      </c>
      <c r="O652" s="112" t="str">
        <f t="shared" si="117"/>
        <v xml:space="preserve"> </v>
      </c>
      <c r="P652" s="113" t="str">
        <f t="shared" si="118"/>
        <v/>
      </c>
      <c r="Q652" s="114" t="str">
        <f t="shared" si="119"/>
        <v/>
      </c>
      <c r="R652" s="115" t="str">
        <f t="shared" si="120"/>
        <v/>
      </c>
      <c r="S652" s="115" t="str">
        <f t="shared" si="121"/>
        <v/>
      </c>
      <c r="T652" s="116" t="str">
        <f t="shared" si="122"/>
        <v/>
      </c>
      <c r="U652" s="120"/>
      <c r="V652" s="118"/>
    </row>
    <row r="653" spans="1:22" ht="13.2">
      <c r="A653" s="102"/>
      <c r="B653" s="102"/>
      <c r="C653" s="104"/>
      <c r="D653" s="105"/>
      <c r="E653" s="106"/>
      <c r="F653" s="107"/>
      <c r="G653" s="108"/>
      <c r="H653" s="109"/>
      <c r="I653" s="110"/>
      <c r="J653" s="110"/>
      <c r="K653" s="119"/>
      <c r="L653" s="111" t="str">
        <f t="shared" si="114"/>
        <v/>
      </c>
      <c r="M653" s="112" t="str">
        <f t="shared" si="115"/>
        <v/>
      </c>
      <c r="N653" s="112" t="str">
        <f t="shared" si="116"/>
        <v/>
      </c>
      <c r="O653" s="112" t="str">
        <f t="shared" si="117"/>
        <v xml:space="preserve"> </v>
      </c>
      <c r="P653" s="113" t="str">
        <f t="shared" si="118"/>
        <v/>
      </c>
      <c r="Q653" s="114" t="str">
        <f t="shared" si="119"/>
        <v/>
      </c>
      <c r="R653" s="115" t="str">
        <f t="shared" si="120"/>
        <v/>
      </c>
      <c r="S653" s="115" t="str">
        <f t="shared" si="121"/>
        <v/>
      </c>
      <c r="T653" s="116" t="str">
        <f t="shared" si="122"/>
        <v/>
      </c>
      <c r="U653" s="120"/>
      <c r="V653" s="118"/>
    </row>
    <row r="654" spans="1:22" ht="13.2">
      <c r="A654" s="102"/>
      <c r="B654" s="102"/>
      <c r="C654" s="104"/>
      <c r="D654" s="105"/>
      <c r="E654" s="106"/>
      <c r="F654" s="107"/>
      <c r="G654" s="108"/>
      <c r="H654" s="109"/>
      <c r="I654" s="110"/>
      <c r="J654" s="110"/>
      <c r="K654" s="110"/>
      <c r="L654" s="111" t="str">
        <f t="shared" si="114"/>
        <v/>
      </c>
      <c r="M654" s="112" t="str">
        <f t="shared" si="115"/>
        <v/>
      </c>
      <c r="N654" s="112" t="str">
        <f t="shared" si="116"/>
        <v/>
      </c>
      <c r="O654" s="112" t="str">
        <f t="shared" si="117"/>
        <v xml:space="preserve"> </v>
      </c>
      <c r="P654" s="113" t="str">
        <f t="shared" si="118"/>
        <v/>
      </c>
      <c r="Q654" s="114" t="str">
        <f t="shared" si="119"/>
        <v/>
      </c>
      <c r="R654" s="115" t="str">
        <f t="shared" si="120"/>
        <v/>
      </c>
      <c r="S654" s="115" t="str">
        <f t="shared" si="121"/>
        <v/>
      </c>
      <c r="T654" s="116" t="str">
        <f t="shared" si="122"/>
        <v/>
      </c>
      <c r="U654" s="120"/>
      <c r="V654" s="118"/>
    </row>
    <row r="655" spans="1:22" ht="13.2">
      <c r="A655" s="102"/>
      <c r="B655" s="102"/>
      <c r="C655" s="104"/>
      <c r="D655" s="105"/>
      <c r="E655" s="106"/>
      <c r="F655" s="107"/>
      <c r="G655" s="108"/>
      <c r="H655" s="109"/>
      <c r="I655" s="110"/>
      <c r="J655" s="110"/>
      <c r="K655" s="119"/>
      <c r="L655" s="111" t="str">
        <f t="shared" si="114"/>
        <v/>
      </c>
      <c r="M655" s="112" t="str">
        <f t="shared" si="115"/>
        <v/>
      </c>
      <c r="N655" s="112" t="str">
        <f t="shared" si="116"/>
        <v/>
      </c>
      <c r="O655" s="112" t="str">
        <f t="shared" si="117"/>
        <v xml:space="preserve"> </v>
      </c>
      <c r="P655" s="113" t="str">
        <f t="shared" si="118"/>
        <v/>
      </c>
      <c r="Q655" s="114" t="str">
        <f t="shared" si="119"/>
        <v/>
      </c>
      <c r="R655" s="115" t="str">
        <f t="shared" si="120"/>
        <v/>
      </c>
      <c r="S655" s="115" t="str">
        <f t="shared" si="121"/>
        <v/>
      </c>
      <c r="T655" s="116" t="str">
        <f t="shared" si="122"/>
        <v/>
      </c>
      <c r="U655" s="120"/>
      <c r="V655" s="118"/>
    </row>
    <row r="656" spans="1:22" ht="13.2">
      <c r="A656" s="102"/>
      <c r="B656" s="102"/>
      <c r="C656" s="104"/>
      <c r="D656" s="105"/>
      <c r="E656" s="106"/>
      <c r="F656" s="107"/>
      <c r="G656" s="108"/>
      <c r="H656" s="109"/>
      <c r="I656" s="110"/>
      <c r="J656" s="110"/>
      <c r="K656" s="119"/>
      <c r="L656" s="111" t="str">
        <f t="shared" si="114"/>
        <v/>
      </c>
      <c r="M656" s="112" t="str">
        <f t="shared" si="115"/>
        <v/>
      </c>
      <c r="N656" s="112" t="str">
        <f t="shared" si="116"/>
        <v/>
      </c>
      <c r="O656" s="112" t="str">
        <f t="shared" si="117"/>
        <v xml:space="preserve"> </v>
      </c>
      <c r="P656" s="113" t="str">
        <f t="shared" si="118"/>
        <v/>
      </c>
      <c r="Q656" s="114" t="str">
        <f t="shared" si="119"/>
        <v/>
      </c>
      <c r="R656" s="115" t="str">
        <f t="shared" si="120"/>
        <v/>
      </c>
      <c r="S656" s="115" t="str">
        <f t="shared" si="121"/>
        <v/>
      </c>
      <c r="T656" s="116" t="str">
        <f t="shared" si="122"/>
        <v/>
      </c>
      <c r="U656" s="120"/>
      <c r="V656" s="118"/>
    </row>
    <row r="657" spans="1:22" ht="13.2">
      <c r="A657" s="102"/>
      <c r="B657" s="102"/>
      <c r="C657" s="104"/>
      <c r="D657" s="105"/>
      <c r="E657" s="106"/>
      <c r="F657" s="107"/>
      <c r="G657" s="108"/>
      <c r="H657" s="109"/>
      <c r="I657" s="110"/>
      <c r="J657" s="110"/>
      <c r="K657" s="119"/>
      <c r="L657" s="111" t="str">
        <f t="shared" si="114"/>
        <v/>
      </c>
      <c r="M657" s="112" t="str">
        <f t="shared" si="115"/>
        <v/>
      </c>
      <c r="N657" s="112" t="str">
        <f t="shared" si="116"/>
        <v/>
      </c>
      <c r="O657" s="112" t="str">
        <f t="shared" si="117"/>
        <v xml:space="preserve"> </v>
      </c>
      <c r="P657" s="113" t="str">
        <f t="shared" si="118"/>
        <v/>
      </c>
      <c r="Q657" s="114" t="str">
        <f t="shared" si="119"/>
        <v/>
      </c>
      <c r="R657" s="115" t="str">
        <f t="shared" si="120"/>
        <v/>
      </c>
      <c r="S657" s="115" t="str">
        <f t="shared" si="121"/>
        <v/>
      </c>
      <c r="T657" s="116" t="str">
        <f t="shared" si="122"/>
        <v/>
      </c>
      <c r="U657" s="120"/>
      <c r="V657" s="118"/>
    </row>
    <row r="658" spans="1:22" ht="13.2">
      <c r="A658" s="102"/>
      <c r="B658" s="102"/>
      <c r="C658" s="104"/>
      <c r="D658" s="105"/>
      <c r="E658" s="106"/>
      <c r="F658" s="107"/>
      <c r="G658" s="108"/>
      <c r="H658" s="109"/>
      <c r="I658" s="110"/>
      <c r="J658" s="110"/>
      <c r="K658" s="119"/>
      <c r="L658" s="111" t="str">
        <f t="shared" si="114"/>
        <v/>
      </c>
      <c r="M658" s="112" t="str">
        <f t="shared" si="115"/>
        <v/>
      </c>
      <c r="N658" s="112" t="str">
        <f t="shared" si="116"/>
        <v/>
      </c>
      <c r="O658" s="112" t="str">
        <f t="shared" si="117"/>
        <v xml:space="preserve"> </v>
      </c>
      <c r="P658" s="113" t="str">
        <f t="shared" si="118"/>
        <v/>
      </c>
      <c r="Q658" s="114" t="str">
        <f t="shared" si="119"/>
        <v/>
      </c>
      <c r="R658" s="115" t="str">
        <f t="shared" si="120"/>
        <v/>
      </c>
      <c r="S658" s="115" t="str">
        <f t="shared" si="121"/>
        <v/>
      </c>
      <c r="T658" s="116" t="str">
        <f t="shared" si="122"/>
        <v/>
      </c>
      <c r="U658" s="120"/>
      <c r="V658" s="118"/>
    </row>
    <row r="659" spans="1:22" ht="13.2">
      <c r="A659" s="102"/>
      <c r="B659" s="103"/>
      <c r="C659" s="104"/>
      <c r="D659" s="105"/>
      <c r="E659" s="106"/>
      <c r="F659" s="107"/>
      <c r="G659" s="108"/>
      <c r="H659" s="121"/>
      <c r="I659" s="122"/>
      <c r="J659" s="122"/>
      <c r="K659" s="123"/>
      <c r="L659" s="111" t="str">
        <f t="shared" ref="L659:L722" si="123">IF(ISBLANK($E659),"",IF(ISERR(I659/I659)=TRUE,"BAD INSP",I659-$E659))</f>
        <v/>
      </c>
      <c r="M659" s="112" t="str">
        <f t="shared" ref="M659:M722" si="124">IF(ISBLANK($E659),"",IF(ISERR(J659/J659)=TRUE,"BAD INSP",J659-$E659))</f>
        <v/>
      </c>
      <c r="N659" s="112" t="str">
        <f t="shared" ref="N659:N722" si="125">IF(ISBLANK($E659),"",IF(ISERR(K659/K659)=TRUE,"BAD INSP",K659-$E659))</f>
        <v/>
      </c>
      <c r="O659" s="112" t="str">
        <f t="shared" si="117"/>
        <v xml:space="preserve"> </v>
      </c>
      <c r="P659" s="113" t="str">
        <f t="shared" si="118"/>
        <v/>
      </c>
      <c r="Q659" s="114" t="str">
        <f t="shared" si="119"/>
        <v/>
      </c>
      <c r="R659" s="115" t="str">
        <f t="shared" si="120"/>
        <v/>
      </c>
      <c r="S659" s="115" t="str">
        <f t="shared" si="121"/>
        <v/>
      </c>
      <c r="T659" s="116" t="str">
        <f t="shared" si="122"/>
        <v/>
      </c>
      <c r="U659" s="120"/>
      <c r="V659" s="118"/>
    </row>
    <row r="660" spans="1:22" ht="13.2">
      <c r="A660" s="102"/>
      <c r="B660" s="103"/>
      <c r="C660" s="104"/>
      <c r="D660" s="105"/>
      <c r="E660" s="106"/>
      <c r="F660" s="107"/>
      <c r="G660" s="108"/>
      <c r="H660" s="121"/>
      <c r="I660" s="122"/>
      <c r="J660" s="122"/>
      <c r="K660" s="123"/>
      <c r="L660" s="111" t="str">
        <f t="shared" si="123"/>
        <v/>
      </c>
      <c r="M660" s="112" t="str">
        <f t="shared" si="124"/>
        <v/>
      </c>
      <c r="N660" s="112" t="str">
        <f t="shared" si="125"/>
        <v/>
      </c>
      <c r="O660" s="112" t="str">
        <f t="shared" si="117"/>
        <v xml:space="preserve"> </v>
      </c>
      <c r="P660" s="113" t="str">
        <f t="shared" si="118"/>
        <v/>
      </c>
      <c r="Q660" s="114" t="str">
        <f t="shared" si="119"/>
        <v/>
      </c>
      <c r="R660" s="115" t="str">
        <f t="shared" si="120"/>
        <v/>
      </c>
      <c r="S660" s="115" t="str">
        <f t="shared" si="121"/>
        <v/>
      </c>
      <c r="T660" s="116" t="str">
        <f t="shared" si="122"/>
        <v/>
      </c>
      <c r="U660" s="120"/>
      <c r="V660" s="118"/>
    </row>
    <row r="661" spans="1:22" ht="13.2">
      <c r="A661" s="102"/>
      <c r="B661" s="103"/>
      <c r="C661" s="104"/>
      <c r="D661" s="105"/>
      <c r="E661" s="106"/>
      <c r="F661" s="107"/>
      <c r="G661" s="108"/>
      <c r="H661" s="121"/>
      <c r="I661" s="122"/>
      <c r="J661" s="122"/>
      <c r="K661" s="123"/>
      <c r="L661" s="111" t="str">
        <f t="shared" si="123"/>
        <v/>
      </c>
      <c r="M661" s="112" t="str">
        <f t="shared" si="124"/>
        <v/>
      </c>
      <c r="N661" s="112" t="str">
        <f t="shared" si="125"/>
        <v/>
      </c>
      <c r="O661" s="112" t="str">
        <f t="shared" si="117"/>
        <v xml:space="preserve"> </v>
      </c>
      <c r="P661" s="113" t="str">
        <f t="shared" si="118"/>
        <v/>
      </c>
      <c r="Q661" s="114" t="str">
        <f t="shared" si="119"/>
        <v/>
      </c>
      <c r="R661" s="115" t="str">
        <f t="shared" si="120"/>
        <v/>
      </c>
      <c r="S661" s="115" t="str">
        <f t="shared" si="121"/>
        <v/>
      </c>
      <c r="T661" s="116" t="str">
        <f t="shared" si="122"/>
        <v/>
      </c>
      <c r="U661" s="120"/>
      <c r="V661" s="118"/>
    </row>
    <row r="662" spans="1:22" ht="13.2">
      <c r="A662" s="102"/>
      <c r="B662" s="102"/>
      <c r="C662" s="103"/>
      <c r="D662" s="105"/>
      <c r="E662" s="106"/>
      <c r="F662" s="107"/>
      <c r="G662" s="108"/>
      <c r="H662" s="109"/>
      <c r="I662" s="110"/>
      <c r="J662" s="110"/>
      <c r="K662" s="119"/>
      <c r="L662" s="111" t="str">
        <f t="shared" si="123"/>
        <v/>
      </c>
      <c r="M662" s="112" t="str">
        <f t="shared" si="124"/>
        <v/>
      </c>
      <c r="N662" s="112" t="str">
        <f t="shared" si="125"/>
        <v/>
      </c>
      <c r="O662" s="112" t="str">
        <f t="shared" si="117"/>
        <v xml:space="preserve"> </v>
      </c>
      <c r="P662" s="113" t="str">
        <f t="shared" si="118"/>
        <v/>
      </c>
      <c r="Q662" s="114" t="str">
        <f t="shared" si="119"/>
        <v/>
      </c>
      <c r="R662" s="115" t="str">
        <f t="shared" si="120"/>
        <v/>
      </c>
      <c r="S662" s="115" t="str">
        <f t="shared" si="121"/>
        <v/>
      </c>
      <c r="T662" s="116" t="str">
        <f t="shared" si="122"/>
        <v/>
      </c>
      <c r="U662" s="120"/>
      <c r="V662" s="118"/>
    </row>
    <row r="663" spans="1:22" ht="13.2">
      <c r="A663" s="102"/>
      <c r="B663" s="102"/>
      <c r="C663" s="103"/>
      <c r="D663" s="105"/>
      <c r="E663" s="106"/>
      <c r="F663" s="107"/>
      <c r="G663" s="108"/>
      <c r="H663" s="109"/>
      <c r="I663" s="110"/>
      <c r="J663" s="110"/>
      <c r="K663" s="119"/>
      <c r="L663" s="111" t="str">
        <f t="shared" si="123"/>
        <v/>
      </c>
      <c r="M663" s="112" t="str">
        <f t="shared" si="124"/>
        <v/>
      </c>
      <c r="N663" s="112" t="str">
        <f t="shared" si="125"/>
        <v/>
      </c>
      <c r="O663" s="112" t="str">
        <f t="shared" si="117"/>
        <v xml:space="preserve"> </v>
      </c>
      <c r="P663" s="113" t="str">
        <f t="shared" si="118"/>
        <v/>
      </c>
      <c r="Q663" s="114" t="str">
        <f t="shared" si="119"/>
        <v/>
      </c>
      <c r="R663" s="115" t="str">
        <f t="shared" si="120"/>
        <v/>
      </c>
      <c r="S663" s="115" t="str">
        <f t="shared" si="121"/>
        <v/>
      </c>
      <c r="T663" s="116" t="str">
        <f t="shared" si="122"/>
        <v/>
      </c>
      <c r="U663" s="120"/>
      <c r="V663" s="118"/>
    </row>
    <row r="664" spans="1:22" ht="13.2">
      <c r="A664" s="102"/>
      <c r="B664" s="102"/>
      <c r="C664" s="104"/>
      <c r="D664" s="105"/>
      <c r="E664" s="106"/>
      <c r="F664" s="107"/>
      <c r="G664" s="108"/>
      <c r="H664" s="109"/>
      <c r="I664" s="110"/>
      <c r="J664" s="110"/>
      <c r="K664" s="119"/>
      <c r="L664" s="111" t="str">
        <f t="shared" si="123"/>
        <v/>
      </c>
      <c r="M664" s="112" t="str">
        <f t="shared" si="124"/>
        <v/>
      </c>
      <c r="N664" s="112" t="str">
        <f t="shared" si="125"/>
        <v/>
      </c>
      <c r="O664" s="112" t="str">
        <f t="shared" si="117"/>
        <v xml:space="preserve"> </v>
      </c>
      <c r="P664" s="113" t="str">
        <f t="shared" si="118"/>
        <v/>
      </c>
      <c r="Q664" s="114" t="str">
        <f t="shared" si="119"/>
        <v/>
      </c>
      <c r="R664" s="115" t="str">
        <f t="shared" si="120"/>
        <v/>
      </c>
      <c r="S664" s="115" t="str">
        <f t="shared" si="121"/>
        <v/>
      </c>
      <c r="T664" s="116" t="str">
        <f t="shared" si="122"/>
        <v/>
      </c>
      <c r="U664" s="120"/>
      <c r="V664" s="118"/>
    </row>
    <row r="665" spans="1:22" ht="13.2">
      <c r="A665" s="102"/>
      <c r="B665" s="102"/>
      <c r="C665" s="104"/>
      <c r="D665" s="105"/>
      <c r="E665" s="106"/>
      <c r="F665" s="107"/>
      <c r="G665" s="108"/>
      <c r="H665" s="109"/>
      <c r="I665" s="110"/>
      <c r="J665" s="110"/>
      <c r="K665" s="119"/>
      <c r="L665" s="111" t="str">
        <f t="shared" si="123"/>
        <v/>
      </c>
      <c r="M665" s="112" t="str">
        <f t="shared" si="124"/>
        <v/>
      </c>
      <c r="N665" s="112" t="str">
        <f t="shared" si="125"/>
        <v/>
      </c>
      <c r="O665" s="112" t="str">
        <f t="shared" si="117"/>
        <v xml:space="preserve"> </v>
      </c>
      <c r="P665" s="113" t="str">
        <f t="shared" si="118"/>
        <v/>
      </c>
      <c r="Q665" s="114" t="str">
        <f t="shared" si="119"/>
        <v/>
      </c>
      <c r="R665" s="115" t="str">
        <f t="shared" si="120"/>
        <v/>
      </c>
      <c r="S665" s="115" t="str">
        <f t="shared" si="121"/>
        <v/>
      </c>
      <c r="T665" s="116" t="str">
        <f t="shared" si="122"/>
        <v/>
      </c>
      <c r="U665" s="120"/>
      <c r="V665" s="118"/>
    </row>
    <row r="666" spans="1:22" ht="13.2">
      <c r="A666" s="102"/>
      <c r="B666" s="102"/>
      <c r="C666" s="104"/>
      <c r="D666" s="105"/>
      <c r="E666" s="106"/>
      <c r="F666" s="107"/>
      <c r="G666" s="108"/>
      <c r="H666" s="109"/>
      <c r="I666" s="110"/>
      <c r="J666" s="110"/>
      <c r="K666" s="119"/>
      <c r="L666" s="111" t="str">
        <f t="shared" si="123"/>
        <v/>
      </c>
      <c r="M666" s="112" t="str">
        <f t="shared" si="124"/>
        <v/>
      </c>
      <c r="N666" s="112" t="str">
        <f t="shared" si="125"/>
        <v/>
      </c>
      <c r="O666" s="112" t="str">
        <f t="shared" si="117"/>
        <v xml:space="preserve"> </v>
      </c>
      <c r="P666" s="113" t="str">
        <f t="shared" si="118"/>
        <v/>
      </c>
      <c r="Q666" s="114" t="str">
        <f t="shared" si="119"/>
        <v/>
      </c>
      <c r="R666" s="115" t="str">
        <f t="shared" si="120"/>
        <v/>
      </c>
      <c r="S666" s="115" t="str">
        <f t="shared" si="121"/>
        <v/>
      </c>
      <c r="T666" s="116" t="str">
        <f t="shared" si="122"/>
        <v/>
      </c>
      <c r="U666" s="120"/>
      <c r="V666" s="118"/>
    </row>
    <row r="667" spans="1:22" ht="13.2">
      <c r="A667" s="102"/>
      <c r="B667" s="102"/>
      <c r="C667" s="104"/>
      <c r="D667" s="105"/>
      <c r="E667" s="106"/>
      <c r="F667" s="107"/>
      <c r="G667" s="108"/>
      <c r="H667" s="109"/>
      <c r="I667" s="110"/>
      <c r="J667" s="110"/>
      <c r="K667" s="119"/>
      <c r="L667" s="111" t="str">
        <f t="shared" si="123"/>
        <v/>
      </c>
      <c r="M667" s="112" t="str">
        <f t="shared" si="124"/>
        <v/>
      </c>
      <c r="N667" s="112" t="str">
        <f t="shared" si="125"/>
        <v/>
      </c>
      <c r="O667" s="112" t="str">
        <f t="shared" si="117"/>
        <v xml:space="preserve"> </v>
      </c>
      <c r="P667" s="113" t="str">
        <f t="shared" si="118"/>
        <v/>
      </c>
      <c r="Q667" s="114" t="str">
        <f t="shared" si="119"/>
        <v/>
      </c>
      <c r="R667" s="115" t="str">
        <f t="shared" si="120"/>
        <v/>
      </c>
      <c r="S667" s="115" t="str">
        <f t="shared" si="121"/>
        <v/>
      </c>
      <c r="T667" s="116" t="str">
        <f t="shared" si="122"/>
        <v/>
      </c>
      <c r="U667" s="120"/>
      <c r="V667" s="118"/>
    </row>
    <row r="668" spans="1:22" ht="13.2">
      <c r="A668" s="102"/>
      <c r="B668" s="102"/>
      <c r="C668" s="104"/>
      <c r="D668" s="105"/>
      <c r="E668" s="106"/>
      <c r="F668" s="107"/>
      <c r="G668" s="108"/>
      <c r="H668" s="109"/>
      <c r="I668" s="110"/>
      <c r="J668" s="110"/>
      <c r="K668" s="119"/>
      <c r="L668" s="111" t="str">
        <f t="shared" si="123"/>
        <v/>
      </c>
      <c r="M668" s="112" t="str">
        <f t="shared" si="124"/>
        <v/>
      </c>
      <c r="N668" s="112" t="str">
        <f t="shared" si="125"/>
        <v/>
      </c>
      <c r="O668" s="112" t="str">
        <f t="shared" si="117"/>
        <v xml:space="preserve"> </v>
      </c>
      <c r="P668" s="113" t="str">
        <f t="shared" si="118"/>
        <v/>
      </c>
      <c r="Q668" s="114" t="str">
        <f t="shared" si="119"/>
        <v/>
      </c>
      <c r="R668" s="115" t="str">
        <f t="shared" si="120"/>
        <v/>
      </c>
      <c r="S668" s="115" t="str">
        <f t="shared" si="121"/>
        <v/>
      </c>
      <c r="T668" s="116" t="str">
        <f t="shared" si="122"/>
        <v/>
      </c>
      <c r="U668" s="120"/>
      <c r="V668" s="118"/>
    </row>
    <row r="669" spans="1:22" ht="13.2">
      <c r="A669" s="102"/>
      <c r="B669" s="102"/>
      <c r="C669" s="104"/>
      <c r="D669" s="105"/>
      <c r="E669" s="106"/>
      <c r="F669" s="107"/>
      <c r="G669" s="108"/>
      <c r="H669" s="109"/>
      <c r="I669" s="110"/>
      <c r="J669" s="110"/>
      <c r="K669" s="110"/>
      <c r="L669" s="111" t="str">
        <f t="shared" si="123"/>
        <v/>
      </c>
      <c r="M669" s="112" t="str">
        <f t="shared" si="124"/>
        <v/>
      </c>
      <c r="N669" s="112" t="str">
        <f t="shared" si="125"/>
        <v/>
      </c>
      <c r="O669" s="112" t="str">
        <f t="shared" si="117"/>
        <v xml:space="preserve"> </v>
      </c>
      <c r="P669" s="113" t="str">
        <f t="shared" si="118"/>
        <v/>
      </c>
      <c r="Q669" s="114" t="str">
        <f t="shared" si="119"/>
        <v/>
      </c>
      <c r="R669" s="115" t="str">
        <f t="shared" si="120"/>
        <v/>
      </c>
      <c r="S669" s="115" t="str">
        <f t="shared" si="121"/>
        <v/>
      </c>
      <c r="T669" s="116" t="str">
        <f t="shared" si="122"/>
        <v/>
      </c>
      <c r="U669" s="120"/>
      <c r="V669" s="118"/>
    </row>
    <row r="670" spans="1:22" ht="13.2">
      <c r="A670" s="102"/>
      <c r="B670" s="102"/>
      <c r="C670" s="104"/>
      <c r="D670" s="105"/>
      <c r="E670" s="106"/>
      <c r="F670" s="107"/>
      <c r="G670" s="108"/>
      <c r="H670" s="109"/>
      <c r="I670" s="110"/>
      <c r="J670" s="110"/>
      <c r="K670" s="119"/>
      <c r="L670" s="111" t="str">
        <f t="shared" si="123"/>
        <v/>
      </c>
      <c r="M670" s="112" t="str">
        <f t="shared" si="124"/>
        <v/>
      </c>
      <c r="N670" s="112" t="str">
        <f t="shared" si="125"/>
        <v/>
      </c>
      <c r="O670" s="112" t="str">
        <f t="shared" si="117"/>
        <v xml:space="preserve"> </v>
      </c>
      <c r="P670" s="113" t="str">
        <f t="shared" si="118"/>
        <v/>
      </c>
      <c r="Q670" s="114" t="str">
        <f t="shared" si="119"/>
        <v/>
      </c>
      <c r="R670" s="115" t="str">
        <f t="shared" si="120"/>
        <v/>
      </c>
      <c r="S670" s="115" t="str">
        <f t="shared" si="121"/>
        <v/>
      </c>
      <c r="T670" s="116" t="str">
        <f t="shared" si="122"/>
        <v/>
      </c>
      <c r="U670" s="120"/>
      <c r="V670" s="118"/>
    </row>
    <row r="671" spans="1:22" ht="13.2">
      <c r="A671" s="102"/>
      <c r="B671" s="102"/>
      <c r="C671" s="104"/>
      <c r="D671" s="105"/>
      <c r="E671" s="106"/>
      <c r="F671" s="107"/>
      <c r="G671" s="108"/>
      <c r="H671" s="109"/>
      <c r="I671" s="110"/>
      <c r="J671" s="110"/>
      <c r="K671" s="119"/>
      <c r="L671" s="111" t="str">
        <f t="shared" si="123"/>
        <v/>
      </c>
      <c r="M671" s="112" t="str">
        <f t="shared" si="124"/>
        <v/>
      </c>
      <c r="N671" s="112" t="str">
        <f t="shared" si="125"/>
        <v/>
      </c>
      <c r="O671" s="112" t="str">
        <f t="shared" si="117"/>
        <v xml:space="preserve"> </v>
      </c>
      <c r="P671" s="113" t="str">
        <f t="shared" si="118"/>
        <v/>
      </c>
      <c r="Q671" s="114" t="str">
        <f t="shared" si="119"/>
        <v/>
      </c>
      <c r="R671" s="115" t="str">
        <f t="shared" si="120"/>
        <v/>
      </c>
      <c r="S671" s="115" t="str">
        <f t="shared" si="121"/>
        <v/>
      </c>
      <c r="T671" s="116" t="str">
        <f t="shared" si="122"/>
        <v/>
      </c>
      <c r="U671" s="120"/>
      <c r="V671" s="118"/>
    </row>
    <row r="672" spans="1:22" ht="13.2">
      <c r="A672" s="102"/>
      <c r="B672" s="102"/>
      <c r="C672" s="104"/>
      <c r="D672" s="105"/>
      <c r="E672" s="106"/>
      <c r="F672" s="107"/>
      <c r="G672" s="108"/>
      <c r="H672" s="109"/>
      <c r="I672" s="110"/>
      <c r="J672" s="110"/>
      <c r="K672" s="119"/>
      <c r="L672" s="111" t="str">
        <f t="shared" si="123"/>
        <v/>
      </c>
      <c r="M672" s="112" t="str">
        <f t="shared" si="124"/>
        <v/>
      </c>
      <c r="N672" s="112" t="str">
        <f t="shared" si="125"/>
        <v/>
      </c>
      <c r="O672" s="112" t="str">
        <f t="shared" si="117"/>
        <v xml:space="preserve"> </v>
      </c>
      <c r="P672" s="113" t="str">
        <f t="shared" si="118"/>
        <v/>
      </c>
      <c r="Q672" s="114" t="str">
        <f t="shared" si="119"/>
        <v/>
      </c>
      <c r="R672" s="115" t="str">
        <f t="shared" si="120"/>
        <v/>
      </c>
      <c r="S672" s="115" t="str">
        <f t="shared" si="121"/>
        <v/>
      </c>
      <c r="T672" s="116" t="str">
        <f t="shared" si="122"/>
        <v/>
      </c>
      <c r="U672" s="120"/>
      <c r="V672" s="118"/>
    </row>
    <row r="673" spans="1:22" ht="13.2">
      <c r="A673" s="102"/>
      <c r="B673" s="102"/>
      <c r="C673" s="104"/>
      <c r="D673" s="105"/>
      <c r="E673" s="106"/>
      <c r="F673" s="107"/>
      <c r="G673" s="108"/>
      <c r="H673" s="109"/>
      <c r="I673" s="110"/>
      <c r="J673" s="110"/>
      <c r="K673" s="119"/>
      <c r="L673" s="111" t="str">
        <f t="shared" si="123"/>
        <v/>
      </c>
      <c r="M673" s="112" t="str">
        <f t="shared" si="124"/>
        <v/>
      </c>
      <c r="N673" s="112" t="str">
        <f t="shared" si="125"/>
        <v/>
      </c>
      <c r="O673" s="112" t="str">
        <f t="shared" si="117"/>
        <v xml:space="preserve"> </v>
      </c>
      <c r="P673" s="113" t="str">
        <f t="shared" si="118"/>
        <v/>
      </c>
      <c r="Q673" s="114" t="str">
        <f t="shared" si="119"/>
        <v/>
      </c>
      <c r="R673" s="115" t="str">
        <f t="shared" si="120"/>
        <v/>
      </c>
      <c r="S673" s="115" t="str">
        <f t="shared" si="121"/>
        <v/>
      </c>
      <c r="T673" s="116" t="str">
        <f t="shared" si="122"/>
        <v/>
      </c>
      <c r="U673" s="120"/>
      <c r="V673" s="118"/>
    </row>
    <row r="674" spans="1:22" ht="13.2">
      <c r="A674" s="102"/>
      <c r="B674" s="103"/>
      <c r="C674" s="104"/>
      <c r="D674" s="105"/>
      <c r="E674" s="106"/>
      <c r="F674" s="107"/>
      <c r="G674" s="108"/>
      <c r="H674" s="121"/>
      <c r="I674" s="122"/>
      <c r="J674" s="122"/>
      <c r="K674" s="123"/>
      <c r="L674" s="111" t="str">
        <f t="shared" si="123"/>
        <v/>
      </c>
      <c r="M674" s="112" t="str">
        <f t="shared" si="124"/>
        <v/>
      </c>
      <c r="N674" s="112" t="str">
        <f t="shared" si="125"/>
        <v/>
      </c>
      <c r="O674" s="112" t="str">
        <f t="shared" si="117"/>
        <v xml:space="preserve"> </v>
      </c>
      <c r="P674" s="113" t="str">
        <f t="shared" si="118"/>
        <v/>
      </c>
      <c r="Q674" s="114" t="str">
        <f t="shared" si="119"/>
        <v/>
      </c>
      <c r="R674" s="115" t="str">
        <f t="shared" si="120"/>
        <v/>
      </c>
      <c r="S674" s="115" t="str">
        <f t="shared" si="121"/>
        <v/>
      </c>
      <c r="T674" s="116" t="str">
        <f t="shared" si="122"/>
        <v/>
      </c>
      <c r="U674" s="120"/>
      <c r="V674" s="118"/>
    </row>
    <row r="675" spans="1:22" ht="13.2">
      <c r="A675" s="102"/>
      <c r="B675" s="103"/>
      <c r="C675" s="104"/>
      <c r="D675" s="105"/>
      <c r="E675" s="106"/>
      <c r="F675" s="107"/>
      <c r="G675" s="108"/>
      <c r="H675" s="121"/>
      <c r="I675" s="122"/>
      <c r="J675" s="122"/>
      <c r="K675" s="123"/>
      <c r="L675" s="111" t="str">
        <f t="shared" si="123"/>
        <v/>
      </c>
      <c r="M675" s="112" t="str">
        <f t="shared" si="124"/>
        <v/>
      </c>
      <c r="N675" s="112" t="str">
        <f t="shared" si="125"/>
        <v/>
      </c>
      <c r="O675" s="112" t="str">
        <f t="shared" si="117"/>
        <v xml:space="preserve"> </v>
      </c>
      <c r="P675" s="113" t="str">
        <f t="shared" si="118"/>
        <v/>
      </c>
      <c r="Q675" s="114" t="str">
        <f t="shared" si="119"/>
        <v/>
      </c>
      <c r="R675" s="115" t="str">
        <f t="shared" si="120"/>
        <v/>
      </c>
      <c r="S675" s="115" t="str">
        <f t="shared" si="121"/>
        <v/>
      </c>
      <c r="T675" s="116" t="str">
        <f t="shared" si="122"/>
        <v/>
      </c>
      <c r="U675" s="120"/>
      <c r="V675" s="118"/>
    </row>
    <row r="676" spans="1:22" ht="13.2">
      <c r="A676" s="102"/>
      <c r="B676" s="103"/>
      <c r="C676" s="104"/>
      <c r="D676" s="105"/>
      <c r="E676" s="106"/>
      <c r="F676" s="107"/>
      <c r="G676" s="108"/>
      <c r="H676" s="121"/>
      <c r="I676" s="122"/>
      <c r="J676" s="122"/>
      <c r="K676" s="123"/>
      <c r="L676" s="111" t="str">
        <f t="shared" si="123"/>
        <v/>
      </c>
      <c r="M676" s="112" t="str">
        <f t="shared" si="124"/>
        <v/>
      </c>
      <c r="N676" s="112" t="str">
        <f t="shared" si="125"/>
        <v/>
      </c>
      <c r="O676" s="112" t="str">
        <f t="shared" si="117"/>
        <v xml:space="preserve"> </v>
      </c>
      <c r="P676" s="113" t="str">
        <f t="shared" si="118"/>
        <v/>
      </c>
      <c r="Q676" s="114" t="str">
        <f t="shared" si="119"/>
        <v/>
      </c>
      <c r="R676" s="115" t="str">
        <f t="shared" si="120"/>
        <v/>
      </c>
      <c r="S676" s="115" t="str">
        <f t="shared" si="121"/>
        <v/>
      </c>
      <c r="T676" s="116" t="str">
        <f t="shared" si="122"/>
        <v/>
      </c>
      <c r="U676" s="120"/>
      <c r="V676" s="118"/>
    </row>
    <row r="677" spans="1:22" ht="13.2">
      <c r="A677" s="102"/>
      <c r="B677" s="102"/>
      <c r="C677" s="103"/>
      <c r="D677" s="105"/>
      <c r="E677" s="106"/>
      <c r="F677" s="107"/>
      <c r="G677" s="108"/>
      <c r="H677" s="109"/>
      <c r="I677" s="110"/>
      <c r="J677" s="110"/>
      <c r="K677" s="119"/>
      <c r="L677" s="111" t="str">
        <f t="shared" si="123"/>
        <v/>
      </c>
      <c r="M677" s="112" t="str">
        <f t="shared" si="124"/>
        <v/>
      </c>
      <c r="N677" s="112" t="str">
        <f t="shared" si="125"/>
        <v/>
      </c>
      <c r="O677" s="112" t="str">
        <f t="shared" si="117"/>
        <v xml:space="preserve"> </v>
      </c>
      <c r="P677" s="113" t="str">
        <f t="shared" si="118"/>
        <v/>
      </c>
      <c r="Q677" s="114" t="str">
        <f t="shared" si="119"/>
        <v/>
      </c>
      <c r="R677" s="115" t="str">
        <f t="shared" si="120"/>
        <v/>
      </c>
      <c r="S677" s="115" t="str">
        <f t="shared" si="121"/>
        <v/>
      </c>
      <c r="T677" s="116" t="str">
        <f t="shared" si="122"/>
        <v/>
      </c>
      <c r="U677" s="120"/>
      <c r="V677" s="118"/>
    </row>
    <row r="678" spans="1:22" ht="13.2">
      <c r="A678" s="102"/>
      <c r="B678" s="102"/>
      <c r="C678" s="103"/>
      <c r="D678" s="105"/>
      <c r="E678" s="106"/>
      <c r="F678" s="107"/>
      <c r="G678" s="108"/>
      <c r="H678" s="109"/>
      <c r="I678" s="110"/>
      <c r="J678" s="110"/>
      <c r="K678" s="119"/>
      <c r="L678" s="111" t="str">
        <f t="shared" si="123"/>
        <v/>
      </c>
      <c r="M678" s="112" t="str">
        <f t="shared" si="124"/>
        <v/>
      </c>
      <c r="N678" s="112" t="str">
        <f t="shared" si="125"/>
        <v/>
      </c>
      <c r="O678" s="112" t="str">
        <f t="shared" si="117"/>
        <v xml:space="preserve"> </v>
      </c>
      <c r="P678" s="113" t="str">
        <f t="shared" si="118"/>
        <v/>
      </c>
      <c r="Q678" s="114" t="str">
        <f t="shared" si="119"/>
        <v/>
      </c>
      <c r="R678" s="115" t="str">
        <f t="shared" si="120"/>
        <v/>
      </c>
      <c r="S678" s="115" t="str">
        <f t="shared" si="121"/>
        <v/>
      </c>
      <c r="T678" s="116" t="str">
        <f t="shared" si="122"/>
        <v/>
      </c>
      <c r="U678" s="120"/>
      <c r="V678" s="118"/>
    </row>
    <row r="679" spans="1:22" ht="13.2">
      <c r="A679" s="102"/>
      <c r="B679" s="102"/>
      <c r="C679" s="104"/>
      <c r="D679" s="105"/>
      <c r="E679" s="106"/>
      <c r="F679" s="107"/>
      <c r="G679" s="108"/>
      <c r="H679" s="109"/>
      <c r="I679" s="110"/>
      <c r="J679" s="110"/>
      <c r="K679" s="119"/>
      <c r="L679" s="111" t="str">
        <f t="shared" si="123"/>
        <v/>
      </c>
      <c r="M679" s="112" t="str">
        <f t="shared" si="124"/>
        <v/>
      </c>
      <c r="N679" s="112" t="str">
        <f t="shared" si="125"/>
        <v/>
      </c>
      <c r="O679" s="112" t="str">
        <f t="shared" si="117"/>
        <v xml:space="preserve"> </v>
      </c>
      <c r="P679" s="113" t="str">
        <f t="shared" si="118"/>
        <v/>
      </c>
      <c r="Q679" s="114" t="str">
        <f t="shared" si="119"/>
        <v/>
      </c>
      <c r="R679" s="115" t="str">
        <f t="shared" si="120"/>
        <v/>
      </c>
      <c r="S679" s="115" t="str">
        <f t="shared" si="121"/>
        <v/>
      </c>
      <c r="T679" s="116" t="str">
        <f t="shared" si="122"/>
        <v/>
      </c>
      <c r="U679" s="120"/>
      <c r="V679" s="118"/>
    </row>
    <row r="680" spans="1:22" ht="13.2">
      <c r="A680" s="102"/>
      <c r="B680" s="102"/>
      <c r="C680" s="104"/>
      <c r="D680" s="105"/>
      <c r="E680" s="106"/>
      <c r="F680" s="107"/>
      <c r="G680" s="108"/>
      <c r="H680" s="109"/>
      <c r="I680" s="110"/>
      <c r="J680" s="110"/>
      <c r="K680" s="119"/>
      <c r="L680" s="111" t="str">
        <f t="shared" si="123"/>
        <v/>
      </c>
      <c r="M680" s="112" t="str">
        <f t="shared" si="124"/>
        <v/>
      </c>
      <c r="N680" s="112" t="str">
        <f t="shared" si="125"/>
        <v/>
      </c>
      <c r="O680" s="112" t="str">
        <f t="shared" si="117"/>
        <v xml:space="preserve"> </v>
      </c>
      <c r="P680" s="113" t="str">
        <f t="shared" si="118"/>
        <v/>
      </c>
      <c r="Q680" s="114" t="str">
        <f t="shared" si="119"/>
        <v/>
      </c>
      <c r="R680" s="115" t="str">
        <f t="shared" si="120"/>
        <v/>
      </c>
      <c r="S680" s="115" t="str">
        <f t="shared" si="121"/>
        <v/>
      </c>
      <c r="T680" s="116" t="str">
        <f t="shared" si="122"/>
        <v/>
      </c>
      <c r="U680" s="120"/>
      <c r="V680" s="118"/>
    </row>
    <row r="681" spans="1:22" ht="13.2">
      <c r="A681" s="102"/>
      <c r="B681" s="102"/>
      <c r="C681" s="104"/>
      <c r="D681" s="105"/>
      <c r="E681" s="106"/>
      <c r="F681" s="107"/>
      <c r="G681" s="108"/>
      <c r="H681" s="109"/>
      <c r="I681" s="110"/>
      <c r="J681" s="110"/>
      <c r="K681" s="119"/>
      <c r="L681" s="111" t="str">
        <f t="shared" si="123"/>
        <v/>
      </c>
      <c r="M681" s="112" t="str">
        <f t="shared" si="124"/>
        <v/>
      </c>
      <c r="N681" s="112" t="str">
        <f t="shared" si="125"/>
        <v/>
      </c>
      <c r="O681" s="112" t="str">
        <f t="shared" si="117"/>
        <v xml:space="preserve"> </v>
      </c>
      <c r="P681" s="113" t="str">
        <f t="shared" si="118"/>
        <v/>
      </c>
      <c r="Q681" s="114" t="str">
        <f t="shared" si="119"/>
        <v/>
      </c>
      <c r="R681" s="115" t="str">
        <f t="shared" si="120"/>
        <v/>
      </c>
      <c r="S681" s="115" t="str">
        <f t="shared" si="121"/>
        <v/>
      </c>
      <c r="T681" s="116" t="str">
        <f t="shared" si="122"/>
        <v/>
      </c>
      <c r="U681" s="120"/>
      <c r="V681" s="118"/>
    </row>
    <row r="682" spans="1:22" ht="13.2">
      <c r="A682" s="102"/>
      <c r="B682" s="102"/>
      <c r="C682" s="104"/>
      <c r="D682" s="105"/>
      <c r="E682" s="106"/>
      <c r="F682" s="107"/>
      <c r="G682" s="108"/>
      <c r="H682" s="109"/>
      <c r="I682" s="110"/>
      <c r="J682" s="110"/>
      <c r="K682" s="119"/>
      <c r="L682" s="111" t="str">
        <f t="shared" si="123"/>
        <v/>
      </c>
      <c r="M682" s="112" t="str">
        <f t="shared" si="124"/>
        <v/>
      </c>
      <c r="N682" s="112" t="str">
        <f t="shared" si="125"/>
        <v/>
      </c>
      <c r="O682" s="112" t="str">
        <f t="shared" si="117"/>
        <v xml:space="preserve"> </v>
      </c>
      <c r="P682" s="113" t="str">
        <f t="shared" si="118"/>
        <v/>
      </c>
      <c r="Q682" s="114" t="str">
        <f t="shared" si="119"/>
        <v/>
      </c>
      <c r="R682" s="115" t="str">
        <f t="shared" si="120"/>
        <v/>
      </c>
      <c r="S682" s="115" t="str">
        <f t="shared" si="121"/>
        <v/>
      </c>
      <c r="T682" s="116" t="str">
        <f t="shared" si="122"/>
        <v/>
      </c>
      <c r="U682" s="120"/>
      <c r="V682" s="118"/>
    </row>
    <row r="683" spans="1:22" ht="13.2">
      <c r="A683" s="102"/>
      <c r="B683" s="102"/>
      <c r="C683" s="104"/>
      <c r="D683" s="105"/>
      <c r="E683" s="106"/>
      <c r="F683" s="107"/>
      <c r="G683" s="108"/>
      <c r="H683" s="109"/>
      <c r="I683" s="110"/>
      <c r="J683" s="110"/>
      <c r="K683" s="119"/>
      <c r="L683" s="111" t="str">
        <f t="shared" si="123"/>
        <v/>
      </c>
      <c r="M683" s="112" t="str">
        <f t="shared" si="124"/>
        <v/>
      </c>
      <c r="N683" s="112" t="str">
        <f t="shared" si="125"/>
        <v/>
      </c>
      <c r="O683" s="112" t="str">
        <f t="shared" si="117"/>
        <v xml:space="preserve"> </v>
      </c>
      <c r="P683" s="113" t="str">
        <f t="shared" si="118"/>
        <v/>
      </c>
      <c r="Q683" s="114" t="str">
        <f t="shared" si="119"/>
        <v/>
      </c>
      <c r="R683" s="115" t="str">
        <f t="shared" si="120"/>
        <v/>
      </c>
      <c r="S683" s="115" t="str">
        <f t="shared" si="121"/>
        <v/>
      </c>
      <c r="T683" s="116" t="str">
        <f t="shared" si="122"/>
        <v/>
      </c>
      <c r="U683" s="120"/>
      <c r="V683" s="118"/>
    </row>
    <row r="684" spans="1:22" ht="13.2">
      <c r="A684" s="102"/>
      <c r="B684" s="102"/>
      <c r="C684" s="104"/>
      <c r="D684" s="105"/>
      <c r="E684" s="106"/>
      <c r="F684" s="107"/>
      <c r="G684" s="108"/>
      <c r="H684" s="109"/>
      <c r="I684" s="110"/>
      <c r="J684" s="110"/>
      <c r="K684" s="110"/>
      <c r="L684" s="111" t="str">
        <f t="shared" si="123"/>
        <v/>
      </c>
      <c r="M684" s="112" t="str">
        <f t="shared" si="124"/>
        <v/>
      </c>
      <c r="N684" s="112" t="str">
        <f t="shared" si="125"/>
        <v/>
      </c>
      <c r="O684" s="112" t="str">
        <f t="shared" si="117"/>
        <v xml:space="preserve"> </v>
      </c>
      <c r="P684" s="113" t="str">
        <f t="shared" si="118"/>
        <v/>
      </c>
      <c r="Q684" s="114" t="str">
        <f t="shared" si="119"/>
        <v/>
      </c>
      <c r="R684" s="115" t="str">
        <f t="shared" si="120"/>
        <v/>
      </c>
      <c r="S684" s="115" t="str">
        <f t="shared" si="121"/>
        <v/>
      </c>
      <c r="T684" s="116" t="str">
        <f t="shared" si="122"/>
        <v/>
      </c>
      <c r="U684" s="120"/>
      <c r="V684" s="118"/>
    </row>
    <row r="685" spans="1:22" ht="13.2">
      <c r="A685" s="102"/>
      <c r="B685" s="102"/>
      <c r="C685" s="104"/>
      <c r="D685" s="105"/>
      <c r="E685" s="106"/>
      <c r="F685" s="107"/>
      <c r="G685" s="108"/>
      <c r="H685" s="109"/>
      <c r="I685" s="110"/>
      <c r="J685" s="110"/>
      <c r="K685" s="119"/>
      <c r="L685" s="111" t="str">
        <f t="shared" si="123"/>
        <v/>
      </c>
      <c r="M685" s="112" t="str">
        <f t="shared" si="124"/>
        <v/>
      </c>
      <c r="N685" s="112" t="str">
        <f t="shared" si="125"/>
        <v/>
      </c>
      <c r="O685" s="112" t="str">
        <f t="shared" si="117"/>
        <v xml:space="preserve"> </v>
      </c>
      <c r="P685" s="113" t="str">
        <f t="shared" si="118"/>
        <v/>
      </c>
      <c r="Q685" s="114" t="str">
        <f t="shared" si="119"/>
        <v/>
      </c>
      <c r="R685" s="115" t="str">
        <f t="shared" si="120"/>
        <v/>
      </c>
      <c r="S685" s="115" t="str">
        <f t="shared" si="121"/>
        <v/>
      </c>
      <c r="T685" s="116" t="str">
        <f t="shared" si="122"/>
        <v/>
      </c>
      <c r="U685" s="120"/>
      <c r="V685" s="118"/>
    </row>
    <row r="686" spans="1:22" ht="13.2">
      <c r="A686" s="102"/>
      <c r="B686" s="102"/>
      <c r="C686" s="104"/>
      <c r="D686" s="105"/>
      <c r="E686" s="106"/>
      <c r="F686" s="107"/>
      <c r="G686" s="108"/>
      <c r="H686" s="109"/>
      <c r="I686" s="110"/>
      <c r="J686" s="110"/>
      <c r="K686" s="119"/>
      <c r="L686" s="111" t="str">
        <f t="shared" si="123"/>
        <v/>
      </c>
      <c r="M686" s="112" t="str">
        <f t="shared" si="124"/>
        <v/>
      </c>
      <c r="N686" s="112" t="str">
        <f t="shared" si="125"/>
        <v/>
      </c>
      <c r="O686" s="112" t="str">
        <f t="shared" si="117"/>
        <v xml:space="preserve"> </v>
      </c>
      <c r="P686" s="113" t="str">
        <f t="shared" si="118"/>
        <v/>
      </c>
      <c r="Q686" s="114" t="str">
        <f t="shared" si="119"/>
        <v/>
      </c>
      <c r="R686" s="115" t="str">
        <f t="shared" si="120"/>
        <v/>
      </c>
      <c r="S686" s="115" t="str">
        <f t="shared" si="121"/>
        <v/>
      </c>
      <c r="T686" s="116" t="str">
        <f t="shared" si="122"/>
        <v/>
      </c>
      <c r="U686" s="120"/>
      <c r="V686" s="118"/>
    </row>
    <row r="687" spans="1:22" ht="13.2">
      <c r="A687" s="102"/>
      <c r="B687" s="102"/>
      <c r="C687" s="104"/>
      <c r="D687" s="105"/>
      <c r="E687" s="106"/>
      <c r="F687" s="107"/>
      <c r="G687" s="108"/>
      <c r="H687" s="109"/>
      <c r="I687" s="110"/>
      <c r="J687" s="110"/>
      <c r="K687" s="119"/>
      <c r="L687" s="111" t="str">
        <f t="shared" si="123"/>
        <v/>
      </c>
      <c r="M687" s="112" t="str">
        <f t="shared" si="124"/>
        <v/>
      </c>
      <c r="N687" s="112" t="str">
        <f t="shared" si="125"/>
        <v/>
      </c>
      <c r="O687" s="112" t="str">
        <f t="shared" si="117"/>
        <v xml:space="preserve"> </v>
      </c>
      <c r="P687" s="113" t="str">
        <f t="shared" si="118"/>
        <v/>
      </c>
      <c r="Q687" s="114" t="str">
        <f t="shared" si="119"/>
        <v/>
      </c>
      <c r="R687" s="115" t="str">
        <f t="shared" si="120"/>
        <v/>
      </c>
      <c r="S687" s="115" t="str">
        <f t="shared" si="121"/>
        <v/>
      </c>
      <c r="T687" s="116" t="str">
        <f t="shared" si="122"/>
        <v/>
      </c>
      <c r="U687" s="120"/>
      <c r="V687" s="118"/>
    </row>
    <row r="688" spans="1:22" ht="13.2">
      <c r="A688" s="102"/>
      <c r="B688" s="102"/>
      <c r="C688" s="104"/>
      <c r="D688" s="105"/>
      <c r="E688" s="106"/>
      <c r="F688" s="107"/>
      <c r="G688" s="108"/>
      <c r="H688" s="109"/>
      <c r="I688" s="110"/>
      <c r="J688" s="110"/>
      <c r="K688" s="119"/>
      <c r="L688" s="111" t="str">
        <f t="shared" si="123"/>
        <v/>
      </c>
      <c r="M688" s="112" t="str">
        <f t="shared" si="124"/>
        <v/>
      </c>
      <c r="N688" s="112" t="str">
        <f t="shared" si="125"/>
        <v/>
      </c>
      <c r="O688" s="112" t="str">
        <f t="shared" si="117"/>
        <v xml:space="preserve"> </v>
      </c>
      <c r="P688" s="113" t="str">
        <f t="shared" si="118"/>
        <v/>
      </c>
      <c r="Q688" s="114" t="str">
        <f t="shared" si="119"/>
        <v/>
      </c>
      <c r="R688" s="115" t="str">
        <f t="shared" si="120"/>
        <v/>
      </c>
      <c r="S688" s="115" t="str">
        <f t="shared" si="121"/>
        <v/>
      </c>
      <c r="T688" s="116" t="str">
        <f t="shared" si="122"/>
        <v/>
      </c>
      <c r="U688" s="120"/>
      <c r="V688" s="118"/>
    </row>
    <row r="689" spans="1:22" ht="13.2">
      <c r="A689" s="102"/>
      <c r="B689" s="103"/>
      <c r="C689" s="104"/>
      <c r="D689" s="105"/>
      <c r="E689" s="106"/>
      <c r="F689" s="107"/>
      <c r="G689" s="108"/>
      <c r="H689" s="121"/>
      <c r="I689" s="122"/>
      <c r="J689" s="122"/>
      <c r="K689" s="123"/>
      <c r="L689" s="111" t="str">
        <f t="shared" si="123"/>
        <v/>
      </c>
      <c r="M689" s="112" t="str">
        <f t="shared" si="124"/>
        <v/>
      </c>
      <c r="N689" s="112" t="str">
        <f t="shared" si="125"/>
        <v/>
      </c>
      <c r="O689" s="112" t="str">
        <f t="shared" si="117"/>
        <v xml:space="preserve"> </v>
      </c>
      <c r="P689" s="113" t="str">
        <f t="shared" si="118"/>
        <v/>
      </c>
      <c r="Q689" s="114" t="str">
        <f t="shared" si="119"/>
        <v/>
      </c>
      <c r="R689" s="115" t="str">
        <f t="shared" si="120"/>
        <v/>
      </c>
      <c r="S689" s="115" t="str">
        <f t="shared" si="121"/>
        <v/>
      </c>
      <c r="T689" s="116" t="str">
        <f t="shared" si="122"/>
        <v/>
      </c>
      <c r="U689" s="120"/>
      <c r="V689" s="118"/>
    </row>
    <row r="690" spans="1:22" ht="13.2">
      <c r="A690" s="102"/>
      <c r="B690" s="103"/>
      <c r="C690" s="104"/>
      <c r="D690" s="105"/>
      <c r="E690" s="106"/>
      <c r="F690" s="107"/>
      <c r="G690" s="108"/>
      <c r="H690" s="121"/>
      <c r="I690" s="122"/>
      <c r="J690" s="122"/>
      <c r="K690" s="123"/>
      <c r="L690" s="111" t="str">
        <f t="shared" si="123"/>
        <v/>
      </c>
      <c r="M690" s="112" t="str">
        <f t="shared" si="124"/>
        <v/>
      </c>
      <c r="N690" s="112" t="str">
        <f t="shared" si="125"/>
        <v/>
      </c>
      <c r="O690" s="112" t="str">
        <f t="shared" si="117"/>
        <v xml:space="preserve"> </v>
      </c>
      <c r="P690" s="113" t="str">
        <f t="shared" si="118"/>
        <v/>
      </c>
      <c r="Q690" s="114" t="str">
        <f t="shared" si="119"/>
        <v/>
      </c>
      <c r="R690" s="115" t="str">
        <f t="shared" si="120"/>
        <v/>
      </c>
      <c r="S690" s="115" t="str">
        <f t="shared" si="121"/>
        <v/>
      </c>
      <c r="T690" s="116" t="str">
        <f t="shared" si="122"/>
        <v/>
      </c>
      <c r="U690" s="120"/>
      <c r="V690" s="118"/>
    </row>
    <row r="691" spans="1:22" ht="13.2">
      <c r="A691" s="102"/>
      <c r="B691" s="103"/>
      <c r="C691" s="104"/>
      <c r="D691" s="105"/>
      <c r="E691" s="106"/>
      <c r="F691" s="107"/>
      <c r="G691" s="108"/>
      <c r="H691" s="121"/>
      <c r="I691" s="122"/>
      <c r="J691" s="122"/>
      <c r="K691" s="123"/>
      <c r="L691" s="111" t="str">
        <f t="shared" si="123"/>
        <v/>
      </c>
      <c r="M691" s="112" t="str">
        <f t="shared" si="124"/>
        <v/>
      </c>
      <c r="N691" s="112" t="str">
        <f t="shared" si="125"/>
        <v/>
      </c>
      <c r="O691" s="112" t="str">
        <f t="shared" si="117"/>
        <v xml:space="preserve"> </v>
      </c>
      <c r="P691" s="113" t="str">
        <f t="shared" si="118"/>
        <v/>
      </c>
      <c r="Q691" s="114" t="str">
        <f t="shared" si="119"/>
        <v/>
      </c>
      <c r="R691" s="115" t="str">
        <f t="shared" si="120"/>
        <v/>
      </c>
      <c r="S691" s="115" t="str">
        <f t="shared" si="121"/>
        <v/>
      </c>
      <c r="T691" s="116" t="str">
        <f t="shared" si="122"/>
        <v/>
      </c>
      <c r="U691" s="120"/>
      <c r="V691" s="118"/>
    </row>
    <row r="692" spans="1:22" ht="13.2">
      <c r="A692" s="102"/>
      <c r="B692" s="102"/>
      <c r="C692" s="103"/>
      <c r="D692" s="105"/>
      <c r="E692" s="106"/>
      <c r="F692" s="107"/>
      <c r="G692" s="108"/>
      <c r="H692" s="109"/>
      <c r="I692" s="110"/>
      <c r="J692" s="110"/>
      <c r="K692" s="119"/>
      <c r="L692" s="111" t="str">
        <f t="shared" si="123"/>
        <v/>
      </c>
      <c r="M692" s="112" t="str">
        <f t="shared" si="124"/>
        <v/>
      </c>
      <c r="N692" s="112" t="str">
        <f t="shared" si="125"/>
        <v/>
      </c>
      <c r="O692" s="112" t="str">
        <f t="shared" si="117"/>
        <v xml:space="preserve"> </v>
      </c>
      <c r="P692" s="113" t="str">
        <f t="shared" si="118"/>
        <v/>
      </c>
      <c r="Q692" s="114" t="str">
        <f t="shared" si="119"/>
        <v/>
      </c>
      <c r="R692" s="115" t="str">
        <f t="shared" si="120"/>
        <v/>
      </c>
      <c r="S692" s="115" t="str">
        <f t="shared" si="121"/>
        <v/>
      </c>
      <c r="T692" s="116" t="str">
        <f t="shared" si="122"/>
        <v/>
      </c>
      <c r="U692" s="120"/>
      <c r="V692" s="118"/>
    </row>
    <row r="693" spans="1:22" ht="13.2">
      <c r="A693" s="102"/>
      <c r="B693" s="102"/>
      <c r="C693" s="103"/>
      <c r="D693" s="105"/>
      <c r="E693" s="106"/>
      <c r="F693" s="107"/>
      <c r="G693" s="108"/>
      <c r="H693" s="109"/>
      <c r="I693" s="110"/>
      <c r="J693" s="110"/>
      <c r="K693" s="119"/>
      <c r="L693" s="111" t="str">
        <f t="shared" si="123"/>
        <v/>
      </c>
      <c r="M693" s="112" t="str">
        <f t="shared" si="124"/>
        <v/>
      </c>
      <c r="N693" s="112" t="str">
        <f t="shared" si="125"/>
        <v/>
      </c>
      <c r="O693" s="112" t="str">
        <f t="shared" si="117"/>
        <v xml:space="preserve"> </v>
      </c>
      <c r="P693" s="113" t="str">
        <f t="shared" si="118"/>
        <v/>
      </c>
      <c r="Q693" s="114" t="str">
        <f t="shared" si="119"/>
        <v/>
      </c>
      <c r="R693" s="115" t="str">
        <f t="shared" si="120"/>
        <v/>
      </c>
      <c r="S693" s="115" t="str">
        <f t="shared" si="121"/>
        <v/>
      </c>
      <c r="T693" s="116" t="str">
        <f t="shared" si="122"/>
        <v/>
      </c>
      <c r="U693" s="120"/>
      <c r="V693" s="118"/>
    </row>
    <row r="694" spans="1:22" ht="13.2">
      <c r="A694" s="102"/>
      <c r="B694" s="102"/>
      <c r="C694" s="104"/>
      <c r="D694" s="105"/>
      <c r="E694" s="106"/>
      <c r="F694" s="107"/>
      <c r="G694" s="108"/>
      <c r="H694" s="109"/>
      <c r="I694" s="110"/>
      <c r="J694" s="110"/>
      <c r="K694" s="119"/>
      <c r="L694" s="111" t="str">
        <f t="shared" si="123"/>
        <v/>
      </c>
      <c r="M694" s="112" t="str">
        <f t="shared" si="124"/>
        <v/>
      </c>
      <c r="N694" s="112" t="str">
        <f t="shared" si="125"/>
        <v/>
      </c>
      <c r="O694" s="112" t="str">
        <f t="shared" si="117"/>
        <v xml:space="preserve"> </v>
      </c>
      <c r="P694" s="113" t="str">
        <f t="shared" si="118"/>
        <v/>
      </c>
      <c r="Q694" s="114" t="str">
        <f t="shared" si="119"/>
        <v/>
      </c>
      <c r="R694" s="115" t="str">
        <f t="shared" si="120"/>
        <v/>
      </c>
      <c r="S694" s="115" t="str">
        <f t="shared" si="121"/>
        <v/>
      </c>
      <c r="T694" s="116" t="str">
        <f t="shared" si="122"/>
        <v/>
      </c>
      <c r="U694" s="120"/>
      <c r="V694" s="118"/>
    </row>
    <row r="695" spans="1:22" ht="13.2">
      <c r="A695" s="102"/>
      <c r="B695" s="102"/>
      <c r="C695" s="104"/>
      <c r="D695" s="105"/>
      <c r="E695" s="106"/>
      <c r="F695" s="107"/>
      <c r="G695" s="108"/>
      <c r="H695" s="109"/>
      <c r="I695" s="110"/>
      <c r="J695" s="110"/>
      <c r="K695" s="119"/>
      <c r="L695" s="111" t="str">
        <f t="shared" si="123"/>
        <v/>
      </c>
      <c r="M695" s="112" t="str">
        <f t="shared" si="124"/>
        <v/>
      </c>
      <c r="N695" s="112" t="str">
        <f t="shared" si="125"/>
        <v/>
      </c>
      <c r="O695" s="112" t="str">
        <f t="shared" si="117"/>
        <v xml:space="preserve"> </v>
      </c>
      <c r="P695" s="113" t="str">
        <f t="shared" si="118"/>
        <v/>
      </c>
      <c r="Q695" s="114" t="str">
        <f t="shared" si="119"/>
        <v/>
      </c>
      <c r="R695" s="115" t="str">
        <f t="shared" si="120"/>
        <v/>
      </c>
      <c r="S695" s="115" t="str">
        <f t="shared" si="121"/>
        <v/>
      </c>
      <c r="T695" s="116" t="str">
        <f t="shared" si="122"/>
        <v/>
      </c>
      <c r="U695" s="120"/>
      <c r="V695" s="118"/>
    </row>
    <row r="696" spans="1:22" ht="13.2">
      <c r="A696" s="102"/>
      <c r="B696" s="102"/>
      <c r="C696" s="104"/>
      <c r="D696" s="105"/>
      <c r="E696" s="106"/>
      <c r="F696" s="107"/>
      <c r="G696" s="108"/>
      <c r="H696" s="109"/>
      <c r="I696" s="110"/>
      <c r="J696" s="110"/>
      <c r="K696" s="119"/>
      <c r="L696" s="111" t="str">
        <f t="shared" si="123"/>
        <v/>
      </c>
      <c r="M696" s="112" t="str">
        <f t="shared" si="124"/>
        <v/>
      </c>
      <c r="N696" s="112" t="str">
        <f t="shared" si="125"/>
        <v/>
      </c>
      <c r="O696" s="112" t="str">
        <f t="shared" si="117"/>
        <v xml:space="preserve"> </v>
      </c>
      <c r="P696" s="113" t="str">
        <f t="shared" si="118"/>
        <v/>
      </c>
      <c r="Q696" s="114" t="str">
        <f t="shared" si="119"/>
        <v/>
      </c>
      <c r="R696" s="115" t="str">
        <f t="shared" si="120"/>
        <v/>
      </c>
      <c r="S696" s="115" t="str">
        <f t="shared" si="121"/>
        <v/>
      </c>
      <c r="T696" s="116" t="str">
        <f t="shared" si="122"/>
        <v/>
      </c>
      <c r="U696" s="120"/>
      <c r="V696" s="118"/>
    </row>
    <row r="697" spans="1:22" ht="13.2">
      <c r="A697" s="102"/>
      <c r="B697" s="102"/>
      <c r="C697" s="104"/>
      <c r="D697" s="105"/>
      <c r="E697" s="106"/>
      <c r="F697" s="107"/>
      <c r="G697" s="108"/>
      <c r="H697" s="109"/>
      <c r="I697" s="110"/>
      <c r="J697" s="110"/>
      <c r="K697" s="119"/>
      <c r="L697" s="111" t="str">
        <f t="shared" si="123"/>
        <v/>
      </c>
      <c r="M697" s="112" t="str">
        <f t="shared" si="124"/>
        <v/>
      </c>
      <c r="N697" s="112" t="str">
        <f t="shared" si="125"/>
        <v/>
      </c>
      <c r="O697" s="112" t="str">
        <f t="shared" si="117"/>
        <v xml:space="preserve"> </v>
      </c>
      <c r="P697" s="113" t="str">
        <f t="shared" si="118"/>
        <v/>
      </c>
      <c r="Q697" s="114" t="str">
        <f t="shared" si="119"/>
        <v/>
      </c>
      <c r="R697" s="115" t="str">
        <f t="shared" si="120"/>
        <v/>
      </c>
      <c r="S697" s="115" t="str">
        <f t="shared" si="121"/>
        <v/>
      </c>
      <c r="T697" s="116" t="str">
        <f t="shared" si="122"/>
        <v/>
      </c>
      <c r="U697" s="120"/>
      <c r="V697" s="118"/>
    </row>
    <row r="698" spans="1:22" ht="13.2">
      <c r="A698" s="102"/>
      <c r="B698" s="102"/>
      <c r="C698" s="104"/>
      <c r="D698" s="105"/>
      <c r="E698" s="106"/>
      <c r="F698" s="107"/>
      <c r="G698" s="108"/>
      <c r="H698" s="109"/>
      <c r="I698" s="110"/>
      <c r="J698" s="110"/>
      <c r="K698" s="119"/>
      <c r="L698" s="111" t="str">
        <f t="shared" si="123"/>
        <v/>
      </c>
      <c r="M698" s="112" t="str">
        <f t="shared" si="124"/>
        <v/>
      </c>
      <c r="N698" s="112" t="str">
        <f t="shared" si="125"/>
        <v/>
      </c>
      <c r="O698" s="112" t="str">
        <f t="shared" si="117"/>
        <v xml:space="preserve"> </v>
      </c>
      <c r="P698" s="113" t="str">
        <f t="shared" si="118"/>
        <v/>
      </c>
      <c r="Q698" s="114" t="str">
        <f t="shared" si="119"/>
        <v/>
      </c>
      <c r="R698" s="115" t="str">
        <f t="shared" si="120"/>
        <v/>
      </c>
      <c r="S698" s="115" t="str">
        <f t="shared" si="121"/>
        <v/>
      </c>
      <c r="T698" s="116" t="str">
        <f t="shared" si="122"/>
        <v/>
      </c>
      <c r="U698" s="120"/>
      <c r="V698" s="118"/>
    </row>
    <row r="699" spans="1:22" ht="13.2">
      <c r="A699" s="102"/>
      <c r="B699" s="102"/>
      <c r="C699" s="104"/>
      <c r="D699" s="105"/>
      <c r="E699" s="106"/>
      <c r="F699" s="107"/>
      <c r="G699" s="108"/>
      <c r="H699" s="109"/>
      <c r="I699" s="110"/>
      <c r="J699" s="110"/>
      <c r="K699" s="110"/>
      <c r="L699" s="111" t="str">
        <f t="shared" si="123"/>
        <v/>
      </c>
      <c r="M699" s="112" t="str">
        <f t="shared" si="124"/>
        <v/>
      </c>
      <c r="N699" s="112" t="str">
        <f t="shared" si="125"/>
        <v/>
      </c>
      <c r="O699" s="112" t="str">
        <f t="shared" si="117"/>
        <v xml:space="preserve"> </v>
      </c>
      <c r="P699" s="113" t="str">
        <f t="shared" si="118"/>
        <v/>
      </c>
      <c r="Q699" s="114" t="str">
        <f t="shared" si="119"/>
        <v/>
      </c>
      <c r="R699" s="115" t="str">
        <f t="shared" si="120"/>
        <v/>
      </c>
      <c r="S699" s="115" t="str">
        <f t="shared" si="121"/>
        <v/>
      </c>
      <c r="T699" s="116" t="str">
        <f t="shared" si="122"/>
        <v/>
      </c>
      <c r="U699" s="120"/>
      <c r="V699" s="118"/>
    </row>
    <row r="700" spans="1:22" ht="13.2">
      <c r="A700" s="102"/>
      <c r="B700" s="102"/>
      <c r="C700" s="104"/>
      <c r="D700" s="105"/>
      <c r="E700" s="106"/>
      <c r="F700" s="107"/>
      <c r="G700" s="108"/>
      <c r="H700" s="109"/>
      <c r="I700" s="110"/>
      <c r="J700" s="110"/>
      <c r="K700" s="119"/>
      <c r="L700" s="111" t="str">
        <f t="shared" si="123"/>
        <v/>
      </c>
      <c r="M700" s="112" t="str">
        <f t="shared" si="124"/>
        <v/>
      </c>
      <c r="N700" s="112" t="str">
        <f t="shared" si="125"/>
        <v/>
      </c>
      <c r="O700" s="112" t="str">
        <f t="shared" si="117"/>
        <v xml:space="preserve"> </v>
      </c>
      <c r="P700" s="113" t="str">
        <f t="shared" si="118"/>
        <v/>
      </c>
      <c r="Q700" s="114" t="str">
        <f t="shared" si="119"/>
        <v/>
      </c>
      <c r="R700" s="115" t="str">
        <f t="shared" si="120"/>
        <v/>
      </c>
      <c r="S700" s="115" t="str">
        <f t="shared" si="121"/>
        <v/>
      </c>
      <c r="T700" s="116" t="str">
        <f t="shared" si="122"/>
        <v/>
      </c>
      <c r="U700" s="120"/>
      <c r="V700" s="118"/>
    </row>
    <row r="701" spans="1:22" ht="13.2">
      <c r="A701" s="102"/>
      <c r="B701" s="102"/>
      <c r="C701" s="104"/>
      <c r="D701" s="105"/>
      <c r="E701" s="106"/>
      <c r="F701" s="107"/>
      <c r="G701" s="108"/>
      <c r="H701" s="109"/>
      <c r="I701" s="110"/>
      <c r="J701" s="110"/>
      <c r="K701" s="119"/>
      <c r="L701" s="111" t="str">
        <f t="shared" si="123"/>
        <v/>
      </c>
      <c r="M701" s="112" t="str">
        <f t="shared" si="124"/>
        <v/>
      </c>
      <c r="N701" s="112" t="str">
        <f t="shared" si="125"/>
        <v/>
      </c>
      <c r="O701" s="112" t="str">
        <f t="shared" si="117"/>
        <v xml:space="preserve"> </v>
      </c>
      <c r="P701" s="113" t="str">
        <f t="shared" si="118"/>
        <v/>
      </c>
      <c r="Q701" s="114" t="str">
        <f t="shared" si="119"/>
        <v/>
      </c>
      <c r="R701" s="115" t="str">
        <f t="shared" si="120"/>
        <v/>
      </c>
      <c r="S701" s="115" t="str">
        <f t="shared" si="121"/>
        <v/>
      </c>
      <c r="T701" s="116" t="str">
        <f t="shared" si="122"/>
        <v/>
      </c>
      <c r="U701" s="120"/>
      <c r="V701" s="118"/>
    </row>
    <row r="702" spans="1:22" ht="13.2">
      <c r="A702" s="102"/>
      <c r="B702" s="102"/>
      <c r="C702" s="104"/>
      <c r="D702" s="105"/>
      <c r="E702" s="106"/>
      <c r="F702" s="107"/>
      <c r="G702" s="108"/>
      <c r="H702" s="109"/>
      <c r="I702" s="110"/>
      <c r="J702" s="110"/>
      <c r="K702" s="119"/>
      <c r="L702" s="111" t="str">
        <f t="shared" si="123"/>
        <v/>
      </c>
      <c r="M702" s="112" t="str">
        <f t="shared" si="124"/>
        <v/>
      </c>
      <c r="N702" s="112" t="str">
        <f t="shared" si="125"/>
        <v/>
      </c>
      <c r="O702" s="112" t="str">
        <f t="shared" ref="O702:O765" si="126">IF(ISERR(I702/I702)=TRUE," ",AVERAGE(I702:K702))</f>
        <v xml:space="preserve"> </v>
      </c>
      <c r="P702" s="113" t="str">
        <f t="shared" ref="P702:P765" si="127">IF(ISBLANK($E702),"",IF(ISNUMBER(F702)=FALSE,"BAD TOL", IF(F702=0,"N/A",IF(ISERR(I702/I702)=TRUE,"BAD INSP",IF(AND(ISNUMBER($I702),ISNUMBER($J702),ISNUMBER($K702))=FALSE,"BAD INSP",IF(MAX($I702:$K702)&lt;$E702,0,(MAX($I702:$K702)-$E702)/$F702))))))</f>
        <v/>
      </c>
      <c r="Q702" s="114" t="str">
        <f t="shared" ref="Q702:Q765" si="128">IF(ISBLANK($E702),"",IF(ISNUMBER(G702)=FALSE,"BAD TOL",IF(G702=0,"N/A",IF(ISERR(I702/I702)=TRUE,"BAD INSP",IF(AND(ISNUMBER($I702),ISNUMBER($J702),ISNUMBER($K702))=FALSE,"BAD INSP",IF(MIN(I702:K702)&gt;$E702,0,($E702-MIN(I702:K702))/G702))))))</f>
        <v/>
      </c>
      <c r="R702" s="115" t="str">
        <f t="shared" ref="R702:R765" si="129">IF(ISBLANK($E702),"",IF(ISNUMBER($P702)=TRUE,IF($P702&gt;0.651,IF($P702&gt;1.001,"Reject","Alert")," "),IF(AND(F702=0, ISNUMBER(F702)),IF(MAX(I702:K702)&gt;(E702+F702),"Reject",IF(MAX(I702:K702)=(E702+F702),"Alert","")),"Reject")))</f>
        <v/>
      </c>
      <c r="S702" s="115" t="str">
        <f t="shared" ref="S702:S765" si="130">IF(ISBLANK($E702),"",IF(ISNUMBER($Q702)=TRUE,IF($Q702&gt;0.651,IF($Q702&gt;1.001,"Reject","Alert")," "),IF(AND(G702=0, ISNUMBER(G702)),IF(MIN(I702:K702)&lt;(E702-G702),"Reject",IF(MIN(I702:K702)=(E702-G702),"Alert","")),"Reject")))</f>
        <v/>
      </c>
      <c r="T702" s="116" t="str">
        <f t="shared" ref="T702:T765" si="131">IF(OR(R702="Reject",S702="Reject"),"Reject",IF(OR(R702="Alert",S702="Alert"),"Alert", ""))</f>
        <v/>
      </c>
      <c r="U702" s="120"/>
      <c r="V702" s="118"/>
    </row>
    <row r="703" spans="1:22" ht="13.2">
      <c r="A703" s="102"/>
      <c r="B703" s="102"/>
      <c r="C703" s="104"/>
      <c r="D703" s="105"/>
      <c r="E703" s="106"/>
      <c r="F703" s="107"/>
      <c r="G703" s="108"/>
      <c r="H703" s="109"/>
      <c r="I703" s="110"/>
      <c r="J703" s="110"/>
      <c r="K703" s="119"/>
      <c r="L703" s="111" t="str">
        <f t="shared" si="123"/>
        <v/>
      </c>
      <c r="M703" s="112" t="str">
        <f t="shared" si="124"/>
        <v/>
      </c>
      <c r="N703" s="112" t="str">
        <f t="shared" si="125"/>
        <v/>
      </c>
      <c r="O703" s="112" t="str">
        <f t="shared" si="126"/>
        <v xml:space="preserve"> </v>
      </c>
      <c r="P703" s="113" t="str">
        <f t="shared" si="127"/>
        <v/>
      </c>
      <c r="Q703" s="114" t="str">
        <f t="shared" si="128"/>
        <v/>
      </c>
      <c r="R703" s="115" t="str">
        <f t="shared" si="129"/>
        <v/>
      </c>
      <c r="S703" s="115" t="str">
        <f t="shared" si="130"/>
        <v/>
      </c>
      <c r="T703" s="116" t="str">
        <f t="shared" si="131"/>
        <v/>
      </c>
      <c r="U703" s="120"/>
      <c r="V703" s="118"/>
    </row>
    <row r="704" spans="1:22" ht="13.2">
      <c r="A704" s="102"/>
      <c r="B704" s="103"/>
      <c r="C704" s="104"/>
      <c r="D704" s="105"/>
      <c r="E704" s="106"/>
      <c r="F704" s="107"/>
      <c r="G704" s="108"/>
      <c r="H704" s="121"/>
      <c r="I704" s="122"/>
      <c r="J704" s="122"/>
      <c r="K704" s="123"/>
      <c r="L704" s="111" t="str">
        <f t="shared" si="123"/>
        <v/>
      </c>
      <c r="M704" s="112" t="str">
        <f t="shared" si="124"/>
        <v/>
      </c>
      <c r="N704" s="112" t="str">
        <f t="shared" si="125"/>
        <v/>
      </c>
      <c r="O704" s="112" t="str">
        <f t="shared" si="126"/>
        <v xml:space="preserve"> </v>
      </c>
      <c r="P704" s="113" t="str">
        <f t="shared" si="127"/>
        <v/>
      </c>
      <c r="Q704" s="114" t="str">
        <f t="shared" si="128"/>
        <v/>
      </c>
      <c r="R704" s="115" t="str">
        <f t="shared" si="129"/>
        <v/>
      </c>
      <c r="S704" s="115" t="str">
        <f t="shared" si="130"/>
        <v/>
      </c>
      <c r="T704" s="116" t="str">
        <f t="shared" si="131"/>
        <v/>
      </c>
      <c r="U704" s="120"/>
      <c r="V704" s="118"/>
    </row>
    <row r="705" spans="1:22" ht="13.2">
      <c r="A705" s="102"/>
      <c r="B705" s="103"/>
      <c r="C705" s="104"/>
      <c r="D705" s="105"/>
      <c r="E705" s="106"/>
      <c r="F705" s="107"/>
      <c r="G705" s="108"/>
      <c r="H705" s="121"/>
      <c r="I705" s="122"/>
      <c r="J705" s="122"/>
      <c r="K705" s="123"/>
      <c r="L705" s="111" t="str">
        <f t="shared" si="123"/>
        <v/>
      </c>
      <c r="M705" s="112" t="str">
        <f t="shared" si="124"/>
        <v/>
      </c>
      <c r="N705" s="112" t="str">
        <f t="shared" si="125"/>
        <v/>
      </c>
      <c r="O705" s="112" t="str">
        <f t="shared" si="126"/>
        <v xml:space="preserve"> </v>
      </c>
      <c r="P705" s="113" t="str">
        <f t="shared" si="127"/>
        <v/>
      </c>
      <c r="Q705" s="114" t="str">
        <f t="shared" si="128"/>
        <v/>
      </c>
      <c r="R705" s="115" t="str">
        <f t="shared" si="129"/>
        <v/>
      </c>
      <c r="S705" s="115" t="str">
        <f t="shared" si="130"/>
        <v/>
      </c>
      <c r="T705" s="116" t="str">
        <f t="shared" si="131"/>
        <v/>
      </c>
      <c r="U705" s="120"/>
      <c r="V705" s="118"/>
    </row>
    <row r="706" spans="1:22" ht="13.2">
      <c r="A706" s="102"/>
      <c r="B706" s="103"/>
      <c r="C706" s="104"/>
      <c r="D706" s="105"/>
      <c r="E706" s="106"/>
      <c r="F706" s="107"/>
      <c r="G706" s="108"/>
      <c r="H706" s="121"/>
      <c r="I706" s="122"/>
      <c r="J706" s="122"/>
      <c r="K706" s="123"/>
      <c r="L706" s="111" t="str">
        <f t="shared" si="123"/>
        <v/>
      </c>
      <c r="M706" s="112" t="str">
        <f t="shared" si="124"/>
        <v/>
      </c>
      <c r="N706" s="112" t="str">
        <f t="shared" si="125"/>
        <v/>
      </c>
      <c r="O706" s="112" t="str">
        <f t="shared" si="126"/>
        <v xml:space="preserve"> </v>
      </c>
      <c r="P706" s="113" t="str">
        <f t="shared" si="127"/>
        <v/>
      </c>
      <c r="Q706" s="114" t="str">
        <f t="shared" si="128"/>
        <v/>
      </c>
      <c r="R706" s="115" t="str">
        <f t="shared" si="129"/>
        <v/>
      </c>
      <c r="S706" s="115" t="str">
        <f t="shared" si="130"/>
        <v/>
      </c>
      <c r="T706" s="116" t="str">
        <f t="shared" si="131"/>
        <v/>
      </c>
      <c r="U706" s="120"/>
      <c r="V706" s="118"/>
    </row>
    <row r="707" spans="1:22" ht="13.2">
      <c r="A707" s="102"/>
      <c r="B707" s="102"/>
      <c r="C707" s="103"/>
      <c r="D707" s="105"/>
      <c r="E707" s="106"/>
      <c r="F707" s="107"/>
      <c r="G707" s="108"/>
      <c r="H707" s="109"/>
      <c r="I707" s="110"/>
      <c r="J707" s="110"/>
      <c r="K707" s="119"/>
      <c r="L707" s="111" t="str">
        <f t="shared" si="123"/>
        <v/>
      </c>
      <c r="M707" s="112" t="str">
        <f t="shared" si="124"/>
        <v/>
      </c>
      <c r="N707" s="112" t="str">
        <f t="shared" si="125"/>
        <v/>
      </c>
      <c r="O707" s="112" t="str">
        <f t="shared" si="126"/>
        <v xml:space="preserve"> </v>
      </c>
      <c r="P707" s="113" t="str">
        <f t="shared" si="127"/>
        <v/>
      </c>
      <c r="Q707" s="114" t="str">
        <f t="shared" si="128"/>
        <v/>
      </c>
      <c r="R707" s="115" t="str">
        <f t="shared" si="129"/>
        <v/>
      </c>
      <c r="S707" s="115" t="str">
        <f t="shared" si="130"/>
        <v/>
      </c>
      <c r="T707" s="116" t="str">
        <f t="shared" si="131"/>
        <v/>
      </c>
      <c r="U707" s="120"/>
      <c r="V707" s="118"/>
    </row>
    <row r="708" spans="1:22" ht="13.2">
      <c r="A708" s="102"/>
      <c r="B708" s="102"/>
      <c r="C708" s="103"/>
      <c r="D708" s="105"/>
      <c r="E708" s="106"/>
      <c r="F708" s="107"/>
      <c r="G708" s="108"/>
      <c r="H708" s="109"/>
      <c r="I708" s="110"/>
      <c r="J708" s="110"/>
      <c r="K708" s="119"/>
      <c r="L708" s="111" t="str">
        <f t="shared" si="123"/>
        <v/>
      </c>
      <c r="M708" s="112" t="str">
        <f t="shared" si="124"/>
        <v/>
      </c>
      <c r="N708" s="112" t="str">
        <f t="shared" si="125"/>
        <v/>
      </c>
      <c r="O708" s="112" t="str">
        <f t="shared" si="126"/>
        <v xml:space="preserve"> </v>
      </c>
      <c r="P708" s="113" t="str">
        <f t="shared" si="127"/>
        <v/>
      </c>
      <c r="Q708" s="114" t="str">
        <f t="shared" si="128"/>
        <v/>
      </c>
      <c r="R708" s="115" t="str">
        <f t="shared" si="129"/>
        <v/>
      </c>
      <c r="S708" s="115" t="str">
        <f t="shared" si="130"/>
        <v/>
      </c>
      <c r="T708" s="116" t="str">
        <f t="shared" si="131"/>
        <v/>
      </c>
      <c r="U708" s="120"/>
      <c r="V708" s="118"/>
    </row>
    <row r="709" spans="1:22" ht="13.2">
      <c r="A709" s="102"/>
      <c r="B709" s="102"/>
      <c r="C709" s="104"/>
      <c r="D709" s="105"/>
      <c r="E709" s="106"/>
      <c r="F709" s="107"/>
      <c r="G709" s="108"/>
      <c r="H709" s="109"/>
      <c r="I709" s="110"/>
      <c r="J709" s="110"/>
      <c r="K709" s="119"/>
      <c r="L709" s="111" t="str">
        <f t="shared" si="123"/>
        <v/>
      </c>
      <c r="M709" s="112" t="str">
        <f t="shared" si="124"/>
        <v/>
      </c>
      <c r="N709" s="112" t="str">
        <f t="shared" si="125"/>
        <v/>
      </c>
      <c r="O709" s="112" t="str">
        <f t="shared" si="126"/>
        <v xml:space="preserve"> </v>
      </c>
      <c r="P709" s="113" t="str">
        <f t="shared" si="127"/>
        <v/>
      </c>
      <c r="Q709" s="114" t="str">
        <f t="shared" si="128"/>
        <v/>
      </c>
      <c r="R709" s="115" t="str">
        <f t="shared" si="129"/>
        <v/>
      </c>
      <c r="S709" s="115" t="str">
        <f t="shared" si="130"/>
        <v/>
      </c>
      <c r="T709" s="116" t="str">
        <f t="shared" si="131"/>
        <v/>
      </c>
      <c r="U709" s="120"/>
      <c r="V709" s="118"/>
    </row>
    <row r="710" spans="1:22" ht="13.2">
      <c r="A710" s="102"/>
      <c r="B710" s="102"/>
      <c r="C710" s="104"/>
      <c r="D710" s="105"/>
      <c r="E710" s="106"/>
      <c r="F710" s="107"/>
      <c r="G710" s="108"/>
      <c r="H710" s="109"/>
      <c r="I710" s="110"/>
      <c r="J710" s="110"/>
      <c r="K710" s="119"/>
      <c r="L710" s="111" t="str">
        <f t="shared" si="123"/>
        <v/>
      </c>
      <c r="M710" s="112" t="str">
        <f t="shared" si="124"/>
        <v/>
      </c>
      <c r="N710" s="112" t="str">
        <f t="shared" si="125"/>
        <v/>
      </c>
      <c r="O710" s="112" t="str">
        <f t="shared" si="126"/>
        <v xml:space="preserve"> </v>
      </c>
      <c r="P710" s="113" t="str">
        <f t="shared" si="127"/>
        <v/>
      </c>
      <c r="Q710" s="114" t="str">
        <f t="shared" si="128"/>
        <v/>
      </c>
      <c r="R710" s="115" t="str">
        <f t="shared" si="129"/>
        <v/>
      </c>
      <c r="S710" s="115" t="str">
        <f t="shared" si="130"/>
        <v/>
      </c>
      <c r="T710" s="116" t="str">
        <f t="shared" si="131"/>
        <v/>
      </c>
      <c r="U710" s="120"/>
      <c r="V710" s="118"/>
    </row>
    <row r="711" spans="1:22" ht="13.2">
      <c r="A711" s="102"/>
      <c r="B711" s="102"/>
      <c r="C711" s="104"/>
      <c r="D711" s="105"/>
      <c r="E711" s="106"/>
      <c r="F711" s="107"/>
      <c r="G711" s="108"/>
      <c r="H711" s="109"/>
      <c r="I711" s="110"/>
      <c r="J711" s="110"/>
      <c r="K711" s="119"/>
      <c r="L711" s="111" t="str">
        <f t="shared" si="123"/>
        <v/>
      </c>
      <c r="M711" s="112" t="str">
        <f t="shared" si="124"/>
        <v/>
      </c>
      <c r="N711" s="112" t="str">
        <f t="shared" si="125"/>
        <v/>
      </c>
      <c r="O711" s="112" t="str">
        <f t="shared" si="126"/>
        <v xml:space="preserve"> </v>
      </c>
      <c r="P711" s="113" t="str">
        <f t="shared" si="127"/>
        <v/>
      </c>
      <c r="Q711" s="114" t="str">
        <f t="shared" si="128"/>
        <v/>
      </c>
      <c r="R711" s="115" t="str">
        <f t="shared" si="129"/>
        <v/>
      </c>
      <c r="S711" s="115" t="str">
        <f t="shared" si="130"/>
        <v/>
      </c>
      <c r="T711" s="116" t="str">
        <f t="shared" si="131"/>
        <v/>
      </c>
      <c r="U711" s="120"/>
      <c r="V711" s="118"/>
    </row>
    <row r="712" spans="1:22" ht="13.2">
      <c r="A712" s="102"/>
      <c r="B712" s="102"/>
      <c r="C712" s="104"/>
      <c r="D712" s="105"/>
      <c r="E712" s="106"/>
      <c r="F712" s="107"/>
      <c r="G712" s="108"/>
      <c r="H712" s="109"/>
      <c r="I712" s="110"/>
      <c r="J712" s="110"/>
      <c r="K712" s="119"/>
      <c r="L712" s="111" t="str">
        <f t="shared" si="123"/>
        <v/>
      </c>
      <c r="M712" s="112" t="str">
        <f t="shared" si="124"/>
        <v/>
      </c>
      <c r="N712" s="112" t="str">
        <f t="shared" si="125"/>
        <v/>
      </c>
      <c r="O712" s="112" t="str">
        <f t="shared" si="126"/>
        <v xml:space="preserve"> </v>
      </c>
      <c r="P712" s="113" t="str">
        <f t="shared" si="127"/>
        <v/>
      </c>
      <c r="Q712" s="114" t="str">
        <f t="shared" si="128"/>
        <v/>
      </c>
      <c r="R712" s="115" t="str">
        <f t="shared" si="129"/>
        <v/>
      </c>
      <c r="S712" s="115" t="str">
        <f t="shared" si="130"/>
        <v/>
      </c>
      <c r="T712" s="116" t="str">
        <f t="shared" si="131"/>
        <v/>
      </c>
      <c r="U712" s="120"/>
      <c r="V712" s="118"/>
    </row>
    <row r="713" spans="1:22" ht="13.2">
      <c r="A713" s="102"/>
      <c r="B713" s="102"/>
      <c r="C713" s="104"/>
      <c r="D713" s="105"/>
      <c r="E713" s="106"/>
      <c r="F713" s="107"/>
      <c r="G713" s="108"/>
      <c r="H713" s="109"/>
      <c r="I713" s="110"/>
      <c r="J713" s="110"/>
      <c r="K713" s="119"/>
      <c r="L713" s="111" t="str">
        <f t="shared" si="123"/>
        <v/>
      </c>
      <c r="M713" s="112" t="str">
        <f t="shared" si="124"/>
        <v/>
      </c>
      <c r="N713" s="112" t="str">
        <f t="shared" si="125"/>
        <v/>
      </c>
      <c r="O713" s="112" t="str">
        <f t="shared" si="126"/>
        <v xml:space="preserve"> </v>
      </c>
      <c r="P713" s="113" t="str">
        <f t="shared" si="127"/>
        <v/>
      </c>
      <c r="Q713" s="114" t="str">
        <f t="shared" si="128"/>
        <v/>
      </c>
      <c r="R713" s="115" t="str">
        <f t="shared" si="129"/>
        <v/>
      </c>
      <c r="S713" s="115" t="str">
        <f t="shared" si="130"/>
        <v/>
      </c>
      <c r="T713" s="116" t="str">
        <f t="shared" si="131"/>
        <v/>
      </c>
      <c r="U713" s="120"/>
      <c r="V713" s="118"/>
    </row>
    <row r="714" spans="1:22" ht="13.2">
      <c r="A714" s="102"/>
      <c r="B714" s="102"/>
      <c r="C714" s="104"/>
      <c r="D714" s="105"/>
      <c r="E714" s="106"/>
      <c r="F714" s="107"/>
      <c r="G714" s="108"/>
      <c r="H714" s="109"/>
      <c r="I714" s="110"/>
      <c r="J714" s="110"/>
      <c r="K714" s="110"/>
      <c r="L714" s="111" t="str">
        <f t="shared" si="123"/>
        <v/>
      </c>
      <c r="M714" s="112" t="str">
        <f t="shared" si="124"/>
        <v/>
      </c>
      <c r="N714" s="112" t="str">
        <f t="shared" si="125"/>
        <v/>
      </c>
      <c r="O714" s="112" t="str">
        <f t="shared" si="126"/>
        <v xml:space="preserve"> </v>
      </c>
      <c r="P714" s="113" t="str">
        <f t="shared" si="127"/>
        <v/>
      </c>
      <c r="Q714" s="114" t="str">
        <f t="shared" si="128"/>
        <v/>
      </c>
      <c r="R714" s="115" t="str">
        <f t="shared" si="129"/>
        <v/>
      </c>
      <c r="S714" s="115" t="str">
        <f t="shared" si="130"/>
        <v/>
      </c>
      <c r="T714" s="116" t="str">
        <f t="shared" si="131"/>
        <v/>
      </c>
      <c r="U714" s="120"/>
      <c r="V714" s="118"/>
    </row>
    <row r="715" spans="1:22" ht="13.2">
      <c r="A715" s="102"/>
      <c r="B715" s="102"/>
      <c r="C715" s="104"/>
      <c r="D715" s="105"/>
      <c r="E715" s="106"/>
      <c r="F715" s="107"/>
      <c r="G715" s="108"/>
      <c r="H715" s="109"/>
      <c r="I715" s="110"/>
      <c r="J715" s="110"/>
      <c r="K715" s="119"/>
      <c r="L715" s="111" t="str">
        <f t="shared" si="123"/>
        <v/>
      </c>
      <c r="M715" s="112" t="str">
        <f t="shared" si="124"/>
        <v/>
      </c>
      <c r="N715" s="112" t="str">
        <f t="shared" si="125"/>
        <v/>
      </c>
      <c r="O715" s="112" t="str">
        <f t="shared" si="126"/>
        <v xml:space="preserve"> </v>
      </c>
      <c r="P715" s="113" t="str">
        <f t="shared" si="127"/>
        <v/>
      </c>
      <c r="Q715" s="114" t="str">
        <f t="shared" si="128"/>
        <v/>
      </c>
      <c r="R715" s="115" t="str">
        <f t="shared" si="129"/>
        <v/>
      </c>
      <c r="S715" s="115" t="str">
        <f t="shared" si="130"/>
        <v/>
      </c>
      <c r="T715" s="116" t="str">
        <f t="shared" si="131"/>
        <v/>
      </c>
      <c r="U715" s="120"/>
      <c r="V715" s="118"/>
    </row>
    <row r="716" spans="1:22" ht="13.2">
      <c r="A716" s="102"/>
      <c r="B716" s="102"/>
      <c r="C716" s="104"/>
      <c r="D716" s="105"/>
      <c r="E716" s="106"/>
      <c r="F716" s="107"/>
      <c r="G716" s="108"/>
      <c r="H716" s="109"/>
      <c r="I716" s="110"/>
      <c r="J716" s="110"/>
      <c r="K716" s="119"/>
      <c r="L716" s="111" t="str">
        <f t="shared" si="123"/>
        <v/>
      </c>
      <c r="M716" s="112" t="str">
        <f t="shared" si="124"/>
        <v/>
      </c>
      <c r="N716" s="112" t="str">
        <f t="shared" si="125"/>
        <v/>
      </c>
      <c r="O716" s="112" t="str">
        <f t="shared" si="126"/>
        <v xml:space="preserve"> </v>
      </c>
      <c r="P716" s="113" t="str">
        <f t="shared" si="127"/>
        <v/>
      </c>
      <c r="Q716" s="114" t="str">
        <f t="shared" si="128"/>
        <v/>
      </c>
      <c r="R716" s="115" t="str">
        <f t="shared" si="129"/>
        <v/>
      </c>
      <c r="S716" s="115" t="str">
        <f t="shared" si="130"/>
        <v/>
      </c>
      <c r="T716" s="116" t="str">
        <f t="shared" si="131"/>
        <v/>
      </c>
      <c r="U716" s="120"/>
      <c r="V716" s="118"/>
    </row>
    <row r="717" spans="1:22" ht="13.2">
      <c r="A717" s="102"/>
      <c r="B717" s="102"/>
      <c r="C717" s="104"/>
      <c r="D717" s="105"/>
      <c r="E717" s="106"/>
      <c r="F717" s="107"/>
      <c r="G717" s="108"/>
      <c r="H717" s="109"/>
      <c r="I717" s="110"/>
      <c r="J717" s="110"/>
      <c r="K717" s="119"/>
      <c r="L717" s="111" t="str">
        <f t="shared" si="123"/>
        <v/>
      </c>
      <c r="M717" s="112" t="str">
        <f t="shared" si="124"/>
        <v/>
      </c>
      <c r="N717" s="112" t="str">
        <f t="shared" si="125"/>
        <v/>
      </c>
      <c r="O717" s="112" t="str">
        <f t="shared" si="126"/>
        <v xml:space="preserve"> </v>
      </c>
      <c r="P717" s="113" t="str">
        <f t="shared" si="127"/>
        <v/>
      </c>
      <c r="Q717" s="114" t="str">
        <f t="shared" si="128"/>
        <v/>
      </c>
      <c r="R717" s="115" t="str">
        <f t="shared" si="129"/>
        <v/>
      </c>
      <c r="S717" s="115" t="str">
        <f t="shared" si="130"/>
        <v/>
      </c>
      <c r="T717" s="116" t="str">
        <f t="shared" si="131"/>
        <v/>
      </c>
      <c r="U717" s="120"/>
      <c r="V717" s="118"/>
    </row>
    <row r="718" spans="1:22" ht="13.2">
      <c r="A718" s="102"/>
      <c r="B718" s="102"/>
      <c r="C718" s="104"/>
      <c r="D718" s="105"/>
      <c r="E718" s="106"/>
      <c r="F718" s="107"/>
      <c r="G718" s="108"/>
      <c r="H718" s="109"/>
      <c r="I718" s="110"/>
      <c r="J718" s="110"/>
      <c r="K718" s="119"/>
      <c r="L718" s="111" t="str">
        <f t="shared" si="123"/>
        <v/>
      </c>
      <c r="M718" s="112" t="str">
        <f t="shared" si="124"/>
        <v/>
      </c>
      <c r="N718" s="112" t="str">
        <f t="shared" si="125"/>
        <v/>
      </c>
      <c r="O718" s="112" t="str">
        <f t="shared" si="126"/>
        <v xml:space="preserve"> </v>
      </c>
      <c r="P718" s="113" t="str">
        <f t="shared" si="127"/>
        <v/>
      </c>
      <c r="Q718" s="114" t="str">
        <f t="shared" si="128"/>
        <v/>
      </c>
      <c r="R718" s="115" t="str">
        <f t="shared" si="129"/>
        <v/>
      </c>
      <c r="S718" s="115" t="str">
        <f t="shared" si="130"/>
        <v/>
      </c>
      <c r="T718" s="116" t="str">
        <f t="shared" si="131"/>
        <v/>
      </c>
      <c r="U718" s="120"/>
      <c r="V718" s="118"/>
    </row>
    <row r="719" spans="1:22" ht="13.2">
      <c r="A719" s="102"/>
      <c r="B719" s="103"/>
      <c r="C719" s="104"/>
      <c r="D719" s="105"/>
      <c r="E719" s="106"/>
      <c r="F719" s="107"/>
      <c r="G719" s="108"/>
      <c r="H719" s="121"/>
      <c r="I719" s="122"/>
      <c r="J719" s="122"/>
      <c r="K719" s="123"/>
      <c r="L719" s="111" t="str">
        <f t="shared" si="123"/>
        <v/>
      </c>
      <c r="M719" s="112" t="str">
        <f t="shared" si="124"/>
        <v/>
      </c>
      <c r="N719" s="112" t="str">
        <f t="shared" si="125"/>
        <v/>
      </c>
      <c r="O719" s="112" t="str">
        <f t="shared" si="126"/>
        <v xml:space="preserve"> </v>
      </c>
      <c r="P719" s="113" t="str">
        <f t="shared" si="127"/>
        <v/>
      </c>
      <c r="Q719" s="114" t="str">
        <f t="shared" si="128"/>
        <v/>
      </c>
      <c r="R719" s="115" t="str">
        <f t="shared" si="129"/>
        <v/>
      </c>
      <c r="S719" s="115" t="str">
        <f t="shared" si="130"/>
        <v/>
      </c>
      <c r="T719" s="116" t="str">
        <f t="shared" si="131"/>
        <v/>
      </c>
      <c r="U719" s="120"/>
      <c r="V719" s="118"/>
    </row>
    <row r="720" spans="1:22" ht="13.2">
      <c r="A720" s="102"/>
      <c r="B720" s="103"/>
      <c r="C720" s="104"/>
      <c r="D720" s="105"/>
      <c r="E720" s="106"/>
      <c r="F720" s="107"/>
      <c r="G720" s="108"/>
      <c r="H720" s="121"/>
      <c r="I720" s="122"/>
      <c r="J720" s="122"/>
      <c r="K720" s="123"/>
      <c r="L720" s="111" t="str">
        <f t="shared" si="123"/>
        <v/>
      </c>
      <c r="M720" s="112" t="str">
        <f t="shared" si="124"/>
        <v/>
      </c>
      <c r="N720" s="112" t="str">
        <f t="shared" si="125"/>
        <v/>
      </c>
      <c r="O720" s="112" t="str">
        <f t="shared" si="126"/>
        <v xml:space="preserve"> </v>
      </c>
      <c r="P720" s="113" t="str">
        <f t="shared" si="127"/>
        <v/>
      </c>
      <c r="Q720" s="114" t="str">
        <f t="shared" si="128"/>
        <v/>
      </c>
      <c r="R720" s="115" t="str">
        <f t="shared" si="129"/>
        <v/>
      </c>
      <c r="S720" s="115" t="str">
        <f t="shared" si="130"/>
        <v/>
      </c>
      <c r="T720" s="116" t="str">
        <f t="shared" si="131"/>
        <v/>
      </c>
      <c r="U720" s="120"/>
      <c r="V720" s="118"/>
    </row>
    <row r="721" spans="1:22" ht="13.2">
      <c r="A721" s="102"/>
      <c r="B721" s="103"/>
      <c r="C721" s="104"/>
      <c r="D721" s="105"/>
      <c r="E721" s="106"/>
      <c r="F721" s="107"/>
      <c r="G721" s="108"/>
      <c r="H721" s="121"/>
      <c r="I721" s="122"/>
      <c r="J721" s="122"/>
      <c r="K721" s="123"/>
      <c r="L721" s="111" t="str">
        <f t="shared" si="123"/>
        <v/>
      </c>
      <c r="M721" s="112" t="str">
        <f t="shared" si="124"/>
        <v/>
      </c>
      <c r="N721" s="112" t="str">
        <f t="shared" si="125"/>
        <v/>
      </c>
      <c r="O721" s="112" t="str">
        <f t="shared" si="126"/>
        <v xml:space="preserve"> </v>
      </c>
      <c r="P721" s="113" t="str">
        <f t="shared" si="127"/>
        <v/>
      </c>
      <c r="Q721" s="114" t="str">
        <f t="shared" si="128"/>
        <v/>
      </c>
      <c r="R721" s="115" t="str">
        <f t="shared" si="129"/>
        <v/>
      </c>
      <c r="S721" s="115" t="str">
        <f t="shared" si="130"/>
        <v/>
      </c>
      <c r="T721" s="116" t="str">
        <f t="shared" si="131"/>
        <v/>
      </c>
      <c r="U721" s="120"/>
      <c r="V721" s="118"/>
    </row>
    <row r="722" spans="1:22" ht="13.2">
      <c r="A722" s="102"/>
      <c r="B722" s="102"/>
      <c r="C722" s="103"/>
      <c r="D722" s="105"/>
      <c r="E722" s="106"/>
      <c r="F722" s="107"/>
      <c r="G722" s="108"/>
      <c r="H722" s="109"/>
      <c r="I722" s="110"/>
      <c r="J722" s="110"/>
      <c r="K722" s="119"/>
      <c r="L722" s="111" t="str">
        <f t="shared" si="123"/>
        <v/>
      </c>
      <c r="M722" s="112" t="str">
        <f t="shared" si="124"/>
        <v/>
      </c>
      <c r="N722" s="112" t="str">
        <f t="shared" si="125"/>
        <v/>
      </c>
      <c r="O722" s="112" t="str">
        <f t="shared" si="126"/>
        <v xml:space="preserve"> </v>
      </c>
      <c r="P722" s="113" t="str">
        <f t="shared" si="127"/>
        <v/>
      </c>
      <c r="Q722" s="114" t="str">
        <f t="shared" si="128"/>
        <v/>
      </c>
      <c r="R722" s="115" t="str">
        <f t="shared" si="129"/>
        <v/>
      </c>
      <c r="S722" s="115" t="str">
        <f t="shared" si="130"/>
        <v/>
      </c>
      <c r="T722" s="116" t="str">
        <f t="shared" si="131"/>
        <v/>
      </c>
      <c r="U722" s="120"/>
      <c r="V722" s="118"/>
    </row>
    <row r="723" spans="1:22" ht="13.2">
      <c r="A723" s="102"/>
      <c r="B723" s="102"/>
      <c r="C723" s="103"/>
      <c r="D723" s="105"/>
      <c r="E723" s="106"/>
      <c r="F723" s="107"/>
      <c r="G723" s="108"/>
      <c r="H723" s="109"/>
      <c r="I723" s="110"/>
      <c r="J723" s="110"/>
      <c r="K723" s="119"/>
      <c r="L723" s="111" t="str">
        <f t="shared" ref="L723:L786" si="132">IF(ISBLANK($E723),"",IF(ISERR(I723/I723)=TRUE,"BAD INSP",I723-$E723))</f>
        <v/>
      </c>
      <c r="M723" s="112" t="str">
        <f t="shared" ref="M723:M786" si="133">IF(ISBLANK($E723),"",IF(ISERR(J723/J723)=TRUE,"BAD INSP",J723-$E723))</f>
        <v/>
      </c>
      <c r="N723" s="112" t="str">
        <f t="shared" ref="N723:N786" si="134">IF(ISBLANK($E723),"",IF(ISERR(K723/K723)=TRUE,"BAD INSP",K723-$E723))</f>
        <v/>
      </c>
      <c r="O723" s="112" t="str">
        <f t="shared" si="126"/>
        <v xml:space="preserve"> </v>
      </c>
      <c r="P723" s="113" t="str">
        <f t="shared" si="127"/>
        <v/>
      </c>
      <c r="Q723" s="114" t="str">
        <f t="shared" si="128"/>
        <v/>
      </c>
      <c r="R723" s="115" t="str">
        <f t="shared" si="129"/>
        <v/>
      </c>
      <c r="S723" s="115" t="str">
        <f t="shared" si="130"/>
        <v/>
      </c>
      <c r="T723" s="116" t="str">
        <f t="shared" si="131"/>
        <v/>
      </c>
      <c r="U723" s="120"/>
      <c r="V723" s="118"/>
    </row>
    <row r="724" spans="1:22" ht="13.2">
      <c r="A724" s="102"/>
      <c r="B724" s="102"/>
      <c r="C724" s="104"/>
      <c r="D724" s="105"/>
      <c r="E724" s="106"/>
      <c r="F724" s="107"/>
      <c r="G724" s="108"/>
      <c r="H724" s="109"/>
      <c r="I724" s="110"/>
      <c r="J724" s="110"/>
      <c r="K724" s="119"/>
      <c r="L724" s="111" t="str">
        <f t="shared" si="132"/>
        <v/>
      </c>
      <c r="M724" s="112" t="str">
        <f t="shared" si="133"/>
        <v/>
      </c>
      <c r="N724" s="112" t="str">
        <f t="shared" si="134"/>
        <v/>
      </c>
      <c r="O724" s="112" t="str">
        <f t="shared" si="126"/>
        <v xml:space="preserve"> </v>
      </c>
      <c r="P724" s="113" t="str">
        <f t="shared" si="127"/>
        <v/>
      </c>
      <c r="Q724" s="114" t="str">
        <f t="shared" si="128"/>
        <v/>
      </c>
      <c r="R724" s="115" t="str">
        <f t="shared" si="129"/>
        <v/>
      </c>
      <c r="S724" s="115" t="str">
        <f t="shared" si="130"/>
        <v/>
      </c>
      <c r="T724" s="116" t="str">
        <f t="shared" si="131"/>
        <v/>
      </c>
      <c r="U724" s="120"/>
      <c r="V724" s="118"/>
    </row>
    <row r="725" spans="1:22" ht="13.2">
      <c r="A725" s="102"/>
      <c r="B725" s="102"/>
      <c r="C725" s="104"/>
      <c r="D725" s="105"/>
      <c r="E725" s="106"/>
      <c r="F725" s="107"/>
      <c r="G725" s="108"/>
      <c r="H725" s="109"/>
      <c r="I725" s="110"/>
      <c r="J725" s="110"/>
      <c r="K725" s="119"/>
      <c r="L725" s="111" t="str">
        <f t="shared" si="132"/>
        <v/>
      </c>
      <c r="M725" s="112" t="str">
        <f t="shared" si="133"/>
        <v/>
      </c>
      <c r="N725" s="112" t="str">
        <f t="shared" si="134"/>
        <v/>
      </c>
      <c r="O725" s="112" t="str">
        <f t="shared" si="126"/>
        <v xml:space="preserve"> </v>
      </c>
      <c r="P725" s="113" t="str">
        <f t="shared" si="127"/>
        <v/>
      </c>
      <c r="Q725" s="114" t="str">
        <f t="shared" si="128"/>
        <v/>
      </c>
      <c r="R725" s="115" t="str">
        <f t="shared" si="129"/>
        <v/>
      </c>
      <c r="S725" s="115" t="str">
        <f t="shared" si="130"/>
        <v/>
      </c>
      <c r="T725" s="116" t="str">
        <f t="shared" si="131"/>
        <v/>
      </c>
      <c r="U725" s="120"/>
      <c r="V725" s="118"/>
    </row>
    <row r="726" spans="1:22" ht="13.2">
      <c r="A726" s="102"/>
      <c r="B726" s="102"/>
      <c r="C726" s="104"/>
      <c r="D726" s="105"/>
      <c r="E726" s="106"/>
      <c r="F726" s="107"/>
      <c r="G726" s="108"/>
      <c r="H726" s="109"/>
      <c r="I726" s="110"/>
      <c r="J726" s="110"/>
      <c r="K726" s="119"/>
      <c r="L726" s="111" t="str">
        <f t="shared" si="132"/>
        <v/>
      </c>
      <c r="M726" s="112" t="str">
        <f t="shared" si="133"/>
        <v/>
      </c>
      <c r="N726" s="112" t="str">
        <f t="shared" si="134"/>
        <v/>
      </c>
      <c r="O726" s="112" t="str">
        <f t="shared" si="126"/>
        <v xml:space="preserve"> </v>
      </c>
      <c r="P726" s="113" t="str">
        <f t="shared" si="127"/>
        <v/>
      </c>
      <c r="Q726" s="114" t="str">
        <f t="shared" si="128"/>
        <v/>
      </c>
      <c r="R726" s="115" t="str">
        <f t="shared" si="129"/>
        <v/>
      </c>
      <c r="S726" s="115" t="str">
        <f t="shared" si="130"/>
        <v/>
      </c>
      <c r="T726" s="116" t="str">
        <f t="shared" si="131"/>
        <v/>
      </c>
      <c r="U726" s="120"/>
      <c r="V726" s="118"/>
    </row>
    <row r="727" spans="1:22" ht="13.2">
      <c r="A727" s="102"/>
      <c r="B727" s="102"/>
      <c r="C727" s="104"/>
      <c r="D727" s="105"/>
      <c r="E727" s="106"/>
      <c r="F727" s="107"/>
      <c r="G727" s="108"/>
      <c r="H727" s="109"/>
      <c r="I727" s="110"/>
      <c r="J727" s="110"/>
      <c r="K727" s="119"/>
      <c r="L727" s="111" t="str">
        <f t="shared" si="132"/>
        <v/>
      </c>
      <c r="M727" s="112" t="str">
        <f t="shared" si="133"/>
        <v/>
      </c>
      <c r="N727" s="112" t="str">
        <f t="shared" si="134"/>
        <v/>
      </c>
      <c r="O727" s="112" t="str">
        <f t="shared" si="126"/>
        <v xml:space="preserve"> </v>
      </c>
      <c r="P727" s="113" t="str">
        <f t="shared" si="127"/>
        <v/>
      </c>
      <c r="Q727" s="114" t="str">
        <f t="shared" si="128"/>
        <v/>
      </c>
      <c r="R727" s="115" t="str">
        <f t="shared" si="129"/>
        <v/>
      </c>
      <c r="S727" s="115" t="str">
        <f t="shared" si="130"/>
        <v/>
      </c>
      <c r="T727" s="116" t="str">
        <f t="shared" si="131"/>
        <v/>
      </c>
      <c r="U727" s="120"/>
      <c r="V727" s="118"/>
    </row>
    <row r="728" spans="1:22" ht="13.2">
      <c r="A728" s="102"/>
      <c r="B728" s="102"/>
      <c r="C728" s="104"/>
      <c r="D728" s="105"/>
      <c r="E728" s="106"/>
      <c r="F728" s="107"/>
      <c r="G728" s="108"/>
      <c r="H728" s="109"/>
      <c r="I728" s="110"/>
      <c r="J728" s="110"/>
      <c r="K728" s="119"/>
      <c r="L728" s="111" t="str">
        <f t="shared" si="132"/>
        <v/>
      </c>
      <c r="M728" s="112" t="str">
        <f t="shared" si="133"/>
        <v/>
      </c>
      <c r="N728" s="112" t="str">
        <f t="shared" si="134"/>
        <v/>
      </c>
      <c r="O728" s="112" t="str">
        <f t="shared" si="126"/>
        <v xml:space="preserve"> </v>
      </c>
      <c r="P728" s="113" t="str">
        <f t="shared" si="127"/>
        <v/>
      </c>
      <c r="Q728" s="114" t="str">
        <f t="shared" si="128"/>
        <v/>
      </c>
      <c r="R728" s="115" t="str">
        <f t="shared" si="129"/>
        <v/>
      </c>
      <c r="S728" s="115" t="str">
        <f t="shared" si="130"/>
        <v/>
      </c>
      <c r="T728" s="116" t="str">
        <f t="shared" si="131"/>
        <v/>
      </c>
      <c r="U728" s="120"/>
      <c r="V728" s="118"/>
    </row>
    <row r="729" spans="1:22" ht="13.2">
      <c r="A729" s="102"/>
      <c r="B729" s="102"/>
      <c r="C729" s="104"/>
      <c r="D729" s="105"/>
      <c r="E729" s="106"/>
      <c r="F729" s="107"/>
      <c r="G729" s="108"/>
      <c r="H729" s="109"/>
      <c r="I729" s="110"/>
      <c r="J729" s="110"/>
      <c r="K729" s="110"/>
      <c r="L729" s="111" t="str">
        <f t="shared" si="132"/>
        <v/>
      </c>
      <c r="M729" s="112" t="str">
        <f t="shared" si="133"/>
        <v/>
      </c>
      <c r="N729" s="112" t="str">
        <f t="shared" si="134"/>
        <v/>
      </c>
      <c r="O729" s="112" t="str">
        <f t="shared" si="126"/>
        <v xml:space="preserve"> </v>
      </c>
      <c r="P729" s="113" t="str">
        <f t="shared" si="127"/>
        <v/>
      </c>
      <c r="Q729" s="114" t="str">
        <f t="shared" si="128"/>
        <v/>
      </c>
      <c r="R729" s="115" t="str">
        <f t="shared" si="129"/>
        <v/>
      </c>
      <c r="S729" s="115" t="str">
        <f t="shared" si="130"/>
        <v/>
      </c>
      <c r="T729" s="116" t="str">
        <f t="shared" si="131"/>
        <v/>
      </c>
      <c r="U729" s="120"/>
      <c r="V729" s="118"/>
    </row>
    <row r="730" spans="1:22" ht="13.2">
      <c r="A730" s="102"/>
      <c r="B730" s="102"/>
      <c r="C730" s="104"/>
      <c r="D730" s="105"/>
      <c r="E730" s="106"/>
      <c r="F730" s="107"/>
      <c r="G730" s="108"/>
      <c r="H730" s="109"/>
      <c r="I730" s="110"/>
      <c r="J730" s="110"/>
      <c r="K730" s="119"/>
      <c r="L730" s="111" t="str">
        <f t="shared" si="132"/>
        <v/>
      </c>
      <c r="M730" s="112" t="str">
        <f t="shared" si="133"/>
        <v/>
      </c>
      <c r="N730" s="112" t="str">
        <f t="shared" si="134"/>
        <v/>
      </c>
      <c r="O730" s="112" t="str">
        <f t="shared" si="126"/>
        <v xml:space="preserve"> </v>
      </c>
      <c r="P730" s="113" t="str">
        <f t="shared" si="127"/>
        <v/>
      </c>
      <c r="Q730" s="114" t="str">
        <f t="shared" si="128"/>
        <v/>
      </c>
      <c r="R730" s="115" t="str">
        <f t="shared" si="129"/>
        <v/>
      </c>
      <c r="S730" s="115" t="str">
        <f t="shared" si="130"/>
        <v/>
      </c>
      <c r="T730" s="116" t="str">
        <f t="shared" si="131"/>
        <v/>
      </c>
      <c r="U730" s="120"/>
      <c r="V730" s="118"/>
    </row>
    <row r="731" spans="1:22" ht="13.2">
      <c r="A731" s="102"/>
      <c r="B731" s="102"/>
      <c r="C731" s="104"/>
      <c r="D731" s="105"/>
      <c r="E731" s="106"/>
      <c r="F731" s="107"/>
      <c r="G731" s="108"/>
      <c r="H731" s="109"/>
      <c r="I731" s="110"/>
      <c r="J731" s="110"/>
      <c r="K731" s="119"/>
      <c r="L731" s="111" t="str">
        <f t="shared" si="132"/>
        <v/>
      </c>
      <c r="M731" s="112" t="str">
        <f t="shared" si="133"/>
        <v/>
      </c>
      <c r="N731" s="112" t="str">
        <f t="shared" si="134"/>
        <v/>
      </c>
      <c r="O731" s="112" t="str">
        <f t="shared" si="126"/>
        <v xml:space="preserve"> </v>
      </c>
      <c r="P731" s="113" t="str">
        <f t="shared" si="127"/>
        <v/>
      </c>
      <c r="Q731" s="114" t="str">
        <f t="shared" si="128"/>
        <v/>
      </c>
      <c r="R731" s="115" t="str">
        <f t="shared" si="129"/>
        <v/>
      </c>
      <c r="S731" s="115" t="str">
        <f t="shared" si="130"/>
        <v/>
      </c>
      <c r="T731" s="116" t="str">
        <f t="shared" si="131"/>
        <v/>
      </c>
      <c r="U731" s="120"/>
      <c r="V731" s="118"/>
    </row>
    <row r="732" spans="1:22" ht="13.2">
      <c r="A732" s="102"/>
      <c r="B732" s="102"/>
      <c r="C732" s="104"/>
      <c r="D732" s="105"/>
      <c r="E732" s="106"/>
      <c r="F732" s="107"/>
      <c r="G732" s="108"/>
      <c r="H732" s="109"/>
      <c r="I732" s="110"/>
      <c r="J732" s="110"/>
      <c r="K732" s="119"/>
      <c r="L732" s="111" t="str">
        <f t="shared" si="132"/>
        <v/>
      </c>
      <c r="M732" s="112" t="str">
        <f t="shared" si="133"/>
        <v/>
      </c>
      <c r="N732" s="112" t="str">
        <f t="shared" si="134"/>
        <v/>
      </c>
      <c r="O732" s="112" t="str">
        <f t="shared" si="126"/>
        <v xml:space="preserve"> </v>
      </c>
      <c r="P732" s="113" t="str">
        <f t="shared" si="127"/>
        <v/>
      </c>
      <c r="Q732" s="114" t="str">
        <f t="shared" si="128"/>
        <v/>
      </c>
      <c r="R732" s="115" t="str">
        <f t="shared" si="129"/>
        <v/>
      </c>
      <c r="S732" s="115" t="str">
        <f t="shared" si="130"/>
        <v/>
      </c>
      <c r="T732" s="116" t="str">
        <f t="shared" si="131"/>
        <v/>
      </c>
      <c r="U732" s="120"/>
      <c r="V732" s="118"/>
    </row>
    <row r="733" spans="1:22" ht="13.2">
      <c r="A733" s="102"/>
      <c r="B733" s="102"/>
      <c r="C733" s="104"/>
      <c r="D733" s="105"/>
      <c r="E733" s="106"/>
      <c r="F733" s="107"/>
      <c r="G733" s="108"/>
      <c r="H733" s="109"/>
      <c r="I733" s="110"/>
      <c r="J733" s="110"/>
      <c r="K733" s="119"/>
      <c r="L733" s="111" t="str">
        <f t="shared" si="132"/>
        <v/>
      </c>
      <c r="M733" s="112" t="str">
        <f t="shared" si="133"/>
        <v/>
      </c>
      <c r="N733" s="112" t="str">
        <f t="shared" si="134"/>
        <v/>
      </c>
      <c r="O733" s="112" t="str">
        <f t="shared" si="126"/>
        <v xml:space="preserve"> </v>
      </c>
      <c r="P733" s="113" t="str">
        <f t="shared" si="127"/>
        <v/>
      </c>
      <c r="Q733" s="114" t="str">
        <f t="shared" si="128"/>
        <v/>
      </c>
      <c r="R733" s="115" t="str">
        <f t="shared" si="129"/>
        <v/>
      </c>
      <c r="S733" s="115" t="str">
        <f t="shared" si="130"/>
        <v/>
      </c>
      <c r="T733" s="116" t="str">
        <f t="shared" si="131"/>
        <v/>
      </c>
      <c r="U733" s="120"/>
      <c r="V733" s="118"/>
    </row>
    <row r="734" spans="1:22" ht="13.2">
      <c r="A734" s="102"/>
      <c r="B734" s="103"/>
      <c r="C734" s="104"/>
      <c r="D734" s="105"/>
      <c r="E734" s="106"/>
      <c r="F734" s="107"/>
      <c r="G734" s="108"/>
      <c r="H734" s="121"/>
      <c r="I734" s="122"/>
      <c r="J734" s="122"/>
      <c r="K734" s="123"/>
      <c r="L734" s="111" t="str">
        <f t="shared" si="132"/>
        <v/>
      </c>
      <c r="M734" s="112" t="str">
        <f t="shared" si="133"/>
        <v/>
      </c>
      <c r="N734" s="112" t="str">
        <f t="shared" si="134"/>
        <v/>
      </c>
      <c r="O734" s="112" t="str">
        <f t="shared" si="126"/>
        <v xml:space="preserve"> </v>
      </c>
      <c r="P734" s="113" t="str">
        <f t="shared" si="127"/>
        <v/>
      </c>
      <c r="Q734" s="114" t="str">
        <f t="shared" si="128"/>
        <v/>
      </c>
      <c r="R734" s="115" t="str">
        <f t="shared" si="129"/>
        <v/>
      </c>
      <c r="S734" s="115" t="str">
        <f t="shared" si="130"/>
        <v/>
      </c>
      <c r="T734" s="116" t="str">
        <f t="shared" si="131"/>
        <v/>
      </c>
      <c r="U734" s="120"/>
      <c r="V734" s="118"/>
    </row>
    <row r="735" spans="1:22" ht="13.2">
      <c r="A735" s="102"/>
      <c r="B735" s="103"/>
      <c r="C735" s="104"/>
      <c r="D735" s="105"/>
      <c r="E735" s="106"/>
      <c r="F735" s="107"/>
      <c r="G735" s="108"/>
      <c r="H735" s="121"/>
      <c r="I735" s="122"/>
      <c r="J735" s="122"/>
      <c r="K735" s="123"/>
      <c r="L735" s="111" t="str">
        <f t="shared" si="132"/>
        <v/>
      </c>
      <c r="M735" s="112" t="str">
        <f t="shared" si="133"/>
        <v/>
      </c>
      <c r="N735" s="112" t="str">
        <f t="shared" si="134"/>
        <v/>
      </c>
      <c r="O735" s="112" t="str">
        <f t="shared" si="126"/>
        <v xml:space="preserve"> </v>
      </c>
      <c r="P735" s="113" t="str">
        <f t="shared" si="127"/>
        <v/>
      </c>
      <c r="Q735" s="114" t="str">
        <f t="shared" si="128"/>
        <v/>
      </c>
      <c r="R735" s="115" t="str">
        <f t="shared" si="129"/>
        <v/>
      </c>
      <c r="S735" s="115" t="str">
        <f t="shared" si="130"/>
        <v/>
      </c>
      <c r="T735" s="116" t="str">
        <f t="shared" si="131"/>
        <v/>
      </c>
      <c r="U735" s="120"/>
      <c r="V735" s="118"/>
    </row>
    <row r="736" spans="1:22" ht="13.2">
      <c r="A736" s="102"/>
      <c r="B736" s="103"/>
      <c r="C736" s="104"/>
      <c r="D736" s="105"/>
      <c r="E736" s="106"/>
      <c r="F736" s="107"/>
      <c r="G736" s="108"/>
      <c r="H736" s="121"/>
      <c r="I736" s="122"/>
      <c r="J736" s="122"/>
      <c r="K736" s="123"/>
      <c r="L736" s="111" t="str">
        <f t="shared" si="132"/>
        <v/>
      </c>
      <c r="M736" s="112" t="str">
        <f t="shared" si="133"/>
        <v/>
      </c>
      <c r="N736" s="112" t="str">
        <f t="shared" si="134"/>
        <v/>
      </c>
      <c r="O736" s="112" t="str">
        <f t="shared" si="126"/>
        <v xml:space="preserve"> </v>
      </c>
      <c r="P736" s="113" t="str">
        <f t="shared" si="127"/>
        <v/>
      </c>
      <c r="Q736" s="114" t="str">
        <f t="shared" si="128"/>
        <v/>
      </c>
      <c r="R736" s="115" t="str">
        <f t="shared" si="129"/>
        <v/>
      </c>
      <c r="S736" s="115" t="str">
        <f t="shared" si="130"/>
        <v/>
      </c>
      <c r="T736" s="116" t="str">
        <f t="shared" si="131"/>
        <v/>
      </c>
      <c r="U736" s="120"/>
      <c r="V736" s="118"/>
    </row>
    <row r="737" spans="1:22" ht="13.2">
      <c r="A737" s="102"/>
      <c r="B737" s="102"/>
      <c r="C737" s="103"/>
      <c r="D737" s="105"/>
      <c r="E737" s="106"/>
      <c r="F737" s="107"/>
      <c r="G737" s="108"/>
      <c r="H737" s="109"/>
      <c r="I737" s="110"/>
      <c r="J737" s="110"/>
      <c r="K737" s="119"/>
      <c r="L737" s="111" t="str">
        <f t="shared" si="132"/>
        <v/>
      </c>
      <c r="M737" s="112" t="str">
        <f t="shared" si="133"/>
        <v/>
      </c>
      <c r="N737" s="112" t="str">
        <f t="shared" si="134"/>
        <v/>
      </c>
      <c r="O737" s="112" t="str">
        <f t="shared" si="126"/>
        <v xml:space="preserve"> </v>
      </c>
      <c r="P737" s="113" t="str">
        <f t="shared" si="127"/>
        <v/>
      </c>
      <c r="Q737" s="114" t="str">
        <f t="shared" si="128"/>
        <v/>
      </c>
      <c r="R737" s="115" t="str">
        <f t="shared" si="129"/>
        <v/>
      </c>
      <c r="S737" s="115" t="str">
        <f t="shared" si="130"/>
        <v/>
      </c>
      <c r="T737" s="116" t="str">
        <f t="shared" si="131"/>
        <v/>
      </c>
      <c r="U737" s="120"/>
      <c r="V737" s="118"/>
    </row>
    <row r="738" spans="1:22" ht="13.2">
      <c r="A738" s="102"/>
      <c r="B738" s="102"/>
      <c r="C738" s="103"/>
      <c r="D738" s="105"/>
      <c r="E738" s="106"/>
      <c r="F738" s="107"/>
      <c r="G738" s="108"/>
      <c r="H738" s="109"/>
      <c r="I738" s="110"/>
      <c r="J738" s="110"/>
      <c r="K738" s="119"/>
      <c r="L738" s="111" t="str">
        <f t="shared" si="132"/>
        <v/>
      </c>
      <c r="M738" s="112" t="str">
        <f t="shared" si="133"/>
        <v/>
      </c>
      <c r="N738" s="112" t="str">
        <f t="shared" si="134"/>
        <v/>
      </c>
      <c r="O738" s="112" t="str">
        <f t="shared" si="126"/>
        <v xml:space="preserve"> </v>
      </c>
      <c r="P738" s="113" t="str">
        <f t="shared" si="127"/>
        <v/>
      </c>
      <c r="Q738" s="114" t="str">
        <f t="shared" si="128"/>
        <v/>
      </c>
      <c r="R738" s="115" t="str">
        <f t="shared" si="129"/>
        <v/>
      </c>
      <c r="S738" s="115" t="str">
        <f t="shared" si="130"/>
        <v/>
      </c>
      <c r="T738" s="116" t="str">
        <f t="shared" si="131"/>
        <v/>
      </c>
      <c r="U738" s="120"/>
      <c r="V738" s="118"/>
    </row>
    <row r="739" spans="1:22" ht="13.2">
      <c r="A739" s="102"/>
      <c r="B739" s="102"/>
      <c r="C739" s="104"/>
      <c r="D739" s="105"/>
      <c r="E739" s="106"/>
      <c r="F739" s="107"/>
      <c r="G739" s="108"/>
      <c r="H739" s="109"/>
      <c r="I739" s="110"/>
      <c r="J739" s="110"/>
      <c r="K739" s="119"/>
      <c r="L739" s="111" t="str">
        <f t="shared" si="132"/>
        <v/>
      </c>
      <c r="M739" s="112" t="str">
        <f t="shared" si="133"/>
        <v/>
      </c>
      <c r="N739" s="112" t="str">
        <f t="shared" si="134"/>
        <v/>
      </c>
      <c r="O739" s="112" t="str">
        <f t="shared" si="126"/>
        <v xml:space="preserve"> </v>
      </c>
      <c r="P739" s="113" t="str">
        <f t="shared" si="127"/>
        <v/>
      </c>
      <c r="Q739" s="114" t="str">
        <f t="shared" si="128"/>
        <v/>
      </c>
      <c r="R739" s="115" t="str">
        <f t="shared" si="129"/>
        <v/>
      </c>
      <c r="S739" s="115" t="str">
        <f t="shared" si="130"/>
        <v/>
      </c>
      <c r="T739" s="116" t="str">
        <f t="shared" si="131"/>
        <v/>
      </c>
      <c r="U739" s="120"/>
      <c r="V739" s="118"/>
    </row>
    <row r="740" spans="1:22" ht="13.2">
      <c r="A740" s="102"/>
      <c r="B740" s="102"/>
      <c r="C740" s="104"/>
      <c r="D740" s="105"/>
      <c r="E740" s="106"/>
      <c r="F740" s="107"/>
      <c r="G740" s="108"/>
      <c r="H740" s="109"/>
      <c r="I740" s="110"/>
      <c r="J740" s="110"/>
      <c r="K740" s="119"/>
      <c r="L740" s="111" t="str">
        <f t="shared" si="132"/>
        <v/>
      </c>
      <c r="M740" s="112" t="str">
        <f t="shared" si="133"/>
        <v/>
      </c>
      <c r="N740" s="112" t="str">
        <f t="shared" si="134"/>
        <v/>
      </c>
      <c r="O740" s="112" t="str">
        <f t="shared" si="126"/>
        <v xml:space="preserve"> </v>
      </c>
      <c r="P740" s="113" t="str">
        <f t="shared" si="127"/>
        <v/>
      </c>
      <c r="Q740" s="114" t="str">
        <f t="shared" si="128"/>
        <v/>
      </c>
      <c r="R740" s="115" t="str">
        <f t="shared" si="129"/>
        <v/>
      </c>
      <c r="S740" s="115" t="str">
        <f t="shared" si="130"/>
        <v/>
      </c>
      <c r="T740" s="116" t="str">
        <f t="shared" si="131"/>
        <v/>
      </c>
      <c r="U740" s="120"/>
      <c r="V740" s="118"/>
    </row>
    <row r="741" spans="1:22" ht="13.2">
      <c r="A741" s="102"/>
      <c r="B741" s="102"/>
      <c r="C741" s="104"/>
      <c r="D741" s="105"/>
      <c r="E741" s="106"/>
      <c r="F741" s="107"/>
      <c r="G741" s="108"/>
      <c r="H741" s="109"/>
      <c r="I741" s="110"/>
      <c r="J741" s="110"/>
      <c r="K741" s="119"/>
      <c r="L741" s="111" t="str">
        <f t="shared" si="132"/>
        <v/>
      </c>
      <c r="M741" s="112" t="str">
        <f t="shared" si="133"/>
        <v/>
      </c>
      <c r="N741" s="112" t="str">
        <f t="shared" si="134"/>
        <v/>
      </c>
      <c r="O741" s="112" t="str">
        <f t="shared" si="126"/>
        <v xml:space="preserve"> </v>
      </c>
      <c r="P741" s="113" t="str">
        <f t="shared" si="127"/>
        <v/>
      </c>
      <c r="Q741" s="114" t="str">
        <f t="shared" si="128"/>
        <v/>
      </c>
      <c r="R741" s="115" t="str">
        <f t="shared" si="129"/>
        <v/>
      </c>
      <c r="S741" s="115" t="str">
        <f t="shared" si="130"/>
        <v/>
      </c>
      <c r="T741" s="116" t="str">
        <f t="shared" si="131"/>
        <v/>
      </c>
      <c r="U741" s="120"/>
      <c r="V741" s="118"/>
    </row>
    <row r="742" spans="1:22" ht="13.2">
      <c r="A742" s="102"/>
      <c r="B742" s="102"/>
      <c r="C742" s="104"/>
      <c r="D742" s="105"/>
      <c r="E742" s="106"/>
      <c r="F742" s="107"/>
      <c r="G742" s="108"/>
      <c r="H742" s="109"/>
      <c r="I742" s="110"/>
      <c r="J742" s="110"/>
      <c r="K742" s="119"/>
      <c r="L742" s="111" t="str">
        <f t="shared" si="132"/>
        <v/>
      </c>
      <c r="M742" s="112" t="str">
        <f t="shared" si="133"/>
        <v/>
      </c>
      <c r="N742" s="112" t="str">
        <f t="shared" si="134"/>
        <v/>
      </c>
      <c r="O742" s="112" t="str">
        <f t="shared" si="126"/>
        <v xml:space="preserve"> </v>
      </c>
      <c r="P742" s="113" t="str">
        <f t="shared" si="127"/>
        <v/>
      </c>
      <c r="Q742" s="114" t="str">
        <f t="shared" si="128"/>
        <v/>
      </c>
      <c r="R742" s="115" t="str">
        <f t="shared" si="129"/>
        <v/>
      </c>
      <c r="S742" s="115" t="str">
        <f t="shared" si="130"/>
        <v/>
      </c>
      <c r="T742" s="116" t="str">
        <f t="shared" si="131"/>
        <v/>
      </c>
      <c r="U742" s="120"/>
      <c r="V742" s="118"/>
    </row>
    <row r="743" spans="1:22" ht="13.2">
      <c r="A743" s="102"/>
      <c r="B743" s="102"/>
      <c r="C743" s="104"/>
      <c r="D743" s="105"/>
      <c r="E743" s="106"/>
      <c r="F743" s="107"/>
      <c r="G743" s="108"/>
      <c r="H743" s="109"/>
      <c r="I743" s="110"/>
      <c r="J743" s="110"/>
      <c r="K743" s="119"/>
      <c r="L743" s="111" t="str">
        <f t="shared" si="132"/>
        <v/>
      </c>
      <c r="M743" s="112" t="str">
        <f t="shared" si="133"/>
        <v/>
      </c>
      <c r="N743" s="112" t="str">
        <f t="shared" si="134"/>
        <v/>
      </c>
      <c r="O743" s="112" t="str">
        <f t="shared" si="126"/>
        <v xml:space="preserve"> </v>
      </c>
      <c r="P743" s="113" t="str">
        <f t="shared" si="127"/>
        <v/>
      </c>
      <c r="Q743" s="114" t="str">
        <f t="shared" si="128"/>
        <v/>
      </c>
      <c r="R743" s="115" t="str">
        <f t="shared" si="129"/>
        <v/>
      </c>
      <c r="S743" s="115" t="str">
        <f t="shared" si="130"/>
        <v/>
      </c>
      <c r="T743" s="116" t="str">
        <f t="shared" si="131"/>
        <v/>
      </c>
      <c r="U743" s="120"/>
      <c r="V743" s="118"/>
    </row>
    <row r="744" spans="1:22" ht="13.2">
      <c r="A744" s="102"/>
      <c r="B744" s="102"/>
      <c r="C744" s="104"/>
      <c r="D744" s="105"/>
      <c r="E744" s="106"/>
      <c r="F744" s="107"/>
      <c r="G744" s="108"/>
      <c r="H744" s="109"/>
      <c r="I744" s="110"/>
      <c r="J744" s="110"/>
      <c r="K744" s="110"/>
      <c r="L744" s="111" t="str">
        <f t="shared" si="132"/>
        <v/>
      </c>
      <c r="M744" s="112" t="str">
        <f t="shared" si="133"/>
        <v/>
      </c>
      <c r="N744" s="112" t="str">
        <f t="shared" si="134"/>
        <v/>
      </c>
      <c r="O744" s="112" t="str">
        <f t="shared" si="126"/>
        <v xml:space="preserve"> </v>
      </c>
      <c r="P744" s="113" t="str">
        <f t="shared" si="127"/>
        <v/>
      </c>
      <c r="Q744" s="114" t="str">
        <f t="shared" si="128"/>
        <v/>
      </c>
      <c r="R744" s="115" t="str">
        <f t="shared" si="129"/>
        <v/>
      </c>
      <c r="S744" s="115" t="str">
        <f t="shared" si="130"/>
        <v/>
      </c>
      <c r="T744" s="116" t="str">
        <f t="shared" si="131"/>
        <v/>
      </c>
      <c r="U744" s="120"/>
      <c r="V744" s="118"/>
    </row>
    <row r="745" spans="1:22" ht="13.2">
      <c r="A745" s="102"/>
      <c r="B745" s="102"/>
      <c r="C745" s="104"/>
      <c r="D745" s="105"/>
      <c r="E745" s="106"/>
      <c r="F745" s="107"/>
      <c r="G745" s="108"/>
      <c r="H745" s="109"/>
      <c r="I745" s="110"/>
      <c r="J745" s="110"/>
      <c r="K745" s="119"/>
      <c r="L745" s="111" t="str">
        <f t="shared" si="132"/>
        <v/>
      </c>
      <c r="M745" s="112" t="str">
        <f t="shared" si="133"/>
        <v/>
      </c>
      <c r="N745" s="112" t="str">
        <f t="shared" si="134"/>
        <v/>
      </c>
      <c r="O745" s="112" t="str">
        <f t="shared" si="126"/>
        <v xml:space="preserve"> </v>
      </c>
      <c r="P745" s="113" t="str">
        <f t="shared" si="127"/>
        <v/>
      </c>
      <c r="Q745" s="114" t="str">
        <f t="shared" si="128"/>
        <v/>
      </c>
      <c r="R745" s="115" t="str">
        <f t="shared" si="129"/>
        <v/>
      </c>
      <c r="S745" s="115" t="str">
        <f t="shared" si="130"/>
        <v/>
      </c>
      <c r="T745" s="116" t="str">
        <f t="shared" si="131"/>
        <v/>
      </c>
      <c r="U745" s="120"/>
      <c r="V745" s="118"/>
    </row>
    <row r="746" spans="1:22" ht="13.2">
      <c r="A746" s="102"/>
      <c r="B746" s="102"/>
      <c r="C746" s="104"/>
      <c r="D746" s="105"/>
      <c r="E746" s="106"/>
      <c r="F746" s="107"/>
      <c r="G746" s="108"/>
      <c r="H746" s="109"/>
      <c r="I746" s="110"/>
      <c r="J746" s="110"/>
      <c r="K746" s="119"/>
      <c r="L746" s="111" t="str">
        <f t="shared" si="132"/>
        <v/>
      </c>
      <c r="M746" s="112" t="str">
        <f t="shared" si="133"/>
        <v/>
      </c>
      <c r="N746" s="112" t="str">
        <f t="shared" si="134"/>
        <v/>
      </c>
      <c r="O746" s="112" t="str">
        <f t="shared" si="126"/>
        <v xml:space="preserve"> </v>
      </c>
      <c r="P746" s="113" t="str">
        <f t="shared" si="127"/>
        <v/>
      </c>
      <c r="Q746" s="114" t="str">
        <f t="shared" si="128"/>
        <v/>
      </c>
      <c r="R746" s="115" t="str">
        <f t="shared" si="129"/>
        <v/>
      </c>
      <c r="S746" s="115" t="str">
        <f t="shared" si="130"/>
        <v/>
      </c>
      <c r="T746" s="116" t="str">
        <f t="shared" si="131"/>
        <v/>
      </c>
      <c r="U746" s="120"/>
      <c r="V746" s="118"/>
    </row>
    <row r="747" spans="1:22" ht="13.2">
      <c r="A747" s="102"/>
      <c r="B747" s="102"/>
      <c r="C747" s="104"/>
      <c r="D747" s="105"/>
      <c r="E747" s="106"/>
      <c r="F747" s="107"/>
      <c r="G747" s="108"/>
      <c r="H747" s="109"/>
      <c r="I747" s="110"/>
      <c r="J747" s="110"/>
      <c r="K747" s="119"/>
      <c r="L747" s="111" t="str">
        <f t="shared" si="132"/>
        <v/>
      </c>
      <c r="M747" s="112" t="str">
        <f t="shared" si="133"/>
        <v/>
      </c>
      <c r="N747" s="112" t="str">
        <f t="shared" si="134"/>
        <v/>
      </c>
      <c r="O747" s="112" t="str">
        <f t="shared" si="126"/>
        <v xml:space="preserve"> </v>
      </c>
      <c r="P747" s="113" t="str">
        <f t="shared" si="127"/>
        <v/>
      </c>
      <c r="Q747" s="114" t="str">
        <f t="shared" si="128"/>
        <v/>
      </c>
      <c r="R747" s="115" t="str">
        <f t="shared" si="129"/>
        <v/>
      </c>
      <c r="S747" s="115" t="str">
        <f t="shared" si="130"/>
        <v/>
      </c>
      <c r="T747" s="116" t="str">
        <f t="shared" si="131"/>
        <v/>
      </c>
      <c r="U747" s="120"/>
      <c r="V747" s="118"/>
    </row>
    <row r="748" spans="1:22" ht="13.2">
      <c r="A748" s="102"/>
      <c r="B748" s="102"/>
      <c r="C748" s="104"/>
      <c r="D748" s="105"/>
      <c r="E748" s="106"/>
      <c r="F748" s="107"/>
      <c r="G748" s="108"/>
      <c r="H748" s="109"/>
      <c r="I748" s="110"/>
      <c r="J748" s="110"/>
      <c r="K748" s="119"/>
      <c r="L748" s="111" t="str">
        <f t="shared" si="132"/>
        <v/>
      </c>
      <c r="M748" s="112" t="str">
        <f t="shared" si="133"/>
        <v/>
      </c>
      <c r="N748" s="112" t="str">
        <f t="shared" si="134"/>
        <v/>
      </c>
      <c r="O748" s="112" t="str">
        <f t="shared" si="126"/>
        <v xml:space="preserve"> </v>
      </c>
      <c r="P748" s="113" t="str">
        <f t="shared" si="127"/>
        <v/>
      </c>
      <c r="Q748" s="114" t="str">
        <f t="shared" si="128"/>
        <v/>
      </c>
      <c r="R748" s="115" t="str">
        <f t="shared" si="129"/>
        <v/>
      </c>
      <c r="S748" s="115" t="str">
        <f t="shared" si="130"/>
        <v/>
      </c>
      <c r="T748" s="116" t="str">
        <f t="shared" si="131"/>
        <v/>
      </c>
      <c r="U748" s="120"/>
      <c r="V748" s="118"/>
    </row>
    <row r="749" spans="1:22" ht="13.2">
      <c r="A749" s="102"/>
      <c r="B749" s="103"/>
      <c r="C749" s="104"/>
      <c r="D749" s="105"/>
      <c r="E749" s="106"/>
      <c r="F749" s="107"/>
      <c r="G749" s="108"/>
      <c r="H749" s="121"/>
      <c r="I749" s="122"/>
      <c r="J749" s="122"/>
      <c r="K749" s="123"/>
      <c r="L749" s="111" t="str">
        <f t="shared" si="132"/>
        <v/>
      </c>
      <c r="M749" s="112" t="str">
        <f t="shared" si="133"/>
        <v/>
      </c>
      <c r="N749" s="112" t="str">
        <f t="shared" si="134"/>
        <v/>
      </c>
      <c r="O749" s="112" t="str">
        <f t="shared" si="126"/>
        <v xml:space="preserve"> </v>
      </c>
      <c r="P749" s="113" t="str">
        <f t="shared" si="127"/>
        <v/>
      </c>
      <c r="Q749" s="114" t="str">
        <f t="shared" si="128"/>
        <v/>
      </c>
      <c r="R749" s="115" t="str">
        <f t="shared" si="129"/>
        <v/>
      </c>
      <c r="S749" s="115" t="str">
        <f t="shared" si="130"/>
        <v/>
      </c>
      <c r="T749" s="116" t="str">
        <f t="shared" si="131"/>
        <v/>
      </c>
      <c r="U749" s="120"/>
      <c r="V749" s="118"/>
    </row>
    <row r="750" spans="1:22" ht="13.2">
      <c r="A750" s="102"/>
      <c r="B750" s="103"/>
      <c r="C750" s="104"/>
      <c r="D750" s="105"/>
      <c r="E750" s="106"/>
      <c r="F750" s="107"/>
      <c r="G750" s="108"/>
      <c r="H750" s="121"/>
      <c r="I750" s="122"/>
      <c r="J750" s="122"/>
      <c r="K750" s="123"/>
      <c r="L750" s="111" t="str">
        <f t="shared" si="132"/>
        <v/>
      </c>
      <c r="M750" s="112" t="str">
        <f t="shared" si="133"/>
        <v/>
      </c>
      <c r="N750" s="112" t="str">
        <f t="shared" si="134"/>
        <v/>
      </c>
      <c r="O750" s="112" t="str">
        <f t="shared" si="126"/>
        <v xml:space="preserve"> </v>
      </c>
      <c r="P750" s="113" t="str">
        <f t="shared" si="127"/>
        <v/>
      </c>
      <c r="Q750" s="114" t="str">
        <f t="shared" si="128"/>
        <v/>
      </c>
      <c r="R750" s="115" t="str">
        <f t="shared" si="129"/>
        <v/>
      </c>
      <c r="S750" s="115" t="str">
        <f t="shared" si="130"/>
        <v/>
      </c>
      <c r="T750" s="116" t="str">
        <f t="shared" si="131"/>
        <v/>
      </c>
      <c r="U750" s="120"/>
      <c r="V750" s="118"/>
    </row>
    <row r="751" spans="1:22" ht="13.2">
      <c r="A751" s="102"/>
      <c r="B751" s="103"/>
      <c r="C751" s="104"/>
      <c r="D751" s="105"/>
      <c r="E751" s="106"/>
      <c r="F751" s="107"/>
      <c r="G751" s="108"/>
      <c r="H751" s="121"/>
      <c r="I751" s="122"/>
      <c r="J751" s="122"/>
      <c r="K751" s="123"/>
      <c r="L751" s="111" t="str">
        <f t="shared" si="132"/>
        <v/>
      </c>
      <c r="M751" s="112" t="str">
        <f t="shared" si="133"/>
        <v/>
      </c>
      <c r="N751" s="112" t="str">
        <f t="shared" si="134"/>
        <v/>
      </c>
      <c r="O751" s="112" t="str">
        <f t="shared" si="126"/>
        <v xml:space="preserve"> </v>
      </c>
      <c r="P751" s="113" t="str">
        <f t="shared" si="127"/>
        <v/>
      </c>
      <c r="Q751" s="114" t="str">
        <f t="shared" si="128"/>
        <v/>
      </c>
      <c r="R751" s="115" t="str">
        <f t="shared" si="129"/>
        <v/>
      </c>
      <c r="S751" s="115" t="str">
        <f t="shared" si="130"/>
        <v/>
      </c>
      <c r="T751" s="116" t="str">
        <f t="shared" si="131"/>
        <v/>
      </c>
      <c r="U751" s="120"/>
      <c r="V751" s="118"/>
    </row>
    <row r="752" spans="1:22" ht="13.2">
      <c r="A752" s="102"/>
      <c r="B752" s="102"/>
      <c r="C752" s="103"/>
      <c r="D752" s="105"/>
      <c r="E752" s="106"/>
      <c r="F752" s="107"/>
      <c r="G752" s="108"/>
      <c r="H752" s="109"/>
      <c r="I752" s="110"/>
      <c r="J752" s="110"/>
      <c r="K752" s="119"/>
      <c r="L752" s="111" t="str">
        <f t="shared" si="132"/>
        <v/>
      </c>
      <c r="M752" s="112" t="str">
        <f t="shared" si="133"/>
        <v/>
      </c>
      <c r="N752" s="112" t="str">
        <f t="shared" si="134"/>
        <v/>
      </c>
      <c r="O752" s="112" t="str">
        <f t="shared" si="126"/>
        <v xml:space="preserve"> </v>
      </c>
      <c r="P752" s="113" t="str">
        <f t="shared" si="127"/>
        <v/>
      </c>
      <c r="Q752" s="114" t="str">
        <f t="shared" si="128"/>
        <v/>
      </c>
      <c r="R752" s="115" t="str">
        <f t="shared" si="129"/>
        <v/>
      </c>
      <c r="S752" s="115" t="str">
        <f t="shared" si="130"/>
        <v/>
      </c>
      <c r="T752" s="116" t="str">
        <f t="shared" si="131"/>
        <v/>
      </c>
      <c r="U752" s="120"/>
      <c r="V752" s="118"/>
    </row>
    <row r="753" spans="1:22" ht="13.2">
      <c r="A753" s="102"/>
      <c r="B753" s="102"/>
      <c r="C753" s="103"/>
      <c r="D753" s="105"/>
      <c r="E753" s="106"/>
      <c r="F753" s="107"/>
      <c r="G753" s="108"/>
      <c r="H753" s="109"/>
      <c r="I753" s="110"/>
      <c r="J753" s="110"/>
      <c r="K753" s="119"/>
      <c r="L753" s="111" t="str">
        <f t="shared" si="132"/>
        <v/>
      </c>
      <c r="M753" s="112" t="str">
        <f t="shared" si="133"/>
        <v/>
      </c>
      <c r="N753" s="112" t="str">
        <f t="shared" si="134"/>
        <v/>
      </c>
      <c r="O753" s="112" t="str">
        <f t="shared" si="126"/>
        <v xml:space="preserve"> </v>
      </c>
      <c r="P753" s="113" t="str">
        <f t="shared" si="127"/>
        <v/>
      </c>
      <c r="Q753" s="114" t="str">
        <f t="shared" si="128"/>
        <v/>
      </c>
      <c r="R753" s="115" t="str">
        <f t="shared" si="129"/>
        <v/>
      </c>
      <c r="S753" s="115" t="str">
        <f t="shared" si="130"/>
        <v/>
      </c>
      <c r="T753" s="116" t="str">
        <f t="shared" si="131"/>
        <v/>
      </c>
      <c r="U753" s="120"/>
      <c r="V753" s="118"/>
    </row>
    <row r="754" spans="1:22" ht="13.2">
      <c r="A754" s="102"/>
      <c r="B754" s="102"/>
      <c r="C754" s="104"/>
      <c r="D754" s="105"/>
      <c r="E754" s="106"/>
      <c r="F754" s="107"/>
      <c r="G754" s="108"/>
      <c r="H754" s="109"/>
      <c r="I754" s="110"/>
      <c r="J754" s="110"/>
      <c r="K754" s="119"/>
      <c r="L754" s="111" t="str">
        <f t="shared" si="132"/>
        <v/>
      </c>
      <c r="M754" s="112" t="str">
        <f t="shared" si="133"/>
        <v/>
      </c>
      <c r="N754" s="112" t="str">
        <f t="shared" si="134"/>
        <v/>
      </c>
      <c r="O754" s="112" t="str">
        <f t="shared" si="126"/>
        <v xml:space="preserve"> </v>
      </c>
      <c r="P754" s="113" t="str">
        <f t="shared" si="127"/>
        <v/>
      </c>
      <c r="Q754" s="114" t="str">
        <f t="shared" si="128"/>
        <v/>
      </c>
      <c r="R754" s="115" t="str">
        <f t="shared" si="129"/>
        <v/>
      </c>
      <c r="S754" s="115" t="str">
        <f t="shared" si="130"/>
        <v/>
      </c>
      <c r="T754" s="116" t="str">
        <f t="shared" si="131"/>
        <v/>
      </c>
      <c r="U754" s="120"/>
      <c r="V754" s="118"/>
    </row>
    <row r="755" spans="1:22" ht="13.2">
      <c r="A755" s="102"/>
      <c r="B755" s="102"/>
      <c r="C755" s="104"/>
      <c r="D755" s="105"/>
      <c r="E755" s="106"/>
      <c r="F755" s="107"/>
      <c r="G755" s="108"/>
      <c r="H755" s="109"/>
      <c r="I755" s="110"/>
      <c r="J755" s="110"/>
      <c r="K755" s="119"/>
      <c r="L755" s="111" t="str">
        <f t="shared" si="132"/>
        <v/>
      </c>
      <c r="M755" s="112" t="str">
        <f t="shared" si="133"/>
        <v/>
      </c>
      <c r="N755" s="112" t="str">
        <f t="shared" si="134"/>
        <v/>
      </c>
      <c r="O755" s="112" t="str">
        <f t="shared" si="126"/>
        <v xml:space="preserve"> </v>
      </c>
      <c r="P755" s="113" t="str">
        <f t="shared" si="127"/>
        <v/>
      </c>
      <c r="Q755" s="114" t="str">
        <f t="shared" si="128"/>
        <v/>
      </c>
      <c r="R755" s="115" t="str">
        <f t="shared" si="129"/>
        <v/>
      </c>
      <c r="S755" s="115" t="str">
        <f t="shared" si="130"/>
        <v/>
      </c>
      <c r="T755" s="116" t="str">
        <f t="shared" si="131"/>
        <v/>
      </c>
      <c r="U755" s="120"/>
      <c r="V755" s="118"/>
    </row>
    <row r="756" spans="1:22" ht="13.2">
      <c r="A756" s="102"/>
      <c r="B756" s="102"/>
      <c r="C756" s="104"/>
      <c r="D756" s="105"/>
      <c r="E756" s="106"/>
      <c r="F756" s="107"/>
      <c r="G756" s="108"/>
      <c r="H756" s="109"/>
      <c r="I756" s="110"/>
      <c r="J756" s="110"/>
      <c r="K756" s="119"/>
      <c r="L756" s="111" t="str">
        <f t="shared" si="132"/>
        <v/>
      </c>
      <c r="M756" s="112" t="str">
        <f t="shared" si="133"/>
        <v/>
      </c>
      <c r="N756" s="112" t="str">
        <f t="shared" si="134"/>
        <v/>
      </c>
      <c r="O756" s="112" t="str">
        <f t="shared" si="126"/>
        <v xml:space="preserve"> </v>
      </c>
      <c r="P756" s="113" t="str">
        <f t="shared" si="127"/>
        <v/>
      </c>
      <c r="Q756" s="114" t="str">
        <f t="shared" si="128"/>
        <v/>
      </c>
      <c r="R756" s="115" t="str">
        <f t="shared" si="129"/>
        <v/>
      </c>
      <c r="S756" s="115" t="str">
        <f t="shared" si="130"/>
        <v/>
      </c>
      <c r="T756" s="116" t="str">
        <f t="shared" si="131"/>
        <v/>
      </c>
      <c r="U756" s="120"/>
      <c r="V756" s="118"/>
    </row>
    <row r="757" spans="1:22" ht="13.2">
      <c r="A757" s="102"/>
      <c r="B757" s="102"/>
      <c r="C757" s="104"/>
      <c r="D757" s="105"/>
      <c r="E757" s="106"/>
      <c r="F757" s="107"/>
      <c r="G757" s="108"/>
      <c r="H757" s="109"/>
      <c r="I757" s="110"/>
      <c r="J757" s="110"/>
      <c r="K757" s="119"/>
      <c r="L757" s="111" t="str">
        <f t="shared" si="132"/>
        <v/>
      </c>
      <c r="M757" s="112" t="str">
        <f t="shared" si="133"/>
        <v/>
      </c>
      <c r="N757" s="112" t="str">
        <f t="shared" si="134"/>
        <v/>
      </c>
      <c r="O757" s="112" t="str">
        <f t="shared" si="126"/>
        <v xml:space="preserve"> </v>
      </c>
      <c r="P757" s="113" t="str">
        <f t="shared" si="127"/>
        <v/>
      </c>
      <c r="Q757" s="114" t="str">
        <f t="shared" si="128"/>
        <v/>
      </c>
      <c r="R757" s="115" t="str">
        <f t="shared" si="129"/>
        <v/>
      </c>
      <c r="S757" s="115" t="str">
        <f t="shared" si="130"/>
        <v/>
      </c>
      <c r="T757" s="116" t="str">
        <f t="shared" si="131"/>
        <v/>
      </c>
      <c r="U757" s="120"/>
      <c r="V757" s="118"/>
    </row>
    <row r="758" spans="1:22" ht="13.2">
      <c r="A758" s="102"/>
      <c r="B758" s="102"/>
      <c r="C758" s="104"/>
      <c r="D758" s="105"/>
      <c r="E758" s="106"/>
      <c r="F758" s="107"/>
      <c r="G758" s="108"/>
      <c r="H758" s="109"/>
      <c r="I758" s="110"/>
      <c r="J758" s="110"/>
      <c r="K758" s="119"/>
      <c r="L758" s="111" t="str">
        <f t="shared" si="132"/>
        <v/>
      </c>
      <c r="M758" s="112" t="str">
        <f t="shared" si="133"/>
        <v/>
      </c>
      <c r="N758" s="112" t="str">
        <f t="shared" si="134"/>
        <v/>
      </c>
      <c r="O758" s="112" t="str">
        <f t="shared" si="126"/>
        <v xml:space="preserve"> </v>
      </c>
      <c r="P758" s="113" t="str">
        <f t="shared" si="127"/>
        <v/>
      </c>
      <c r="Q758" s="114" t="str">
        <f t="shared" si="128"/>
        <v/>
      </c>
      <c r="R758" s="115" t="str">
        <f t="shared" si="129"/>
        <v/>
      </c>
      <c r="S758" s="115" t="str">
        <f t="shared" si="130"/>
        <v/>
      </c>
      <c r="T758" s="116" t="str">
        <f t="shared" si="131"/>
        <v/>
      </c>
      <c r="U758" s="120"/>
      <c r="V758" s="118"/>
    </row>
    <row r="759" spans="1:22" ht="13.2">
      <c r="A759" s="102"/>
      <c r="B759" s="102"/>
      <c r="C759" s="104"/>
      <c r="D759" s="105"/>
      <c r="E759" s="106"/>
      <c r="F759" s="107"/>
      <c r="G759" s="108"/>
      <c r="H759" s="109"/>
      <c r="I759" s="110"/>
      <c r="J759" s="110"/>
      <c r="K759" s="110"/>
      <c r="L759" s="111" t="str">
        <f t="shared" si="132"/>
        <v/>
      </c>
      <c r="M759" s="112" t="str">
        <f t="shared" si="133"/>
        <v/>
      </c>
      <c r="N759" s="112" t="str">
        <f t="shared" si="134"/>
        <v/>
      </c>
      <c r="O759" s="112" t="str">
        <f t="shared" si="126"/>
        <v xml:space="preserve"> </v>
      </c>
      <c r="P759" s="113" t="str">
        <f t="shared" si="127"/>
        <v/>
      </c>
      <c r="Q759" s="114" t="str">
        <f t="shared" si="128"/>
        <v/>
      </c>
      <c r="R759" s="115" t="str">
        <f t="shared" si="129"/>
        <v/>
      </c>
      <c r="S759" s="115" t="str">
        <f t="shared" si="130"/>
        <v/>
      </c>
      <c r="T759" s="116" t="str">
        <f t="shared" si="131"/>
        <v/>
      </c>
      <c r="U759" s="120"/>
      <c r="V759" s="118"/>
    </row>
    <row r="760" spans="1:22" ht="13.2">
      <c r="A760" s="102"/>
      <c r="B760" s="102"/>
      <c r="C760" s="104"/>
      <c r="D760" s="105"/>
      <c r="E760" s="106"/>
      <c r="F760" s="107"/>
      <c r="G760" s="108"/>
      <c r="H760" s="109"/>
      <c r="I760" s="110"/>
      <c r="J760" s="110"/>
      <c r="K760" s="119"/>
      <c r="L760" s="111" t="str">
        <f t="shared" si="132"/>
        <v/>
      </c>
      <c r="M760" s="112" t="str">
        <f t="shared" si="133"/>
        <v/>
      </c>
      <c r="N760" s="112" t="str">
        <f t="shared" si="134"/>
        <v/>
      </c>
      <c r="O760" s="112" t="str">
        <f t="shared" si="126"/>
        <v xml:space="preserve"> </v>
      </c>
      <c r="P760" s="113" t="str">
        <f t="shared" si="127"/>
        <v/>
      </c>
      <c r="Q760" s="114" t="str">
        <f t="shared" si="128"/>
        <v/>
      </c>
      <c r="R760" s="115" t="str">
        <f t="shared" si="129"/>
        <v/>
      </c>
      <c r="S760" s="115" t="str">
        <f t="shared" si="130"/>
        <v/>
      </c>
      <c r="T760" s="116" t="str">
        <f t="shared" si="131"/>
        <v/>
      </c>
      <c r="U760" s="120"/>
      <c r="V760" s="118"/>
    </row>
    <row r="761" spans="1:22" ht="13.2">
      <c r="A761" s="102"/>
      <c r="B761" s="102"/>
      <c r="C761" s="104"/>
      <c r="D761" s="105"/>
      <c r="E761" s="106"/>
      <c r="F761" s="107"/>
      <c r="G761" s="108"/>
      <c r="H761" s="109"/>
      <c r="I761" s="110"/>
      <c r="J761" s="110"/>
      <c r="K761" s="119"/>
      <c r="L761" s="111" t="str">
        <f t="shared" si="132"/>
        <v/>
      </c>
      <c r="M761" s="112" t="str">
        <f t="shared" si="133"/>
        <v/>
      </c>
      <c r="N761" s="112" t="str">
        <f t="shared" si="134"/>
        <v/>
      </c>
      <c r="O761" s="112" t="str">
        <f t="shared" si="126"/>
        <v xml:space="preserve"> </v>
      </c>
      <c r="P761" s="113" t="str">
        <f t="shared" si="127"/>
        <v/>
      </c>
      <c r="Q761" s="114" t="str">
        <f t="shared" si="128"/>
        <v/>
      </c>
      <c r="R761" s="115" t="str">
        <f t="shared" si="129"/>
        <v/>
      </c>
      <c r="S761" s="115" t="str">
        <f t="shared" si="130"/>
        <v/>
      </c>
      <c r="T761" s="116" t="str">
        <f t="shared" si="131"/>
        <v/>
      </c>
      <c r="U761" s="120"/>
      <c r="V761" s="118"/>
    </row>
    <row r="762" spans="1:22" ht="13.2">
      <c r="A762" s="102"/>
      <c r="B762" s="102"/>
      <c r="C762" s="104"/>
      <c r="D762" s="105"/>
      <c r="E762" s="106"/>
      <c r="F762" s="107"/>
      <c r="G762" s="108"/>
      <c r="H762" s="109"/>
      <c r="I762" s="110"/>
      <c r="J762" s="110"/>
      <c r="K762" s="119"/>
      <c r="L762" s="111" t="str">
        <f t="shared" si="132"/>
        <v/>
      </c>
      <c r="M762" s="112" t="str">
        <f t="shared" si="133"/>
        <v/>
      </c>
      <c r="N762" s="112" t="str">
        <f t="shared" si="134"/>
        <v/>
      </c>
      <c r="O762" s="112" t="str">
        <f t="shared" si="126"/>
        <v xml:space="preserve"> </v>
      </c>
      <c r="P762" s="113" t="str">
        <f t="shared" si="127"/>
        <v/>
      </c>
      <c r="Q762" s="114" t="str">
        <f t="shared" si="128"/>
        <v/>
      </c>
      <c r="R762" s="115" t="str">
        <f t="shared" si="129"/>
        <v/>
      </c>
      <c r="S762" s="115" t="str">
        <f t="shared" si="130"/>
        <v/>
      </c>
      <c r="T762" s="116" t="str">
        <f t="shared" si="131"/>
        <v/>
      </c>
      <c r="U762" s="120"/>
      <c r="V762" s="118"/>
    </row>
    <row r="763" spans="1:22" ht="13.2">
      <c r="A763" s="102"/>
      <c r="B763" s="102"/>
      <c r="C763" s="104"/>
      <c r="D763" s="105"/>
      <c r="E763" s="106"/>
      <c r="F763" s="107"/>
      <c r="G763" s="108"/>
      <c r="H763" s="109"/>
      <c r="I763" s="110"/>
      <c r="J763" s="110"/>
      <c r="K763" s="119"/>
      <c r="L763" s="111" t="str">
        <f t="shared" si="132"/>
        <v/>
      </c>
      <c r="M763" s="112" t="str">
        <f t="shared" si="133"/>
        <v/>
      </c>
      <c r="N763" s="112" t="str">
        <f t="shared" si="134"/>
        <v/>
      </c>
      <c r="O763" s="112" t="str">
        <f t="shared" si="126"/>
        <v xml:space="preserve"> </v>
      </c>
      <c r="P763" s="113" t="str">
        <f t="shared" si="127"/>
        <v/>
      </c>
      <c r="Q763" s="114" t="str">
        <f t="shared" si="128"/>
        <v/>
      </c>
      <c r="R763" s="115" t="str">
        <f t="shared" si="129"/>
        <v/>
      </c>
      <c r="S763" s="115" t="str">
        <f t="shared" si="130"/>
        <v/>
      </c>
      <c r="T763" s="116" t="str">
        <f t="shared" si="131"/>
        <v/>
      </c>
      <c r="U763" s="120"/>
      <c r="V763" s="118"/>
    </row>
    <row r="764" spans="1:22" ht="13.2">
      <c r="A764" s="102"/>
      <c r="B764" s="103"/>
      <c r="C764" s="104"/>
      <c r="D764" s="105"/>
      <c r="E764" s="106"/>
      <c r="F764" s="107"/>
      <c r="G764" s="108"/>
      <c r="H764" s="121"/>
      <c r="I764" s="122"/>
      <c r="J764" s="122"/>
      <c r="K764" s="123"/>
      <c r="L764" s="111" t="str">
        <f t="shared" si="132"/>
        <v/>
      </c>
      <c r="M764" s="112" t="str">
        <f t="shared" si="133"/>
        <v/>
      </c>
      <c r="N764" s="112" t="str">
        <f t="shared" si="134"/>
        <v/>
      </c>
      <c r="O764" s="112" t="str">
        <f t="shared" si="126"/>
        <v xml:space="preserve"> </v>
      </c>
      <c r="P764" s="113" t="str">
        <f t="shared" si="127"/>
        <v/>
      </c>
      <c r="Q764" s="114" t="str">
        <f t="shared" si="128"/>
        <v/>
      </c>
      <c r="R764" s="115" t="str">
        <f t="shared" si="129"/>
        <v/>
      </c>
      <c r="S764" s="115" t="str">
        <f t="shared" si="130"/>
        <v/>
      </c>
      <c r="T764" s="116" t="str">
        <f t="shared" si="131"/>
        <v/>
      </c>
      <c r="U764" s="120"/>
      <c r="V764" s="118"/>
    </row>
    <row r="765" spans="1:22" ht="13.2">
      <c r="A765" s="102"/>
      <c r="B765" s="103"/>
      <c r="C765" s="104"/>
      <c r="D765" s="105"/>
      <c r="E765" s="106"/>
      <c r="F765" s="107"/>
      <c r="G765" s="108"/>
      <c r="H765" s="121"/>
      <c r="I765" s="122"/>
      <c r="J765" s="122"/>
      <c r="K765" s="123"/>
      <c r="L765" s="111" t="str">
        <f t="shared" si="132"/>
        <v/>
      </c>
      <c r="M765" s="112" t="str">
        <f t="shared" si="133"/>
        <v/>
      </c>
      <c r="N765" s="112" t="str">
        <f t="shared" si="134"/>
        <v/>
      </c>
      <c r="O765" s="112" t="str">
        <f t="shared" si="126"/>
        <v xml:space="preserve"> </v>
      </c>
      <c r="P765" s="113" t="str">
        <f t="shared" si="127"/>
        <v/>
      </c>
      <c r="Q765" s="114" t="str">
        <f t="shared" si="128"/>
        <v/>
      </c>
      <c r="R765" s="115" t="str">
        <f t="shared" si="129"/>
        <v/>
      </c>
      <c r="S765" s="115" t="str">
        <f t="shared" si="130"/>
        <v/>
      </c>
      <c r="T765" s="116" t="str">
        <f t="shared" si="131"/>
        <v/>
      </c>
      <c r="U765" s="120"/>
      <c r="V765" s="118"/>
    </row>
    <row r="766" spans="1:22" ht="13.2">
      <c r="A766" s="102"/>
      <c r="B766" s="103"/>
      <c r="C766" s="104"/>
      <c r="D766" s="105"/>
      <c r="E766" s="106"/>
      <c r="F766" s="107"/>
      <c r="G766" s="108"/>
      <c r="H766" s="121"/>
      <c r="I766" s="122"/>
      <c r="J766" s="122"/>
      <c r="K766" s="123"/>
      <c r="L766" s="111" t="str">
        <f t="shared" si="132"/>
        <v/>
      </c>
      <c r="M766" s="112" t="str">
        <f t="shared" si="133"/>
        <v/>
      </c>
      <c r="N766" s="112" t="str">
        <f t="shared" si="134"/>
        <v/>
      </c>
      <c r="O766" s="112" t="str">
        <f t="shared" ref="O766:O829" si="135">IF(ISERR(I766/I766)=TRUE," ",AVERAGE(I766:K766))</f>
        <v xml:space="preserve"> </v>
      </c>
      <c r="P766" s="113" t="str">
        <f t="shared" ref="P766:P829" si="136">IF(ISBLANK($E766),"",IF(ISNUMBER(F766)=FALSE,"BAD TOL", IF(F766=0,"N/A",IF(ISERR(I766/I766)=TRUE,"BAD INSP",IF(AND(ISNUMBER($I766),ISNUMBER($J766),ISNUMBER($K766))=FALSE,"BAD INSP",IF(MAX($I766:$K766)&lt;$E766,0,(MAX($I766:$K766)-$E766)/$F766))))))</f>
        <v/>
      </c>
      <c r="Q766" s="114" t="str">
        <f t="shared" ref="Q766:Q829" si="137">IF(ISBLANK($E766),"",IF(ISNUMBER(G766)=FALSE,"BAD TOL",IF(G766=0,"N/A",IF(ISERR(I766/I766)=TRUE,"BAD INSP",IF(AND(ISNUMBER($I766),ISNUMBER($J766),ISNUMBER($K766))=FALSE,"BAD INSP",IF(MIN(I766:K766)&gt;$E766,0,($E766-MIN(I766:K766))/G766))))))</f>
        <v/>
      </c>
      <c r="R766" s="115" t="str">
        <f t="shared" ref="R766:R829" si="138">IF(ISBLANK($E766),"",IF(ISNUMBER($P766)=TRUE,IF($P766&gt;0.651,IF($P766&gt;1.001,"Reject","Alert")," "),IF(AND(F766=0, ISNUMBER(F766)),IF(MAX(I766:K766)&gt;(E766+F766),"Reject",IF(MAX(I766:K766)=(E766+F766),"Alert","")),"Reject")))</f>
        <v/>
      </c>
      <c r="S766" s="115" t="str">
        <f t="shared" ref="S766:S829" si="139">IF(ISBLANK($E766),"",IF(ISNUMBER($Q766)=TRUE,IF($Q766&gt;0.651,IF($Q766&gt;1.001,"Reject","Alert")," "),IF(AND(G766=0, ISNUMBER(G766)),IF(MIN(I766:K766)&lt;(E766-G766),"Reject",IF(MIN(I766:K766)=(E766-G766),"Alert","")),"Reject")))</f>
        <v/>
      </c>
      <c r="T766" s="116" t="str">
        <f t="shared" ref="T766:T829" si="140">IF(OR(R766="Reject",S766="Reject"),"Reject",IF(OR(R766="Alert",S766="Alert"),"Alert", ""))</f>
        <v/>
      </c>
      <c r="U766" s="120"/>
      <c r="V766" s="118"/>
    </row>
    <row r="767" spans="1:22" ht="13.2">
      <c r="A767" s="102"/>
      <c r="B767" s="102"/>
      <c r="C767" s="103"/>
      <c r="D767" s="105"/>
      <c r="E767" s="106"/>
      <c r="F767" s="107"/>
      <c r="G767" s="108"/>
      <c r="H767" s="109"/>
      <c r="I767" s="110"/>
      <c r="J767" s="110"/>
      <c r="K767" s="119"/>
      <c r="L767" s="111" t="str">
        <f t="shared" si="132"/>
        <v/>
      </c>
      <c r="M767" s="112" t="str">
        <f t="shared" si="133"/>
        <v/>
      </c>
      <c r="N767" s="112" t="str">
        <f t="shared" si="134"/>
        <v/>
      </c>
      <c r="O767" s="112" t="str">
        <f t="shared" si="135"/>
        <v xml:space="preserve"> </v>
      </c>
      <c r="P767" s="113" t="str">
        <f t="shared" si="136"/>
        <v/>
      </c>
      <c r="Q767" s="114" t="str">
        <f t="shared" si="137"/>
        <v/>
      </c>
      <c r="R767" s="115" t="str">
        <f t="shared" si="138"/>
        <v/>
      </c>
      <c r="S767" s="115" t="str">
        <f t="shared" si="139"/>
        <v/>
      </c>
      <c r="T767" s="116" t="str">
        <f t="shared" si="140"/>
        <v/>
      </c>
      <c r="U767" s="120"/>
      <c r="V767" s="118"/>
    </row>
    <row r="768" spans="1:22" ht="13.2">
      <c r="A768" s="102"/>
      <c r="B768" s="102"/>
      <c r="C768" s="103"/>
      <c r="D768" s="105"/>
      <c r="E768" s="106"/>
      <c r="F768" s="107"/>
      <c r="G768" s="108"/>
      <c r="H768" s="109"/>
      <c r="I768" s="110"/>
      <c r="J768" s="110"/>
      <c r="K768" s="119"/>
      <c r="L768" s="111" t="str">
        <f t="shared" si="132"/>
        <v/>
      </c>
      <c r="M768" s="112" t="str">
        <f t="shared" si="133"/>
        <v/>
      </c>
      <c r="N768" s="112" t="str">
        <f t="shared" si="134"/>
        <v/>
      </c>
      <c r="O768" s="112" t="str">
        <f t="shared" si="135"/>
        <v xml:space="preserve"> </v>
      </c>
      <c r="P768" s="113" t="str">
        <f t="shared" si="136"/>
        <v/>
      </c>
      <c r="Q768" s="114" t="str">
        <f t="shared" si="137"/>
        <v/>
      </c>
      <c r="R768" s="115" t="str">
        <f t="shared" si="138"/>
        <v/>
      </c>
      <c r="S768" s="115" t="str">
        <f t="shared" si="139"/>
        <v/>
      </c>
      <c r="T768" s="116" t="str">
        <f t="shared" si="140"/>
        <v/>
      </c>
      <c r="U768" s="120"/>
      <c r="V768" s="118"/>
    </row>
    <row r="769" spans="1:22" ht="13.2">
      <c r="A769" s="102"/>
      <c r="B769" s="102"/>
      <c r="C769" s="104"/>
      <c r="D769" s="105"/>
      <c r="E769" s="106"/>
      <c r="F769" s="107"/>
      <c r="G769" s="108"/>
      <c r="H769" s="109"/>
      <c r="I769" s="110"/>
      <c r="J769" s="110"/>
      <c r="K769" s="119"/>
      <c r="L769" s="111" t="str">
        <f t="shared" si="132"/>
        <v/>
      </c>
      <c r="M769" s="112" t="str">
        <f t="shared" si="133"/>
        <v/>
      </c>
      <c r="N769" s="112" t="str">
        <f t="shared" si="134"/>
        <v/>
      </c>
      <c r="O769" s="112" t="str">
        <f t="shared" si="135"/>
        <v xml:space="preserve"> </v>
      </c>
      <c r="P769" s="113" t="str">
        <f t="shared" si="136"/>
        <v/>
      </c>
      <c r="Q769" s="114" t="str">
        <f t="shared" si="137"/>
        <v/>
      </c>
      <c r="R769" s="115" t="str">
        <f t="shared" si="138"/>
        <v/>
      </c>
      <c r="S769" s="115" t="str">
        <f t="shared" si="139"/>
        <v/>
      </c>
      <c r="T769" s="116" t="str">
        <f t="shared" si="140"/>
        <v/>
      </c>
      <c r="U769" s="120"/>
      <c r="V769" s="118"/>
    </row>
    <row r="770" spans="1:22" ht="13.2">
      <c r="A770" s="102"/>
      <c r="B770" s="102"/>
      <c r="C770" s="104"/>
      <c r="D770" s="105"/>
      <c r="E770" s="106"/>
      <c r="F770" s="107"/>
      <c r="G770" s="108"/>
      <c r="H770" s="109"/>
      <c r="I770" s="110"/>
      <c r="J770" s="110"/>
      <c r="K770" s="119"/>
      <c r="L770" s="111" t="str">
        <f t="shared" si="132"/>
        <v/>
      </c>
      <c r="M770" s="112" t="str">
        <f t="shared" si="133"/>
        <v/>
      </c>
      <c r="N770" s="112" t="str">
        <f t="shared" si="134"/>
        <v/>
      </c>
      <c r="O770" s="112" t="str">
        <f t="shared" si="135"/>
        <v xml:space="preserve"> </v>
      </c>
      <c r="P770" s="113" t="str">
        <f t="shared" si="136"/>
        <v/>
      </c>
      <c r="Q770" s="114" t="str">
        <f t="shared" si="137"/>
        <v/>
      </c>
      <c r="R770" s="115" t="str">
        <f t="shared" si="138"/>
        <v/>
      </c>
      <c r="S770" s="115" t="str">
        <f t="shared" si="139"/>
        <v/>
      </c>
      <c r="T770" s="116" t="str">
        <f t="shared" si="140"/>
        <v/>
      </c>
      <c r="U770" s="120"/>
      <c r="V770" s="118"/>
    </row>
    <row r="771" spans="1:22" ht="13.2">
      <c r="A771" s="102"/>
      <c r="B771" s="102"/>
      <c r="C771" s="104"/>
      <c r="D771" s="105"/>
      <c r="E771" s="106"/>
      <c r="F771" s="107"/>
      <c r="G771" s="108"/>
      <c r="H771" s="109"/>
      <c r="I771" s="110"/>
      <c r="J771" s="110"/>
      <c r="K771" s="119"/>
      <c r="L771" s="111" t="str">
        <f t="shared" si="132"/>
        <v/>
      </c>
      <c r="M771" s="112" t="str">
        <f t="shared" si="133"/>
        <v/>
      </c>
      <c r="N771" s="112" t="str">
        <f t="shared" si="134"/>
        <v/>
      </c>
      <c r="O771" s="112" t="str">
        <f t="shared" si="135"/>
        <v xml:space="preserve"> </v>
      </c>
      <c r="P771" s="113" t="str">
        <f t="shared" si="136"/>
        <v/>
      </c>
      <c r="Q771" s="114" t="str">
        <f t="shared" si="137"/>
        <v/>
      </c>
      <c r="R771" s="115" t="str">
        <f t="shared" si="138"/>
        <v/>
      </c>
      <c r="S771" s="115" t="str">
        <f t="shared" si="139"/>
        <v/>
      </c>
      <c r="T771" s="116" t="str">
        <f t="shared" si="140"/>
        <v/>
      </c>
      <c r="U771" s="120"/>
      <c r="V771" s="118"/>
    </row>
    <row r="772" spans="1:22" ht="13.2">
      <c r="A772" s="102"/>
      <c r="B772" s="102"/>
      <c r="C772" s="104"/>
      <c r="D772" s="105"/>
      <c r="E772" s="106"/>
      <c r="F772" s="107"/>
      <c r="G772" s="108"/>
      <c r="H772" s="109"/>
      <c r="I772" s="110"/>
      <c r="J772" s="110"/>
      <c r="K772" s="119"/>
      <c r="L772" s="111" t="str">
        <f t="shared" si="132"/>
        <v/>
      </c>
      <c r="M772" s="112" t="str">
        <f t="shared" si="133"/>
        <v/>
      </c>
      <c r="N772" s="112" t="str">
        <f t="shared" si="134"/>
        <v/>
      </c>
      <c r="O772" s="112" t="str">
        <f t="shared" si="135"/>
        <v xml:space="preserve"> </v>
      </c>
      <c r="P772" s="113" t="str">
        <f t="shared" si="136"/>
        <v/>
      </c>
      <c r="Q772" s="114" t="str">
        <f t="shared" si="137"/>
        <v/>
      </c>
      <c r="R772" s="115" t="str">
        <f t="shared" si="138"/>
        <v/>
      </c>
      <c r="S772" s="115" t="str">
        <f t="shared" si="139"/>
        <v/>
      </c>
      <c r="T772" s="116" t="str">
        <f t="shared" si="140"/>
        <v/>
      </c>
      <c r="U772" s="120"/>
      <c r="V772" s="118"/>
    </row>
    <row r="773" spans="1:22" ht="13.2">
      <c r="A773" s="102"/>
      <c r="B773" s="102"/>
      <c r="C773" s="104"/>
      <c r="D773" s="105"/>
      <c r="E773" s="106"/>
      <c r="F773" s="107"/>
      <c r="G773" s="108"/>
      <c r="H773" s="109"/>
      <c r="I773" s="110"/>
      <c r="J773" s="110"/>
      <c r="K773" s="119"/>
      <c r="L773" s="111" t="str">
        <f t="shared" si="132"/>
        <v/>
      </c>
      <c r="M773" s="112" t="str">
        <f t="shared" si="133"/>
        <v/>
      </c>
      <c r="N773" s="112" t="str">
        <f t="shared" si="134"/>
        <v/>
      </c>
      <c r="O773" s="112" t="str">
        <f t="shared" si="135"/>
        <v xml:space="preserve"> </v>
      </c>
      <c r="P773" s="113" t="str">
        <f t="shared" si="136"/>
        <v/>
      </c>
      <c r="Q773" s="114" t="str">
        <f t="shared" si="137"/>
        <v/>
      </c>
      <c r="R773" s="115" t="str">
        <f t="shared" si="138"/>
        <v/>
      </c>
      <c r="S773" s="115" t="str">
        <f t="shared" si="139"/>
        <v/>
      </c>
      <c r="T773" s="116" t="str">
        <f t="shared" si="140"/>
        <v/>
      </c>
      <c r="U773" s="120"/>
      <c r="V773" s="118"/>
    </row>
    <row r="774" spans="1:22" ht="13.2">
      <c r="A774" s="102"/>
      <c r="B774" s="102"/>
      <c r="C774" s="104"/>
      <c r="D774" s="105"/>
      <c r="E774" s="106"/>
      <c r="F774" s="107"/>
      <c r="G774" s="108"/>
      <c r="H774" s="109"/>
      <c r="I774" s="110"/>
      <c r="J774" s="110"/>
      <c r="K774" s="110"/>
      <c r="L774" s="111" t="str">
        <f t="shared" si="132"/>
        <v/>
      </c>
      <c r="M774" s="112" t="str">
        <f t="shared" si="133"/>
        <v/>
      </c>
      <c r="N774" s="112" t="str">
        <f t="shared" si="134"/>
        <v/>
      </c>
      <c r="O774" s="112" t="str">
        <f t="shared" si="135"/>
        <v xml:space="preserve"> </v>
      </c>
      <c r="P774" s="113" t="str">
        <f t="shared" si="136"/>
        <v/>
      </c>
      <c r="Q774" s="114" t="str">
        <f t="shared" si="137"/>
        <v/>
      </c>
      <c r="R774" s="115" t="str">
        <f t="shared" si="138"/>
        <v/>
      </c>
      <c r="S774" s="115" t="str">
        <f t="shared" si="139"/>
        <v/>
      </c>
      <c r="T774" s="116" t="str">
        <f t="shared" si="140"/>
        <v/>
      </c>
      <c r="U774" s="120"/>
      <c r="V774" s="118"/>
    </row>
    <row r="775" spans="1:22" ht="13.2">
      <c r="A775" s="102"/>
      <c r="B775" s="102"/>
      <c r="C775" s="104"/>
      <c r="D775" s="105"/>
      <c r="E775" s="106"/>
      <c r="F775" s="107"/>
      <c r="G775" s="108"/>
      <c r="H775" s="109"/>
      <c r="I775" s="110"/>
      <c r="J775" s="110"/>
      <c r="K775" s="119"/>
      <c r="L775" s="111" t="str">
        <f t="shared" si="132"/>
        <v/>
      </c>
      <c r="M775" s="112" t="str">
        <f t="shared" si="133"/>
        <v/>
      </c>
      <c r="N775" s="112" t="str">
        <f t="shared" si="134"/>
        <v/>
      </c>
      <c r="O775" s="112" t="str">
        <f t="shared" si="135"/>
        <v xml:space="preserve"> </v>
      </c>
      <c r="P775" s="113" t="str">
        <f t="shared" si="136"/>
        <v/>
      </c>
      <c r="Q775" s="114" t="str">
        <f t="shared" si="137"/>
        <v/>
      </c>
      <c r="R775" s="115" t="str">
        <f t="shared" si="138"/>
        <v/>
      </c>
      <c r="S775" s="115" t="str">
        <f t="shared" si="139"/>
        <v/>
      </c>
      <c r="T775" s="116" t="str">
        <f t="shared" si="140"/>
        <v/>
      </c>
      <c r="U775" s="120"/>
      <c r="V775" s="118"/>
    </row>
    <row r="776" spans="1:22" ht="13.2">
      <c r="A776" s="102"/>
      <c r="B776" s="102"/>
      <c r="C776" s="104"/>
      <c r="D776" s="105"/>
      <c r="E776" s="106"/>
      <c r="F776" s="107"/>
      <c r="G776" s="108"/>
      <c r="H776" s="109"/>
      <c r="I776" s="110"/>
      <c r="J776" s="110"/>
      <c r="K776" s="119"/>
      <c r="L776" s="111" t="str">
        <f t="shared" si="132"/>
        <v/>
      </c>
      <c r="M776" s="112" t="str">
        <f t="shared" si="133"/>
        <v/>
      </c>
      <c r="N776" s="112" t="str">
        <f t="shared" si="134"/>
        <v/>
      </c>
      <c r="O776" s="112" t="str">
        <f t="shared" si="135"/>
        <v xml:space="preserve"> </v>
      </c>
      <c r="P776" s="113" t="str">
        <f t="shared" si="136"/>
        <v/>
      </c>
      <c r="Q776" s="114" t="str">
        <f t="shared" si="137"/>
        <v/>
      </c>
      <c r="R776" s="115" t="str">
        <f t="shared" si="138"/>
        <v/>
      </c>
      <c r="S776" s="115" t="str">
        <f t="shared" si="139"/>
        <v/>
      </c>
      <c r="T776" s="116" t="str">
        <f t="shared" si="140"/>
        <v/>
      </c>
      <c r="U776" s="120"/>
      <c r="V776" s="118"/>
    </row>
    <row r="777" spans="1:22" ht="13.2">
      <c r="A777" s="102"/>
      <c r="B777" s="102"/>
      <c r="C777" s="104"/>
      <c r="D777" s="105"/>
      <c r="E777" s="106"/>
      <c r="F777" s="107"/>
      <c r="G777" s="108"/>
      <c r="H777" s="109"/>
      <c r="I777" s="110"/>
      <c r="J777" s="110"/>
      <c r="K777" s="119"/>
      <c r="L777" s="111" t="str">
        <f t="shared" si="132"/>
        <v/>
      </c>
      <c r="M777" s="112" t="str">
        <f t="shared" si="133"/>
        <v/>
      </c>
      <c r="N777" s="112" t="str">
        <f t="shared" si="134"/>
        <v/>
      </c>
      <c r="O777" s="112" t="str">
        <f t="shared" si="135"/>
        <v xml:space="preserve"> </v>
      </c>
      <c r="P777" s="113" t="str">
        <f t="shared" si="136"/>
        <v/>
      </c>
      <c r="Q777" s="114" t="str">
        <f t="shared" si="137"/>
        <v/>
      </c>
      <c r="R777" s="115" t="str">
        <f t="shared" si="138"/>
        <v/>
      </c>
      <c r="S777" s="115" t="str">
        <f t="shared" si="139"/>
        <v/>
      </c>
      <c r="T777" s="116" t="str">
        <f t="shared" si="140"/>
        <v/>
      </c>
      <c r="U777" s="120"/>
      <c r="V777" s="118"/>
    </row>
    <row r="778" spans="1:22" ht="13.2">
      <c r="A778" s="102"/>
      <c r="B778" s="102"/>
      <c r="C778" s="104"/>
      <c r="D778" s="105"/>
      <c r="E778" s="106"/>
      <c r="F778" s="107"/>
      <c r="G778" s="108"/>
      <c r="H778" s="109"/>
      <c r="I778" s="110"/>
      <c r="J778" s="110"/>
      <c r="K778" s="119"/>
      <c r="L778" s="111" t="str">
        <f t="shared" si="132"/>
        <v/>
      </c>
      <c r="M778" s="112" t="str">
        <f t="shared" si="133"/>
        <v/>
      </c>
      <c r="N778" s="112" t="str">
        <f t="shared" si="134"/>
        <v/>
      </c>
      <c r="O778" s="112" t="str">
        <f t="shared" si="135"/>
        <v xml:space="preserve"> </v>
      </c>
      <c r="P778" s="113" t="str">
        <f t="shared" si="136"/>
        <v/>
      </c>
      <c r="Q778" s="114" t="str">
        <f t="shared" si="137"/>
        <v/>
      </c>
      <c r="R778" s="115" t="str">
        <f t="shared" si="138"/>
        <v/>
      </c>
      <c r="S778" s="115" t="str">
        <f t="shared" si="139"/>
        <v/>
      </c>
      <c r="T778" s="116" t="str">
        <f t="shared" si="140"/>
        <v/>
      </c>
      <c r="U778" s="120"/>
      <c r="V778" s="118"/>
    </row>
    <row r="779" spans="1:22" ht="13.2">
      <c r="A779" s="102"/>
      <c r="B779" s="103"/>
      <c r="C779" s="104"/>
      <c r="D779" s="105"/>
      <c r="E779" s="106"/>
      <c r="F779" s="107"/>
      <c r="G779" s="108"/>
      <c r="H779" s="121"/>
      <c r="I779" s="122"/>
      <c r="J779" s="122"/>
      <c r="K779" s="123"/>
      <c r="L779" s="111" t="str">
        <f t="shared" si="132"/>
        <v/>
      </c>
      <c r="M779" s="112" t="str">
        <f t="shared" si="133"/>
        <v/>
      </c>
      <c r="N779" s="112" t="str">
        <f t="shared" si="134"/>
        <v/>
      </c>
      <c r="O779" s="112" t="str">
        <f t="shared" si="135"/>
        <v xml:space="preserve"> </v>
      </c>
      <c r="P779" s="113" t="str">
        <f t="shared" si="136"/>
        <v/>
      </c>
      <c r="Q779" s="114" t="str">
        <f t="shared" si="137"/>
        <v/>
      </c>
      <c r="R779" s="115" t="str">
        <f t="shared" si="138"/>
        <v/>
      </c>
      <c r="S779" s="115" t="str">
        <f t="shared" si="139"/>
        <v/>
      </c>
      <c r="T779" s="116" t="str">
        <f t="shared" si="140"/>
        <v/>
      </c>
      <c r="U779" s="120"/>
      <c r="V779" s="118"/>
    </row>
    <row r="780" spans="1:22" ht="13.2">
      <c r="A780" s="102"/>
      <c r="B780" s="103"/>
      <c r="C780" s="104"/>
      <c r="D780" s="105"/>
      <c r="E780" s="106"/>
      <c r="F780" s="107"/>
      <c r="G780" s="108"/>
      <c r="H780" s="121"/>
      <c r="I780" s="122"/>
      <c r="J780" s="122"/>
      <c r="K780" s="123"/>
      <c r="L780" s="111" t="str">
        <f t="shared" si="132"/>
        <v/>
      </c>
      <c r="M780" s="112" t="str">
        <f t="shared" si="133"/>
        <v/>
      </c>
      <c r="N780" s="112" t="str">
        <f t="shared" si="134"/>
        <v/>
      </c>
      <c r="O780" s="112" t="str">
        <f t="shared" si="135"/>
        <v xml:space="preserve"> </v>
      </c>
      <c r="P780" s="113" t="str">
        <f t="shared" si="136"/>
        <v/>
      </c>
      <c r="Q780" s="114" t="str">
        <f t="shared" si="137"/>
        <v/>
      </c>
      <c r="R780" s="115" t="str">
        <f t="shared" si="138"/>
        <v/>
      </c>
      <c r="S780" s="115" t="str">
        <f t="shared" si="139"/>
        <v/>
      </c>
      <c r="T780" s="116" t="str">
        <f t="shared" si="140"/>
        <v/>
      </c>
      <c r="U780" s="120"/>
      <c r="V780" s="118"/>
    </row>
    <row r="781" spans="1:22" ht="13.2">
      <c r="A781" s="102"/>
      <c r="B781" s="103"/>
      <c r="C781" s="104"/>
      <c r="D781" s="105"/>
      <c r="E781" s="106"/>
      <c r="F781" s="107"/>
      <c r="G781" s="108"/>
      <c r="H781" s="121"/>
      <c r="I781" s="122"/>
      <c r="J781" s="122"/>
      <c r="K781" s="123"/>
      <c r="L781" s="111" t="str">
        <f t="shared" si="132"/>
        <v/>
      </c>
      <c r="M781" s="112" t="str">
        <f t="shared" si="133"/>
        <v/>
      </c>
      <c r="N781" s="112" t="str">
        <f t="shared" si="134"/>
        <v/>
      </c>
      <c r="O781" s="112" t="str">
        <f t="shared" si="135"/>
        <v xml:space="preserve"> </v>
      </c>
      <c r="P781" s="113" t="str">
        <f t="shared" si="136"/>
        <v/>
      </c>
      <c r="Q781" s="114" t="str">
        <f t="shared" si="137"/>
        <v/>
      </c>
      <c r="R781" s="115" t="str">
        <f t="shared" si="138"/>
        <v/>
      </c>
      <c r="S781" s="115" t="str">
        <f t="shared" si="139"/>
        <v/>
      </c>
      <c r="T781" s="116" t="str">
        <f t="shared" si="140"/>
        <v/>
      </c>
      <c r="U781" s="120"/>
      <c r="V781" s="118"/>
    </row>
    <row r="782" spans="1:22" ht="13.2">
      <c r="A782" s="102"/>
      <c r="B782" s="102"/>
      <c r="C782" s="103"/>
      <c r="D782" s="105"/>
      <c r="E782" s="106"/>
      <c r="F782" s="107"/>
      <c r="G782" s="108"/>
      <c r="H782" s="109"/>
      <c r="I782" s="110"/>
      <c r="J782" s="110"/>
      <c r="K782" s="119"/>
      <c r="L782" s="111" t="str">
        <f t="shared" si="132"/>
        <v/>
      </c>
      <c r="M782" s="112" t="str">
        <f t="shared" si="133"/>
        <v/>
      </c>
      <c r="N782" s="112" t="str">
        <f t="shared" si="134"/>
        <v/>
      </c>
      <c r="O782" s="112" t="str">
        <f t="shared" si="135"/>
        <v xml:space="preserve"> </v>
      </c>
      <c r="P782" s="113" t="str">
        <f t="shared" si="136"/>
        <v/>
      </c>
      <c r="Q782" s="114" t="str">
        <f t="shared" si="137"/>
        <v/>
      </c>
      <c r="R782" s="115" t="str">
        <f t="shared" si="138"/>
        <v/>
      </c>
      <c r="S782" s="115" t="str">
        <f t="shared" si="139"/>
        <v/>
      </c>
      <c r="T782" s="116" t="str">
        <f t="shared" si="140"/>
        <v/>
      </c>
      <c r="U782" s="120"/>
      <c r="V782" s="118"/>
    </row>
    <row r="783" spans="1:22" ht="13.2">
      <c r="A783" s="102"/>
      <c r="B783" s="102"/>
      <c r="C783" s="103"/>
      <c r="D783" s="105"/>
      <c r="E783" s="106"/>
      <c r="F783" s="107"/>
      <c r="G783" s="108"/>
      <c r="H783" s="109"/>
      <c r="I783" s="110"/>
      <c r="J783" s="110"/>
      <c r="K783" s="119"/>
      <c r="L783" s="111" t="str">
        <f t="shared" si="132"/>
        <v/>
      </c>
      <c r="M783" s="112" t="str">
        <f t="shared" si="133"/>
        <v/>
      </c>
      <c r="N783" s="112" t="str">
        <f t="shared" si="134"/>
        <v/>
      </c>
      <c r="O783" s="112" t="str">
        <f t="shared" si="135"/>
        <v xml:space="preserve"> </v>
      </c>
      <c r="P783" s="113" t="str">
        <f t="shared" si="136"/>
        <v/>
      </c>
      <c r="Q783" s="114" t="str">
        <f t="shared" si="137"/>
        <v/>
      </c>
      <c r="R783" s="115" t="str">
        <f t="shared" si="138"/>
        <v/>
      </c>
      <c r="S783" s="115" t="str">
        <f t="shared" si="139"/>
        <v/>
      </c>
      <c r="T783" s="116" t="str">
        <f t="shared" si="140"/>
        <v/>
      </c>
      <c r="U783" s="120"/>
      <c r="V783" s="118"/>
    </row>
    <row r="784" spans="1:22" ht="13.2">
      <c r="A784" s="102"/>
      <c r="B784" s="102"/>
      <c r="C784" s="104"/>
      <c r="D784" s="105"/>
      <c r="E784" s="106"/>
      <c r="F784" s="107"/>
      <c r="G784" s="108"/>
      <c r="H784" s="109"/>
      <c r="I784" s="110"/>
      <c r="J784" s="110"/>
      <c r="K784" s="119"/>
      <c r="L784" s="111" t="str">
        <f t="shared" si="132"/>
        <v/>
      </c>
      <c r="M784" s="112" t="str">
        <f t="shared" si="133"/>
        <v/>
      </c>
      <c r="N784" s="112" t="str">
        <f t="shared" si="134"/>
        <v/>
      </c>
      <c r="O784" s="112" t="str">
        <f t="shared" si="135"/>
        <v xml:space="preserve"> </v>
      </c>
      <c r="P784" s="113" t="str">
        <f t="shared" si="136"/>
        <v/>
      </c>
      <c r="Q784" s="114" t="str">
        <f t="shared" si="137"/>
        <v/>
      </c>
      <c r="R784" s="115" t="str">
        <f t="shared" si="138"/>
        <v/>
      </c>
      <c r="S784" s="115" t="str">
        <f t="shared" si="139"/>
        <v/>
      </c>
      <c r="T784" s="116" t="str">
        <f t="shared" si="140"/>
        <v/>
      </c>
      <c r="U784" s="120"/>
      <c r="V784" s="118"/>
    </row>
    <row r="785" spans="1:22" ht="13.2">
      <c r="A785" s="102"/>
      <c r="B785" s="102"/>
      <c r="C785" s="104"/>
      <c r="D785" s="105"/>
      <c r="E785" s="106"/>
      <c r="F785" s="107"/>
      <c r="G785" s="108"/>
      <c r="H785" s="109"/>
      <c r="I785" s="110"/>
      <c r="J785" s="110"/>
      <c r="K785" s="119"/>
      <c r="L785" s="111" t="str">
        <f t="shared" si="132"/>
        <v/>
      </c>
      <c r="M785" s="112" t="str">
        <f t="shared" si="133"/>
        <v/>
      </c>
      <c r="N785" s="112" t="str">
        <f t="shared" si="134"/>
        <v/>
      </c>
      <c r="O785" s="112" t="str">
        <f t="shared" si="135"/>
        <v xml:space="preserve"> </v>
      </c>
      <c r="P785" s="113" t="str">
        <f t="shared" si="136"/>
        <v/>
      </c>
      <c r="Q785" s="114" t="str">
        <f t="shared" si="137"/>
        <v/>
      </c>
      <c r="R785" s="115" t="str">
        <f t="shared" si="138"/>
        <v/>
      </c>
      <c r="S785" s="115" t="str">
        <f t="shared" si="139"/>
        <v/>
      </c>
      <c r="T785" s="116" t="str">
        <f t="shared" si="140"/>
        <v/>
      </c>
      <c r="U785" s="120"/>
      <c r="V785" s="118"/>
    </row>
    <row r="786" spans="1:22" ht="13.2">
      <c r="A786" s="102"/>
      <c r="B786" s="102"/>
      <c r="C786" s="104"/>
      <c r="D786" s="105"/>
      <c r="E786" s="106"/>
      <c r="F786" s="107"/>
      <c r="G786" s="108"/>
      <c r="H786" s="109"/>
      <c r="I786" s="110"/>
      <c r="J786" s="110"/>
      <c r="K786" s="119"/>
      <c r="L786" s="111" t="str">
        <f t="shared" si="132"/>
        <v/>
      </c>
      <c r="M786" s="112" t="str">
        <f t="shared" si="133"/>
        <v/>
      </c>
      <c r="N786" s="112" t="str">
        <f t="shared" si="134"/>
        <v/>
      </c>
      <c r="O786" s="112" t="str">
        <f t="shared" si="135"/>
        <v xml:space="preserve"> </v>
      </c>
      <c r="P786" s="113" t="str">
        <f t="shared" si="136"/>
        <v/>
      </c>
      <c r="Q786" s="114" t="str">
        <f t="shared" si="137"/>
        <v/>
      </c>
      <c r="R786" s="115" t="str">
        <f t="shared" si="138"/>
        <v/>
      </c>
      <c r="S786" s="115" t="str">
        <f t="shared" si="139"/>
        <v/>
      </c>
      <c r="T786" s="116" t="str">
        <f t="shared" si="140"/>
        <v/>
      </c>
      <c r="U786" s="120"/>
      <c r="V786" s="118"/>
    </row>
    <row r="787" spans="1:22" ht="13.2">
      <c r="A787" s="102"/>
      <c r="B787" s="102"/>
      <c r="C787" s="104"/>
      <c r="D787" s="105"/>
      <c r="E787" s="106"/>
      <c r="F787" s="107"/>
      <c r="G787" s="108"/>
      <c r="H787" s="109"/>
      <c r="I787" s="110"/>
      <c r="J787" s="110"/>
      <c r="K787" s="119"/>
      <c r="L787" s="111" t="str">
        <f t="shared" ref="L787:L850" si="141">IF(ISBLANK($E787),"",IF(ISERR(I787/I787)=TRUE,"BAD INSP",I787-$E787))</f>
        <v/>
      </c>
      <c r="M787" s="112" t="str">
        <f t="shared" ref="M787:M850" si="142">IF(ISBLANK($E787),"",IF(ISERR(J787/J787)=TRUE,"BAD INSP",J787-$E787))</f>
        <v/>
      </c>
      <c r="N787" s="112" t="str">
        <f t="shared" ref="N787:N850" si="143">IF(ISBLANK($E787),"",IF(ISERR(K787/K787)=TRUE,"BAD INSP",K787-$E787))</f>
        <v/>
      </c>
      <c r="O787" s="112" t="str">
        <f t="shared" si="135"/>
        <v xml:space="preserve"> </v>
      </c>
      <c r="P787" s="113" t="str">
        <f t="shared" si="136"/>
        <v/>
      </c>
      <c r="Q787" s="114" t="str">
        <f t="shared" si="137"/>
        <v/>
      </c>
      <c r="R787" s="115" t="str">
        <f t="shared" si="138"/>
        <v/>
      </c>
      <c r="S787" s="115" t="str">
        <f t="shared" si="139"/>
        <v/>
      </c>
      <c r="T787" s="116" t="str">
        <f t="shared" si="140"/>
        <v/>
      </c>
      <c r="U787" s="120"/>
      <c r="V787" s="118"/>
    </row>
    <row r="788" spans="1:22" ht="13.2">
      <c r="A788" s="102"/>
      <c r="B788" s="102"/>
      <c r="C788" s="104"/>
      <c r="D788" s="105"/>
      <c r="E788" s="106"/>
      <c r="F788" s="107"/>
      <c r="G788" s="108"/>
      <c r="H788" s="109"/>
      <c r="I788" s="110"/>
      <c r="J788" s="110"/>
      <c r="K788" s="119"/>
      <c r="L788" s="111" t="str">
        <f t="shared" si="141"/>
        <v/>
      </c>
      <c r="M788" s="112" t="str">
        <f t="shared" si="142"/>
        <v/>
      </c>
      <c r="N788" s="112" t="str">
        <f t="shared" si="143"/>
        <v/>
      </c>
      <c r="O788" s="112" t="str">
        <f t="shared" si="135"/>
        <v xml:space="preserve"> </v>
      </c>
      <c r="P788" s="113" t="str">
        <f t="shared" si="136"/>
        <v/>
      </c>
      <c r="Q788" s="114" t="str">
        <f t="shared" si="137"/>
        <v/>
      </c>
      <c r="R788" s="115" t="str">
        <f t="shared" si="138"/>
        <v/>
      </c>
      <c r="S788" s="115" t="str">
        <f t="shared" si="139"/>
        <v/>
      </c>
      <c r="T788" s="116" t="str">
        <f t="shared" si="140"/>
        <v/>
      </c>
      <c r="U788" s="120"/>
      <c r="V788" s="118"/>
    </row>
    <row r="789" spans="1:22" ht="13.2">
      <c r="A789" s="102"/>
      <c r="B789" s="102"/>
      <c r="C789" s="104"/>
      <c r="D789" s="105"/>
      <c r="E789" s="106"/>
      <c r="F789" s="107"/>
      <c r="G789" s="108"/>
      <c r="H789" s="109"/>
      <c r="I789" s="110"/>
      <c r="J789" s="110"/>
      <c r="K789" s="110"/>
      <c r="L789" s="111" t="str">
        <f t="shared" si="141"/>
        <v/>
      </c>
      <c r="M789" s="112" t="str">
        <f t="shared" si="142"/>
        <v/>
      </c>
      <c r="N789" s="112" t="str">
        <f t="shared" si="143"/>
        <v/>
      </c>
      <c r="O789" s="112" t="str">
        <f t="shared" si="135"/>
        <v xml:space="preserve"> </v>
      </c>
      <c r="P789" s="113" t="str">
        <f t="shared" si="136"/>
        <v/>
      </c>
      <c r="Q789" s="114" t="str">
        <f t="shared" si="137"/>
        <v/>
      </c>
      <c r="R789" s="115" t="str">
        <f t="shared" si="138"/>
        <v/>
      </c>
      <c r="S789" s="115" t="str">
        <f t="shared" si="139"/>
        <v/>
      </c>
      <c r="T789" s="116" t="str">
        <f t="shared" si="140"/>
        <v/>
      </c>
      <c r="U789" s="120"/>
      <c r="V789" s="118"/>
    </row>
    <row r="790" spans="1:22" ht="13.2">
      <c r="A790" s="102"/>
      <c r="B790" s="102"/>
      <c r="C790" s="104"/>
      <c r="D790" s="105"/>
      <c r="E790" s="106"/>
      <c r="F790" s="107"/>
      <c r="G790" s="108"/>
      <c r="H790" s="109"/>
      <c r="I790" s="110"/>
      <c r="J790" s="110"/>
      <c r="K790" s="119"/>
      <c r="L790" s="111" t="str">
        <f t="shared" si="141"/>
        <v/>
      </c>
      <c r="M790" s="112" t="str">
        <f t="shared" si="142"/>
        <v/>
      </c>
      <c r="N790" s="112" t="str">
        <f t="shared" si="143"/>
        <v/>
      </c>
      <c r="O790" s="112" t="str">
        <f t="shared" si="135"/>
        <v xml:space="preserve"> </v>
      </c>
      <c r="P790" s="113" t="str">
        <f t="shared" si="136"/>
        <v/>
      </c>
      <c r="Q790" s="114" t="str">
        <f t="shared" si="137"/>
        <v/>
      </c>
      <c r="R790" s="115" t="str">
        <f t="shared" si="138"/>
        <v/>
      </c>
      <c r="S790" s="115" t="str">
        <f t="shared" si="139"/>
        <v/>
      </c>
      <c r="T790" s="116" t="str">
        <f t="shared" si="140"/>
        <v/>
      </c>
      <c r="U790" s="120"/>
      <c r="V790" s="118"/>
    </row>
    <row r="791" spans="1:22" ht="13.2">
      <c r="A791" s="102"/>
      <c r="B791" s="102"/>
      <c r="C791" s="104"/>
      <c r="D791" s="105"/>
      <c r="E791" s="106"/>
      <c r="F791" s="107"/>
      <c r="G791" s="108"/>
      <c r="H791" s="109"/>
      <c r="I791" s="110"/>
      <c r="J791" s="110"/>
      <c r="K791" s="119"/>
      <c r="L791" s="111" t="str">
        <f t="shared" si="141"/>
        <v/>
      </c>
      <c r="M791" s="112" t="str">
        <f t="shared" si="142"/>
        <v/>
      </c>
      <c r="N791" s="112" t="str">
        <f t="shared" si="143"/>
        <v/>
      </c>
      <c r="O791" s="112" t="str">
        <f t="shared" si="135"/>
        <v xml:space="preserve"> </v>
      </c>
      <c r="P791" s="113" t="str">
        <f t="shared" si="136"/>
        <v/>
      </c>
      <c r="Q791" s="114" t="str">
        <f t="shared" si="137"/>
        <v/>
      </c>
      <c r="R791" s="115" t="str">
        <f t="shared" si="138"/>
        <v/>
      </c>
      <c r="S791" s="115" t="str">
        <f t="shared" si="139"/>
        <v/>
      </c>
      <c r="T791" s="116" t="str">
        <f t="shared" si="140"/>
        <v/>
      </c>
      <c r="U791" s="120"/>
      <c r="V791" s="118"/>
    </row>
    <row r="792" spans="1:22" ht="13.2">
      <c r="A792" s="102"/>
      <c r="B792" s="102"/>
      <c r="C792" s="104"/>
      <c r="D792" s="105"/>
      <c r="E792" s="106"/>
      <c r="F792" s="107"/>
      <c r="G792" s="108"/>
      <c r="H792" s="109"/>
      <c r="I792" s="110"/>
      <c r="J792" s="110"/>
      <c r="K792" s="119"/>
      <c r="L792" s="111" t="str">
        <f t="shared" si="141"/>
        <v/>
      </c>
      <c r="M792" s="112" t="str">
        <f t="shared" si="142"/>
        <v/>
      </c>
      <c r="N792" s="112" t="str">
        <f t="shared" si="143"/>
        <v/>
      </c>
      <c r="O792" s="112" t="str">
        <f t="shared" si="135"/>
        <v xml:space="preserve"> </v>
      </c>
      <c r="P792" s="113" t="str">
        <f t="shared" si="136"/>
        <v/>
      </c>
      <c r="Q792" s="114" t="str">
        <f t="shared" si="137"/>
        <v/>
      </c>
      <c r="R792" s="115" t="str">
        <f t="shared" si="138"/>
        <v/>
      </c>
      <c r="S792" s="115" t="str">
        <f t="shared" si="139"/>
        <v/>
      </c>
      <c r="T792" s="116" t="str">
        <f t="shared" si="140"/>
        <v/>
      </c>
      <c r="U792" s="120"/>
      <c r="V792" s="118"/>
    </row>
    <row r="793" spans="1:22" ht="13.2">
      <c r="A793" s="102"/>
      <c r="B793" s="102"/>
      <c r="C793" s="104"/>
      <c r="D793" s="105"/>
      <c r="E793" s="106"/>
      <c r="F793" s="107"/>
      <c r="G793" s="108"/>
      <c r="H793" s="109"/>
      <c r="I793" s="110"/>
      <c r="J793" s="110"/>
      <c r="K793" s="119"/>
      <c r="L793" s="111" t="str">
        <f t="shared" si="141"/>
        <v/>
      </c>
      <c r="M793" s="112" t="str">
        <f t="shared" si="142"/>
        <v/>
      </c>
      <c r="N793" s="112" t="str">
        <f t="shared" si="143"/>
        <v/>
      </c>
      <c r="O793" s="112" t="str">
        <f t="shared" si="135"/>
        <v xml:space="preserve"> </v>
      </c>
      <c r="P793" s="113" t="str">
        <f t="shared" si="136"/>
        <v/>
      </c>
      <c r="Q793" s="114" t="str">
        <f t="shared" si="137"/>
        <v/>
      </c>
      <c r="R793" s="115" t="str">
        <f t="shared" si="138"/>
        <v/>
      </c>
      <c r="S793" s="115" t="str">
        <f t="shared" si="139"/>
        <v/>
      </c>
      <c r="T793" s="116" t="str">
        <f t="shared" si="140"/>
        <v/>
      </c>
      <c r="U793" s="120"/>
      <c r="V793" s="118"/>
    </row>
    <row r="794" spans="1:22" ht="13.2">
      <c r="A794" s="102"/>
      <c r="B794" s="103"/>
      <c r="C794" s="104"/>
      <c r="D794" s="105"/>
      <c r="E794" s="106"/>
      <c r="F794" s="107"/>
      <c r="G794" s="108"/>
      <c r="H794" s="121"/>
      <c r="I794" s="122"/>
      <c r="J794" s="122"/>
      <c r="K794" s="123"/>
      <c r="L794" s="111" t="str">
        <f t="shared" si="141"/>
        <v/>
      </c>
      <c r="M794" s="112" t="str">
        <f t="shared" si="142"/>
        <v/>
      </c>
      <c r="N794" s="112" t="str">
        <f t="shared" si="143"/>
        <v/>
      </c>
      <c r="O794" s="112" t="str">
        <f t="shared" si="135"/>
        <v xml:space="preserve"> </v>
      </c>
      <c r="P794" s="113" t="str">
        <f t="shared" si="136"/>
        <v/>
      </c>
      <c r="Q794" s="114" t="str">
        <f t="shared" si="137"/>
        <v/>
      </c>
      <c r="R794" s="115" t="str">
        <f t="shared" si="138"/>
        <v/>
      </c>
      <c r="S794" s="115" t="str">
        <f t="shared" si="139"/>
        <v/>
      </c>
      <c r="T794" s="116" t="str">
        <f t="shared" si="140"/>
        <v/>
      </c>
      <c r="U794" s="120"/>
      <c r="V794" s="118"/>
    </row>
    <row r="795" spans="1:22" ht="13.2">
      <c r="A795" s="102"/>
      <c r="B795" s="103"/>
      <c r="C795" s="104"/>
      <c r="D795" s="105"/>
      <c r="E795" s="106"/>
      <c r="F795" s="107"/>
      <c r="G795" s="108"/>
      <c r="H795" s="121"/>
      <c r="I795" s="122"/>
      <c r="J795" s="122"/>
      <c r="K795" s="123"/>
      <c r="L795" s="111" t="str">
        <f t="shared" si="141"/>
        <v/>
      </c>
      <c r="M795" s="112" t="str">
        <f t="shared" si="142"/>
        <v/>
      </c>
      <c r="N795" s="112" t="str">
        <f t="shared" si="143"/>
        <v/>
      </c>
      <c r="O795" s="112" t="str">
        <f t="shared" si="135"/>
        <v xml:space="preserve"> </v>
      </c>
      <c r="P795" s="113" t="str">
        <f t="shared" si="136"/>
        <v/>
      </c>
      <c r="Q795" s="114" t="str">
        <f t="shared" si="137"/>
        <v/>
      </c>
      <c r="R795" s="115" t="str">
        <f t="shared" si="138"/>
        <v/>
      </c>
      <c r="S795" s="115" t="str">
        <f t="shared" si="139"/>
        <v/>
      </c>
      <c r="T795" s="116" t="str">
        <f t="shared" si="140"/>
        <v/>
      </c>
      <c r="U795" s="120"/>
      <c r="V795" s="118"/>
    </row>
    <row r="796" spans="1:22" ht="13.2">
      <c r="A796" s="102"/>
      <c r="B796" s="103"/>
      <c r="C796" s="104"/>
      <c r="D796" s="105"/>
      <c r="E796" s="106"/>
      <c r="F796" s="107"/>
      <c r="G796" s="108"/>
      <c r="H796" s="121"/>
      <c r="I796" s="122"/>
      <c r="J796" s="122"/>
      <c r="K796" s="123"/>
      <c r="L796" s="111" t="str">
        <f t="shared" si="141"/>
        <v/>
      </c>
      <c r="M796" s="112" t="str">
        <f t="shared" si="142"/>
        <v/>
      </c>
      <c r="N796" s="112" t="str">
        <f t="shared" si="143"/>
        <v/>
      </c>
      <c r="O796" s="112" t="str">
        <f t="shared" si="135"/>
        <v xml:space="preserve"> </v>
      </c>
      <c r="P796" s="113" t="str">
        <f t="shared" si="136"/>
        <v/>
      </c>
      <c r="Q796" s="114" t="str">
        <f t="shared" si="137"/>
        <v/>
      </c>
      <c r="R796" s="115" t="str">
        <f t="shared" si="138"/>
        <v/>
      </c>
      <c r="S796" s="115" t="str">
        <f t="shared" si="139"/>
        <v/>
      </c>
      <c r="T796" s="116" t="str">
        <f t="shared" si="140"/>
        <v/>
      </c>
      <c r="U796" s="120"/>
      <c r="V796" s="118"/>
    </row>
    <row r="797" spans="1:22" ht="13.2">
      <c r="A797" s="102"/>
      <c r="B797" s="102"/>
      <c r="C797" s="103"/>
      <c r="D797" s="105"/>
      <c r="E797" s="106"/>
      <c r="F797" s="107"/>
      <c r="G797" s="108"/>
      <c r="H797" s="109"/>
      <c r="I797" s="110"/>
      <c r="J797" s="110"/>
      <c r="K797" s="119"/>
      <c r="L797" s="111" t="str">
        <f t="shared" si="141"/>
        <v/>
      </c>
      <c r="M797" s="112" t="str">
        <f t="shared" si="142"/>
        <v/>
      </c>
      <c r="N797" s="112" t="str">
        <f t="shared" si="143"/>
        <v/>
      </c>
      <c r="O797" s="112" t="str">
        <f t="shared" si="135"/>
        <v xml:space="preserve"> </v>
      </c>
      <c r="P797" s="113" t="str">
        <f t="shared" si="136"/>
        <v/>
      </c>
      <c r="Q797" s="114" t="str">
        <f t="shared" si="137"/>
        <v/>
      </c>
      <c r="R797" s="115" t="str">
        <f t="shared" si="138"/>
        <v/>
      </c>
      <c r="S797" s="115" t="str">
        <f t="shared" si="139"/>
        <v/>
      </c>
      <c r="T797" s="116" t="str">
        <f t="shared" si="140"/>
        <v/>
      </c>
      <c r="U797" s="120"/>
      <c r="V797" s="118"/>
    </row>
    <row r="798" spans="1:22" ht="13.2">
      <c r="A798" s="102"/>
      <c r="B798" s="102"/>
      <c r="C798" s="103"/>
      <c r="D798" s="105"/>
      <c r="E798" s="106"/>
      <c r="F798" s="107"/>
      <c r="G798" s="108"/>
      <c r="H798" s="109"/>
      <c r="I798" s="110"/>
      <c r="J798" s="110"/>
      <c r="K798" s="119"/>
      <c r="L798" s="111" t="str">
        <f t="shared" si="141"/>
        <v/>
      </c>
      <c r="M798" s="112" t="str">
        <f t="shared" si="142"/>
        <v/>
      </c>
      <c r="N798" s="112" t="str">
        <f t="shared" si="143"/>
        <v/>
      </c>
      <c r="O798" s="112" t="str">
        <f t="shared" si="135"/>
        <v xml:space="preserve"> </v>
      </c>
      <c r="P798" s="113" t="str">
        <f t="shared" si="136"/>
        <v/>
      </c>
      <c r="Q798" s="114" t="str">
        <f t="shared" si="137"/>
        <v/>
      </c>
      <c r="R798" s="115" t="str">
        <f t="shared" si="138"/>
        <v/>
      </c>
      <c r="S798" s="115" t="str">
        <f t="shared" si="139"/>
        <v/>
      </c>
      <c r="T798" s="116" t="str">
        <f t="shared" si="140"/>
        <v/>
      </c>
      <c r="U798" s="120"/>
      <c r="V798" s="118"/>
    </row>
    <row r="799" spans="1:22" ht="13.2">
      <c r="A799" s="102"/>
      <c r="B799" s="102"/>
      <c r="C799" s="104"/>
      <c r="D799" s="105"/>
      <c r="E799" s="106"/>
      <c r="F799" s="107"/>
      <c r="G799" s="108"/>
      <c r="H799" s="109"/>
      <c r="I799" s="110"/>
      <c r="J799" s="110"/>
      <c r="K799" s="119"/>
      <c r="L799" s="111" t="str">
        <f t="shared" si="141"/>
        <v/>
      </c>
      <c r="M799" s="112" t="str">
        <f t="shared" si="142"/>
        <v/>
      </c>
      <c r="N799" s="112" t="str">
        <f t="shared" si="143"/>
        <v/>
      </c>
      <c r="O799" s="112" t="str">
        <f t="shared" si="135"/>
        <v xml:space="preserve"> </v>
      </c>
      <c r="P799" s="113" t="str">
        <f t="shared" si="136"/>
        <v/>
      </c>
      <c r="Q799" s="114" t="str">
        <f t="shared" si="137"/>
        <v/>
      </c>
      <c r="R799" s="115" t="str">
        <f t="shared" si="138"/>
        <v/>
      </c>
      <c r="S799" s="115" t="str">
        <f t="shared" si="139"/>
        <v/>
      </c>
      <c r="T799" s="116" t="str">
        <f t="shared" si="140"/>
        <v/>
      </c>
      <c r="U799" s="120"/>
      <c r="V799" s="118"/>
    </row>
    <row r="800" spans="1:22" ht="13.2">
      <c r="A800" s="102"/>
      <c r="B800" s="102"/>
      <c r="C800" s="104"/>
      <c r="D800" s="105"/>
      <c r="E800" s="106"/>
      <c r="F800" s="107"/>
      <c r="G800" s="108"/>
      <c r="H800" s="109"/>
      <c r="I800" s="110"/>
      <c r="J800" s="110"/>
      <c r="K800" s="119"/>
      <c r="L800" s="111" t="str">
        <f t="shared" si="141"/>
        <v/>
      </c>
      <c r="M800" s="112" t="str">
        <f t="shared" si="142"/>
        <v/>
      </c>
      <c r="N800" s="112" t="str">
        <f t="shared" si="143"/>
        <v/>
      </c>
      <c r="O800" s="112" t="str">
        <f t="shared" si="135"/>
        <v xml:space="preserve"> </v>
      </c>
      <c r="P800" s="113" t="str">
        <f t="shared" si="136"/>
        <v/>
      </c>
      <c r="Q800" s="114" t="str">
        <f t="shared" si="137"/>
        <v/>
      </c>
      <c r="R800" s="115" t="str">
        <f t="shared" si="138"/>
        <v/>
      </c>
      <c r="S800" s="115" t="str">
        <f t="shared" si="139"/>
        <v/>
      </c>
      <c r="T800" s="116" t="str">
        <f t="shared" si="140"/>
        <v/>
      </c>
      <c r="U800" s="120"/>
      <c r="V800" s="118"/>
    </row>
    <row r="801" spans="1:22" ht="13.2">
      <c r="A801" s="102"/>
      <c r="B801" s="102"/>
      <c r="C801" s="104"/>
      <c r="D801" s="105"/>
      <c r="E801" s="106"/>
      <c r="F801" s="107"/>
      <c r="G801" s="108"/>
      <c r="H801" s="109"/>
      <c r="I801" s="110"/>
      <c r="J801" s="110"/>
      <c r="K801" s="119"/>
      <c r="L801" s="111" t="str">
        <f t="shared" si="141"/>
        <v/>
      </c>
      <c r="M801" s="112" t="str">
        <f t="shared" si="142"/>
        <v/>
      </c>
      <c r="N801" s="112" t="str">
        <f t="shared" si="143"/>
        <v/>
      </c>
      <c r="O801" s="112" t="str">
        <f t="shared" si="135"/>
        <v xml:space="preserve"> </v>
      </c>
      <c r="P801" s="113" t="str">
        <f t="shared" si="136"/>
        <v/>
      </c>
      <c r="Q801" s="114" t="str">
        <f t="shared" si="137"/>
        <v/>
      </c>
      <c r="R801" s="115" t="str">
        <f t="shared" si="138"/>
        <v/>
      </c>
      <c r="S801" s="115" t="str">
        <f t="shared" si="139"/>
        <v/>
      </c>
      <c r="T801" s="116" t="str">
        <f t="shared" si="140"/>
        <v/>
      </c>
      <c r="U801" s="120"/>
      <c r="V801" s="118"/>
    </row>
    <row r="802" spans="1:22" ht="13.2">
      <c r="A802" s="102"/>
      <c r="B802" s="102"/>
      <c r="C802" s="104"/>
      <c r="D802" s="105"/>
      <c r="E802" s="106"/>
      <c r="F802" s="107"/>
      <c r="G802" s="108"/>
      <c r="H802" s="109"/>
      <c r="I802" s="110"/>
      <c r="J802" s="110"/>
      <c r="K802" s="119"/>
      <c r="L802" s="111" t="str">
        <f t="shared" si="141"/>
        <v/>
      </c>
      <c r="M802" s="112" t="str">
        <f t="shared" si="142"/>
        <v/>
      </c>
      <c r="N802" s="112" t="str">
        <f t="shared" si="143"/>
        <v/>
      </c>
      <c r="O802" s="112" t="str">
        <f t="shared" si="135"/>
        <v xml:space="preserve"> </v>
      </c>
      <c r="P802" s="113" t="str">
        <f t="shared" si="136"/>
        <v/>
      </c>
      <c r="Q802" s="114" t="str">
        <f t="shared" si="137"/>
        <v/>
      </c>
      <c r="R802" s="115" t="str">
        <f t="shared" si="138"/>
        <v/>
      </c>
      <c r="S802" s="115" t="str">
        <f t="shared" si="139"/>
        <v/>
      </c>
      <c r="T802" s="116" t="str">
        <f t="shared" si="140"/>
        <v/>
      </c>
      <c r="U802" s="120"/>
      <c r="V802" s="118"/>
    </row>
    <row r="803" spans="1:22" ht="13.2">
      <c r="A803" s="102"/>
      <c r="B803" s="102"/>
      <c r="C803" s="104"/>
      <c r="D803" s="105"/>
      <c r="E803" s="106"/>
      <c r="F803" s="107"/>
      <c r="G803" s="108"/>
      <c r="H803" s="109"/>
      <c r="I803" s="110"/>
      <c r="J803" s="110"/>
      <c r="K803" s="119"/>
      <c r="L803" s="111" t="str">
        <f t="shared" si="141"/>
        <v/>
      </c>
      <c r="M803" s="112" t="str">
        <f t="shared" si="142"/>
        <v/>
      </c>
      <c r="N803" s="112" t="str">
        <f t="shared" si="143"/>
        <v/>
      </c>
      <c r="O803" s="112" t="str">
        <f t="shared" si="135"/>
        <v xml:space="preserve"> </v>
      </c>
      <c r="P803" s="113" t="str">
        <f t="shared" si="136"/>
        <v/>
      </c>
      <c r="Q803" s="114" t="str">
        <f t="shared" si="137"/>
        <v/>
      </c>
      <c r="R803" s="115" t="str">
        <f t="shared" si="138"/>
        <v/>
      </c>
      <c r="S803" s="115" t="str">
        <f t="shared" si="139"/>
        <v/>
      </c>
      <c r="T803" s="116" t="str">
        <f t="shared" si="140"/>
        <v/>
      </c>
      <c r="U803" s="120"/>
      <c r="V803" s="118"/>
    </row>
    <row r="804" spans="1:22" ht="13.2">
      <c r="A804" s="102"/>
      <c r="B804" s="102"/>
      <c r="C804" s="104"/>
      <c r="D804" s="105"/>
      <c r="E804" s="106"/>
      <c r="F804" s="107"/>
      <c r="G804" s="108"/>
      <c r="H804" s="109"/>
      <c r="I804" s="110"/>
      <c r="J804" s="110"/>
      <c r="K804" s="110"/>
      <c r="L804" s="111" t="str">
        <f t="shared" si="141"/>
        <v/>
      </c>
      <c r="M804" s="112" t="str">
        <f t="shared" si="142"/>
        <v/>
      </c>
      <c r="N804" s="112" t="str">
        <f t="shared" si="143"/>
        <v/>
      </c>
      <c r="O804" s="112" t="str">
        <f t="shared" si="135"/>
        <v xml:space="preserve"> </v>
      </c>
      <c r="P804" s="113" t="str">
        <f t="shared" si="136"/>
        <v/>
      </c>
      <c r="Q804" s="114" t="str">
        <f t="shared" si="137"/>
        <v/>
      </c>
      <c r="R804" s="115" t="str">
        <f t="shared" si="138"/>
        <v/>
      </c>
      <c r="S804" s="115" t="str">
        <f t="shared" si="139"/>
        <v/>
      </c>
      <c r="T804" s="116" t="str">
        <f t="shared" si="140"/>
        <v/>
      </c>
      <c r="U804" s="120"/>
      <c r="V804" s="118"/>
    </row>
    <row r="805" spans="1:22" ht="13.2">
      <c r="A805" s="102"/>
      <c r="B805" s="102"/>
      <c r="C805" s="104"/>
      <c r="D805" s="105"/>
      <c r="E805" s="106"/>
      <c r="F805" s="107"/>
      <c r="G805" s="108"/>
      <c r="H805" s="109"/>
      <c r="I805" s="110"/>
      <c r="J805" s="110"/>
      <c r="K805" s="119"/>
      <c r="L805" s="111" t="str">
        <f t="shared" si="141"/>
        <v/>
      </c>
      <c r="M805" s="112" t="str">
        <f t="shared" si="142"/>
        <v/>
      </c>
      <c r="N805" s="112" t="str">
        <f t="shared" si="143"/>
        <v/>
      </c>
      <c r="O805" s="112" t="str">
        <f t="shared" si="135"/>
        <v xml:space="preserve"> </v>
      </c>
      <c r="P805" s="113" t="str">
        <f t="shared" si="136"/>
        <v/>
      </c>
      <c r="Q805" s="114" t="str">
        <f t="shared" si="137"/>
        <v/>
      </c>
      <c r="R805" s="115" t="str">
        <f t="shared" si="138"/>
        <v/>
      </c>
      <c r="S805" s="115" t="str">
        <f t="shared" si="139"/>
        <v/>
      </c>
      <c r="T805" s="116" t="str">
        <f t="shared" si="140"/>
        <v/>
      </c>
      <c r="U805" s="120"/>
      <c r="V805" s="118"/>
    </row>
    <row r="806" spans="1:22" ht="13.2">
      <c r="A806" s="102"/>
      <c r="B806" s="102"/>
      <c r="C806" s="104"/>
      <c r="D806" s="105"/>
      <c r="E806" s="106"/>
      <c r="F806" s="107"/>
      <c r="G806" s="108"/>
      <c r="H806" s="109"/>
      <c r="I806" s="110"/>
      <c r="J806" s="110"/>
      <c r="K806" s="119"/>
      <c r="L806" s="111" t="str">
        <f t="shared" si="141"/>
        <v/>
      </c>
      <c r="M806" s="112" t="str">
        <f t="shared" si="142"/>
        <v/>
      </c>
      <c r="N806" s="112" t="str">
        <f t="shared" si="143"/>
        <v/>
      </c>
      <c r="O806" s="112" t="str">
        <f t="shared" si="135"/>
        <v xml:space="preserve"> </v>
      </c>
      <c r="P806" s="113" t="str">
        <f t="shared" si="136"/>
        <v/>
      </c>
      <c r="Q806" s="114" t="str">
        <f t="shared" si="137"/>
        <v/>
      </c>
      <c r="R806" s="115" t="str">
        <f t="shared" si="138"/>
        <v/>
      </c>
      <c r="S806" s="115" t="str">
        <f t="shared" si="139"/>
        <v/>
      </c>
      <c r="T806" s="116" t="str">
        <f t="shared" si="140"/>
        <v/>
      </c>
      <c r="U806" s="120"/>
      <c r="V806" s="118"/>
    </row>
    <row r="807" spans="1:22" ht="13.2">
      <c r="A807" s="102"/>
      <c r="B807" s="102"/>
      <c r="C807" s="104"/>
      <c r="D807" s="105"/>
      <c r="E807" s="106"/>
      <c r="F807" s="107"/>
      <c r="G807" s="108"/>
      <c r="H807" s="109"/>
      <c r="I807" s="110"/>
      <c r="J807" s="110"/>
      <c r="K807" s="119"/>
      <c r="L807" s="111" t="str">
        <f t="shared" si="141"/>
        <v/>
      </c>
      <c r="M807" s="112" t="str">
        <f t="shared" si="142"/>
        <v/>
      </c>
      <c r="N807" s="112" t="str">
        <f t="shared" si="143"/>
        <v/>
      </c>
      <c r="O807" s="112" t="str">
        <f t="shared" si="135"/>
        <v xml:space="preserve"> </v>
      </c>
      <c r="P807" s="113" t="str">
        <f t="shared" si="136"/>
        <v/>
      </c>
      <c r="Q807" s="114" t="str">
        <f t="shared" si="137"/>
        <v/>
      </c>
      <c r="R807" s="115" t="str">
        <f t="shared" si="138"/>
        <v/>
      </c>
      <c r="S807" s="115" t="str">
        <f t="shared" si="139"/>
        <v/>
      </c>
      <c r="T807" s="116" t="str">
        <f t="shared" si="140"/>
        <v/>
      </c>
      <c r="U807" s="120"/>
      <c r="V807" s="118"/>
    </row>
    <row r="808" spans="1:22" ht="13.2">
      <c r="A808" s="102"/>
      <c r="B808" s="102"/>
      <c r="C808" s="104"/>
      <c r="D808" s="105"/>
      <c r="E808" s="106"/>
      <c r="F808" s="107"/>
      <c r="G808" s="108"/>
      <c r="H808" s="109"/>
      <c r="I808" s="110"/>
      <c r="J808" s="110"/>
      <c r="K808" s="119"/>
      <c r="L808" s="111" t="str">
        <f t="shared" si="141"/>
        <v/>
      </c>
      <c r="M808" s="112" t="str">
        <f t="shared" si="142"/>
        <v/>
      </c>
      <c r="N808" s="112" t="str">
        <f t="shared" si="143"/>
        <v/>
      </c>
      <c r="O808" s="112" t="str">
        <f t="shared" si="135"/>
        <v xml:space="preserve"> </v>
      </c>
      <c r="P808" s="113" t="str">
        <f t="shared" si="136"/>
        <v/>
      </c>
      <c r="Q808" s="114" t="str">
        <f t="shared" si="137"/>
        <v/>
      </c>
      <c r="R808" s="115" t="str">
        <f t="shared" si="138"/>
        <v/>
      </c>
      <c r="S808" s="115" t="str">
        <f t="shared" si="139"/>
        <v/>
      </c>
      <c r="T808" s="116" t="str">
        <f t="shared" si="140"/>
        <v/>
      </c>
      <c r="U808" s="120"/>
      <c r="V808" s="118"/>
    </row>
    <row r="809" spans="1:22" ht="13.2">
      <c r="A809" s="102"/>
      <c r="B809" s="103"/>
      <c r="C809" s="104"/>
      <c r="D809" s="105"/>
      <c r="E809" s="106"/>
      <c r="F809" s="107"/>
      <c r="G809" s="108"/>
      <c r="H809" s="121"/>
      <c r="I809" s="122"/>
      <c r="J809" s="122"/>
      <c r="K809" s="123"/>
      <c r="L809" s="111" t="str">
        <f t="shared" si="141"/>
        <v/>
      </c>
      <c r="M809" s="112" t="str">
        <f t="shared" si="142"/>
        <v/>
      </c>
      <c r="N809" s="112" t="str">
        <f t="shared" si="143"/>
        <v/>
      </c>
      <c r="O809" s="112" t="str">
        <f t="shared" si="135"/>
        <v xml:space="preserve"> </v>
      </c>
      <c r="P809" s="113" t="str">
        <f t="shared" si="136"/>
        <v/>
      </c>
      <c r="Q809" s="114" t="str">
        <f t="shared" si="137"/>
        <v/>
      </c>
      <c r="R809" s="115" t="str">
        <f t="shared" si="138"/>
        <v/>
      </c>
      <c r="S809" s="115" t="str">
        <f t="shared" si="139"/>
        <v/>
      </c>
      <c r="T809" s="116" t="str">
        <f t="shared" si="140"/>
        <v/>
      </c>
      <c r="U809" s="120"/>
      <c r="V809" s="118"/>
    </row>
    <row r="810" spans="1:22" ht="13.2">
      <c r="A810" s="102"/>
      <c r="B810" s="103"/>
      <c r="C810" s="104"/>
      <c r="D810" s="105"/>
      <c r="E810" s="106"/>
      <c r="F810" s="107"/>
      <c r="G810" s="108"/>
      <c r="H810" s="121"/>
      <c r="I810" s="122"/>
      <c r="J810" s="122"/>
      <c r="K810" s="123"/>
      <c r="L810" s="111" t="str">
        <f t="shared" si="141"/>
        <v/>
      </c>
      <c r="M810" s="112" t="str">
        <f t="shared" si="142"/>
        <v/>
      </c>
      <c r="N810" s="112" t="str">
        <f t="shared" si="143"/>
        <v/>
      </c>
      <c r="O810" s="112" t="str">
        <f t="shared" si="135"/>
        <v xml:space="preserve"> </v>
      </c>
      <c r="P810" s="113" t="str">
        <f t="shared" si="136"/>
        <v/>
      </c>
      <c r="Q810" s="114" t="str">
        <f t="shared" si="137"/>
        <v/>
      </c>
      <c r="R810" s="115" t="str">
        <f t="shared" si="138"/>
        <v/>
      </c>
      <c r="S810" s="115" t="str">
        <f t="shared" si="139"/>
        <v/>
      </c>
      <c r="T810" s="116" t="str">
        <f t="shared" si="140"/>
        <v/>
      </c>
      <c r="U810" s="120"/>
      <c r="V810" s="118"/>
    </row>
    <row r="811" spans="1:22" ht="13.2">
      <c r="A811" s="102"/>
      <c r="B811" s="103"/>
      <c r="C811" s="104"/>
      <c r="D811" s="105"/>
      <c r="E811" s="106"/>
      <c r="F811" s="107"/>
      <c r="G811" s="108"/>
      <c r="H811" s="121"/>
      <c r="I811" s="122"/>
      <c r="J811" s="122"/>
      <c r="K811" s="123"/>
      <c r="L811" s="111" t="str">
        <f t="shared" si="141"/>
        <v/>
      </c>
      <c r="M811" s="112" t="str">
        <f t="shared" si="142"/>
        <v/>
      </c>
      <c r="N811" s="112" t="str">
        <f t="shared" si="143"/>
        <v/>
      </c>
      <c r="O811" s="112" t="str">
        <f t="shared" si="135"/>
        <v xml:space="preserve"> </v>
      </c>
      <c r="P811" s="113" t="str">
        <f t="shared" si="136"/>
        <v/>
      </c>
      <c r="Q811" s="114" t="str">
        <f t="shared" si="137"/>
        <v/>
      </c>
      <c r="R811" s="115" t="str">
        <f t="shared" si="138"/>
        <v/>
      </c>
      <c r="S811" s="115" t="str">
        <f t="shared" si="139"/>
        <v/>
      </c>
      <c r="T811" s="116" t="str">
        <f t="shared" si="140"/>
        <v/>
      </c>
      <c r="U811" s="120"/>
      <c r="V811" s="118"/>
    </row>
    <row r="812" spans="1:22" ht="13.2">
      <c r="A812" s="102"/>
      <c r="B812" s="102"/>
      <c r="C812" s="103"/>
      <c r="D812" s="105"/>
      <c r="E812" s="106"/>
      <c r="F812" s="107"/>
      <c r="G812" s="108"/>
      <c r="H812" s="109"/>
      <c r="I812" s="110"/>
      <c r="J812" s="110"/>
      <c r="K812" s="119"/>
      <c r="L812" s="111" t="str">
        <f t="shared" si="141"/>
        <v/>
      </c>
      <c r="M812" s="112" t="str">
        <f t="shared" si="142"/>
        <v/>
      </c>
      <c r="N812" s="112" t="str">
        <f t="shared" si="143"/>
        <v/>
      </c>
      <c r="O812" s="112" t="str">
        <f t="shared" si="135"/>
        <v xml:space="preserve"> </v>
      </c>
      <c r="P812" s="113" t="str">
        <f t="shared" si="136"/>
        <v/>
      </c>
      <c r="Q812" s="114" t="str">
        <f t="shared" si="137"/>
        <v/>
      </c>
      <c r="R812" s="115" t="str">
        <f t="shared" si="138"/>
        <v/>
      </c>
      <c r="S812" s="115" t="str">
        <f t="shared" si="139"/>
        <v/>
      </c>
      <c r="T812" s="116" t="str">
        <f t="shared" si="140"/>
        <v/>
      </c>
      <c r="U812" s="120"/>
      <c r="V812" s="118"/>
    </row>
    <row r="813" spans="1:22" ht="13.2">
      <c r="A813" s="102"/>
      <c r="B813" s="102"/>
      <c r="C813" s="103"/>
      <c r="D813" s="105"/>
      <c r="E813" s="106"/>
      <c r="F813" s="107"/>
      <c r="G813" s="108"/>
      <c r="H813" s="109"/>
      <c r="I813" s="110"/>
      <c r="J813" s="110"/>
      <c r="K813" s="119"/>
      <c r="L813" s="111" t="str">
        <f t="shared" si="141"/>
        <v/>
      </c>
      <c r="M813" s="112" t="str">
        <f t="shared" si="142"/>
        <v/>
      </c>
      <c r="N813" s="112" t="str">
        <f t="shared" si="143"/>
        <v/>
      </c>
      <c r="O813" s="112" t="str">
        <f t="shared" si="135"/>
        <v xml:space="preserve"> </v>
      </c>
      <c r="P813" s="113" t="str">
        <f t="shared" si="136"/>
        <v/>
      </c>
      <c r="Q813" s="114" t="str">
        <f t="shared" si="137"/>
        <v/>
      </c>
      <c r="R813" s="115" t="str">
        <f t="shared" si="138"/>
        <v/>
      </c>
      <c r="S813" s="115" t="str">
        <f t="shared" si="139"/>
        <v/>
      </c>
      <c r="T813" s="116" t="str">
        <f t="shared" si="140"/>
        <v/>
      </c>
      <c r="U813" s="120"/>
      <c r="V813" s="118"/>
    </row>
    <row r="814" spans="1:22" ht="13.2">
      <c r="A814" s="102"/>
      <c r="B814" s="102"/>
      <c r="C814" s="104"/>
      <c r="D814" s="105"/>
      <c r="E814" s="106"/>
      <c r="F814" s="107"/>
      <c r="G814" s="108"/>
      <c r="H814" s="109"/>
      <c r="I814" s="110"/>
      <c r="J814" s="110"/>
      <c r="K814" s="119"/>
      <c r="L814" s="111" t="str">
        <f t="shared" si="141"/>
        <v/>
      </c>
      <c r="M814" s="112" t="str">
        <f t="shared" si="142"/>
        <v/>
      </c>
      <c r="N814" s="112" t="str">
        <f t="shared" si="143"/>
        <v/>
      </c>
      <c r="O814" s="112" t="str">
        <f t="shared" si="135"/>
        <v xml:space="preserve"> </v>
      </c>
      <c r="P814" s="113" t="str">
        <f t="shared" si="136"/>
        <v/>
      </c>
      <c r="Q814" s="114" t="str">
        <f t="shared" si="137"/>
        <v/>
      </c>
      <c r="R814" s="115" t="str">
        <f t="shared" si="138"/>
        <v/>
      </c>
      <c r="S814" s="115" t="str">
        <f t="shared" si="139"/>
        <v/>
      </c>
      <c r="T814" s="116" t="str">
        <f t="shared" si="140"/>
        <v/>
      </c>
      <c r="U814" s="120"/>
      <c r="V814" s="118"/>
    </row>
    <row r="815" spans="1:22" ht="13.2">
      <c r="A815" s="102"/>
      <c r="B815" s="102"/>
      <c r="C815" s="104"/>
      <c r="D815" s="105"/>
      <c r="E815" s="106"/>
      <c r="F815" s="107"/>
      <c r="G815" s="108"/>
      <c r="H815" s="109"/>
      <c r="I815" s="110"/>
      <c r="J815" s="110"/>
      <c r="K815" s="119"/>
      <c r="L815" s="111" t="str">
        <f t="shared" si="141"/>
        <v/>
      </c>
      <c r="M815" s="112" t="str">
        <f t="shared" si="142"/>
        <v/>
      </c>
      <c r="N815" s="112" t="str">
        <f t="shared" si="143"/>
        <v/>
      </c>
      <c r="O815" s="112" t="str">
        <f t="shared" si="135"/>
        <v xml:space="preserve"> </v>
      </c>
      <c r="P815" s="113" t="str">
        <f t="shared" si="136"/>
        <v/>
      </c>
      <c r="Q815" s="114" t="str">
        <f t="shared" si="137"/>
        <v/>
      </c>
      <c r="R815" s="115" t="str">
        <f t="shared" si="138"/>
        <v/>
      </c>
      <c r="S815" s="115" t="str">
        <f t="shared" si="139"/>
        <v/>
      </c>
      <c r="T815" s="116" t="str">
        <f t="shared" si="140"/>
        <v/>
      </c>
      <c r="U815" s="120"/>
      <c r="V815" s="118"/>
    </row>
    <row r="816" spans="1:22" ht="13.2">
      <c r="A816" s="102"/>
      <c r="B816" s="102"/>
      <c r="C816" s="104"/>
      <c r="D816" s="105"/>
      <c r="E816" s="106"/>
      <c r="F816" s="107"/>
      <c r="G816" s="108"/>
      <c r="H816" s="109"/>
      <c r="I816" s="110"/>
      <c r="J816" s="110"/>
      <c r="K816" s="119"/>
      <c r="L816" s="111" t="str">
        <f t="shared" si="141"/>
        <v/>
      </c>
      <c r="M816" s="112" t="str">
        <f t="shared" si="142"/>
        <v/>
      </c>
      <c r="N816" s="112" t="str">
        <f t="shared" si="143"/>
        <v/>
      </c>
      <c r="O816" s="112" t="str">
        <f t="shared" si="135"/>
        <v xml:space="preserve"> </v>
      </c>
      <c r="P816" s="113" t="str">
        <f t="shared" si="136"/>
        <v/>
      </c>
      <c r="Q816" s="114" t="str">
        <f t="shared" si="137"/>
        <v/>
      </c>
      <c r="R816" s="115" t="str">
        <f t="shared" si="138"/>
        <v/>
      </c>
      <c r="S816" s="115" t="str">
        <f t="shared" si="139"/>
        <v/>
      </c>
      <c r="T816" s="116" t="str">
        <f t="shared" si="140"/>
        <v/>
      </c>
      <c r="U816" s="120"/>
      <c r="V816" s="118"/>
    </row>
    <row r="817" spans="1:22" ht="13.2">
      <c r="A817" s="102"/>
      <c r="B817" s="102"/>
      <c r="C817" s="104"/>
      <c r="D817" s="105"/>
      <c r="E817" s="106"/>
      <c r="F817" s="107"/>
      <c r="G817" s="108"/>
      <c r="H817" s="109"/>
      <c r="I817" s="110"/>
      <c r="J817" s="110"/>
      <c r="K817" s="119"/>
      <c r="L817" s="111" t="str">
        <f t="shared" si="141"/>
        <v/>
      </c>
      <c r="M817" s="112" t="str">
        <f t="shared" si="142"/>
        <v/>
      </c>
      <c r="N817" s="112" t="str">
        <f t="shared" si="143"/>
        <v/>
      </c>
      <c r="O817" s="112" t="str">
        <f t="shared" si="135"/>
        <v xml:space="preserve"> </v>
      </c>
      <c r="P817" s="113" t="str">
        <f t="shared" si="136"/>
        <v/>
      </c>
      <c r="Q817" s="114" t="str">
        <f t="shared" si="137"/>
        <v/>
      </c>
      <c r="R817" s="115" t="str">
        <f t="shared" si="138"/>
        <v/>
      </c>
      <c r="S817" s="115" t="str">
        <f t="shared" si="139"/>
        <v/>
      </c>
      <c r="T817" s="116" t="str">
        <f t="shared" si="140"/>
        <v/>
      </c>
      <c r="U817" s="120"/>
      <c r="V817" s="118"/>
    </row>
    <row r="818" spans="1:22" ht="13.2">
      <c r="A818" s="102"/>
      <c r="B818" s="102"/>
      <c r="C818" s="104"/>
      <c r="D818" s="105"/>
      <c r="E818" s="106"/>
      <c r="F818" s="107"/>
      <c r="G818" s="108"/>
      <c r="H818" s="109"/>
      <c r="I818" s="110"/>
      <c r="J818" s="110"/>
      <c r="K818" s="119"/>
      <c r="L818" s="111" t="str">
        <f t="shared" si="141"/>
        <v/>
      </c>
      <c r="M818" s="112" t="str">
        <f t="shared" si="142"/>
        <v/>
      </c>
      <c r="N818" s="112" t="str">
        <f t="shared" si="143"/>
        <v/>
      </c>
      <c r="O818" s="112" t="str">
        <f t="shared" si="135"/>
        <v xml:space="preserve"> </v>
      </c>
      <c r="P818" s="113" t="str">
        <f t="shared" si="136"/>
        <v/>
      </c>
      <c r="Q818" s="114" t="str">
        <f t="shared" si="137"/>
        <v/>
      </c>
      <c r="R818" s="115" t="str">
        <f t="shared" si="138"/>
        <v/>
      </c>
      <c r="S818" s="115" t="str">
        <f t="shared" si="139"/>
        <v/>
      </c>
      <c r="T818" s="116" t="str">
        <f t="shared" si="140"/>
        <v/>
      </c>
      <c r="U818" s="120"/>
      <c r="V818" s="118"/>
    </row>
    <row r="819" spans="1:22" ht="13.2">
      <c r="A819" s="102"/>
      <c r="B819" s="102"/>
      <c r="C819" s="104"/>
      <c r="D819" s="105"/>
      <c r="E819" s="106"/>
      <c r="F819" s="107"/>
      <c r="G819" s="108"/>
      <c r="H819" s="109"/>
      <c r="I819" s="110"/>
      <c r="J819" s="110"/>
      <c r="K819" s="110"/>
      <c r="L819" s="111" t="str">
        <f t="shared" si="141"/>
        <v/>
      </c>
      <c r="M819" s="112" t="str">
        <f t="shared" si="142"/>
        <v/>
      </c>
      <c r="N819" s="112" t="str">
        <f t="shared" si="143"/>
        <v/>
      </c>
      <c r="O819" s="112" t="str">
        <f t="shared" si="135"/>
        <v xml:space="preserve"> </v>
      </c>
      <c r="P819" s="113" t="str">
        <f t="shared" si="136"/>
        <v/>
      </c>
      <c r="Q819" s="114" t="str">
        <f t="shared" si="137"/>
        <v/>
      </c>
      <c r="R819" s="115" t="str">
        <f t="shared" si="138"/>
        <v/>
      </c>
      <c r="S819" s="115" t="str">
        <f t="shared" si="139"/>
        <v/>
      </c>
      <c r="T819" s="116" t="str">
        <f t="shared" si="140"/>
        <v/>
      </c>
      <c r="U819" s="120"/>
      <c r="V819" s="118"/>
    </row>
    <row r="820" spans="1:22" ht="13.2">
      <c r="A820" s="102"/>
      <c r="B820" s="102"/>
      <c r="C820" s="104"/>
      <c r="D820" s="105"/>
      <c r="E820" s="106"/>
      <c r="F820" s="107"/>
      <c r="G820" s="108"/>
      <c r="H820" s="109"/>
      <c r="I820" s="110"/>
      <c r="J820" s="110"/>
      <c r="K820" s="119"/>
      <c r="L820" s="111" t="str">
        <f t="shared" si="141"/>
        <v/>
      </c>
      <c r="M820" s="112" t="str">
        <f t="shared" si="142"/>
        <v/>
      </c>
      <c r="N820" s="112" t="str">
        <f t="shared" si="143"/>
        <v/>
      </c>
      <c r="O820" s="112" t="str">
        <f t="shared" si="135"/>
        <v xml:space="preserve"> </v>
      </c>
      <c r="P820" s="113" t="str">
        <f t="shared" si="136"/>
        <v/>
      </c>
      <c r="Q820" s="114" t="str">
        <f t="shared" si="137"/>
        <v/>
      </c>
      <c r="R820" s="115" t="str">
        <f t="shared" si="138"/>
        <v/>
      </c>
      <c r="S820" s="115" t="str">
        <f t="shared" si="139"/>
        <v/>
      </c>
      <c r="T820" s="116" t="str">
        <f t="shared" si="140"/>
        <v/>
      </c>
      <c r="U820" s="120"/>
      <c r="V820" s="118"/>
    </row>
    <row r="821" spans="1:22" ht="13.2">
      <c r="A821" s="102"/>
      <c r="B821" s="102"/>
      <c r="C821" s="104"/>
      <c r="D821" s="105"/>
      <c r="E821" s="106"/>
      <c r="F821" s="107"/>
      <c r="G821" s="108"/>
      <c r="H821" s="109"/>
      <c r="I821" s="110"/>
      <c r="J821" s="110"/>
      <c r="K821" s="119"/>
      <c r="L821" s="111" t="str">
        <f t="shared" si="141"/>
        <v/>
      </c>
      <c r="M821" s="112" t="str">
        <f t="shared" si="142"/>
        <v/>
      </c>
      <c r="N821" s="112" t="str">
        <f t="shared" si="143"/>
        <v/>
      </c>
      <c r="O821" s="112" t="str">
        <f t="shared" si="135"/>
        <v xml:space="preserve"> </v>
      </c>
      <c r="P821" s="113" t="str">
        <f t="shared" si="136"/>
        <v/>
      </c>
      <c r="Q821" s="114" t="str">
        <f t="shared" si="137"/>
        <v/>
      </c>
      <c r="R821" s="115" t="str">
        <f t="shared" si="138"/>
        <v/>
      </c>
      <c r="S821" s="115" t="str">
        <f t="shared" si="139"/>
        <v/>
      </c>
      <c r="T821" s="116" t="str">
        <f t="shared" si="140"/>
        <v/>
      </c>
      <c r="U821" s="120"/>
      <c r="V821" s="118"/>
    </row>
    <row r="822" spans="1:22" ht="13.2">
      <c r="A822" s="102"/>
      <c r="B822" s="102"/>
      <c r="C822" s="104"/>
      <c r="D822" s="105"/>
      <c r="E822" s="106"/>
      <c r="F822" s="107"/>
      <c r="G822" s="108"/>
      <c r="H822" s="109"/>
      <c r="I822" s="110"/>
      <c r="J822" s="110"/>
      <c r="K822" s="119"/>
      <c r="L822" s="111" t="str">
        <f t="shared" si="141"/>
        <v/>
      </c>
      <c r="M822" s="112" t="str">
        <f t="shared" si="142"/>
        <v/>
      </c>
      <c r="N822" s="112" t="str">
        <f t="shared" si="143"/>
        <v/>
      </c>
      <c r="O822" s="112" t="str">
        <f t="shared" si="135"/>
        <v xml:space="preserve"> </v>
      </c>
      <c r="P822" s="113" t="str">
        <f t="shared" si="136"/>
        <v/>
      </c>
      <c r="Q822" s="114" t="str">
        <f t="shared" si="137"/>
        <v/>
      </c>
      <c r="R822" s="115" t="str">
        <f t="shared" si="138"/>
        <v/>
      </c>
      <c r="S822" s="115" t="str">
        <f t="shared" si="139"/>
        <v/>
      </c>
      <c r="T822" s="116" t="str">
        <f t="shared" si="140"/>
        <v/>
      </c>
      <c r="U822" s="120"/>
      <c r="V822" s="118"/>
    </row>
    <row r="823" spans="1:22" ht="13.2">
      <c r="A823" s="102"/>
      <c r="B823" s="102"/>
      <c r="C823" s="104"/>
      <c r="D823" s="105"/>
      <c r="E823" s="106"/>
      <c r="F823" s="107"/>
      <c r="G823" s="108"/>
      <c r="H823" s="109"/>
      <c r="I823" s="110"/>
      <c r="J823" s="110"/>
      <c r="K823" s="119"/>
      <c r="L823" s="111" t="str">
        <f t="shared" si="141"/>
        <v/>
      </c>
      <c r="M823" s="112" t="str">
        <f t="shared" si="142"/>
        <v/>
      </c>
      <c r="N823" s="112" t="str">
        <f t="shared" si="143"/>
        <v/>
      </c>
      <c r="O823" s="112" t="str">
        <f t="shared" si="135"/>
        <v xml:space="preserve"> </v>
      </c>
      <c r="P823" s="113" t="str">
        <f t="shared" si="136"/>
        <v/>
      </c>
      <c r="Q823" s="114" t="str">
        <f t="shared" si="137"/>
        <v/>
      </c>
      <c r="R823" s="115" t="str">
        <f t="shared" si="138"/>
        <v/>
      </c>
      <c r="S823" s="115" t="str">
        <f t="shared" si="139"/>
        <v/>
      </c>
      <c r="T823" s="116" t="str">
        <f t="shared" si="140"/>
        <v/>
      </c>
      <c r="U823" s="120"/>
      <c r="V823" s="118"/>
    </row>
    <row r="824" spans="1:22" ht="13.2">
      <c r="A824" s="102"/>
      <c r="B824" s="103"/>
      <c r="C824" s="104"/>
      <c r="D824" s="105"/>
      <c r="E824" s="106"/>
      <c r="F824" s="107"/>
      <c r="G824" s="108"/>
      <c r="H824" s="121"/>
      <c r="I824" s="122"/>
      <c r="J824" s="122"/>
      <c r="K824" s="123"/>
      <c r="L824" s="111" t="str">
        <f t="shared" si="141"/>
        <v/>
      </c>
      <c r="M824" s="112" t="str">
        <f t="shared" si="142"/>
        <v/>
      </c>
      <c r="N824" s="112" t="str">
        <f t="shared" si="143"/>
        <v/>
      </c>
      <c r="O824" s="112" t="str">
        <f t="shared" si="135"/>
        <v xml:space="preserve"> </v>
      </c>
      <c r="P824" s="113" t="str">
        <f t="shared" si="136"/>
        <v/>
      </c>
      <c r="Q824" s="114" t="str">
        <f t="shared" si="137"/>
        <v/>
      </c>
      <c r="R824" s="115" t="str">
        <f t="shared" si="138"/>
        <v/>
      </c>
      <c r="S824" s="115" t="str">
        <f t="shared" si="139"/>
        <v/>
      </c>
      <c r="T824" s="116" t="str">
        <f t="shared" si="140"/>
        <v/>
      </c>
      <c r="U824" s="120"/>
      <c r="V824" s="118"/>
    </row>
    <row r="825" spans="1:22" ht="13.2">
      <c r="A825" s="102"/>
      <c r="B825" s="103"/>
      <c r="C825" s="104"/>
      <c r="D825" s="105"/>
      <c r="E825" s="106"/>
      <c r="F825" s="107"/>
      <c r="G825" s="108"/>
      <c r="H825" s="121"/>
      <c r="I825" s="122"/>
      <c r="J825" s="122"/>
      <c r="K825" s="123"/>
      <c r="L825" s="111" t="str">
        <f t="shared" si="141"/>
        <v/>
      </c>
      <c r="M825" s="112" t="str">
        <f t="shared" si="142"/>
        <v/>
      </c>
      <c r="N825" s="112" t="str">
        <f t="shared" si="143"/>
        <v/>
      </c>
      <c r="O825" s="112" t="str">
        <f t="shared" si="135"/>
        <v xml:space="preserve"> </v>
      </c>
      <c r="P825" s="113" t="str">
        <f t="shared" si="136"/>
        <v/>
      </c>
      <c r="Q825" s="114" t="str">
        <f t="shared" si="137"/>
        <v/>
      </c>
      <c r="R825" s="115" t="str">
        <f t="shared" si="138"/>
        <v/>
      </c>
      <c r="S825" s="115" t="str">
        <f t="shared" si="139"/>
        <v/>
      </c>
      <c r="T825" s="116" t="str">
        <f t="shared" si="140"/>
        <v/>
      </c>
      <c r="U825" s="120"/>
      <c r="V825" s="118"/>
    </row>
    <row r="826" spans="1:22" ht="13.2">
      <c r="A826" s="102"/>
      <c r="B826" s="103"/>
      <c r="C826" s="104"/>
      <c r="D826" s="105"/>
      <c r="E826" s="106"/>
      <c r="F826" s="107"/>
      <c r="G826" s="108"/>
      <c r="H826" s="121"/>
      <c r="I826" s="122"/>
      <c r="J826" s="122"/>
      <c r="K826" s="123"/>
      <c r="L826" s="111" t="str">
        <f t="shared" si="141"/>
        <v/>
      </c>
      <c r="M826" s="112" t="str">
        <f t="shared" si="142"/>
        <v/>
      </c>
      <c r="N826" s="112" t="str">
        <f t="shared" si="143"/>
        <v/>
      </c>
      <c r="O826" s="112" t="str">
        <f t="shared" si="135"/>
        <v xml:space="preserve"> </v>
      </c>
      <c r="P826" s="113" t="str">
        <f t="shared" si="136"/>
        <v/>
      </c>
      <c r="Q826" s="114" t="str">
        <f t="shared" si="137"/>
        <v/>
      </c>
      <c r="R826" s="115" t="str">
        <f t="shared" si="138"/>
        <v/>
      </c>
      <c r="S826" s="115" t="str">
        <f t="shared" si="139"/>
        <v/>
      </c>
      <c r="T826" s="116" t="str">
        <f t="shared" si="140"/>
        <v/>
      </c>
      <c r="U826" s="120"/>
      <c r="V826" s="118"/>
    </row>
    <row r="827" spans="1:22" ht="13.2">
      <c r="A827" s="102"/>
      <c r="B827" s="102"/>
      <c r="C827" s="103"/>
      <c r="D827" s="105"/>
      <c r="E827" s="106"/>
      <c r="F827" s="107"/>
      <c r="G827" s="108"/>
      <c r="H827" s="109"/>
      <c r="I827" s="110"/>
      <c r="J827" s="110"/>
      <c r="K827" s="119"/>
      <c r="L827" s="111" t="str">
        <f t="shared" si="141"/>
        <v/>
      </c>
      <c r="M827" s="112" t="str">
        <f t="shared" si="142"/>
        <v/>
      </c>
      <c r="N827" s="112" t="str">
        <f t="shared" si="143"/>
        <v/>
      </c>
      <c r="O827" s="112" t="str">
        <f t="shared" si="135"/>
        <v xml:space="preserve"> </v>
      </c>
      <c r="P827" s="113" t="str">
        <f t="shared" si="136"/>
        <v/>
      </c>
      <c r="Q827" s="114" t="str">
        <f t="shared" si="137"/>
        <v/>
      </c>
      <c r="R827" s="115" t="str">
        <f t="shared" si="138"/>
        <v/>
      </c>
      <c r="S827" s="115" t="str">
        <f t="shared" si="139"/>
        <v/>
      </c>
      <c r="T827" s="116" t="str">
        <f t="shared" si="140"/>
        <v/>
      </c>
      <c r="U827" s="120"/>
      <c r="V827" s="118"/>
    </row>
    <row r="828" spans="1:22" ht="13.2">
      <c r="A828" s="102"/>
      <c r="B828" s="102"/>
      <c r="C828" s="103"/>
      <c r="D828" s="105"/>
      <c r="E828" s="106"/>
      <c r="F828" s="107"/>
      <c r="G828" s="108"/>
      <c r="H828" s="109"/>
      <c r="I828" s="110"/>
      <c r="J828" s="110"/>
      <c r="K828" s="119"/>
      <c r="L828" s="111" t="str">
        <f t="shared" si="141"/>
        <v/>
      </c>
      <c r="M828" s="112" t="str">
        <f t="shared" si="142"/>
        <v/>
      </c>
      <c r="N828" s="112" t="str">
        <f t="shared" si="143"/>
        <v/>
      </c>
      <c r="O828" s="112" t="str">
        <f t="shared" si="135"/>
        <v xml:space="preserve"> </v>
      </c>
      <c r="P828" s="113" t="str">
        <f t="shared" si="136"/>
        <v/>
      </c>
      <c r="Q828" s="114" t="str">
        <f t="shared" si="137"/>
        <v/>
      </c>
      <c r="R828" s="115" t="str">
        <f t="shared" si="138"/>
        <v/>
      </c>
      <c r="S828" s="115" t="str">
        <f t="shared" si="139"/>
        <v/>
      </c>
      <c r="T828" s="116" t="str">
        <f t="shared" si="140"/>
        <v/>
      </c>
      <c r="U828" s="120"/>
      <c r="V828" s="118"/>
    </row>
    <row r="829" spans="1:22" ht="13.2">
      <c r="A829" s="102"/>
      <c r="B829" s="102"/>
      <c r="C829" s="104"/>
      <c r="D829" s="105"/>
      <c r="E829" s="106"/>
      <c r="F829" s="107"/>
      <c r="G829" s="108"/>
      <c r="H829" s="109"/>
      <c r="I829" s="110"/>
      <c r="J829" s="110"/>
      <c r="K829" s="119"/>
      <c r="L829" s="111" t="str">
        <f t="shared" si="141"/>
        <v/>
      </c>
      <c r="M829" s="112" t="str">
        <f t="shared" si="142"/>
        <v/>
      </c>
      <c r="N829" s="112" t="str">
        <f t="shared" si="143"/>
        <v/>
      </c>
      <c r="O829" s="112" t="str">
        <f t="shared" si="135"/>
        <v xml:space="preserve"> </v>
      </c>
      <c r="P829" s="113" t="str">
        <f t="shared" si="136"/>
        <v/>
      </c>
      <c r="Q829" s="114" t="str">
        <f t="shared" si="137"/>
        <v/>
      </c>
      <c r="R829" s="115" t="str">
        <f t="shared" si="138"/>
        <v/>
      </c>
      <c r="S829" s="115" t="str">
        <f t="shared" si="139"/>
        <v/>
      </c>
      <c r="T829" s="116" t="str">
        <f t="shared" si="140"/>
        <v/>
      </c>
      <c r="U829" s="120"/>
      <c r="V829" s="118"/>
    </row>
    <row r="830" spans="1:22" ht="13.2">
      <c r="A830" s="102"/>
      <c r="B830" s="102"/>
      <c r="C830" s="104"/>
      <c r="D830" s="105"/>
      <c r="E830" s="106"/>
      <c r="F830" s="107"/>
      <c r="G830" s="108"/>
      <c r="H830" s="109"/>
      <c r="I830" s="110"/>
      <c r="J830" s="110"/>
      <c r="K830" s="119"/>
      <c r="L830" s="111" t="str">
        <f t="shared" si="141"/>
        <v/>
      </c>
      <c r="M830" s="112" t="str">
        <f t="shared" si="142"/>
        <v/>
      </c>
      <c r="N830" s="112" t="str">
        <f t="shared" si="143"/>
        <v/>
      </c>
      <c r="O830" s="112" t="str">
        <f t="shared" ref="O830:O893" si="144">IF(ISERR(I830/I830)=TRUE," ",AVERAGE(I830:K830))</f>
        <v xml:space="preserve"> </v>
      </c>
      <c r="P830" s="113" t="str">
        <f t="shared" ref="P830:P893" si="145">IF(ISBLANK($E830),"",IF(ISNUMBER(F830)=FALSE,"BAD TOL", IF(F830=0,"N/A",IF(ISERR(I830/I830)=TRUE,"BAD INSP",IF(AND(ISNUMBER($I830),ISNUMBER($J830),ISNUMBER($K830))=FALSE,"BAD INSP",IF(MAX($I830:$K830)&lt;$E830,0,(MAX($I830:$K830)-$E830)/$F830))))))</f>
        <v/>
      </c>
      <c r="Q830" s="114" t="str">
        <f t="shared" ref="Q830:Q893" si="146">IF(ISBLANK($E830),"",IF(ISNUMBER(G830)=FALSE,"BAD TOL",IF(G830=0,"N/A",IF(ISERR(I830/I830)=TRUE,"BAD INSP",IF(AND(ISNUMBER($I830),ISNUMBER($J830),ISNUMBER($K830))=FALSE,"BAD INSP",IF(MIN(I830:K830)&gt;$E830,0,($E830-MIN(I830:K830))/G830))))))</f>
        <v/>
      </c>
      <c r="R830" s="115" t="str">
        <f t="shared" ref="R830:R893" si="147">IF(ISBLANK($E830),"",IF(ISNUMBER($P830)=TRUE,IF($P830&gt;0.651,IF($P830&gt;1.001,"Reject","Alert")," "),IF(AND(F830=0, ISNUMBER(F830)),IF(MAX(I830:K830)&gt;(E830+F830),"Reject",IF(MAX(I830:K830)=(E830+F830),"Alert","")),"Reject")))</f>
        <v/>
      </c>
      <c r="S830" s="115" t="str">
        <f t="shared" ref="S830:S893" si="148">IF(ISBLANK($E830),"",IF(ISNUMBER($Q830)=TRUE,IF($Q830&gt;0.651,IF($Q830&gt;1.001,"Reject","Alert")," "),IF(AND(G830=0, ISNUMBER(G830)),IF(MIN(I830:K830)&lt;(E830-G830),"Reject",IF(MIN(I830:K830)=(E830-G830),"Alert","")),"Reject")))</f>
        <v/>
      </c>
      <c r="T830" s="116" t="str">
        <f t="shared" ref="T830:T893" si="149">IF(OR(R830="Reject",S830="Reject"),"Reject",IF(OR(R830="Alert",S830="Alert"),"Alert", ""))</f>
        <v/>
      </c>
      <c r="U830" s="120"/>
      <c r="V830" s="118"/>
    </row>
    <row r="831" spans="1:22" ht="13.2">
      <c r="A831" s="102"/>
      <c r="B831" s="102"/>
      <c r="C831" s="104"/>
      <c r="D831" s="105"/>
      <c r="E831" s="106"/>
      <c r="F831" s="107"/>
      <c r="G831" s="108"/>
      <c r="H831" s="109"/>
      <c r="I831" s="110"/>
      <c r="J831" s="110"/>
      <c r="K831" s="119"/>
      <c r="L831" s="111" t="str">
        <f t="shared" si="141"/>
        <v/>
      </c>
      <c r="M831" s="112" t="str">
        <f t="shared" si="142"/>
        <v/>
      </c>
      <c r="N831" s="112" t="str">
        <f t="shared" si="143"/>
        <v/>
      </c>
      <c r="O831" s="112" t="str">
        <f t="shared" si="144"/>
        <v xml:space="preserve"> </v>
      </c>
      <c r="P831" s="113" t="str">
        <f t="shared" si="145"/>
        <v/>
      </c>
      <c r="Q831" s="114" t="str">
        <f t="shared" si="146"/>
        <v/>
      </c>
      <c r="R831" s="115" t="str">
        <f t="shared" si="147"/>
        <v/>
      </c>
      <c r="S831" s="115" t="str">
        <f t="shared" si="148"/>
        <v/>
      </c>
      <c r="T831" s="116" t="str">
        <f t="shared" si="149"/>
        <v/>
      </c>
      <c r="U831" s="120"/>
      <c r="V831" s="118"/>
    </row>
    <row r="832" spans="1:22" ht="13.2">
      <c r="A832" s="102"/>
      <c r="B832" s="102"/>
      <c r="C832" s="104"/>
      <c r="D832" s="105"/>
      <c r="E832" s="106"/>
      <c r="F832" s="107"/>
      <c r="G832" s="108"/>
      <c r="H832" s="109"/>
      <c r="I832" s="110"/>
      <c r="J832" s="110"/>
      <c r="K832" s="119"/>
      <c r="L832" s="111" t="str">
        <f t="shared" si="141"/>
        <v/>
      </c>
      <c r="M832" s="112" t="str">
        <f t="shared" si="142"/>
        <v/>
      </c>
      <c r="N832" s="112" t="str">
        <f t="shared" si="143"/>
        <v/>
      </c>
      <c r="O832" s="112" t="str">
        <f t="shared" si="144"/>
        <v xml:space="preserve"> </v>
      </c>
      <c r="P832" s="113" t="str">
        <f t="shared" si="145"/>
        <v/>
      </c>
      <c r="Q832" s="114" t="str">
        <f t="shared" si="146"/>
        <v/>
      </c>
      <c r="R832" s="115" t="str">
        <f t="shared" si="147"/>
        <v/>
      </c>
      <c r="S832" s="115" t="str">
        <f t="shared" si="148"/>
        <v/>
      </c>
      <c r="T832" s="116" t="str">
        <f t="shared" si="149"/>
        <v/>
      </c>
      <c r="U832" s="120"/>
      <c r="V832" s="118"/>
    </row>
    <row r="833" spans="1:22" ht="13.2">
      <c r="A833" s="102"/>
      <c r="B833" s="102"/>
      <c r="C833" s="104"/>
      <c r="D833" s="105"/>
      <c r="E833" s="106"/>
      <c r="F833" s="107"/>
      <c r="G833" s="108"/>
      <c r="H833" s="109"/>
      <c r="I833" s="110"/>
      <c r="J833" s="110"/>
      <c r="K833" s="119"/>
      <c r="L833" s="111" t="str">
        <f t="shared" si="141"/>
        <v/>
      </c>
      <c r="M833" s="112" t="str">
        <f t="shared" si="142"/>
        <v/>
      </c>
      <c r="N833" s="112" t="str">
        <f t="shared" si="143"/>
        <v/>
      </c>
      <c r="O833" s="112" t="str">
        <f t="shared" si="144"/>
        <v xml:space="preserve"> </v>
      </c>
      <c r="P833" s="113" t="str">
        <f t="shared" si="145"/>
        <v/>
      </c>
      <c r="Q833" s="114" t="str">
        <f t="shared" si="146"/>
        <v/>
      </c>
      <c r="R833" s="115" t="str">
        <f t="shared" si="147"/>
        <v/>
      </c>
      <c r="S833" s="115" t="str">
        <f t="shared" si="148"/>
        <v/>
      </c>
      <c r="T833" s="116" t="str">
        <f t="shared" si="149"/>
        <v/>
      </c>
      <c r="U833" s="120"/>
      <c r="V833" s="118"/>
    </row>
    <row r="834" spans="1:22" ht="13.2">
      <c r="A834" s="102"/>
      <c r="B834" s="102"/>
      <c r="C834" s="104"/>
      <c r="D834" s="105"/>
      <c r="E834" s="106"/>
      <c r="F834" s="107"/>
      <c r="G834" s="108"/>
      <c r="H834" s="109"/>
      <c r="I834" s="110"/>
      <c r="J834" s="110"/>
      <c r="K834" s="110"/>
      <c r="L834" s="111" t="str">
        <f t="shared" si="141"/>
        <v/>
      </c>
      <c r="M834" s="112" t="str">
        <f t="shared" si="142"/>
        <v/>
      </c>
      <c r="N834" s="112" t="str">
        <f t="shared" si="143"/>
        <v/>
      </c>
      <c r="O834" s="112" t="str">
        <f t="shared" si="144"/>
        <v xml:space="preserve"> </v>
      </c>
      <c r="P834" s="113" t="str">
        <f t="shared" si="145"/>
        <v/>
      </c>
      <c r="Q834" s="114" t="str">
        <f t="shared" si="146"/>
        <v/>
      </c>
      <c r="R834" s="115" t="str">
        <f t="shared" si="147"/>
        <v/>
      </c>
      <c r="S834" s="115" t="str">
        <f t="shared" si="148"/>
        <v/>
      </c>
      <c r="T834" s="116" t="str">
        <f t="shared" si="149"/>
        <v/>
      </c>
      <c r="U834" s="120"/>
      <c r="V834" s="118"/>
    </row>
    <row r="835" spans="1:22" ht="13.2">
      <c r="A835" s="102"/>
      <c r="B835" s="102"/>
      <c r="C835" s="104"/>
      <c r="D835" s="105"/>
      <c r="E835" s="106"/>
      <c r="F835" s="107"/>
      <c r="G835" s="108"/>
      <c r="H835" s="109"/>
      <c r="I835" s="110"/>
      <c r="J835" s="110"/>
      <c r="K835" s="119"/>
      <c r="L835" s="111" t="str">
        <f t="shared" si="141"/>
        <v/>
      </c>
      <c r="M835" s="112" t="str">
        <f t="shared" si="142"/>
        <v/>
      </c>
      <c r="N835" s="112" t="str">
        <f t="shared" si="143"/>
        <v/>
      </c>
      <c r="O835" s="112" t="str">
        <f t="shared" si="144"/>
        <v xml:space="preserve"> </v>
      </c>
      <c r="P835" s="113" t="str">
        <f t="shared" si="145"/>
        <v/>
      </c>
      <c r="Q835" s="114" t="str">
        <f t="shared" si="146"/>
        <v/>
      </c>
      <c r="R835" s="115" t="str">
        <f t="shared" si="147"/>
        <v/>
      </c>
      <c r="S835" s="115" t="str">
        <f t="shared" si="148"/>
        <v/>
      </c>
      <c r="T835" s="116" t="str">
        <f t="shared" si="149"/>
        <v/>
      </c>
      <c r="U835" s="120"/>
      <c r="V835" s="118"/>
    </row>
    <row r="836" spans="1:22" ht="13.2">
      <c r="A836" s="102"/>
      <c r="B836" s="102"/>
      <c r="C836" s="104"/>
      <c r="D836" s="105"/>
      <c r="E836" s="106"/>
      <c r="F836" s="107"/>
      <c r="G836" s="108"/>
      <c r="H836" s="109"/>
      <c r="I836" s="110"/>
      <c r="J836" s="110"/>
      <c r="K836" s="119"/>
      <c r="L836" s="111" t="str">
        <f t="shared" si="141"/>
        <v/>
      </c>
      <c r="M836" s="112" t="str">
        <f t="shared" si="142"/>
        <v/>
      </c>
      <c r="N836" s="112" t="str">
        <f t="shared" si="143"/>
        <v/>
      </c>
      <c r="O836" s="112" t="str">
        <f t="shared" si="144"/>
        <v xml:space="preserve"> </v>
      </c>
      <c r="P836" s="113" t="str">
        <f t="shared" si="145"/>
        <v/>
      </c>
      <c r="Q836" s="114" t="str">
        <f t="shared" si="146"/>
        <v/>
      </c>
      <c r="R836" s="115" t="str">
        <f t="shared" si="147"/>
        <v/>
      </c>
      <c r="S836" s="115" t="str">
        <f t="shared" si="148"/>
        <v/>
      </c>
      <c r="T836" s="116" t="str">
        <f t="shared" si="149"/>
        <v/>
      </c>
      <c r="U836" s="120"/>
      <c r="V836" s="118"/>
    </row>
    <row r="837" spans="1:22" ht="13.2">
      <c r="A837" s="102"/>
      <c r="B837" s="102"/>
      <c r="C837" s="104"/>
      <c r="D837" s="105"/>
      <c r="E837" s="106"/>
      <c r="F837" s="107"/>
      <c r="G837" s="108"/>
      <c r="H837" s="109"/>
      <c r="I837" s="110"/>
      <c r="J837" s="110"/>
      <c r="K837" s="119"/>
      <c r="L837" s="111" t="str">
        <f t="shared" si="141"/>
        <v/>
      </c>
      <c r="M837" s="112" t="str">
        <f t="shared" si="142"/>
        <v/>
      </c>
      <c r="N837" s="112" t="str">
        <f t="shared" si="143"/>
        <v/>
      </c>
      <c r="O837" s="112" t="str">
        <f t="shared" si="144"/>
        <v xml:space="preserve"> </v>
      </c>
      <c r="P837" s="113" t="str">
        <f t="shared" si="145"/>
        <v/>
      </c>
      <c r="Q837" s="114" t="str">
        <f t="shared" si="146"/>
        <v/>
      </c>
      <c r="R837" s="115" t="str">
        <f t="shared" si="147"/>
        <v/>
      </c>
      <c r="S837" s="115" t="str">
        <f t="shared" si="148"/>
        <v/>
      </c>
      <c r="T837" s="116" t="str">
        <f t="shared" si="149"/>
        <v/>
      </c>
      <c r="U837" s="120"/>
      <c r="V837" s="118"/>
    </row>
    <row r="838" spans="1:22" ht="13.2">
      <c r="A838" s="102"/>
      <c r="B838" s="102"/>
      <c r="C838" s="104"/>
      <c r="D838" s="105"/>
      <c r="E838" s="106"/>
      <c r="F838" s="107"/>
      <c r="G838" s="108"/>
      <c r="H838" s="109"/>
      <c r="I838" s="110"/>
      <c r="J838" s="110"/>
      <c r="K838" s="119"/>
      <c r="L838" s="111" t="str">
        <f t="shared" si="141"/>
        <v/>
      </c>
      <c r="M838" s="112" t="str">
        <f t="shared" si="142"/>
        <v/>
      </c>
      <c r="N838" s="112" t="str">
        <f t="shared" si="143"/>
        <v/>
      </c>
      <c r="O838" s="112" t="str">
        <f t="shared" si="144"/>
        <v xml:space="preserve"> </v>
      </c>
      <c r="P838" s="113" t="str">
        <f t="shared" si="145"/>
        <v/>
      </c>
      <c r="Q838" s="114" t="str">
        <f t="shared" si="146"/>
        <v/>
      </c>
      <c r="R838" s="115" t="str">
        <f t="shared" si="147"/>
        <v/>
      </c>
      <c r="S838" s="115" t="str">
        <f t="shared" si="148"/>
        <v/>
      </c>
      <c r="T838" s="116" t="str">
        <f t="shared" si="149"/>
        <v/>
      </c>
      <c r="U838" s="120"/>
      <c r="V838" s="118"/>
    </row>
    <row r="839" spans="1:22" ht="13.2">
      <c r="A839" s="102"/>
      <c r="B839" s="103"/>
      <c r="C839" s="104"/>
      <c r="D839" s="105"/>
      <c r="E839" s="106"/>
      <c r="F839" s="107"/>
      <c r="G839" s="108"/>
      <c r="H839" s="121"/>
      <c r="I839" s="122"/>
      <c r="J839" s="122"/>
      <c r="K839" s="123"/>
      <c r="L839" s="111" t="str">
        <f t="shared" si="141"/>
        <v/>
      </c>
      <c r="M839" s="112" t="str">
        <f t="shared" si="142"/>
        <v/>
      </c>
      <c r="N839" s="112" t="str">
        <f t="shared" si="143"/>
        <v/>
      </c>
      <c r="O839" s="112" t="str">
        <f t="shared" si="144"/>
        <v xml:space="preserve"> </v>
      </c>
      <c r="P839" s="113" t="str">
        <f t="shared" si="145"/>
        <v/>
      </c>
      <c r="Q839" s="114" t="str">
        <f t="shared" si="146"/>
        <v/>
      </c>
      <c r="R839" s="115" t="str">
        <f t="shared" si="147"/>
        <v/>
      </c>
      <c r="S839" s="115" t="str">
        <f t="shared" si="148"/>
        <v/>
      </c>
      <c r="T839" s="116" t="str">
        <f t="shared" si="149"/>
        <v/>
      </c>
      <c r="U839" s="120"/>
      <c r="V839" s="118"/>
    </row>
    <row r="840" spans="1:22" ht="13.2">
      <c r="A840" s="102"/>
      <c r="B840" s="103"/>
      <c r="C840" s="104"/>
      <c r="D840" s="105"/>
      <c r="E840" s="106"/>
      <c r="F840" s="107"/>
      <c r="G840" s="108"/>
      <c r="H840" s="121"/>
      <c r="I840" s="122"/>
      <c r="J840" s="122"/>
      <c r="K840" s="123"/>
      <c r="L840" s="111" t="str">
        <f t="shared" si="141"/>
        <v/>
      </c>
      <c r="M840" s="112" t="str">
        <f t="shared" si="142"/>
        <v/>
      </c>
      <c r="N840" s="112" t="str">
        <f t="shared" si="143"/>
        <v/>
      </c>
      <c r="O840" s="112" t="str">
        <f t="shared" si="144"/>
        <v xml:space="preserve"> </v>
      </c>
      <c r="P840" s="113" t="str">
        <f t="shared" si="145"/>
        <v/>
      </c>
      <c r="Q840" s="114" t="str">
        <f t="shared" si="146"/>
        <v/>
      </c>
      <c r="R840" s="115" t="str">
        <f t="shared" si="147"/>
        <v/>
      </c>
      <c r="S840" s="115" t="str">
        <f t="shared" si="148"/>
        <v/>
      </c>
      <c r="T840" s="116" t="str">
        <f t="shared" si="149"/>
        <v/>
      </c>
      <c r="U840" s="120"/>
      <c r="V840" s="118"/>
    </row>
    <row r="841" spans="1:22" ht="13.2">
      <c r="A841" s="102"/>
      <c r="B841" s="103"/>
      <c r="C841" s="104"/>
      <c r="D841" s="105"/>
      <c r="E841" s="106"/>
      <c r="F841" s="107"/>
      <c r="G841" s="108"/>
      <c r="H841" s="121"/>
      <c r="I841" s="122"/>
      <c r="J841" s="122"/>
      <c r="K841" s="123"/>
      <c r="L841" s="111" t="str">
        <f t="shared" si="141"/>
        <v/>
      </c>
      <c r="M841" s="112" t="str">
        <f t="shared" si="142"/>
        <v/>
      </c>
      <c r="N841" s="112" t="str">
        <f t="shared" si="143"/>
        <v/>
      </c>
      <c r="O841" s="112" t="str">
        <f t="shared" si="144"/>
        <v xml:space="preserve"> </v>
      </c>
      <c r="P841" s="113" t="str">
        <f t="shared" si="145"/>
        <v/>
      </c>
      <c r="Q841" s="114" t="str">
        <f t="shared" si="146"/>
        <v/>
      </c>
      <c r="R841" s="115" t="str">
        <f t="shared" si="147"/>
        <v/>
      </c>
      <c r="S841" s="115" t="str">
        <f t="shared" si="148"/>
        <v/>
      </c>
      <c r="T841" s="116" t="str">
        <f t="shared" si="149"/>
        <v/>
      </c>
      <c r="U841" s="120"/>
      <c r="V841" s="118"/>
    </row>
    <row r="842" spans="1:22" ht="13.2">
      <c r="A842" s="102"/>
      <c r="B842" s="102"/>
      <c r="C842" s="103"/>
      <c r="D842" s="105"/>
      <c r="E842" s="106"/>
      <c r="F842" s="107"/>
      <c r="G842" s="108"/>
      <c r="H842" s="109"/>
      <c r="I842" s="110"/>
      <c r="J842" s="110"/>
      <c r="K842" s="119"/>
      <c r="L842" s="111" t="str">
        <f t="shared" si="141"/>
        <v/>
      </c>
      <c r="M842" s="112" t="str">
        <f t="shared" si="142"/>
        <v/>
      </c>
      <c r="N842" s="112" t="str">
        <f t="shared" si="143"/>
        <v/>
      </c>
      <c r="O842" s="112" t="str">
        <f t="shared" si="144"/>
        <v xml:space="preserve"> </v>
      </c>
      <c r="P842" s="113" t="str">
        <f t="shared" si="145"/>
        <v/>
      </c>
      <c r="Q842" s="114" t="str">
        <f t="shared" si="146"/>
        <v/>
      </c>
      <c r="R842" s="115" t="str">
        <f t="shared" si="147"/>
        <v/>
      </c>
      <c r="S842" s="115" t="str">
        <f t="shared" si="148"/>
        <v/>
      </c>
      <c r="T842" s="116" t="str">
        <f t="shared" si="149"/>
        <v/>
      </c>
      <c r="U842" s="120"/>
      <c r="V842" s="118"/>
    </row>
    <row r="843" spans="1:22" ht="13.2">
      <c r="A843" s="102"/>
      <c r="B843" s="102"/>
      <c r="C843" s="103"/>
      <c r="D843" s="105"/>
      <c r="E843" s="106"/>
      <c r="F843" s="107"/>
      <c r="G843" s="108"/>
      <c r="H843" s="109"/>
      <c r="I843" s="110"/>
      <c r="J843" s="110"/>
      <c r="K843" s="119"/>
      <c r="L843" s="111" t="str">
        <f t="shared" si="141"/>
        <v/>
      </c>
      <c r="M843" s="112" t="str">
        <f t="shared" si="142"/>
        <v/>
      </c>
      <c r="N843" s="112" t="str">
        <f t="shared" si="143"/>
        <v/>
      </c>
      <c r="O843" s="112" t="str">
        <f t="shared" si="144"/>
        <v xml:space="preserve"> </v>
      </c>
      <c r="P843" s="113" t="str">
        <f t="shared" si="145"/>
        <v/>
      </c>
      <c r="Q843" s="114" t="str">
        <f t="shared" si="146"/>
        <v/>
      </c>
      <c r="R843" s="115" t="str">
        <f t="shared" si="147"/>
        <v/>
      </c>
      <c r="S843" s="115" t="str">
        <f t="shared" si="148"/>
        <v/>
      </c>
      <c r="T843" s="116" t="str">
        <f t="shared" si="149"/>
        <v/>
      </c>
      <c r="U843" s="120"/>
      <c r="V843" s="118"/>
    </row>
    <row r="844" spans="1:22" ht="13.2">
      <c r="A844" s="102"/>
      <c r="B844" s="102"/>
      <c r="C844" s="104"/>
      <c r="D844" s="105"/>
      <c r="E844" s="106"/>
      <c r="F844" s="107"/>
      <c r="G844" s="108"/>
      <c r="H844" s="109"/>
      <c r="I844" s="110"/>
      <c r="J844" s="110"/>
      <c r="K844" s="119"/>
      <c r="L844" s="111" t="str">
        <f t="shared" si="141"/>
        <v/>
      </c>
      <c r="M844" s="112" t="str">
        <f t="shared" si="142"/>
        <v/>
      </c>
      <c r="N844" s="112" t="str">
        <f t="shared" si="143"/>
        <v/>
      </c>
      <c r="O844" s="112" t="str">
        <f t="shared" si="144"/>
        <v xml:space="preserve"> </v>
      </c>
      <c r="P844" s="113" t="str">
        <f t="shared" si="145"/>
        <v/>
      </c>
      <c r="Q844" s="114" t="str">
        <f t="shared" si="146"/>
        <v/>
      </c>
      <c r="R844" s="115" t="str">
        <f t="shared" si="147"/>
        <v/>
      </c>
      <c r="S844" s="115" t="str">
        <f t="shared" si="148"/>
        <v/>
      </c>
      <c r="T844" s="116" t="str">
        <f t="shared" si="149"/>
        <v/>
      </c>
      <c r="U844" s="120"/>
      <c r="V844" s="118"/>
    </row>
    <row r="845" spans="1:22" ht="13.2">
      <c r="A845" s="102"/>
      <c r="B845" s="102"/>
      <c r="C845" s="104"/>
      <c r="D845" s="105"/>
      <c r="E845" s="106"/>
      <c r="F845" s="107"/>
      <c r="G845" s="108"/>
      <c r="H845" s="109"/>
      <c r="I845" s="110"/>
      <c r="J845" s="110"/>
      <c r="K845" s="119"/>
      <c r="L845" s="111" t="str">
        <f t="shared" si="141"/>
        <v/>
      </c>
      <c r="M845" s="112" t="str">
        <f t="shared" si="142"/>
        <v/>
      </c>
      <c r="N845" s="112" t="str">
        <f t="shared" si="143"/>
        <v/>
      </c>
      <c r="O845" s="112" t="str">
        <f t="shared" si="144"/>
        <v xml:space="preserve"> </v>
      </c>
      <c r="P845" s="113" t="str">
        <f t="shared" si="145"/>
        <v/>
      </c>
      <c r="Q845" s="114" t="str">
        <f t="shared" si="146"/>
        <v/>
      </c>
      <c r="R845" s="115" t="str">
        <f t="shared" si="147"/>
        <v/>
      </c>
      <c r="S845" s="115" t="str">
        <f t="shared" si="148"/>
        <v/>
      </c>
      <c r="T845" s="116" t="str">
        <f t="shared" si="149"/>
        <v/>
      </c>
      <c r="U845" s="120"/>
      <c r="V845" s="118"/>
    </row>
    <row r="846" spans="1:22" ht="13.2">
      <c r="A846" s="102"/>
      <c r="B846" s="102"/>
      <c r="C846" s="104"/>
      <c r="D846" s="105"/>
      <c r="E846" s="106"/>
      <c r="F846" s="107"/>
      <c r="G846" s="108"/>
      <c r="H846" s="109"/>
      <c r="I846" s="110"/>
      <c r="J846" s="110"/>
      <c r="K846" s="119"/>
      <c r="L846" s="111" t="str">
        <f t="shared" si="141"/>
        <v/>
      </c>
      <c r="M846" s="112" t="str">
        <f t="shared" si="142"/>
        <v/>
      </c>
      <c r="N846" s="112" t="str">
        <f t="shared" si="143"/>
        <v/>
      </c>
      <c r="O846" s="112" t="str">
        <f t="shared" si="144"/>
        <v xml:space="preserve"> </v>
      </c>
      <c r="P846" s="113" t="str">
        <f t="shared" si="145"/>
        <v/>
      </c>
      <c r="Q846" s="114" t="str">
        <f t="shared" si="146"/>
        <v/>
      </c>
      <c r="R846" s="115" t="str">
        <f t="shared" si="147"/>
        <v/>
      </c>
      <c r="S846" s="115" t="str">
        <f t="shared" si="148"/>
        <v/>
      </c>
      <c r="T846" s="116" t="str">
        <f t="shared" si="149"/>
        <v/>
      </c>
      <c r="U846" s="120"/>
      <c r="V846" s="118"/>
    </row>
    <row r="847" spans="1:22" ht="13.2">
      <c r="A847" s="102"/>
      <c r="B847" s="102"/>
      <c r="C847" s="104"/>
      <c r="D847" s="105"/>
      <c r="E847" s="106"/>
      <c r="F847" s="107"/>
      <c r="G847" s="108"/>
      <c r="H847" s="109"/>
      <c r="I847" s="110"/>
      <c r="J847" s="110"/>
      <c r="K847" s="119"/>
      <c r="L847" s="111" t="str">
        <f t="shared" si="141"/>
        <v/>
      </c>
      <c r="M847" s="112" t="str">
        <f t="shared" si="142"/>
        <v/>
      </c>
      <c r="N847" s="112" t="str">
        <f t="shared" si="143"/>
        <v/>
      </c>
      <c r="O847" s="112" t="str">
        <f t="shared" si="144"/>
        <v xml:space="preserve"> </v>
      </c>
      <c r="P847" s="113" t="str">
        <f t="shared" si="145"/>
        <v/>
      </c>
      <c r="Q847" s="114" t="str">
        <f t="shared" si="146"/>
        <v/>
      </c>
      <c r="R847" s="115" t="str">
        <f t="shared" si="147"/>
        <v/>
      </c>
      <c r="S847" s="115" t="str">
        <f t="shared" si="148"/>
        <v/>
      </c>
      <c r="T847" s="116" t="str">
        <f t="shared" si="149"/>
        <v/>
      </c>
      <c r="U847" s="120"/>
      <c r="V847" s="118"/>
    </row>
    <row r="848" spans="1:22" ht="13.2">
      <c r="A848" s="102"/>
      <c r="B848" s="102"/>
      <c r="C848" s="104"/>
      <c r="D848" s="105"/>
      <c r="E848" s="106"/>
      <c r="F848" s="107"/>
      <c r="G848" s="108"/>
      <c r="H848" s="109"/>
      <c r="I848" s="110"/>
      <c r="J848" s="110"/>
      <c r="K848" s="119"/>
      <c r="L848" s="111" t="str">
        <f t="shared" si="141"/>
        <v/>
      </c>
      <c r="M848" s="112" t="str">
        <f t="shared" si="142"/>
        <v/>
      </c>
      <c r="N848" s="112" t="str">
        <f t="shared" si="143"/>
        <v/>
      </c>
      <c r="O848" s="112" t="str">
        <f t="shared" si="144"/>
        <v xml:space="preserve"> </v>
      </c>
      <c r="P848" s="113" t="str">
        <f t="shared" si="145"/>
        <v/>
      </c>
      <c r="Q848" s="114" t="str">
        <f t="shared" si="146"/>
        <v/>
      </c>
      <c r="R848" s="115" t="str">
        <f t="shared" si="147"/>
        <v/>
      </c>
      <c r="S848" s="115" t="str">
        <f t="shared" si="148"/>
        <v/>
      </c>
      <c r="T848" s="116" t="str">
        <f t="shared" si="149"/>
        <v/>
      </c>
      <c r="U848" s="120"/>
      <c r="V848" s="118"/>
    </row>
    <row r="849" spans="1:22" ht="13.2">
      <c r="A849" s="102"/>
      <c r="B849" s="102"/>
      <c r="C849" s="104"/>
      <c r="D849" s="105"/>
      <c r="E849" s="106"/>
      <c r="F849" s="107"/>
      <c r="G849" s="108"/>
      <c r="H849" s="109"/>
      <c r="I849" s="110"/>
      <c r="J849" s="110"/>
      <c r="K849" s="110"/>
      <c r="L849" s="111" t="str">
        <f t="shared" si="141"/>
        <v/>
      </c>
      <c r="M849" s="112" t="str">
        <f t="shared" si="142"/>
        <v/>
      </c>
      <c r="N849" s="112" t="str">
        <f t="shared" si="143"/>
        <v/>
      </c>
      <c r="O849" s="112" t="str">
        <f t="shared" si="144"/>
        <v xml:space="preserve"> </v>
      </c>
      <c r="P849" s="113" t="str">
        <f t="shared" si="145"/>
        <v/>
      </c>
      <c r="Q849" s="114" t="str">
        <f t="shared" si="146"/>
        <v/>
      </c>
      <c r="R849" s="115" t="str">
        <f t="shared" si="147"/>
        <v/>
      </c>
      <c r="S849" s="115" t="str">
        <f t="shared" si="148"/>
        <v/>
      </c>
      <c r="T849" s="116" t="str">
        <f t="shared" si="149"/>
        <v/>
      </c>
      <c r="U849" s="120"/>
      <c r="V849" s="118"/>
    </row>
    <row r="850" spans="1:22" ht="13.2">
      <c r="A850" s="102"/>
      <c r="B850" s="102"/>
      <c r="C850" s="104"/>
      <c r="D850" s="105"/>
      <c r="E850" s="106"/>
      <c r="F850" s="107"/>
      <c r="G850" s="108"/>
      <c r="H850" s="109"/>
      <c r="I850" s="110"/>
      <c r="J850" s="110"/>
      <c r="K850" s="119"/>
      <c r="L850" s="111" t="str">
        <f t="shared" si="141"/>
        <v/>
      </c>
      <c r="M850" s="112" t="str">
        <f t="shared" si="142"/>
        <v/>
      </c>
      <c r="N850" s="112" t="str">
        <f t="shared" si="143"/>
        <v/>
      </c>
      <c r="O850" s="112" t="str">
        <f t="shared" si="144"/>
        <v xml:space="preserve"> </v>
      </c>
      <c r="P850" s="113" t="str">
        <f t="shared" si="145"/>
        <v/>
      </c>
      <c r="Q850" s="114" t="str">
        <f t="shared" si="146"/>
        <v/>
      </c>
      <c r="R850" s="115" t="str">
        <f t="shared" si="147"/>
        <v/>
      </c>
      <c r="S850" s="115" t="str">
        <f t="shared" si="148"/>
        <v/>
      </c>
      <c r="T850" s="116" t="str">
        <f t="shared" si="149"/>
        <v/>
      </c>
      <c r="U850" s="120"/>
      <c r="V850" s="118"/>
    </row>
    <row r="851" spans="1:22" ht="13.2">
      <c r="A851" s="102"/>
      <c r="B851" s="102"/>
      <c r="C851" s="104"/>
      <c r="D851" s="105"/>
      <c r="E851" s="106"/>
      <c r="F851" s="107"/>
      <c r="G851" s="108"/>
      <c r="H851" s="109"/>
      <c r="I851" s="110"/>
      <c r="J851" s="110"/>
      <c r="K851" s="119"/>
      <c r="L851" s="111" t="str">
        <f t="shared" ref="L851:L914" si="150">IF(ISBLANK($E851),"",IF(ISERR(I851/I851)=TRUE,"BAD INSP",I851-$E851))</f>
        <v/>
      </c>
      <c r="M851" s="112" t="str">
        <f t="shared" ref="M851:M914" si="151">IF(ISBLANK($E851),"",IF(ISERR(J851/J851)=TRUE,"BAD INSP",J851-$E851))</f>
        <v/>
      </c>
      <c r="N851" s="112" t="str">
        <f t="shared" ref="N851:N914" si="152">IF(ISBLANK($E851),"",IF(ISERR(K851/K851)=TRUE,"BAD INSP",K851-$E851))</f>
        <v/>
      </c>
      <c r="O851" s="112" t="str">
        <f t="shared" si="144"/>
        <v xml:space="preserve"> </v>
      </c>
      <c r="P851" s="113" t="str">
        <f t="shared" si="145"/>
        <v/>
      </c>
      <c r="Q851" s="114" t="str">
        <f t="shared" si="146"/>
        <v/>
      </c>
      <c r="R851" s="115" t="str">
        <f t="shared" si="147"/>
        <v/>
      </c>
      <c r="S851" s="115" t="str">
        <f t="shared" si="148"/>
        <v/>
      </c>
      <c r="T851" s="116" t="str">
        <f t="shared" si="149"/>
        <v/>
      </c>
      <c r="U851" s="120"/>
      <c r="V851" s="118"/>
    </row>
    <row r="852" spans="1:22" ht="13.2">
      <c r="A852" s="102"/>
      <c r="B852" s="102"/>
      <c r="C852" s="104"/>
      <c r="D852" s="105"/>
      <c r="E852" s="106"/>
      <c r="F852" s="107"/>
      <c r="G852" s="108"/>
      <c r="H852" s="109"/>
      <c r="I852" s="110"/>
      <c r="J852" s="110"/>
      <c r="K852" s="119"/>
      <c r="L852" s="111" t="str">
        <f t="shared" si="150"/>
        <v/>
      </c>
      <c r="M852" s="112" t="str">
        <f t="shared" si="151"/>
        <v/>
      </c>
      <c r="N852" s="112" t="str">
        <f t="shared" si="152"/>
        <v/>
      </c>
      <c r="O852" s="112" t="str">
        <f t="shared" si="144"/>
        <v xml:space="preserve"> </v>
      </c>
      <c r="P852" s="113" t="str">
        <f t="shared" si="145"/>
        <v/>
      </c>
      <c r="Q852" s="114" t="str">
        <f t="shared" si="146"/>
        <v/>
      </c>
      <c r="R852" s="115" t="str">
        <f t="shared" si="147"/>
        <v/>
      </c>
      <c r="S852" s="115" t="str">
        <f t="shared" si="148"/>
        <v/>
      </c>
      <c r="T852" s="116" t="str">
        <f t="shared" si="149"/>
        <v/>
      </c>
      <c r="U852" s="120"/>
      <c r="V852" s="118"/>
    </row>
    <row r="853" spans="1:22" ht="13.2">
      <c r="A853" s="102"/>
      <c r="B853" s="102"/>
      <c r="C853" s="104"/>
      <c r="D853" s="105"/>
      <c r="E853" s="106"/>
      <c r="F853" s="107"/>
      <c r="G853" s="108"/>
      <c r="H853" s="109"/>
      <c r="I853" s="110"/>
      <c r="J853" s="110"/>
      <c r="K853" s="119"/>
      <c r="L853" s="111" t="str">
        <f t="shared" si="150"/>
        <v/>
      </c>
      <c r="M853" s="112" t="str">
        <f t="shared" si="151"/>
        <v/>
      </c>
      <c r="N853" s="112" t="str">
        <f t="shared" si="152"/>
        <v/>
      </c>
      <c r="O853" s="112" t="str">
        <f t="shared" si="144"/>
        <v xml:space="preserve"> </v>
      </c>
      <c r="P853" s="113" t="str">
        <f t="shared" si="145"/>
        <v/>
      </c>
      <c r="Q853" s="114" t="str">
        <f t="shared" si="146"/>
        <v/>
      </c>
      <c r="R853" s="115" t="str">
        <f t="shared" si="147"/>
        <v/>
      </c>
      <c r="S853" s="115" t="str">
        <f t="shared" si="148"/>
        <v/>
      </c>
      <c r="T853" s="116" t="str">
        <f t="shared" si="149"/>
        <v/>
      </c>
      <c r="U853" s="120"/>
      <c r="V853" s="118"/>
    </row>
    <row r="854" spans="1:22" ht="13.2">
      <c r="A854" s="102"/>
      <c r="B854" s="103"/>
      <c r="C854" s="104"/>
      <c r="D854" s="105"/>
      <c r="E854" s="106"/>
      <c r="F854" s="107"/>
      <c r="G854" s="108"/>
      <c r="H854" s="121"/>
      <c r="I854" s="122"/>
      <c r="J854" s="122"/>
      <c r="K854" s="123"/>
      <c r="L854" s="111" t="str">
        <f t="shared" si="150"/>
        <v/>
      </c>
      <c r="M854" s="112" t="str">
        <f t="shared" si="151"/>
        <v/>
      </c>
      <c r="N854" s="112" t="str">
        <f t="shared" si="152"/>
        <v/>
      </c>
      <c r="O854" s="112" t="str">
        <f t="shared" si="144"/>
        <v xml:space="preserve"> </v>
      </c>
      <c r="P854" s="113" t="str">
        <f t="shared" si="145"/>
        <v/>
      </c>
      <c r="Q854" s="114" t="str">
        <f t="shared" si="146"/>
        <v/>
      </c>
      <c r="R854" s="115" t="str">
        <f t="shared" si="147"/>
        <v/>
      </c>
      <c r="S854" s="115" t="str">
        <f t="shared" si="148"/>
        <v/>
      </c>
      <c r="T854" s="116" t="str">
        <f t="shared" si="149"/>
        <v/>
      </c>
      <c r="U854" s="120"/>
      <c r="V854" s="118"/>
    </row>
    <row r="855" spans="1:22" ht="13.2">
      <c r="A855" s="102"/>
      <c r="B855" s="103"/>
      <c r="C855" s="104"/>
      <c r="D855" s="105"/>
      <c r="E855" s="106"/>
      <c r="F855" s="107"/>
      <c r="G855" s="108"/>
      <c r="H855" s="121"/>
      <c r="I855" s="122"/>
      <c r="J855" s="122"/>
      <c r="K855" s="123"/>
      <c r="L855" s="111" t="str">
        <f t="shared" si="150"/>
        <v/>
      </c>
      <c r="M855" s="112" t="str">
        <f t="shared" si="151"/>
        <v/>
      </c>
      <c r="N855" s="112" t="str">
        <f t="shared" si="152"/>
        <v/>
      </c>
      <c r="O855" s="112" t="str">
        <f t="shared" si="144"/>
        <v xml:space="preserve"> </v>
      </c>
      <c r="P855" s="113" t="str">
        <f t="shared" si="145"/>
        <v/>
      </c>
      <c r="Q855" s="114" t="str">
        <f t="shared" si="146"/>
        <v/>
      </c>
      <c r="R855" s="115" t="str">
        <f t="shared" si="147"/>
        <v/>
      </c>
      <c r="S855" s="115" t="str">
        <f t="shared" si="148"/>
        <v/>
      </c>
      <c r="T855" s="116" t="str">
        <f t="shared" si="149"/>
        <v/>
      </c>
      <c r="U855" s="120"/>
      <c r="V855" s="118"/>
    </row>
    <row r="856" spans="1:22" ht="13.2">
      <c r="A856" s="102"/>
      <c r="B856" s="103"/>
      <c r="C856" s="104"/>
      <c r="D856" s="105"/>
      <c r="E856" s="106"/>
      <c r="F856" s="107"/>
      <c r="G856" s="108"/>
      <c r="H856" s="121"/>
      <c r="I856" s="122"/>
      <c r="J856" s="122"/>
      <c r="K856" s="123"/>
      <c r="L856" s="111" t="str">
        <f t="shared" si="150"/>
        <v/>
      </c>
      <c r="M856" s="112" t="str">
        <f t="shared" si="151"/>
        <v/>
      </c>
      <c r="N856" s="112" t="str">
        <f t="shared" si="152"/>
        <v/>
      </c>
      <c r="O856" s="112" t="str">
        <f t="shared" si="144"/>
        <v xml:space="preserve"> </v>
      </c>
      <c r="P856" s="113" t="str">
        <f t="shared" si="145"/>
        <v/>
      </c>
      <c r="Q856" s="114" t="str">
        <f t="shared" si="146"/>
        <v/>
      </c>
      <c r="R856" s="115" t="str">
        <f t="shared" si="147"/>
        <v/>
      </c>
      <c r="S856" s="115" t="str">
        <f t="shared" si="148"/>
        <v/>
      </c>
      <c r="T856" s="116" t="str">
        <f t="shared" si="149"/>
        <v/>
      </c>
      <c r="U856" s="120"/>
      <c r="V856" s="118"/>
    </row>
    <row r="857" spans="1:22" ht="13.2">
      <c r="A857" s="102"/>
      <c r="B857" s="102"/>
      <c r="C857" s="103"/>
      <c r="D857" s="105"/>
      <c r="E857" s="106"/>
      <c r="F857" s="107"/>
      <c r="G857" s="108"/>
      <c r="H857" s="109"/>
      <c r="I857" s="110"/>
      <c r="J857" s="110"/>
      <c r="K857" s="119"/>
      <c r="L857" s="111" t="str">
        <f t="shared" si="150"/>
        <v/>
      </c>
      <c r="M857" s="112" t="str">
        <f t="shared" si="151"/>
        <v/>
      </c>
      <c r="N857" s="112" t="str">
        <f t="shared" si="152"/>
        <v/>
      </c>
      <c r="O857" s="112" t="str">
        <f t="shared" si="144"/>
        <v xml:space="preserve"> </v>
      </c>
      <c r="P857" s="113" t="str">
        <f t="shared" si="145"/>
        <v/>
      </c>
      <c r="Q857" s="114" t="str">
        <f t="shared" si="146"/>
        <v/>
      </c>
      <c r="R857" s="115" t="str">
        <f t="shared" si="147"/>
        <v/>
      </c>
      <c r="S857" s="115" t="str">
        <f t="shared" si="148"/>
        <v/>
      </c>
      <c r="T857" s="116" t="str">
        <f t="shared" si="149"/>
        <v/>
      </c>
      <c r="U857" s="120"/>
      <c r="V857" s="118"/>
    </row>
    <row r="858" spans="1:22" ht="13.2">
      <c r="A858" s="102"/>
      <c r="B858" s="102"/>
      <c r="C858" s="103"/>
      <c r="D858" s="105"/>
      <c r="E858" s="106"/>
      <c r="F858" s="107"/>
      <c r="G858" s="108"/>
      <c r="H858" s="109"/>
      <c r="I858" s="110"/>
      <c r="J858" s="110"/>
      <c r="K858" s="119"/>
      <c r="L858" s="111" t="str">
        <f t="shared" si="150"/>
        <v/>
      </c>
      <c r="M858" s="112" t="str">
        <f t="shared" si="151"/>
        <v/>
      </c>
      <c r="N858" s="112" t="str">
        <f t="shared" si="152"/>
        <v/>
      </c>
      <c r="O858" s="112" t="str">
        <f t="shared" si="144"/>
        <v xml:space="preserve"> </v>
      </c>
      <c r="P858" s="113" t="str">
        <f t="shared" si="145"/>
        <v/>
      </c>
      <c r="Q858" s="114" t="str">
        <f t="shared" si="146"/>
        <v/>
      </c>
      <c r="R858" s="115" t="str">
        <f t="shared" si="147"/>
        <v/>
      </c>
      <c r="S858" s="115" t="str">
        <f t="shared" si="148"/>
        <v/>
      </c>
      <c r="T858" s="116" t="str">
        <f t="shared" si="149"/>
        <v/>
      </c>
      <c r="U858" s="120"/>
      <c r="V858" s="118"/>
    </row>
    <row r="859" spans="1:22" ht="13.2">
      <c r="A859" s="102"/>
      <c r="B859" s="102"/>
      <c r="C859" s="104"/>
      <c r="D859" s="105"/>
      <c r="E859" s="106"/>
      <c r="F859" s="107"/>
      <c r="G859" s="108"/>
      <c r="H859" s="109"/>
      <c r="I859" s="110"/>
      <c r="J859" s="110"/>
      <c r="K859" s="119"/>
      <c r="L859" s="111" t="str">
        <f t="shared" si="150"/>
        <v/>
      </c>
      <c r="M859" s="112" t="str">
        <f t="shared" si="151"/>
        <v/>
      </c>
      <c r="N859" s="112" t="str">
        <f t="shared" si="152"/>
        <v/>
      </c>
      <c r="O859" s="112" t="str">
        <f t="shared" si="144"/>
        <v xml:space="preserve"> </v>
      </c>
      <c r="P859" s="113" t="str">
        <f t="shared" si="145"/>
        <v/>
      </c>
      <c r="Q859" s="114" t="str">
        <f t="shared" si="146"/>
        <v/>
      </c>
      <c r="R859" s="115" t="str">
        <f t="shared" si="147"/>
        <v/>
      </c>
      <c r="S859" s="115" t="str">
        <f t="shared" si="148"/>
        <v/>
      </c>
      <c r="T859" s="116" t="str">
        <f t="shared" si="149"/>
        <v/>
      </c>
      <c r="U859" s="120"/>
      <c r="V859" s="118"/>
    </row>
    <row r="860" spans="1:22" ht="13.2">
      <c r="A860" s="102"/>
      <c r="B860" s="102"/>
      <c r="C860" s="104"/>
      <c r="D860" s="105"/>
      <c r="E860" s="106"/>
      <c r="F860" s="107"/>
      <c r="G860" s="108"/>
      <c r="H860" s="109"/>
      <c r="I860" s="110"/>
      <c r="J860" s="110"/>
      <c r="K860" s="119"/>
      <c r="L860" s="111" t="str">
        <f t="shared" si="150"/>
        <v/>
      </c>
      <c r="M860" s="112" t="str">
        <f t="shared" si="151"/>
        <v/>
      </c>
      <c r="N860" s="112" t="str">
        <f t="shared" si="152"/>
        <v/>
      </c>
      <c r="O860" s="112" t="str">
        <f t="shared" si="144"/>
        <v xml:space="preserve"> </v>
      </c>
      <c r="P860" s="113" t="str">
        <f t="shared" si="145"/>
        <v/>
      </c>
      <c r="Q860" s="114" t="str">
        <f t="shared" si="146"/>
        <v/>
      </c>
      <c r="R860" s="115" t="str">
        <f t="shared" si="147"/>
        <v/>
      </c>
      <c r="S860" s="115" t="str">
        <f t="shared" si="148"/>
        <v/>
      </c>
      <c r="T860" s="116" t="str">
        <f t="shared" si="149"/>
        <v/>
      </c>
      <c r="U860" s="120"/>
      <c r="V860" s="118"/>
    </row>
    <row r="861" spans="1:22" ht="13.2">
      <c r="A861" s="102"/>
      <c r="B861" s="102"/>
      <c r="C861" s="104"/>
      <c r="D861" s="105"/>
      <c r="E861" s="106"/>
      <c r="F861" s="107"/>
      <c r="G861" s="108"/>
      <c r="H861" s="109"/>
      <c r="I861" s="110"/>
      <c r="J861" s="110"/>
      <c r="K861" s="119"/>
      <c r="L861" s="111" t="str">
        <f t="shared" si="150"/>
        <v/>
      </c>
      <c r="M861" s="112" t="str">
        <f t="shared" si="151"/>
        <v/>
      </c>
      <c r="N861" s="112" t="str">
        <f t="shared" si="152"/>
        <v/>
      </c>
      <c r="O861" s="112" t="str">
        <f t="shared" si="144"/>
        <v xml:space="preserve"> </v>
      </c>
      <c r="P861" s="113" t="str">
        <f t="shared" si="145"/>
        <v/>
      </c>
      <c r="Q861" s="114" t="str">
        <f t="shared" si="146"/>
        <v/>
      </c>
      <c r="R861" s="115" t="str">
        <f t="shared" si="147"/>
        <v/>
      </c>
      <c r="S861" s="115" t="str">
        <f t="shared" si="148"/>
        <v/>
      </c>
      <c r="T861" s="116" t="str">
        <f t="shared" si="149"/>
        <v/>
      </c>
      <c r="U861" s="120"/>
      <c r="V861" s="118"/>
    </row>
    <row r="862" spans="1:22" ht="13.2">
      <c r="A862" s="102"/>
      <c r="B862" s="102"/>
      <c r="C862" s="104"/>
      <c r="D862" s="105"/>
      <c r="E862" s="106"/>
      <c r="F862" s="107"/>
      <c r="G862" s="108"/>
      <c r="H862" s="109"/>
      <c r="I862" s="110"/>
      <c r="J862" s="110"/>
      <c r="K862" s="119"/>
      <c r="L862" s="111" t="str">
        <f t="shared" si="150"/>
        <v/>
      </c>
      <c r="M862" s="112" t="str">
        <f t="shared" si="151"/>
        <v/>
      </c>
      <c r="N862" s="112" t="str">
        <f t="shared" si="152"/>
        <v/>
      </c>
      <c r="O862" s="112" t="str">
        <f t="shared" si="144"/>
        <v xml:space="preserve"> </v>
      </c>
      <c r="P862" s="113" t="str">
        <f t="shared" si="145"/>
        <v/>
      </c>
      <c r="Q862" s="114" t="str">
        <f t="shared" si="146"/>
        <v/>
      </c>
      <c r="R862" s="115" t="str">
        <f t="shared" si="147"/>
        <v/>
      </c>
      <c r="S862" s="115" t="str">
        <f t="shared" si="148"/>
        <v/>
      </c>
      <c r="T862" s="116" t="str">
        <f t="shared" si="149"/>
        <v/>
      </c>
      <c r="U862" s="120"/>
      <c r="V862" s="118"/>
    </row>
    <row r="863" spans="1:22" ht="13.2">
      <c r="A863" s="102"/>
      <c r="B863" s="102"/>
      <c r="C863" s="104"/>
      <c r="D863" s="105"/>
      <c r="E863" s="106"/>
      <c r="F863" s="107"/>
      <c r="G863" s="108"/>
      <c r="H863" s="109"/>
      <c r="I863" s="110"/>
      <c r="J863" s="110"/>
      <c r="K863" s="119"/>
      <c r="L863" s="111" t="str">
        <f t="shared" si="150"/>
        <v/>
      </c>
      <c r="M863" s="112" t="str">
        <f t="shared" si="151"/>
        <v/>
      </c>
      <c r="N863" s="112" t="str">
        <f t="shared" si="152"/>
        <v/>
      </c>
      <c r="O863" s="112" t="str">
        <f t="shared" si="144"/>
        <v xml:space="preserve"> </v>
      </c>
      <c r="P863" s="113" t="str">
        <f t="shared" si="145"/>
        <v/>
      </c>
      <c r="Q863" s="114" t="str">
        <f t="shared" si="146"/>
        <v/>
      </c>
      <c r="R863" s="115" t="str">
        <f t="shared" si="147"/>
        <v/>
      </c>
      <c r="S863" s="115" t="str">
        <f t="shared" si="148"/>
        <v/>
      </c>
      <c r="T863" s="116" t="str">
        <f t="shared" si="149"/>
        <v/>
      </c>
      <c r="U863" s="120"/>
      <c r="V863" s="118"/>
    </row>
    <row r="864" spans="1:22" ht="13.2">
      <c r="A864" s="102"/>
      <c r="B864" s="102"/>
      <c r="C864" s="104"/>
      <c r="D864" s="105"/>
      <c r="E864" s="106"/>
      <c r="F864" s="107"/>
      <c r="G864" s="108"/>
      <c r="H864" s="109"/>
      <c r="I864" s="110"/>
      <c r="J864" s="110"/>
      <c r="K864" s="110"/>
      <c r="L864" s="111" t="str">
        <f t="shared" si="150"/>
        <v/>
      </c>
      <c r="M864" s="112" t="str">
        <f t="shared" si="151"/>
        <v/>
      </c>
      <c r="N864" s="112" t="str">
        <f t="shared" si="152"/>
        <v/>
      </c>
      <c r="O864" s="112" t="str">
        <f t="shared" si="144"/>
        <v xml:space="preserve"> </v>
      </c>
      <c r="P864" s="113" t="str">
        <f t="shared" si="145"/>
        <v/>
      </c>
      <c r="Q864" s="114" t="str">
        <f t="shared" si="146"/>
        <v/>
      </c>
      <c r="R864" s="115" t="str">
        <f t="shared" si="147"/>
        <v/>
      </c>
      <c r="S864" s="115" t="str">
        <f t="shared" si="148"/>
        <v/>
      </c>
      <c r="T864" s="116" t="str">
        <f t="shared" si="149"/>
        <v/>
      </c>
      <c r="U864" s="120"/>
      <c r="V864" s="118"/>
    </row>
    <row r="865" spans="1:22" ht="13.2">
      <c r="A865" s="102"/>
      <c r="B865" s="102"/>
      <c r="C865" s="104"/>
      <c r="D865" s="105"/>
      <c r="E865" s="106"/>
      <c r="F865" s="107"/>
      <c r="G865" s="108"/>
      <c r="H865" s="109"/>
      <c r="I865" s="110"/>
      <c r="J865" s="110"/>
      <c r="K865" s="119"/>
      <c r="L865" s="111" t="str">
        <f t="shared" si="150"/>
        <v/>
      </c>
      <c r="M865" s="112" t="str">
        <f t="shared" si="151"/>
        <v/>
      </c>
      <c r="N865" s="112" t="str">
        <f t="shared" si="152"/>
        <v/>
      </c>
      <c r="O865" s="112" t="str">
        <f t="shared" si="144"/>
        <v xml:space="preserve"> </v>
      </c>
      <c r="P865" s="113" t="str">
        <f t="shared" si="145"/>
        <v/>
      </c>
      <c r="Q865" s="114" t="str">
        <f t="shared" si="146"/>
        <v/>
      </c>
      <c r="R865" s="115" t="str">
        <f t="shared" si="147"/>
        <v/>
      </c>
      <c r="S865" s="115" t="str">
        <f t="shared" si="148"/>
        <v/>
      </c>
      <c r="T865" s="116" t="str">
        <f t="shared" si="149"/>
        <v/>
      </c>
      <c r="U865" s="120"/>
      <c r="V865" s="118"/>
    </row>
    <row r="866" spans="1:22" ht="13.2">
      <c r="A866" s="102"/>
      <c r="B866" s="102"/>
      <c r="C866" s="104"/>
      <c r="D866" s="105"/>
      <c r="E866" s="106"/>
      <c r="F866" s="107"/>
      <c r="G866" s="108"/>
      <c r="H866" s="109"/>
      <c r="I866" s="110"/>
      <c r="J866" s="110"/>
      <c r="K866" s="119"/>
      <c r="L866" s="111" t="str">
        <f t="shared" si="150"/>
        <v/>
      </c>
      <c r="M866" s="112" t="str">
        <f t="shared" si="151"/>
        <v/>
      </c>
      <c r="N866" s="112" t="str">
        <f t="shared" si="152"/>
        <v/>
      </c>
      <c r="O866" s="112" t="str">
        <f t="shared" si="144"/>
        <v xml:space="preserve"> </v>
      </c>
      <c r="P866" s="113" t="str">
        <f t="shared" si="145"/>
        <v/>
      </c>
      <c r="Q866" s="114" t="str">
        <f t="shared" si="146"/>
        <v/>
      </c>
      <c r="R866" s="115" t="str">
        <f t="shared" si="147"/>
        <v/>
      </c>
      <c r="S866" s="115" t="str">
        <f t="shared" si="148"/>
        <v/>
      </c>
      <c r="T866" s="116" t="str">
        <f t="shared" si="149"/>
        <v/>
      </c>
      <c r="U866" s="120"/>
      <c r="V866" s="118"/>
    </row>
    <row r="867" spans="1:22" ht="13.2">
      <c r="A867" s="102"/>
      <c r="B867" s="102"/>
      <c r="C867" s="104"/>
      <c r="D867" s="105"/>
      <c r="E867" s="106"/>
      <c r="F867" s="107"/>
      <c r="G867" s="108"/>
      <c r="H867" s="109"/>
      <c r="I867" s="110"/>
      <c r="J867" s="110"/>
      <c r="K867" s="119"/>
      <c r="L867" s="111" t="str">
        <f t="shared" si="150"/>
        <v/>
      </c>
      <c r="M867" s="112" t="str">
        <f t="shared" si="151"/>
        <v/>
      </c>
      <c r="N867" s="112" t="str">
        <f t="shared" si="152"/>
        <v/>
      </c>
      <c r="O867" s="112" t="str">
        <f t="shared" si="144"/>
        <v xml:space="preserve"> </v>
      </c>
      <c r="P867" s="113" t="str">
        <f t="shared" si="145"/>
        <v/>
      </c>
      <c r="Q867" s="114" t="str">
        <f t="shared" si="146"/>
        <v/>
      </c>
      <c r="R867" s="115" t="str">
        <f t="shared" si="147"/>
        <v/>
      </c>
      <c r="S867" s="115" t="str">
        <f t="shared" si="148"/>
        <v/>
      </c>
      <c r="T867" s="116" t="str">
        <f t="shared" si="149"/>
        <v/>
      </c>
      <c r="U867" s="120"/>
      <c r="V867" s="118"/>
    </row>
    <row r="868" spans="1:22" ht="13.2">
      <c r="A868" s="102"/>
      <c r="B868" s="102"/>
      <c r="C868" s="104"/>
      <c r="D868" s="105"/>
      <c r="E868" s="106"/>
      <c r="F868" s="107"/>
      <c r="G868" s="108"/>
      <c r="H868" s="109"/>
      <c r="I868" s="110"/>
      <c r="J868" s="110"/>
      <c r="K868" s="119"/>
      <c r="L868" s="111" t="str">
        <f t="shared" si="150"/>
        <v/>
      </c>
      <c r="M868" s="112" t="str">
        <f t="shared" si="151"/>
        <v/>
      </c>
      <c r="N868" s="112" t="str">
        <f t="shared" si="152"/>
        <v/>
      </c>
      <c r="O868" s="112" t="str">
        <f t="shared" si="144"/>
        <v xml:space="preserve"> </v>
      </c>
      <c r="P868" s="113" t="str">
        <f t="shared" si="145"/>
        <v/>
      </c>
      <c r="Q868" s="114" t="str">
        <f t="shared" si="146"/>
        <v/>
      </c>
      <c r="R868" s="115" t="str">
        <f t="shared" si="147"/>
        <v/>
      </c>
      <c r="S868" s="115" t="str">
        <f t="shared" si="148"/>
        <v/>
      </c>
      <c r="T868" s="116" t="str">
        <f t="shared" si="149"/>
        <v/>
      </c>
      <c r="U868" s="120"/>
      <c r="V868" s="118"/>
    </row>
    <row r="869" spans="1:22" ht="13.2">
      <c r="A869" s="102"/>
      <c r="B869" s="103"/>
      <c r="C869" s="104"/>
      <c r="D869" s="105"/>
      <c r="E869" s="106"/>
      <c r="F869" s="107"/>
      <c r="G869" s="108"/>
      <c r="H869" s="121"/>
      <c r="I869" s="122"/>
      <c r="J869" s="122"/>
      <c r="K869" s="123"/>
      <c r="L869" s="111" t="str">
        <f t="shared" si="150"/>
        <v/>
      </c>
      <c r="M869" s="112" t="str">
        <f t="shared" si="151"/>
        <v/>
      </c>
      <c r="N869" s="112" t="str">
        <f t="shared" si="152"/>
        <v/>
      </c>
      <c r="O869" s="112" t="str">
        <f t="shared" si="144"/>
        <v xml:space="preserve"> </v>
      </c>
      <c r="P869" s="113" t="str">
        <f t="shared" si="145"/>
        <v/>
      </c>
      <c r="Q869" s="114" t="str">
        <f t="shared" si="146"/>
        <v/>
      </c>
      <c r="R869" s="115" t="str">
        <f t="shared" si="147"/>
        <v/>
      </c>
      <c r="S869" s="115" t="str">
        <f t="shared" si="148"/>
        <v/>
      </c>
      <c r="T869" s="116" t="str">
        <f t="shared" si="149"/>
        <v/>
      </c>
      <c r="U869" s="120"/>
      <c r="V869" s="118"/>
    </row>
    <row r="870" spans="1:22" ht="13.2">
      <c r="A870" s="102"/>
      <c r="B870" s="103"/>
      <c r="C870" s="104"/>
      <c r="D870" s="105"/>
      <c r="E870" s="106"/>
      <c r="F870" s="107"/>
      <c r="G870" s="108"/>
      <c r="H870" s="121"/>
      <c r="I870" s="122"/>
      <c r="J870" s="122"/>
      <c r="K870" s="123"/>
      <c r="L870" s="111" t="str">
        <f t="shared" si="150"/>
        <v/>
      </c>
      <c r="M870" s="112" t="str">
        <f t="shared" si="151"/>
        <v/>
      </c>
      <c r="N870" s="112" t="str">
        <f t="shared" si="152"/>
        <v/>
      </c>
      <c r="O870" s="112" t="str">
        <f t="shared" si="144"/>
        <v xml:space="preserve"> </v>
      </c>
      <c r="P870" s="113" t="str">
        <f t="shared" si="145"/>
        <v/>
      </c>
      <c r="Q870" s="114" t="str">
        <f t="shared" si="146"/>
        <v/>
      </c>
      <c r="R870" s="115" t="str">
        <f t="shared" si="147"/>
        <v/>
      </c>
      <c r="S870" s="115" t="str">
        <f t="shared" si="148"/>
        <v/>
      </c>
      <c r="T870" s="116" t="str">
        <f t="shared" si="149"/>
        <v/>
      </c>
      <c r="U870" s="120"/>
      <c r="V870" s="118"/>
    </row>
    <row r="871" spans="1:22" ht="13.2">
      <c r="A871" s="102"/>
      <c r="B871" s="103"/>
      <c r="C871" s="104"/>
      <c r="D871" s="105"/>
      <c r="E871" s="106"/>
      <c r="F871" s="107"/>
      <c r="G871" s="108"/>
      <c r="H871" s="121"/>
      <c r="I871" s="122"/>
      <c r="J871" s="122"/>
      <c r="K871" s="123"/>
      <c r="L871" s="111" t="str">
        <f t="shared" si="150"/>
        <v/>
      </c>
      <c r="M871" s="112" t="str">
        <f t="shared" si="151"/>
        <v/>
      </c>
      <c r="N871" s="112" t="str">
        <f t="shared" si="152"/>
        <v/>
      </c>
      <c r="O871" s="112" t="str">
        <f t="shared" si="144"/>
        <v xml:space="preserve"> </v>
      </c>
      <c r="P871" s="113" t="str">
        <f t="shared" si="145"/>
        <v/>
      </c>
      <c r="Q871" s="114" t="str">
        <f t="shared" si="146"/>
        <v/>
      </c>
      <c r="R871" s="115" t="str">
        <f t="shared" si="147"/>
        <v/>
      </c>
      <c r="S871" s="115" t="str">
        <f t="shared" si="148"/>
        <v/>
      </c>
      <c r="T871" s="116" t="str">
        <f t="shared" si="149"/>
        <v/>
      </c>
      <c r="U871" s="120"/>
      <c r="V871" s="118"/>
    </row>
    <row r="872" spans="1:22" ht="13.2">
      <c r="A872" s="102"/>
      <c r="B872" s="102"/>
      <c r="C872" s="103"/>
      <c r="D872" s="105"/>
      <c r="E872" s="106"/>
      <c r="F872" s="107"/>
      <c r="G872" s="108"/>
      <c r="H872" s="109"/>
      <c r="I872" s="110"/>
      <c r="J872" s="110"/>
      <c r="K872" s="119"/>
      <c r="L872" s="111" t="str">
        <f t="shared" si="150"/>
        <v/>
      </c>
      <c r="M872" s="112" t="str">
        <f t="shared" si="151"/>
        <v/>
      </c>
      <c r="N872" s="112" t="str">
        <f t="shared" si="152"/>
        <v/>
      </c>
      <c r="O872" s="112" t="str">
        <f t="shared" si="144"/>
        <v xml:space="preserve"> </v>
      </c>
      <c r="P872" s="113" t="str">
        <f t="shared" si="145"/>
        <v/>
      </c>
      <c r="Q872" s="114" t="str">
        <f t="shared" si="146"/>
        <v/>
      </c>
      <c r="R872" s="115" t="str">
        <f t="shared" si="147"/>
        <v/>
      </c>
      <c r="S872" s="115" t="str">
        <f t="shared" si="148"/>
        <v/>
      </c>
      <c r="T872" s="116" t="str">
        <f t="shared" si="149"/>
        <v/>
      </c>
      <c r="U872" s="120"/>
      <c r="V872" s="118"/>
    </row>
    <row r="873" spans="1:22" ht="13.2">
      <c r="A873" s="102"/>
      <c r="B873" s="102"/>
      <c r="C873" s="103"/>
      <c r="D873" s="105"/>
      <c r="E873" s="106"/>
      <c r="F873" s="107"/>
      <c r="G873" s="108"/>
      <c r="H873" s="109"/>
      <c r="I873" s="110"/>
      <c r="J873" s="110"/>
      <c r="K873" s="119"/>
      <c r="L873" s="111" t="str">
        <f t="shared" si="150"/>
        <v/>
      </c>
      <c r="M873" s="112" t="str">
        <f t="shared" si="151"/>
        <v/>
      </c>
      <c r="N873" s="112" t="str">
        <f t="shared" si="152"/>
        <v/>
      </c>
      <c r="O873" s="112" t="str">
        <f t="shared" si="144"/>
        <v xml:space="preserve"> </v>
      </c>
      <c r="P873" s="113" t="str">
        <f t="shared" si="145"/>
        <v/>
      </c>
      <c r="Q873" s="114" t="str">
        <f t="shared" si="146"/>
        <v/>
      </c>
      <c r="R873" s="115" t="str">
        <f t="shared" si="147"/>
        <v/>
      </c>
      <c r="S873" s="115" t="str">
        <f t="shared" si="148"/>
        <v/>
      </c>
      <c r="T873" s="116" t="str">
        <f t="shared" si="149"/>
        <v/>
      </c>
      <c r="U873" s="120"/>
      <c r="V873" s="118"/>
    </row>
    <row r="874" spans="1:22" ht="13.2">
      <c r="A874" s="102"/>
      <c r="B874" s="102"/>
      <c r="C874" s="104"/>
      <c r="D874" s="105"/>
      <c r="E874" s="106"/>
      <c r="F874" s="107"/>
      <c r="G874" s="108"/>
      <c r="H874" s="109"/>
      <c r="I874" s="110"/>
      <c r="J874" s="110"/>
      <c r="K874" s="119"/>
      <c r="L874" s="111" t="str">
        <f t="shared" si="150"/>
        <v/>
      </c>
      <c r="M874" s="112" t="str">
        <f t="shared" si="151"/>
        <v/>
      </c>
      <c r="N874" s="112" t="str">
        <f t="shared" si="152"/>
        <v/>
      </c>
      <c r="O874" s="112" t="str">
        <f t="shared" si="144"/>
        <v xml:space="preserve"> </v>
      </c>
      <c r="P874" s="113" t="str">
        <f t="shared" si="145"/>
        <v/>
      </c>
      <c r="Q874" s="114" t="str">
        <f t="shared" si="146"/>
        <v/>
      </c>
      <c r="R874" s="115" t="str">
        <f t="shared" si="147"/>
        <v/>
      </c>
      <c r="S874" s="115" t="str">
        <f t="shared" si="148"/>
        <v/>
      </c>
      <c r="T874" s="116" t="str">
        <f t="shared" si="149"/>
        <v/>
      </c>
      <c r="U874" s="120"/>
      <c r="V874" s="118"/>
    </row>
    <row r="875" spans="1:22" ht="13.2">
      <c r="A875" s="102"/>
      <c r="B875" s="102"/>
      <c r="C875" s="104"/>
      <c r="D875" s="105"/>
      <c r="E875" s="106"/>
      <c r="F875" s="107"/>
      <c r="G875" s="108"/>
      <c r="H875" s="109"/>
      <c r="I875" s="110"/>
      <c r="J875" s="110"/>
      <c r="K875" s="119"/>
      <c r="L875" s="111" t="str">
        <f t="shared" si="150"/>
        <v/>
      </c>
      <c r="M875" s="112" t="str">
        <f t="shared" si="151"/>
        <v/>
      </c>
      <c r="N875" s="112" t="str">
        <f t="shared" si="152"/>
        <v/>
      </c>
      <c r="O875" s="112" t="str">
        <f t="shared" si="144"/>
        <v xml:space="preserve"> </v>
      </c>
      <c r="P875" s="113" t="str">
        <f t="shared" si="145"/>
        <v/>
      </c>
      <c r="Q875" s="114" t="str">
        <f t="shared" si="146"/>
        <v/>
      </c>
      <c r="R875" s="115" t="str">
        <f t="shared" si="147"/>
        <v/>
      </c>
      <c r="S875" s="115" t="str">
        <f t="shared" si="148"/>
        <v/>
      </c>
      <c r="T875" s="116" t="str">
        <f t="shared" si="149"/>
        <v/>
      </c>
      <c r="U875" s="120"/>
      <c r="V875" s="118"/>
    </row>
    <row r="876" spans="1:22" ht="13.2">
      <c r="A876" s="102"/>
      <c r="B876" s="102"/>
      <c r="C876" s="104"/>
      <c r="D876" s="105"/>
      <c r="E876" s="106"/>
      <c r="F876" s="107"/>
      <c r="G876" s="108"/>
      <c r="H876" s="109"/>
      <c r="I876" s="110"/>
      <c r="J876" s="110"/>
      <c r="K876" s="119"/>
      <c r="L876" s="111" t="str">
        <f t="shared" si="150"/>
        <v/>
      </c>
      <c r="M876" s="112" t="str">
        <f t="shared" si="151"/>
        <v/>
      </c>
      <c r="N876" s="112" t="str">
        <f t="shared" si="152"/>
        <v/>
      </c>
      <c r="O876" s="112" t="str">
        <f t="shared" si="144"/>
        <v xml:space="preserve"> </v>
      </c>
      <c r="P876" s="113" t="str">
        <f t="shared" si="145"/>
        <v/>
      </c>
      <c r="Q876" s="114" t="str">
        <f t="shared" si="146"/>
        <v/>
      </c>
      <c r="R876" s="115" t="str">
        <f t="shared" si="147"/>
        <v/>
      </c>
      <c r="S876" s="115" t="str">
        <f t="shared" si="148"/>
        <v/>
      </c>
      <c r="T876" s="116" t="str">
        <f t="shared" si="149"/>
        <v/>
      </c>
      <c r="U876" s="120"/>
      <c r="V876" s="118"/>
    </row>
    <row r="877" spans="1:22" ht="13.2">
      <c r="A877" s="102"/>
      <c r="B877" s="102"/>
      <c r="C877" s="104"/>
      <c r="D877" s="105"/>
      <c r="E877" s="106"/>
      <c r="F877" s="107"/>
      <c r="G877" s="108"/>
      <c r="H877" s="109"/>
      <c r="I877" s="110"/>
      <c r="J877" s="110"/>
      <c r="K877" s="119"/>
      <c r="L877" s="111" t="str">
        <f t="shared" si="150"/>
        <v/>
      </c>
      <c r="M877" s="112" t="str">
        <f t="shared" si="151"/>
        <v/>
      </c>
      <c r="N877" s="112" t="str">
        <f t="shared" si="152"/>
        <v/>
      </c>
      <c r="O877" s="112" t="str">
        <f t="shared" si="144"/>
        <v xml:space="preserve"> </v>
      </c>
      <c r="P877" s="113" t="str">
        <f t="shared" si="145"/>
        <v/>
      </c>
      <c r="Q877" s="114" t="str">
        <f t="shared" si="146"/>
        <v/>
      </c>
      <c r="R877" s="115" t="str">
        <f t="shared" si="147"/>
        <v/>
      </c>
      <c r="S877" s="115" t="str">
        <f t="shared" si="148"/>
        <v/>
      </c>
      <c r="T877" s="116" t="str">
        <f t="shared" si="149"/>
        <v/>
      </c>
      <c r="U877" s="120"/>
      <c r="V877" s="118"/>
    </row>
    <row r="878" spans="1:22" ht="13.2">
      <c r="A878" s="102"/>
      <c r="B878" s="102"/>
      <c r="C878" s="104"/>
      <c r="D878" s="105"/>
      <c r="E878" s="106"/>
      <c r="F878" s="107"/>
      <c r="G878" s="108"/>
      <c r="H878" s="109"/>
      <c r="I878" s="110"/>
      <c r="J878" s="110"/>
      <c r="K878" s="119"/>
      <c r="L878" s="111" t="str">
        <f t="shared" si="150"/>
        <v/>
      </c>
      <c r="M878" s="112" t="str">
        <f t="shared" si="151"/>
        <v/>
      </c>
      <c r="N878" s="112" t="str">
        <f t="shared" si="152"/>
        <v/>
      </c>
      <c r="O878" s="112" t="str">
        <f t="shared" si="144"/>
        <v xml:space="preserve"> </v>
      </c>
      <c r="P878" s="113" t="str">
        <f t="shared" si="145"/>
        <v/>
      </c>
      <c r="Q878" s="114" t="str">
        <f t="shared" si="146"/>
        <v/>
      </c>
      <c r="R878" s="115" t="str">
        <f t="shared" si="147"/>
        <v/>
      </c>
      <c r="S878" s="115" t="str">
        <f t="shared" si="148"/>
        <v/>
      </c>
      <c r="T878" s="116" t="str">
        <f t="shared" si="149"/>
        <v/>
      </c>
      <c r="U878" s="120"/>
      <c r="V878" s="118"/>
    </row>
    <row r="879" spans="1:22" ht="13.2">
      <c r="A879" s="102"/>
      <c r="B879" s="102"/>
      <c r="C879" s="104"/>
      <c r="D879" s="105"/>
      <c r="E879" s="106"/>
      <c r="F879" s="107"/>
      <c r="G879" s="108"/>
      <c r="H879" s="109"/>
      <c r="I879" s="110"/>
      <c r="J879" s="110"/>
      <c r="K879" s="110"/>
      <c r="L879" s="111" t="str">
        <f t="shared" si="150"/>
        <v/>
      </c>
      <c r="M879" s="112" t="str">
        <f t="shared" si="151"/>
        <v/>
      </c>
      <c r="N879" s="112" t="str">
        <f t="shared" si="152"/>
        <v/>
      </c>
      <c r="O879" s="112" t="str">
        <f t="shared" si="144"/>
        <v xml:space="preserve"> </v>
      </c>
      <c r="P879" s="113" t="str">
        <f t="shared" si="145"/>
        <v/>
      </c>
      <c r="Q879" s="114" t="str">
        <f t="shared" si="146"/>
        <v/>
      </c>
      <c r="R879" s="115" t="str">
        <f t="shared" si="147"/>
        <v/>
      </c>
      <c r="S879" s="115" t="str">
        <f t="shared" si="148"/>
        <v/>
      </c>
      <c r="T879" s="116" t="str">
        <f t="shared" si="149"/>
        <v/>
      </c>
      <c r="U879" s="120"/>
      <c r="V879" s="118"/>
    </row>
    <row r="880" spans="1:22" ht="13.2">
      <c r="A880" s="102"/>
      <c r="B880" s="102"/>
      <c r="C880" s="104"/>
      <c r="D880" s="105"/>
      <c r="E880" s="106"/>
      <c r="F880" s="107"/>
      <c r="G880" s="108"/>
      <c r="H880" s="109"/>
      <c r="I880" s="110"/>
      <c r="J880" s="110"/>
      <c r="K880" s="119"/>
      <c r="L880" s="111" t="str">
        <f t="shared" si="150"/>
        <v/>
      </c>
      <c r="M880" s="112" t="str">
        <f t="shared" si="151"/>
        <v/>
      </c>
      <c r="N880" s="112" t="str">
        <f t="shared" si="152"/>
        <v/>
      </c>
      <c r="O880" s="112" t="str">
        <f t="shared" si="144"/>
        <v xml:space="preserve"> </v>
      </c>
      <c r="P880" s="113" t="str">
        <f t="shared" si="145"/>
        <v/>
      </c>
      <c r="Q880" s="114" t="str">
        <f t="shared" si="146"/>
        <v/>
      </c>
      <c r="R880" s="115" t="str">
        <f t="shared" si="147"/>
        <v/>
      </c>
      <c r="S880" s="115" t="str">
        <f t="shared" si="148"/>
        <v/>
      </c>
      <c r="T880" s="116" t="str">
        <f t="shared" si="149"/>
        <v/>
      </c>
      <c r="U880" s="120"/>
      <c r="V880" s="118"/>
    </row>
    <row r="881" spans="1:22" ht="13.2">
      <c r="A881" s="102"/>
      <c r="B881" s="102"/>
      <c r="C881" s="104"/>
      <c r="D881" s="105"/>
      <c r="E881" s="106"/>
      <c r="F881" s="107"/>
      <c r="G881" s="108"/>
      <c r="H881" s="109"/>
      <c r="I881" s="110"/>
      <c r="J881" s="110"/>
      <c r="K881" s="119"/>
      <c r="L881" s="111" t="str">
        <f t="shared" si="150"/>
        <v/>
      </c>
      <c r="M881" s="112" t="str">
        <f t="shared" si="151"/>
        <v/>
      </c>
      <c r="N881" s="112" t="str">
        <f t="shared" si="152"/>
        <v/>
      </c>
      <c r="O881" s="112" t="str">
        <f t="shared" si="144"/>
        <v xml:space="preserve"> </v>
      </c>
      <c r="P881" s="113" t="str">
        <f t="shared" si="145"/>
        <v/>
      </c>
      <c r="Q881" s="114" t="str">
        <f t="shared" si="146"/>
        <v/>
      </c>
      <c r="R881" s="115" t="str">
        <f t="shared" si="147"/>
        <v/>
      </c>
      <c r="S881" s="115" t="str">
        <f t="shared" si="148"/>
        <v/>
      </c>
      <c r="T881" s="116" t="str">
        <f t="shared" si="149"/>
        <v/>
      </c>
      <c r="U881" s="120"/>
      <c r="V881" s="118"/>
    </row>
    <row r="882" spans="1:22" ht="13.2">
      <c r="A882" s="102"/>
      <c r="B882" s="102"/>
      <c r="C882" s="104"/>
      <c r="D882" s="105"/>
      <c r="E882" s="106"/>
      <c r="F882" s="107"/>
      <c r="G882" s="108"/>
      <c r="H882" s="109"/>
      <c r="I882" s="110"/>
      <c r="J882" s="110"/>
      <c r="K882" s="119"/>
      <c r="L882" s="111" t="str">
        <f t="shared" si="150"/>
        <v/>
      </c>
      <c r="M882" s="112" t="str">
        <f t="shared" si="151"/>
        <v/>
      </c>
      <c r="N882" s="112" t="str">
        <f t="shared" si="152"/>
        <v/>
      </c>
      <c r="O882" s="112" t="str">
        <f t="shared" si="144"/>
        <v xml:space="preserve"> </v>
      </c>
      <c r="P882" s="113" t="str">
        <f t="shared" si="145"/>
        <v/>
      </c>
      <c r="Q882" s="114" t="str">
        <f t="shared" si="146"/>
        <v/>
      </c>
      <c r="R882" s="115" t="str">
        <f t="shared" si="147"/>
        <v/>
      </c>
      <c r="S882" s="115" t="str">
        <f t="shared" si="148"/>
        <v/>
      </c>
      <c r="T882" s="116" t="str">
        <f t="shared" si="149"/>
        <v/>
      </c>
      <c r="U882" s="120"/>
      <c r="V882" s="118"/>
    </row>
    <row r="883" spans="1:22" ht="13.2">
      <c r="A883" s="102"/>
      <c r="B883" s="102"/>
      <c r="C883" s="104"/>
      <c r="D883" s="105"/>
      <c r="E883" s="106"/>
      <c r="F883" s="107"/>
      <c r="G883" s="108"/>
      <c r="H883" s="109"/>
      <c r="I883" s="110"/>
      <c r="J883" s="110"/>
      <c r="K883" s="119"/>
      <c r="L883" s="111" t="str">
        <f t="shared" si="150"/>
        <v/>
      </c>
      <c r="M883" s="112" t="str">
        <f t="shared" si="151"/>
        <v/>
      </c>
      <c r="N883" s="112" t="str">
        <f t="shared" si="152"/>
        <v/>
      </c>
      <c r="O883" s="112" t="str">
        <f t="shared" si="144"/>
        <v xml:space="preserve"> </v>
      </c>
      <c r="P883" s="113" t="str">
        <f t="shared" si="145"/>
        <v/>
      </c>
      <c r="Q883" s="114" t="str">
        <f t="shared" si="146"/>
        <v/>
      </c>
      <c r="R883" s="115" t="str">
        <f t="shared" si="147"/>
        <v/>
      </c>
      <c r="S883" s="115" t="str">
        <f t="shared" si="148"/>
        <v/>
      </c>
      <c r="T883" s="116" t="str">
        <f t="shared" si="149"/>
        <v/>
      </c>
      <c r="U883" s="120"/>
      <c r="V883" s="118"/>
    </row>
    <row r="884" spans="1:22" ht="13.2">
      <c r="A884" s="102"/>
      <c r="B884" s="103"/>
      <c r="C884" s="104"/>
      <c r="D884" s="105"/>
      <c r="E884" s="106"/>
      <c r="F884" s="107"/>
      <c r="G884" s="108"/>
      <c r="H884" s="121"/>
      <c r="I884" s="122"/>
      <c r="J884" s="122"/>
      <c r="K884" s="123"/>
      <c r="L884" s="111" t="str">
        <f t="shared" si="150"/>
        <v/>
      </c>
      <c r="M884" s="112" t="str">
        <f t="shared" si="151"/>
        <v/>
      </c>
      <c r="N884" s="112" t="str">
        <f t="shared" si="152"/>
        <v/>
      </c>
      <c r="O884" s="112" t="str">
        <f t="shared" si="144"/>
        <v xml:space="preserve"> </v>
      </c>
      <c r="P884" s="113" t="str">
        <f t="shared" si="145"/>
        <v/>
      </c>
      <c r="Q884" s="114" t="str">
        <f t="shared" si="146"/>
        <v/>
      </c>
      <c r="R884" s="115" t="str">
        <f t="shared" si="147"/>
        <v/>
      </c>
      <c r="S884" s="115" t="str">
        <f t="shared" si="148"/>
        <v/>
      </c>
      <c r="T884" s="116" t="str">
        <f t="shared" si="149"/>
        <v/>
      </c>
      <c r="U884" s="120"/>
      <c r="V884" s="118"/>
    </row>
    <row r="885" spans="1:22" ht="13.2">
      <c r="A885" s="102"/>
      <c r="B885" s="103"/>
      <c r="C885" s="104"/>
      <c r="D885" s="105"/>
      <c r="E885" s="106"/>
      <c r="F885" s="107"/>
      <c r="G885" s="108"/>
      <c r="H885" s="121"/>
      <c r="I885" s="122"/>
      <c r="J885" s="122"/>
      <c r="K885" s="123"/>
      <c r="L885" s="111" t="str">
        <f t="shared" si="150"/>
        <v/>
      </c>
      <c r="M885" s="112" t="str">
        <f t="shared" si="151"/>
        <v/>
      </c>
      <c r="N885" s="112" t="str">
        <f t="shared" si="152"/>
        <v/>
      </c>
      <c r="O885" s="112" t="str">
        <f t="shared" si="144"/>
        <v xml:space="preserve"> </v>
      </c>
      <c r="P885" s="113" t="str">
        <f t="shared" si="145"/>
        <v/>
      </c>
      <c r="Q885" s="114" t="str">
        <f t="shared" si="146"/>
        <v/>
      </c>
      <c r="R885" s="115" t="str">
        <f t="shared" si="147"/>
        <v/>
      </c>
      <c r="S885" s="115" t="str">
        <f t="shared" si="148"/>
        <v/>
      </c>
      <c r="T885" s="116" t="str">
        <f t="shared" si="149"/>
        <v/>
      </c>
      <c r="U885" s="120"/>
      <c r="V885" s="118"/>
    </row>
    <row r="886" spans="1:22" ht="13.2">
      <c r="A886" s="102"/>
      <c r="B886" s="103"/>
      <c r="C886" s="104"/>
      <c r="D886" s="105"/>
      <c r="E886" s="106"/>
      <c r="F886" s="107"/>
      <c r="G886" s="108"/>
      <c r="H886" s="121"/>
      <c r="I886" s="122"/>
      <c r="J886" s="122"/>
      <c r="K886" s="123"/>
      <c r="L886" s="111" t="str">
        <f t="shared" si="150"/>
        <v/>
      </c>
      <c r="M886" s="112" t="str">
        <f t="shared" si="151"/>
        <v/>
      </c>
      <c r="N886" s="112" t="str">
        <f t="shared" si="152"/>
        <v/>
      </c>
      <c r="O886" s="112" t="str">
        <f t="shared" si="144"/>
        <v xml:space="preserve"> </v>
      </c>
      <c r="P886" s="113" t="str">
        <f t="shared" si="145"/>
        <v/>
      </c>
      <c r="Q886" s="114" t="str">
        <f t="shared" si="146"/>
        <v/>
      </c>
      <c r="R886" s="115" t="str">
        <f t="shared" si="147"/>
        <v/>
      </c>
      <c r="S886" s="115" t="str">
        <f t="shared" si="148"/>
        <v/>
      </c>
      <c r="T886" s="116" t="str">
        <f t="shared" si="149"/>
        <v/>
      </c>
      <c r="U886" s="120"/>
      <c r="V886" s="118"/>
    </row>
    <row r="887" spans="1:22" ht="13.2">
      <c r="A887" s="102"/>
      <c r="B887" s="102"/>
      <c r="C887" s="103"/>
      <c r="D887" s="105"/>
      <c r="E887" s="106"/>
      <c r="F887" s="107"/>
      <c r="G887" s="108"/>
      <c r="H887" s="109"/>
      <c r="I887" s="110"/>
      <c r="J887" s="110"/>
      <c r="K887" s="119"/>
      <c r="L887" s="111" t="str">
        <f t="shared" si="150"/>
        <v/>
      </c>
      <c r="M887" s="112" t="str">
        <f t="shared" si="151"/>
        <v/>
      </c>
      <c r="N887" s="112" t="str">
        <f t="shared" si="152"/>
        <v/>
      </c>
      <c r="O887" s="112" t="str">
        <f t="shared" si="144"/>
        <v xml:space="preserve"> </v>
      </c>
      <c r="P887" s="113" t="str">
        <f t="shared" si="145"/>
        <v/>
      </c>
      <c r="Q887" s="114" t="str">
        <f t="shared" si="146"/>
        <v/>
      </c>
      <c r="R887" s="115" t="str">
        <f t="shared" si="147"/>
        <v/>
      </c>
      <c r="S887" s="115" t="str">
        <f t="shared" si="148"/>
        <v/>
      </c>
      <c r="T887" s="116" t="str">
        <f t="shared" si="149"/>
        <v/>
      </c>
      <c r="U887" s="120"/>
      <c r="V887" s="118"/>
    </row>
    <row r="888" spans="1:22" ht="13.2">
      <c r="A888" s="102"/>
      <c r="B888" s="102"/>
      <c r="C888" s="103"/>
      <c r="D888" s="105"/>
      <c r="E888" s="106"/>
      <c r="F888" s="107"/>
      <c r="G888" s="108"/>
      <c r="H888" s="109"/>
      <c r="I888" s="110"/>
      <c r="J888" s="110"/>
      <c r="K888" s="119"/>
      <c r="L888" s="111" t="str">
        <f t="shared" si="150"/>
        <v/>
      </c>
      <c r="M888" s="112" t="str">
        <f t="shared" si="151"/>
        <v/>
      </c>
      <c r="N888" s="112" t="str">
        <f t="shared" si="152"/>
        <v/>
      </c>
      <c r="O888" s="112" t="str">
        <f t="shared" si="144"/>
        <v xml:space="preserve"> </v>
      </c>
      <c r="P888" s="113" t="str">
        <f t="shared" si="145"/>
        <v/>
      </c>
      <c r="Q888" s="114" t="str">
        <f t="shared" si="146"/>
        <v/>
      </c>
      <c r="R888" s="115" t="str">
        <f t="shared" si="147"/>
        <v/>
      </c>
      <c r="S888" s="115" t="str">
        <f t="shared" si="148"/>
        <v/>
      </c>
      <c r="T888" s="116" t="str">
        <f t="shared" si="149"/>
        <v/>
      </c>
      <c r="U888" s="120"/>
      <c r="V888" s="118"/>
    </row>
    <row r="889" spans="1:22" ht="13.2">
      <c r="A889" s="102"/>
      <c r="B889" s="102"/>
      <c r="C889" s="104"/>
      <c r="D889" s="105"/>
      <c r="E889" s="106"/>
      <c r="F889" s="107"/>
      <c r="G889" s="108"/>
      <c r="H889" s="109"/>
      <c r="I889" s="110"/>
      <c r="J889" s="110"/>
      <c r="K889" s="119"/>
      <c r="L889" s="111" t="str">
        <f t="shared" si="150"/>
        <v/>
      </c>
      <c r="M889" s="112" t="str">
        <f t="shared" si="151"/>
        <v/>
      </c>
      <c r="N889" s="112" t="str">
        <f t="shared" si="152"/>
        <v/>
      </c>
      <c r="O889" s="112" t="str">
        <f t="shared" si="144"/>
        <v xml:space="preserve"> </v>
      </c>
      <c r="P889" s="113" t="str">
        <f t="shared" si="145"/>
        <v/>
      </c>
      <c r="Q889" s="114" t="str">
        <f t="shared" si="146"/>
        <v/>
      </c>
      <c r="R889" s="115" t="str">
        <f t="shared" si="147"/>
        <v/>
      </c>
      <c r="S889" s="115" t="str">
        <f t="shared" si="148"/>
        <v/>
      </c>
      <c r="T889" s="116" t="str">
        <f t="shared" si="149"/>
        <v/>
      </c>
      <c r="U889" s="120"/>
      <c r="V889" s="118"/>
    </row>
    <row r="890" spans="1:22" ht="13.2">
      <c r="A890" s="102"/>
      <c r="B890" s="102"/>
      <c r="C890" s="104"/>
      <c r="D890" s="105"/>
      <c r="E890" s="106"/>
      <c r="F890" s="107"/>
      <c r="G890" s="108"/>
      <c r="H890" s="109"/>
      <c r="I890" s="110"/>
      <c r="J890" s="110"/>
      <c r="K890" s="119"/>
      <c r="L890" s="111" t="str">
        <f t="shared" si="150"/>
        <v/>
      </c>
      <c r="M890" s="112" t="str">
        <f t="shared" si="151"/>
        <v/>
      </c>
      <c r="N890" s="112" t="str">
        <f t="shared" si="152"/>
        <v/>
      </c>
      <c r="O890" s="112" t="str">
        <f t="shared" si="144"/>
        <v xml:space="preserve"> </v>
      </c>
      <c r="P890" s="113" t="str">
        <f t="shared" si="145"/>
        <v/>
      </c>
      <c r="Q890" s="114" t="str">
        <f t="shared" si="146"/>
        <v/>
      </c>
      <c r="R890" s="115" t="str">
        <f t="shared" si="147"/>
        <v/>
      </c>
      <c r="S890" s="115" t="str">
        <f t="shared" si="148"/>
        <v/>
      </c>
      <c r="T890" s="116" t="str">
        <f t="shared" si="149"/>
        <v/>
      </c>
      <c r="U890" s="120"/>
      <c r="V890" s="118"/>
    </row>
    <row r="891" spans="1:22" ht="13.2">
      <c r="A891" s="102"/>
      <c r="B891" s="102"/>
      <c r="C891" s="104"/>
      <c r="D891" s="105"/>
      <c r="E891" s="106"/>
      <c r="F891" s="107"/>
      <c r="G891" s="108"/>
      <c r="H891" s="109"/>
      <c r="I891" s="110"/>
      <c r="J891" s="110"/>
      <c r="K891" s="119"/>
      <c r="L891" s="111" t="str">
        <f t="shared" si="150"/>
        <v/>
      </c>
      <c r="M891" s="112" t="str">
        <f t="shared" si="151"/>
        <v/>
      </c>
      <c r="N891" s="112" t="str">
        <f t="shared" si="152"/>
        <v/>
      </c>
      <c r="O891" s="112" t="str">
        <f t="shared" si="144"/>
        <v xml:space="preserve"> </v>
      </c>
      <c r="P891" s="113" t="str">
        <f t="shared" si="145"/>
        <v/>
      </c>
      <c r="Q891" s="114" t="str">
        <f t="shared" si="146"/>
        <v/>
      </c>
      <c r="R891" s="115" t="str">
        <f t="shared" si="147"/>
        <v/>
      </c>
      <c r="S891" s="115" t="str">
        <f t="shared" si="148"/>
        <v/>
      </c>
      <c r="T891" s="116" t="str">
        <f t="shared" si="149"/>
        <v/>
      </c>
      <c r="U891" s="120"/>
      <c r="V891" s="118"/>
    </row>
    <row r="892" spans="1:22" ht="13.2">
      <c r="A892" s="102"/>
      <c r="B892" s="102"/>
      <c r="C892" s="104"/>
      <c r="D892" s="105"/>
      <c r="E892" s="106"/>
      <c r="F892" s="107"/>
      <c r="G892" s="108"/>
      <c r="H892" s="109"/>
      <c r="I892" s="110"/>
      <c r="J892" s="110"/>
      <c r="K892" s="119"/>
      <c r="L892" s="111" t="str">
        <f t="shared" si="150"/>
        <v/>
      </c>
      <c r="M892" s="112" t="str">
        <f t="shared" si="151"/>
        <v/>
      </c>
      <c r="N892" s="112" t="str">
        <f t="shared" si="152"/>
        <v/>
      </c>
      <c r="O892" s="112" t="str">
        <f t="shared" si="144"/>
        <v xml:space="preserve"> </v>
      </c>
      <c r="P892" s="113" t="str">
        <f t="shared" si="145"/>
        <v/>
      </c>
      <c r="Q892" s="114" t="str">
        <f t="shared" si="146"/>
        <v/>
      </c>
      <c r="R892" s="115" t="str">
        <f t="shared" si="147"/>
        <v/>
      </c>
      <c r="S892" s="115" t="str">
        <f t="shared" si="148"/>
        <v/>
      </c>
      <c r="T892" s="116" t="str">
        <f t="shared" si="149"/>
        <v/>
      </c>
      <c r="U892" s="120"/>
      <c r="V892" s="118"/>
    </row>
    <row r="893" spans="1:22" ht="13.2">
      <c r="A893" s="102"/>
      <c r="B893" s="102"/>
      <c r="C893" s="104"/>
      <c r="D893" s="105"/>
      <c r="E893" s="106"/>
      <c r="F893" s="107"/>
      <c r="G893" s="108"/>
      <c r="H893" s="109"/>
      <c r="I893" s="110"/>
      <c r="J893" s="110"/>
      <c r="K893" s="119"/>
      <c r="L893" s="111" t="str">
        <f t="shared" si="150"/>
        <v/>
      </c>
      <c r="M893" s="112" t="str">
        <f t="shared" si="151"/>
        <v/>
      </c>
      <c r="N893" s="112" t="str">
        <f t="shared" si="152"/>
        <v/>
      </c>
      <c r="O893" s="112" t="str">
        <f t="shared" si="144"/>
        <v xml:space="preserve"> </v>
      </c>
      <c r="P893" s="113" t="str">
        <f t="shared" si="145"/>
        <v/>
      </c>
      <c r="Q893" s="114" t="str">
        <f t="shared" si="146"/>
        <v/>
      </c>
      <c r="R893" s="115" t="str">
        <f t="shared" si="147"/>
        <v/>
      </c>
      <c r="S893" s="115" t="str">
        <f t="shared" si="148"/>
        <v/>
      </c>
      <c r="T893" s="116" t="str">
        <f t="shared" si="149"/>
        <v/>
      </c>
      <c r="U893" s="120"/>
      <c r="V893" s="118"/>
    </row>
    <row r="894" spans="1:22" ht="13.2">
      <c r="A894" s="102"/>
      <c r="B894" s="102"/>
      <c r="C894" s="104"/>
      <c r="D894" s="105"/>
      <c r="E894" s="106"/>
      <c r="F894" s="107"/>
      <c r="G894" s="108"/>
      <c r="H894" s="109"/>
      <c r="I894" s="110"/>
      <c r="J894" s="110"/>
      <c r="K894" s="110"/>
      <c r="L894" s="111" t="str">
        <f t="shared" si="150"/>
        <v/>
      </c>
      <c r="M894" s="112" t="str">
        <f t="shared" si="151"/>
        <v/>
      </c>
      <c r="N894" s="112" t="str">
        <f t="shared" si="152"/>
        <v/>
      </c>
      <c r="O894" s="112" t="str">
        <f t="shared" ref="O894:O957" si="153">IF(ISERR(I894/I894)=TRUE," ",AVERAGE(I894:K894))</f>
        <v xml:space="preserve"> </v>
      </c>
      <c r="P894" s="113" t="str">
        <f t="shared" ref="P894:P957" si="154">IF(ISBLANK($E894),"",IF(ISNUMBER(F894)=FALSE,"BAD TOL", IF(F894=0,"N/A",IF(ISERR(I894/I894)=TRUE,"BAD INSP",IF(AND(ISNUMBER($I894),ISNUMBER($J894),ISNUMBER($K894))=FALSE,"BAD INSP",IF(MAX($I894:$K894)&lt;$E894,0,(MAX($I894:$K894)-$E894)/$F894))))))</f>
        <v/>
      </c>
      <c r="Q894" s="114" t="str">
        <f t="shared" ref="Q894:Q957" si="155">IF(ISBLANK($E894),"",IF(ISNUMBER(G894)=FALSE,"BAD TOL",IF(G894=0,"N/A",IF(ISERR(I894/I894)=TRUE,"BAD INSP",IF(AND(ISNUMBER($I894),ISNUMBER($J894),ISNUMBER($K894))=FALSE,"BAD INSP",IF(MIN(I894:K894)&gt;$E894,0,($E894-MIN(I894:K894))/G894))))))</f>
        <v/>
      </c>
      <c r="R894" s="115" t="str">
        <f t="shared" ref="R894:R957" si="156">IF(ISBLANK($E894),"",IF(ISNUMBER($P894)=TRUE,IF($P894&gt;0.651,IF($P894&gt;1.001,"Reject","Alert")," "),IF(AND(F894=0, ISNUMBER(F894)),IF(MAX(I894:K894)&gt;(E894+F894),"Reject",IF(MAX(I894:K894)=(E894+F894),"Alert","")),"Reject")))</f>
        <v/>
      </c>
      <c r="S894" s="115" t="str">
        <f t="shared" ref="S894:S957" si="157">IF(ISBLANK($E894),"",IF(ISNUMBER($Q894)=TRUE,IF($Q894&gt;0.651,IF($Q894&gt;1.001,"Reject","Alert")," "),IF(AND(G894=0, ISNUMBER(G894)),IF(MIN(I894:K894)&lt;(E894-G894),"Reject",IF(MIN(I894:K894)=(E894-G894),"Alert","")),"Reject")))</f>
        <v/>
      </c>
      <c r="T894" s="116" t="str">
        <f t="shared" ref="T894:T957" si="158">IF(OR(R894="Reject",S894="Reject"),"Reject",IF(OR(R894="Alert",S894="Alert"),"Alert", ""))</f>
        <v/>
      </c>
      <c r="U894" s="120"/>
      <c r="V894" s="118"/>
    </row>
    <row r="895" spans="1:22" ht="13.2">
      <c r="A895" s="102"/>
      <c r="B895" s="102"/>
      <c r="C895" s="104"/>
      <c r="D895" s="105"/>
      <c r="E895" s="106"/>
      <c r="F895" s="107"/>
      <c r="G895" s="108"/>
      <c r="H895" s="109"/>
      <c r="I895" s="110"/>
      <c r="J895" s="110"/>
      <c r="K895" s="119"/>
      <c r="L895" s="111" t="str">
        <f t="shared" si="150"/>
        <v/>
      </c>
      <c r="M895" s="112" t="str">
        <f t="shared" si="151"/>
        <v/>
      </c>
      <c r="N895" s="112" t="str">
        <f t="shared" si="152"/>
        <v/>
      </c>
      <c r="O895" s="112" t="str">
        <f t="shared" si="153"/>
        <v xml:space="preserve"> </v>
      </c>
      <c r="P895" s="113" t="str">
        <f t="shared" si="154"/>
        <v/>
      </c>
      <c r="Q895" s="114" t="str">
        <f t="shared" si="155"/>
        <v/>
      </c>
      <c r="R895" s="115" t="str">
        <f t="shared" si="156"/>
        <v/>
      </c>
      <c r="S895" s="115" t="str">
        <f t="shared" si="157"/>
        <v/>
      </c>
      <c r="T895" s="116" t="str">
        <f t="shared" si="158"/>
        <v/>
      </c>
      <c r="U895" s="120"/>
      <c r="V895" s="118"/>
    </row>
    <row r="896" spans="1:22" ht="13.2">
      <c r="A896" s="102"/>
      <c r="B896" s="102"/>
      <c r="C896" s="104"/>
      <c r="D896" s="105"/>
      <c r="E896" s="106"/>
      <c r="F896" s="107"/>
      <c r="G896" s="108"/>
      <c r="H896" s="109"/>
      <c r="I896" s="110"/>
      <c r="J896" s="110"/>
      <c r="K896" s="119"/>
      <c r="L896" s="111" t="str">
        <f t="shared" si="150"/>
        <v/>
      </c>
      <c r="M896" s="112" t="str">
        <f t="shared" si="151"/>
        <v/>
      </c>
      <c r="N896" s="112" t="str">
        <f t="shared" si="152"/>
        <v/>
      </c>
      <c r="O896" s="112" t="str">
        <f t="shared" si="153"/>
        <v xml:space="preserve"> </v>
      </c>
      <c r="P896" s="113" t="str">
        <f t="shared" si="154"/>
        <v/>
      </c>
      <c r="Q896" s="114" t="str">
        <f t="shared" si="155"/>
        <v/>
      </c>
      <c r="R896" s="115" t="str">
        <f t="shared" si="156"/>
        <v/>
      </c>
      <c r="S896" s="115" t="str">
        <f t="shared" si="157"/>
        <v/>
      </c>
      <c r="T896" s="116" t="str">
        <f t="shared" si="158"/>
        <v/>
      </c>
      <c r="U896" s="120"/>
      <c r="V896" s="118"/>
    </row>
    <row r="897" spans="1:22" ht="13.2">
      <c r="A897" s="102"/>
      <c r="B897" s="102"/>
      <c r="C897" s="104"/>
      <c r="D897" s="105"/>
      <c r="E897" s="106"/>
      <c r="F897" s="107"/>
      <c r="G897" s="108"/>
      <c r="H897" s="109"/>
      <c r="I897" s="110"/>
      <c r="J897" s="110"/>
      <c r="K897" s="119"/>
      <c r="L897" s="111" t="str">
        <f t="shared" si="150"/>
        <v/>
      </c>
      <c r="M897" s="112" t="str">
        <f t="shared" si="151"/>
        <v/>
      </c>
      <c r="N897" s="112" t="str">
        <f t="shared" si="152"/>
        <v/>
      </c>
      <c r="O897" s="112" t="str">
        <f t="shared" si="153"/>
        <v xml:space="preserve"> </v>
      </c>
      <c r="P897" s="113" t="str">
        <f t="shared" si="154"/>
        <v/>
      </c>
      <c r="Q897" s="114" t="str">
        <f t="shared" si="155"/>
        <v/>
      </c>
      <c r="R897" s="115" t="str">
        <f t="shared" si="156"/>
        <v/>
      </c>
      <c r="S897" s="115" t="str">
        <f t="shared" si="157"/>
        <v/>
      </c>
      <c r="T897" s="116" t="str">
        <f t="shared" si="158"/>
        <v/>
      </c>
      <c r="U897" s="120"/>
      <c r="V897" s="118"/>
    </row>
    <row r="898" spans="1:22" ht="13.2">
      <c r="A898" s="102"/>
      <c r="B898" s="102"/>
      <c r="C898" s="104"/>
      <c r="D898" s="105"/>
      <c r="E898" s="106"/>
      <c r="F898" s="107"/>
      <c r="G898" s="108"/>
      <c r="H898" s="109"/>
      <c r="I898" s="110"/>
      <c r="J898" s="110"/>
      <c r="K898" s="119"/>
      <c r="L898" s="111" t="str">
        <f t="shared" si="150"/>
        <v/>
      </c>
      <c r="M898" s="112" t="str">
        <f t="shared" si="151"/>
        <v/>
      </c>
      <c r="N898" s="112" t="str">
        <f t="shared" si="152"/>
        <v/>
      </c>
      <c r="O898" s="112" t="str">
        <f t="shared" si="153"/>
        <v xml:space="preserve"> </v>
      </c>
      <c r="P898" s="113" t="str">
        <f t="shared" si="154"/>
        <v/>
      </c>
      <c r="Q898" s="114" t="str">
        <f t="shared" si="155"/>
        <v/>
      </c>
      <c r="R898" s="115" t="str">
        <f t="shared" si="156"/>
        <v/>
      </c>
      <c r="S898" s="115" t="str">
        <f t="shared" si="157"/>
        <v/>
      </c>
      <c r="T898" s="116" t="str">
        <f t="shared" si="158"/>
        <v/>
      </c>
      <c r="U898" s="120"/>
      <c r="V898" s="118"/>
    </row>
    <row r="899" spans="1:22" ht="13.2">
      <c r="A899" s="102"/>
      <c r="B899" s="103"/>
      <c r="C899" s="104"/>
      <c r="D899" s="105"/>
      <c r="E899" s="106"/>
      <c r="F899" s="107"/>
      <c r="G899" s="108"/>
      <c r="H899" s="121"/>
      <c r="I899" s="122"/>
      <c r="J899" s="122"/>
      <c r="K899" s="123"/>
      <c r="L899" s="111" t="str">
        <f t="shared" si="150"/>
        <v/>
      </c>
      <c r="M899" s="112" t="str">
        <f t="shared" si="151"/>
        <v/>
      </c>
      <c r="N899" s="112" t="str">
        <f t="shared" si="152"/>
        <v/>
      </c>
      <c r="O899" s="112" t="str">
        <f t="shared" si="153"/>
        <v xml:space="preserve"> </v>
      </c>
      <c r="P899" s="113" t="str">
        <f t="shared" si="154"/>
        <v/>
      </c>
      <c r="Q899" s="114" t="str">
        <f t="shared" si="155"/>
        <v/>
      </c>
      <c r="R899" s="115" t="str">
        <f t="shared" si="156"/>
        <v/>
      </c>
      <c r="S899" s="115" t="str">
        <f t="shared" si="157"/>
        <v/>
      </c>
      <c r="T899" s="116" t="str">
        <f t="shared" si="158"/>
        <v/>
      </c>
      <c r="U899" s="120"/>
      <c r="V899" s="118"/>
    </row>
    <row r="900" spans="1:22" ht="13.2">
      <c r="A900" s="102"/>
      <c r="B900" s="103"/>
      <c r="C900" s="104"/>
      <c r="D900" s="105"/>
      <c r="E900" s="106"/>
      <c r="F900" s="107"/>
      <c r="G900" s="108"/>
      <c r="H900" s="121"/>
      <c r="I900" s="122"/>
      <c r="J900" s="122"/>
      <c r="K900" s="123"/>
      <c r="L900" s="111" t="str">
        <f t="shared" si="150"/>
        <v/>
      </c>
      <c r="M900" s="112" t="str">
        <f t="shared" si="151"/>
        <v/>
      </c>
      <c r="N900" s="112" t="str">
        <f t="shared" si="152"/>
        <v/>
      </c>
      <c r="O900" s="112" t="str">
        <f t="shared" si="153"/>
        <v xml:space="preserve"> </v>
      </c>
      <c r="P900" s="113" t="str">
        <f t="shared" si="154"/>
        <v/>
      </c>
      <c r="Q900" s="114" t="str">
        <f t="shared" si="155"/>
        <v/>
      </c>
      <c r="R900" s="115" t="str">
        <f t="shared" si="156"/>
        <v/>
      </c>
      <c r="S900" s="115" t="str">
        <f t="shared" si="157"/>
        <v/>
      </c>
      <c r="T900" s="116" t="str">
        <f t="shared" si="158"/>
        <v/>
      </c>
      <c r="U900" s="120"/>
      <c r="V900" s="118"/>
    </row>
    <row r="901" spans="1:22" ht="13.2">
      <c r="A901" s="102"/>
      <c r="B901" s="103"/>
      <c r="C901" s="104"/>
      <c r="D901" s="105"/>
      <c r="E901" s="106"/>
      <c r="F901" s="107"/>
      <c r="G901" s="108"/>
      <c r="H901" s="121"/>
      <c r="I901" s="122"/>
      <c r="J901" s="122"/>
      <c r="K901" s="123"/>
      <c r="L901" s="111" t="str">
        <f t="shared" si="150"/>
        <v/>
      </c>
      <c r="M901" s="112" t="str">
        <f t="shared" si="151"/>
        <v/>
      </c>
      <c r="N901" s="112" t="str">
        <f t="shared" si="152"/>
        <v/>
      </c>
      <c r="O901" s="112" t="str">
        <f t="shared" si="153"/>
        <v xml:space="preserve"> </v>
      </c>
      <c r="P901" s="113" t="str">
        <f t="shared" si="154"/>
        <v/>
      </c>
      <c r="Q901" s="114" t="str">
        <f t="shared" si="155"/>
        <v/>
      </c>
      <c r="R901" s="115" t="str">
        <f t="shared" si="156"/>
        <v/>
      </c>
      <c r="S901" s="115" t="str">
        <f t="shared" si="157"/>
        <v/>
      </c>
      <c r="T901" s="116" t="str">
        <f t="shared" si="158"/>
        <v/>
      </c>
      <c r="U901" s="120"/>
      <c r="V901" s="118"/>
    </row>
    <row r="902" spans="1:22" ht="13.2">
      <c r="A902" s="102"/>
      <c r="B902" s="102"/>
      <c r="C902" s="103"/>
      <c r="D902" s="105"/>
      <c r="E902" s="106"/>
      <c r="F902" s="107"/>
      <c r="G902" s="108"/>
      <c r="H902" s="109"/>
      <c r="I902" s="110"/>
      <c r="J902" s="110"/>
      <c r="K902" s="119"/>
      <c r="L902" s="111" t="str">
        <f t="shared" si="150"/>
        <v/>
      </c>
      <c r="M902" s="112" t="str">
        <f t="shared" si="151"/>
        <v/>
      </c>
      <c r="N902" s="112" t="str">
        <f t="shared" si="152"/>
        <v/>
      </c>
      <c r="O902" s="112" t="str">
        <f t="shared" si="153"/>
        <v xml:space="preserve"> </v>
      </c>
      <c r="P902" s="113" t="str">
        <f t="shared" si="154"/>
        <v/>
      </c>
      <c r="Q902" s="114" t="str">
        <f t="shared" si="155"/>
        <v/>
      </c>
      <c r="R902" s="115" t="str">
        <f t="shared" si="156"/>
        <v/>
      </c>
      <c r="S902" s="115" t="str">
        <f t="shared" si="157"/>
        <v/>
      </c>
      <c r="T902" s="116" t="str">
        <f t="shared" si="158"/>
        <v/>
      </c>
      <c r="U902" s="120"/>
      <c r="V902" s="118"/>
    </row>
    <row r="903" spans="1:22" ht="13.2">
      <c r="A903" s="102"/>
      <c r="B903" s="102"/>
      <c r="C903" s="103"/>
      <c r="D903" s="105"/>
      <c r="E903" s="106"/>
      <c r="F903" s="107"/>
      <c r="G903" s="108"/>
      <c r="H903" s="109"/>
      <c r="I903" s="110"/>
      <c r="J903" s="110"/>
      <c r="K903" s="119"/>
      <c r="L903" s="111" t="str">
        <f t="shared" si="150"/>
        <v/>
      </c>
      <c r="M903" s="112" t="str">
        <f t="shared" si="151"/>
        <v/>
      </c>
      <c r="N903" s="112" t="str">
        <f t="shared" si="152"/>
        <v/>
      </c>
      <c r="O903" s="112" t="str">
        <f t="shared" si="153"/>
        <v xml:space="preserve"> </v>
      </c>
      <c r="P903" s="113" t="str">
        <f t="shared" si="154"/>
        <v/>
      </c>
      <c r="Q903" s="114" t="str">
        <f t="shared" si="155"/>
        <v/>
      </c>
      <c r="R903" s="115" t="str">
        <f t="shared" si="156"/>
        <v/>
      </c>
      <c r="S903" s="115" t="str">
        <f t="shared" si="157"/>
        <v/>
      </c>
      <c r="T903" s="116" t="str">
        <f t="shared" si="158"/>
        <v/>
      </c>
      <c r="U903" s="120"/>
      <c r="V903" s="118"/>
    </row>
    <row r="904" spans="1:22" ht="13.2">
      <c r="A904" s="102"/>
      <c r="B904" s="102"/>
      <c r="C904" s="104"/>
      <c r="D904" s="105"/>
      <c r="E904" s="106"/>
      <c r="F904" s="107"/>
      <c r="G904" s="108"/>
      <c r="H904" s="109"/>
      <c r="I904" s="110"/>
      <c r="J904" s="110"/>
      <c r="K904" s="119"/>
      <c r="L904" s="111" t="str">
        <f t="shared" si="150"/>
        <v/>
      </c>
      <c r="M904" s="112" t="str">
        <f t="shared" si="151"/>
        <v/>
      </c>
      <c r="N904" s="112" t="str">
        <f t="shared" si="152"/>
        <v/>
      </c>
      <c r="O904" s="112" t="str">
        <f t="shared" si="153"/>
        <v xml:space="preserve"> </v>
      </c>
      <c r="P904" s="113" t="str">
        <f t="shared" si="154"/>
        <v/>
      </c>
      <c r="Q904" s="114" t="str">
        <f t="shared" si="155"/>
        <v/>
      </c>
      <c r="R904" s="115" t="str">
        <f t="shared" si="156"/>
        <v/>
      </c>
      <c r="S904" s="115" t="str">
        <f t="shared" si="157"/>
        <v/>
      </c>
      <c r="T904" s="116" t="str">
        <f t="shared" si="158"/>
        <v/>
      </c>
      <c r="U904" s="120"/>
      <c r="V904" s="118"/>
    </row>
    <row r="905" spans="1:22" ht="13.2">
      <c r="A905" s="102"/>
      <c r="B905" s="102"/>
      <c r="C905" s="104"/>
      <c r="D905" s="105"/>
      <c r="E905" s="106"/>
      <c r="F905" s="107"/>
      <c r="G905" s="108"/>
      <c r="H905" s="109"/>
      <c r="I905" s="110"/>
      <c r="J905" s="110"/>
      <c r="K905" s="119"/>
      <c r="L905" s="111" t="str">
        <f t="shared" si="150"/>
        <v/>
      </c>
      <c r="M905" s="112" t="str">
        <f t="shared" si="151"/>
        <v/>
      </c>
      <c r="N905" s="112" t="str">
        <f t="shared" si="152"/>
        <v/>
      </c>
      <c r="O905" s="112" t="str">
        <f t="shared" si="153"/>
        <v xml:space="preserve"> </v>
      </c>
      <c r="P905" s="113" t="str">
        <f t="shared" si="154"/>
        <v/>
      </c>
      <c r="Q905" s="114" t="str">
        <f t="shared" si="155"/>
        <v/>
      </c>
      <c r="R905" s="115" t="str">
        <f t="shared" si="156"/>
        <v/>
      </c>
      <c r="S905" s="115" t="str">
        <f t="shared" si="157"/>
        <v/>
      </c>
      <c r="T905" s="116" t="str">
        <f t="shared" si="158"/>
        <v/>
      </c>
      <c r="U905" s="120"/>
      <c r="V905" s="118"/>
    </row>
    <row r="906" spans="1:22" ht="13.2">
      <c r="A906" s="102"/>
      <c r="B906" s="102"/>
      <c r="C906" s="104"/>
      <c r="D906" s="105"/>
      <c r="E906" s="106"/>
      <c r="F906" s="107"/>
      <c r="G906" s="108"/>
      <c r="H906" s="109"/>
      <c r="I906" s="110"/>
      <c r="J906" s="110"/>
      <c r="K906" s="119"/>
      <c r="L906" s="111" t="str">
        <f t="shared" si="150"/>
        <v/>
      </c>
      <c r="M906" s="112" t="str">
        <f t="shared" si="151"/>
        <v/>
      </c>
      <c r="N906" s="112" t="str">
        <f t="shared" si="152"/>
        <v/>
      </c>
      <c r="O906" s="112" t="str">
        <f t="shared" si="153"/>
        <v xml:space="preserve"> </v>
      </c>
      <c r="P906" s="113" t="str">
        <f t="shared" si="154"/>
        <v/>
      </c>
      <c r="Q906" s="114" t="str">
        <f t="shared" si="155"/>
        <v/>
      </c>
      <c r="R906" s="115" t="str">
        <f t="shared" si="156"/>
        <v/>
      </c>
      <c r="S906" s="115" t="str">
        <f t="shared" si="157"/>
        <v/>
      </c>
      <c r="T906" s="116" t="str">
        <f t="shared" si="158"/>
        <v/>
      </c>
      <c r="U906" s="120"/>
      <c r="V906" s="118"/>
    </row>
    <row r="907" spans="1:22" ht="13.2">
      <c r="A907" s="102"/>
      <c r="B907" s="102"/>
      <c r="C907" s="104"/>
      <c r="D907" s="105"/>
      <c r="E907" s="106"/>
      <c r="F907" s="107"/>
      <c r="G907" s="108"/>
      <c r="H907" s="109"/>
      <c r="I907" s="110"/>
      <c r="J907" s="110"/>
      <c r="K907" s="119"/>
      <c r="L907" s="111" t="str">
        <f t="shared" si="150"/>
        <v/>
      </c>
      <c r="M907" s="112" t="str">
        <f t="shared" si="151"/>
        <v/>
      </c>
      <c r="N907" s="112" t="str">
        <f t="shared" si="152"/>
        <v/>
      </c>
      <c r="O907" s="112" t="str">
        <f t="shared" si="153"/>
        <v xml:space="preserve"> </v>
      </c>
      <c r="P907" s="113" t="str">
        <f t="shared" si="154"/>
        <v/>
      </c>
      <c r="Q907" s="114" t="str">
        <f t="shared" si="155"/>
        <v/>
      </c>
      <c r="R907" s="115" t="str">
        <f t="shared" si="156"/>
        <v/>
      </c>
      <c r="S907" s="115" t="str">
        <f t="shared" si="157"/>
        <v/>
      </c>
      <c r="T907" s="116" t="str">
        <f t="shared" si="158"/>
        <v/>
      </c>
      <c r="U907" s="120"/>
      <c r="V907" s="118"/>
    </row>
    <row r="908" spans="1:22" ht="13.2">
      <c r="A908" s="102"/>
      <c r="B908" s="102"/>
      <c r="C908" s="104"/>
      <c r="D908" s="105"/>
      <c r="E908" s="106"/>
      <c r="F908" s="107"/>
      <c r="G908" s="108"/>
      <c r="H908" s="109"/>
      <c r="I908" s="110"/>
      <c r="J908" s="110"/>
      <c r="K908" s="119"/>
      <c r="L908" s="111" t="str">
        <f t="shared" si="150"/>
        <v/>
      </c>
      <c r="M908" s="112" t="str">
        <f t="shared" si="151"/>
        <v/>
      </c>
      <c r="N908" s="112" t="str">
        <f t="shared" si="152"/>
        <v/>
      </c>
      <c r="O908" s="112" t="str">
        <f t="shared" si="153"/>
        <v xml:space="preserve"> </v>
      </c>
      <c r="P908" s="113" t="str">
        <f t="shared" si="154"/>
        <v/>
      </c>
      <c r="Q908" s="114" t="str">
        <f t="shared" si="155"/>
        <v/>
      </c>
      <c r="R908" s="115" t="str">
        <f t="shared" si="156"/>
        <v/>
      </c>
      <c r="S908" s="115" t="str">
        <f t="shared" si="157"/>
        <v/>
      </c>
      <c r="T908" s="116" t="str">
        <f t="shared" si="158"/>
        <v/>
      </c>
      <c r="U908" s="120"/>
      <c r="V908" s="118"/>
    </row>
    <row r="909" spans="1:22" ht="13.2">
      <c r="A909" s="102"/>
      <c r="B909" s="102"/>
      <c r="C909" s="104"/>
      <c r="D909" s="105"/>
      <c r="E909" s="106"/>
      <c r="F909" s="107"/>
      <c r="G909" s="108"/>
      <c r="H909" s="109"/>
      <c r="I909" s="110"/>
      <c r="J909" s="110"/>
      <c r="K909" s="110"/>
      <c r="L909" s="111" t="str">
        <f t="shared" si="150"/>
        <v/>
      </c>
      <c r="M909" s="112" t="str">
        <f t="shared" si="151"/>
        <v/>
      </c>
      <c r="N909" s="112" t="str">
        <f t="shared" si="152"/>
        <v/>
      </c>
      <c r="O909" s="112" t="str">
        <f t="shared" si="153"/>
        <v xml:space="preserve"> </v>
      </c>
      <c r="P909" s="113" t="str">
        <f t="shared" si="154"/>
        <v/>
      </c>
      <c r="Q909" s="114" t="str">
        <f t="shared" si="155"/>
        <v/>
      </c>
      <c r="R909" s="115" t="str">
        <f t="shared" si="156"/>
        <v/>
      </c>
      <c r="S909" s="115" t="str">
        <f t="shared" si="157"/>
        <v/>
      </c>
      <c r="T909" s="116" t="str">
        <f t="shared" si="158"/>
        <v/>
      </c>
      <c r="U909" s="120"/>
      <c r="V909" s="118"/>
    </row>
    <row r="910" spans="1:22" ht="13.2">
      <c r="A910" s="102"/>
      <c r="B910" s="102"/>
      <c r="C910" s="104"/>
      <c r="D910" s="105"/>
      <c r="E910" s="106"/>
      <c r="F910" s="107"/>
      <c r="G910" s="108"/>
      <c r="H910" s="109"/>
      <c r="I910" s="110"/>
      <c r="J910" s="110"/>
      <c r="K910" s="119"/>
      <c r="L910" s="111" t="str">
        <f t="shared" si="150"/>
        <v/>
      </c>
      <c r="M910" s="112" t="str">
        <f t="shared" si="151"/>
        <v/>
      </c>
      <c r="N910" s="112" t="str">
        <f t="shared" si="152"/>
        <v/>
      </c>
      <c r="O910" s="112" t="str">
        <f t="shared" si="153"/>
        <v xml:space="preserve"> </v>
      </c>
      <c r="P910" s="113" t="str">
        <f t="shared" si="154"/>
        <v/>
      </c>
      <c r="Q910" s="114" t="str">
        <f t="shared" si="155"/>
        <v/>
      </c>
      <c r="R910" s="115" t="str">
        <f t="shared" si="156"/>
        <v/>
      </c>
      <c r="S910" s="115" t="str">
        <f t="shared" si="157"/>
        <v/>
      </c>
      <c r="T910" s="116" t="str">
        <f t="shared" si="158"/>
        <v/>
      </c>
      <c r="U910" s="120"/>
      <c r="V910" s="118"/>
    </row>
    <row r="911" spans="1:22" ht="13.2">
      <c r="A911" s="102"/>
      <c r="B911" s="102"/>
      <c r="C911" s="104"/>
      <c r="D911" s="105"/>
      <c r="E911" s="106"/>
      <c r="F911" s="107"/>
      <c r="G911" s="108"/>
      <c r="H911" s="109"/>
      <c r="I911" s="110"/>
      <c r="J911" s="110"/>
      <c r="K911" s="119"/>
      <c r="L911" s="111" t="str">
        <f t="shared" si="150"/>
        <v/>
      </c>
      <c r="M911" s="112" t="str">
        <f t="shared" si="151"/>
        <v/>
      </c>
      <c r="N911" s="112" t="str">
        <f t="shared" si="152"/>
        <v/>
      </c>
      <c r="O911" s="112" t="str">
        <f t="shared" si="153"/>
        <v xml:space="preserve"> </v>
      </c>
      <c r="P911" s="113" t="str">
        <f t="shared" si="154"/>
        <v/>
      </c>
      <c r="Q911" s="114" t="str">
        <f t="shared" si="155"/>
        <v/>
      </c>
      <c r="R911" s="115" t="str">
        <f t="shared" si="156"/>
        <v/>
      </c>
      <c r="S911" s="115" t="str">
        <f t="shared" si="157"/>
        <v/>
      </c>
      <c r="T911" s="116" t="str">
        <f t="shared" si="158"/>
        <v/>
      </c>
      <c r="U911" s="120"/>
      <c r="V911" s="118"/>
    </row>
    <row r="912" spans="1:22" ht="13.2">
      <c r="A912" s="102"/>
      <c r="B912" s="102"/>
      <c r="C912" s="104"/>
      <c r="D912" s="105"/>
      <c r="E912" s="106"/>
      <c r="F912" s="107"/>
      <c r="G912" s="108"/>
      <c r="H912" s="109"/>
      <c r="I912" s="110"/>
      <c r="J912" s="110"/>
      <c r="K912" s="119"/>
      <c r="L912" s="111" t="str">
        <f t="shared" si="150"/>
        <v/>
      </c>
      <c r="M912" s="112" t="str">
        <f t="shared" si="151"/>
        <v/>
      </c>
      <c r="N912" s="112" t="str">
        <f t="shared" si="152"/>
        <v/>
      </c>
      <c r="O912" s="112" t="str">
        <f t="shared" si="153"/>
        <v xml:space="preserve"> </v>
      </c>
      <c r="P912" s="113" t="str">
        <f t="shared" si="154"/>
        <v/>
      </c>
      <c r="Q912" s="114" t="str">
        <f t="shared" si="155"/>
        <v/>
      </c>
      <c r="R912" s="115" t="str">
        <f t="shared" si="156"/>
        <v/>
      </c>
      <c r="S912" s="115" t="str">
        <f t="shared" si="157"/>
        <v/>
      </c>
      <c r="T912" s="116" t="str">
        <f t="shared" si="158"/>
        <v/>
      </c>
      <c r="U912" s="120"/>
      <c r="V912" s="118"/>
    </row>
    <row r="913" spans="1:22" ht="13.2">
      <c r="A913" s="102"/>
      <c r="B913" s="102"/>
      <c r="C913" s="104"/>
      <c r="D913" s="105"/>
      <c r="E913" s="106"/>
      <c r="F913" s="107"/>
      <c r="G913" s="108"/>
      <c r="H913" s="109"/>
      <c r="I913" s="110"/>
      <c r="J913" s="110"/>
      <c r="K913" s="119"/>
      <c r="L913" s="111" t="str">
        <f t="shared" si="150"/>
        <v/>
      </c>
      <c r="M913" s="112" t="str">
        <f t="shared" si="151"/>
        <v/>
      </c>
      <c r="N913" s="112" t="str">
        <f t="shared" si="152"/>
        <v/>
      </c>
      <c r="O913" s="112" t="str">
        <f t="shared" si="153"/>
        <v xml:space="preserve"> </v>
      </c>
      <c r="P913" s="113" t="str">
        <f t="shared" si="154"/>
        <v/>
      </c>
      <c r="Q913" s="114" t="str">
        <f t="shared" si="155"/>
        <v/>
      </c>
      <c r="R913" s="115" t="str">
        <f t="shared" si="156"/>
        <v/>
      </c>
      <c r="S913" s="115" t="str">
        <f t="shared" si="157"/>
        <v/>
      </c>
      <c r="T913" s="116" t="str">
        <f t="shared" si="158"/>
        <v/>
      </c>
      <c r="U913" s="120"/>
      <c r="V913" s="118"/>
    </row>
    <row r="914" spans="1:22" ht="13.2">
      <c r="A914" s="102"/>
      <c r="B914" s="103"/>
      <c r="C914" s="104"/>
      <c r="D914" s="105"/>
      <c r="E914" s="106"/>
      <c r="F914" s="107"/>
      <c r="G914" s="108"/>
      <c r="H914" s="121"/>
      <c r="I914" s="122"/>
      <c r="J914" s="122"/>
      <c r="K914" s="123"/>
      <c r="L914" s="111" t="str">
        <f t="shared" si="150"/>
        <v/>
      </c>
      <c r="M914" s="112" t="str">
        <f t="shared" si="151"/>
        <v/>
      </c>
      <c r="N914" s="112" t="str">
        <f t="shared" si="152"/>
        <v/>
      </c>
      <c r="O914" s="112" t="str">
        <f t="shared" si="153"/>
        <v xml:space="preserve"> </v>
      </c>
      <c r="P914" s="113" t="str">
        <f t="shared" si="154"/>
        <v/>
      </c>
      <c r="Q914" s="114" t="str">
        <f t="shared" si="155"/>
        <v/>
      </c>
      <c r="R914" s="115" t="str">
        <f t="shared" si="156"/>
        <v/>
      </c>
      <c r="S914" s="115" t="str">
        <f t="shared" si="157"/>
        <v/>
      </c>
      <c r="T914" s="116" t="str">
        <f t="shared" si="158"/>
        <v/>
      </c>
      <c r="U914" s="120"/>
      <c r="V914" s="118"/>
    </row>
    <row r="915" spans="1:22" ht="13.2">
      <c r="A915" s="102"/>
      <c r="B915" s="103"/>
      <c r="C915" s="104"/>
      <c r="D915" s="105"/>
      <c r="E915" s="106"/>
      <c r="F915" s="107"/>
      <c r="G915" s="108"/>
      <c r="H915" s="121"/>
      <c r="I915" s="122"/>
      <c r="J915" s="122"/>
      <c r="K915" s="123"/>
      <c r="L915" s="111" t="str">
        <f t="shared" ref="L915:L973" si="159">IF(ISBLANK($E915),"",IF(ISERR(I915/I915)=TRUE,"BAD INSP",I915-$E915))</f>
        <v/>
      </c>
      <c r="M915" s="112" t="str">
        <f t="shared" ref="M915:M973" si="160">IF(ISBLANK($E915),"",IF(ISERR(J915/J915)=TRUE,"BAD INSP",J915-$E915))</f>
        <v/>
      </c>
      <c r="N915" s="112" t="str">
        <f t="shared" ref="N915:N973" si="161">IF(ISBLANK($E915),"",IF(ISERR(K915/K915)=TRUE,"BAD INSP",K915-$E915))</f>
        <v/>
      </c>
      <c r="O915" s="112" t="str">
        <f t="shared" si="153"/>
        <v xml:space="preserve"> </v>
      </c>
      <c r="P915" s="113" t="str">
        <f t="shared" si="154"/>
        <v/>
      </c>
      <c r="Q915" s="114" t="str">
        <f t="shared" si="155"/>
        <v/>
      </c>
      <c r="R915" s="115" t="str">
        <f t="shared" si="156"/>
        <v/>
      </c>
      <c r="S915" s="115" t="str">
        <f t="shared" si="157"/>
        <v/>
      </c>
      <c r="T915" s="116" t="str">
        <f t="shared" si="158"/>
        <v/>
      </c>
      <c r="U915" s="120"/>
      <c r="V915" s="118"/>
    </row>
    <row r="916" spans="1:22" ht="13.2">
      <c r="A916" s="102"/>
      <c r="B916" s="103"/>
      <c r="C916" s="104"/>
      <c r="D916" s="105"/>
      <c r="E916" s="106"/>
      <c r="F916" s="107"/>
      <c r="G916" s="108"/>
      <c r="H916" s="121"/>
      <c r="I916" s="122"/>
      <c r="J916" s="122"/>
      <c r="K916" s="123"/>
      <c r="L916" s="111" t="str">
        <f t="shared" si="159"/>
        <v/>
      </c>
      <c r="M916" s="112" t="str">
        <f t="shared" si="160"/>
        <v/>
      </c>
      <c r="N916" s="112" t="str">
        <f t="shared" si="161"/>
        <v/>
      </c>
      <c r="O916" s="112" t="str">
        <f t="shared" si="153"/>
        <v xml:space="preserve"> </v>
      </c>
      <c r="P916" s="113" t="str">
        <f t="shared" si="154"/>
        <v/>
      </c>
      <c r="Q916" s="114" t="str">
        <f t="shared" si="155"/>
        <v/>
      </c>
      <c r="R916" s="115" t="str">
        <f t="shared" si="156"/>
        <v/>
      </c>
      <c r="S916" s="115" t="str">
        <f t="shared" si="157"/>
        <v/>
      </c>
      <c r="T916" s="116" t="str">
        <f t="shared" si="158"/>
        <v/>
      </c>
      <c r="U916" s="120"/>
      <c r="V916" s="118"/>
    </row>
    <row r="917" spans="1:22" ht="13.2">
      <c r="A917" s="102"/>
      <c r="B917" s="102"/>
      <c r="C917" s="103"/>
      <c r="D917" s="105"/>
      <c r="E917" s="106"/>
      <c r="F917" s="107"/>
      <c r="G917" s="108"/>
      <c r="H917" s="109"/>
      <c r="I917" s="110"/>
      <c r="J917" s="110"/>
      <c r="K917" s="119"/>
      <c r="L917" s="111" t="str">
        <f t="shared" si="159"/>
        <v/>
      </c>
      <c r="M917" s="112" t="str">
        <f t="shared" si="160"/>
        <v/>
      </c>
      <c r="N917" s="112" t="str">
        <f t="shared" si="161"/>
        <v/>
      </c>
      <c r="O917" s="112" t="str">
        <f t="shared" si="153"/>
        <v xml:space="preserve"> </v>
      </c>
      <c r="P917" s="113" t="str">
        <f t="shared" si="154"/>
        <v/>
      </c>
      <c r="Q917" s="114" t="str">
        <f t="shared" si="155"/>
        <v/>
      </c>
      <c r="R917" s="115" t="str">
        <f t="shared" si="156"/>
        <v/>
      </c>
      <c r="S917" s="115" t="str">
        <f t="shared" si="157"/>
        <v/>
      </c>
      <c r="T917" s="116" t="str">
        <f t="shared" si="158"/>
        <v/>
      </c>
      <c r="U917" s="120"/>
      <c r="V917" s="118"/>
    </row>
    <row r="918" spans="1:22" ht="13.2">
      <c r="A918" s="102"/>
      <c r="B918" s="102"/>
      <c r="C918" s="103"/>
      <c r="D918" s="105"/>
      <c r="E918" s="106"/>
      <c r="F918" s="107"/>
      <c r="G918" s="108"/>
      <c r="H918" s="109"/>
      <c r="I918" s="110"/>
      <c r="J918" s="110"/>
      <c r="K918" s="119"/>
      <c r="L918" s="111" t="str">
        <f t="shared" si="159"/>
        <v/>
      </c>
      <c r="M918" s="112" t="str">
        <f t="shared" si="160"/>
        <v/>
      </c>
      <c r="N918" s="112" t="str">
        <f t="shared" si="161"/>
        <v/>
      </c>
      <c r="O918" s="112" t="str">
        <f t="shared" si="153"/>
        <v xml:space="preserve"> </v>
      </c>
      <c r="P918" s="113" t="str">
        <f t="shared" si="154"/>
        <v/>
      </c>
      <c r="Q918" s="114" t="str">
        <f t="shared" si="155"/>
        <v/>
      </c>
      <c r="R918" s="115" t="str">
        <f t="shared" si="156"/>
        <v/>
      </c>
      <c r="S918" s="115" t="str">
        <f t="shared" si="157"/>
        <v/>
      </c>
      <c r="T918" s="116" t="str">
        <f t="shared" si="158"/>
        <v/>
      </c>
      <c r="U918" s="120"/>
      <c r="V918" s="118"/>
    </row>
    <row r="919" spans="1:22" ht="13.2">
      <c r="A919" s="102"/>
      <c r="B919" s="102"/>
      <c r="C919" s="104"/>
      <c r="D919" s="105"/>
      <c r="E919" s="106"/>
      <c r="F919" s="107"/>
      <c r="G919" s="108"/>
      <c r="H919" s="109"/>
      <c r="I919" s="110"/>
      <c r="J919" s="110"/>
      <c r="K919" s="119"/>
      <c r="L919" s="111" t="str">
        <f t="shared" si="159"/>
        <v/>
      </c>
      <c r="M919" s="112" t="str">
        <f t="shared" si="160"/>
        <v/>
      </c>
      <c r="N919" s="112" t="str">
        <f t="shared" si="161"/>
        <v/>
      </c>
      <c r="O919" s="112" t="str">
        <f t="shared" si="153"/>
        <v xml:space="preserve"> </v>
      </c>
      <c r="P919" s="113" t="str">
        <f t="shared" si="154"/>
        <v/>
      </c>
      <c r="Q919" s="114" t="str">
        <f t="shared" si="155"/>
        <v/>
      </c>
      <c r="R919" s="115" t="str">
        <f t="shared" si="156"/>
        <v/>
      </c>
      <c r="S919" s="115" t="str">
        <f t="shared" si="157"/>
        <v/>
      </c>
      <c r="T919" s="116" t="str">
        <f t="shared" si="158"/>
        <v/>
      </c>
      <c r="U919" s="120"/>
      <c r="V919" s="118"/>
    </row>
    <row r="920" spans="1:22" ht="13.2">
      <c r="A920" s="102"/>
      <c r="B920" s="102"/>
      <c r="C920" s="104"/>
      <c r="D920" s="105"/>
      <c r="E920" s="106"/>
      <c r="F920" s="107"/>
      <c r="G920" s="108"/>
      <c r="H920" s="109"/>
      <c r="I920" s="110"/>
      <c r="J920" s="110"/>
      <c r="K920" s="119"/>
      <c r="L920" s="111" t="str">
        <f t="shared" si="159"/>
        <v/>
      </c>
      <c r="M920" s="112" t="str">
        <f t="shared" si="160"/>
        <v/>
      </c>
      <c r="N920" s="112" t="str">
        <f t="shared" si="161"/>
        <v/>
      </c>
      <c r="O920" s="112" t="str">
        <f t="shared" si="153"/>
        <v xml:space="preserve"> </v>
      </c>
      <c r="P920" s="113" t="str">
        <f t="shared" si="154"/>
        <v/>
      </c>
      <c r="Q920" s="114" t="str">
        <f t="shared" si="155"/>
        <v/>
      </c>
      <c r="R920" s="115" t="str">
        <f t="shared" si="156"/>
        <v/>
      </c>
      <c r="S920" s="115" t="str">
        <f t="shared" si="157"/>
        <v/>
      </c>
      <c r="T920" s="116" t="str">
        <f t="shared" si="158"/>
        <v/>
      </c>
      <c r="U920" s="120"/>
      <c r="V920" s="118"/>
    </row>
    <row r="921" spans="1:22" ht="13.2">
      <c r="A921" s="102"/>
      <c r="B921" s="102"/>
      <c r="C921" s="104"/>
      <c r="D921" s="105"/>
      <c r="E921" s="106"/>
      <c r="F921" s="107"/>
      <c r="G921" s="108"/>
      <c r="H921" s="109"/>
      <c r="I921" s="110"/>
      <c r="J921" s="110"/>
      <c r="K921" s="119"/>
      <c r="L921" s="111" t="str">
        <f t="shared" si="159"/>
        <v/>
      </c>
      <c r="M921" s="112" t="str">
        <f t="shared" si="160"/>
        <v/>
      </c>
      <c r="N921" s="112" t="str">
        <f t="shared" si="161"/>
        <v/>
      </c>
      <c r="O921" s="112" t="str">
        <f t="shared" si="153"/>
        <v xml:space="preserve"> </v>
      </c>
      <c r="P921" s="113" t="str">
        <f t="shared" si="154"/>
        <v/>
      </c>
      <c r="Q921" s="114" t="str">
        <f t="shared" si="155"/>
        <v/>
      </c>
      <c r="R921" s="115" t="str">
        <f t="shared" si="156"/>
        <v/>
      </c>
      <c r="S921" s="115" t="str">
        <f t="shared" si="157"/>
        <v/>
      </c>
      <c r="T921" s="116" t="str">
        <f t="shared" si="158"/>
        <v/>
      </c>
      <c r="U921" s="120"/>
      <c r="V921" s="118"/>
    </row>
    <row r="922" spans="1:22" ht="13.2">
      <c r="A922" s="102"/>
      <c r="B922" s="102"/>
      <c r="C922" s="104"/>
      <c r="D922" s="105"/>
      <c r="E922" s="106"/>
      <c r="F922" s="107"/>
      <c r="G922" s="108"/>
      <c r="H922" s="109"/>
      <c r="I922" s="110"/>
      <c r="J922" s="110"/>
      <c r="K922" s="119"/>
      <c r="L922" s="111" t="str">
        <f t="shared" si="159"/>
        <v/>
      </c>
      <c r="M922" s="112" t="str">
        <f t="shared" si="160"/>
        <v/>
      </c>
      <c r="N922" s="112" t="str">
        <f t="shared" si="161"/>
        <v/>
      </c>
      <c r="O922" s="112" t="str">
        <f t="shared" si="153"/>
        <v xml:space="preserve"> </v>
      </c>
      <c r="P922" s="113" t="str">
        <f t="shared" si="154"/>
        <v/>
      </c>
      <c r="Q922" s="114" t="str">
        <f t="shared" si="155"/>
        <v/>
      </c>
      <c r="R922" s="115" t="str">
        <f t="shared" si="156"/>
        <v/>
      </c>
      <c r="S922" s="115" t="str">
        <f t="shared" si="157"/>
        <v/>
      </c>
      <c r="T922" s="116" t="str">
        <f t="shared" si="158"/>
        <v/>
      </c>
      <c r="U922" s="120"/>
      <c r="V922" s="118"/>
    </row>
    <row r="923" spans="1:22" ht="13.2">
      <c r="A923" s="102"/>
      <c r="B923" s="102"/>
      <c r="C923" s="104"/>
      <c r="D923" s="105"/>
      <c r="E923" s="106"/>
      <c r="F923" s="107"/>
      <c r="G923" s="108"/>
      <c r="H923" s="109"/>
      <c r="I923" s="110"/>
      <c r="J923" s="110"/>
      <c r="K923" s="119"/>
      <c r="L923" s="111" t="str">
        <f t="shared" si="159"/>
        <v/>
      </c>
      <c r="M923" s="112" t="str">
        <f t="shared" si="160"/>
        <v/>
      </c>
      <c r="N923" s="112" t="str">
        <f t="shared" si="161"/>
        <v/>
      </c>
      <c r="O923" s="112" t="str">
        <f t="shared" si="153"/>
        <v xml:space="preserve"> </v>
      </c>
      <c r="P923" s="113" t="str">
        <f t="shared" si="154"/>
        <v/>
      </c>
      <c r="Q923" s="114" t="str">
        <f t="shared" si="155"/>
        <v/>
      </c>
      <c r="R923" s="115" t="str">
        <f t="shared" si="156"/>
        <v/>
      </c>
      <c r="S923" s="115" t="str">
        <f t="shared" si="157"/>
        <v/>
      </c>
      <c r="T923" s="116" t="str">
        <f t="shared" si="158"/>
        <v/>
      </c>
      <c r="U923" s="120"/>
      <c r="V923" s="118"/>
    </row>
    <row r="924" spans="1:22" ht="13.2">
      <c r="A924" s="102"/>
      <c r="B924" s="102"/>
      <c r="C924" s="104"/>
      <c r="D924" s="105"/>
      <c r="E924" s="106"/>
      <c r="F924" s="107"/>
      <c r="G924" s="108"/>
      <c r="H924" s="109"/>
      <c r="I924" s="110"/>
      <c r="J924" s="110"/>
      <c r="K924" s="110"/>
      <c r="L924" s="111" t="str">
        <f t="shared" si="159"/>
        <v/>
      </c>
      <c r="M924" s="112" t="str">
        <f t="shared" si="160"/>
        <v/>
      </c>
      <c r="N924" s="112" t="str">
        <f t="shared" si="161"/>
        <v/>
      </c>
      <c r="O924" s="112" t="str">
        <f t="shared" si="153"/>
        <v xml:space="preserve"> </v>
      </c>
      <c r="P924" s="113" t="str">
        <f t="shared" si="154"/>
        <v/>
      </c>
      <c r="Q924" s="114" t="str">
        <f t="shared" si="155"/>
        <v/>
      </c>
      <c r="R924" s="115" t="str">
        <f t="shared" si="156"/>
        <v/>
      </c>
      <c r="S924" s="115" t="str">
        <f t="shared" si="157"/>
        <v/>
      </c>
      <c r="T924" s="116" t="str">
        <f t="shared" si="158"/>
        <v/>
      </c>
      <c r="U924" s="120"/>
      <c r="V924" s="118"/>
    </row>
    <row r="925" spans="1:22" ht="13.2">
      <c r="A925" s="102"/>
      <c r="B925" s="102"/>
      <c r="C925" s="104"/>
      <c r="D925" s="105"/>
      <c r="E925" s="106"/>
      <c r="F925" s="107"/>
      <c r="G925" s="108"/>
      <c r="H925" s="109"/>
      <c r="I925" s="110"/>
      <c r="J925" s="110"/>
      <c r="K925" s="119"/>
      <c r="L925" s="111" t="str">
        <f t="shared" si="159"/>
        <v/>
      </c>
      <c r="M925" s="112" t="str">
        <f t="shared" si="160"/>
        <v/>
      </c>
      <c r="N925" s="112" t="str">
        <f t="shared" si="161"/>
        <v/>
      </c>
      <c r="O925" s="112" t="str">
        <f t="shared" si="153"/>
        <v xml:space="preserve"> </v>
      </c>
      <c r="P925" s="113" t="str">
        <f t="shared" si="154"/>
        <v/>
      </c>
      <c r="Q925" s="114" t="str">
        <f t="shared" si="155"/>
        <v/>
      </c>
      <c r="R925" s="115" t="str">
        <f t="shared" si="156"/>
        <v/>
      </c>
      <c r="S925" s="115" t="str">
        <f t="shared" si="157"/>
        <v/>
      </c>
      <c r="T925" s="116" t="str">
        <f t="shared" si="158"/>
        <v/>
      </c>
      <c r="U925" s="120"/>
      <c r="V925" s="118"/>
    </row>
    <row r="926" spans="1:22" ht="13.2">
      <c r="A926" s="102"/>
      <c r="B926" s="102"/>
      <c r="C926" s="104"/>
      <c r="D926" s="105"/>
      <c r="E926" s="106"/>
      <c r="F926" s="107"/>
      <c r="G926" s="108"/>
      <c r="H926" s="109"/>
      <c r="I926" s="110"/>
      <c r="J926" s="110"/>
      <c r="K926" s="119"/>
      <c r="L926" s="111" t="str">
        <f t="shared" si="159"/>
        <v/>
      </c>
      <c r="M926" s="112" t="str">
        <f t="shared" si="160"/>
        <v/>
      </c>
      <c r="N926" s="112" t="str">
        <f t="shared" si="161"/>
        <v/>
      </c>
      <c r="O926" s="112" t="str">
        <f t="shared" si="153"/>
        <v xml:space="preserve"> </v>
      </c>
      <c r="P926" s="113" t="str">
        <f t="shared" si="154"/>
        <v/>
      </c>
      <c r="Q926" s="114" t="str">
        <f t="shared" si="155"/>
        <v/>
      </c>
      <c r="R926" s="115" t="str">
        <f t="shared" si="156"/>
        <v/>
      </c>
      <c r="S926" s="115" t="str">
        <f t="shared" si="157"/>
        <v/>
      </c>
      <c r="T926" s="116" t="str">
        <f t="shared" si="158"/>
        <v/>
      </c>
      <c r="U926" s="120"/>
      <c r="V926" s="118"/>
    </row>
    <row r="927" spans="1:22" ht="13.2">
      <c r="A927" s="102"/>
      <c r="B927" s="102"/>
      <c r="C927" s="104"/>
      <c r="D927" s="105"/>
      <c r="E927" s="106"/>
      <c r="F927" s="107"/>
      <c r="G927" s="108"/>
      <c r="H927" s="109"/>
      <c r="I927" s="110"/>
      <c r="J927" s="110"/>
      <c r="K927" s="119"/>
      <c r="L927" s="111" t="str">
        <f t="shared" si="159"/>
        <v/>
      </c>
      <c r="M927" s="112" t="str">
        <f t="shared" si="160"/>
        <v/>
      </c>
      <c r="N927" s="112" t="str">
        <f t="shared" si="161"/>
        <v/>
      </c>
      <c r="O927" s="112" t="str">
        <f t="shared" si="153"/>
        <v xml:space="preserve"> </v>
      </c>
      <c r="P927" s="113" t="str">
        <f t="shared" si="154"/>
        <v/>
      </c>
      <c r="Q927" s="114" t="str">
        <f t="shared" si="155"/>
        <v/>
      </c>
      <c r="R927" s="115" t="str">
        <f t="shared" si="156"/>
        <v/>
      </c>
      <c r="S927" s="115" t="str">
        <f t="shared" si="157"/>
        <v/>
      </c>
      <c r="T927" s="116" t="str">
        <f t="shared" si="158"/>
        <v/>
      </c>
      <c r="U927" s="120"/>
      <c r="V927" s="118"/>
    </row>
    <row r="928" spans="1:22" ht="13.2">
      <c r="A928" s="102"/>
      <c r="B928" s="102"/>
      <c r="C928" s="104"/>
      <c r="D928" s="105"/>
      <c r="E928" s="106"/>
      <c r="F928" s="107"/>
      <c r="G928" s="108"/>
      <c r="H928" s="109"/>
      <c r="I928" s="110"/>
      <c r="J928" s="110"/>
      <c r="K928" s="119"/>
      <c r="L928" s="111" t="str">
        <f t="shared" si="159"/>
        <v/>
      </c>
      <c r="M928" s="112" t="str">
        <f t="shared" si="160"/>
        <v/>
      </c>
      <c r="N928" s="112" t="str">
        <f t="shared" si="161"/>
        <v/>
      </c>
      <c r="O928" s="112" t="str">
        <f t="shared" si="153"/>
        <v xml:space="preserve"> </v>
      </c>
      <c r="P928" s="113" t="str">
        <f t="shared" si="154"/>
        <v/>
      </c>
      <c r="Q928" s="114" t="str">
        <f t="shared" si="155"/>
        <v/>
      </c>
      <c r="R928" s="115" t="str">
        <f t="shared" si="156"/>
        <v/>
      </c>
      <c r="S928" s="115" t="str">
        <f t="shared" si="157"/>
        <v/>
      </c>
      <c r="T928" s="116" t="str">
        <f t="shared" si="158"/>
        <v/>
      </c>
      <c r="U928" s="120"/>
      <c r="V928" s="118"/>
    </row>
    <row r="929" spans="1:22" ht="13.2">
      <c r="A929" s="102"/>
      <c r="B929" s="103"/>
      <c r="C929" s="104"/>
      <c r="D929" s="105"/>
      <c r="E929" s="106"/>
      <c r="F929" s="107"/>
      <c r="G929" s="108"/>
      <c r="H929" s="121"/>
      <c r="I929" s="122"/>
      <c r="J929" s="122"/>
      <c r="K929" s="123"/>
      <c r="L929" s="111" t="str">
        <f t="shared" si="159"/>
        <v/>
      </c>
      <c r="M929" s="112" t="str">
        <f t="shared" si="160"/>
        <v/>
      </c>
      <c r="N929" s="112" t="str">
        <f t="shared" si="161"/>
        <v/>
      </c>
      <c r="O929" s="112" t="str">
        <f t="shared" si="153"/>
        <v xml:space="preserve"> </v>
      </c>
      <c r="P929" s="113" t="str">
        <f t="shared" si="154"/>
        <v/>
      </c>
      <c r="Q929" s="114" t="str">
        <f t="shared" si="155"/>
        <v/>
      </c>
      <c r="R929" s="115" t="str">
        <f t="shared" si="156"/>
        <v/>
      </c>
      <c r="S929" s="115" t="str">
        <f t="shared" si="157"/>
        <v/>
      </c>
      <c r="T929" s="116" t="str">
        <f t="shared" si="158"/>
        <v/>
      </c>
      <c r="U929" s="120"/>
      <c r="V929" s="118"/>
    </row>
    <row r="930" spans="1:22" ht="13.2">
      <c r="A930" s="102"/>
      <c r="B930" s="103"/>
      <c r="C930" s="104"/>
      <c r="D930" s="105"/>
      <c r="E930" s="106"/>
      <c r="F930" s="107"/>
      <c r="G930" s="108"/>
      <c r="H930" s="121"/>
      <c r="I930" s="122"/>
      <c r="J930" s="122"/>
      <c r="K930" s="123"/>
      <c r="L930" s="111" t="str">
        <f t="shared" si="159"/>
        <v/>
      </c>
      <c r="M930" s="112" t="str">
        <f t="shared" si="160"/>
        <v/>
      </c>
      <c r="N930" s="112" t="str">
        <f t="shared" si="161"/>
        <v/>
      </c>
      <c r="O930" s="112" t="str">
        <f t="shared" si="153"/>
        <v xml:space="preserve"> </v>
      </c>
      <c r="P930" s="113" t="str">
        <f t="shared" si="154"/>
        <v/>
      </c>
      <c r="Q930" s="114" t="str">
        <f t="shared" si="155"/>
        <v/>
      </c>
      <c r="R930" s="115" t="str">
        <f t="shared" si="156"/>
        <v/>
      </c>
      <c r="S930" s="115" t="str">
        <f t="shared" si="157"/>
        <v/>
      </c>
      <c r="T930" s="116" t="str">
        <f t="shared" si="158"/>
        <v/>
      </c>
      <c r="U930" s="120"/>
      <c r="V930" s="118"/>
    </row>
    <row r="931" spans="1:22" ht="13.2">
      <c r="A931" s="102"/>
      <c r="B931" s="103"/>
      <c r="C931" s="104"/>
      <c r="D931" s="105"/>
      <c r="E931" s="106"/>
      <c r="F931" s="107"/>
      <c r="G931" s="108"/>
      <c r="H931" s="121"/>
      <c r="I931" s="122"/>
      <c r="J931" s="122"/>
      <c r="K931" s="123"/>
      <c r="L931" s="111" t="str">
        <f t="shared" si="159"/>
        <v/>
      </c>
      <c r="M931" s="112" t="str">
        <f t="shared" si="160"/>
        <v/>
      </c>
      <c r="N931" s="112" t="str">
        <f t="shared" si="161"/>
        <v/>
      </c>
      <c r="O931" s="112" t="str">
        <f t="shared" si="153"/>
        <v xml:space="preserve"> </v>
      </c>
      <c r="P931" s="113" t="str">
        <f t="shared" si="154"/>
        <v/>
      </c>
      <c r="Q931" s="114" t="str">
        <f t="shared" si="155"/>
        <v/>
      </c>
      <c r="R931" s="115" t="str">
        <f t="shared" si="156"/>
        <v/>
      </c>
      <c r="S931" s="115" t="str">
        <f t="shared" si="157"/>
        <v/>
      </c>
      <c r="T931" s="116" t="str">
        <f t="shared" si="158"/>
        <v/>
      </c>
      <c r="U931" s="120"/>
      <c r="V931" s="118"/>
    </row>
    <row r="932" spans="1:22" ht="13.2">
      <c r="A932" s="102"/>
      <c r="B932" s="102"/>
      <c r="C932" s="103"/>
      <c r="D932" s="105"/>
      <c r="E932" s="106"/>
      <c r="F932" s="107"/>
      <c r="G932" s="108"/>
      <c r="H932" s="109"/>
      <c r="I932" s="110"/>
      <c r="J932" s="110"/>
      <c r="K932" s="119"/>
      <c r="L932" s="111" t="str">
        <f t="shared" si="159"/>
        <v/>
      </c>
      <c r="M932" s="112" t="str">
        <f t="shared" si="160"/>
        <v/>
      </c>
      <c r="N932" s="112" t="str">
        <f t="shared" si="161"/>
        <v/>
      </c>
      <c r="O932" s="112" t="str">
        <f t="shared" si="153"/>
        <v xml:space="preserve"> </v>
      </c>
      <c r="P932" s="113" t="str">
        <f t="shared" si="154"/>
        <v/>
      </c>
      <c r="Q932" s="114" t="str">
        <f t="shared" si="155"/>
        <v/>
      </c>
      <c r="R932" s="115" t="str">
        <f t="shared" si="156"/>
        <v/>
      </c>
      <c r="S932" s="115" t="str">
        <f t="shared" si="157"/>
        <v/>
      </c>
      <c r="T932" s="116" t="str">
        <f t="shared" si="158"/>
        <v/>
      </c>
      <c r="U932" s="120"/>
      <c r="V932" s="118"/>
    </row>
    <row r="933" spans="1:22" ht="13.2">
      <c r="A933" s="102"/>
      <c r="B933" s="102"/>
      <c r="C933" s="103"/>
      <c r="D933" s="105"/>
      <c r="E933" s="106"/>
      <c r="F933" s="107"/>
      <c r="G933" s="108"/>
      <c r="H933" s="109"/>
      <c r="I933" s="110"/>
      <c r="J933" s="110"/>
      <c r="K933" s="119"/>
      <c r="L933" s="111" t="str">
        <f t="shared" si="159"/>
        <v/>
      </c>
      <c r="M933" s="112" t="str">
        <f t="shared" si="160"/>
        <v/>
      </c>
      <c r="N933" s="112" t="str">
        <f t="shared" si="161"/>
        <v/>
      </c>
      <c r="O933" s="112" t="str">
        <f t="shared" si="153"/>
        <v xml:space="preserve"> </v>
      </c>
      <c r="P933" s="113" t="str">
        <f t="shared" si="154"/>
        <v/>
      </c>
      <c r="Q933" s="114" t="str">
        <f t="shared" si="155"/>
        <v/>
      </c>
      <c r="R933" s="115" t="str">
        <f t="shared" si="156"/>
        <v/>
      </c>
      <c r="S933" s="115" t="str">
        <f t="shared" si="157"/>
        <v/>
      </c>
      <c r="T933" s="116" t="str">
        <f t="shared" si="158"/>
        <v/>
      </c>
      <c r="U933" s="120"/>
      <c r="V933" s="118"/>
    </row>
    <row r="934" spans="1:22" ht="13.2">
      <c r="A934" s="102"/>
      <c r="B934" s="102"/>
      <c r="C934" s="104"/>
      <c r="D934" s="105"/>
      <c r="E934" s="106"/>
      <c r="F934" s="107"/>
      <c r="G934" s="108"/>
      <c r="H934" s="109"/>
      <c r="I934" s="110"/>
      <c r="J934" s="110"/>
      <c r="K934" s="119"/>
      <c r="L934" s="111" t="str">
        <f t="shared" si="159"/>
        <v/>
      </c>
      <c r="M934" s="112" t="str">
        <f t="shared" si="160"/>
        <v/>
      </c>
      <c r="N934" s="112" t="str">
        <f t="shared" si="161"/>
        <v/>
      </c>
      <c r="O934" s="112" t="str">
        <f t="shared" si="153"/>
        <v xml:space="preserve"> </v>
      </c>
      <c r="P934" s="113" t="str">
        <f t="shared" si="154"/>
        <v/>
      </c>
      <c r="Q934" s="114" t="str">
        <f t="shared" si="155"/>
        <v/>
      </c>
      <c r="R934" s="115" t="str">
        <f t="shared" si="156"/>
        <v/>
      </c>
      <c r="S934" s="115" t="str">
        <f t="shared" si="157"/>
        <v/>
      </c>
      <c r="T934" s="116" t="str">
        <f t="shared" si="158"/>
        <v/>
      </c>
      <c r="U934" s="120"/>
      <c r="V934" s="118"/>
    </row>
    <row r="935" spans="1:22" ht="13.2">
      <c r="A935" s="102"/>
      <c r="B935" s="102"/>
      <c r="C935" s="104"/>
      <c r="D935" s="105"/>
      <c r="E935" s="106"/>
      <c r="F935" s="107"/>
      <c r="G935" s="108"/>
      <c r="H935" s="109"/>
      <c r="I935" s="110"/>
      <c r="J935" s="110"/>
      <c r="K935" s="119"/>
      <c r="L935" s="111" t="str">
        <f t="shared" si="159"/>
        <v/>
      </c>
      <c r="M935" s="112" t="str">
        <f t="shared" si="160"/>
        <v/>
      </c>
      <c r="N935" s="112" t="str">
        <f t="shared" si="161"/>
        <v/>
      </c>
      <c r="O935" s="112" t="str">
        <f t="shared" si="153"/>
        <v xml:space="preserve"> </v>
      </c>
      <c r="P935" s="113" t="str">
        <f t="shared" si="154"/>
        <v/>
      </c>
      <c r="Q935" s="114" t="str">
        <f t="shared" si="155"/>
        <v/>
      </c>
      <c r="R935" s="115" t="str">
        <f t="shared" si="156"/>
        <v/>
      </c>
      <c r="S935" s="115" t="str">
        <f t="shared" si="157"/>
        <v/>
      </c>
      <c r="T935" s="116" t="str">
        <f t="shared" si="158"/>
        <v/>
      </c>
      <c r="U935" s="120"/>
      <c r="V935" s="118"/>
    </row>
    <row r="936" spans="1:22" ht="13.2">
      <c r="A936" s="102"/>
      <c r="B936" s="102"/>
      <c r="C936" s="104"/>
      <c r="D936" s="105"/>
      <c r="E936" s="106"/>
      <c r="F936" s="107"/>
      <c r="G936" s="108"/>
      <c r="H936" s="109"/>
      <c r="I936" s="110"/>
      <c r="J936" s="110"/>
      <c r="K936" s="119"/>
      <c r="L936" s="111" t="str">
        <f t="shared" si="159"/>
        <v/>
      </c>
      <c r="M936" s="112" t="str">
        <f t="shared" si="160"/>
        <v/>
      </c>
      <c r="N936" s="112" t="str">
        <f t="shared" si="161"/>
        <v/>
      </c>
      <c r="O936" s="112" t="str">
        <f t="shared" si="153"/>
        <v xml:space="preserve"> </v>
      </c>
      <c r="P936" s="113" t="str">
        <f t="shared" si="154"/>
        <v/>
      </c>
      <c r="Q936" s="114" t="str">
        <f t="shared" si="155"/>
        <v/>
      </c>
      <c r="R936" s="115" t="str">
        <f t="shared" si="156"/>
        <v/>
      </c>
      <c r="S936" s="115" t="str">
        <f t="shared" si="157"/>
        <v/>
      </c>
      <c r="T936" s="116" t="str">
        <f t="shared" si="158"/>
        <v/>
      </c>
      <c r="U936" s="120"/>
      <c r="V936" s="118"/>
    </row>
    <row r="937" spans="1:22" ht="13.2">
      <c r="A937" s="102"/>
      <c r="B937" s="102"/>
      <c r="C937" s="104"/>
      <c r="D937" s="105"/>
      <c r="E937" s="106"/>
      <c r="F937" s="107"/>
      <c r="G937" s="108"/>
      <c r="H937" s="109"/>
      <c r="I937" s="110"/>
      <c r="J937" s="110"/>
      <c r="K937" s="119"/>
      <c r="L937" s="111" t="str">
        <f t="shared" si="159"/>
        <v/>
      </c>
      <c r="M937" s="112" t="str">
        <f t="shared" si="160"/>
        <v/>
      </c>
      <c r="N937" s="112" t="str">
        <f t="shared" si="161"/>
        <v/>
      </c>
      <c r="O937" s="112" t="str">
        <f t="shared" si="153"/>
        <v xml:space="preserve"> </v>
      </c>
      <c r="P937" s="113" t="str">
        <f t="shared" si="154"/>
        <v/>
      </c>
      <c r="Q937" s="114" t="str">
        <f t="shared" si="155"/>
        <v/>
      </c>
      <c r="R937" s="115" t="str">
        <f t="shared" si="156"/>
        <v/>
      </c>
      <c r="S937" s="115" t="str">
        <f t="shared" si="157"/>
        <v/>
      </c>
      <c r="T937" s="116" t="str">
        <f t="shared" si="158"/>
        <v/>
      </c>
      <c r="U937" s="120"/>
      <c r="V937" s="118"/>
    </row>
    <row r="938" spans="1:22" ht="13.2">
      <c r="A938" s="102"/>
      <c r="B938" s="102"/>
      <c r="C938" s="104"/>
      <c r="D938" s="105"/>
      <c r="E938" s="106"/>
      <c r="F938" s="107"/>
      <c r="G938" s="108"/>
      <c r="H938" s="109"/>
      <c r="I938" s="110"/>
      <c r="J938" s="110"/>
      <c r="K938" s="119"/>
      <c r="L938" s="111" t="str">
        <f t="shared" si="159"/>
        <v/>
      </c>
      <c r="M938" s="112" t="str">
        <f t="shared" si="160"/>
        <v/>
      </c>
      <c r="N938" s="112" t="str">
        <f t="shared" si="161"/>
        <v/>
      </c>
      <c r="O938" s="112" t="str">
        <f t="shared" si="153"/>
        <v xml:space="preserve"> </v>
      </c>
      <c r="P938" s="113" t="str">
        <f t="shared" si="154"/>
        <v/>
      </c>
      <c r="Q938" s="114" t="str">
        <f t="shared" si="155"/>
        <v/>
      </c>
      <c r="R938" s="115" t="str">
        <f t="shared" si="156"/>
        <v/>
      </c>
      <c r="S938" s="115" t="str">
        <f t="shared" si="157"/>
        <v/>
      </c>
      <c r="T938" s="116" t="str">
        <f t="shared" si="158"/>
        <v/>
      </c>
      <c r="U938" s="120"/>
      <c r="V938" s="118"/>
    </row>
    <row r="939" spans="1:22" ht="13.2">
      <c r="A939" s="102"/>
      <c r="B939" s="102"/>
      <c r="C939" s="104"/>
      <c r="D939" s="105"/>
      <c r="E939" s="106"/>
      <c r="F939" s="107"/>
      <c r="G939" s="108"/>
      <c r="H939" s="109"/>
      <c r="I939" s="110"/>
      <c r="J939" s="110"/>
      <c r="K939" s="110"/>
      <c r="L939" s="111" t="str">
        <f t="shared" si="159"/>
        <v/>
      </c>
      <c r="M939" s="112" t="str">
        <f t="shared" si="160"/>
        <v/>
      </c>
      <c r="N939" s="112" t="str">
        <f t="shared" si="161"/>
        <v/>
      </c>
      <c r="O939" s="112" t="str">
        <f t="shared" si="153"/>
        <v xml:space="preserve"> </v>
      </c>
      <c r="P939" s="113" t="str">
        <f t="shared" si="154"/>
        <v/>
      </c>
      <c r="Q939" s="114" t="str">
        <f t="shared" si="155"/>
        <v/>
      </c>
      <c r="R939" s="115" t="str">
        <f t="shared" si="156"/>
        <v/>
      </c>
      <c r="S939" s="115" t="str">
        <f t="shared" si="157"/>
        <v/>
      </c>
      <c r="T939" s="116" t="str">
        <f t="shared" si="158"/>
        <v/>
      </c>
      <c r="U939" s="120"/>
      <c r="V939" s="118"/>
    </row>
    <row r="940" spans="1:22" ht="13.2">
      <c r="A940" s="102"/>
      <c r="B940" s="102"/>
      <c r="C940" s="104"/>
      <c r="D940" s="105"/>
      <c r="E940" s="106"/>
      <c r="F940" s="107"/>
      <c r="G940" s="108"/>
      <c r="H940" s="109"/>
      <c r="I940" s="110"/>
      <c r="J940" s="110"/>
      <c r="K940" s="119"/>
      <c r="L940" s="111" t="str">
        <f t="shared" si="159"/>
        <v/>
      </c>
      <c r="M940" s="112" t="str">
        <f t="shared" si="160"/>
        <v/>
      </c>
      <c r="N940" s="112" t="str">
        <f t="shared" si="161"/>
        <v/>
      </c>
      <c r="O940" s="112" t="str">
        <f t="shared" si="153"/>
        <v xml:space="preserve"> </v>
      </c>
      <c r="P940" s="113" t="str">
        <f t="shared" si="154"/>
        <v/>
      </c>
      <c r="Q940" s="114" t="str">
        <f t="shared" si="155"/>
        <v/>
      </c>
      <c r="R940" s="115" t="str">
        <f t="shared" si="156"/>
        <v/>
      </c>
      <c r="S940" s="115" t="str">
        <f t="shared" si="157"/>
        <v/>
      </c>
      <c r="T940" s="116" t="str">
        <f t="shared" si="158"/>
        <v/>
      </c>
      <c r="U940" s="120"/>
      <c r="V940" s="118"/>
    </row>
    <row r="941" spans="1:22" ht="13.2">
      <c r="A941" s="102"/>
      <c r="B941" s="102"/>
      <c r="C941" s="104"/>
      <c r="D941" s="105"/>
      <c r="E941" s="106"/>
      <c r="F941" s="107"/>
      <c r="G941" s="108"/>
      <c r="H941" s="109"/>
      <c r="I941" s="110"/>
      <c r="J941" s="110"/>
      <c r="K941" s="119"/>
      <c r="L941" s="111" t="str">
        <f t="shared" si="159"/>
        <v/>
      </c>
      <c r="M941" s="112" t="str">
        <f t="shared" si="160"/>
        <v/>
      </c>
      <c r="N941" s="112" t="str">
        <f t="shared" si="161"/>
        <v/>
      </c>
      <c r="O941" s="112" t="str">
        <f t="shared" si="153"/>
        <v xml:space="preserve"> </v>
      </c>
      <c r="P941" s="113" t="str">
        <f t="shared" si="154"/>
        <v/>
      </c>
      <c r="Q941" s="114" t="str">
        <f t="shared" si="155"/>
        <v/>
      </c>
      <c r="R941" s="115" t="str">
        <f t="shared" si="156"/>
        <v/>
      </c>
      <c r="S941" s="115" t="str">
        <f t="shared" si="157"/>
        <v/>
      </c>
      <c r="T941" s="116" t="str">
        <f t="shared" si="158"/>
        <v/>
      </c>
      <c r="U941" s="120"/>
      <c r="V941" s="118"/>
    </row>
    <row r="942" spans="1:22" ht="13.2">
      <c r="A942" s="102"/>
      <c r="B942" s="102"/>
      <c r="C942" s="104"/>
      <c r="D942" s="105"/>
      <c r="E942" s="106"/>
      <c r="F942" s="107"/>
      <c r="G942" s="108"/>
      <c r="H942" s="109"/>
      <c r="I942" s="110"/>
      <c r="J942" s="110"/>
      <c r="K942" s="119"/>
      <c r="L942" s="111" t="str">
        <f t="shared" si="159"/>
        <v/>
      </c>
      <c r="M942" s="112" t="str">
        <f t="shared" si="160"/>
        <v/>
      </c>
      <c r="N942" s="112" t="str">
        <f t="shared" si="161"/>
        <v/>
      </c>
      <c r="O942" s="112" t="str">
        <f t="shared" si="153"/>
        <v xml:space="preserve"> </v>
      </c>
      <c r="P942" s="113" t="str">
        <f t="shared" si="154"/>
        <v/>
      </c>
      <c r="Q942" s="114" t="str">
        <f t="shared" si="155"/>
        <v/>
      </c>
      <c r="R942" s="115" t="str">
        <f t="shared" si="156"/>
        <v/>
      </c>
      <c r="S942" s="115" t="str">
        <f t="shared" si="157"/>
        <v/>
      </c>
      <c r="T942" s="116" t="str">
        <f t="shared" si="158"/>
        <v/>
      </c>
      <c r="U942" s="120"/>
      <c r="V942" s="118"/>
    </row>
    <row r="943" spans="1:22" ht="13.2">
      <c r="A943" s="102"/>
      <c r="B943" s="102"/>
      <c r="C943" s="104"/>
      <c r="D943" s="105"/>
      <c r="E943" s="106"/>
      <c r="F943" s="107"/>
      <c r="G943" s="108"/>
      <c r="H943" s="109"/>
      <c r="I943" s="110"/>
      <c r="J943" s="110"/>
      <c r="K943" s="119"/>
      <c r="L943" s="111" t="str">
        <f t="shared" si="159"/>
        <v/>
      </c>
      <c r="M943" s="112" t="str">
        <f t="shared" si="160"/>
        <v/>
      </c>
      <c r="N943" s="112" t="str">
        <f t="shared" si="161"/>
        <v/>
      </c>
      <c r="O943" s="112" t="str">
        <f t="shared" si="153"/>
        <v xml:space="preserve"> </v>
      </c>
      <c r="P943" s="113" t="str">
        <f t="shared" si="154"/>
        <v/>
      </c>
      <c r="Q943" s="114" t="str">
        <f t="shared" si="155"/>
        <v/>
      </c>
      <c r="R943" s="115" t="str">
        <f t="shared" si="156"/>
        <v/>
      </c>
      <c r="S943" s="115" t="str">
        <f t="shared" si="157"/>
        <v/>
      </c>
      <c r="T943" s="116" t="str">
        <f t="shared" si="158"/>
        <v/>
      </c>
      <c r="U943" s="120"/>
      <c r="V943" s="118"/>
    </row>
    <row r="944" spans="1:22" ht="13.2">
      <c r="A944" s="102"/>
      <c r="B944" s="103"/>
      <c r="C944" s="104"/>
      <c r="D944" s="105"/>
      <c r="E944" s="106"/>
      <c r="F944" s="107"/>
      <c r="G944" s="108"/>
      <c r="H944" s="121"/>
      <c r="I944" s="122"/>
      <c r="J944" s="122"/>
      <c r="K944" s="123"/>
      <c r="L944" s="111" t="str">
        <f t="shared" si="159"/>
        <v/>
      </c>
      <c r="M944" s="112" t="str">
        <f t="shared" si="160"/>
        <v/>
      </c>
      <c r="N944" s="112" t="str">
        <f t="shared" si="161"/>
        <v/>
      </c>
      <c r="O944" s="112" t="str">
        <f t="shared" si="153"/>
        <v xml:space="preserve"> </v>
      </c>
      <c r="P944" s="113" t="str">
        <f t="shared" si="154"/>
        <v/>
      </c>
      <c r="Q944" s="114" t="str">
        <f t="shared" si="155"/>
        <v/>
      </c>
      <c r="R944" s="115" t="str">
        <f t="shared" si="156"/>
        <v/>
      </c>
      <c r="S944" s="115" t="str">
        <f t="shared" si="157"/>
        <v/>
      </c>
      <c r="T944" s="116" t="str">
        <f t="shared" si="158"/>
        <v/>
      </c>
      <c r="U944" s="120"/>
      <c r="V944" s="118"/>
    </row>
    <row r="945" spans="1:22" ht="13.2">
      <c r="A945" s="102"/>
      <c r="B945" s="103"/>
      <c r="C945" s="104"/>
      <c r="D945" s="105"/>
      <c r="E945" s="106"/>
      <c r="F945" s="107"/>
      <c r="G945" s="108"/>
      <c r="H945" s="121"/>
      <c r="I945" s="122"/>
      <c r="J945" s="122"/>
      <c r="K945" s="123"/>
      <c r="L945" s="111" t="str">
        <f t="shared" si="159"/>
        <v/>
      </c>
      <c r="M945" s="112" t="str">
        <f t="shared" si="160"/>
        <v/>
      </c>
      <c r="N945" s="112" t="str">
        <f t="shared" si="161"/>
        <v/>
      </c>
      <c r="O945" s="112" t="str">
        <f t="shared" si="153"/>
        <v xml:space="preserve"> </v>
      </c>
      <c r="P945" s="113" t="str">
        <f t="shared" si="154"/>
        <v/>
      </c>
      <c r="Q945" s="114" t="str">
        <f t="shared" si="155"/>
        <v/>
      </c>
      <c r="R945" s="115" t="str">
        <f t="shared" si="156"/>
        <v/>
      </c>
      <c r="S945" s="115" t="str">
        <f t="shared" si="157"/>
        <v/>
      </c>
      <c r="T945" s="116" t="str">
        <f t="shared" si="158"/>
        <v/>
      </c>
      <c r="U945" s="120"/>
      <c r="V945" s="118"/>
    </row>
    <row r="946" spans="1:22" ht="13.2">
      <c r="A946" s="102"/>
      <c r="B946" s="103"/>
      <c r="C946" s="104"/>
      <c r="D946" s="105"/>
      <c r="E946" s="106"/>
      <c r="F946" s="107"/>
      <c r="G946" s="108"/>
      <c r="H946" s="121"/>
      <c r="I946" s="122"/>
      <c r="J946" s="122"/>
      <c r="K946" s="123"/>
      <c r="L946" s="111" t="str">
        <f t="shared" si="159"/>
        <v/>
      </c>
      <c r="M946" s="112" t="str">
        <f t="shared" si="160"/>
        <v/>
      </c>
      <c r="N946" s="112" t="str">
        <f t="shared" si="161"/>
        <v/>
      </c>
      <c r="O946" s="112" t="str">
        <f t="shared" si="153"/>
        <v xml:space="preserve"> </v>
      </c>
      <c r="P946" s="113" t="str">
        <f t="shared" si="154"/>
        <v/>
      </c>
      <c r="Q946" s="114" t="str">
        <f t="shared" si="155"/>
        <v/>
      </c>
      <c r="R946" s="115" t="str">
        <f t="shared" si="156"/>
        <v/>
      </c>
      <c r="S946" s="115" t="str">
        <f t="shared" si="157"/>
        <v/>
      </c>
      <c r="T946" s="116" t="str">
        <f t="shared" si="158"/>
        <v/>
      </c>
      <c r="U946" s="120"/>
      <c r="V946" s="118"/>
    </row>
    <row r="947" spans="1:22" ht="13.2">
      <c r="A947" s="102"/>
      <c r="B947" s="102"/>
      <c r="C947" s="103"/>
      <c r="D947" s="105"/>
      <c r="E947" s="106"/>
      <c r="F947" s="107"/>
      <c r="G947" s="108"/>
      <c r="H947" s="109"/>
      <c r="I947" s="110"/>
      <c r="J947" s="110"/>
      <c r="K947" s="119"/>
      <c r="L947" s="111" t="str">
        <f t="shared" si="159"/>
        <v/>
      </c>
      <c r="M947" s="112" t="str">
        <f t="shared" si="160"/>
        <v/>
      </c>
      <c r="N947" s="112" t="str">
        <f t="shared" si="161"/>
        <v/>
      </c>
      <c r="O947" s="112" t="str">
        <f t="shared" si="153"/>
        <v xml:space="preserve"> </v>
      </c>
      <c r="P947" s="113" t="str">
        <f t="shared" si="154"/>
        <v/>
      </c>
      <c r="Q947" s="114" t="str">
        <f t="shared" si="155"/>
        <v/>
      </c>
      <c r="R947" s="115" t="str">
        <f t="shared" si="156"/>
        <v/>
      </c>
      <c r="S947" s="115" t="str">
        <f t="shared" si="157"/>
        <v/>
      </c>
      <c r="T947" s="116" t="str">
        <f t="shared" si="158"/>
        <v/>
      </c>
      <c r="U947" s="120"/>
      <c r="V947" s="118"/>
    </row>
    <row r="948" spans="1:22" ht="13.2">
      <c r="A948" s="102"/>
      <c r="B948" s="102"/>
      <c r="C948" s="103"/>
      <c r="D948" s="105"/>
      <c r="E948" s="106"/>
      <c r="F948" s="107"/>
      <c r="G948" s="108"/>
      <c r="H948" s="109"/>
      <c r="I948" s="110"/>
      <c r="J948" s="110"/>
      <c r="K948" s="119"/>
      <c r="L948" s="111" t="str">
        <f t="shared" si="159"/>
        <v/>
      </c>
      <c r="M948" s="112" t="str">
        <f t="shared" si="160"/>
        <v/>
      </c>
      <c r="N948" s="112" t="str">
        <f t="shared" si="161"/>
        <v/>
      </c>
      <c r="O948" s="112" t="str">
        <f t="shared" si="153"/>
        <v xml:space="preserve"> </v>
      </c>
      <c r="P948" s="113" t="str">
        <f t="shared" si="154"/>
        <v/>
      </c>
      <c r="Q948" s="114" t="str">
        <f t="shared" si="155"/>
        <v/>
      </c>
      <c r="R948" s="115" t="str">
        <f t="shared" si="156"/>
        <v/>
      </c>
      <c r="S948" s="115" t="str">
        <f t="shared" si="157"/>
        <v/>
      </c>
      <c r="T948" s="116" t="str">
        <f t="shared" si="158"/>
        <v/>
      </c>
      <c r="U948" s="120"/>
      <c r="V948" s="118"/>
    </row>
    <row r="949" spans="1:22" ht="13.2">
      <c r="A949" s="102"/>
      <c r="B949" s="102"/>
      <c r="C949" s="104"/>
      <c r="D949" s="105"/>
      <c r="E949" s="106"/>
      <c r="F949" s="107"/>
      <c r="G949" s="108"/>
      <c r="H949" s="109"/>
      <c r="I949" s="110"/>
      <c r="J949" s="110"/>
      <c r="K949" s="119"/>
      <c r="L949" s="111" t="str">
        <f t="shared" si="159"/>
        <v/>
      </c>
      <c r="M949" s="112" t="str">
        <f t="shared" si="160"/>
        <v/>
      </c>
      <c r="N949" s="112" t="str">
        <f t="shared" si="161"/>
        <v/>
      </c>
      <c r="O949" s="112" t="str">
        <f t="shared" si="153"/>
        <v xml:space="preserve"> </v>
      </c>
      <c r="P949" s="113" t="str">
        <f t="shared" si="154"/>
        <v/>
      </c>
      <c r="Q949" s="114" t="str">
        <f t="shared" si="155"/>
        <v/>
      </c>
      <c r="R949" s="115" t="str">
        <f t="shared" si="156"/>
        <v/>
      </c>
      <c r="S949" s="115" t="str">
        <f t="shared" si="157"/>
        <v/>
      </c>
      <c r="T949" s="116" t="str">
        <f t="shared" si="158"/>
        <v/>
      </c>
      <c r="U949" s="120"/>
      <c r="V949" s="118"/>
    </row>
    <row r="950" spans="1:22" ht="13.2">
      <c r="A950" s="102"/>
      <c r="B950" s="102"/>
      <c r="C950" s="104"/>
      <c r="D950" s="105"/>
      <c r="E950" s="106"/>
      <c r="F950" s="107"/>
      <c r="G950" s="108"/>
      <c r="H950" s="109"/>
      <c r="I950" s="110"/>
      <c r="J950" s="110"/>
      <c r="K950" s="119"/>
      <c r="L950" s="111" t="str">
        <f t="shared" si="159"/>
        <v/>
      </c>
      <c r="M950" s="112" t="str">
        <f t="shared" si="160"/>
        <v/>
      </c>
      <c r="N950" s="112" t="str">
        <f t="shared" si="161"/>
        <v/>
      </c>
      <c r="O950" s="112" t="str">
        <f t="shared" si="153"/>
        <v xml:space="preserve"> </v>
      </c>
      <c r="P950" s="113" t="str">
        <f t="shared" si="154"/>
        <v/>
      </c>
      <c r="Q950" s="114" t="str">
        <f t="shared" si="155"/>
        <v/>
      </c>
      <c r="R950" s="115" t="str">
        <f t="shared" si="156"/>
        <v/>
      </c>
      <c r="S950" s="115" t="str">
        <f t="shared" si="157"/>
        <v/>
      </c>
      <c r="T950" s="116" t="str">
        <f t="shared" si="158"/>
        <v/>
      </c>
      <c r="U950" s="120"/>
      <c r="V950" s="118"/>
    </row>
    <row r="951" spans="1:22" ht="13.2">
      <c r="A951" s="102"/>
      <c r="B951" s="102"/>
      <c r="C951" s="104"/>
      <c r="D951" s="105"/>
      <c r="E951" s="106"/>
      <c r="F951" s="107"/>
      <c r="G951" s="108"/>
      <c r="H951" s="109"/>
      <c r="I951" s="110"/>
      <c r="J951" s="110"/>
      <c r="K951" s="119"/>
      <c r="L951" s="111" t="str">
        <f t="shared" si="159"/>
        <v/>
      </c>
      <c r="M951" s="112" t="str">
        <f t="shared" si="160"/>
        <v/>
      </c>
      <c r="N951" s="112" t="str">
        <f t="shared" si="161"/>
        <v/>
      </c>
      <c r="O951" s="112" t="str">
        <f t="shared" si="153"/>
        <v xml:space="preserve"> </v>
      </c>
      <c r="P951" s="113" t="str">
        <f t="shared" si="154"/>
        <v/>
      </c>
      <c r="Q951" s="114" t="str">
        <f t="shared" si="155"/>
        <v/>
      </c>
      <c r="R951" s="115" t="str">
        <f t="shared" si="156"/>
        <v/>
      </c>
      <c r="S951" s="115" t="str">
        <f t="shared" si="157"/>
        <v/>
      </c>
      <c r="T951" s="116" t="str">
        <f t="shared" si="158"/>
        <v/>
      </c>
      <c r="U951" s="120"/>
      <c r="V951" s="118"/>
    </row>
    <row r="952" spans="1:22" ht="13.2">
      <c r="A952" s="102"/>
      <c r="B952" s="102"/>
      <c r="C952" s="104"/>
      <c r="D952" s="105"/>
      <c r="E952" s="106"/>
      <c r="F952" s="107"/>
      <c r="G952" s="108"/>
      <c r="H952" s="109"/>
      <c r="I952" s="110"/>
      <c r="J952" s="110"/>
      <c r="K952" s="119"/>
      <c r="L952" s="111" t="str">
        <f t="shared" si="159"/>
        <v/>
      </c>
      <c r="M952" s="112" t="str">
        <f t="shared" si="160"/>
        <v/>
      </c>
      <c r="N952" s="112" t="str">
        <f t="shared" si="161"/>
        <v/>
      </c>
      <c r="O952" s="112" t="str">
        <f t="shared" si="153"/>
        <v xml:space="preserve"> </v>
      </c>
      <c r="P952" s="113" t="str">
        <f t="shared" si="154"/>
        <v/>
      </c>
      <c r="Q952" s="114" t="str">
        <f t="shared" si="155"/>
        <v/>
      </c>
      <c r="R952" s="115" t="str">
        <f t="shared" si="156"/>
        <v/>
      </c>
      <c r="S952" s="115" t="str">
        <f t="shared" si="157"/>
        <v/>
      </c>
      <c r="T952" s="116" t="str">
        <f t="shared" si="158"/>
        <v/>
      </c>
      <c r="U952" s="120"/>
      <c r="V952" s="118"/>
    </row>
    <row r="953" spans="1:22" ht="13.2">
      <c r="A953" s="102"/>
      <c r="B953" s="102"/>
      <c r="C953" s="104"/>
      <c r="D953" s="105"/>
      <c r="E953" s="106"/>
      <c r="F953" s="107"/>
      <c r="G953" s="108"/>
      <c r="H953" s="109"/>
      <c r="I953" s="110"/>
      <c r="J953" s="110"/>
      <c r="K953" s="119"/>
      <c r="L953" s="111" t="str">
        <f t="shared" si="159"/>
        <v/>
      </c>
      <c r="M953" s="112" t="str">
        <f t="shared" si="160"/>
        <v/>
      </c>
      <c r="N953" s="112" t="str">
        <f t="shared" si="161"/>
        <v/>
      </c>
      <c r="O953" s="112" t="str">
        <f t="shared" si="153"/>
        <v xml:space="preserve"> </v>
      </c>
      <c r="P953" s="113" t="str">
        <f t="shared" si="154"/>
        <v/>
      </c>
      <c r="Q953" s="114" t="str">
        <f t="shared" si="155"/>
        <v/>
      </c>
      <c r="R953" s="115" t="str">
        <f t="shared" si="156"/>
        <v/>
      </c>
      <c r="S953" s="115" t="str">
        <f t="shared" si="157"/>
        <v/>
      </c>
      <c r="T953" s="116" t="str">
        <f t="shared" si="158"/>
        <v/>
      </c>
      <c r="U953" s="120"/>
      <c r="V953" s="118"/>
    </row>
    <row r="954" spans="1:22" ht="13.2">
      <c r="A954" s="102"/>
      <c r="B954" s="102"/>
      <c r="C954" s="104"/>
      <c r="D954" s="105"/>
      <c r="E954" s="106"/>
      <c r="F954" s="107"/>
      <c r="G954" s="108"/>
      <c r="H954" s="109"/>
      <c r="I954" s="110"/>
      <c r="J954" s="110"/>
      <c r="K954" s="110"/>
      <c r="L954" s="111" t="str">
        <f t="shared" si="159"/>
        <v/>
      </c>
      <c r="M954" s="112" t="str">
        <f t="shared" si="160"/>
        <v/>
      </c>
      <c r="N954" s="112" t="str">
        <f t="shared" si="161"/>
        <v/>
      </c>
      <c r="O954" s="112" t="str">
        <f t="shared" si="153"/>
        <v xml:space="preserve"> </v>
      </c>
      <c r="P954" s="113" t="str">
        <f t="shared" si="154"/>
        <v/>
      </c>
      <c r="Q954" s="114" t="str">
        <f t="shared" si="155"/>
        <v/>
      </c>
      <c r="R954" s="115" t="str">
        <f t="shared" si="156"/>
        <v/>
      </c>
      <c r="S954" s="115" t="str">
        <f t="shared" si="157"/>
        <v/>
      </c>
      <c r="T954" s="116" t="str">
        <f t="shared" si="158"/>
        <v/>
      </c>
      <c r="U954" s="120"/>
      <c r="V954" s="118"/>
    </row>
    <row r="955" spans="1:22" ht="13.2">
      <c r="A955" s="102"/>
      <c r="B955" s="102"/>
      <c r="C955" s="104"/>
      <c r="D955" s="105"/>
      <c r="E955" s="106"/>
      <c r="F955" s="107"/>
      <c r="G955" s="108"/>
      <c r="H955" s="109"/>
      <c r="I955" s="110"/>
      <c r="J955" s="110"/>
      <c r="K955" s="119"/>
      <c r="L955" s="111" t="str">
        <f t="shared" si="159"/>
        <v/>
      </c>
      <c r="M955" s="112" t="str">
        <f t="shared" si="160"/>
        <v/>
      </c>
      <c r="N955" s="112" t="str">
        <f t="shared" si="161"/>
        <v/>
      </c>
      <c r="O955" s="112" t="str">
        <f t="shared" si="153"/>
        <v xml:space="preserve"> </v>
      </c>
      <c r="P955" s="113" t="str">
        <f t="shared" si="154"/>
        <v/>
      </c>
      <c r="Q955" s="114" t="str">
        <f t="shared" si="155"/>
        <v/>
      </c>
      <c r="R955" s="115" t="str">
        <f t="shared" si="156"/>
        <v/>
      </c>
      <c r="S955" s="115" t="str">
        <f t="shared" si="157"/>
        <v/>
      </c>
      <c r="T955" s="116" t="str">
        <f t="shared" si="158"/>
        <v/>
      </c>
      <c r="U955" s="120"/>
      <c r="V955" s="118"/>
    </row>
    <row r="956" spans="1:22" ht="13.2">
      <c r="A956" s="102"/>
      <c r="B956" s="102"/>
      <c r="C956" s="104"/>
      <c r="D956" s="105"/>
      <c r="E956" s="106"/>
      <c r="F956" s="107"/>
      <c r="G956" s="108"/>
      <c r="H956" s="109"/>
      <c r="I956" s="110"/>
      <c r="J956" s="110"/>
      <c r="K956" s="119"/>
      <c r="L956" s="111" t="str">
        <f t="shared" si="159"/>
        <v/>
      </c>
      <c r="M956" s="112" t="str">
        <f t="shared" si="160"/>
        <v/>
      </c>
      <c r="N956" s="112" t="str">
        <f t="shared" si="161"/>
        <v/>
      </c>
      <c r="O956" s="112" t="str">
        <f t="shared" si="153"/>
        <v xml:space="preserve"> </v>
      </c>
      <c r="P956" s="113" t="str">
        <f t="shared" si="154"/>
        <v/>
      </c>
      <c r="Q956" s="114" t="str">
        <f t="shared" si="155"/>
        <v/>
      </c>
      <c r="R956" s="115" t="str">
        <f t="shared" si="156"/>
        <v/>
      </c>
      <c r="S956" s="115" t="str">
        <f t="shared" si="157"/>
        <v/>
      </c>
      <c r="T956" s="116" t="str">
        <f t="shared" si="158"/>
        <v/>
      </c>
      <c r="U956" s="120"/>
      <c r="V956" s="118"/>
    </row>
    <row r="957" spans="1:22" ht="13.2">
      <c r="A957" s="102"/>
      <c r="B957" s="102"/>
      <c r="C957" s="104"/>
      <c r="D957" s="105"/>
      <c r="E957" s="106"/>
      <c r="F957" s="107"/>
      <c r="G957" s="108"/>
      <c r="H957" s="109"/>
      <c r="I957" s="110"/>
      <c r="J957" s="110"/>
      <c r="K957" s="119"/>
      <c r="L957" s="111" t="str">
        <f t="shared" si="159"/>
        <v/>
      </c>
      <c r="M957" s="112" t="str">
        <f t="shared" si="160"/>
        <v/>
      </c>
      <c r="N957" s="112" t="str">
        <f t="shared" si="161"/>
        <v/>
      </c>
      <c r="O957" s="112" t="str">
        <f t="shared" si="153"/>
        <v xml:space="preserve"> </v>
      </c>
      <c r="P957" s="113" t="str">
        <f t="shared" si="154"/>
        <v/>
      </c>
      <c r="Q957" s="114" t="str">
        <f t="shared" si="155"/>
        <v/>
      </c>
      <c r="R957" s="115" t="str">
        <f t="shared" si="156"/>
        <v/>
      </c>
      <c r="S957" s="115" t="str">
        <f t="shared" si="157"/>
        <v/>
      </c>
      <c r="T957" s="116" t="str">
        <f t="shared" si="158"/>
        <v/>
      </c>
      <c r="U957" s="120"/>
      <c r="V957" s="118"/>
    </row>
    <row r="958" spans="1:22" ht="13.2">
      <c r="A958" s="102"/>
      <c r="B958" s="102"/>
      <c r="C958" s="104"/>
      <c r="D958" s="105"/>
      <c r="E958" s="106"/>
      <c r="F958" s="107"/>
      <c r="G958" s="108"/>
      <c r="H958" s="109"/>
      <c r="I958" s="110"/>
      <c r="J958" s="110"/>
      <c r="K958" s="119"/>
      <c r="L958" s="111" t="str">
        <f t="shared" si="159"/>
        <v/>
      </c>
      <c r="M958" s="112" t="str">
        <f t="shared" si="160"/>
        <v/>
      </c>
      <c r="N958" s="112" t="str">
        <f t="shared" si="161"/>
        <v/>
      </c>
      <c r="O958" s="112" t="str">
        <f t="shared" ref="O958:O973" si="162">IF(ISERR(I958/I958)=TRUE," ",AVERAGE(I958:K958))</f>
        <v xml:space="preserve"> </v>
      </c>
      <c r="P958" s="113" t="str">
        <f t="shared" ref="P958:P973" si="163">IF(ISBLANK($E958),"",IF(ISNUMBER(F958)=FALSE,"BAD TOL", IF(F958=0,"N/A",IF(ISERR(I958/I958)=TRUE,"BAD INSP",IF(AND(ISNUMBER($I958),ISNUMBER($J958),ISNUMBER($K958))=FALSE,"BAD INSP",IF(MAX($I958:$K958)&lt;$E958,0,(MAX($I958:$K958)-$E958)/$F958))))))</f>
        <v/>
      </c>
      <c r="Q958" s="114" t="str">
        <f t="shared" ref="Q958:Q973" si="164">IF(ISBLANK($E958),"",IF(ISNUMBER(G958)=FALSE,"BAD TOL",IF(G958=0,"N/A",IF(ISERR(I958/I958)=TRUE,"BAD INSP",IF(AND(ISNUMBER($I958),ISNUMBER($J958),ISNUMBER($K958))=FALSE,"BAD INSP",IF(MIN(I958:K958)&gt;$E958,0,($E958-MIN(I958:K958))/G958))))))</f>
        <v/>
      </c>
      <c r="R958" s="115" t="str">
        <f t="shared" ref="R958:R973" si="165">IF(ISBLANK($E958),"",IF(ISNUMBER($P958)=TRUE,IF($P958&gt;0.651,IF($P958&gt;1.001,"Reject","Alert")," "),IF(AND(F958=0, ISNUMBER(F958)),IF(MAX(I958:K958)&gt;(E958+F958),"Reject",IF(MAX(I958:K958)=(E958+F958),"Alert","")),"Reject")))</f>
        <v/>
      </c>
      <c r="S958" s="115" t="str">
        <f t="shared" ref="S958:S973" si="166">IF(ISBLANK($E958),"",IF(ISNUMBER($Q958)=TRUE,IF($Q958&gt;0.651,IF($Q958&gt;1.001,"Reject","Alert")," "),IF(AND(G958=0, ISNUMBER(G958)),IF(MIN(I958:K958)&lt;(E958-G958),"Reject",IF(MIN(I958:K958)=(E958-G958),"Alert","")),"Reject")))</f>
        <v/>
      </c>
      <c r="T958" s="116" t="str">
        <f t="shared" ref="T958:T973" si="167">IF(OR(R958="Reject",S958="Reject"),"Reject",IF(OR(R958="Alert",S958="Alert"),"Alert", ""))</f>
        <v/>
      </c>
      <c r="U958" s="120"/>
      <c r="V958" s="118"/>
    </row>
    <row r="959" spans="1:22" ht="13.2">
      <c r="A959" s="102"/>
      <c r="B959" s="103"/>
      <c r="C959" s="104"/>
      <c r="D959" s="105"/>
      <c r="E959" s="106"/>
      <c r="F959" s="107"/>
      <c r="G959" s="108"/>
      <c r="H959" s="121"/>
      <c r="I959" s="122"/>
      <c r="J959" s="122"/>
      <c r="K959" s="123"/>
      <c r="L959" s="111" t="str">
        <f t="shared" si="159"/>
        <v/>
      </c>
      <c r="M959" s="112" t="str">
        <f t="shared" si="160"/>
        <v/>
      </c>
      <c r="N959" s="112" t="str">
        <f t="shared" si="161"/>
        <v/>
      </c>
      <c r="O959" s="112" t="str">
        <f t="shared" si="162"/>
        <v xml:space="preserve"> </v>
      </c>
      <c r="P959" s="113" t="str">
        <f t="shared" si="163"/>
        <v/>
      </c>
      <c r="Q959" s="114" t="str">
        <f t="shared" si="164"/>
        <v/>
      </c>
      <c r="R959" s="115" t="str">
        <f t="shared" si="165"/>
        <v/>
      </c>
      <c r="S959" s="115" t="str">
        <f t="shared" si="166"/>
        <v/>
      </c>
      <c r="T959" s="116" t="str">
        <f t="shared" si="167"/>
        <v/>
      </c>
      <c r="U959" s="120"/>
      <c r="V959" s="118"/>
    </row>
    <row r="960" spans="1:22" ht="13.2">
      <c r="A960" s="102"/>
      <c r="B960" s="103"/>
      <c r="C960" s="104"/>
      <c r="D960" s="105"/>
      <c r="E960" s="106"/>
      <c r="F960" s="107"/>
      <c r="G960" s="108"/>
      <c r="H960" s="121"/>
      <c r="I960" s="122"/>
      <c r="J960" s="122"/>
      <c r="K960" s="123"/>
      <c r="L960" s="111" t="str">
        <f t="shared" si="159"/>
        <v/>
      </c>
      <c r="M960" s="112" t="str">
        <f t="shared" si="160"/>
        <v/>
      </c>
      <c r="N960" s="112" t="str">
        <f t="shared" si="161"/>
        <v/>
      </c>
      <c r="O960" s="112" t="str">
        <f t="shared" si="162"/>
        <v xml:space="preserve"> </v>
      </c>
      <c r="P960" s="113" t="str">
        <f t="shared" si="163"/>
        <v/>
      </c>
      <c r="Q960" s="114" t="str">
        <f t="shared" si="164"/>
        <v/>
      </c>
      <c r="R960" s="115" t="str">
        <f t="shared" si="165"/>
        <v/>
      </c>
      <c r="S960" s="115" t="str">
        <f t="shared" si="166"/>
        <v/>
      </c>
      <c r="T960" s="116" t="str">
        <f t="shared" si="167"/>
        <v/>
      </c>
      <c r="U960" s="120"/>
      <c r="V960" s="118"/>
    </row>
    <row r="961" spans="1:22" ht="13.2">
      <c r="A961" s="102"/>
      <c r="B961" s="103"/>
      <c r="C961" s="104"/>
      <c r="D961" s="105"/>
      <c r="E961" s="106"/>
      <c r="F961" s="107"/>
      <c r="G961" s="108"/>
      <c r="H961" s="121"/>
      <c r="I961" s="122"/>
      <c r="J961" s="122"/>
      <c r="K961" s="123"/>
      <c r="L961" s="111" t="str">
        <f t="shared" si="159"/>
        <v/>
      </c>
      <c r="M961" s="112" t="str">
        <f t="shared" si="160"/>
        <v/>
      </c>
      <c r="N961" s="112" t="str">
        <f t="shared" si="161"/>
        <v/>
      </c>
      <c r="O961" s="112" t="str">
        <f t="shared" si="162"/>
        <v xml:space="preserve"> </v>
      </c>
      <c r="P961" s="113" t="str">
        <f t="shared" si="163"/>
        <v/>
      </c>
      <c r="Q961" s="114" t="str">
        <f t="shared" si="164"/>
        <v/>
      </c>
      <c r="R961" s="115" t="str">
        <f t="shared" si="165"/>
        <v/>
      </c>
      <c r="S961" s="115" t="str">
        <f t="shared" si="166"/>
        <v/>
      </c>
      <c r="T961" s="116" t="str">
        <f t="shared" si="167"/>
        <v/>
      </c>
      <c r="U961" s="120"/>
      <c r="V961" s="118"/>
    </row>
    <row r="962" spans="1:22" ht="13.2">
      <c r="A962" s="102"/>
      <c r="B962" s="102"/>
      <c r="C962" s="103"/>
      <c r="D962" s="105"/>
      <c r="E962" s="106"/>
      <c r="F962" s="107"/>
      <c r="G962" s="108"/>
      <c r="H962" s="109"/>
      <c r="I962" s="110"/>
      <c r="J962" s="110"/>
      <c r="K962" s="119"/>
      <c r="L962" s="111" t="str">
        <f t="shared" si="159"/>
        <v/>
      </c>
      <c r="M962" s="112" t="str">
        <f t="shared" si="160"/>
        <v/>
      </c>
      <c r="N962" s="112" t="str">
        <f t="shared" si="161"/>
        <v/>
      </c>
      <c r="O962" s="112" t="str">
        <f t="shared" si="162"/>
        <v xml:space="preserve"> </v>
      </c>
      <c r="P962" s="113" t="str">
        <f t="shared" si="163"/>
        <v/>
      </c>
      <c r="Q962" s="114" t="str">
        <f t="shared" si="164"/>
        <v/>
      </c>
      <c r="R962" s="115" t="str">
        <f t="shared" si="165"/>
        <v/>
      </c>
      <c r="S962" s="115" t="str">
        <f t="shared" si="166"/>
        <v/>
      </c>
      <c r="T962" s="116" t="str">
        <f t="shared" si="167"/>
        <v/>
      </c>
      <c r="U962" s="120"/>
      <c r="V962" s="118"/>
    </row>
    <row r="963" spans="1:22" ht="13.2">
      <c r="A963" s="102"/>
      <c r="B963" s="102"/>
      <c r="C963" s="103"/>
      <c r="D963" s="105"/>
      <c r="E963" s="106"/>
      <c r="F963" s="107"/>
      <c r="G963" s="108"/>
      <c r="H963" s="109"/>
      <c r="I963" s="110"/>
      <c r="J963" s="110"/>
      <c r="K963" s="119"/>
      <c r="L963" s="111" t="str">
        <f t="shared" si="159"/>
        <v/>
      </c>
      <c r="M963" s="112" t="str">
        <f t="shared" si="160"/>
        <v/>
      </c>
      <c r="N963" s="112" t="str">
        <f t="shared" si="161"/>
        <v/>
      </c>
      <c r="O963" s="112" t="str">
        <f t="shared" si="162"/>
        <v xml:space="preserve"> </v>
      </c>
      <c r="P963" s="113" t="str">
        <f t="shared" si="163"/>
        <v/>
      </c>
      <c r="Q963" s="114" t="str">
        <f t="shared" si="164"/>
        <v/>
      </c>
      <c r="R963" s="115" t="str">
        <f t="shared" si="165"/>
        <v/>
      </c>
      <c r="S963" s="115" t="str">
        <f t="shared" si="166"/>
        <v/>
      </c>
      <c r="T963" s="116" t="str">
        <f t="shared" si="167"/>
        <v/>
      </c>
      <c r="U963" s="120"/>
      <c r="V963" s="118"/>
    </row>
    <row r="964" spans="1:22" ht="13.2">
      <c r="A964" s="102"/>
      <c r="B964" s="102"/>
      <c r="C964" s="104"/>
      <c r="D964" s="105"/>
      <c r="E964" s="106"/>
      <c r="F964" s="107"/>
      <c r="G964" s="108"/>
      <c r="H964" s="109"/>
      <c r="I964" s="110"/>
      <c r="J964" s="110"/>
      <c r="K964" s="119"/>
      <c r="L964" s="111" t="str">
        <f t="shared" si="159"/>
        <v/>
      </c>
      <c r="M964" s="112" t="str">
        <f t="shared" si="160"/>
        <v/>
      </c>
      <c r="N964" s="112" t="str">
        <f t="shared" si="161"/>
        <v/>
      </c>
      <c r="O964" s="112" t="str">
        <f t="shared" si="162"/>
        <v xml:space="preserve"> </v>
      </c>
      <c r="P964" s="113" t="str">
        <f t="shared" si="163"/>
        <v/>
      </c>
      <c r="Q964" s="114" t="str">
        <f t="shared" si="164"/>
        <v/>
      </c>
      <c r="R964" s="115" t="str">
        <f t="shared" si="165"/>
        <v/>
      </c>
      <c r="S964" s="115" t="str">
        <f t="shared" si="166"/>
        <v/>
      </c>
      <c r="T964" s="116" t="str">
        <f t="shared" si="167"/>
        <v/>
      </c>
      <c r="U964" s="120"/>
      <c r="V964" s="118"/>
    </row>
    <row r="965" spans="1:22" ht="13.2">
      <c r="A965" s="102"/>
      <c r="B965" s="102"/>
      <c r="C965" s="104"/>
      <c r="D965" s="105"/>
      <c r="E965" s="106"/>
      <c r="F965" s="107"/>
      <c r="G965" s="108"/>
      <c r="H965" s="109"/>
      <c r="I965" s="110"/>
      <c r="J965" s="110"/>
      <c r="K965" s="119"/>
      <c r="L965" s="111" t="str">
        <f t="shared" si="159"/>
        <v/>
      </c>
      <c r="M965" s="112" t="str">
        <f t="shared" si="160"/>
        <v/>
      </c>
      <c r="N965" s="112" t="str">
        <f t="shared" si="161"/>
        <v/>
      </c>
      <c r="O965" s="112" t="str">
        <f t="shared" si="162"/>
        <v xml:space="preserve"> </v>
      </c>
      <c r="P965" s="113" t="str">
        <f t="shared" si="163"/>
        <v/>
      </c>
      <c r="Q965" s="114" t="str">
        <f t="shared" si="164"/>
        <v/>
      </c>
      <c r="R965" s="115" t="str">
        <f t="shared" si="165"/>
        <v/>
      </c>
      <c r="S965" s="115" t="str">
        <f t="shared" si="166"/>
        <v/>
      </c>
      <c r="T965" s="116" t="str">
        <f t="shared" si="167"/>
        <v/>
      </c>
      <c r="U965" s="120"/>
      <c r="V965" s="118"/>
    </row>
    <row r="966" spans="1:22" ht="13.2">
      <c r="A966" s="102"/>
      <c r="B966" s="102"/>
      <c r="C966" s="104"/>
      <c r="D966" s="105"/>
      <c r="E966" s="106"/>
      <c r="F966" s="107"/>
      <c r="G966" s="108"/>
      <c r="H966" s="109"/>
      <c r="I966" s="110"/>
      <c r="J966" s="110"/>
      <c r="K966" s="119"/>
      <c r="L966" s="111" t="str">
        <f t="shared" si="159"/>
        <v/>
      </c>
      <c r="M966" s="112" t="str">
        <f t="shared" si="160"/>
        <v/>
      </c>
      <c r="N966" s="112" t="str">
        <f t="shared" si="161"/>
        <v/>
      </c>
      <c r="O966" s="112" t="str">
        <f t="shared" si="162"/>
        <v xml:space="preserve"> </v>
      </c>
      <c r="P966" s="113" t="str">
        <f t="shared" si="163"/>
        <v/>
      </c>
      <c r="Q966" s="114" t="str">
        <f t="shared" si="164"/>
        <v/>
      </c>
      <c r="R966" s="115" t="str">
        <f t="shared" si="165"/>
        <v/>
      </c>
      <c r="S966" s="115" t="str">
        <f t="shared" si="166"/>
        <v/>
      </c>
      <c r="T966" s="116" t="str">
        <f t="shared" si="167"/>
        <v/>
      </c>
      <c r="U966" s="120"/>
      <c r="V966" s="118"/>
    </row>
    <row r="967" spans="1:22" ht="13.2">
      <c r="A967" s="102"/>
      <c r="B967" s="102"/>
      <c r="C967" s="104"/>
      <c r="D967" s="105"/>
      <c r="E967" s="106"/>
      <c r="F967" s="107"/>
      <c r="G967" s="108"/>
      <c r="H967" s="109"/>
      <c r="I967" s="110"/>
      <c r="J967" s="110"/>
      <c r="K967" s="119"/>
      <c r="L967" s="111" t="str">
        <f t="shared" si="159"/>
        <v/>
      </c>
      <c r="M967" s="112" t="str">
        <f t="shared" si="160"/>
        <v/>
      </c>
      <c r="N967" s="112" t="str">
        <f t="shared" si="161"/>
        <v/>
      </c>
      <c r="O967" s="112" t="str">
        <f t="shared" si="162"/>
        <v xml:space="preserve"> </v>
      </c>
      <c r="P967" s="113" t="str">
        <f t="shared" si="163"/>
        <v/>
      </c>
      <c r="Q967" s="114" t="str">
        <f t="shared" si="164"/>
        <v/>
      </c>
      <c r="R967" s="115" t="str">
        <f t="shared" si="165"/>
        <v/>
      </c>
      <c r="S967" s="115" t="str">
        <f t="shared" si="166"/>
        <v/>
      </c>
      <c r="T967" s="116" t="str">
        <f t="shared" si="167"/>
        <v/>
      </c>
      <c r="U967" s="120"/>
      <c r="V967" s="118"/>
    </row>
    <row r="968" spans="1:22" ht="13.2">
      <c r="A968" s="102"/>
      <c r="B968" s="102"/>
      <c r="C968" s="104"/>
      <c r="D968" s="105"/>
      <c r="E968" s="106"/>
      <c r="F968" s="107"/>
      <c r="G968" s="108"/>
      <c r="H968" s="109"/>
      <c r="I968" s="110"/>
      <c r="J968" s="110"/>
      <c r="K968" s="119"/>
      <c r="L968" s="111" t="str">
        <f t="shared" si="159"/>
        <v/>
      </c>
      <c r="M968" s="112" t="str">
        <f t="shared" si="160"/>
        <v/>
      </c>
      <c r="N968" s="112" t="str">
        <f t="shared" si="161"/>
        <v/>
      </c>
      <c r="O968" s="112" t="str">
        <f t="shared" si="162"/>
        <v xml:space="preserve"> </v>
      </c>
      <c r="P968" s="113" t="str">
        <f t="shared" si="163"/>
        <v/>
      </c>
      <c r="Q968" s="114" t="str">
        <f t="shared" si="164"/>
        <v/>
      </c>
      <c r="R968" s="115" t="str">
        <f t="shared" si="165"/>
        <v/>
      </c>
      <c r="S968" s="115" t="str">
        <f t="shared" si="166"/>
        <v/>
      </c>
      <c r="T968" s="116" t="str">
        <f t="shared" si="167"/>
        <v/>
      </c>
      <c r="U968" s="120"/>
      <c r="V968" s="118"/>
    </row>
    <row r="969" spans="1:22" ht="13.2">
      <c r="A969" s="102"/>
      <c r="B969" s="102"/>
      <c r="C969" s="104"/>
      <c r="D969" s="105"/>
      <c r="E969" s="106"/>
      <c r="F969" s="107"/>
      <c r="G969" s="108"/>
      <c r="H969" s="109"/>
      <c r="I969" s="110"/>
      <c r="J969" s="110"/>
      <c r="K969" s="110"/>
      <c r="L969" s="111" t="str">
        <f t="shared" si="159"/>
        <v/>
      </c>
      <c r="M969" s="112" t="str">
        <f t="shared" si="160"/>
        <v/>
      </c>
      <c r="N969" s="112" t="str">
        <f t="shared" si="161"/>
        <v/>
      </c>
      <c r="O969" s="112" t="str">
        <f t="shared" si="162"/>
        <v xml:space="preserve"> </v>
      </c>
      <c r="P969" s="113" t="str">
        <f t="shared" si="163"/>
        <v/>
      </c>
      <c r="Q969" s="114" t="str">
        <f t="shared" si="164"/>
        <v/>
      </c>
      <c r="R969" s="115" t="str">
        <f t="shared" si="165"/>
        <v/>
      </c>
      <c r="S969" s="115" t="str">
        <f t="shared" si="166"/>
        <v/>
      </c>
      <c r="T969" s="116" t="str">
        <f t="shared" si="167"/>
        <v/>
      </c>
      <c r="U969" s="120"/>
      <c r="V969" s="118"/>
    </row>
    <row r="970" spans="1:22" ht="13.2">
      <c r="A970" s="102"/>
      <c r="B970" s="102"/>
      <c r="C970" s="104"/>
      <c r="D970" s="105"/>
      <c r="E970" s="106"/>
      <c r="F970" s="107"/>
      <c r="G970" s="108"/>
      <c r="H970" s="109"/>
      <c r="I970" s="110"/>
      <c r="J970" s="110"/>
      <c r="K970" s="119"/>
      <c r="L970" s="111" t="str">
        <f t="shared" si="159"/>
        <v/>
      </c>
      <c r="M970" s="112" t="str">
        <f t="shared" si="160"/>
        <v/>
      </c>
      <c r="N970" s="112" t="str">
        <f t="shared" si="161"/>
        <v/>
      </c>
      <c r="O970" s="112" t="str">
        <f t="shared" si="162"/>
        <v xml:space="preserve"> </v>
      </c>
      <c r="P970" s="113" t="str">
        <f t="shared" si="163"/>
        <v/>
      </c>
      <c r="Q970" s="114" t="str">
        <f t="shared" si="164"/>
        <v/>
      </c>
      <c r="R970" s="115" t="str">
        <f t="shared" si="165"/>
        <v/>
      </c>
      <c r="S970" s="115" t="str">
        <f t="shared" si="166"/>
        <v/>
      </c>
      <c r="T970" s="116" t="str">
        <f t="shared" si="167"/>
        <v/>
      </c>
      <c r="U970" s="120"/>
      <c r="V970" s="118"/>
    </row>
    <row r="971" spans="1:22" ht="13.2">
      <c r="A971" s="102"/>
      <c r="B971" s="102"/>
      <c r="C971" s="104"/>
      <c r="D971" s="105"/>
      <c r="E971" s="106"/>
      <c r="F971" s="107"/>
      <c r="G971" s="108"/>
      <c r="H971" s="109"/>
      <c r="I971" s="110"/>
      <c r="J971" s="110"/>
      <c r="K971" s="119"/>
      <c r="L971" s="111" t="str">
        <f t="shared" si="159"/>
        <v/>
      </c>
      <c r="M971" s="112" t="str">
        <f t="shared" si="160"/>
        <v/>
      </c>
      <c r="N971" s="112" t="str">
        <f t="shared" si="161"/>
        <v/>
      </c>
      <c r="O971" s="112" t="str">
        <f t="shared" si="162"/>
        <v xml:space="preserve"> </v>
      </c>
      <c r="P971" s="113" t="str">
        <f t="shared" si="163"/>
        <v/>
      </c>
      <c r="Q971" s="114" t="str">
        <f t="shared" si="164"/>
        <v/>
      </c>
      <c r="R971" s="115" t="str">
        <f t="shared" si="165"/>
        <v/>
      </c>
      <c r="S971" s="115" t="str">
        <f t="shared" si="166"/>
        <v/>
      </c>
      <c r="T971" s="116" t="str">
        <f t="shared" si="167"/>
        <v/>
      </c>
      <c r="U971" s="120"/>
      <c r="V971" s="118"/>
    </row>
    <row r="972" spans="1:22" ht="13.2">
      <c r="A972" s="102"/>
      <c r="B972" s="102"/>
      <c r="C972" s="104"/>
      <c r="D972" s="105"/>
      <c r="E972" s="106"/>
      <c r="F972" s="107"/>
      <c r="G972" s="108"/>
      <c r="H972" s="109"/>
      <c r="I972" s="110"/>
      <c r="J972" s="110"/>
      <c r="K972" s="119"/>
      <c r="L972" s="111" t="str">
        <f t="shared" si="159"/>
        <v/>
      </c>
      <c r="M972" s="112" t="str">
        <f t="shared" si="160"/>
        <v/>
      </c>
      <c r="N972" s="112" t="str">
        <f t="shared" si="161"/>
        <v/>
      </c>
      <c r="O972" s="112" t="str">
        <f t="shared" si="162"/>
        <v xml:space="preserve"> </v>
      </c>
      <c r="P972" s="113" t="str">
        <f t="shared" si="163"/>
        <v/>
      </c>
      <c r="Q972" s="114" t="str">
        <f t="shared" si="164"/>
        <v/>
      </c>
      <c r="R972" s="115" t="str">
        <f t="shared" si="165"/>
        <v/>
      </c>
      <c r="S972" s="115" t="str">
        <f t="shared" si="166"/>
        <v/>
      </c>
      <c r="T972" s="116" t="str">
        <f t="shared" si="167"/>
        <v/>
      </c>
      <c r="U972" s="120"/>
      <c r="V972" s="118"/>
    </row>
    <row r="973" spans="1:22" ht="13.2">
      <c r="A973" s="102"/>
      <c r="B973" s="102"/>
      <c r="C973" s="104"/>
      <c r="D973" s="105"/>
      <c r="E973" s="106"/>
      <c r="F973" s="107"/>
      <c r="G973" s="108"/>
      <c r="H973" s="109"/>
      <c r="I973" s="110"/>
      <c r="J973" s="110"/>
      <c r="K973" s="119"/>
      <c r="L973" s="111" t="str">
        <f t="shared" si="159"/>
        <v/>
      </c>
      <c r="M973" s="112" t="str">
        <f t="shared" si="160"/>
        <v/>
      </c>
      <c r="N973" s="112" t="str">
        <f t="shared" si="161"/>
        <v/>
      </c>
      <c r="O973" s="112" t="str">
        <f t="shared" si="162"/>
        <v xml:space="preserve"> </v>
      </c>
      <c r="P973" s="113" t="str">
        <f t="shared" si="163"/>
        <v/>
      </c>
      <c r="Q973" s="114" t="str">
        <f t="shared" si="164"/>
        <v/>
      </c>
      <c r="R973" s="115" t="str">
        <f t="shared" si="165"/>
        <v/>
      </c>
      <c r="S973" s="115" t="str">
        <f t="shared" si="166"/>
        <v/>
      </c>
      <c r="T973" s="116" t="str">
        <f t="shared" si="167"/>
        <v/>
      </c>
      <c r="U973" s="120"/>
      <c r="V973" s="118"/>
    </row>
  </sheetData>
  <phoneticPr fontId="10" type="noConversion"/>
  <conditionalFormatting sqref="R9:T11 R14:T14 R17:T973">
    <cfRule type="cellIs" dxfId="31" priority="24" stopIfTrue="1" operator="equal">
      <formula>"reject"</formula>
    </cfRule>
  </conditionalFormatting>
  <conditionalFormatting sqref="L9:N11 L56:N74 L79:N97 L102:N120 L125:N143 L148:N166 L171:N189 L194:N212 L217:N235 L240:N258 L263:N281 L286:N304 L309:N327 L332:N350 L355:N373 L378:N396 L401:N419 L424:N442 L447:N465 L470:N488 L493:N511 L516:N534 L539:N557 L562:N580 L585:N603 L608:N626 L631:N649 L654:N672 L677:N695 L700:N718 L723:N741 L746:N764 L769:N787 L792:N810 L815:N833 L838:N856 L861:N879 L884:N902 L907:N925 L930:N948 L953:N971 L14:N14 L17:N51">
    <cfRule type="cellIs" dxfId="30" priority="22" stopIfTrue="1" operator="greaterThan">
      <formula>$E9</formula>
    </cfRule>
    <cfRule type="cellIs" dxfId="29" priority="23" stopIfTrue="1" operator="lessThan">
      <formula>-$F9</formula>
    </cfRule>
  </conditionalFormatting>
  <conditionalFormatting sqref="U25:U55">
    <cfRule type="cellIs" dxfId="28" priority="21" stopIfTrue="1" operator="greaterThan">
      <formula>0.03</formula>
    </cfRule>
  </conditionalFormatting>
  <conditionalFormatting sqref="L52:N53 L75:N76 L98:N99 L121:N122 L144:N145 L167:N168 L190:N191 L213:N214 L236:N237 L259:N260 L282:N283 L305:N306 L328:N329 L351:N352 L374:N375 L397:N398 L420:N421 L443:N444 L466:N467 L489:N490 L512:N513 L535:N536 L558:N559 L581:N582 L604:N605 L627:N628 L650:N651 L673:N674 L696:N697 L719:N720 L742:N743 L765:N766 L788:N789 L811:N812 L834:N835 L857:N858 L880:N881 L903:N904 L926:N927 L949:N950 L972:N973">
    <cfRule type="cellIs" dxfId="27" priority="19" stopIfTrue="1" operator="greaterThan">
      <formula>$E52</formula>
    </cfRule>
    <cfRule type="cellIs" dxfId="26" priority="20" stopIfTrue="1" operator="lessThan">
      <formula>-$F52</formula>
    </cfRule>
  </conditionalFormatting>
  <conditionalFormatting sqref="L54:N55 L77:N78 L100:N101 L123:N124 L146:N147 L169:N170 L192:N193 L215:N216 L238:N239 L261:N262 L284:N285 L307:N308 L330:N331 L353:N354 L376:N377 L399:N400 L422:N423 L445:N446 L468:N469 L491:N492 L514:N515 L537:N538 L560:N561 L583:N584 L606:N607 L629:N630 L652:N653 L675:N676 L698:N699 L721:N722 L744:N745 L767:N768 L790:N791 L813:N814 L836:N837 L859:N860 L882:N883 L905:N906 L928:N929 L951:N952">
    <cfRule type="cellIs" dxfId="25" priority="17" stopIfTrue="1" operator="greaterThan">
      <formula>$E54</formula>
    </cfRule>
    <cfRule type="cellIs" dxfId="24" priority="18" stopIfTrue="1" operator="lessThan">
      <formula>-$F54</formula>
    </cfRule>
  </conditionalFormatting>
  <conditionalFormatting sqref="U56:U61">
    <cfRule type="cellIs" dxfId="23" priority="13" stopIfTrue="1" operator="greaterThan">
      <formula>0.03</formula>
    </cfRule>
  </conditionalFormatting>
  <conditionalFormatting sqref="U62:U973">
    <cfRule type="cellIs" dxfId="22" priority="9" stopIfTrue="1" operator="greaterThan">
      <formula>0.03</formula>
    </cfRule>
  </conditionalFormatting>
  <conditionalFormatting sqref="R12:T13">
    <cfRule type="cellIs" dxfId="21" priority="6" stopIfTrue="1" operator="equal">
      <formula>"reject"</formula>
    </cfRule>
  </conditionalFormatting>
  <conditionalFormatting sqref="L12:N13">
    <cfRule type="cellIs" dxfId="20" priority="4" stopIfTrue="1" operator="greaterThan">
      <formula>$E12</formula>
    </cfRule>
    <cfRule type="cellIs" dxfId="19" priority="5" stopIfTrue="1" operator="lessThan">
      <formula>-$F12</formula>
    </cfRule>
  </conditionalFormatting>
  <conditionalFormatting sqref="R15:T16">
    <cfRule type="cellIs" dxfId="18" priority="3" stopIfTrue="1" operator="equal">
      <formula>"reject"</formula>
    </cfRule>
  </conditionalFormatting>
  <conditionalFormatting sqref="L15:N16">
    <cfRule type="cellIs" dxfId="17" priority="1" stopIfTrue="1" operator="greaterThan">
      <formula>$E15</formula>
    </cfRule>
    <cfRule type="cellIs" dxfId="16" priority="2" stopIfTrue="1" operator="lessThan">
      <formula>-$F15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3106-0200-4112-9C7F-9A3DB86F0620}">
  <sheetPr codeName="Sheet12">
    <tabColor rgb="FF00B050"/>
  </sheetPr>
  <dimension ref="A1:W973"/>
  <sheetViews>
    <sheetView workbookViewId="0">
      <selection activeCell="H16" sqref="H16:H18"/>
    </sheetView>
  </sheetViews>
  <sheetFormatPr defaultColWidth="7.36328125" defaultRowHeight="12.6"/>
  <cols>
    <col min="1" max="2" width="7.7265625" style="124" customWidth="1"/>
    <col min="3" max="3" width="7.6328125" style="1" customWidth="1"/>
    <col min="4" max="4" width="8.08984375" style="1" customWidth="1"/>
    <col min="5" max="5" width="7.6328125" style="1" customWidth="1"/>
    <col min="6" max="7" width="6" style="1" customWidth="1"/>
    <col min="8" max="8" width="15.1796875" style="1" customWidth="1"/>
    <col min="9" max="9" width="8.6328125" style="1" customWidth="1"/>
    <col min="10" max="10" width="8.453125" style="1" customWidth="1"/>
    <col min="11" max="11" width="8.36328125" style="1" customWidth="1"/>
    <col min="12" max="12" width="5.7265625" style="1" customWidth="1"/>
    <col min="13" max="15" width="6.7265625" style="1" customWidth="1"/>
    <col min="16" max="16" width="7.36328125" style="1"/>
    <col min="17" max="17" width="6" style="1" customWidth="1"/>
    <col min="18" max="18" width="6.08984375" style="1" customWidth="1"/>
    <col min="19" max="19" width="5.6328125" style="1" customWidth="1"/>
    <col min="20" max="20" width="11.08984375" style="1" customWidth="1"/>
    <col min="21" max="21" width="14.7265625" style="1" customWidth="1"/>
    <col min="22" max="22" width="16.7265625" style="1" customWidth="1"/>
    <col min="23" max="256" width="7.36328125" style="1"/>
    <col min="257" max="258" width="7.7265625" style="1" customWidth="1"/>
    <col min="259" max="259" width="7.6328125" style="1" customWidth="1"/>
    <col min="260" max="260" width="8.08984375" style="1" customWidth="1"/>
    <col min="261" max="261" width="7.6328125" style="1" customWidth="1"/>
    <col min="262" max="263" width="6" style="1" customWidth="1"/>
    <col min="264" max="264" width="8.7265625" style="1" customWidth="1"/>
    <col min="265" max="265" width="8.6328125" style="1" customWidth="1"/>
    <col min="266" max="266" width="8.453125" style="1" customWidth="1"/>
    <col min="267" max="267" width="8.36328125" style="1" customWidth="1"/>
    <col min="268" max="268" width="5.7265625" style="1" customWidth="1"/>
    <col min="269" max="271" width="6.7265625" style="1" customWidth="1"/>
    <col min="272" max="272" width="7.36328125" style="1"/>
    <col min="273" max="273" width="6" style="1" customWidth="1"/>
    <col min="274" max="274" width="6.08984375" style="1" customWidth="1"/>
    <col min="275" max="275" width="5.6328125" style="1" customWidth="1"/>
    <col min="276" max="276" width="11.08984375" style="1" customWidth="1"/>
    <col min="277" max="277" width="14.7265625" style="1" customWidth="1"/>
    <col min="278" max="278" width="16.7265625" style="1" customWidth="1"/>
    <col min="279" max="512" width="7.36328125" style="1"/>
    <col min="513" max="514" width="7.7265625" style="1" customWidth="1"/>
    <col min="515" max="515" width="7.6328125" style="1" customWidth="1"/>
    <col min="516" max="516" width="8.08984375" style="1" customWidth="1"/>
    <col min="517" max="517" width="7.6328125" style="1" customWidth="1"/>
    <col min="518" max="519" width="6" style="1" customWidth="1"/>
    <col min="520" max="520" width="8.7265625" style="1" customWidth="1"/>
    <col min="521" max="521" width="8.6328125" style="1" customWidth="1"/>
    <col min="522" max="522" width="8.453125" style="1" customWidth="1"/>
    <col min="523" max="523" width="8.36328125" style="1" customWidth="1"/>
    <col min="524" max="524" width="5.7265625" style="1" customWidth="1"/>
    <col min="525" max="527" width="6.7265625" style="1" customWidth="1"/>
    <col min="528" max="528" width="7.36328125" style="1"/>
    <col min="529" max="529" width="6" style="1" customWidth="1"/>
    <col min="530" max="530" width="6.08984375" style="1" customWidth="1"/>
    <col min="531" max="531" width="5.6328125" style="1" customWidth="1"/>
    <col min="532" max="532" width="11.08984375" style="1" customWidth="1"/>
    <col min="533" max="533" width="14.7265625" style="1" customWidth="1"/>
    <col min="534" max="534" width="16.7265625" style="1" customWidth="1"/>
    <col min="535" max="768" width="7.36328125" style="1"/>
    <col min="769" max="770" width="7.7265625" style="1" customWidth="1"/>
    <col min="771" max="771" width="7.6328125" style="1" customWidth="1"/>
    <col min="772" max="772" width="8.08984375" style="1" customWidth="1"/>
    <col min="773" max="773" width="7.6328125" style="1" customWidth="1"/>
    <col min="774" max="775" width="6" style="1" customWidth="1"/>
    <col min="776" max="776" width="8.7265625" style="1" customWidth="1"/>
    <col min="777" max="777" width="8.6328125" style="1" customWidth="1"/>
    <col min="778" max="778" width="8.453125" style="1" customWidth="1"/>
    <col min="779" max="779" width="8.36328125" style="1" customWidth="1"/>
    <col min="780" max="780" width="5.7265625" style="1" customWidth="1"/>
    <col min="781" max="783" width="6.7265625" style="1" customWidth="1"/>
    <col min="784" max="784" width="7.36328125" style="1"/>
    <col min="785" max="785" width="6" style="1" customWidth="1"/>
    <col min="786" max="786" width="6.08984375" style="1" customWidth="1"/>
    <col min="787" max="787" width="5.6328125" style="1" customWidth="1"/>
    <col min="788" max="788" width="11.08984375" style="1" customWidth="1"/>
    <col min="789" max="789" width="14.7265625" style="1" customWidth="1"/>
    <col min="790" max="790" width="16.7265625" style="1" customWidth="1"/>
    <col min="791" max="1024" width="7.36328125" style="1"/>
    <col min="1025" max="1026" width="7.7265625" style="1" customWidth="1"/>
    <col min="1027" max="1027" width="7.6328125" style="1" customWidth="1"/>
    <col min="1028" max="1028" width="8.08984375" style="1" customWidth="1"/>
    <col min="1029" max="1029" width="7.6328125" style="1" customWidth="1"/>
    <col min="1030" max="1031" width="6" style="1" customWidth="1"/>
    <col min="1032" max="1032" width="8.7265625" style="1" customWidth="1"/>
    <col min="1033" max="1033" width="8.6328125" style="1" customWidth="1"/>
    <col min="1034" max="1034" width="8.453125" style="1" customWidth="1"/>
    <col min="1035" max="1035" width="8.36328125" style="1" customWidth="1"/>
    <col min="1036" max="1036" width="5.7265625" style="1" customWidth="1"/>
    <col min="1037" max="1039" width="6.7265625" style="1" customWidth="1"/>
    <col min="1040" max="1040" width="7.36328125" style="1"/>
    <col min="1041" max="1041" width="6" style="1" customWidth="1"/>
    <col min="1042" max="1042" width="6.08984375" style="1" customWidth="1"/>
    <col min="1043" max="1043" width="5.6328125" style="1" customWidth="1"/>
    <col min="1044" max="1044" width="11.08984375" style="1" customWidth="1"/>
    <col min="1045" max="1045" width="14.7265625" style="1" customWidth="1"/>
    <col min="1046" max="1046" width="16.7265625" style="1" customWidth="1"/>
    <col min="1047" max="1280" width="7.36328125" style="1"/>
    <col min="1281" max="1282" width="7.7265625" style="1" customWidth="1"/>
    <col min="1283" max="1283" width="7.6328125" style="1" customWidth="1"/>
    <col min="1284" max="1284" width="8.08984375" style="1" customWidth="1"/>
    <col min="1285" max="1285" width="7.6328125" style="1" customWidth="1"/>
    <col min="1286" max="1287" width="6" style="1" customWidth="1"/>
    <col min="1288" max="1288" width="8.7265625" style="1" customWidth="1"/>
    <col min="1289" max="1289" width="8.6328125" style="1" customWidth="1"/>
    <col min="1290" max="1290" width="8.453125" style="1" customWidth="1"/>
    <col min="1291" max="1291" width="8.36328125" style="1" customWidth="1"/>
    <col min="1292" max="1292" width="5.7265625" style="1" customWidth="1"/>
    <col min="1293" max="1295" width="6.7265625" style="1" customWidth="1"/>
    <col min="1296" max="1296" width="7.36328125" style="1"/>
    <col min="1297" max="1297" width="6" style="1" customWidth="1"/>
    <col min="1298" max="1298" width="6.08984375" style="1" customWidth="1"/>
    <col min="1299" max="1299" width="5.6328125" style="1" customWidth="1"/>
    <col min="1300" max="1300" width="11.08984375" style="1" customWidth="1"/>
    <col min="1301" max="1301" width="14.7265625" style="1" customWidth="1"/>
    <col min="1302" max="1302" width="16.7265625" style="1" customWidth="1"/>
    <col min="1303" max="1536" width="7.36328125" style="1"/>
    <col min="1537" max="1538" width="7.7265625" style="1" customWidth="1"/>
    <col min="1539" max="1539" width="7.6328125" style="1" customWidth="1"/>
    <col min="1540" max="1540" width="8.08984375" style="1" customWidth="1"/>
    <col min="1541" max="1541" width="7.6328125" style="1" customWidth="1"/>
    <col min="1542" max="1543" width="6" style="1" customWidth="1"/>
    <col min="1544" max="1544" width="8.7265625" style="1" customWidth="1"/>
    <col min="1545" max="1545" width="8.6328125" style="1" customWidth="1"/>
    <col min="1546" max="1546" width="8.453125" style="1" customWidth="1"/>
    <col min="1547" max="1547" width="8.36328125" style="1" customWidth="1"/>
    <col min="1548" max="1548" width="5.7265625" style="1" customWidth="1"/>
    <col min="1549" max="1551" width="6.7265625" style="1" customWidth="1"/>
    <col min="1552" max="1552" width="7.36328125" style="1"/>
    <col min="1553" max="1553" width="6" style="1" customWidth="1"/>
    <col min="1554" max="1554" width="6.08984375" style="1" customWidth="1"/>
    <col min="1555" max="1555" width="5.6328125" style="1" customWidth="1"/>
    <col min="1556" max="1556" width="11.08984375" style="1" customWidth="1"/>
    <col min="1557" max="1557" width="14.7265625" style="1" customWidth="1"/>
    <col min="1558" max="1558" width="16.7265625" style="1" customWidth="1"/>
    <col min="1559" max="1792" width="7.36328125" style="1"/>
    <col min="1793" max="1794" width="7.7265625" style="1" customWidth="1"/>
    <col min="1795" max="1795" width="7.6328125" style="1" customWidth="1"/>
    <col min="1796" max="1796" width="8.08984375" style="1" customWidth="1"/>
    <col min="1797" max="1797" width="7.6328125" style="1" customWidth="1"/>
    <col min="1798" max="1799" width="6" style="1" customWidth="1"/>
    <col min="1800" max="1800" width="8.7265625" style="1" customWidth="1"/>
    <col min="1801" max="1801" width="8.6328125" style="1" customWidth="1"/>
    <col min="1802" max="1802" width="8.453125" style="1" customWidth="1"/>
    <col min="1803" max="1803" width="8.36328125" style="1" customWidth="1"/>
    <col min="1804" max="1804" width="5.7265625" style="1" customWidth="1"/>
    <col min="1805" max="1807" width="6.7265625" style="1" customWidth="1"/>
    <col min="1808" max="1808" width="7.36328125" style="1"/>
    <col min="1809" max="1809" width="6" style="1" customWidth="1"/>
    <col min="1810" max="1810" width="6.08984375" style="1" customWidth="1"/>
    <col min="1811" max="1811" width="5.6328125" style="1" customWidth="1"/>
    <col min="1812" max="1812" width="11.08984375" style="1" customWidth="1"/>
    <col min="1813" max="1813" width="14.7265625" style="1" customWidth="1"/>
    <col min="1814" max="1814" width="16.7265625" style="1" customWidth="1"/>
    <col min="1815" max="2048" width="7.36328125" style="1"/>
    <col min="2049" max="2050" width="7.7265625" style="1" customWidth="1"/>
    <col min="2051" max="2051" width="7.6328125" style="1" customWidth="1"/>
    <col min="2052" max="2052" width="8.08984375" style="1" customWidth="1"/>
    <col min="2053" max="2053" width="7.6328125" style="1" customWidth="1"/>
    <col min="2054" max="2055" width="6" style="1" customWidth="1"/>
    <col min="2056" max="2056" width="8.7265625" style="1" customWidth="1"/>
    <col min="2057" max="2057" width="8.6328125" style="1" customWidth="1"/>
    <col min="2058" max="2058" width="8.453125" style="1" customWidth="1"/>
    <col min="2059" max="2059" width="8.36328125" style="1" customWidth="1"/>
    <col min="2060" max="2060" width="5.7265625" style="1" customWidth="1"/>
    <col min="2061" max="2063" width="6.7265625" style="1" customWidth="1"/>
    <col min="2064" max="2064" width="7.36328125" style="1"/>
    <col min="2065" max="2065" width="6" style="1" customWidth="1"/>
    <col min="2066" max="2066" width="6.08984375" style="1" customWidth="1"/>
    <col min="2067" max="2067" width="5.6328125" style="1" customWidth="1"/>
    <col min="2068" max="2068" width="11.08984375" style="1" customWidth="1"/>
    <col min="2069" max="2069" width="14.7265625" style="1" customWidth="1"/>
    <col min="2070" max="2070" width="16.7265625" style="1" customWidth="1"/>
    <col min="2071" max="2304" width="7.36328125" style="1"/>
    <col min="2305" max="2306" width="7.7265625" style="1" customWidth="1"/>
    <col min="2307" max="2307" width="7.6328125" style="1" customWidth="1"/>
    <col min="2308" max="2308" width="8.08984375" style="1" customWidth="1"/>
    <col min="2309" max="2309" width="7.6328125" style="1" customWidth="1"/>
    <col min="2310" max="2311" width="6" style="1" customWidth="1"/>
    <col min="2312" max="2312" width="8.7265625" style="1" customWidth="1"/>
    <col min="2313" max="2313" width="8.6328125" style="1" customWidth="1"/>
    <col min="2314" max="2314" width="8.453125" style="1" customWidth="1"/>
    <col min="2315" max="2315" width="8.36328125" style="1" customWidth="1"/>
    <col min="2316" max="2316" width="5.7265625" style="1" customWidth="1"/>
    <col min="2317" max="2319" width="6.7265625" style="1" customWidth="1"/>
    <col min="2320" max="2320" width="7.36328125" style="1"/>
    <col min="2321" max="2321" width="6" style="1" customWidth="1"/>
    <col min="2322" max="2322" width="6.08984375" style="1" customWidth="1"/>
    <col min="2323" max="2323" width="5.6328125" style="1" customWidth="1"/>
    <col min="2324" max="2324" width="11.08984375" style="1" customWidth="1"/>
    <col min="2325" max="2325" width="14.7265625" style="1" customWidth="1"/>
    <col min="2326" max="2326" width="16.7265625" style="1" customWidth="1"/>
    <col min="2327" max="2560" width="7.36328125" style="1"/>
    <col min="2561" max="2562" width="7.7265625" style="1" customWidth="1"/>
    <col min="2563" max="2563" width="7.6328125" style="1" customWidth="1"/>
    <col min="2564" max="2564" width="8.08984375" style="1" customWidth="1"/>
    <col min="2565" max="2565" width="7.6328125" style="1" customWidth="1"/>
    <col min="2566" max="2567" width="6" style="1" customWidth="1"/>
    <col min="2568" max="2568" width="8.7265625" style="1" customWidth="1"/>
    <col min="2569" max="2569" width="8.6328125" style="1" customWidth="1"/>
    <col min="2570" max="2570" width="8.453125" style="1" customWidth="1"/>
    <col min="2571" max="2571" width="8.36328125" style="1" customWidth="1"/>
    <col min="2572" max="2572" width="5.7265625" style="1" customWidth="1"/>
    <col min="2573" max="2575" width="6.7265625" style="1" customWidth="1"/>
    <col min="2576" max="2576" width="7.36328125" style="1"/>
    <col min="2577" max="2577" width="6" style="1" customWidth="1"/>
    <col min="2578" max="2578" width="6.08984375" style="1" customWidth="1"/>
    <col min="2579" max="2579" width="5.6328125" style="1" customWidth="1"/>
    <col min="2580" max="2580" width="11.08984375" style="1" customWidth="1"/>
    <col min="2581" max="2581" width="14.7265625" style="1" customWidth="1"/>
    <col min="2582" max="2582" width="16.7265625" style="1" customWidth="1"/>
    <col min="2583" max="2816" width="7.36328125" style="1"/>
    <col min="2817" max="2818" width="7.7265625" style="1" customWidth="1"/>
    <col min="2819" max="2819" width="7.6328125" style="1" customWidth="1"/>
    <col min="2820" max="2820" width="8.08984375" style="1" customWidth="1"/>
    <col min="2821" max="2821" width="7.6328125" style="1" customWidth="1"/>
    <col min="2822" max="2823" width="6" style="1" customWidth="1"/>
    <col min="2824" max="2824" width="8.7265625" style="1" customWidth="1"/>
    <col min="2825" max="2825" width="8.6328125" style="1" customWidth="1"/>
    <col min="2826" max="2826" width="8.453125" style="1" customWidth="1"/>
    <col min="2827" max="2827" width="8.36328125" style="1" customWidth="1"/>
    <col min="2828" max="2828" width="5.7265625" style="1" customWidth="1"/>
    <col min="2829" max="2831" width="6.7265625" style="1" customWidth="1"/>
    <col min="2832" max="2832" width="7.36328125" style="1"/>
    <col min="2833" max="2833" width="6" style="1" customWidth="1"/>
    <col min="2834" max="2834" width="6.08984375" style="1" customWidth="1"/>
    <col min="2835" max="2835" width="5.6328125" style="1" customWidth="1"/>
    <col min="2836" max="2836" width="11.08984375" style="1" customWidth="1"/>
    <col min="2837" max="2837" width="14.7265625" style="1" customWidth="1"/>
    <col min="2838" max="2838" width="16.7265625" style="1" customWidth="1"/>
    <col min="2839" max="3072" width="7.36328125" style="1"/>
    <col min="3073" max="3074" width="7.7265625" style="1" customWidth="1"/>
    <col min="3075" max="3075" width="7.6328125" style="1" customWidth="1"/>
    <col min="3076" max="3076" width="8.08984375" style="1" customWidth="1"/>
    <col min="3077" max="3077" width="7.6328125" style="1" customWidth="1"/>
    <col min="3078" max="3079" width="6" style="1" customWidth="1"/>
    <col min="3080" max="3080" width="8.7265625" style="1" customWidth="1"/>
    <col min="3081" max="3081" width="8.6328125" style="1" customWidth="1"/>
    <col min="3082" max="3082" width="8.453125" style="1" customWidth="1"/>
    <col min="3083" max="3083" width="8.36328125" style="1" customWidth="1"/>
    <col min="3084" max="3084" width="5.7265625" style="1" customWidth="1"/>
    <col min="3085" max="3087" width="6.7265625" style="1" customWidth="1"/>
    <col min="3088" max="3088" width="7.36328125" style="1"/>
    <col min="3089" max="3089" width="6" style="1" customWidth="1"/>
    <col min="3090" max="3090" width="6.08984375" style="1" customWidth="1"/>
    <col min="3091" max="3091" width="5.6328125" style="1" customWidth="1"/>
    <col min="3092" max="3092" width="11.08984375" style="1" customWidth="1"/>
    <col min="3093" max="3093" width="14.7265625" style="1" customWidth="1"/>
    <col min="3094" max="3094" width="16.7265625" style="1" customWidth="1"/>
    <col min="3095" max="3328" width="7.36328125" style="1"/>
    <col min="3329" max="3330" width="7.7265625" style="1" customWidth="1"/>
    <col min="3331" max="3331" width="7.6328125" style="1" customWidth="1"/>
    <col min="3332" max="3332" width="8.08984375" style="1" customWidth="1"/>
    <col min="3333" max="3333" width="7.6328125" style="1" customWidth="1"/>
    <col min="3334" max="3335" width="6" style="1" customWidth="1"/>
    <col min="3336" max="3336" width="8.7265625" style="1" customWidth="1"/>
    <col min="3337" max="3337" width="8.6328125" style="1" customWidth="1"/>
    <col min="3338" max="3338" width="8.453125" style="1" customWidth="1"/>
    <col min="3339" max="3339" width="8.36328125" style="1" customWidth="1"/>
    <col min="3340" max="3340" width="5.7265625" style="1" customWidth="1"/>
    <col min="3341" max="3343" width="6.7265625" style="1" customWidth="1"/>
    <col min="3344" max="3344" width="7.36328125" style="1"/>
    <col min="3345" max="3345" width="6" style="1" customWidth="1"/>
    <col min="3346" max="3346" width="6.08984375" style="1" customWidth="1"/>
    <col min="3347" max="3347" width="5.6328125" style="1" customWidth="1"/>
    <col min="3348" max="3348" width="11.08984375" style="1" customWidth="1"/>
    <col min="3349" max="3349" width="14.7265625" style="1" customWidth="1"/>
    <col min="3350" max="3350" width="16.7265625" style="1" customWidth="1"/>
    <col min="3351" max="3584" width="7.36328125" style="1"/>
    <col min="3585" max="3586" width="7.7265625" style="1" customWidth="1"/>
    <col min="3587" max="3587" width="7.6328125" style="1" customWidth="1"/>
    <col min="3588" max="3588" width="8.08984375" style="1" customWidth="1"/>
    <col min="3589" max="3589" width="7.6328125" style="1" customWidth="1"/>
    <col min="3590" max="3591" width="6" style="1" customWidth="1"/>
    <col min="3592" max="3592" width="8.7265625" style="1" customWidth="1"/>
    <col min="3593" max="3593" width="8.6328125" style="1" customWidth="1"/>
    <col min="3594" max="3594" width="8.453125" style="1" customWidth="1"/>
    <col min="3595" max="3595" width="8.36328125" style="1" customWidth="1"/>
    <col min="3596" max="3596" width="5.7265625" style="1" customWidth="1"/>
    <col min="3597" max="3599" width="6.7265625" style="1" customWidth="1"/>
    <col min="3600" max="3600" width="7.36328125" style="1"/>
    <col min="3601" max="3601" width="6" style="1" customWidth="1"/>
    <col min="3602" max="3602" width="6.08984375" style="1" customWidth="1"/>
    <col min="3603" max="3603" width="5.6328125" style="1" customWidth="1"/>
    <col min="3604" max="3604" width="11.08984375" style="1" customWidth="1"/>
    <col min="3605" max="3605" width="14.7265625" style="1" customWidth="1"/>
    <col min="3606" max="3606" width="16.7265625" style="1" customWidth="1"/>
    <col min="3607" max="3840" width="7.36328125" style="1"/>
    <col min="3841" max="3842" width="7.7265625" style="1" customWidth="1"/>
    <col min="3843" max="3843" width="7.6328125" style="1" customWidth="1"/>
    <col min="3844" max="3844" width="8.08984375" style="1" customWidth="1"/>
    <col min="3845" max="3845" width="7.6328125" style="1" customWidth="1"/>
    <col min="3846" max="3847" width="6" style="1" customWidth="1"/>
    <col min="3848" max="3848" width="8.7265625" style="1" customWidth="1"/>
    <col min="3849" max="3849" width="8.6328125" style="1" customWidth="1"/>
    <col min="3850" max="3850" width="8.453125" style="1" customWidth="1"/>
    <col min="3851" max="3851" width="8.36328125" style="1" customWidth="1"/>
    <col min="3852" max="3852" width="5.7265625" style="1" customWidth="1"/>
    <col min="3853" max="3855" width="6.7265625" style="1" customWidth="1"/>
    <col min="3856" max="3856" width="7.36328125" style="1"/>
    <col min="3857" max="3857" width="6" style="1" customWidth="1"/>
    <col min="3858" max="3858" width="6.08984375" style="1" customWidth="1"/>
    <col min="3859" max="3859" width="5.6328125" style="1" customWidth="1"/>
    <col min="3860" max="3860" width="11.08984375" style="1" customWidth="1"/>
    <col min="3861" max="3861" width="14.7265625" style="1" customWidth="1"/>
    <col min="3862" max="3862" width="16.7265625" style="1" customWidth="1"/>
    <col min="3863" max="4096" width="7.36328125" style="1"/>
    <col min="4097" max="4098" width="7.7265625" style="1" customWidth="1"/>
    <col min="4099" max="4099" width="7.6328125" style="1" customWidth="1"/>
    <col min="4100" max="4100" width="8.08984375" style="1" customWidth="1"/>
    <col min="4101" max="4101" width="7.6328125" style="1" customWidth="1"/>
    <col min="4102" max="4103" width="6" style="1" customWidth="1"/>
    <col min="4104" max="4104" width="8.7265625" style="1" customWidth="1"/>
    <col min="4105" max="4105" width="8.6328125" style="1" customWidth="1"/>
    <col min="4106" max="4106" width="8.453125" style="1" customWidth="1"/>
    <col min="4107" max="4107" width="8.36328125" style="1" customWidth="1"/>
    <col min="4108" max="4108" width="5.7265625" style="1" customWidth="1"/>
    <col min="4109" max="4111" width="6.7265625" style="1" customWidth="1"/>
    <col min="4112" max="4112" width="7.36328125" style="1"/>
    <col min="4113" max="4113" width="6" style="1" customWidth="1"/>
    <col min="4114" max="4114" width="6.08984375" style="1" customWidth="1"/>
    <col min="4115" max="4115" width="5.6328125" style="1" customWidth="1"/>
    <col min="4116" max="4116" width="11.08984375" style="1" customWidth="1"/>
    <col min="4117" max="4117" width="14.7265625" style="1" customWidth="1"/>
    <col min="4118" max="4118" width="16.7265625" style="1" customWidth="1"/>
    <col min="4119" max="4352" width="7.36328125" style="1"/>
    <col min="4353" max="4354" width="7.7265625" style="1" customWidth="1"/>
    <col min="4355" max="4355" width="7.6328125" style="1" customWidth="1"/>
    <col min="4356" max="4356" width="8.08984375" style="1" customWidth="1"/>
    <col min="4357" max="4357" width="7.6328125" style="1" customWidth="1"/>
    <col min="4358" max="4359" width="6" style="1" customWidth="1"/>
    <col min="4360" max="4360" width="8.7265625" style="1" customWidth="1"/>
    <col min="4361" max="4361" width="8.6328125" style="1" customWidth="1"/>
    <col min="4362" max="4362" width="8.453125" style="1" customWidth="1"/>
    <col min="4363" max="4363" width="8.36328125" style="1" customWidth="1"/>
    <col min="4364" max="4364" width="5.7265625" style="1" customWidth="1"/>
    <col min="4365" max="4367" width="6.7265625" style="1" customWidth="1"/>
    <col min="4368" max="4368" width="7.36328125" style="1"/>
    <col min="4369" max="4369" width="6" style="1" customWidth="1"/>
    <col min="4370" max="4370" width="6.08984375" style="1" customWidth="1"/>
    <col min="4371" max="4371" width="5.6328125" style="1" customWidth="1"/>
    <col min="4372" max="4372" width="11.08984375" style="1" customWidth="1"/>
    <col min="4373" max="4373" width="14.7265625" style="1" customWidth="1"/>
    <col min="4374" max="4374" width="16.7265625" style="1" customWidth="1"/>
    <col min="4375" max="4608" width="7.36328125" style="1"/>
    <col min="4609" max="4610" width="7.7265625" style="1" customWidth="1"/>
    <col min="4611" max="4611" width="7.6328125" style="1" customWidth="1"/>
    <col min="4612" max="4612" width="8.08984375" style="1" customWidth="1"/>
    <col min="4613" max="4613" width="7.6328125" style="1" customWidth="1"/>
    <col min="4614" max="4615" width="6" style="1" customWidth="1"/>
    <col min="4616" max="4616" width="8.7265625" style="1" customWidth="1"/>
    <col min="4617" max="4617" width="8.6328125" style="1" customWidth="1"/>
    <col min="4618" max="4618" width="8.453125" style="1" customWidth="1"/>
    <col min="4619" max="4619" width="8.36328125" style="1" customWidth="1"/>
    <col min="4620" max="4620" width="5.7265625" style="1" customWidth="1"/>
    <col min="4621" max="4623" width="6.7265625" style="1" customWidth="1"/>
    <col min="4624" max="4624" width="7.36328125" style="1"/>
    <col min="4625" max="4625" width="6" style="1" customWidth="1"/>
    <col min="4626" max="4626" width="6.08984375" style="1" customWidth="1"/>
    <col min="4627" max="4627" width="5.6328125" style="1" customWidth="1"/>
    <col min="4628" max="4628" width="11.08984375" style="1" customWidth="1"/>
    <col min="4629" max="4629" width="14.7265625" style="1" customWidth="1"/>
    <col min="4630" max="4630" width="16.7265625" style="1" customWidth="1"/>
    <col min="4631" max="4864" width="7.36328125" style="1"/>
    <col min="4865" max="4866" width="7.7265625" style="1" customWidth="1"/>
    <col min="4867" max="4867" width="7.6328125" style="1" customWidth="1"/>
    <col min="4868" max="4868" width="8.08984375" style="1" customWidth="1"/>
    <col min="4869" max="4869" width="7.6328125" style="1" customWidth="1"/>
    <col min="4870" max="4871" width="6" style="1" customWidth="1"/>
    <col min="4872" max="4872" width="8.7265625" style="1" customWidth="1"/>
    <col min="4873" max="4873" width="8.6328125" style="1" customWidth="1"/>
    <col min="4874" max="4874" width="8.453125" style="1" customWidth="1"/>
    <col min="4875" max="4875" width="8.36328125" style="1" customWidth="1"/>
    <col min="4876" max="4876" width="5.7265625" style="1" customWidth="1"/>
    <col min="4877" max="4879" width="6.7265625" style="1" customWidth="1"/>
    <col min="4880" max="4880" width="7.36328125" style="1"/>
    <col min="4881" max="4881" width="6" style="1" customWidth="1"/>
    <col min="4882" max="4882" width="6.08984375" style="1" customWidth="1"/>
    <col min="4883" max="4883" width="5.6328125" style="1" customWidth="1"/>
    <col min="4884" max="4884" width="11.08984375" style="1" customWidth="1"/>
    <col min="4885" max="4885" width="14.7265625" style="1" customWidth="1"/>
    <col min="4886" max="4886" width="16.7265625" style="1" customWidth="1"/>
    <col min="4887" max="5120" width="7.36328125" style="1"/>
    <col min="5121" max="5122" width="7.7265625" style="1" customWidth="1"/>
    <col min="5123" max="5123" width="7.6328125" style="1" customWidth="1"/>
    <col min="5124" max="5124" width="8.08984375" style="1" customWidth="1"/>
    <col min="5125" max="5125" width="7.6328125" style="1" customWidth="1"/>
    <col min="5126" max="5127" width="6" style="1" customWidth="1"/>
    <col min="5128" max="5128" width="8.7265625" style="1" customWidth="1"/>
    <col min="5129" max="5129" width="8.6328125" style="1" customWidth="1"/>
    <col min="5130" max="5130" width="8.453125" style="1" customWidth="1"/>
    <col min="5131" max="5131" width="8.36328125" style="1" customWidth="1"/>
    <col min="5132" max="5132" width="5.7265625" style="1" customWidth="1"/>
    <col min="5133" max="5135" width="6.7265625" style="1" customWidth="1"/>
    <col min="5136" max="5136" width="7.36328125" style="1"/>
    <col min="5137" max="5137" width="6" style="1" customWidth="1"/>
    <col min="5138" max="5138" width="6.08984375" style="1" customWidth="1"/>
    <col min="5139" max="5139" width="5.6328125" style="1" customWidth="1"/>
    <col min="5140" max="5140" width="11.08984375" style="1" customWidth="1"/>
    <col min="5141" max="5141" width="14.7265625" style="1" customWidth="1"/>
    <col min="5142" max="5142" width="16.7265625" style="1" customWidth="1"/>
    <col min="5143" max="5376" width="7.36328125" style="1"/>
    <col min="5377" max="5378" width="7.7265625" style="1" customWidth="1"/>
    <col min="5379" max="5379" width="7.6328125" style="1" customWidth="1"/>
    <col min="5380" max="5380" width="8.08984375" style="1" customWidth="1"/>
    <col min="5381" max="5381" width="7.6328125" style="1" customWidth="1"/>
    <col min="5382" max="5383" width="6" style="1" customWidth="1"/>
    <col min="5384" max="5384" width="8.7265625" style="1" customWidth="1"/>
    <col min="5385" max="5385" width="8.6328125" style="1" customWidth="1"/>
    <col min="5386" max="5386" width="8.453125" style="1" customWidth="1"/>
    <col min="5387" max="5387" width="8.36328125" style="1" customWidth="1"/>
    <col min="5388" max="5388" width="5.7265625" style="1" customWidth="1"/>
    <col min="5389" max="5391" width="6.7265625" style="1" customWidth="1"/>
    <col min="5392" max="5392" width="7.36328125" style="1"/>
    <col min="5393" max="5393" width="6" style="1" customWidth="1"/>
    <col min="5394" max="5394" width="6.08984375" style="1" customWidth="1"/>
    <col min="5395" max="5395" width="5.6328125" style="1" customWidth="1"/>
    <col min="5396" max="5396" width="11.08984375" style="1" customWidth="1"/>
    <col min="5397" max="5397" width="14.7265625" style="1" customWidth="1"/>
    <col min="5398" max="5398" width="16.7265625" style="1" customWidth="1"/>
    <col min="5399" max="5632" width="7.36328125" style="1"/>
    <col min="5633" max="5634" width="7.7265625" style="1" customWidth="1"/>
    <col min="5635" max="5635" width="7.6328125" style="1" customWidth="1"/>
    <col min="5636" max="5636" width="8.08984375" style="1" customWidth="1"/>
    <col min="5637" max="5637" width="7.6328125" style="1" customWidth="1"/>
    <col min="5638" max="5639" width="6" style="1" customWidth="1"/>
    <col min="5640" max="5640" width="8.7265625" style="1" customWidth="1"/>
    <col min="5641" max="5641" width="8.6328125" style="1" customWidth="1"/>
    <col min="5642" max="5642" width="8.453125" style="1" customWidth="1"/>
    <col min="5643" max="5643" width="8.36328125" style="1" customWidth="1"/>
    <col min="5644" max="5644" width="5.7265625" style="1" customWidth="1"/>
    <col min="5645" max="5647" width="6.7265625" style="1" customWidth="1"/>
    <col min="5648" max="5648" width="7.36328125" style="1"/>
    <col min="5649" max="5649" width="6" style="1" customWidth="1"/>
    <col min="5650" max="5650" width="6.08984375" style="1" customWidth="1"/>
    <col min="5651" max="5651" width="5.6328125" style="1" customWidth="1"/>
    <col min="5652" max="5652" width="11.08984375" style="1" customWidth="1"/>
    <col min="5653" max="5653" width="14.7265625" style="1" customWidth="1"/>
    <col min="5654" max="5654" width="16.7265625" style="1" customWidth="1"/>
    <col min="5655" max="5888" width="7.36328125" style="1"/>
    <col min="5889" max="5890" width="7.7265625" style="1" customWidth="1"/>
    <col min="5891" max="5891" width="7.6328125" style="1" customWidth="1"/>
    <col min="5892" max="5892" width="8.08984375" style="1" customWidth="1"/>
    <col min="5893" max="5893" width="7.6328125" style="1" customWidth="1"/>
    <col min="5894" max="5895" width="6" style="1" customWidth="1"/>
    <col min="5896" max="5896" width="8.7265625" style="1" customWidth="1"/>
    <col min="5897" max="5897" width="8.6328125" style="1" customWidth="1"/>
    <col min="5898" max="5898" width="8.453125" style="1" customWidth="1"/>
    <col min="5899" max="5899" width="8.36328125" style="1" customWidth="1"/>
    <col min="5900" max="5900" width="5.7265625" style="1" customWidth="1"/>
    <col min="5901" max="5903" width="6.7265625" style="1" customWidth="1"/>
    <col min="5904" max="5904" width="7.36328125" style="1"/>
    <col min="5905" max="5905" width="6" style="1" customWidth="1"/>
    <col min="5906" max="5906" width="6.08984375" style="1" customWidth="1"/>
    <col min="5907" max="5907" width="5.6328125" style="1" customWidth="1"/>
    <col min="5908" max="5908" width="11.08984375" style="1" customWidth="1"/>
    <col min="5909" max="5909" width="14.7265625" style="1" customWidth="1"/>
    <col min="5910" max="5910" width="16.7265625" style="1" customWidth="1"/>
    <col min="5911" max="6144" width="7.36328125" style="1"/>
    <col min="6145" max="6146" width="7.7265625" style="1" customWidth="1"/>
    <col min="6147" max="6147" width="7.6328125" style="1" customWidth="1"/>
    <col min="6148" max="6148" width="8.08984375" style="1" customWidth="1"/>
    <col min="6149" max="6149" width="7.6328125" style="1" customWidth="1"/>
    <col min="6150" max="6151" width="6" style="1" customWidth="1"/>
    <col min="6152" max="6152" width="8.7265625" style="1" customWidth="1"/>
    <col min="6153" max="6153" width="8.6328125" style="1" customWidth="1"/>
    <col min="6154" max="6154" width="8.453125" style="1" customWidth="1"/>
    <col min="6155" max="6155" width="8.36328125" style="1" customWidth="1"/>
    <col min="6156" max="6156" width="5.7265625" style="1" customWidth="1"/>
    <col min="6157" max="6159" width="6.7265625" style="1" customWidth="1"/>
    <col min="6160" max="6160" width="7.36328125" style="1"/>
    <col min="6161" max="6161" width="6" style="1" customWidth="1"/>
    <col min="6162" max="6162" width="6.08984375" style="1" customWidth="1"/>
    <col min="6163" max="6163" width="5.6328125" style="1" customWidth="1"/>
    <col min="6164" max="6164" width="11.08984375" style="1" customWidth="1"/>
    <col min="6165" max="6165" width="14.7265625" style="1" customWidth="1"/>
    <col min="6166" max="6166" width="16.7265625" style="1" customWidth="1"/>
    <col min="6167" max="6400" width="7.36328125" style="1"/>
    <col min="6401" max="6402" width="7.7265625" style="1" customWidth="1"/>
    <col min="6403" max="6403" width="7.6328125" style="1" customWidth="1"/>
    <col min="6404" max="6404" width="8.08984375" style="1" customWidth="1"/>
    <col min="6405" max="6405" width="7.6328125" style="1" customWidth="1"/>
    <col min="6406" max="6407" width="6" style="1" customWidth="1"/>
    <col min="6408" max="6408" width="8.7265625" style="1" customWidth="1"/>
    <col min="6409" max="6409" width="8.6328125" style="1" customWidth="1"/>
    <col min="6410" max="6410" width="8.453125" style="1" customWidth="1"/>
    <col min="6411" max="6411" width="8.36328125" style="1" customWidth="1"/>
    <col min="6412" max="6412" width="5.7265625" style="1" customWidth="1"/>
    <col min="6413" max="6415" width="6.7265625" style="1" customWidth="1"/>
    <col min="6416" max="6416" width="7.36328125" style="1"/>
    <col min="6417" max="6417" width="6" style="1" customWidth="1"/>
    <col min="6418" max="6418" width="6.08984375" style="1" customWidth="1"/>
    <col min="6419" max="6419" width="5.6328125" style="1" customWidth="1"/>
    <col min="6420" max="6420" width="11.08984375" style="1" customWidth="1"/>
    <col min="6421" max="6421" width="14.7265625" style="1" customWidth="1"/>
    <col min="6422" max="6422" width="16.7265625" style="1" customWidth="1"/>
    <col min="6423" max="6656" width="7.36328125" style="1"/>
    <col min="6657" max="6658" width="7.7265625" style="1" customWidth="1"/>
    <col min="6659" max="6659" width="7.6328125" style="1" customWidth="1"/>
    <col min="6660" max="6660" width="8.08984375" style="1" customWidth="1"/>
    <col min="6661" max="6661" width="7.6328125" style="1" customWidth="1"/>
    <col min="6662" max="6663" width="6" style="1" customWidth="1"/>
    <col min="6664" max="6664" width="8.7265625" style="1" customWidth="1"/>
    <col min="6665" max="6665" width="8.6328125" style="1" customWidth="1"/>
    <col min="6666" max="6666" width="8.453125" style="1" customWidth="1"/>
    <col min="6667" max="6667" width="8.36328125" style="1" customWidth="1"/>
    <col min="6668" max="6668" width="5.7265625" style="1" customWidth="1"/>
    <col min="6669" max="6671" width="6.7265625" style="1" customWidth="1"/>
    <col min="6672" max="6672" width="7.36328125" style="1"/>
    <col min="6673" max="6673" width="6" style="1" customWidth="1"/>
    <col min="6674" max="6674" width="6.08984375" style="1" customWidth="1"/>
    <col min="6675" max="6675" width="5.6328125" style="1" customWidth="1"/>
    <col min="6676" max="6676" width="11.08984375" style="1" customWidth="1"/>
    <col min="6677" max="6677" width="14.7265625" style="1" customWidth="1"/>
    <col min="6678" max="6678" width="16.7265625" style="1" customWidth="1"/>
    <col min="6679" max="6912" width="7.36328125" style="1"/>
    <col min="6913" max="6914" width="7.7265625" style="1" customWidth="1"/>
    <col min="6915" max="6915" width="7.6328125" style="1" customWidth="1"/>
    <col min="6916" max="6916" width="8.08984375" style="1" customWidth="1"/>
    <col min="6917" max="6917" width="7.6328125" style="1" customWidth="1"/>
    <col min="6918" max="6919" width="6" style="1" customWidth="1"/>
    <col min="6920" max="6920" width="8.7265625" style="1" customWidth="1"/>
    <col min="6921" max="6921" width="8.6328125" style="1" customWidth="1"/>
    <col min="6922" max="6922" width="8.453125" style="1" customWidth="1"/>
    <col min="6923" max="6923" width="8.36328125" style="1" customWidth="1"/>
    <col min="6924" max="6924" width="5.7265625" style="1" customWidth="1"/>
    <col min="6925" max="6927" width="6.7265625" style="1" customWidth="1"/>
    <col min="6928" max="6928" width="7.36328125" style="1"/>
    <col min="6929" max="6929" width="6" style="1" customWidth="1"/>
    <col min="6930" max="6930" width="6.08984375" style="1" customWidth="1"/>
    <col min="6931" max="6931" width="5.6328125" style="1" customWidth="1"/>
    <col min="6932" max="6932" width="11.08984375" style="1" customWidth="1"/>
    <col min="6933" max="6933" width="14.7265625" style="1" customWidth="1"/>
    <col min="6934" max="6934" width="16.7265625" style="1" customWidth="1"/>
    <col min="6935" max="7168" width="7.36328125" style="1"/>
    <col min="7169" max="7170" width="7.7265625" style="1" customWidth="1"/>
    <col min="7171" max="7171" width="7.6328125" style="1" customWidth="1"/>
    <col min="7172" max="7172" width="8.08984375" style="1" customWidth="1"/>
    <col min="7173" max="7173" width="7.6328125" style="1" customWidth="1"/>
    <col min="7174" max="7175" width="6" style="1" customWidth="1"/>
    <col min="7176" max="7176" width="8.7265625" style="1" customWidth="1"/>
    <col min="7177" max="7177" width="8.6328125" style="1" customWidth="1"/>
    <col min="7178" max="7178" width="8.453125" style="1" customWidth="1"/>
    <col min="7179" max="7179" width="8.36328125" style="1" customWidth="1"/>
    <col min="7180" max="7180" width="5.7265625" style="1" customWidth="1"/>
    <col min="7181" max="7183" width="6.7265625" style="1" customWidth="1"/>
    <col min="7184" max="7184" width="7.36328125" style="1"/>
    <col min="7185" max="7185" width="6" style="1" customWidth="1"/>
    <col min="7186" max="7186" width="6.08984375" style="1" customWidth="1"/>
    <col min="7187" max="7187" width="5.6328125" style="1" customWidth="1"/>
    <col min="7188" max="7188" width="11.08984375" style="1" customWidth="1"/>
    <col min="7189" max="7189" width="14.7265625" style="1" customWidth="1"/>
    <col min="7190" max="7190" width="16.7265625" style="1" customWidth="1"/>
    <col min="7191" max="7424" width="7.36328125" style="1"/>
    <col min="7425" max="7426" width="7.7265625" style="1" customWidth="1"/>
    <col min="7427" max="7427" width="7.6328125" style="1" customWidth="1"/>
    <col min="7428" max="7428" width="8.08984375" style="1" customWidth="1"/>
    <col min="7429" max="7429" width="7.6328125" style="1" customWidth="1"/>
    <col min="7430" max="7431" width="6" style="1" customWidth="1"/>
    <col min="7432" max="7432" width="8.7265625" style="1" customWidth="1"/>
    <col min="7433" max="7433" width="8.6328125" style="1" customWidth="1"/>
    <col min="7434" max="7434" width="8.453125" style="1" customWidth="1"/>
    <col min="7435" max="7435" width="8.36328125" style="1" customWidth="1"/>
    <col min="7436" max="7436" width="5.7265625" style="1" customWidth="1"/>
    <col min="7437" max="7439" width="6.7265625" style="1" customWidth="1"/>
    <col min="7440" max="7440" width="7.36328125" style="1"/>
    <col min="7441" max="7441" width="6" style="1" customWidth="1"/>
    <col min="7442" max="7442" width="6.08984375" style="1" customWidth="1"/>
    <col min="7443" max="7443" width="5.6328125" style="1" customWidth="1"/>
    <col min="7444" max="7444" width="11.08984375" style="1" customWidth="1"/>
    <col min="7445" max="7445" width="14.7265625" style="1" customWidth="1"/>
    <col min="7446" max="7446" width="16.7265625" style="1" customWidth="1"/>
    <col min="7447" max="7680" width="7.36328125" style="1"/>
    <col min="7681" max="7682" width="7.7265625" style="1" customWidth="1"/>
    <col min="7683" max="7683" width="7.6328125" style="1" customWidth="1"/>
    <col min="7684" max="7684" width="8.08984375" style="1" customWidth="1"/>
    <col min="7685" max="7685" width="7.6328125" style="1" customWidth="1"/>
    <col min="7686" max="7687" width="6" style="1" customWidth="1"/>
    <col min="7688" max="7688" width="8.7265625" style="1" customWidth="1"/>
    <col min="7689" max="7689" width="8.6328125" style="1" customWidth="1"/>
    <col min="7690" max="7690" width="8.453125" style="1" customWidth="1"/>
    <col min="7691" max="7691" width="8.36328125" style="1" customWidth="1"/>
    <col min="7692" max="7692" width="5.7265625" style="1" customWidth="1"/>
    <col min="7693" max="7695" width="6.7265625" style="1" customWidth="1"/>
    <col min="7696" max="7696" width="7.36328125" style="1"/>
    <col min="7697" max="7697" width="6" style="1" customWidth="1"/>
    <col min="7698" max="7698" width="6.08984375" style="1" customWidth="1"/>
    <col min="7699" max="7699" width="5.6328125" style="1" customWidth="1"/>
    <col min="7700" max="7700" width="11.08984375" style="1" customWidth="1"/>
    <col min="7701" max="7701" width="14.7265625" style="1" customWidth="1"/>
    <col min="7702" max="7702" width="16.7265625" style="1" customWidth="1"/>
    <col min="7703" max="7936" width="7.36328125" style="1"/>
    <col min="7937" max="7938" width="7.7265625" style="1" customWidth="1"/>
    <col min="7939" max="7939" width="7.6328125" style="1" customWidth="1"/>
    <col min="7940" max="7940" width="8.08984375" style="1" customWidth="1"/>
    <col min="7941" max="7941" width="7.6328125" style="1" customWidth="1"/>
    <col min="7942" max="7943" width="6" style="1" customWidth="1"/>
    <col min="7944" max="7944" width="8.7265625" style="1" customWidth="1"/>
    <col min="7945" max="7945" width="8.6328125" style="1" customWidth="1"/>
    <col min="7946" max="7946" width="8.453125" style="1" customWidth="1"/>
    <col min="7947" max="7947" width="8.36328125" style="1" customWidth="1"/>
    <col min="7948" max="7948" width="5.7265625" style="1" customWidth="1"/>
    <col min="7949" max="7951" width="6.7265625" style="1" customWidth="1"/>
    <col min="7952" max="7952" width="7.36328125" style="1"/>
    <col min="7953" max="7953" width="6" style="1" customWidth="1"/>
    <col min="7954" max="7954" width="6.08984375" style="1" customWidth="1"/>
    <col min="7955" max="7955" width="5.6328125" style="1" customWidth="1"/>
    <col min="7956" max="7956" width="11.08984375" style="1" customWidth="1"/>
    <col min="7957" max="7957" width="14.7265625" style="1" customWidth="1"/>
    <col min="7958" max="7958" width="16.7265625" style="1" customWidth="1"/>
    <col min="7959" max="8192" width="7.36328125" style="1"/>
    <col min="8193" max="8194" width="7.7265625" style="1" customWidth="1"/>
    <col min="8195" max="8195" width="7.6328125" style="1" customWidth="1"/>
    <col min="8196" max="8196" width="8.08984375" style="1" customWidth="1"/>
    <col min="8197" max="8197" width="7.6328125" style="1" customWidth="1"/>
    <col min="8198" max="8199" width="6" style="1" customWidth="1"/>
    <col min="8200" max="8200" width="8.7265625" style="1" customWidth="1"/>
    <col min="8201" max="8201" width="8.6328125" style="1" customWidth="1"/>
    <col min="8202" max="8202" width="8.453125" style="1" customWidth="1"/>
    <col min="8203" max="8203" width="8.36328125" style="1" customWidth="1"/>
    <col min="8204" max="8204" width="5.7265625" style="1" customWidth="1"/>
    <col min="8205" max="8207" width="6.7265625" style="1" customWidth="1"/>
    <col min="8208" max="8208" width="7.36328125" style="1"/>
    <col min="8209" max="8209" width="6" style="1" customWidth="1"/>
    <col min="8210" max="8210" width="6.08984375" style="1" customWidth="1"/>
    <col min="8211" max="8211" width="5.6328125" style="1" customWidth="1"/>
    <col min="8212" max="8212" width="11.08984375" style="1" customWidth="1"/>
    <col min="8213" max="8213" width="14.7265625" style="1" customWidth="1"/>
    <col min="8214" max="8214" width="16.7265625" style="1" customWidth="1"/>
    <col min="8215" max="8448" width="7.36328125" style="1"/>
    <col min="8449" max="8450" width="7.7265625" style="1" customWidth="1"/>
    <col min="8451" max="8451" width="7.6328125" style="1" customWidth="1"/>
    <col min="8452" max="8452" width="8.08984375" style="1" customWidth="1"/>
    <col min="8453" max="8453" width="7.6328125" style="1" customWidth="1"/>
    <col min="8454" max="8455" width="6" style="1" customWidth="1"/>
    <col min="8456" max="8456" width="8.7265625" style="1" customWidth="1"/>
    <col min="8457" max="8457" width="8.6328125" style="1" customWidth="1"/>
    <col min="8458" max="8458" width="8.453125" style="1" customWidth="1"/>
    <col min="8459" max="8459" width="8.36328125" style="1" customWidth="1"/>
    <col min="8460" max="8460" width="5.7265625" style="1" customWidth="1"/>
    <col min="8461" max="8463" width="6.7265625" style="1" customWidth="1"/>
    <col min="8464" max="8464" width="7.36328125" style="1"/>
    <col min="8465" max="8465" width="6" style="1" customWidth="1"/>
    <col min="8466" max="8466" width="6.08984375" style="1" customWidth="1"/>
    <col min="8467" max="8467" width="5.6328125" style="1" customWidth="1"/>
    <col min="8468" max="8468" width="11.08984375" style="1" customWidth="1"/>
    <col min="8469" max="8469" width="14.7265625" style="1" customWidth="1"/>
    <col min="8470" max="8470" width="16.7265625" style="1" customWidth="1"/>
    <col min="8471" max="8704" width="7.36328125" style="1"/>
    <col min="8705" max="8706" width="7.7265625" style="1" customWidth="1"/>
    <col min="8707" max="8707" width="7.6328125" style="1" customWidth="1"/>
    <col min="8708" max="8708" width="8.08984375" style="1" customWidth="1"/>
    <col min="8709" max="8709" width="7.6328125" style="1" customWidth="1"/>
    <col min="8710" max="8711" width="6" style="1" customWidth="1"/>
    <col min="8712" max="8712" width="8.7265625" style="1" customWidth="1"/>
    <col min="8713" max="8713" width="8.6328125" style="1" customWidth="1"/>
    <col min="8714" max="8714" width="8.453125" style="1" customWidth="1"/>
    <col min="8715" max="8715" width="8.36328125" style="1" customWidth="1"/>
    <col min="8716" max="8716" width="5.7265625" style="1" customWidth="1"/>
    <col min="8717" max="8719" width="6.7265625" style="1" customWidth="1"/>
    <col min="8720" max="8720" width="7.36328125" style="1"/>
    <col min="8721" max="8721" width="6" style="1" customWidth="1"/>
    <col min="8722" max="8722" width="6.08984375" style="1" customWidth="1"/>
    <col min="8723" max="8723" width="5.6328125" style="1" customWidth="1"/>
    <col min="8724" max="8724" width="11.08984375" style="1" customWidth="1"/>
    <col min="8725" max="8725" width="14.7265625" style="1" customWidth="1"/>
    <col min="8726" max="8726" width="16.7265625" style="1" customWidth="1"/>
    <col min="8727" max="8960" width="7.36328125" style="1"/>
    <col min="8961" max="8962" width="7.7265625" style="1" customWidth="1"/>
    <col min="8963" max="8963" width="7.6328125" style="1" customWidth="1"/>
    <col min="8964" max="8964" width="8.08984375" style="1" customWidth="1"/>
    <col min="8965" max="8965" width="7.6328125" style="1" customWidth="1"/>
    <col min="8966" max="8967" width="6" style="1" customWidth="1"/>
    <col min="8968" max="8968" width="8.7265625" style="1" customWidth="1"/>
    <col min="8969" max="8969" width="8.6328125" style="1" customWidth="1"/>
    <col min="8970" max="8970" width="8.453125" style="1" customWidth="1"/>
    <col min="8971" max="8971" width="8.36328125" style="1" customWidth="1"/>
    <col min="8972" max="8972" width="5.7265625" style="1" customWidth="1"/>
    <col min="8973" max="8975" width="6.7265625" style="1" customWidth="1"/>
    <col min="8976" max="8976" width="7.36328125" style="1"/>
    <col min="8977" max="8977" width="6" style="1" customWidth="1"/>
    <col min="8978" max="8978" width="6.08984375" style="1" customWidth="1"/>
    <col min="8979" max="8979" width="5.6328125" style="1" customWidth="1"/>
    <col min="8980" max="8980" width="11.08984375" style="1" customWidth="1"/>
    <col min="8981" max="8981" width="14.7265625" style="1" customWidth="1"/>
    <col min="8982" max="8982" width="16.7265625" style="1" customWidth="1"/>
    <col min="8983" max="9216" width="7.36328125" style="1"/>
    <col min="9217" max="9218" width="7.7265625" style="1" customWidth="1"/>
    <col min="9219" max="9219" width="7.6328125" style="1" customWidth="1"/>
    <col min="9220" max="9220" width="8.08984375" style="1" customWidth="1"/>
    <col min="9221" max="9221" width="7.6328125" style="1" customWidth="1"/>
    <col min="9222" max="9223" width="6" style="1" customWidth="1"/>
    <col min="9224" max="9224" width="8.7265625" style="1" customWidth="1"/>
    <col min="9225" max="9225" width="8.6328125" style="1" customWidth="1"/>
    <col min="9226" max="9226" width="8.453125" style="1" customWidth="1"/>
    <col min="9227" max="9227" width="8.36328125" style="1" customWidth="1"/>
    <col min="9228" max="9228" width="5.7265625" style="1" customWidth="1"/>
    <col min="9229" max="9231" width="6.7265625" style="1" customWidth="1"/>
    <col min="9232" max="9232" width="7.36328125" style="1"/>
    <col min="9233" max="9233" width="6" style="1" customWidth="1"/>
    <col min="9234" max="9234" width="6.08984375" style="1" customWidth="1"/>
    <col min="9235" max="9235" width="5.6328125" style="1" customWidth="1"/>
    <col min="9236" max="9236" width="11.08984375" style="1" customWidth="1"/>
    <col min="9237" max="9237" width="14.7265625" style="1" customWidth="1"/>
    <col min="9238" max="9238" width="16.7265625" style="1" customWidth="1"/>
    <col min="9239" max="9472" width="7.36328125" style="1"/>
    <col min="9473" max="9474" width="7.7265625" style="1" customWidth="1"/>
    <col min="9475" max="9475" width="7.6328125" style="1" customWidth="1"/>
    <col min="9476" max="9476" width="8.08984375" style="1" customWidth="1"/>
    <col min="9477" max="9477" width="7.6328125" style="1" customWidth="1"/>
    <col min="9478" max="9479" width="6" style="1" customWidth="1"/>
    <col min="9480" max="9480" width="8.7265625" style="1" customWidth="1"/>
    <col min="9481" max="9481" width="8.6328125" style="1" customWidth="1"/>
    <col min="9482" max="9482" width="8.453125" style="1" customWidth="1"/>
    <col min="9483" max="9483" width="8.36328125" style="1" customWidth="1"/>
    <col min="9484" max="9484" width="5.7265625" style="1" customWidth="1"/>
    <col min="9485" max="9487" width="6.7265625" style="1" customWidth="1"/>
    <col min="9488" max="9488" width="7.36328125" style="1"/>
    <col min="9489" max="9489" width="6" style="1" customWidth="1"/>
    <col min="9490" max="9490" width="6.08984375" style="1" customWidth="1"/>
    <col min="9491" max="9491" width="5.6328125" style="1" customWidth="1"/>
    <col min="9492" max="9492" width="11.08984375" style="1" customWidth="1"/>
    <col min="9493" max="9493" width="14.7265625" style="1" customWidth="1"/>
    <col min="9494" max="9494" width="16.7265625" style="1" customWidth="1"/>
    <col min="9495" max="9728" width="7.36328125" style="1"/>
    <col min="9729" max="9730" width="7.7265625" style="1" customWidth="1"/>
    <col min="9731" max="9731" width="7.6328125" style="1" customWidth="1"/>
    <col min="9732" max="9732" width="8.08984375" style="1" customWidth="1"/>
    <col min="9733" max="9733" width="7.6328125" style="1" customWidth="1"/>
    <col min="9734" max="9735" width="6" style="1" customWidth="1"/>
    <col min="9736" max="9736" width="8.7265625" style="1" customWidth="1"/>
    <col min="9737" max="9737" width="8.6328125" style="1" customWidth="1"/>
    <col min="9738" max="9738" width="8.453125" style="1" customWidth="1"/>
    <col min="9739" max="9739" width="8.36328125" style="1" customWidth="1"/>
    <col min="9740" max="9740" width="5.7265625" style="1" customWidth="1"/>
    <col min="9741" max="9743" width="6.7265625" style="1" customWidth="1"/>
    <col min="9744" max="9744" width="7.36328125" style="1"/>
    <col min="9745" max="9745" width="6" style="1" customWidth="1"/>
    <col min="9746" max="9746" width="6.08984375" style="1" customWidth="1"/>
    <col min="9747" max="9747" width="5.6328125" style="1" customWidth="1"/>
    <col min="9748" max="9748" width="11.08984375" style="1" customWidth="1"/>
    <col min="9749" max="9749" width="14.7265625" style="1" customWidth="1"/>
    <col min="9750" max="9750" width="16.7265625" style="1" customWidth="1"/>
    <col min="9751" max="9984" width="7.36328125" style="1"/>
    <col min="9985" max="9986" width="7.7265625" style="1" customWidth="1"/>
    <col min="9987" max="9987" width="7.6328125" style="1" customWidth="1"/>
    <col min="9988" max="9988" width="8.08984375" style="1" customWidth="1"/>
    <col min="9989" max="9989" width="7.6328125" style="1" customWidth="1"/>
    <col min="9990" max="9991" width="6" style="1" customWidth="1"/>
    <col min="9992" max="9992" width="8.7265625" style="1" customWidth="1"/>
    <col min="9993" max="9993" width="8.6328125" style="1" customWidth="1"/>
    <col min="9994" max="9994" width="8.453125" style="1" customWidth="1"/>
    <col min="9995" max="9995" width="8.36328125" style="1" customWidth="1"/>
    <col min="9996" max="9996" width="5.7265625" style="1" customWidth="1"/>
    <col min="9997" max="9999" width="6.7265625" style="1" customWidth="1"/>
    <col min="10000" max="10000" width="7.36328125" style="1"/>
    <col min="10001" max="10001" width="6" style="1" customWidth="1"/>
    <col min="10002" max="10002" width="6.08984375" style="1" customWidth="1"/>
    <col min="10003" max="10003" width="5.6328125" style="1" customWidth="1"/>
    <col min="10004" max="10004" width="11.08984375" style="1" customWidth="1"/>
    <col min="10005" max="10005" width="14.7265625" style="1" customWidth="1"/>
    <col min="10006" max="10006" width="16.7265625" style="1" customWidth="1"/>
    <col min="10007" max="10240" width="7.36328125" style="1"/>
    <col min="10241" max="10242" width="7.7265625" style="1" customWidth="1"/>
    <col min="10243" max="10243" width="7.6328125" style="1" customWidth="1"/>
    <col min="10244" max="10244" width="8.08984375" style="1" customWidth="1"/>
    <col min="10245" max="10245" width="7.6328125" style="1" customWidth="1"/>
    <col min="10246" max="10247" width="6" style="1" customWidth="1"/>
    <col min="10248" max="10248" width="8.7265625" style="1" customWidth="1"/>
    <col min="10249" max="10249" width="8.6328125" style="1" customWidth="1"/>
    <col min="10250" max="10250" width="8.453125" style="1" customWidth="1"/>
    <col min="10251" max="10251" width="8.36328125" style="1" customWidth="1"/>
    <col min="10252" max="10252" width="5.7265625" style="1" customWidth="1"/>
    <col min="10253" max="10255" width="6.7265625" style="1" customWidth="1"/>
    <col min="10256" max="10256" width="7.36328125" style="1"/>
    <col min="10257" max="10257" width="6" style="1" customWidth="1"/>
    <col min="10258" max="10258" width="6.08984375" style="1" customWidth="1"/>
    <col min="10259" max="10259" width="5.6328125" style="1" customWidth="1"/>
    <col min="10260" max="10260" width="11.08984375" style="1" customWidth="1"/>
    <col min="10261" max="10261" width="14.7265625" style="1" customWidth="1"/>
    <col min="10262" max="10262" width="16.7265625" style="1" customWidth="1"/>
    <col min="10263" max="10496" width="7.36328125" style="1"/>
    <col min="10497" max="10498" width="7.7265625" style="1" customWidth="1"/>
    <col min="10499" max="10499" width="7.6328125" style="1" customWidth="1"/>
    <col min="10500" max="10500" width="8.08984375" style="1" customWidth="1"/>
    <col min="10501" max="10501" width="7.6328125" style="1" customWidth="1"/>
    <col min="10502" max="10503" width="6" style="1" customWidth="1"/>
    <col min="10504" max="10504" width="8.7265625" style="1" customWidth="1"/>
    <col min="10505" max="10505" width="8.6328125" style="1" customWidth="1"/>
    <col min="10506" max="10506" width="8.453125" style="1" customWidth="1"/>
    <col min="10507" max="10507" width="8.36328125" style="1" customWidth="1"/>
    <col min="10508" max="10508" width="5.7265625" style="1" customWidth="1"/>
    <col min="10509" max="10511" width="6.7265625" style="1" customWidth="1"/>
    <col min="10512" max="10512" width="7.36328125" style="1"/>
    <col min="10513" max="10513" width="6" style="1" customWidth="1"/>
    <col min="10514" max="10514" width="6.08984375" style="1" customWidth="1"/>
    <col min="10515" max="10515" width="5.6328125" style="1" customWidth="1"/>
    <col min="10516" max="10516" width="11.08984375" style="1" customWidth="1"/>
    <col min="10517" max="10517" width="14.7265625" style="1" customWidth="1"/>
    <col min="10518" max="10518" width="16.7265625" style="1" customWidth="1"/>
    <col min="10519" max="10752" width="7.36328125" style="1"/>
    <col min="10753" max="10754" width="7.7265625" style="1" customWidth="1"/>
    <col min="10755" max="10755" width="7.6328125" style="1" customWidth="1"/>
    <col min="10756" max="10756" width="8.08984375" style="1" customWidth="1"/>
    <col min="10757" max="10757" width="7.6328125" style="1" customWidth="1"/>
    <col min="10758" max="10759" width="6" style="1" customWidth="1"/>
    <col min="10760" max="10760" width="8.7265625" style="1" customWidth="1"/>
    <col min="10761" max="10761" width="8.6328125" style="1" customWidth="1"/>
    <col min="10762" max="10762" width="8.453125" style="1" customWidth="1"/>
    <col min="10763" max="10763" width="8.36328125" style="1" customWidth="1"/>
    <col min="10764" max="10764" width="5.7265625" style="1" customWidth="1"/>
    <col min="10765" max="10767" width="6.7265625" style="1" customWidth="1"/>
    <col min="10768" max="10768" width="7.36328125" style="1"/>
    <col min="10769" max="10769" width="6" style="1" customWidth="1"/>
    <col min="10770" max="10770" width="6.08984375" style="1" customWidth="1"/>
    <col min="10771" max="10771" width="5.6328125" style="1" customWidth="1"/>
    <col min="10772" max="10772" width="11.08984375" style="1" customWidth="1"/>
    <col min="10773" max="10773" width="14.7265625" style="1" customWidth="1"/>
    <col min="10774" max="10774" width="16.7265625" style="1" customWidth="1"/>
    <col min="10775" max="11008" width="7.36328125" style="1"/>
    <col min="11009" max="11010" width="7.7265625" style="1" customWidth="1"/>
    <col min="11011" max="11011" width="7.6328125" style="1" customWidth="1"/>
    <col min="11012" max="11012" width="8.08984375" style="1" customWidth="1"/>
    <col min="11013" max="11013" width="7.6328125" style="1" customWidth="1"/>
    <col min="11014" max="11015" width="6" style="1" customWidth="1"/>
    <col min="11016" max="11016" width="8.7265625" style="1" customWidth="1"/>
    <col min="11017" max="11017" width="8.6328125" style="1" customWidth="1"/>
    <col min="11018" max="11018" width="8.453125" style="1" customWidth="1"/>
    <col min="11019" max="11019" width="8.36328125" style="1" customWidth="1"/>
    <col min="11020" max="11020" width="5.7265625" style="1" customWidth="1"/>
    <col min="11021" max="11023" width="6.7265625" style="1" customWidth="1"/>
    <col min="11024" max="11024" width="7.36328125" style="1"/>
    <col min="11025" max="11025" width="6" style="1" customWidth="1"/>
    <col min="11026" max="11026" width="6.08984375" style="1" customWidth="1"/>
    <col min="11027" max="11027" width="5.6328125" style="1" customWidth="1"/>
    <col min="11028" max="11028" width="11.08984375" style="1" customWidth="1"/>
    <col min="11029" max="11029" width="14.7265625" style="1" customWidth="1"/>
    <col min="11030" max="11030" width="16.7265625" style="1" customWidth="1"/>
    <col min="11031" max="11264" width="7.36328125" style="1"/>
    <col min="11265" max="11266" width="7.7265625" style="1" customWidth="1"/>
    <col min="11267" max="11267" width="7.6328125" style="1" customWidth="1"/>
    <col min="11268" max="11268" width="8.08984375" style="1" customWidth="1"/>
    <col min="11269" max="11269" width="7.6328125" style="1" customWidth="1"/>
    <col min="11270" max="11271" width="6" style="1" customWidth="1"/>
    <col min="11272" max="11272" width="8.7265625" style="1" customWidth="1"/>
    <col min="11273" max="11273" width="8.6328125" style="1" customWidth="1"/>
    <col min="11274" max="11274" width="8.453125" style="1" customWidth="1"/>
    <col min="11275" max="11275" width="8.36328125" style="1" customWidth="1"/>
    <col min="11276" max="11276" width="5.7265625" style="1" customWidth="1"/>
    <col min="11277" max="11279" width="6.7265625" style="1" customWidth="1"/>
    <col min="11280" max="11280" width="7.36328125" style="1"/>
    <col min="11281" max="11281" width="6" style="1" customWidth="1"/>
    <col min="11282" max="11282" width="6.08984375" style="1" customWidth="1"/>
    <col min="11283" max="11283" width="5.6328125" style="1" customWidth="1"/>
    <col min="11284" max="11284" width="11.08984375" style="1" customWidth="1"/>
    <col min="11285" max="11285" width="14.7265625" style="1" customWidth="1"/>
    <col min="11286" max="11286" width="16.7265625" style="1" customWidth="1"/>
    <col min="11287" max="11520" width="7.36328125" style="1"/>
    <col min="11521" max="11522" width="7.7265625" style="1" customWidth="1"/>
    <col min="11523" max="11523" width="7.6328125" style="1" customWidth="1"/>
    <col min="11524" max="11524" width="8.08984375" style="1" customWidth="1"/>
    <col min="11525" max="11525" width="7.6328125" style="1" customWidth="1"/>
    <col min="11526" max="11527" width="6" style="1" customWidth="1"/>
    <col min="11528" max="11528" width="8.7265625" style="1" customWidth="1"/>
    <col min="11529" max="11529" width="8.6328125" style="1" customWidth="1"/>
    <col min="11530" max="11530" width="8.453125" style="1" customWidth="1"/>
    <col min="11531" max="11531" width="8.36328125" style="1" customWidth="1"/>
    <col min="11532" max="11532" width="5.7265625" style="1" customWidth="1"/>
    <col min="11533" max="11535" width="6.7265625" style="1" customWidth="1"/>
    <col min="11536" max="11536" width="7.36328125" style="1"/>
    <col min="11537" max="11537" width="6" style="1" customWidth="1"/>
    <col min="11538" max="11538" width="6.08984375" style="1" customWidth="1"/>
    <col min="11539" max="11539" width="5.6328125" style="1" customWidth="1"/>
    <col min="11540" max="11540" width="11.08984375" style="1" customWidth="1"/>
    <col min="11541" max="11541" width="14.7265625" style="1" customWidth="1"/>
    <col min="11542" max="11542" width="16.7265625" style="1" customWidth="1"/>
    <col min="11543" max="11776" width="7.36328125" style="1"/>
    <col min="11777" max="11778" width="7.7265625" style="1" customWidth="1"/>
    <col min="11779" max="11779" width="7.6328125" style="1" customWidth="1"/>
    <col min="11780" max="11780" width="8.08984375" style="1" customWidth="1"/>
    <col min="11781" max="11781" width="7.6328125" style="1" customWidth="1"/>
    <col min="11782" max="11783" width="6" style="1" customWidth="1"/>
    <col min="11784" max="11784" width="8.7265625" style="1" customWidth="1"/>
    <col min="11785" max="11785" width="8.6328125" style="1" customWidth="1"/>
    <col min="11786" max="11786" width="8.453125" style="1" customWidth="1"/>
    <col min="11787" max="11787" width="8.36328125" style="1" customWidth="1"/>
    <col min="11788" max="11788" width="5.7265625" style="1" customWidth="1"/>
    <col min="11789" max="11791" width="6.7265625" style="1" customWidth="1"/>
    <col min="11792" max="11792" width="7.36328125" style="1"/>
    <col min="11793" max="11793" width="6" style="1" customWidth="1"/>
    <col min="11794" max="11794" width="6.08984375" style="1" customWidth="1"/>
    <col min="11795" max="11795" width="5.6328125" style="1" customWidth="1"/>
    <col min="11796" max="11796" width="11.08984375" style="1" customWidth="1"/>
    <col min="11797" max="11797" width="14.7265625" style="1" customWidth="1"/>
    <col min="11798" max="11798" width="16.7265625" style="1" customWidth="1"/>
    <col min="11799" max="12032" width="7.36328125" style="1"/>
    <col min="12033" max="12034" width="7.7265625" style="1" customWidth="1"/>
    <col min="12035" max="12035" width="7.6328125" style="1" customWidth="1"/>
    <col min="12036" max="12036" width="8.08984375" style="1" customWidth="1"/>
    <col min="12037" max="12037" width="7.6328125" style="1" customWidth="1"/>
    <col min="12038" max="12039" width="6" style="1" customWidth="1"/>
    <col min="12040" max="12040" width="8.7265625" style="1" customWidth="1"/>
    <col min="12041" max="12041" width="8.6328125" style="1" customWidth="1"/>
    <col min="12042" max="12042" width="8.453125" style="1" customWidth="1"/>
    <col min="12043" max="12043" width="8.36328125" style="1" customWidth="1"/>
    <col min="12044" max="12044" width="5.7265625" style="1" customWidth="1"/>
    <col min="12045" max="12047" width="6.7265625" style="1" customWidth="1"/>
    <col min="12048" max="12048" width="7.36328125" style="1"/>
    <col min="12049" max="12049" width="6" style="1" customWidth="1"/>
    <col min="12050" max="12050" width="6.08984375" style="1" customWidth="1"/>
    <col min="12051" max="12051" width="5.6328125" style="1" customWidth="1"/>
    <col min="12052" max="12052" width="11.08984375" style="1" customWidth="1"/>
    <col min="12053" max="12053" width="14.7265625" style="1" customWidth="1"/>
    <col min="12054" max="12054" width="16.7265625" style="1" customWidth="1"/>
    <col min="12055" max="12288" width="7.36328125" style="1"/>
    <col min="12289" max="12290" width="7.7265625" style="1" customWidth="1"/>
    <col min="12291" max="12291" width="7.6328125" style="1" customWidth="1"/>
    <col min="12292" max="12292" width="8.08984375" style="1" customWidth="1"/>
    <col min="12293" max="12293" width="7.6328125" style="1" customWidth="1"/>
    <col min="12294" max="12295" width="6" style="1" customWidth="1"/>
    <col min="12296" max="12296" width="8.7265625" style="1" customWidth="1"/>
    <col min="12297" max="12297" width="8.6328125" style="1" customWidth="1"/>
    <col min="12298" max="12298" width="8.453125" style="1" customWidth="1"/>
    <col min="12299" max="12299" width="8.36328125" style="1" customWidth="1"/>
    <col min="12300" max="12300" width="5.7265625" style="1" customWidth="1"/>
    <col min="12301" max="12303" width="6.7265625" style="1" customWidth="1"/>
    <col min="12304" max="12304" width="7.36328125" style="1"/>
    <col min="12305" max="12305" width="6" style="1" customWidth="1"/>
    <col min="12306" max="12306" width="6.08984375" style="1" customWidth="1"/>
    <col min="12307" max="12307" width="5.6328125" style="1" customWidth="1"/>
    <col min="12308" max="12308" width="11.08984375" style="1" customWidth="1"/>
    <col min="12309" max="12309" width="14.7265625" style="1" customWidth="1"/>
    <col min="12310" max="12310" width="16.7265625" style="1" customWidth="1"/>
    <col min="12311" max="12544" width="7.36328125" style="1"/>
    <col min="12545" max="12546" width="7.7265625" style="1" customWidth="1"/>
    <col min="12547" max="12547" width="7.6328125" style="1" customWidth="1"/>
    <col min="12548" max="12548" width="8.08984375" style="1" customWidth="1"/>
    <col min="12549" max="12549" width="7.6328125" style="1" customWidth="1"/>
    <col min="12550" max="12551" width="6" style="1" customWidth="1"/>
    <col min="12552" max="12552" width="8.7265625" style="1" customWidth="1"/>
    <col min="12553" max="12553" width="8.6328125" style="1" customWidth="1"/>
    <col min="12554" max="12554" width="8.453125" style="1" customWidth="1"/>
    <col min="12555" max="12555" width="8.36328125" style="1" customWidth="1"/>
    <col min="12556" max="12556" width="5.7265625" style="1" customWidth="1"/>
    <col min="12557" max="12559" width="6.7265625" style="1" customWidth="1"/>
    <col min="12560" max="12560" width="7.36328125" style="1"/>
    <col min="12561" max="12561" width="6" style="1" customWidth="1"/>
    <col min="12562" max="12562" width="6.08984375" style="1" customWidth="1"/>
    <col min="12563" max="12563" width="5.6328125" style="1" customWidth="1"/>
    <col min="12564" max="12564" width="11.08984375" style="1" customWidth="1"/>
    <col min="12565" max="12565" width="14.7265625" style="1" customWidth="1"/>
    <col min="12566" max="12566" width="16.7265625" style="1" customWidth="1"/>
    <col min="12567" max="12800" width="7.36328125" style="1"/>
    <col min="12801" max="12802" width="7.7265625" style="1" customWidth="1"/>
    <col min="12803" max="12803" width="7.6328125" style="1" customWidth="1"/>
    <col min="12804" max="12804" width="8.08984375" style="1" customWidth="1"/>
    <col min="12805" max="12805" width="7.6328125" style="1" customWidth="1"/>
    <col min="12806" max="12807" width="6" style="1" customWidth="1"/>
    <col min="12808" max="12808" width="8.7265625" style="1" customWidth="1"/>
    <col min="12809" max="12809" width="8.6328125" style="1" customWidth="1"/>
    <col min="12810" max="12810" width="8.453125" style="1" customWidth="1"/>
    <col min="12811" max="12811" width="8.36328125" style="1" customWidth="1"/>
    <col min="12812" max="12812" width="5.7265625" style="1" customWidth="1"/>
    <col min="12813" max="12815" width="6.7265625" style="1" customWidth="1"/>
    <col min="12816" max="12816" width="7.36328125" style="1"/>
    <col min="12817" max="12817" width="6" style="1" customWidth="1"/>
    <col min="12818" max="12818" width="6.08984375" style="1" customWidth="1"/>
    <col min="12819" max="12819" width="5.6328125" style="1" customWidth="1"/>
    <col min="12820" max="12820" width="11.08984375" style="1" customWidth="1"/>
    <col min="12821" max="12821" width="14.7265625" style="1" customWidth="1"/>
    <col min="12822" max="12822" width="16.7265625" style="1" customWidth="1"/>
    <col min="12823" max="13056" width="7.36328125" style="1"/>
    <col min="13057" max="13058" width="7.7265625" style="1" customWidth="1"/>
    <col min="13059" max="13059" width="7.6328125" style="1" customWidth="1"/>
    <col min="13060" max="13060" width="8.08984375" style="1" customWidth="1"/>
    <col min="13061" max="13061" width="7.6328125" style="1" customWidth="1"/>
    <col min="13062" max="13063" width="6" style="1" customWidth="1"/>
    <col min="13064" max="13064" width="8.7265625" style="1" customWidth="1"/>
    <col min="13065" max="13065" width="8.6328125" style="1" customWidth="1"/>
    <col min="13066" max="13066" width="8.453125" style="1" customWidth="1"/>
    <col min="13067" max="13067" width="8.36328125" style="1" customWidth="1"/>
    <col min="13068" max="13068" width="5.7265625" style="1" customWidth="1"/>
    <col min="13069" max="13071" width="6.7265625" style="1" customWidth="1"/>
    <col min="13072" max="13072" width="7.36328125" style="1"/>
    <col min="13073" max="13073" width="6" style="1" customWidth="1"/>
    <col min="13074" max="13074" width="6.08984375" style="1" customWidth="1"/>
    <col min="13075" max="13075" width="5.6328125" style="1" customWidth="1"/>
    <col min="13076" max="13076" width="11.08984375" style="1" customWidth="1"/>
    <col min="13077" max="13077" width="14.7265625" style="1" customWidth="1"/>
    <col min="13078" max="13078" width="16.7265625" style="1" customWidth="1"/>
    <col min="13079" max="13312" width="7.36328125" style="1"/>
    <col min="13313" max="13314" width="7.7265625" style="1" customWidth="1"/>
    <col min="13315" max="13315" width="7.6328125" style="1" customWidth="1"/>
    <col min="13316" max="13316" width="8.08984375" style="1" customWidth="1"/>
    <col min="13317" max="13317" width="7.6328125" style="1" customWidth="1"/>
    <col min="13318" max="13319" width="6" style="1" customWidth="1"/>
    <col min="13320" max="13320" width="8.7265625" style="1" customWidth="1"/>
    <col min="13321" max="13321" width="8.6328125" style="1" customWidth="1"/>
    <col min="13322" max="13322" width="8.453125" style="1" customWidth="1"/>
    <col min="13323" max="13323" width="8.36328125" style="1" customWidth="1"/>
    <col min="13324" max="13324" width="5.7265625" style="1" customWidth="1"/>
    <col min="13325" max="13327" width="6.7265625" style="1" customWidth="1"/>
    <col min="13328" max="13328" width="7.36328125" style="1"/>
    <col min="13329" max="13329" width="6" style="1" customWidth="1"/>
    <col min="13330" max="13330" width="6.08984375" style="1" customWidth="1"/>
    <col min="13331" max="13331" width="5.6328125" style="1" customWidth="1"/>
    <col min="13332" max="13332" width="11.08984375" style="1" customWidth="1"/>
    <col min="13333" max="13333" width="14.7265625" style="1" customWidth="1"/>
    <col min="13334" max="13334" width="16.7265625" style="1" customWidth="1"/>
    <col min="13335" max="13568" width="7.36328125" style="1"/>
    <col min="13569" max="13570" width="7.7265625" style="1" customWidth="1"/>
    <col min="13571" max="13571" width="7.6328125" style="1" customWidth="1"/>
    <col min="13572" max="13572" width="8.08984375" style="1" customWidth="1"/>
    <col min="13573" max="13573" width="7.6328125" style="1" customWidth="1"/>
    <col min="13574" max="13575" width="6" style="1" customWidth="1"/>
    <col min="13576" max="13576" width="8.7265625" style="1" customWidth="1"/>
    <col min="13577" max="13577" width="8.6328125" style="1" customWidth="1"/>
    <col min="13578" max="13578" width="8.453125" style="1" customWidth="1"/>
    <col min="13579" max="13579" width="8.36328125" style="1" customWidth="1"/>
    <col min="13580" max="13580" width="5.7265625" style="1" customWidth="1"/>
    <col min="13581" max="13583" width="6.7265625" style="1" customWidth="1"/>
    <col min="13584" max="13584" width="7.36328125" style="1"/>
    <col min="13585" max="13585" width="6" style="1" customWidth="1"/>
    <col min="13586" max="13586" width="6.08984375" style="1" customWidth="1"/>
    <col min="13587" max="13587" width="5.6328125" style="1" customWidth="1"/>
    <col min="13588" max="13588" width="11.08984375" style="1" customWidth="1"/>
    <col min="13589" max="13589" width="14.7265625" style="1" customWidth="1"/>
    <col min="13590" max="13590" width="16.7265625" style="1" customWidth="1"/>
    <col min="13591" max="13824" width="7.36328125" style="1"/>
    <col min="13825" max="13826" width="7.7265625" style="1" customWidth="1"/>
    <col min="13827" max="13827" width="7.6328125" style="1" customWidth="1"/>
    <col min="13828" max="13828" width="8.08984375" style="1" customWidth="1"/>
    <col min="13829" max="13829" width="7.6328125" style="1" customWidth="1"/>
    <col min="13830" max="13831" width="6" style="1" customWidth="1"/>
    <col min="13832" max="13832" width="8.7265625" style="1" customWidth="1"/>
    <col min="13833" max="13833" width="8.6328125" style="1" customWidth="1"/>
    <col min="13834" max="13834" width="8.453125" style="1" customWidth="1"/>
    <col min="13835" max="13835" width="8.36328125" style="1" customWidth="1"/>
    <col min="13836" max="13836" width="5.7265625" style="1" customWidth="1"/>
    <col min="13837" max="13839" width="6.7265625" style="1" customWidth="1"/>
    <col min="13840" max="13840" width="7.36328125" style="1"/>
    <col min="13841" max="13841" width="6" style="1" customWidth="1"/>
    <col min="13842" max="13842" width="6.08984375" style="1" customWidth="1"/>
    <col min="13843" max="13843" width="5.6328125" style="1" customWidth="1"/>
    <col min="13844" max="13844" width="11.08984375" style="1" customWidth="1"/>
    <col min="13845" max="13845" width="14.7265625" style="1" customWidth="1"/>
    <col min="13846" max="13846" width="16.7265625" style="1" customWidth="1"/>
    <col min="13847" max="14080" width="7.36328125" style="1"/>
    <col min="14081" max="14082" width="7.7265625" style="1" customWidth="1"/>
    <col min="14083" max="14083" width="7.6328125" style="1" customWidth="1"/>
    <col min="14084" max="14084" width="8.08984375" style="1" customWidth="1"/>
    <col min="14085" max="14085" width="7.6328125" style="1" customWidth="1"/>
    <col min="14086" max="14087" width="6" style="1" customWidth="1"/>
    <col min="14088" max="14088" width="8.7265625" style="1" customWidth="1"/>
    <col min="14089" max="14089" width="8.6328125" style="1" customWidth="1"/>
    <col min="14090" max="14090" width="8.453125" style="1" customWidth="1"/>
    <col min="14091" max="14091" width="8.36328125" style="1" customWidth="1"/>
    <col min="14092" max="14092" width="5.7265625" style="1" customWidth="1"/>
    <col min="14093" max="14095" width="6.7265625" style="1" customWidth="1"/>
    <col min="14096" max="14096" width="7.36328125" style="1"/>
    <col min="14097" max="14097" width="6" style="1" customWidth="1"/>
    <col min="14098" max="14098" width="6.08984375" style="1" customWidth="1"/>
    <col min="14099" max="14099" width="5.6328125" style="1" customWidth="1"/>
    <col min="14100" max="14100" width="11.08984375" style="1" customWidth="1"/>
    <col min="14101" max="14101" width="14.7265625" style="1" customWidth="1"/>
    <col min="14102" max="14102" width="16.7265625" style="1" customWidth="1"/>
    <col min="14103" max="14336" width="7.36328125" style="1"/>
    <col min="14337" max="14338" width="7.7265625" style="1" customWidth="1"/>
    <col min="14339" max="14339" width="7.6328125" style="1" customWidth="1"/>
    <col min="14340" max="14340" width="8.08984375" style="1" customWidth="1"/>
    <col min="14341" max="14341" width="7.6328125" style="1" customWidth="1"/>
    <col min="14342" max="14343" width="6" style="1" customWidth="1"/>
    <col min="14344" max="14344" width="8.7265625" style="1" customWidth="1"/>
    <col min="14345" max="14345" width="8.6328125" style="1" customWidth="1"/>
    <col min="14346" max="14346" width="8.453125" style="1" customWidth="1"/>
    <col min="14347" max="14347" width="8.36328125" style="1" customWidth="1"/>
    <col min="14348" max="14348" width="5.7265625" style="1" customWidth="1"/>
    <col min="14349" max="14351" width="6.7265625" style="1" customWidth="1"/>
    <col min="14352" max="14352" width="7.36328125" style="1"/>
    <col min="14353" max="14353" width="6" style="1" customWidth="1"/>
    <col min="14354" max="14354" width="6.08984375" style="1" customWidth="1"/>
    <col min="14355" max="14355" width="5.6328125" style="1" customWidth="1"/>
    <col min="14356" max="14356" width="11.08984375" style="1" customWidth="1"/>
    <col min="14357" max="14357" width="14.7265625" style="1" customWidth="1"/>
    <col min="14358" max="14358" width="16.7265625" style="1" customWidth="1"/>
    <col min="14359" max="14592" width="7.36328125" style="1"/>
    <col min="14593" max="14594" width="7.7265625" style="1" customWidth="1"/>
    <col min="14595" max="14595" width="7.6328125" style="1" customWidth="1"/>
    <col min="14596" max="14596" width="8.08984375" style="1" customWidth="1"/>
    <col min="14597" max="14597" width="7.6328125" style="1" customWidth="1"/>
    <col min="14598" max="14599" width="6" style="1" customWidth="1"/>
    <col min="14600" max="14600" width="8.7265625" style="1" customWidth="1"/>
    <col min="14601" max="14601" width="8.6328125" style="1" customWidth="1"/>
    <col min="14602" max="14602" width="8.453125" style="1" customWidth="1"/>
    <col min="14603" max="14603" width="8.36328125" style="1" customWidth="1"/>
    <col min="14604" max="14604" width="5.7265625" style="1" customWidth="1"/>
    <col min="14605" max="14607" width="6.7265625" style="1" customWidth="1"/>
    <col min="14608" max="14608" width="7.36328125" style="1"/>
    <col min="14609" max="14609" width="6" style="1" customWidth="1"/>
    <col min="14610" max="14610" width="6.08984375" style="1" customWidth="1"/>
    <col min="14611" max="14611" width="5.6328125" style="1" customWidth="1"/>
    <col min="14612" max="14612" width="11.08984375" style="1" customWidth="1"/>
    <col min="14613" max="14613" width="14.7265625" style="1" customWidth="1"/>
    <col min="14614" max="14614" width="16.7265625" style="1" customWidth="1"/>
    <col min="14615" max="14848" width="7.36328125" style="1"/>
    <col min="14849" max="14850" width="7.7265625" style="1" customWidth="1"/>
    <col min="14851" max="14851" width="7.6328125" style="1" customWidth="1"/>
    <col min="14852" max="14852" width="8.08984375" style="1" customWidth="1"/>
    <col min="14853" max="14853" width="7.6328125" style="1" customWidth="1"/>
    <col min="14854" max="14855" width="6" style="1" customWidth="1"/>
    <col min="14856" max="14856" width="8.7265625" style="1" customWidth="1"/>
    <col min="14857" max="14857" width="8.6328125" style="1" customWidth="1"/>
    <col min="14858" max="14858" width="8.453125" style="1" customWidth="1"/>
    <col min="14859" max="14859" width="8.36328125" style="1" customWidth="1"/>
    <col min="14860" max="14860" width="5.7265625" style="1" customWidth="1"/>
    <col min="14861" max="14863" width="6.7265625" style="1" customWidth="1"/>
    <col min="14864" max="14864" width="7.36328125" style="1"/>
    <col min="14865" max="14865" width="6" style="1" customWidth="1"/>
    <col min="14866" max="14866" width="6.08984375" style="1" customWidth="1"/>
    <col min="14867" max="14867" width="5.6328125" style="1" customWidth="1"/>
    <col min="14868" max="14868" width="11.08984375" style="1" customWidth="1"/>
    <col min="14869" max="14869" width="14.7265625" style="1" customWidth="1"/>
    <col min="14870" max="14870" width="16.7265625" style="1" customWidth="1"/>
    <col min="14871" max="15104" width="7.36328125" style="1"/>
    <col min="15105" max="15106" width="7.7265625" style="1" customWidth="1"/>
    <col min="15107" max="15107" width="7.6328125" style="1" customWidth="1"/>
    <col min="15108" max="15108" width="8.08984375" style="1" customWidth="1"/>
    <col min="15109" max="15109" width="7.6328125" style="1" customWidth="1"/>
    <col min="15110" max="15111" width="6" style="1" customWidth="1"/>
    <col min="15112" max="15112" width="8.7265625" style="1" customWidth="1"/>
    <col min="15113" max="15113" width="8.6328125" style="1" customWidth="1"/>
    <col min="15114" max="15114" width="8.453125" style="1" customWidth="1"/>
    <col min="15115" max="15115" width="8.36328125" style="1" customWidth="1"/>
    <col min="15116" max="15116" width="5.7265625" style="1" customWidth="1"/>
    <col min="15117" max="15119" width="6.7265625" style="1" customWidth="1"/>
    <col min="15120" max="15120" width="7.36328125" style="1"/>
    <col min="15121" max="15121" width="6" style="1" customWidth="1"/>
    <col min="15122" max="15122" width="6.08984375" style="1" customWidth="1"/>
    <col min="15123" max="15123" width="5.6328125" style="1" customWidth="1"/>
    <col min="15124" max="15124" width="11.08984375" style="1" customWidth="1"/>
    <col min="15125" max="15125" width="14.7265625" style="1" customWidth="1"/>
    <col min="15126" max="15126" width="16.7265625" style="1" customWidth="1"/>
    <col min="15127" max="15360" width="7.36328125" style="1"/>
    <col min="15361" max="15362" width="7.7265625" style="1" customWidth="1"/>
    <col min="15363" max="15363" width="7.6328125" style="1" customWidth="1"/>
    <col min="15364" max="15364" width="8.08984375" style="1" customWidth="1"/>
    <col min="15365" max="15365" width="7.6328125" style="1" customWidth="1"/>
    <col min="15366" max="15367" width="6" style="1" customWidth="1"/>
    <col min="15368" max="15368" width="8.7265625" style="1" customWidth="1"/>
    <col min="15369" max="15369" width="8.6328125" style="1" customWidth="1"/>
    <col min="15370" max="15370" width="8.453125" style="1" customWidth="1"/>
    <col min="15371" max="15371" width="8.36328125" style="1" customWidth="1"/>
    <col min="15372" max="15372" width="5.7265625" style="1" customWidth="1"/>
    <col min="15373" max="15375" width="6.7265625" style="1" customWidth="1"/>
    <col min="15376" max="15376" width="7.36328125" style="1"/>
    <col min="15377" max="15377" width="6" style="1" customWidth="1"/>
    <col min="15378" max="15378" width="6.08984375" style="1" customWidth="1"/>
    <col min="15379" max="15379" width="5.6328125" style="1" customWidth="1"/>
    <col min="15380" max="15380" width="11.08984375" style="1" customWidth="1"/>
    <col min="15381" max="15381" width="14.7265625" style="1" customWidth="1"/>
    <col min="15382" max="15382" width="16.7265625" style="1" customWidth="1"/>
    <col min="15383" max="15616" width="7.36328125" style="1"/>
    <col min="15617" max="15618" width="7.7265625" style="1" customWidth="1"/>
    <col min="15619" max="15619" width="7.6328125" style="1" customWidth="1"/>
    <col min="15620" max="15620" width="8.08984375" style="1" customWidth="1"/>
    <col min="15621" max="15621" width="7.6328125" style="1" customWidth="1"/>
    <col min="15622" max="15623" width="6" style="1" customWidth="1"/>
    <col min="15624" max="15624" width="8.7265625" style="1" customWidth="1"/>
    <col min="15625" max="15625" width="8.6328125" style="1" customWidth="1"/>
    <col min="15626" max="15626" width="8.453125" style="1" customWidth="1"/>
    <col min="15627" max="15627" width="8.36328125" style="1" customWidth="1"/>
    <col min="15628" max="15628" width="5.7265625" style="1" customWidth="1"/>
    <col min="15629" max="15631" width="6.7265625" style="1" customWidth="1"/>
    <col min="15632" max="15632" width="7.36328125" style="1"/>
    <col min="15633" max="15633" width="6" style="1" customWidth="1"/>
    <col min="15634" max="15634" width="6.08984375" style="1" customWidth="1"/>
    <col min="15635" max="15635" width="5.6328125" style="1" customWidth="1"/>
    <col min="15636" max="15636" width="11.08984375" style="1" customWidth="1"/>
    <col min="15637" max="15637" width="14.7265625" style="1" customWidth="1"/>
    <col min="15638" max="15638" width="16.7265625" style="1" customWidth="1"/>
    <col min="15639" max="15872" width="7.36328125" style="1"/>
    <col min="15873" max="15874" width="7.7265625" style="1" customWidth="1"/>
    <col min="15875" max="15875" width="7.6328125" style="1" customWidth="1"/>
    <col min="15876" max="15876" width="8.08984375" style="1" customWidth="1"/>
    <col min="15877" max="15877" width="7.6328125" style="1" customWidth="1"/>
    <col min="15878" max="15879" width="6" style="1" customWidth="1"/>
    <col min="15880" max="15880" width="8.7265625" style="1" customWidth="1"/>
    <col min="15881" max="15881" width="8.6328125" style="1" customWidth="1"/>
    <col min="15882" max="15882" width="8.453125" style="1" customWidth="1"/>
    <col min="15883" max="15883" width="8.36328125" style="1" customWidth="1"/>
    <col min="15884" max="15884" width="5.7265625" style="1" customWidth="1"/>
    <col min="15885" max="15887" width="6.7265625" style="1" customWidth="1"/>
    <col min="15888" max="15888" width="7.36328125" style="1"/>
    <col min="15889" max="15889" width="6" style="1" customWidth="1"/>
    <col min="15890" max="15890" width="6.08984375" style="1" customWidth="1"/>
    <col min="15891" max="15891" width="5.6328125" style="1" customWidth="1"/>
    <col min="15892" max="15892" width="11.08984375" style="1" customWidth="1"/>
    <col min="15893" max="15893" width="14.7265625" style="1" customWidth="1"/>
    <col min="15894" max="15894" width="16.7265625" style="1" customWidth="1"/>
    <col min="15895" max="16128" width="7.36328125" style="1"/>
    <col min="16129" max="16130" width="7.7265625" style="1" customWidth="1"/>
    <col min="16131" max="16131" width="7.6328125" style="1" customWidth="1"/>
    <col min="16132" max="16132" width="8.08984375" style="1" customWidth="1"/>
    <col min="16133" max="16133" width="7.6328125" style="1" customWidth="1"/>
    <col min="16134" max="16135" width="6" style="1" customWidth="1"/>
    <col min="16136" max="16136" width="8.7265625" style="1" customWidth="1"/>
    <col min="16137" max="16137" width="8.6328125" style="1" customWidth="1"/>
    <col min="16138" max="16138" width="8.453125" style="1" customWidth="1"/>
    <col min="16139" max="16139" width="8.36328125" style="1" customWidth="1"/>
    <col min="16140" max="16140" width="5.7265625" style="1" customWidth="1"/>
    <col min="16141" max="16143" width="6.7265625" style="1" customWidth="1"/>
    <col min="16144" max="16144" width="7.36328125" style="1"/>
    <col min="16145" max="16145" width="6" style="1" customWidth="1"/>
    <col min="16146" max="16146" width="6.08984375" style="1" customWidth="1"/>
    <col min="16147" max="16147" width="5.6328125" style="1" customWidth="1"/>
    <col min="16148" max="16148" width="11.08984375" style="1" customWidth="1"/>
    <col min="16149" max="16149" width="14.7265625" style="1" customWidth="1"/>
    <col min="16150" max="16150" width="16.7265625" style="1" customWidth="1"/>
    <col min="16151" max="16384" width="7.36328125" style="1"/>
  </cols>
  <sheetData>
    <row r="1" spans="1:23" ht="17.399999999999999">
      <c r="A1" s="20"/>
      <c r="B1" s="20"/>
      <c r="C1" s="21" t="s">
        <v>42</v>
      </c>
      <c r="D1" s="22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4"/>
      <c r="Q1" s="23"/>
      <c r="R1" s="3"/>
      <c r="S1" s="3"/>
      <c r="T1" s="3"/>
      <c r="U1" s="3"/>
      <c r="V1" s="3"/>
    </row>
    <row r="2" spans="1:23" s="36" customFormat="1" ht="12">
      <c r="A2" s="24"/>
      <c r="B2" s="125"/>
      <c r="C2" s="25" t="s">
        <v>1</v>
      </c>
      <c r="D2" s="5"/>
      <c r="E2" s="27"/>
      <c r="F2" s="27"/>
      <c r="G2" s="28"/>
      <c r="H2" s="28" t="s">
        <v>5</v>
      </c>
      <c r="I2" s="29"/>
      <c r="J2" s="27"/>
      <c r="K2" s="30"/>
      <c r="L2" s="31"/>
      <c r="M2" s="31" t="s">
        <v>0</v>
      </c>
      <c r="N2" s="29"/>
      <c r="O2" s="27"/>
      <c r="P2" s="32"/>
      <c r="Q2" s="25"/>
      <c r="R2" s="25" t="s">
        <v>6</v>
      </c>
      <c r="S2" s="33">
        <v>1</v>
      </c>
      <c r="T2" s="34" t="s">
        <v>583</v>
      </c>
      <c r="U2" s="34" t="s">
        <v>7</v>
      </c>
      <c r="V2" s="35"/>
    </row>
    <row r="3" spans="1:23" s="36" customFormat="1" ht="12">
      <c r="A3" s="37"/>
      <c r="B3" s="126"/>
      <c r="C3" s="38" t="s">
        <v>2</v>
      </c>
      <c r="D3" s="6"/>
      <c r="E3" s="39"/>
      <c r="F3" s="40"/>
      <c r="G3" s="41"/>
      <c r="H3" s="41" t="s">
        <v>8</v>
      </c>
      <c r="I3" s="8"/>
      <c r="J3" s="26"/>
      <c r="K3" s="42"/>
      <c r="L3" s="43"/>
      <c r="M3" s="43" t="s">
        <v>9</v>
      </c>
      <c r="N3" s="44"/>
      <c r="O3" s="26"/>
      <c r="P3" s="7"/>
      <c r="Q3" s="45"/>
      <c r="R3" s="45" t="s">
        <v>10</v>
      </c>
      <c r="S3" s="26"/>
      <c r="T3" s="9"/>
      <c r="U3" s="10"/>
      <c r="V3" s="46"/>
    </row>
    <row r="4" spans="1:23" s="36" customFormat="1" ht="12">
      <c r="A4" s="47"/>
      <c r="B4" s="127"/>
      <c r="C4" s="48" t="s">
        <v>3</v>
      </c>
      <c r="D4" s="11"/>
      <c r="E4" s="49"/>
      <c r="F4" s="50"/>
      <c r="G4" s="51"/>
      <c r="H4" s="51" t="s">
        <v>11</v>
      </c>
      <c r="I4" s="52"/>
      <c r="J4" s="53"/>
      <c r="K4" s="54"/>
      <c r="L4" s="55"/>
      <c r="M4" s="55" t="s">
        <v>12</v>
      </c>
      <c r="N4" s="130"/>
      <c r="O4" s="53"/>
      <c r="P4" s="50"/>
      <c r="Q4" s="48"/>
      <c r="R4" s="56"/>
      <c r="S4" s="53"/>
      <c r="T4" s="57"/>
      <c r="U4" s="58"/>
      <c r="V4" s="59"/>
    </row>
    <row r="5" spans="1:23" s="63" customFormat="1" ht="13.2">
      <c r="A5" s="60"/>
      <c r="B5" s="128"/>
      <c r="C5" s="2"/>
      <c r="D5" s="12"/>
      <c r="E5" s="13"/>
      <c r="F5" s="14"/>
      <c r="G5" s="14"/>
      <c r="H5" s="14"/>
      <c r="I5" s="2"/>
      <c r="J5" s="12"/>
      <c r="K5" s="15"/>
      <c r="L5" s="16"/>
      <c r="M5" s="16"/>
      <c r="N5" s="17"/>
      <c r="O5" s="18"/>
      <c r="P5" s="19"/>
      <c r="Q5" s="13"/>
      <c r="R5" s="13"/>
      <c r="S5" s="13"/>
      <c r="T5" s="12"/>
      <c r="U5" s="61"/>
      <c r="V5" s="62"/>
    </row>
    <row r="6" spans="1:23" s="63" customFormat="1" ht="14.1" customHeight="1">
      <c r="A6" s="64" t="s">
        <v>43</v>
      </c>
      <c r="B6" s="64"/>
      <c r="C6" s="65"/>
      <c r="D6" s="66"/>
      <c r="E6" s="66"/>
      <c r="F6" s="66"/>
      <c r="G6" s="67"/>
      <c r="H6" s="68" t="s">
        <v>44</v>
      </c>
      <c r="I6" s="69"/>
      <c r="J6" s="66"/>
      <c r="K6" s="67"/>
      <c r="L6" s="68" t="s">
        <v>45</v>
      </c>
      <c r="M6" s="68"/>
      <c r="N6" s="68"/>
      <c r="O6" s="68"/>
      <c r="P6" s="68"/>
      <c r="Q6" s="68"/>
      <c r="R6" s="68"/>
      <c r="S6" s="68"/>
      <c r="T6" s="70"/>
      <c r="U6" s="68" t="s">
        <v>46</v>
      </c>
      <c r="V6" s="71"/>
    </row>
    <row r="7" spans="1:23" s="63" customFormat="1" ht="15">
      <c r="A7" s="72"/>
      <c r="B7" s="72"/>
      <c r="C7" s="73"/>
      <c r="D7" s="73"/>
      <c r="E7" s="73"/>
      <c r="F7" s="74"/>
      <c r="G7" s="75"/>
      <c r="H7" s="76" t="s">
        <v>47</v>
      </c>
      <c r="J7" s="77" t="s">
        <v>13</v>
      </c>
      <c r="K7" s="78"/>
      <c r="L7" s="23"/>
      <c r="M7" s="79" t="s">
        <v>14</v>
      </c>
      <c r="N7" s="80"/>
      <c r="O7" s="81"/>
      <c r="P7" s="82" t="s">
        <v>15</v>
      </c>
      <c r="Q7" s="83"/>
      <c r="R7" s="84" t="s">
        <v>16</v>
      </c>
      <c r="S7" s="85"/>
      <c r="T7" s="86"/>
      <c r="U7" s="87" t="s">
        <v>17</v>
      </c>
      <c r="V7" s="88" t="s">
        <v>48</v>
      </c>
    </row>
    <row r="8" spans="1:23" ht="13.2">
      <c r="A8" s="89" t="s">
        <v>18</v>
      </c>
      <c r="B8" s="129" t="s">
        <v>52</v>
      </c>
      <c r="C8" s="90" t="s">
        <v>49</v>
      </c>
      <c r="D8" s="90" t="s">
        <v>19</v>
      </c>
      <c r="E8" s="90" t="s">
        <v>20</v>
      </c>
      <c r="F8" s="91" t="s">
        <v>21</v>
      </c>
      <c r="G8" s="92" t="s">
        <v>22</v>
      </c>
      <c r="H8" s="80" t="s">
        <v>50</v>
      </c>
      <c r="I8" s="93">
        <v>1</v>
      </c>
      <c r="J8" s="94">
        <v>2</v>
      </c>
      <c r="K8" s="95">
        <v>3</v>
      </c>
      <c r="L8" s="96">
        <v>1</v>
      </c>
      <c r="M8" s="97">
        <v>2</v>
      </c>
      <c r="N8" s="97">
        <v>3</v>
      </c>
      <c r="O8" s="98" t="s">
        <v>4</v>
      </c>
      <c r="P8" s="99" t="s">
        <v>23</v>
      </c>
      <c r="Q8" s="99" t="s">
        <v>24</v>
      </c>
      <c r="R8" s="99" t="s">
        <v>25</v>
      </c>
      <c r="S8" s="99" t="s">
        <v>26</v>
      </c>
      <c r="T8" s="100" t="s">
        <v>51</v>
      </c>
      <c r="U8" s="101" t="s">
        <v>27</v>
      </c>
      <c r="V8" s="101" t="s">
        <v>28</v>
      </c>
    </row>
    <row r="9" spans="1:23" ht="13.2">
      <c r="A9" s="102">
        <v>2</v>
      </c>
      <c r="B9" s="102" t="s">
        <v>53</v>
      </c>
      <c r="C9" s="104">
        <v>1</v>
      </c>
      <c r="D9" s="105" t="s">
        <v>54</v>
      </c>
      <c r="E9" s="106">
        <v>155</v>
      </c>
      <c r="F9" s="107">
        <v>0</v>
      </c>
      <c r="G9" s="108">
        <v>0.6</v>
      </c>
      <c r="H9" s="109" t="s">
        <v>55</v>
      </c>
      <c r="I9" s="110">
        <v>154.40100000000001</v>
      </c>
      <c r="J9" s="110">
        <v>154.51300000000001</v>
      </c>
      <c r="K9" s="119">
        <v>154.52600000000001</v>
      </c>
      <c r="L9" s="111">
        <f t="shared" ref="L9:N37" si="0">IF(ISBLANK($E9),"",IF(ISERR(I9/I9)=TRUE,"BAD INSP",I9-$E9))</f>
        <v>-0.59899999999998954</v>
      </c>
      <c r="M9" s="112">
        <f t="shared" si="0"/>
        <v>-0.48699999999999477</v>
      </c>
      <c r="N9" s="112">
        <f t="shared" si="0"/>
        <v>-0.47399999999998954</v>
      </c>
      <c r="O9" s="112">
        <f t="shared" ref="O9:O51" si="1">IF(ISERR(I9/I9)=TRUE," ",AVERAGE(I9:K9))</f>
        <v>154.47999999999999</v>
      </c>
      <c r="P9" s="113" t="str">
        <f t="shared" ref="P9:P51" si="2">IF(ISBLANK($E9),"",IF(ISNUMBER(F9)=FALSE,"BAD TOL", IF(F9=0,"N/A",IF(ISERR(I9/I9)=TRUE,"BAD INSP",IF(AND(ISNUMBER($I9),ISNUMBER($J9),ISNUMBER($K9))=FALSE,"BAD INSP",IF(MAX($I9:$K9)&lt;$E9,0,(MAX($I9:$K9)-$E9)/$F9))))))</f>
        <v>N/A</v>
      </c>
      <c r="Q9" s="114">
        <f t="shared" ref="Q9:Q51" si="3">IF(ISBLANK($E9),"",IF(ISNUMBER(G9)=FALSE,"BAD TOL",IF(G9=0,"N/A",IF(ISERR(I9/I9)=TRUE,"BAD INSP",IF(AND(ISNUMBER($I9),ISNUMBER($J9),ISNUMBER($K9))=FALSE,"BAD INSP",IF(MIN(I9:K9)&gt;$E9,0,($E9-MIN(I9:K9))/G9))))))</f>
        <v>0.99833333333331598</v>
      </c>
      <c r="R9" s="115" t="str">
        <f t="shared" ref="R9:R51" si="4">IF(ISBLANK($E9),"",IF(ISNUMBER($P9)=TRUE,IF($P9&gt;0.651,IF($P9&gt;1.001,"Reject","Alert")," "),IF(AND(F9=0, ISNUMBER(F9)),IF(MAX(I9:K9)&gt;(E9+F9),"Reject",IF(MAX(I9:K9)=(E9+F9),"Alert","")),"Reject")))</f>
        <v/>
      </c>
      <c r="S9" s="115" t="str">
        <f t="shared" ref="S9:S51" si="5">IF(ISBLANK($E9),"",IF(ISNUMBER($Q9)=TRUE,IF($Q9&gt;0.651,IF($Q9&gt;1.001,"Reject","Alert")," "),IF(AND(G9=0, ISNUMBER(G9)),IF(MIN(I9:K9)&lt;(E9-G9),"Reject",IF(MIN(I9:K9)=(E9-G9),"Alert","")),"Reject")))</f>
        <v>Alert</v>
      </c>
      <c r="T9" s="116" t="str">
        <f t="shared" ref="T9:T51" si="6">IF(OR(R9="Reject",S9="Reject"),"Reject",IF(OR(R9="Alert",S9="Alert"),"Alert", ""))</f>
        <v>Alert</v>
      </c>
      <c r="U9" s="117"/>
      <c r="V9" s="118"/>
      <c r="W9" s="131"/>
    </row>
    <row r="10" spans="1:23" ht="13.2">
      <c r="A10" s="102">
        <v>3</v>
      </c>
      <c r="B10" s="102"/>
      <c r="C10" s="104">
        <v>1</v>
      </c>
      <c r="D10" s="105" t="s">
        <v>56</v>
      </c>
      <c r="E10" s="106">
        <v>4.5999999999999996</v>
      </c>
      <c r="F10" s="107">
        <v>0.1</v>
      </c>
      <c r="G10" s="108">
        <v>0.1</v>
      </c>
      <c r="H10" s="109" t="s">
        <v>55</v>
      </c>
      <c r="I10" s="110">
        <v>4.6760000000000002</v>
      </c>
      <c r="J10" s="110">
        <v>4.6740000000000004</v>
      </c>
      <c r="K10" s="119">
        <v>4.681</v>
      </c>
      <c r="L10" s="111">
        <f t="shared" si="0"/>
        <v>7.6000000000000512E-2</v>
      </c>
      <c r="M10" s="112">
        <f t="shared" si="0"/>
        <v>7.4000000000000732E-2</v>
      </c>
      <c r="N10" s="112">
        <f t="shared" si="0"/>
        <v>8.1000000000000405E-2</v>
      </c>
      <c r="O10" s="112">
        <f t="shared" si="1"/>
        <v>4.6770000000000005</v>
      </c>
      <c r="P10" s="113">
        <f t="shared" si="2"/>
        <v>0.81000000000000405</v>
      </c>
      <c r="Q10" s="114">
        <f t="shared" si="3"/>
        <v>0</v>
      </c>
      <c r="R10" s="115" t="str">
        <f t="shared" si="4"/>
        <v>Alert</v>
      </c>
      <c r="S10" s="115" t="str">
        <f t="shared" si="5"/>
        <v xml:space="preserve"> </v>
      </c>
      <c r="T10" s="116" t="str">
        <f t="shared" si="6"/>
        <v>Alert</v>
      </c>
      <c r="U10" s="117"/>
      <c r="V10" s="118"/>
      <c r="W10" s="131"/>
    </row>
    <row r="11" spans="1:23" ht="13.2">
      <c r="A11" s="102" t="s">
        <v>574</v>
      </c>
      <c r="B11" s="102" t="s">
        <v>41</v>
      </c>
      <c r="C11" s="104">
        <v>1</v>
      </c>
      <c r="D11" s="105" t="s">
        <v>58</v>
      </c>
      <c r="E11" s="106">
        <v>4.5999999999999996</v>
      </c>
      <c r="F11" s="107">
        <v>0.1</v>
      </c>
      <c r="G11" s="108">
        <v>0.1</v>
      </c>
      <c r="H11" s="109" t="s">
        <v>580</v>
      </c>
      <c r="I11" s="110">
        <v>4.609</v>
      </c>
      <c r="J11" s="110">
        <v>4.6189999999999998</v>
      </c>
      <c r="K11" s="119">
        <v>4.6079999999999997</v>
      </c>
      <c r="L11" s="111">
        <f t="shared" si="0"/>
        <v>9.0000000000003411E-3</v>
      </c>
      <c r="M11" s="112">
        <f t="shared" si="0"/>
        <v>1.9000000000000128E-2</v>
      </c>
      <c r="N11" s="112">
        <f t="shared" si="0"/>
        <v>8.0000000000000071E-3</v>
      </c>
      <c r="O11" s="112">
        <f t="shared" si="1"/>
        <v>4.6119999999999992</v>
      </c>
      <c r="P11" s="113">
        <f t="shared" si="2"/>
        <v>0.19000000000000128</v>
      </c>
      <c r="Q11" s="114">
        <f t="shared" si="3"/>
        <v>0</v>
      </c>
      <c r="R11" s="115" t="str">
        <f t="shared" si="4"/>
        <v xml:space="preserve"> </v>
      </c>
      <c r="S11" s="115" t="str">
        <f t="shared" si="5"/>
        <v xml:space="preserve"> </v>
      </c>
      <c r="T11" s="116" t="str">
        <f t="shared" si="6"/>
        <v/>
      </c>
      <c r="U11" s="117"/>
      <c r="V11" s="118"/>
      <c r="W11" s="131"/>
    </row>
    <row r="12" spans="1:23" ht="13.2">
      <c r="A12" s="102" t="s">
        <v>575</v>
      </c>
      <c r="B12" s="102" t="s">
        <v>41</v>
      </c>
      <c r="C12" s="104">
        <v>1</v>
      </c>
      <c r="D12" s="105" t="s">
        <v>58</v>
      </c>
      <c r="E12" s="106">
        <v>4.5999999999999996</v>
      </c>
      <c r="F12" s="107">
        <v>0.1</v>
      </c>
      <c r="G12" s="108">
        <v>0.1</v>
      </c>
      <c r="H12" s="109" t="s">
        <v>580</v>
      </c>
      <c r="I12" s="110">
        <v>4.625</v>
      </c>
      <c r="J12" s="110">
        <v>4.6289999999999996</v>
      </c>
      <c r="K12" s="119">
        <v>4.6340000000000003</v>
      </c>
      <c r="L12" s="111">
        <f t="shared" si="0"/>
        <v>2.5000000000000355E-2</v>
      </c>
      <c r="M12" s="112">
        <f t="shared" si="0"/>
        <v>2.8999999999999915E-2</v>
      </c>
      <c r="N12" s="112">
        <f t="shared" si="0"/>
        <v>3.4000000000000696E-2</v>
      </c>
      <c r="O12" s="112">
        <f t="shared" si="1"/>
        <v>4.6293333333333333</v>
      </c>
      <c r="P12" s="113">
        <f t="shared" si="2"/>
        <v>0.34000000000000696</v>
      </c>
      <c r="Q12" s="114">
        <f t="shared" si="3"/>
        <v>0</v>
      </c>
      <c r="R12" s="115" t="str">
        <f t="shared" si="4"/>
        <v xml:space="preserve"> </v>
      </c>
      <c r="S12" s="115" t="str">
        <f t="shared" si="5"/>
        <v xml:space="preserve"> </v>
      </c>
      <c r="T12" s="116" t="str">
        <f t="shared" si="6"/>
        <v/>
      </c>
      <c r="U12" s="117"/>
      <c r="V12" s="118"/>
      <c r="W12" s="131"/>
    </row>
    <row r="13" spans="1:23" ht="13.2">
      <c r="A13" s="102" t="s">
        <v>576</v>
      </c>
      <c r="B13" s="102" t="s">
        <v>41</v>
      </c>
      <c r="C13" s="104">
        <v>1</v>
      </c>
      <c r="D13" s="105" t="s">
        <v>58</v>
      </c>
      <c r="E13" s="106">
        <v>4.5999999999999996</v>
      </c>
      <c r="F13" s="107">
        <v>0.1</v>
      </c>
      <c r="G13" s="108">
        <v>0.1</v>
      </c>
      <c r="H13" s="109" t="s">
        <v>580</v>
      </c>
      <c r="I13" s="110">
        <v>4.6260000000000003</v>
      </c>
      <c r="J13" s="110">
        <v>4.6390000000000002</v>
      </c>
      <c r="K13" s="119">
        <v>4.6390000000000002</v>
      </c>
      <c r="L13" s="111">
        <f t="shared" si="0"/>
        <v>2.6000000000000689E-2</v>
      </c>
      <c r="M13" s="112">
        <f t="shared" si="0"/>
        <v>3.900000000000059E-2</v>
      </c>
      <c r="N13" s="112">
        <f t="shared" si="0"/>
        <v>3.900000000000059E-2</v>
      </c>
      <c r="O13" s="112">
        <f t="shared" si="1"/>
        <v>4.6346666666666669</v>
      </c>
      <c r="P13" s="113">
        <f t="shared" si="2"/>
        <v>0.3900000000000059</v>
      </c>
      <c r="Q13" s="114">
        <f t="shared" si="3"/>
        <v>0</v>
      </c>
      <c r="R13" s="115" t="str">
        <f t="shared" si="4"/>
        <v xml:space="preserve"> </v>
      </c>
      <c r="S13" s="115" t="str">
        <f t="shared" si="5"/>
        <v xml:space="preserve"> </v>
      </c>
      <c r="T13" s="116" t="str">
        <f t="shared" si="6"/>
        <v/>
      </c>
      <c r="U13" s="117"/>
      <c r="V13" s="118"/>
      <c r="W13" s="131"/>
    </row>
    <row r="14" spans="1:23" ht="13.2">
      <c r="A14" s="102" t="s">
        <v>577</v>
      </c>
      <c r="B14" s="102" t="s">
        <v>59</v>
      </c>
      <c r="C14" s="104">
        <v>1</v>
      </c>
      <c r="D14" s="105" t="s">
        <v>58</v>
      </c>
      <c r="E14" s="106">
        <v>6.5</v>
      </c>
      <c r="F14" s="107">
        <v>0.1</v>
      </c>
      <c r="G14" s="108">
        <v>0.1</v>
      </c>
      <c r="H14" s="109" t="s">
        <v>55</v>
      </c>
      <c r="I14" s="110">
        <v>6.4870000000000001</v>
      </c>
      <c r="J14" s="110">
        <v>6.508</v>
      </c>
      <c r="K14" s="119">
        <v>6.5110000000000001</v>
      </c>
      <c r="L14" s="111">
        <f t="shared" si="0"/>
        <v>-1.2999999999999901E-2</v>
      </c>
      <c r="M14" s="112">
        <f t="shared" si="0"/>
        <v>8.0000000000000071E-3</v>
      </c>
      <c r="N14" s="112">
        <f t="shared" si="0"/>
        <v>1.1000000000000121E-2</v>
      </c>
      <c r="O14" s="112">
        <f t="shared" si="1"/>
        <v>6.5019999999999998</v>
      </c>
      <c r="P14" s="113">
        <f t="shared" si="2"/>
        <v>0.11000000000000121</v>
      </c>
      <c r="Q14" s="114">
        <f t="shared" si="3"/>
        <v>0.12999999999999901</v>
      </c>
      <c r="R14" s="115" t="str">
        <f t="shared" si="4"/>
        <v xml:space="preserve"> </v>
      </c>
      <c r="S14" s="115" t="str">
        <f t="shared" si="5"/>
        <v xml:space="preserve"> </v>
      </c>
      <c r="T14" s="116" t="str">
        <f t="shared" si="6"/>
        <v/>
      </c>
      <c r="U14" s="117"/>
      <c r="V14" s="118"/>
      <c r="W14" s="131"/>
    </row>
    <row r="15" spans="1:23" ht="13.2">
      <c r="A15" s="102" t="s">
        <v>578</v>
      </c>
      <c r="B15" s="102" t="s">
        <v>59</v>
      </c>
      <c r="C15" s="104">
        <v>1</v>
      </c>
      <c r="D15" s="105" t="s">
        <v>58</v>
      </c>
      <c r="E15" s="106">
        <v>6.5</v>
      </c>
      <c r="F15" s="107">
        <v>0.1</v>
      </c>
      <c r="G15" s="108">
        <v>0.1</v>
      </c>
      <c r="H15" s="109" t="s">
        <v>55</v>
      </c>
      <c r="I15" s="110">
        <v>6.4809999999999999</v>
      </c>
      <c r="J15" s="110">
        <v>6.4880000000000004</v>
      </c>
      <c r="K15" s="119">
        <v>6.4939999999999998</v>
      </c>
      <c r="L15" s="111">
        <f t="shared" si="0"/>
        <v>-1.9000000000000128E-2</v>
      </c>
      <c r="M15" s="112">
        <f t="shared" si="0"/>
        <v>-1.1999999999999567E-2</v>
      </c>
      <c r="N15" s="112">
        <f t="shared" si="0"/>
        <v>-6.0000000000002274E-3</v>
      </c>
      <c r="O15" s="112">
        <f t="shared" si="1"/>
        <v>6.4876666666666667</v>
      </c>
      <c r="P15" s="113">
        <f t="shared" si="2"/>
        <v>0</v>
      </c>
      <c r="Q15" s="114">
        <f t="shared" si="3"/>
        <v>0.19000000000000128</v>
      </c>
      <c r="R15" s="115" t="str">
        <f t="shared" si="4"/>
        <v xml:space="preserve"> </v>
      </c>
      <c r="S15" s="115" t="str">
        <f t="shared" si="5"/>
        <v xml:space="preserve"> </v>
      </c>
      <c r="T15" s="116" t="str">
        <f t="shared" si="6"/>
        <v/>
      </c>
      <c r="U15" s="117"/>
      <c r="V15" s="118"/>
      <c r="W15" s="131"/>
    </row>
    <row r="16" spans="1:23" ht="13.2">
      <c r="A16" s="102" t="s">
        <v>579</v>
      </c>
      <c r="B16" s="102" t="s">
        <v>59</v>
      </c>
      <c r="C16" s="104">
        <v>1</v>
      </c>
      <c r="D16" s="105" t="s">
        <v>58</v>
      </c>
      <c r="E16" s="106">
        <v>6.5</v>
      </c>
      <c r="F16" s="107">
        <v>0.1</v>
      </c>
      <c r="G16" s="108">
        <v>0.1</v>
      </c>
      <c r="H16" s="109" t="s">
        <v>55</v>
      </c>
      <c r="I16" s="110">
        <v>6.4749999999999996</v>
      </c>
      <c r="J16" s="110">
        <v>6.4790000000000001</v>
      </c>
      <c r="K16" s="119">
        <v>6.4809999999999999</v>
      </c>
      <c r="L16" s="111">
        <f t="shared" si="0"/>
        <v>-2.5000000000000355E-2</v>
      </c>
      <c r="M16" s="112">
        <f t="shared" si="0"/>
        <v>-2.0999999999999908E-2</v>
      </c>
      <c r="N16" s="112">
        <f t="shared" si="0"/>
        <v>-1.9000000000000128E-2</v>
      </c>
      <c r="O16" s="112">
        <f t="shared" si="1"/>
        <v>6.4783333333333344</v>
      </c>
      <c r="P16" s="113">
        <f t="shared" si="2"/>
        <v>0</v>
      </c>
      <c r="Q16" s="114">
        <f t="shared" si="3"/>
        <v>0.25000000000000355</v>
      </c>
      <c r="R16" s="115" t="str">
        <f t="shared" si="4"/>
        <v xml:space="preserve"> </v>
      </c>
      <c r="S16" s="115" t="str">
        <f t="shared" si="5"/>
        <v xml:space="preserve"> </v>
      </c>
      <c r="T16" s="116" t="str">
        <f t="shared" si="6"/>
        <v/>
      </c>
      <c r="U16" s="117"/>
      <c r="V16" s="118"/>
      <c r="W16" s="131"/>
    </row>
    <row r="17" spans="1:23" ht="13.2">
      <c r="A17" s="102">
        <v>4.5</v>
      </c>
      <c r="B17" s="102" t="s">
        <v>60</v>
      </c>
      <c r="C17" s="104">
        <v>1</v>
      </c>
      <c r="D17" s="105" t="s">
        <v>62</v>
      </c>
      <c r="E17" s="106">
        <v>16</v>
      </c>
      <c r="F17" s="107">
        <v>0.5</v>
      </c>
      <c r="G17" s="108">
        <v>0.5</v>
      </c>
      <c r="H17" s="109" t="s">
        <v>55</v>
      </c>
      <c r="I17" s="110"/>
      <c r="J17" s="110"/>
      <c r="K17" s="119"/>
      <c r="L17" s="111" t="str">
        <f t="shared" si="0"/>
        <v>BAD INSP</v>
      </c>
      <c r="M17" s="112" t="str">
        <f t="shared" si="0"/>
        <v>BAD INSP</v>
      </c>
      <c r="N17" s="112" t="str">
        <f t="shared" si="0"/>
        <v>BAD INSP</v>
      </c>
      <c r="O17" s="112" t="str">
        <f t="shared" si="1"/>
        <v xml:space="preserve"> </v>
      </c>
      <c r="P17" s="113" t="str">
        <f t="shared" si="2"/>
        <v>BAD INSP</v>
      </c>
      <c r="Q17" s="114" t="str">
        <f t="shared" si="3"/>
        <v>BAD INSP</v>
      </c>
      <c r="R17" s="115" t="str">
        <f t="shared" si="4"/>
        <v>Reject</v>
      </c>
      <c r="S17" s="115" t="str">
        <f t="shared" si="5"/>
        <v>Reject</v>
      </c>
      <c r="T17" s="116" t="str">
        <f t="shared" si="6"/>
        <v>Reject</v>
      </c>
      <c r="U17" s="117"/>
      <c r="V17" s="118"/>
      <c r="W17" s="131"/>
    </row>
    <row r="18" spans="1:23" ht="13.2">
      <c r="A18" s="102">
        <v>5.5</v>
      </c>
      <c r="B18" s="102" t="s">
        <v>61</v>
      </c>
      <c r="C18" s="104">
        <v>1</v>
      </c>
      <c r="D18" s="105" t="s">
        <v>63</v>
      </c>
      <c r="E18" s="106">
        <v>16</v>
      </c>
      <c r="F18" s="107">
        <v>0.5</v>
      </c>
      <c r="G18" s="108">
        <v>0.5</v>
      </c>
      <c r="H18" s="109" t="s">
        <v>55</v>
      </c>
      <c r="I18" s="110"/>
      <c r="J18" s="110"/>
      <c r="K18" s="119"/>
      <c r="L18" s="111" t="str">
        <f t="shared" si="0"/>
        <v>BAD INSP</v>
      </c>
      <c r="M18" s="112" t="str">
        <f t="shared" si="0"/>
        <v>BAD INSP</v>
      </c>
      <c r="N18" s="112" t="str">
        <f t="shared" si="0"/>
        <v>BAD INSP</v>
      </c>
      <c r="O18" s="112" t="str">
        <f t="shared" si="1"/>
        <v xml:space="preserve"> </v>
      </c>
      <c r="P18" s="113" t="str">
        <f t="shared" si="2"/>
        <v>BAD INSP</v>
      </c>
      <c r="Q18" s="114" t="str">
        <f t="shared" si="3"/>
        <v>BAD INSP</v>
      </c>
      <c r="R18" s="115" t="str">
        <f t="shared" si="4"/>
        <v>Reject</v>
      </c>
      <c r="S18" s="115" t="str">
        <f t="shared" si="5"/>
        <v>Reject</v>
      </c>
      <c r="T18" s="116" t="str">
        <f t="shared" si="6"/>
        <v>Reject</v>
      </c>
      <c r="U18" s="117"/>
      <c r="V18" s="118"/>
      <c r="W18" s="131"/>
    </row>
    <row r="19" spans="1:23" ht="13.2">
      <c r="A19" s="102">
        <v>10</v>
      </c>
      <c r="B19" s="102"/>
      <c r="C19" s="104">
        <v>1</v>
      </c>
      <c r="D19" s="105" t="s">
        <v>64</v>
      </c>
      <c r="E19" s="106">
        <v>0</v>
      </c>
      <c r="F19" s="107">
        <v>0.2</v>
      </c>
      <c r="G19" s="108">
        <v>0</v>
      </c>
      <c r="H19" s="109" t="s">
        <v>55</v>
      </c>
      <c r="I19" s="110">
        <v>0.127</v>
      </c>
      <c r="J19" s="110">
        <v>0.112</v>
      </c>
      <c r="K19" s="119">
        <v>0.121</v>
      </c>
      <c r="L19" s="111">
        <f t="shared" si="0"/>
        <v>0.127</v>
      </c>
      <c r="M19" s="112">
        <f t="shared" si="0"/>
        <v>0.112</v>
      </c>
      <c r="N19" s="112">
        <f t="shared" si="0"/>
        <v>0.121</v>
      </c>
      <c r="O19" s="112">
        <f t="shared" si="1"/>
        <v>0.12</v>
      </c>
      <c r="P19" s="113">
        <f t="shared" si="2"/>
        <v>0.63500000000000001</v>
      </c>
      <c r="Q19" s="114" t="str">
        <f t="shared" si="3"/>
        <v>N/A</v>
      </c>
      <c r="R19" s="115" t="str">
        <f t="shared" si="4"/>
        <v xml:space="preserve"> </v>
      </c>
      <c r="S19" s="115" t="str">
        <f t="shared" si="5"/>
        <v/>
      </c>
      <c r="T19" s="116" t="str">
        <f t="shared" si="6"/>
        <v/>
      </c>
      <c r="U19" s="117"/>
      <c r="V19" s="118"/>
      <c r="W19" s="131"/>
    </row>
    <row r="20" spans="1:23" ht="13.2">
      <c r="A20" s="102" t="s">
        <v>65</v>
      </c>
      <c r="B20" s="102"/>
      <c r="C20" s="104">
        <v>1</v>
      </c>
      <c r="D20" s="105" t="s">
        <v>58</v>
      </c>
      <c r="E20" s="106">
        <v>0</v>
      </c>
      <c r="F20" s="107">
        <v>0.2</v>
      </c>
      <c r="G20" s="108">
        <v>0</v>
      </c>
      <c r="H20" s="109" t="s">
        <v>581</v>
      </c>
      <c r="I20" s="110">
        <v>1.2999999999999999E-2</v>
      </c>
      <c r="J20" s="110">
        <v>2.8000000000000001E-2</v>
      </c>
      <c r="K20" s="119">
        <v>1.4999999999999999E-2</v>
      </c>
      <c r="L20" s="111">
        <f t="shared" si="0"/>
        <v>1.2999999999999999E-2</v>
      </c>
      <c r="M20" s="112">
        <f t="shared" si="0"/>
        <v>2.8000000000000001E-2</v>
      </c>
      <c r="N20" s="112">
        <f t="shared" si="0"/>
        <v>1.4999999999999999E-2</v>
      </c>
      <c r="O20" s="112">
        <f t="shared" si="1"/>
        <v>1.8666666666666668E-2</v>
      </c>
      <c r="P20" s="113">
        <f t="shared" si="2"/>
        <v>0.13999999999999999</v>
      </c>
      <c r="Q20" s="114" t="str">
        <f t="shared" si="3"/>
        <v>N/A</v>
      </c>
      <c r="R20" s="115" t="str">
        <f t="shared" si="4"/>
        <v xml:space="preserve"> </v>
      </c>
      <c r="S20" s="115" t="str">
        <f t="shared" si="5"/>
        <v/>
      </c>
      <c r="T20" s="116" t="str">
        <f t="shared" si="6"/>
        <v/>
      </c>
      <c r="U20" s="117"/>
      <c r="V20" s="118"/>
      <c r="W20" s="131"/>
    </row>
    <row r="21" spans="1:23" ht="13.2">
      <c r="A21" s="102" t="s">
        <v>66</v>
      </c>
      <c r="B21" s="102"/>
      <c r="C21" s="104">
        <v>1</v>
      </c>
      <c r="D21" s="105" t="s">
        <v>58</v>
      </c>
      <c r="E21" s="106">
        <v>0</v>
      </c>
      <c r="F21" s="107">
        <v>0.2</v>
      </c>
      <c r="G21" s="108">
        <v>0</v>
      </c>
      <c r="H21" s="109" t="s">
        <v>581</v>
      </c>
      <c r="I21" s="110">
        <v>0.03</v>
      </c>
      <c r="J21" s="110">
        <v>2.7E-2</v>
      </c>
      <c r="K21" s="119">
        <v>2.9000000000000001E-2</v>
      </c>
      <c r="L21" s="111">
        <f t="shared" si="0"/>
        <v>0.03</v>
      </c>
      <c r="M21" s="112">
        <f t="shared" si="0"/>
        <v>2.7E-2</v>
      </c>
      <c r="N21" s="112">
        <f t="shared" si="0"/>
        <v>2.9000000000000001E-2</v>
      </c>
      <c r="O21" s="112">
        <f t="shared" si="1"/>
        <v>2.8666666666666663E-2</v>
      </c>
      <c r="P21" s="113">
        <f t="shared" si="2"/>
        <v>0.15</v>
      </c>
      <c r="Q21" s="114" t="str">
        <f t="shared" si="3"/>
        <v>N/A</v>
      </c>
      <c r="R21" s="115" t="str">
        <f t="shared" si="4"/>
        <v xml:space="preserve"> </v>
      </c>
      <c r="S21" s="115" t="str">
        <f t="shared" si="5"/>
        <v/>
      </c>
      <c r="T21" s="116" t="str">
        <f t="shared" si="6"/>
        <v/>
      </c>
      <c r="U21" s="117"/>
      <c r="V21" s="118"/>
      <c r="W21" s="131"/>
    </row>
    <row r="22" spans="1:23" ht="13.2">
      <c r="A22" s="102">
        <v>13</v>
      </c>
      <c r="B22" s="102"/>
      <c r="C22" s="104">
        <v>1</v>
      </c>
      <c r="D22" s="105" t="s">
        <v>67</v>
      </c>
      <c r="E22" s="106">
        <v>22.97</v>
      </c>
      <c r="F22" s="107">
        <v>0.1</v>
      </c>
      <c r="G22" s="108">
        <v>0.1</v>
      </c>
      <c r="H22" s="109" t="s">
        <v>55</v>
      </c>
      <c r="I22" s="110">
        <v>22.873999999999999</v>
      </c>
      <c r="J22" s="110">
        <v>22.875</v>
      </c>
      <c r="K22" s="119">
        <v>22.873999999999999</v>
      </c>
      <c r="L22" s="111">
        <f t="shared" si="0"/>
        <v>-9.6000000000000085E-2</v>
      </c>
      <c r="M22" s="112">
        <f t="shared" si="0"/>
        <v>-9.4999999999998863E-2</v>
      </c>
      <c r="N22" s="112">
        <f t="shared" si="0"/>
        <v>-9.6000000000000085E-2</v>
      </c>
      <c r="O22" s="112">
        <f t="shared" si="1"/>
        <v>22.874333333333329</v>
      </c>
      <c r="P22" s="113">
        <f t="shared" si="2"/>
        <v>0</v>
      </c>
      <c r="Q22" s="114">
        <f t="shared" si="3"/>
        <v>0.96000000000000085</v>
      </c>
      <c r="R22" s="115" t="str">
        <f t="shared" si="4"/>
        <v xml:space="preserve"> </v>
      </c>
      <c r="S22" s="115" t="str">
        <f t="shared" si="5"/>
        <v>Alert</v>
      </c>
      <c r="T22" s="116" t="str">
        <f t="shared" si="6"/>
        <v>Alert</v>
      </c>
      <c r="U22" s="117"/>
      <c r="V22" s="118"/>
      <c r="W22" s="131"/>
    </row>
    <row r="23" spans="1:23" ht="13.2">
      <c r="A23" s="102">
        <v>14</v>
      </c>
      <c r="B23" s="102"/>
      <c r="C23" s="104">
        <v>1</v>
      </c>
      <c r="D23" s="105" t="s">
        <v>67</v>
      </c>
      <c r="E23" s="106">
        <v>2.8</v>
      </c>
      <c r="F23" s="107">
        <v>0.4</v>
      </c>
      <c r="G23" s="108">
        <v>0.4</v>
      </c>
      <c r="H23" s="109" t="s">
        <v>55</v>
      </c>
      <c r="I23" s="110">
        <v>2.6970000000000001</v>
      </c>
      <c r="J23" s="110">
        <v>2.7309999999999999</v>
      </c>
      <c r="K23" s="119">
        <v>2.7069999999999999</v>
      </c>
      <c r="L23" s="111">
        <f t="shared" si="0"/>
        <v>-0.10299999999999976</v>
      </c>
      <c r="M23" s="112">
        <f t="shared" si="0"/>
        <v>-6.899999999999995E-2</v>
      </c>
      <c r="N23" s="112">
        <f t="shared" si="0"/>
        <v>-9.2999999999999972E-2</v>
      </c>
      <c r="O23" s="112">
        <f t="shared" si="1"/>
        <v>2.7116666666666664</v>
      </c>
      <c r="P23" s="113">
        <f t="shared" si="2"/>
        <v>0</v>
      </c>
      <c r="Q23" s="114">
        <f t="shared" si="3"/>
        <v>0.2574999999999994</v>
      </c>
      <c r="R23" s="115" t="str">
        <f t="shared" si="4"/>
        <v xml:space="preserve"> </v>
      </c>
      <c r="S23" s="115" t="str">
        <f t="shared" si="5"/>
        <v xml:space="preserve"> </v>
      </c>
      <c r="T23" s="116" t="str">
        <f t="shared" si="6"/>
        <v/>
      </c>
      <c r="U23" s="117"/>
      <c r="V23" s="118"/>
      <c r="W23" s="131"/>
    </row>
    <row r="24" spans="1:23" ht="13.2">
      <c r="A24" s="102">
        <v>15</v>
      </c>
      <c r="B24" s="102"/>
      <c r="C24" s="104">
        <v>1</v>
      </c>
      <c r="D24" s="105" t="s">
        <v>67</v>
      </c>
      <c r="E24" s="106">
        <v>3.25</v>
      </c>
      <c r="F24" s="107">
        <v>0.1</v>
      </c>
      <c r="G24" s="108">
        <v>0.1</v>
      </c>
      <c r="H24" s="109" t="s">
        <v>55</v>
      </c>
      <c r="I24" s="110">
        <v>3.2679999999999998</v>
      </c>
      <c r="J24" s="110">
        <v>3.2789999999999999</v>
      </c>
      <c r="K24" s="119">
        <v>3.2759999999999998</v>
      </c>
      <c r="L24" s="111">
        <f t="shared" si="0"/>
        <v>1.7999999999999794E-2</v>
      </c>
      <c r="M24" s="112">
        <f t="shared" si="0"/>
        <v>2.8999999999999915E-2</v>
      </c>
      <c r="N24" s="112">
        <f t="shared" si="0"/>
        <v>2.5999999999999801E-2</v>
      </c>
      <c r="O24" s="112">
        <f t="shared" si="1"/>
        <v>3.2743333333333333</v>
      </c>
      <c r="P24" s="113">
        <f t="shared" si="2"/>
        <v>0.28999999999999915</v>
      </c>
      <c r="Q24" s="114">
        <f t="shared" si="3"/>
        <v>0</v>
      </c>
      <c r="R24" s="115" t="str">
        <f t="shared" si="4"/>
        <v xml:space="preserve"> </v>
      </c>
      <c r="S24" s="115" t="str">
        <f t="shared" si="5"/>
        <v xml:space="preserve"> </v>
      </c>
      <c r="T24" s="116" t="str">
        <f t="shared" si="6"/>
        <v/>
      </c>
      <c r="U24" s="117"/>
      <c r="V24" s="118"/>
      <c r="W24" s="131"/>
    </row>
    <row r="25" spans="1:23" ht="13.2">
      <c r="A25" s="102" t="s">
        <v>69</v>
      </c>
      <c r="B25" s="102"/>
      <c r="C25" s="104">
        <v>3</v>
      </c>
      <c r="D25" s="105" t="s">
        <v>68</v>
      </c>
      <c r="E25" s="106">
        <v>2.1</v>
      </c>
      <c r="F25" s="107">
        <v>0.1</v>
      </c>
      <c r="G25" s="108">
        <v>0.1</v>
      </c>
      <c r="H25" s="109" t="s">
        <v>55</v>
      </c>
      <c r="I25" s="110">
        <v>2.0510000000000002</v>
      </c>
      <c r="J25" s="110">
        <v>2.077</v>
      </c>
      <c r="K25" s="119">
        <v>2.0859999999999999</v>
      </c>
      <c r="L25" s="111">
        <f t="shared" si="0"/>
        <v>-4.8999999999999932E-2</v>
      </c>
      <c r="M25" s="112">
        <f t="shared" si="0"/>
        <v>-2.3000000000000131E-2</v>
      </c>
      <c r="N25" s="112">
        <f t="shared" si="0"/>
        <v>-1.4000000000000234E-2</v>
      </c>
      <c r="O25" s="112">
        <f t="shared" si="1"/>
        <v>2.0713333333333335</v>
      </c>
      <c r="P25" s="113">
        <f t="shared" si="2"/>
        <v>0</v>
      </c>
      <c r="Q25" s="114">
        <f t="shared" si="3"/>
        <v>0.48999999999999932</v>
      </c>
      <c r="R25" s="115" t="str">
        <f t="shared" si="4"/>
        <v xml:space="preserve"> </v>
      </c>
      <c r="S25" s="115" t="str">
        <f t="shared" si="5"/>
        <v xml:space="preserve"> </v>
      </c>
      <c r="T25" s="116" t="str">
        <f t="shared" si="6"/>
        <v/>
      </c>
      <c r="U25" s="120"/>
      <c r="V25" s="118"/>
      <c r="W25" s="131"/>
    </row>
    <row r="26" spans="1:23" ht="13.2">
      <c r="A26" s="102" t="s">
        <v>70</v>
      </c>
      <c r="B26" s="102"/>
      <c r="C26" s="104">
        <v>3</v>
      </c>
      <c r="D26" s="105" t="s">
        <v>68</v>
      </c>
      <c r="E26" s="106">
        <v>2.1</v>
      </c>
      <c r="F26" s="107">
        <v>0.1</v>
      </c>
      <c r="G26" s="108">
        <v>0.1</v>
      </c>
      <c r="H26" s="109" t="s">
        <v>55</v>
      </c>
      <c r="I26" s="110">
        <v>2.04</v>
      </c>
      <c r="J26" s="110">
        <v>2.0680000000000001</v>
      </c>
      <c r="K26" s="119">
        <v>2.06</v>
      </c>
      <c r="L26" s="111">
        <f t="shared" si="0"/>
        <v>-6.0000000000000053E-2</v>
      </c>
      <c r="M26" s="112">
        <f t="shared" si="0"/>
        <v>-3.2000000000000028E-2</v>
      </c>
      <c r="N26" s="112">
        <f t="shared" si="0"/>
        <v>-4.0000000000000036E-2</v>
      </c>
      <c r="O26" s="112">
        <f t="shared" si="1"/>
        <v>2.0560000000000005</v>
      </c>
      <c r="P26" s="113">
        <f t="shared" si="2"/>
        <v>0</v>
      </c>
      <c r="Q26" s="114">
        <f t="shared" si="3"/>
        <v>0.60000000000000053</v>
      </c>
      <c r="R26" s="115" t="str">
        <f t="shared" si="4"/>
        <v xml:space="preserve"> </v>
      </c>
      <c r="S26" s="115" t="str">
        <f t="shared" si="5"/>
        <v xml:space="preserve"> </v>
      </c>
      <c r="T26" s="116" t="str">
        <f t="shared" si="6"/>
        <v/>
      </c>
      <c r="U26" s="120"/>
      <c r="V26" s="118"/>
      <c r="W26" s="131"/>
    </row>
    <row r="27" spans="1:23" ht="13.2">
      <c r="A27" s="102" t="s">
        <v>71</v>
      </c>
      <c r="B27" s="102"/>
      <c r="C27" s="104">
        <v>3</v>
      </c>
      <c r="D27" s="105" t="s">
        <v>68</v>
      </c>
      <c r="E27" s="106">
        <v>2.1</v>
      </c>
      <c r="F27" s="107">
        <v>0.1</v>
      </c>
      <c r="G27" s="108">
        <v>0.1</v>
      </c>
      <c r="H27" s="109" t="s">
        <v>55</v>
      </c>
      <c r="I27" s="110">
        <v>2.0390000000000001</v>
      </c>
      <c r="J27" s="110">
        <v>2.0550000000000002</v>
      </c>
      <c r="K27" s="119">
        <v>2.056</v>
      </c>
      <c r="L27" s="111">
        <f t="shared" si="0"/>
        <v>-6.0999999999999943E-2</v>
      </c>
      <c r="M27" s="112">
        <f t="shared" si="0"/>
        <v>-4.4999999999999929E-2</v>
      </c>
      <c r="N27" s="112">
        <f t="shared" si="0"/>
        <v>-4.4000000000000039E-2</v>
      </c>
      <c r="O27" s="112">
        <f t="shared" si="1"/>
        <v>2.0500000000000003</v>
      </c>
      <c r="P27" s="113">
        <f t="shared" si="2"/>
        <v>0</v>
      </c>
      <c r="Q27" s="114">
        <f t="shared" si="3"/>
        <v>0.60999999999999943</v>
      </c>
      <c r="R27" s="115" t="str">
        <f t="shared" si="4"/>
        <v xml:space="preserve"> </v>
      </c>
      <c r="S27" s="115" t="str">
        <f t="shared" si="5"/>
        <v xml:space="preserve"> </v>
      </c>
      <c r="T27" s="116" t="str">
        <f t="shared" si="6"/>
        <v/>
      </c>
      <c r="U27" s="120"/>
      <c r="V27" s="118"/>
      <c r="W27" s="131"/>
    </row>
    <row r="28" spans="1:23" ht="13.2">
      <c r="A28" s="102" t="s">
        <v>72</v>
      </c>
      <c r="B28" s="102"/>
      <c r="C28" s="104">
        <v>3</v>
      </c>
      <c r="D28" s="105" t="s">
        <v>68</v>
      </c>
      <c r="E28" s="106">
        <v>2.1</v>
      </c>
      <c r="F28" s="107">
        <v>0.1</v>
      </c>
      <c r="G28" s="108">
        <v>0.1</v>
      </c>
      <c r="H28" s="109" t="s">
        <v>55</v>
      </c>
      <c r="I28" s="110">
        <v>2.0499999999999998</v>
      </c>
      <c r="J28" s="110">
        <v>2.0569999999999999</v>
      </c>
      <c r="K28" s="119">
        <v>2.0489999999999999</v>
      </c>
      <c r="L28" s="111">
        <f t="shared" si="0"/>
        <v>-5.0000000000000266E-2</v>
      </c>
      <c r="M28" s="112">
        <f t="shared" si="0"/>
        <v>-4.3000000000000149E-2</v>
      </c>
      <c r="N28" s="112">
        <f t="shared" si="0"/>
        <v>-5.1000000000000156E-2</v>
      </c>
      <c r="O28" s="112">
        <f t="shared" si="1"/>
        <v>2.0519999999999996</v>
      </c>
      <c r="P28" s="113">
        <f t="shared" si="2"/>
        <v>0</v>
      </c>
      <c r="Q28" s="114">
        <f t="shared" si="3"/>
        <v>0.51000000000000156</v>
      </c>
      <c r="R28" s="115" t="str">
        <f t="shared" si="4"/>
        <v xml:space="preserve"> </v>
      </c>
      <c r="S28" s="115" t="str">
        <f t="shared" si="5"/>
        <v xml:space="preserve"> </v>
      </c>
      <c r="T28" s="116" t="str">
        <f t="shared" si="6"/>
        <v/>
      </c>
      <c r="U28" s="120"/>
      <c r="V28" s="118"/>
      <c r="W28" s="131"/>
    </row>
    <row r="29" spans="1:23" ht="13.2">
      <c r="A29" s="102" t="s">
        <v>73</v>
      </c>
      <c r="B29" s="102"/>
      <c r="C29" s="104">
        <v>3</v>
      </c>
      <c r="D29" s="105" t="s">
        <v>68</v>
      </c>
      <c r="E29" s="106">
        <v>2.1</v>
      </c>
      <c r="F29" s="107">
        <v>0.1</v>
      </c>
      <c r="G29" s="108">
        <v>0.1</v>
      </c>
      <c r="H29" s="109" t="s">
        <v>55</v>
      </c>
      <c r="I29" s="110">
        <v>2.0409999999999999</v>
      </c>
      <c r="J29" s="110">
        <v>2.0619999999999998</v>
      </c>
      <c r="K29" s="119">
        <v>2.06</v>
      </c>
      <c r="L29" s="111">
        <f t="shared" si="0"/>
        <v>-5.9000000000000163E-2</v>
      </c>
      <c r="M29" s="112">
        <f t="shared" si="0"/>
        <v>-3.8000000000000256E-2</v>
      </c>
      <c r="N29" s="112">
        <f t="shared" si="0"/>
        <v>-4.0000000000000036E-2</v>
      </c>
      <c r="O29" s="112">
        <f t="shared" si="1"/>
        <v>2.0543333333333336</v>
      </c>
      <c r="P29" s="113">
        <f t="shared" si="2"/>
        <v>0</v>
      </c>
      <c r="Q29" s="114">
        <f t="shared" si="3"/>
        <v>0.59000000000000163</v>
      </c>
      <c r="R29" s="115" t="str">
        <f t="shared" si="4"/>
        <v xml:space="preserve"> </v>
      </c>
      <c r="S29" s="115" t="str">
        <f t="shared" si="5"/>
        <v xml:space="preserve"> </v>
      </c>
      <c r="T29" s="116" t="str">
        <f t="shared" si="6"/>
        <v/>
      </c>
      <c r="U29" s="120"/>
      <c r="V29" s="118"/>
      <c r="W29" s="131"/>
    </row>
    <row r="30" spans="1:23" ht="13.2">
      <c r="A30" s="102" t="s">
        <v>74</v>
      </c>
      <c r="B30" s="102"/>
      <c r="C30" s="104">
        <v>3</v>
      </c>
      <c r="D30" s="105" t="s">
        <v>68</v>
      </c>
      <c r="E30" s="106">
        <v>2.1</v>
      </c>
      <c r="F30" s="107">
        <v>0.1</v>
      </c>
      <c r="G30" s="108">
        <v>0.1</v>
      </c>
      <c r="H30" s="109" t="s">
        <v>55</v>
      </c>
      <c r="I30" s="110">
        <v>2.0510000000000002</v>
      </c>
      <c r="J30" s="110">
        <v>2.0649999999999999</v>
      </c>
      <c r="K30" s="119">
        <v>2.0640000000000001</v>
      </c>
      <c r="L30" s="111">
        <f t="shared" si="0"/>
        <v>-4.8999999999999932E-2</v>
      </c>
      <c r="M30" s="112">
        <f t="shared" si="0"/>
        <v>-3.5000000000000142E-2</v>
      </c>
      <c r="N30" s="112">
        <f t="shared" si="0"/>
        <v>-3.6000000000000032E-2</v>
      </c>
      <c r="O30" s="112">
        <f t="shared" si="1"/>
        <v>2.06</v>
      </c>
      <c r="P30" s="113">
        <f t="shared" si="2"/>
        <v>0</v>
      </c>
      <c r="Q30" s="114">
        <f t="shared" si="3"/>
        <v>0.48999999999999932</v>
      </c>
      <c r="R30" s="115" t="str">
        <f t="shared" si="4"/>
        <v xml:space="preserve"> </v>
      </c>
      <c r="S30" s="115" t="str">
        <f t="shared" si="5"/>
        <v xml:space="preserve"> </v>
      </c>
      <c r="T30" s="116" t="str">
        <f t="shared" si="6"/>
        <v/>
      </c>
      <c r="U30" s="120"/>
      <c r="V30" s="118"/>
      <c r="W30" s="131"/>
    </row>
    <row r="31" spans="1:23" ht="13.2">
      <c r="A31" s="102" t="s">
        <v>75</v>
      </c>
      <c r="B31" s="102"/>
      <c r="C31" s="104">
        <v>3</v>
      </c>
      <c r="D31" s="105" t="s">
        <v>68</v>
      </c>
      <c r="E31" s="106">
        <v>2.1</v>
      </c>
      <c r="F31" s="107">
        <v>0.1</v>
      </c>
      <c r="G31" s="108">
        <v>0.1</v>
      </c>
      <c r="H31" s="109" t="s">
        <v>55</v>
      </c>
      <c r="I31" s="110">
        <v>2.0499999999999998</v>
      </c>
      <c r="J31" s="110">
        <v>2.0579999999999998</v>
      </c>
      <c r="K31" s="119">
        <v>2.0510000000000002</v>
      </c>
      <c r="L31" s="111">
        <f t="shared" si="0"/>
        <v>-5.0000000000000266E-2</v>
      </c>
      <c r="M31" s="112">
        <f t="shared" si="0"/>
        <v>-4.2000000000000259E-2</v>
      </c>
      <c r="N31" s="112">
        <f t="shared" si="0"/>
        <v>-4.8999999999999932E-2</v>
      </c>
      <c r="O31" s="112">
        <f t="shared" si="1"/>
        <v>2.0529999999999999</v>
      </c>
      <c r="P31" s="113">
        <f t="shared" si="2"/>
        <v>0</v>
      </c>
      <c r="Q31" s="114">
        <f t="shared" si="3"/>
        <v>0.50000000000000266</v>
      </c>
      <c r="R31" s="115" t="str">
        <f t="shared" si="4"/>
        <v xml:space="preserve"> </v>
      </c>
      <c r="S31" s="115" t="str">
        <f t="shared" si="5"/>
        <v xml:space="preserve"> </v>
      </c>
      <c r="T31" s="116" t="str">
        <f t="shared" si="6"/>
        <v/>
      </c>
      <c r="U31" s="120"/>
      <c r="V31" s="118"/>
      <c r="W31" s="131"/>
    </row>
    <row r="32" spans="1:23" ht="13.2">
      <c r="A32" s="102" t="s">
        <v>76</v>
      </c>
      <c r="B32" s="102"/>
      <c r="C32" s="104">
        <v>3</v>
      </c>
      <c r="D32" s="105" t="s">
        <v>68</v>
      </c>
      <c r="E32" s="106">
        <v>2.1</v>
      </c>
      <c r="F32" s="107">
        <v>0.1</v>
      </c>
      <c r="G32" s="108">
        <v>0.1</v>
      </c>
      <c r="H32" s="109" t="s">
        <v>55</v>
      </c>
      <c r="I32" s="110">
        <v>2.04</v>
      </c>
      <c r="J32" s="110">
        <v>2.06</v>
      </c>
      <c r="K32" s="119">
        <v>2.06</v>
      </c>
      <c r="L32" s="111">
        <f t="shared" si="0"/>
        <v>-6.0000000000000053E-2</v>
      </c>
      <c r="M32" s="112">
        <f t="shared" si="0"/>
        <v>-4.0000000000000036E-2</v>
      </c>
      <c r="N32" s="112">
        <f t="shared" si="0"/>
        <v>-4.0000000000000036E-2</v>
      </c>
      <c r="O32" s="112">
        <f t="shared" si="1"/>
        <v>2.0533333333333332</v>
      </c>
      <c r="P32" s="113">
        <f t="shared" si="2"/>
        <v>0</v>
      </c>
      <c r="Q32" s="114">
        <f t="shared" si="3"/>
        <v>0.60000000000000053</v>
      </c>
      <c r="R32" s="115" t="str">
        <f t="shared" si="4"/>
        <v xml:space="preserve"> </v>
      </c>
      <c r="S32" s="115" t="str">
        <f t="shared" si="5"/>
        <v xml:space="preserve"> </v>
      </c>
      <c r="T32" s="116" t="str">
        <f t="shared" si="6"/>
        <v/>
      </c>
      <c r="U32" s="120"/>
      <c r="V32" s="118"/>
      <c r="W32" s="131"/>
    </row>
    <row r="33" spans="1:23" ht="13.2">
      <c r="A33" s="102" t="s">
        <v>77</v>
      </c>
      <c r="B33" s="102"/>
      <c r="C33" s="104">
        <v>3</v>
      </c>
      <c r="D33" s="105" t="s">
        <v>68</v>
      </c>
      <c r="E33" s="106">
        <v>2.1</v>
      </c>
      <c r="F33" s="107">
        <v>0.1</v>
      </c>
      <c r="G33" s="108">
        <v>0.1</v>
      </c>
      <c r="H33" s="109" t="s">
        <v>55</v>
      </c>
      <c r="I33" s="110">
        <v>2.0499999999999998</v>
      </c>
      <c r="J33" s="110">
        <v>2.0569999999999999</v>
      </c>
      <c r="K33" s="119">
        <v>2.0579999999999998</v>
      </c>
      <c r="L33" s="111">
        <f t="shared" si="0"/>
        <v>-5.0000000000000266E-2</v>
      </c>
      <c r="M33" s="112">
        <f t="shared" si="0"/>
        <v>-4.3000000000000149E-2</v>
      </c>
      <c r="N33" s="112">
        <f t="shared" si="0"/>
        <v>-4.2000000000000259E-2</v>
      </c>
      <c r="O33" s="112">
        <f t="shared" si="1"/>
        <v>2.0549999999999997</v>
      </c>
      <c r="P33" s="113">
        <f t="shared" si="2"/>
        <v>0</v>
      </c>
      <c r="Q33" s="114">
        <f t="shared" si="3"/>
        <v>0.50000000000000266</v>
      </c>
      <c r="R33" s="115" t="str">
        <f t="shared" si="4"/>
        <v xml:space="preserve"> </v>
      </c>
      <c r="S33" s="115" t="str">
        <f t="shared" si="5"/>
        <v xml:space="preserve"> </v>
      </c>
      <c r="T33" s="116" t="str">
        <f t="shared" si="6"/>
        <v/>
      </c>
      <c r="U33" s="120"/>
      <c r="V33" s="118"/>
      <c r="W33" s="131"/>
    </row>
    <row r="34" spans="1:23" ht="13.2">
      <c r="A34" s="102" t="s">
        <v>78</v>
      </c>
      <c r="B34" s="102"/>
      <c r="C34" s="104">
        <v>3</v>
      </c>
      <c r="D34" s="105" t="s">
        <v>68</v>
      </c>
      <c r="E34" s="106">
        <v>2.1</v>
      </c>
      <c r="F34" s="107">
        <v>0.1</v>
      </c>
      <c r="G34" s="108">
        <v>0.1</v>
      </c>
      <c r="H34" s="109" t="s">
        <v>55</v>
      </c>
      <c r="I34" s="110">
        <v>2.0470000000000002</v>
      </c>
      <c r="J34" s="110">
        <v>2.0659999999999998</v>
      </c>
      <c r="K34" s="119">
        <v>2.0670000000000002</v>
      </c>
      <c r="L34" s="111">
        <f t="shared" si="0"/>
        <v>-5.2999999999999936E-2</v>
      </c>
      <c r="M34" s="112">
        <f t="shared" si="0"/>
        <v>-3.4000000000000252E-2</v>
      </c>
      <c r="N34" s="112">
        <f t="shared" si="0"/>
        <v>-3.2999999999999918E-2</v>
      </c>
      <c r="O34" s="112">
        <f t="shared" si="1"/>
        <v>2.06</v>
      </c>
      <c r="P34" s="113">
        <f t="shared" si="2"/>
        <v>0</v>
      </c>
      <c r="Q34" s="114">
        <f t="shared" si="3"/>
        <v>0.52999999999999936</v>
      </c>
      <c r="R34" s="115" t="str">
        <f t="shared" si="4"/>
        <v xml:space="preserve"> </v>
      </c>
      <c r="S34" s="115" t="str">
        <f t="shared" si="5"/>
        <v xml:space="preserve"> </v>
      </c>
      <c r="T34" s="116" t="str">
        <f t="shared" si="6"/>
        <v/>
      </c>
      <c r="U34" s="120"/>
      <c r="V34" s="118"/>
      <c r="W34" s="131"/>
    </row>
    <row r="35" spans="1:23" ht="13.2">
      <c r="A35" s="102" t="s">
        <v>79</v>
      </c>
      <c r="B35" s="102"/>
      <c r="C35" s="104">
        <v>3</v>
      </c>
      <c r="D35" s="105" t="s">
        <v>68</v>
      </c>
      <c r="E35" s="106">
        <v>2.1</v>
      </c>
      <c r="F35" s="107">
        <v>0.1</v>
      </c>
      <c r="G35" s="108">
        <v>0.1</v>
      </c>
      <c r="H35" s="109" t="s">
        <v>55</v>
      </c>
      <c r="I35" s="110">
        <v>2.0449999999999999</v>
      </c>
      <c r="J35" s="110">
        <v>2.0619999999999998</v>
      </c>
      <c r="K35" s="119">
        <v>2.0539999999999998</v>
      </c>
      <c r="L35" s="111">
        <f t="shared" si="0"/>
        <v>-5.500000000000016E-2</v>
      </c>
      <c r="M35" s="112">
        <f t="shared" si="0"/>
        <v>-3.8000000000000256E-2</v>
      </c>
      <c r="N35" s="112">
        <f t="shared" si="0"/>
        <v>-4.6000000000000263E-2</v>
      </c>
      <c r="O35" s="112">
        <f t="shared" si="1"/>
        <v>2.0536666666666665</v>
      </c>
      <c r="P35" s="113">
        <f t="shared" si="2"/>
        <v>0</v>
      </c>
      <c r="Q35" s="114">
        <f t="shared" si="3"/>
        <v>0.5500000000000016</v>
      </c>
      <c r="R35" s="115" t="str">
        <f t="shared" si="4"/>
        <v xml:space="preserve"> </v>
      </c>
      <c r="S35" s="115" t="str">
        <f t="shared" si="5"/>
        <v xml:space="preserve"> </v>
      </c>
      <c r="T35" s="116" t="str">
        <f t="shared" si="6"/>
        <v/>
      </c>
      <c r="U35" s="120"/>
      <c r="V35" s="118"/>
      <c r="W35" s="131"/>
    </row>
    <row r="36" spans="1:23" ht="13.2">
      <c r="A36" s="102" t="s">
        <v>80</v>
      </c>
      <c r="B36" s="102"/>
      <c r="C36" s="103">
        <v>3</v>
      </c>
      <c r="D36" s="105" t="s">
        <v>68</v>
      </c>
      <c r="E36" s="106">
        <v>1.17</v>
      </c>
      <c r="F36" s="107">
        <v>0.1</v>
      </c>
      <c r="G36" s="108">
        <v>0.1</v>
      </c>
      <c r="H36" s="109" t="s">
        <v>55</v>
      </c>
      <c r="I36" s="110">
        <v>1.131</v>
      </c>
      <c r="J36" s="110">
        <v>1.153</v>
      </c>
      <c r="K36" s="119">
        <v>1.1379999999999999</v>
      </c>
      <c r="L36" s="111">
        <f t="shared" si="0"/>
        <v>-3.8999999999999924E-2</v>
      </c>
      <c r="M36" s="112">
        <f t="shared" si="0"/>
        <v>-1.6999999999999904E-2</v>
      </c>
      <c r="N36" s="112">
        <f t="shared" si="0"/>
        <v>-3.2000000000000028E-2</v>
      </c>
      <c r="O36" s="112">
        <f t="shared" si="1"/>
        <v>1.1406666666666665</v>
      </c>
      <c r="P36" s="113">
        <f t="shared" si="2"/>
        <v>0</v>
      </c>
      <c r="Q36" s="114">
        <f t="shared" si="3"/>
        <v>0.38999999999999924</v>
      </c>
      <c r="R36" s="115" t="str">
        <f t="shared" si="4"/>
        <v xml:space="preserve"> </v>
      </c>
      <c r="S36" s="115" t="str">
        <f t="shared" si="5"/>
        <v xml:space="preserve"> </v>
      </c>
      <c r="T36" s="116" t="str">
        <f t="shared" si="6"/>
        <v/>
      </c>
      <c r="U36" s="120"/>
      <c r="V36" s="118"/>
      <c r="W36" s="131"/>
    </row>
    <row r="37" spans="1:23" ht="13.2">
      <c r="A37" s="102" t="s">
        <v>81</v>
      </c>
      <c r="B37" s="102"/>
      <c r="C37" s="103">
        <v>3</v>
      </c>
      <c r="D37" s="105" t="s">
        <v>68</v>
      </c>
      <c r="E37" s="106">
        <v>1.17</v>
      </c>
      <c r="F37" s="107">
        <v>0.1</v>
      </c>
      <c r="G37" s="108">
        <v>0.1</v>
      </c>
      <c r="H37" s="109" t="s">
        <v>55</v>
      </c>
      <c r="I37" s="110">
        <v>1.119</v>
      </c>
      <c r="J37" s="110">
        <v>1.143</v>
      </c>
      <c r="K37" s="119">
        <v>1.1459999999999999</v>
      </c>
      <c r="L37" s="111">
        <f t="shared" si="0"/>
        <v>-5.0999999999999934E-2</v>
      </c>
      <c r="M37" s="112">
        <f t="shared" si="0"/>
        <v>-2.6999999999999913E-2</v>
      </c>
      <c r="N37" s="112">
        <f t="shared" si="0"/>
        <v>-2.4000000000000021E-2</v>
      </c>
      <c r="O37" s="112">
        <f t="shared" si="1"/>
        <v>1.1359999999999999</v>
      </c>
      <c r="P37" s="113">
        <f t="shared" si="2"/>
        <v>0</v>
      </c>
      <c r="Q37" s="114">
        <f t="shared" si="3"/>
        <v>0.50999999999999934</v>
      </c>
      <c r="R37" s="115" t="str">
        <f t="shared" si="4"/>
        <v xml:space="preserve"> </v>
      </c>
      <c r="S37" s="115" t="str">
        <f t="shared" si="5"/>
        <v xml:space="preserve"> </v>
      </c>
      <c r="T37" s="116" t="str">
        <f t="shared" si="6"/>
        <v/>
      </c>
      <c r="U37" s="120"/>
      <c r="V37" s="118"/>
      <c r="W37" s="131"/>
    </row>
    <row r="38" spans="1:23" ht="13.2">
      <c r="A38" s="102" t="s">
        <v>82</v>
      </c>
      <c r="B38" s="102"/>
      <c r="C38" s="103">
        <v>3</v>
      </c>
      <c r="D38" s="105" t="s">
        <v>68</v>
      </c>
      <c r="E38" s="106">
        <v>1.17</v>
      </c>
      <c r="F38" s="107">
        <v>0.1</v>
      </c>
      <c r="G38" s="108">
        <v>0.1</v>
      </c>
      <c r="H38" s="109" t="s">
        <v>55</v>
      </c>
      <c r="I38" s="110">
        <v>1.127</v>
      </c>
      <c r="J38" s="110">
        <v>1.1519999999999999</v>
      </c>
      <c r="K38" s="119">
        <v>1.129</v>
      </c>
      <c r="L38" s="111">
        <f t="shared" ref="L38:N53" si="7">IF(ISBLANK($E38),"",IF(ISERR(I38/I38)=TRUE,"BAD INSP",I38-$E38))</f>
        <v>-4.2999999999999927E-2</v>
      </c>
      <c r="M38" s="112">
        <f t="shared" si="7"/>
        <v>-1.8000000000000016E-2</v>
      </c>
      <c r="N38" s="112">
        <f t="shared" si="7"/>
        <v>-4.0999999999999925E-2</v>
      </c>
      <c r="O38" s="112">
        <f t="shared" si="1"/>
        <v>1.1359999999999999</v>
      </c>
      <c r="P38" s="113">
        <f t="shared" si="2"/>
        <v>0</v>
      </c>
      <c r="Q38" s="114">
        <f t="shared" si="3"/>
        <v>0.42999999999999927</v>
      </c>
      <c r="R38" s="115" t="str">
        <f t="shared" si="4"/>
        <v xml:space="preserve"> </v>
      </c>
      <c r="S38" s="115" t="str">
        <f t="shared" si="5"/>
        <v xml:space="preserve"> </v>
      </c>
      <c r="T38" s="116" t="str">
        <f t="shared" si="6"/>
        <v/>
      </c>
      <c r="U38" s="120"/>
      <c r="V38" s="118"/>
      <c r="W38" s="131"/>
    </row>
    <row r="39" spans="1:23" ht="13.2">
      <c r="A39" s="102" t="s">
        <v>83</v>
      </c>
      <c r="B39" s="102"/>
      <c r="C39" s="103">
        <v>3</v>
      </c>
      <c r="D39" s="105" t="s">
        <v>68</v>
      </c>
      <c r="E39" s="106">
        <v>1.17</v>
      </c>
      <c r="F39" s="107">
        <v>0.1</v>
      </c>
      <c r="G39" s="108">
        <v>0.1</v>
      </c>
      <c r="H39" s="109" t="s">
        <v>55</v>
      </c>
      <c r="I39" s="110">
        <v>1.119</v>
      </c>
      <c r="J39" s="110">
        <v>1.1519999999999999</v>
      </c>
      <c r="K39" s="119">
        <v>1.141</v>
      </c>
      <c r="L39" s="111">
        <f t="shared" si="7"/>
        <v>-5.0999999999999934E-2</v>
      </c>
      <c r="M39" s="112">
        <f t="shared" si="7"/>
        <v>-1.8000000000000016E-2</v>
      </c>
      <c r="N39" s="112">
        <f t="shared" si="7"/>
        <v>-2.8999999999999915E-2</v>
      </c>
      <c r="O39" s="112">
        <f t="shared" si="1"/>
        <v>1.1373333333333333</v>
      </c>
      <c r="P39" s="113">
        <f t="shared" si="2"/>
        <v>0</v>
      </c>
      <c r="Q39" s="114">
        <f t="shared" si="3"/>
        <v>0.50999999999999934</v>
      </c>
      <c r="R39" s="115" t="str">
        <f t="shared" si="4"/>
        <v xml:space="preserve"> </v>
      </c>
      <c r="S39" s="115" t="str">
        <f t="shared" si="5"/>
        <v xml:space="preserve"> </v>
      </c>
      <c r="T39" s="116" t="str">
        <f t="shared" si="6"/>
        <v/>
      </c>
      <c r="U39" s="120"/>
      <c r="V39" s="118"/>
      <c r="W39" s="131"/>
    </row>
    <row r="40" spans="1:23" ht="13.2">
      <c r="A40" s="102" t="s">
        <v>84</v>
      </c>
      <c r="B40" s="102"/>
      <c r="C40" s="103">
        <v>3</v>
      </c>
      <c r="D40" s="105" t="s">
        <v>68</v>
      </c>
      <c r="E40" s="106">
        <v>1.17</v>
      </c>
      <c r="F40" s="107">
        <v>0.1</v>
      </c>
      <c r="G40" s="108">
        <v>0.1</v>
      </c>
      <c r="H40" s="109" t="s">
        <v>55</v>
      </c>
      <c r="I40" s="110">
        <v>1.131</v>
      </c>
      <c r="J40" s="110">
        <v>1.1459999999999999</v>
      </c>
      <c r="K40" s="119">
        <v>1.151</v>
      </c>
      <c r="L40" s="111">
        <f t="shared" si="7"/>
        <v>-3.8999999999999924E-2</v>
      </c>
      <c r="M40" s="112">
        <f t="shared" si="7"/>
        <v>-2.4000000000000021E-2</v>
      </c>
      <c r="N40" s="112">
        <f t="shared" si="7"/>
        <v>-1.8999999999999906E-2</v>
      </c>
      <c r="O40" s="112">
        <f t="shared" si="1"/>
        <v>1.1426666666666667</v>
      </c>
      <c r="P40" s="113">
        <f t="shared" si="2"/>
        <v>0</v>
      </c>
      <c r="Q40" s="114">
        <f t="shared" si="3"/>
        <v>0.38999999999999924</v>
      </c>
      <c r="R40" s="115" t="str">
        <f t="shared" si="4"/>
        <v xml:space="preserve"> </v>
      </c>
      <c r="S40" s="115" t="str">
        <f t="shared" si="5"/>
        <v xml:space="preserve"> </v>
      </c>
      <c r="T40" s="116" t="str">
        <f t="shared" si="6"/>
        <v/>
      </c>
      <c r="U40" s="120"/>
      <c r="V40" s="118"/>
      <c r="W40" s="131"/>
    </row>
    <row r="41" spans="1:23" ht="13.2">
      <c r="A41" s="102" t="s">
        <v>85</v>
      </c>
      <c r="B41" s="102"/>
      <c r="C41" s="103">
        <v>3</v>
      </c>
      <c r="D41" s="105" t="s">
        <v>68</v>
      </c>
      <c r="E41" s="106">
        <v>1.17</v>
      </c>
      <c r="F41" s="107">
        <v>0.1</v>
      </c>
      <c r="G41" s="108">
        <v>0.1</v>
      </c>
      <c r="H41" s="109" t="s">
        <v>55</v>
      </c>
      <c r="I41" s="110">
        <v>1.1259999999999999</v>
      </c>
      <c r="J41" s="110">
        <v>1.151</v>
      </c>
      <c r="K41" s="119">
        <v>1.1459999999999999</v>
      </c>
      <c r="L41" s="111">
        <f t="shared" si="7"/>
        <v>-4.4000000000000039E-2</v>
      </c>
      <c r="M41" s="112">
        <f t="shared" si="7"/>
        <v>-1.8999999999999906E-2</v>
      </c>
      <c r="N41" s="112">
        <f t="shared" si="7"/>
        <v>-2.4000000000000021E-2</v>
      </c>
      <c r="O41" s="112">
        <f t="shared" si="1"/>
        <v>1.141</v>
      </c>
      <c r="P41" s="113">
        <f t="shared" si="2"/>
        <v>0</v>
      </c>
      <c r="Q41" s="114">
        <f t="shared" si="3"/>
        <v>0.44000000000000039</v>
      </c>
      <c r="R41" s="115" t="str">
        <f t="shared" si="4"/>
        <v xml:space="preserve"> </v>
      </c>
      <c r="S41" s="115" t="str">
        <f t="shared" si="5"/>
        <v xml:space="preserve"> </v>
      </c>
      <c r="T41" s="116" t="str">
        <f t="shared" si="6"/>
        <v/>
      </c>
      <c r="U41" s="120"/>
      <c r="V41" s="118"/>
      <c r="W41" s="131"/>
    </row>
    <row r="42" spans="1:23" ht="13.2">
      <c r="A42" s="102" t="s">
        <v>86</v>
      </c>
      <c r="B42" s="102"/>
      <c r="C42" s="103">
        <v>3</v>
      </c>
      <c r="D42" s="105" t="s">
        <v>68</v>
      </c>
      <c r="E42" s="106">
        <v>1.17</v>
      </c>
      <c r="F42" s="107">
        <v>0.1</v>
      </c>
      <c r="G42" s="108">
        <v>0.1</v>
      </c>
      <c r="H42" s="109" t="s">
        <v>55</v>
      </c>
      <c r="I42" s="110">
        <v>1.125</v>
      </c>
      <c r="J42" s="110">
        <v>1.1539999999999999</v>
      </c>
      <c r="K42" s="119">
        <v>1.149</v>
      </c>
      <c r="L42" s="111">
        <f t="shared" si="7"/>
        <v>-4.4999999999999929E-2</v>
      </c>
      <c r="M42" s="112">
        <f t="shared" si="7"/>
        <v>-1.6000000000000014E-2</v>
      </c>
      <c r="N42" s="112">
        <f t="shared" si="7"/>
        <v>-2.0999999999999908E-2</v>
      </c>
      <c r="O42" s="112">
        <f t="shared" si="1"/>
        <v>1.1426666666666667</v>
      </c>
      <c r="P42" s="113">
        <f t="shared" si="2"/>
        <v>0</v>
      </c>
      <c r="Q42" s="114">
        <f t="shared" si="3"/>
        <v>0.44999999999999929</v>
      </c>
      <c r="R42" s="115" t="str">
        <f t="shared" si="4"/>
        <v xml:space="preserve"> </v>
      </c>
      <c r="S42" s="115" t="str">
        <f t="shared" si="5"/>
        <v xml:space="preserve"> </v>
      </c>
      <c r="T42" s="116" t="str">
        <f t="shared" si="6"/>
        <v/>
      </c>
      <c r="U42" s="120"/>
      <c r="V42" s="118"/>
      <c r="W42" s="131"/>
    </row>
    <row r="43" spans="1:23" ht="13.2">
      <c r="A43" s="102" t="s">
        <v>87</v>
      </c>
      <c r="B43" s="102"/>
      <c r="C43" s="103">
        <v>3</v>
      </c>
      <c r="D43" s="105" t="s">
        <v>68</v>
      </c>
      <c r="E43" s="106">
        <v>1.17</v>
      </c>
      <c r="F43" s="107">
        <v>0.1</v>
      </c>
      <c r="G43" s="108">
        <v>0.1</v>
      </c>
      <c r="H43" s="109" t="s">
        <v>55</v>
      </c>
      <c r="I43" s="110">
        <v>1.143</v>
      </c>
      <c r="J43" s="110">
        <v>1.1539999999999999</v>
      </c>
      <c r="K43" s="119">
        <v>1.159</v>
      </c>
      <c r="L43" s="111">
        <f t="shared" si="7"/>
        <v>-2.6999999999999913E-2</v>
      </c>
      <c r="M43" s="112">
        <f t="shared" si="7"/>
        <v>-1.6000000000000014E-2</v>
      </c>
      <c r="N43" s="112">
        <f t="shared" si="7"/>
        <v>-1.0999999999999899E-2</v>
      </c>
      <c r="O43" s="112">
        <f t="shared" si="1"/>
        <v>1.1519999999999999</v>
      </c>
      <c r="P43" s="113">
        <f t="shared" si="2"/>
        <v>0</v>
      </c>
      <c r="Q43" s="114">
        <f t="shared" si="3"/>
        <v>0.26999999999999913</v>
      </c>
      <c r="R43" s="115" t="str">
        <f t="shared" si="4"/>
        <v xml:space="preserve"> </v>
      </c>
      <c r="S43" s="115" t="str">
        <f t="shared" si="5"/>
        <v xml:space="preserve"> </v>
      </c>
      <c r="T43" s="116" t="str">
        <f t="shared" si="6"/>
        <v/>
      </c>
      <c r="U43" s="120"/>
      <c r="V43" s="118"/>
      <c r="W43" s="131"/>
    </row>
    <row r="44" spans="1:23" ht="13.2">
      <c r="A44" s="102" t="s">
        <v>88</v>
      </c>
      <c r="B44" s="102"/>
      <c r="C44" s="103">
        <v>3</v>
      </c>
      <c r="D44" s="105" t="s">
        <v>68</v>
      </c>
      <c r="E44" s="106">
        <v>1.17</v>
      </c>
      <c r="F44" s="107">
        <v>0.1</v>
      </c>
      <c r="G44" s="108">
        <v>0.1</v>
      </c>
      <c r="H44" s="109" t="s">
        <v>55</v>
      </c>
      <c r="I44" s="110">
        <v>1.137</v>
      </c>
      <c r="J44" s="110">
        <v>1.1399999999999999</v>
      </c>
      <c r="K44" s="119">
        <v>1.173</v>
      </c>
      <c r="L44" s="111">
        <f t="shared" si="7"/>
        <v>-3.2999999999999918E-2</v>
      </c>
      <c r="M44" s="112">
        <f t="shared" si="7"/>
        <v>-3.0000000000000027E-2</v>
      </c>
      <c r="N44" s="112">
        <f t="shared" si="7"/>
        <v>3.0000000000001137E-3</v>
      </c>
      <c r="O44" s="112">
        <f t="shared" si="1"/>
        <v>1.1500000000000001</v>
      </c>
      <c r="P44" s="113">
        <f t="shared" si="2"/>
        <v>3.0000000000001137E-2</v>
      </c>
      <c r="Q44" s="114">
        <f t="shared" si="3"/>
        <v>0.32999999999999918</v>
      </c>
      <c r="R44" s="115" t="str">
        <f t="shared" si="4"/>
        <v xml:space="preserve"> </v>
      </c>
      <c r="S44" s="115" t="str">
        <f t="shared" si="5"/>
        <v xml:space="preserve"> </v>
      </c>
      <c r="T44" s="116" t="str">
        <f t="shared" si="6"/>
        <v/>
      </c>
      <c r="U44" s="120"/>
      <c r="V44" s="118"/>
      <c r="W44" s="131"/>
    </row>
    <row r="45" spans="1:23" ht="13.2">
      <c r="A45" s="102" t="s">
        <v>89</v>
      </c>
      <c r="B45" s="102"/>
      <c r="C45" s="103">
        <v>3</v>
      </c>
      <c r="D45" s="105" t="s">
        <v>68</v>
      </c>
      <c r="E45" s="106">
        <v>1.17</v>
      </c>
      <c r="F45" s="107">
        <v>0.1</v>
      </c>
      <c r="G45" s="108">
        <v>0.1</v>
      </c>
      <c r="H45" s="109" t="s">
        <v>55</v>
      </c>
      <c r="I45" s="110">
        <v>1.131</v>
      </c>
      <c r="J45" s="110">
        <v>1.151</v>
      </c>
      <c r="K45" s="119">
        <v>1.163</v>
      </c>
      <c r="L45" s="111">
        <f t="shared" si="7"/>
        <v>-3.8999999999999924E-2</v>
      </c>
      <c r="M45" s="112">
        <f t="shared" si="7"/>
        <v>-1.8999999999999906E-2</v>
      </c>
      <c r="N45" s="112">
        <f t="shared" si="7"/>
        <v>-6.9999999999998952E-3</v>
      </c>
      <c r="O45" s="112">
        <f t="shared" si="1"/>
        <v>1.1483333333333334</v>
      </c>
      <c r="P45" s="113">
        <f t="shared" si="2"/>
        <v>0</v>
      </c>
      <c r="Q45" s="114">
        <f t="shared" si="3"/>
        <v>0.38999999999999924</v>
      </c>
      <c r="R45" s="115" t="str">
        <f t="shared" si="4"/>
        <v xml:space="preserve"> </v>
      </c>
      <c r="S45" s="115" t="str">
        <f t="shared" si="5"/>
        <v xml:space="preserve"> </v>
      </c>
      <c r="T45" s="116" t="str">
        <f t="shared" si="6"/>
        <v/>
      </c>
      <c r="U45" s="120"/>
      <c r="V45" s="118"/>
      <c r="W45" s="131"/>
    </row>
    <row r="46" spans="1:23" ht="13.2">
      <c r="A46" s="102" t="s">
        <v>90</v>
      </c>
      <c r="B46" s="102"/>
      <c r="C46" s="103">
        <v>3</v>
      </c>
      <c r="D46" s="105" t="s">
        <v>68</v>
      </c>
      <c r="E46" s="106">
        <v>1.17</v>
      </c>
      <c r="F46" s="107">
        <v>0.1</v>
      </c>
      <c r="G46" s="108">
        <v>0.1</v>
      </c>
      <c r="H46" s="109" t="s">
        <v>55</v>
      </c>
      <c r="I46" s="110">
        <v>1.129</v>
      </c>
      <c r="J46" s="110">
        <v>1.147</v>
      </c>
      <c r="K46" s="119">
        <v>1.151</v>
      </c>
      <c r="L46" s="111">
        <f t="shared" si="7"/>
        <v>-4.0999999999999925E-2</v>
      </c>
      <c r="M46" s="112">
        <f t="shared" si="7"/>
        <v>-2.2999999999999909E-2</v>
      </c>
      <c r="N46" s="112">
        <f t="shared" si="7"/>
        <v>-1.8999999999999906E-2</v>
      </c>
      <c r="O46" s="112">
        <f t="shared" si="1"/>
        <v>1.1423333333333332</v>
      </c>
      <c r="P46" s="113">
        <f t="shared" si="2"/>
        <v>0</v>
      </c>
      <c r="Q46" s="114">
        <f t="shared" si="3"/>
        <v>0.40999999999999925</v>
      </c>
      <c r="R46" s="115" t="str">
        <f t="shared" si="4"/>
        <v xml:space="preserve"> </v>
      </c>
      <c r="S46" s="115" t="str">
        <f t="shared" si="5"/>
        <v xml:space="preserve"> </v>
      </c>
      <c r="T46" s="116" t="str">
        <f t="shared" si="6"/>
        <v/>
      </c>
      <c r="U46" s="120"/>
      <c r="V46" s="118"/>
      <c r="W46" s="131"/>
    </row>
    <row r="47" spans="1:23" ht="13.2">
      <c r="A47" s="102" t="s">
        <v>91</v>
      </c>
      <c r="B47" s="102"/>
      <c r="C47" s="103">
        <v>3</v>
      </c>
      <c r="D47" s="105" t="s">
        <v>68</v>
      </c>
      <c r="E47" s="106">
        <v>1.17</v>
      </c>
      <c r="F47" s="107">
        <v>0.1</v>
      </c>
      <c r="G47" s="108">
        <v>0.1</v>
      </c>
      <c r="H47" s="109" t="s">
        <v>55</v>
      </c>
      <c r="I47" s="110">
        <v>1.141</v>
      </c>
      <c r="J47" s="110">
        <v>1.145</v>
      </c>
      <c r="K47" s="119">
        <v>1.1459999999999999</v>
      </c>
      <c r="L47" s="111">
        <f t="shared" si="7"/>
        <v>-2.8999999999999915E-2</v>
      </c>
      <c r="M47" s="112">
        <f t="shared" si="7"/>
        <v>-2.4999999999999911E-2</v>
      </c>
      <c r="N47" s="112">
        <f t="shared" si="7"/>
        <v>-2.4000000000000021E-2</v>
      </c>
      <c r="O47" s="112">
        <f t="shared" si="1"/>
        <v>1.1439999999999999</v>
      </c>
      <c r="P47" s="113">
        <f t="shared" si="2"/>
        <v>0</v>
      </c>
      <c r="Q47" s="114">
        <f t="shared" si="3"/>
        <v>0.28999999999999915</v>
      </c>
      <c r="R47" s="115" t="str">
        <f t="shared" si="4"/>
        <v xml:space="preserve"> </v>
      </c>
      <c r="S47" s="115" t="str">
        <f t="shared" si="5"/>
        <v xml:space="preserve"> </v>
      </c>
      <c r="T47" s="116" t="str">
        <f t="shared" si="6"/>
        <v/>
      </c>
      <c r="U47" s="120"/>
      <c r="V47" s="118"/>
      <c r="W47" s="131"/>
    </row>
    <row r="48" spans="1:23" ht="13.2">
      <c r="A48" s="102" t="s">
        <v>92</v>
      </c>
      <c r="B48" s="103"/>
      <c r="C48" s="103">
        <v>3</v>
      </c>
      <c r="D48" s="105" t="s">
        <v>68</v>
      </c>
      <c r="E48" s="106">
        <v>1.17</v>
      </c>
      <c r="F48" s="107">
        <v>0.1</v>
      </c>
      <c r="G48" s="108">
        <v>0.1</v>
      </c>
      <c r="H48" s="109" t="s">
        <v>55</v>
      </c>
      <c r="I48" s="110">
        <v>1.135</v>
      </c>
      <c r="J48" s="110">
        <v>1.141</v>
      </c>
      <c r="K48" s="119">
        <v>1.1479999999999999</v>
      </c>
      <c r="L48" s="111">
        <f t="shared" si="7"/>
        <v>-3.499999999999992E-2</v>
      </c>
      <c r="M48" s="112">
        <f t="shared" si="7"/>
        <v>-2.8999999999999915E-2</v>
      </c>
      <c r="N48" s="112">
        <f t="shared" si="7"/>
        <v>-2.200000000000002E-2</v>
      </c>
      <c r="O48" s="112">
        <f t="shared" si="1"/>
        <v>1.1413333333333331</v>
      </c>
      <c r="P48" s="113">
        <f t="shared" si="2"/>
        <v>0</v>
      </c>
      <c r="Q48" s="114">
        <f t="shared" si="3"/>
        <v>0.3499999999999992</v>
      </c>
      <c r="R48" s="115" t="str">
        <f t="shared" si="4"/>
        <v xml:space="preserve"> </v>
      </c>
      <c r="S48" s="115" t="str">
        <f t="shared" si="5"/>
        <v xml:space="preserve"> </v>
      </c>
      <c r="T48" s="116" t="str">
        <f t="shared" si="6"/>
        <v/>
      </c>
      <c r="U48" s="120"/>
      <c r="V48" s="118"/>
      <c r="W48" s="131"/>
    </row>
    <row r="49" spans="1:23" ht="13.2">
      <c r="A49" s="102" t="s">
        <v>93</v>
      </c>
      <c r="B49" s="103"/>
      <c r="C49" s="103">
        <v>3</v>
      </c>
      <c r="D49" s="105" t="s">
        <v>68</v>
      </c>
      <c r="E49" s="106">
        <v>1.17</v>
      </c>
      <c r="F49" s="107">
        <v>0.1</v>
      </c>
      <c r="G49" s="108">
        <v>0.1</v>
      </c>
      <c r="H49" s="109" t="s">
        <v>55</v>
      </c>
      <c r="I49" s="110">
        <v>1.1359999999999999</v>
      </c>
      <c r="J49" s="110">
        <v>1.1439999999999999</v>
      </c>
      <c r="K49" s="119">
        <v>1.139</v>
      </c>
      <c r="L49" s="111">
        <f t="shared" si="7"/>
        <v>-3.400000000000003E-2</v>
      </c>
      <c r="M49" s="112">
        <f t="shared" si="7"/>
        <v>-2.6000000000000023E-2</v>
      </c>
      <c r="N49" s="112">
        <f t="shared" si="7"/>
        <v>-3.0999999999999917E-2</v>
      </c>
      <c r="O49" s="112">
        <f t="shared" si="1"/>
        <v>1.1396666666666666</v>
      </c>
      <c r="P49" s="113">
        <f t="shared" si="2"/>
        <v>0</v>
      </c>
      <c r="Q49" s="114">
        <f t="shared" si="3"/>
        <v>0.3400000000000003</v>
      </c>
      <c r="R49" s="115" t="str">
        <f t="shared" si="4"/>
        <v xml:space="preserve"> </v>
      </c>
      <c r="S49" s="115" t="str">
        <f t="shared" si="5"/>
        <v xml:space="preserve"> </v>
      </c>
      <c r="T49" s="116" t="str">
        <f t="shared" si="6"/>
        <v/>
      </c>
      <c r="U49" s="120"/>
      <c r="V49" s="118"/>
      <c r="W49" s="131"/>
    </row>
    <row r="50" spans="1:23" ht="13.2">
      <c r="A50" s="102" t="s">
        <v>94</v>
      </c>
      <c r="B50" s="103"/>
      <c r="C50" s="103">
        <v>3</v>
      </c>
      <c r="D50" s="105" t="s">
        <v>68</v>
      </c>
      <c r="E50" s="106">
        <v>1.17</v>
      </c>
      <c r="F50" s="107">
        <v>0.1</v>
      </c>
      <c r="G50" s="108">
        <v>0.1</v>
      </c>
      <c r="H50" s="109" t="s">
        <v>55</v>
      </c>
      <c r="I50" s="110">
        <v>1.137</v>
      </c>
      <c r="J50" s="110">
        <v>1.145</v>
      </c>
      <c r="K50" s="119">
        <v>1.1319999999999999</v>
      </c>
      <c r="L50" s="111">
        <f t="shared" si="7"/>
        <v>-3.2999999999999918E-2</v>
      </c>
      <c r="M50" s="112">
        <f t="shared" si="7"/>
        <v>-2.4999999999999911E-2</v>
      </c>
      <c r="N50" s="112">
        <f t="shared" si="7"/>
        <v>-3.8000000000000034E-2</v>
      </c>
      <c r="O50" s="112">
        <f t="shared" si="1"/>
        <v>1.1379999999999999</v>
      </c>
      <c r="P50" s="113">
        <f t="shared" si="2"/>
        <v>0</v>
      </c>
      <c r="Q50" s="114">
        <f t="shared" si="3"/>
        <v>0.38000000000000034</v>
      </c>
      <c r="R50" s="115" t="str">
        <f t="shared" si="4"/>
        <v xml:space="preserve"> </v>
      </c>
      <c r="S50" s="115" t="str">
        <f t="shared" si="5"/>
        <v xml:space="preserve"> </v>
      </c>
      <c r="T50" s="116" t="str">
        <f t="shared" si="6"/>
        <v/>
      </c>
      <c r="U50" s="120"/>
      <c r="V50" s="118"/>
      <c r="W50" s="131"/>
    </row>
    <row r="51" spans="1:23" ht="13.2">
      <c r="A51" s="102" t="s">
        <v>95</v>
      </c>
      <c r="B51" s="103"/>
      <c r="C51" s="103">
        <v>3</v>
      </c>
      <c r="D51" s="105" t="s">
        <v>68</v>
      </c>
      <c r="E51" s="106">
        <v>1.17</v>
      </c>
      <c r="F51" s="107">
        <v>0.1</v>
      </c>
      <c r="G51" s="108">
        <v>0.1</v>
      </c>
      <c r="H51" s="109" t="s">
        <v>55</v>
      </c>
      <c r="I51" s="110">
        <v>1.1279999999999999</v>
      </c>
      <c r="J51" s="110">
        <v>1.141</v>
      </c>
      <c r="K51" s="119">
        <v>1.145</v>
      </c>
      <c r="L51" s="111">
        <f t="shared" si="7"/>
        <v>-4.2000000000000037E-2</v>
      </c>
      <c r="M51" s="112">
        <f t="shared" si="7"/>
        <v>-2.8999999999999915E-2</v>
      </c>
      <c r="N51" s="112">
        <f t="shared" si="7"/>
        <v>-2.4999999999999911E-2</v>
      </c>
      <c r="O51" s="112">
        <f t="shared" si="1"/>
        <v>1.1380000000000001</v>
      </c>
      <c r="P51" s="113">
        <f t="shared" si="2"/>
        <v>0</v>
      </c>
      <c r="Q51" s="114">
        <f t="shared" si="3"/>
        <v>0.42000000000000037</v>
      </c>
      <c r="R51" s="115" t="str">
        <f t="shared" si="4"/>
        <v xml:space="preserve"> </v>
      </c>
      <c r="S51" s="115" t="str">
        <f t="shared" si="5"/>
        <v xml:space="preserve"> </v>
      </c>
      <c r="T51" s="116" t="str">
        <f t="shared" si="6"/>
        <v/>
      </c>
      <c r="U51" s="120"/>
      <c r="V51" s="118"/>
      <c r="W51" s="131"/>
    </row>
    <row r="52" spans="1:23" ht="13.2">
      <c r="A52" s="102" t="s">
        <v>96</v>
      </c>
      <c r="B52" s="103"/>
      <c r="C52" s="103">
        <v>3</v>
      </c>
      <c r="D52" s="105" t="s">
        <v>68</v>
      </c>
      <c r="E52" s="106">
        <v>1.17</v>
      </c>
      <c r="F52" s="107">
        <v>0.1</v>
      </c>
      <c r="G52" s="108">
        <v>0.1</v>
      </c>
      <c r="H52" s="109" t="s">
        <v>55</v>
      </c>
      <c r="I52" s="110">
        <v>1.133</v>
      </c>
      <c r="J52" s="110">
        <v>1.141</v>
      </c>
      <c r="K52" s="119">
        <v>1.157</v>
      </c>
      <c r="L52" s="111">
        <f t="shared" si="7"/>
        <v>-3.6999999999999922E-2</v>
      </c>
      <c r="M52" s="112">
        <f t="shared" si="7"/>
        <v>-2.8999999999999915E-2</v>
      </c>
      <c r="N52" s="112">
        <f t="shared" si="7"/>
        <v>-1.2999999999999901E-2</v>
      </c>
      <c r="O52" s="112">
        <f>IF(ISERR(I52/I52)=TRUE," ",AVERAGE(I52:K52))</f>
        <v>1.1436666666666666</v>
      </c>
      <c r="P52" s="113">
        <f>IF(ISBLANK($E52),"",IF(ISNUMBER(F52)=FALSE,"BAD TOL", IF(F52=0,"N/A",IF(ISERR(I52/I52)=TRUE,"BAD INSP",IF(AND(ISNUMBER($I52),ISNUMBER($J52),ISNUMBER($K52))=FALSE,"BAD INSP",IF(MAX($I52:$K52)&lt;$E52,0,(MAX($I52:$K52)-$E52)/$F52))))))</f>
        <v>0</v>
      </c>
      <c r="Q52" s="114">
        <f>IF(ISBLANK($E52),"",IF(ISNUMBER(G52)=FALSE,"BAD TOL",IF(G52=0,"N/A",IF(ISERR(I52/I52)=TRUE,"BAD INSP",IF(AND(ISNUMBER($I52),ISNUMBER($J52),ISNUMBER($K52))=FALSE,"BAD INSP",IF(MIN(I52:K52)&gt;$E52,0,($E52-MIN(I52:K52))/G52))))))</f>
        <v>0.36999999999999922</v>
      </c>
      <c r="R52" s="115" t="str">
        <f>IF(ISBLANK($E52),"",IF(ISNUMBER($P52)=TRUE,IF($P52&gt;0.651,IF($P52&gt;1.001,"Reject","Alert")," "),IF(AND(F52=0, ISNUMBER(F52)),IF(MAX(I52:K52)&gt;(E52+F52),"Reject",IF(MAX(I52:K52)=(E52+F52),"Alert","")),"Reject")))</f>
        <v xml:space="preserve"> </v>
      </c>
      <c r="S52" s="115" t="str">
        <f>IF(ISBLANK($E52),"",IF(ISNUMBER($Q52)=TRUE,IF($Q52&gt;0.651,IF($Q52&gt;1.001,"Reject","Alert")," "),IF(AND(G52=0, ISNUMBER(G52)),IF(MIN(I52:K52)&lt;(E52-G52),"Reject",IF(MIN(I52:K52)=(E52-G52),"Alert","")),"Reject")))</f>
        <v xml:space="preserve"> </v>
      </c>
      <c r="T52" s="116" t="str">
        <f>IF(OR(R52="Reject",S52="Reject"),"Reject",IF(OR(R52="Alert",S52="Alert"),"Alert", ""))</f>
        <v/>
      </c>
      <c r="U52" s="120"/>
      <c r="V52" s="118"/>
      <c r="W52" s="131"/>
    </row>
    <row r="53" spans="1:23" ht="13.2">
      <c r="A53" s="102" t="s">
        <v>97</v>
      </c>
      <c r="B53" s="103"/>
      <c r="C53" s="103">
        <v>3</v>
      </c>
      <c r="D53" s="105" t="s">
        <v>68</v>
      </c>
      <c r="E53" s="106">
        <v>1.17</v>
      </c>
      <c r="F53" s="107">
        <v>0.1</v>
      </c>
      <c r="G53" s="108">
        <v>0.1</v>
      </c>
      <c r="H53" s="109" t="s">
        <v>55</v>
      </c>
      <c r="I53" s="110">
        <v>1.131</v>
      </c>
      <c r="J53" s="110">
        <v>1.151</v>
      </c>
      <c r="K53" s="119">
        <v>1.1399999999999999</v>
      </c>
      <c r="L53" s="111">
        <f t="shared" si="7"/>
        <v>-3.8999999999999924E-2</v>
      </c>
      <c r="M53" s="112">
        <f t="shared" si="7"/>
        <v>-1.8999999999999906E-2</v>
      </c>
      <c r="N53" s="112">
        <f t="shared" si="7"/>
        <v>-3.0000000000000027E-2</v>
      </c>
      <c r="O53" s="112">
        <f>IF(ISERR(I53/I53)=TRUE," ",AVERAGE(I53:K53))</f>
        <v>1.1406666666666665</v>
      </c>
      <c r="P53" s="113">
        <f>IF(ISBLANK($E53),"",IF(ISNUMBER(F53)=FALSE,"BAD TOL", IF(F53=0,"N/A",IF(ISERR(I53/I53)=TRUE,"BAD INSP",IF(AND(ISNUMBER($I53),ISNUMBER($J53),ISNUMBER($K53))=FALSE,"BAD INSP",IF(MAX($I53:$K53)&lt;$E53,0,(MAX($I53:$K53)-$E53)/$F53))))))</f>
        <v>0</v>
      </c>
      <c r="Q53" s="114">
        <f>IF(ISBLANK($E53),"",IF(ISNUMBER(G53)=FALSE,"BAD TOL",IF(G53=0,"N/A",IF(ISERR(I53/I53)=TRUE,"BAD INSP",IF(AND(ISNUMBER($I53),ISNUMBER($J53),ISNUMBER($K53))=FALSE,"BAD INSP",IF(MIN(I53:K53)&gt;$E53,0,($E53-MIN(I53:K53))/G53))))))</f>
        <v>0.38999999999999924</v>
      </c>
      <c r="R53" s="115" t="str">
        <f>IF(ISBLANK($E53),"",IF(ISNUMBER($P53)=TRUE,IF($P53&gt;0.651,IF($P53&gt;1.001,"Reject","Alert")," "),IF(AND(F53=0, ISNUMBER(F53)),IF(MAX(I53:K53)&gt;(E53+F53),"Reject",IF(MAX(I53:K53)=(E53+F53),"Alert","")),"Reject")))</f>
        <v xml:space="preserve"> </v>
      </c>
      <c r="S53" s="115" t="str">
        <f>IF(ISBLANK($E53),"",IF(ISNUMBER($Q53)=TRUE,IF($Q53&gt;0.651,IF($Q53&gt;1.001,"Reject","Alert")," "),IF(AND(G53=0, ISNUMBER(G53)),IF(MIN(I53:K53)&lt;(E53-G53),"Reject",IF(MIN(I53:K53)=(E53-G53),"Alert","")),"Reject")))</f>
        <v xml:space="preserve"> </v>
      </c>
      <c r="T53" s="116" t="str">
        <f>IF(OR(R53="Reject",S53="Reject"),"Reject",IF(OR(R53="Alert",S53="Alert"),"Alert", ""))</f>
        <v/>
      </c>
      <c r="U53" s="120"/>
      <c r="V53" s="118"/>
      <c r="W53" s="131"/>
    </row>
    <row r="54" spans="1:23" ht="13.2">
      <c r="A54" s="102" t="s">
        <v>98</v>
      </c>
      <c r="B54" s="102"/>
      <c r="C54" s="103">
        <v>3</v>
      </c>
      <c r="D54" s="105" t="s">
        <v>68</v>
      </c>
      <c r="E54" s="106">
        <v>1.17</v>
      </c>
      <c r="F54" s="107">
        <v>0.1</v>
      </c>
      <c r="G54" s="108">
        <v>0.1</v>
      </c>
      <c r="H54" s="109" t="s">
        <v>55</v>
      </c>
      <c r="I54" s="110">
        <v>1.1339999999999999</v>
      </c>
      <c r="J54" s="110">
        <v>1.145</v>
      </c>
      <c r="K54" s="119">
        <v>1.1359999999999999</v>
      </c>
      <c r="L54" s="111">
        <f t="shared" ref="L54:N69" si="8">IF(ISBLANK($E54),"",IF(ISERR(I54/I54)=TRUE,"BAD INSP",I54-$E54))</f>
        <v>-3.6000000000000032E-2</v>
      </c>
      <c r="M54" s="112">
        <f t="shared" si="8"/>
        <v>-2.4999999999999911E-2</v>
      </c>
      <c r="N54" s="112">
        <f t="shared" si="8"/>
        <v>-3.400000000000003E-2</v>
      </c>
      <c r="O54" s="112">
        <f>IF(ISERR(I54/I54)=TRUE," ",AVERAGE(I54:K54))</f>
        <v>1.1383333333333334</v>
      </c>
      <c r="P54" s="113">
        <f>IF(ISBLANK($E54),"",IF(ISNUMBER(F54)=FALSE,"BAD TOL", IF(F54=0,"N/A",IF(ISERR(I54/I54)=TRUE,"BAD INSP",IF(AND(ISNUMBER($I54),ISNUMBER($J54),ISNUMBER($K54))=FALSE,"BAD INSP",IF(MAX($I54:$K54)&lt;$E54,0,(MAX($I54:$K54)-$E54)/$F54))))))</f>
        <v>0</v>
      </c>
      <c r="Q54" s="114">
        <f>IF(ISBLANK($E54),"",IF(ISNUMBER(G54)=FALSE,"BAD TOL",IF(G54=0,"N/A",IF(ISERR(I54/I54)=TRUE,"BAD INSP",IF(AND(ISNUMBER($I54),ISNUMBER($J54),ISNUMBER($K54))=FALSE,"BAD INSP",IF(MIN(I54:K54)&gt;$E54,0,($E54-MIN(I54:K54))/G54))))))</f>
        <v>0.36000000000000032</v>
      </c>
      <c r="R54" s="115" t="str">
        <f>IF(ISBLANK($E54),"",IF(ISNUMBER($P54)=TRUE,IF($P54&gt;0.651,IF($P54&gt;1.001,"Reject","Alert")," "),IF(AND(F54=0, ISNUMBER(F54)),IF(MAX(I54:K54)&gt;(E54+F54),"Reject",IF(MAX(I54:K54)=(E54+F54),"Alert","")),"Reject")))</f>
        <v xml:space="preserve"> </v>
      </c>
      <c r="S54" s="115" t="str">
        <f>IF(ISBLANK($E54),"",IF(ISNUMBER($Q54)=TRUE,IF($Q54&gt;0.651,IF($Q54&gt;1.001,"Reject","Alert")," "),IF(AND(G54=0, ISNUMBER(G54)),IF(MIN(I54:K54)&lt;(E54-G54),"Reject",IF(MIN(I54:K54)=(E54-G54),"Alert","")),"Reject")))</f>
        <v xml:space="preserve"> </v>
      </c>
      <c r="T54" s="116" t="str">
        <f>IF(OR(R54="Reject",S54="Reject"),"Reject",IF(OR(R54="Alert",S54="Alert"),"Alert", ""))</f>
        <v/>
      </c>
      <c r="U54" s="120"/>
      <c r="V54" s="118"/>
      <c r="W54" s="131"/>
    </row>
    <row r="55" spans="1:23" ht="13.2">
      <c r="A55" s="102" t="s">
        <v>99</v>
      </c>
      <c r="B55" s="102"/>
      <c r="C55" s="103">
        <v>3</v>
      </c>
      <c r="D55" s="105" t="s">
        <v>68</v>
      </c>
      <c r="E55" s="106">
        <v>1.17</v>
      </c>
      <c r="F55" s="107">
        <v>0.1</v>
      </c>
      <c r="G55" s="108">
        <v>0.1</v>
      </c>
      <c r="H55" s="109" t="s">
        <v>55</v>
      </c>
      <c r="I55" s="110">
        <v>1.1240000000000001</v>
      </c>
      <c r="J55" s="110">
        <v>1.1379999999999999</v>
      </c>
      <c r="K55" s="119">
        <v>1.143</v>
      </c>
      <c r="L55" s="111">
        <f t="shared" si="8"/>
        <v>-4.5999999999999819E-2</v>
      </c>
      <c r="M55" s="112">
        <f t="shared" si="8"/>
        <v>-3.2000000000000028E-2</v>
      </c>
      <c r="N55" s="112">
        <f t="shared" si="8"/>
        <v>-2.6999999999999913E-2</v>
      </c>
      <c r="O55" s="112">
        <f>IF(ISERR(I55/I55)=TRUE," ",AVERAGE(I55:K55))</f>
        <v>1.135</v>
      </c>
      <c r="P55" s="113">
        <f>IF(ISBLANK($E55),"",IF(ISNUMBER(F55)=FALSE,"BAD TOL", IF(F55=0,"N/A",IF(ISERR(I55/I55)=TRUE,"BAD INSP",IF(AND(ISNUMBER($I55),ISNUMBER($J55),ISNUMBER($K55))=FALSE,"BAD INSP",IF(MAX($I55:$K55)&lt;$E55,0,(MAX($I55:$K55)-$E55)/$F55))))))</f>
        <v>0</v>
      </c>
      <c r="Q55" s="114">
        <f>IF(ISBLANK($E55),"",IF(ISNUMBER(G55)=FALSE,"BAD TOL",IF(G55=0,"N/A",IF(ISERR(I55/I55)=TRUE,"BAD INSP",IF(AND(ISNUMBER($I55),ISNUMBER($J55),ISNUMBER($K55))=FALSE,"BAD INSP",IF(MIN(I55:K55)&gt;$E55,0,($E55-MIN(I55:K55))/G55))))))</f>
        <v>0.45999999999999819</v>
      </c>
      <c r="R55" s="115" t="str">
        <f>IF(ISBLANK($E55),"",IF(ISNUMBER($P55)=TRUE,IF($P55&gt;0.651,IF($P55&gt;1.001,"Reject","Alert")," "),IF(AND(F55=0, ISNUMBER(F55)),IF(MAX(I55:K55)&gt;(E55+F55),"Reject",IF(MAX(I55:K55)=(E55+F55),"Alert","")),"Reject")))</f>
        <v xml:space="preserve"> </v>
      </c>
      <c r="S55" s="115" t="str">
        <f>IF(ISBLANK($E55),"",IF(ISNUMBER($Q55)=TRUE,IF($Q55&gt;0.651,IF($Q55&gt;1.001,"Reject","Alert")," "),IF(AND(G55=0, ISNUMBER(G55)),IF(MIN(I55:K55)&lt;(E55-G55),"Reject",IF(MIN(I55:K55)=(E55-G55),"Alert","")),"Reject")))</f>
        <v xml:space="preserve"> </v>
      </c>
      <c r="T55" s="116" t="str">
        <f>IF(OR(R55="Reject",S55="Reject"),"Reject",IF(OR(R55="Alert",S55="Alert"),"Alert", ""))</f>
        <v/>
      </c>
      <c r="U55" s="120"/>
      <c r="V55" s="118"/>
      <c r="W55" s="131"/>
    </row>
    <row r="56" spans="1:23" ht="13.2">
      <c r="A56" s="102" t="s">
        <v>100</v>
      </c>
      <c r="B56" s="102"/>
      <c r="C56" s="103">
        <v>3</v>
      </c>
      <c r="D56" s="105" t="s">
        <v>68</v>
      </c>
      <c r="E56" s="106">
        <v>1.17</v>
      </c>
      <c r="F56" s="107">
        <v>0.1</v>
      </c>
      <c r="G56" s="108">
        <v>0.1</v>
      </c>
      <c r="H56" s="109" t="s">
        <v>55</v>
      </c>
      <c r="I56" s="110">
        <v>1.135</v>
      </c>
      <c r="J56" s="110">
        <v>1.149</v>
      </c>
      <c r="K56" s="119">
        <v>1.1539999999999999</v>
      </c>
      <c r="L56" s="111">
        <f t="shared" si="8"/>
        <v>-3.499999999999992E-2</v>
      </c>
      <c r="M56" s="112">
        <f t="shared" si="8"/>
        <v>-2.0999999999999908E-2</v>
      </c>
      <c r="N56" s="112">
        <f t="shared" si="8"/>
        <v>-1.6000000000000014E-2</v>
      </c>
      <c r="O56" s="112">
        <f t="shared" ref="O56:O57" si="9">IF(ISERR(I56/I56)=TRUE," ",AVERAGE(I56:K56))</f>
        <v>1.1459999999999999</v>
      </c>
      <c r="P56" s="113">
        <f t="shared" ref="P56:P57" si="10">IF(ISBLANK($E56),"",IF(ISNUMBER(F56)=FALSE,"BAD TOL", IF(F56=0,"N/A",IF(ISERR(I56/I56)=TRUE,"BAD INSP",IF(AND(ISNUMBER($I56),ISNUMBER($J56),ISNUMBER($K56))=FALSE,"BAD INSP",IF(MAX($I56:$K56)&lt;$E56,0,(MAX($I56:$K56)-$E56)/$F56))))))</f>
        <v>0</v>
      </c>
      <c r="Q56" s="114">
        <f t="shared" ref="Q56:Q57" si="11">IF(ISBLANK($E56),"",IF(ISNUMBER(G56)=FALSE,"BAD TOL",IF(G56=0,"N/A",IF(ISERR(I56/I56)=TRUE,"BAD INSP",IF(AND(ISNUMBER($I56),ISNUMBER($J56),ISNUMBER($K56))=FALSE,"BAD INSP",IF(MIN(I56:K56)&gt;$E56,0,($E56-MIN(I56:K56))/G56))))))</f>
        <v>0.3499999999999992</v>
      </c>
      <c r="R56" s="115" t="str">
        <f t="shared" ref="R56:R57" si="12">IF(ISBLANK($E56),"",IF(ISNUMBER($P56)=TRUE,IF($P56&gt;0.651,IF($P56&gt;1.001,"Reject","Alert")," "),IF(AND(F56=0, ISNUMBER(F56)),IF(MAX(I56:K56)&gt;(E56+F56),"Reject",IF(MAX(I56:K56)=(E56+F56),"Alert","")),"Reject")))</f>
        <v xml:space="preserve"> </v>
      </c>
      <c r="S56" s="115" t="str">
        <f t="shared" ref="S56:S57" si="13">IF(ISBLANK($E56),"",IF(ISNUMBER($Q56)=TRUE,IF($Q56&gt;0.651,IF($Q56&gt;1.001,"Reject","Alert")," "),IF(AND(G56=0, ISNUMBER(G56)),IF(MIN(I56:K56)&lt;(E56-G56),"Reject",IF(MIN(I56:K56)=(E56-G56),"Alert","")),"Reject")))</f>
        <v xml:space="preserve"> </v>
      </c>
      <c r="T56" s="116" t="str">
        <f t="shared" ref="T56:T57" si="14">IF(OR(R56="Reject",S56="Reject"),"Reject",IF(OR(R56="Alert",S56="Alert"),"Alert", ""))</f>
        <v/>
      </c>
      <c r="U56" s="120"/>
      <c r="V56" s="118"/>
      <c r="W56" s="131"/>
    </row>
    <row r="57" spans="1:23" ht="13.2">
      <c r="A57" s="102" t="s">
        <v>101</v>
      </c>
      <c r="B57" s="102"/>
      <c r="C57" s="103">
        <v>3</v>
      </c>
      <c r="D57" s="105" t="s">
        <v>68</v>
      </c>
      <c r="E57" s="106">
        <v>1.17</v>
      </c>
      <c r="F57" s="107">
        <v>0.1</v>
      </c>
      <c r="G57" s="108">
        <v>0.1</v>
      </c>
      <c r="H57" s="109" t="s">
        <v>55</v>
      </c>
      <c r="I57" s="110">
        <v>1.1339999999999999</v>
      </c>
      <c r="J57" s="110">
        <v>1.145</v>
      </c>
      <c r="K57" s="119">
        <v>1.1479999999999999</v>
      </c>
      <c r="L57" s="111">
        <f t="shared" si="8"/>
        <v>-3.6000000000000032E-2</v>
      </c>
      <c r="M57" s="112">
        <f t="shared" si="8"/>
        <v>-2.4999999999999911E-2</v>
      </c>
      <c r="N57" s="112">
        <f t="shared" si="8"/>
        <v>-2.200000000000002E-2</v>
      </c>
      <c r="O57" s="112">
        <f t="shared" si="9"/>
        <v>1.1423333333333332</v>
      </c>
      <c r="P57" s="113">
        <f t="shared" si="10"/>
        <v>0</v>
      </c>
      <c r="Q57" s="114">
        <f t="shared" si="11"/>
        <v>0.36000000000000032</v>
      </c>
      <c r="R57" s="115" t="str">
        <f t="shared" si="12"/>
        <v xml:space="preserve"> </v>
      </c>
      <c r="S57" s="115" t="str">
        <f t="shared" si="13"/>
        <v xml:space="preserve"> </v>
      </c>
      <c r="T57" s="116" t="str">
        <f t="shared" si="14"/>
        <v/>
      </c>
      <c r="U57" s="120"/>
      <c r="V57" s="118"/>
      <c r="W57" s="131"/>
    </row>
    <row r="58" spans="1:23" ht="13.2">
      <c r="A58" s="102" t="s">
        <v>102</v>
      </c>
      <c r="B58" s="102"/>
      <c r="C58" s="103">
        <v>3</v>
      </c>
      <c r="D58" s="105" t="s">
        <v>68</v>
      </c>
      <c r="E58" s="106">
        <v>1.17</v>
      </c>
      <c r="F58" s="107">
        <v>0.1</v>
      </c>
      <c r="G58" s="108">
        <v>0.1</v>
      </c>
      <c r="H58" s="109" t="s">
        <v>55</v>
      </c>
      <c r="I58" s="110">
        <v>1.1299999999999999</v>
      </c>
      <c r="J58" s="110">
        <v>1.1559999999999999</v>
      </c>
      <c r="K58" s="119">
        <v>1.145</v>
      </c>
      <c r="L58" s="111">
        <f t="shared" si="8"/>
        <v>-4.0000000000000036E-2</v>
      </c>
      <c r="M58" s="112">
        <f t="shared" si="8"/>
        <v>-1.4000000000000012E-2</v>
      </c>
      <c r="N58" s="112">
        <f t="shared" si="8"/>
        <v>-2.4999999999999911E-2</v>
      </c>
      <c r="O58" s="112">
        <f>IF(ISERR(I58/I58)=TRUE," ",AVERAGE(I58:K58))</f>
        <v>1.1436666666666666</v>
      </c>
      <c r="P58" s="113">
        <f>IF(ISBLANK($E58),"",IF(ISNUMBER(F58)=FALSE,"BAD TOL", IF(F58=0,"N/A",IF(ISERR(I58/I58)=TRUE,"BAD INSP",IF(AND(ISNUMBER($I58),ISNUMBER($J58),ISNUMBER($K58))=FALSE,"BAD INSP",IF(MAX($I58:$K58)&lt;$E58,0,(MAX($I58:$K58)-$E58)/$F58))))))</f>
        <v>0</v>
      </c>
      <c r="Q58" s="114">
        <f>IF(ISBLANK($E58),"",IF(ISNUMBER(G58)=FALSE,"BAD TOL",IF(G58=0,"N/A",IF(ISERR(I58/I58)=TRUE,"BAD INSP",IF(AND(ISNUMBER($I58),ISNUMBER($J58),ISNUMBER($K58))=FALSE,"BAD INSP",IF(MIN(I58:K58)&gt;$E58,0,($E58-MIN(I58:K58))/G58))))))</f>
        <v>0.40000000000000036</v>
      </c>
      <c r="R58" s="115" t="str">
        <f>IF(ISBLANK($E58),"",IF(ISNUMBER($P58)=TRUE,IF($P58&gt;0.651,IF($P58&gt;1.001,"Reject","Alert")," "),IF(AND(F58=0, ISNUMBER(F58)),IF(MAX(I58:K58)&gt;(E58+F58),"Reject",IF(MAX(I58:K58)=(E58+F58),"Alert","")),"Reject")))</f>
        <v xml:space="preserve"> </v>
      </c>
      <c r="S58" s="115" t="str">
        <f>IF(ISBLANK($E58),"",IF(ISNUMBER($Q58)=TRUE,IF($Q58&gt;0.651,IF($Q58&gt;1.001,"Reject","Alert")," "),IF(AND(G58=0, ISNUMBER(G58)),IF(MIN(I58:K58)&lt;(E58-G58),"Reject",IF(MIN(I58:K58)=(E58-G58),"Alert","")),"Reject")))</f>
        <v xml:space="preserve"> </v>
      </c>
      <c r="T58" s="116" t="str">
        <f>IF(OR(R58="Reject",S58="Reject"),"Reject",IF(OR(R58="Alert",S58="Alert"),"Alert", ""))</f>
        <v/>
      </c>
      <c r="U58" s="120"/>
      <c r="V58" s="118"/>
      <c r="W58" s="131"/>
    </row>
    <row r="59" spans="1:23" ht="13.2">
      <c r="A59" s="102" t="s">
        <v>103</v>
      </c>
      <c r="B59" s="102"/>
      <c r="C59" s="103">
        <v>3</v>
      </c>
      <c r="D59" s="105" t="s">
        <v>68</v>
      </c>
      <c r="E59" s="106">
        <v>1.17</v>
      </c>
      <c r="F59" s="107">
        <v>0.1</v>
      </c>
      <c r="G59" s="108">
        <v>0.1</v>
      </c>
      <c r="H59" s="109" t="s">
        <v>55</v>
      </c>
      <c r="I59" s="110">
        <v>1.143</v>
      </c>
      <c r="J59" s="110">
        <v>1.143</v>
      </c>
      <c r="K59" s="119">
        <v>1.1459999999999999</v>
      </c>
      <c r="L59" s="111">
        <f t="shared" si="8"/>
        <v>-2.6999999999999913E-2</v>
      </c>
      <c r="M59" s="112">
        <f t="shared" si="8"/>
        <v>-2.6999999999999913E-2</v>
      </c>
      <c r="N59" s="112">
        <f t="shared" si="8"/>
        <v>-2.4000000000000021E-2</v>
      </c>
      <c r="O59" s="112">
        <f>IF(ISERR(I59/I59)=TRUE," ",AVERAGE(I59:K59))</f>
        <v>1.1439999999999999</v>
      </c>
      <c r="P59" s="113">
        <f>IF(ISBLANK($E59),"",IF(ISNUMBER(F59)=FALSE,"BAD TOL", IF(F59=0,"N/A",IF(ISERR(I59/I59)=TRUE,"BAD INSP",IF(AND(ISNUMBER($I59),ISNUMBER($J59),ISNUMBER($K59))=FALSE,"BAD INSP",IF(MAX($I59:$K59)&lt;$E59,0,(MAX($I59:$K59)-$E59)/$F59))))))</f>
        <v>0</v>
      </c>
      <c r="Q59" s="114">
        <f>IF(ISBLANK($E59),"",IF(ISNUMBER(G59)=FALSE,"BAD TOL",IF(G59=0,"N/A",IF(ISERR(I59/I59)=TRUE,"BAD INSP",IF(AND(ISNUMBER($I59),ISNUMBER($J59),ISNUMBER($K59))=FALSE,"BAD INSP",IF(MIN(I59:K59)&gt;$E59,0,($E59-MIN(I59:K59))/G59))))))</f>
        <v>0.26999999999999913</v>
      </c>
      <c r="R59" s="115" t="str">
        <f>IF(ISBLANK($E59),"",IF(ISNUMBER($P59)=TRUE,IF($P59&gt;0.651,IF($P59&gt;1.001,"Reject","Alert")," "),IF(AND(F59=0, ISNUMBER(F59)),IF(MAX(I59:K59)&gt;(E59+F59),"Reject",IF(MAX(I59:K59)=(E59+F59),"Alert","")),"Reject")))</f>
        <v xml:space="preserve"> </v>
      </c>
      <c r="S59" s="115" t="str">
        <f>IF(ISBLANK($E59),"",IF(ISNUMBER($Q59)=TRUE,IF($Q59&gt;0.651,IF($Q59&gt;1.001,"Reject","Alert")," "),IF(AND(G59=0, ISNUMBER(G59)),IF(MIN(I59:K59)&lt;(E59-G59),"Reject",IF(MIN(I59:K59)=(E59-G59),"Alert","")),"Reject")))</f>
        <v xml:space="preserve"> </v>
      </c>
      <c r="T59" s="116" t="str">
        <f>IF(OR(R59="Reject",S59="Reject"),"Reject",IF(OR(R59="Alert",S59="Alert"),"Alert", ""))</f>
        <v/>
      </c>
      <c r="U59" s="120"/>
      <c r="V59" s="118"/>
      <c r="W59" s="131"/>
    </row>
    <row r="60" spans="1:23" ht="13.2">
      <c r="A60" s="102" t="s">
        <v>163</v>
      </c>
      <c r="B60" s="102"/>
      <c r="C60" s="103">
        <v>3</v>
      </c>
      <c r="D60" s="105" t="s">
        <v>68</v>
      </c>
      <c r="E60" s="106">
        <v>1.17</v>
      </c>
      <c r="F60" s="107">
        <v>0.1</v>
      </c>
      <c r="G60" s="108">
        <v>0.1</v>
      </c>
      <c r="H60" s="109" t="s">
        <v>55</v>
      </c>
      <c r="I60" s="110">
        <v>1.133</v>
      </c>
      <c r="J60" s="110">
        <v>1.143</v>
      </c>
      <c r="K60" s="119">
        <v>1.1499999999999999</v>
      </c>
      <c r="L60" s="111">
        <f t="shared" si="8"/>
        <v>-3.6999999999999922E-2</v>
      </c>
      <c r="M60" s="112">
        <f t="shared" si="8"/>
        <v>-2.6999999999999913E-2</v>
      </c>
      <c r="N60" s="112">
        <f t="shared" si="8"/>
        <v>-2.0000000000000018E-2</v>
      </c>
      <c r="O60" s="112">
        <f>IF(ISERR(I60/I60)=TRUE," ",AVERAGE(I60:K60))</f>
        <v>1.1419999999999999</v>
      </c>
      <c r="P60" s="113">
        <f>IF(ISBLANK($E60),"",IF(ISNUMBER(F60)=FALSE,"BAD TOL", IF(F60=0,"N/A",IF(ISERR(I60/I60)=TRUE,"BAD INSP",IF(AND(ISNUMBER($I60),ISNUMBER($J60),ISNUMBER($K60))=FALSE,"BAD INSP",IF(MAX($I60:$K60)&lt;$E60,0,(MAX($I60:$K60)-$E60)/$F60))))))</f>
        <v>0</v>
      </c>
      <c r="Q60" s="114">
        <f>IF(ISBLANK($E60),"",IF(ISNUMBER(G60)=FALSE,"BAD TOL",IF(G60=0,"N/A",IF(ISERR(I60/I60)=TRUE,"BAD INSP",IF(AND(ISNUMBER($I60),ISNUMBER($J60),ISNUMBER($K60))=FALSE,"BAD INSP",IF(MIN(I60:K60)&gt;$E60,0,($E60-MIN(I60:K60))/G60))))))</f>
        <v>0.36999999999999922</v>
      </c>
      <c r="R60" s="115" t="str">
        <f>IF(ISBLANK($E60),"",IF(ISNUMBER($P60)=TRUE,IF($P60&gt;0.651,IF($P60&gt;1.001,"Reject","Alert")," "),IF(AND(F60=0, ISNUMBER(F60)),IF(MAX(I60:K60)&gt;(E60+F60),"Reject",IF(MAX(I60:K60)=(E60+F60),"Alert","")),"Reject")))</f>
        <v xml:space="preserve"> </v>
      </c>
      <c r="S60" s="115" t="str">
        <f>IF(ISBLANK($E60),"",IF(ISNUMBER($Q60)=TRUE,IF($Q60&gt;0.651,IF($Q60&gt;1.001,"Reject","Alert")," "),IF(AND(G60=0, ISNUMBER(G60)),IF(MIN(I60:K60)&lt;(E60-G60),"Reject",IF(MIN(I60:K60)=(E60-G60),"Alert","")),"Reject")))</f>
        <v xml:space="preserve"> </v>
      </c>
      <c r="T60" s="116" t="str">
        <f>IF(OR(R60="Reject",S60="Reject"),"Reject",IF(OR(R60="Alert",S60="Alert"),"Alert", ""))</f>
        <v/>
      </c>
      <c r="U60" s="120"/>
      <c r="V60" s="118"/>
      <c r="W60" s="131"/>
    </row>
    <row r="61" spans="1:23" ht="13.2">
      <c r="A61" s="102" t="s">
        <v>104</v>
      </c>
      <c r="B61" s="102"/>
      <c r="C61" s="103">
        <v>3</v>
      </c>
      <c r="D61" s="105" t="s">
        <v>68</v>
      </c>
      <c r="E61" s="106">
        <v>1.17</v>
      </c>
      <c r="F61" s="107">
        <v>0.1</v>
      </c>
      <c r="G61" s="108">
        <v>0.1</v>
      </c>
      <c r="H61" s="109" t="s">
        <v>55</v>
      </c>
      <c r="I61" s="110">
        <v>1.1339999999999999</v>
      </c>
      <c r="J61" s="110">
        <v>1.1439999999999999</v>
      </c>
      <c r="K61" s="119">
        <v>1.1459999999999999</v>
      </c>
      <c r="L61" s="111">
        <f t="shared" si="8"/>
        <v>-3.6000000000000032E-2</v>
      </c>
      <c r="M61" s="112">
        <f t="shared" si="8"/>
        <v>-2.6000000000000023E-2</v>
      </c>
      <c r="N61" s="112">
        <f t="shared" si="8"/>
        <v>-2.4000000000000021E-2</v>
      </c>
      <c r="O61" s="112">
        <f>IF(ISERR(I61/I61)=TRUE," ",AVERAGE(I61:K61))</f>
        <v>1.1413333333333331</v>
      </c>
      <c r="P61" s="113">
        <f>IF(ISBLANK($E61),"",IF(ISNUMBER(F61)=FALSE,"BAD TOL", IF(F61=0,"N/A",IF(ISERR(I61/I61)=TRUE,"BAD INSP",IF(AND(ISNUMBER($I61),ISNUMBER($J61),ISNUMBER($K61))=FALSE,"BAD INSP",IF(MAX($I61:$K61)&lt;$E61,0,(MAX($I61:$K61)-$E61)/$F61))))))</f>
        <v>0</v>
      </c>
      <c r="Q61" s="114">
        <f>IF(ISBLANK($E61),"",IF(ISNUMBER(G61)=FALSE,"BAD TOL",IF(G61=0,"N/A",IF(ISERR(I61/I61)=TRUE,"BAD INSP",IF(AND(ISNUMBER($I61),ISNUMBER($J61),ISNUMBER($K61))=FALSE,"BAD INSP",IF(MIN(I61:K61)&gt;$E61,0,($E61-MIN(I61:K61))/G61))))))</f>
        <v>0.36000000000000032</v>
      </c>
      <c r="R61" s="115" t="str">
        <f>IF(ISBLANK($E61),"",IF(ISNUMBER($P61)=TRUE,IF($P61&gt;0.651,IF($P61&gt;1.001,"Reject","Alert")," "),IF(AND(F61=0, ISNUMBER(F61)),IF(MAX(I61:K61)&gt;(E61+F61),"Reject",IF(MAX(I61:K61)=(E61+F61),"Alert","")),"Reject")))</f>
        <v xml:space="preserve"> </v>
      </c>
      <c r="S61" s="115" t="str">
        <f>IF(ISBLANK($E61),"",IF(ISNUMBER($Q61)=TRUE,IF($Q61&gt;0.651,IF($Q61&gt;1.001,"Reject","Alert")," "),IF(AND(G61=0, ISNUMBER(G61)),IF(MIN(I61:K61)&lt;(E61-G61),"Reject",IF(MIN(I61:K61)=(E61-G61),"Alert","")),"Reject")))</f>
        <v xml:space="preserve"> </v>
      </c>
      <c r="T61" s="116" t="str">
        <f>IF(OR(R61="Reject",S61="Reject"),"Reject",IF(OR(R61="Alert",S61="Alert"),"Alert", ""))</f>
        <v/>
      </c>
      <c r="U61" s="120"/>
      <c r="V61" s="118"/>
      <c r="W61" s="131"/>
    </row>
    <row r="62" spans="1:23" ht="13.2">
      <c r="A62" s="102" t="s">
        <v>105</v>
      </c>
      <c r="B62" s="102"/>
      <c r="C62" s="103">
        <v>3</v>
      </c>
      <c r="D62" s="105" t="s">
        <v>68</v>
      </c>
      <c r="E62" s="106">
        <v>1.17</v>
      </c>
      <c r="F62" s="107">
        <v>0.1</v>
      </c>
      <c r="G62" s="108">
        <v>0.1</v>
      </c>
      <c r="H62" s="109" t="s">
        <v>55</v>
      </c>
      <c r="I62" s="110">
        <v>1.1240000000000001</v>
      </c>
      <c r="J62" s="110">
        <v>1.147</v>
      </c>
      <c r="K62" s="119">
        <v>1.133</v>
      </c>
      <c r="L62" s="111">
        <f t="shared" si="8"/>
        <v>-4.5999999999999819E-2</v>
      </c>
      <c r="M62" s="112">
        <f t="shared" si="8"/>
        <v>-2.2999999999999909E-2</v>
      </c>
      <c r="N62" s="112">
        <f t="shared" si="8"/>
        <v>-3.6999999999999922E-2</v>
      </c>
      <c r="O62" s="112">
        <f t="shared" ref="O62:O125" si="15">IF(ISERR(I62/I62)=TRUE," ",AVERAGE(I62:K62))</f>
        <v>1.1346666666666667</v>
      </c>
      <c r="P62" s="113">
        <f t="shared" ref="P62:P125" si="16">IF(ISBLANK($E62),"",IF(ISNUMBER(F62)=FALSE,"BAD TOL", IF(F62=0,"N/A",IF(ISERR(I62/I62)=TRUE,"BAD INSP",IF(AND(ISNUMBER($I62),ISNUMBER($J62),ISNUMBER($K62))=FALSE,"BAD INSP",IF(MAX($I62:$K62)&lt;$E62,0,(MAX($I62:$K62)-$E62)/$F62))))))</f>
        <v>0</v>
      </c>
      <c r="Q62" s="114">
        <f t="shared" ref="Q62:Q125" si="17">IF(ISBLANK($E62),"",IF(ISNUMBER(G62)=FALSE,"BAD TOL",IF(G62=0,"N/A",IF(ISERR(I62/I62)=TRUE,"BAD INSP",IF(AND(ISNUMBER($I62),ISNUMBER($J62),ISNUMBER($K62))=FALSE,"BAD INSP",IF(MIN(I62:K62)&gt;$E62,0,($E62-MIN(I62:K62))/G62))))))</f>
        <v>0.45999999999999819</v>
      </c>
      <c r="R62" s="115" t="str">
        <f t="shared" ref="R62:R125" si="18">IF(ISBLANK($E62),"",IF(ISNUMBER($P62)=TRUE,IF($P62&gt;0.651,IF($P62&gt;1.001,"Reject","Alert")," "),IF(AND(F62=0, ISNUMBER(F62)),IF(MAX(I62:K62)&gt;(E62+F62),"Reject",IF(MAX(I62:K62)=(E62+F62),"Alert","")),"Reject")))</f>
        <v xml:space="preserve"> </v>
      </c>
      <c r="S62" s="115" t="str">
        <f t="shared" ref="S62:S125" si="19">IF(ISBLANK($E62),"",IF(ISNUMBER($Q62)=TRUE,IF($Q62&gt;0.651,IF($Q62&gt;1.001,"Reject","Alert")," "),IF(AND(G62=0, ISNUMBER(G62)),IF(MIN(I62:K62)&lt;(E62-G62),"Reject",IF(MIN(I62:K62)=(E62-G62),"Alert","")),"Reject")))</f>
        <v xml:space="preserve"> </v>
      </c>
      <c r="T62" s="116" t="str">
        <f t="shared" ref="T62:T125" si="20">IF(OR(R62="Reject",S62="Reject"),"Reject",IF(OR(R62="Alert",S62="Alert"),"Alert", ""))</f>
        <v/>
      </c>
      <c r="U62" s="120"/>
      <c r="V62" s="118"/>
      <c r="W62" s="131"/>
    </row>
    <row r="63" spans="1:23" ht="13.2">
      <c r="A63" s="102" t="s">
        <v>106</v>
      </c>
      <c r="B63" s="102"/>
      <c r="C63" s="103">
        <v>3</v>
      </c>
      <c r="D63" s="105" t="s">
        <v>68</v>
      </c>
      <c r="E63" s="106">
        <v>1.17</v>
      </c>
      <c r="F63" s="107">
        <v>0.1</v>
      </c>
      <c r="G63" s="108">
        <v>0.1</v>
      </c>
      <c r="H63" s="109" t="s">
        <v>55</v>
      </c>
      <c r="I63" s="110">
        <v>1.1299999999999999</v>
      </c>
      <c r="J63" s="110">
        <v>1.1459999999999999</v>
      </c>
      <c r="K63" s="119">
        <v>1.1399999999999999</v>
      </c>
      <c r="L63" s="111">
        <f t="shared" si="8"/>
        <v>-4.0000000000000036E-2</v>
      </c>
      <c r="M63" s="112">
        <f t="shared" si="8"/>
        <v>-2.4000000000000021E-2</v>
      </c>
      <c r="N63" s="112">
        <f t="shared" si="8"/>
        <v>-3.0000000000000027E-2</v>
      </c>
      <c r="O63" s="112">
        <f t="shared" si="15"/>
        <v>1.1386666666666665</v>
      </c>
      <c r="P63" s="113">
        <f t="shared" si="16"/>
        <v>0</v>
      </c>
      <c r="Q63" s="114">
        <f t="shared" si="17"/>
        <v>0.40000000000000036</v>
      </c>
      <c r="R63" s="115" t="str">
        <f t="shared" si="18"/>
        <v xml:space="preserve"> </v>
      </c>
      <c r="S63" s="115" t="str">
        <f t="shared" si="19"/>
        <v xml:space="preserve"> </v>
      </c>
      <c r="T63" s="116" t="str">
        <f t="shared" si="20"/>
        <v/>
      </c>
      <c r="U63" s="120"/>
      <c r="V63" s="118"/>
      <c r="W63" s="131"/>
    </row>
    <row r="64" spans="1:23" ht="13.2">
      <c r="A64" s="102" t="s">
        <v>107</v>
      </c>
      <c r="B64" s="102"/>
      <c r="C64" s="103">
        <v>3</v>
      </c>
      <c r="D64" s="105" t="s">
        <v>68</v>
      </c>
      <c r="E64" s="106">
        <v>1.17</v>
      </c>
      <c r="F64" s="107">
        <v>0.1</v>
      </c>
      <c r="G64" s="108">
        <v>0.1</v>
      </c>
      <c r="H64" s="109" t="s">
        <v>55</v>
      </c>
      <c r="I64" s="110">
        <v>1.133</v>
      </c>
      <c r="J64" s="110">
        <v>1.1379999999999999</v>
      </c>
      <c r="K64" s="119">
        <v>1.1399999999999999</v>
      </c>
      <c r="L64" s="111">
        <f t="shared" si="8"/>
        <v>-3.6999999999999922E-2</v>
      </c>
      <c r="M64" s="112">
        <f t="shared" si="8"/>
        <v>-3.2000000000000028E-2</v>
      </c>
      <c r="N64" s="112">
        <f t="shared" si="8"/>
        <v>-3.0000000000000027E-2</v>
      </c>
      <c r="O64" s="112">
        <f t="shared" si="15"/>
        <v>1.1369999999999998</v>
      </c>
      <c r="P64" s="113">
        <f t="shared" si="16"/>
        <v>0</v>
      </c>
      <c r="Q64" s="114">
        <f t="shared" si="17"/>
        <v>0.36999999999999922</v>
      </c>
      <c r="R64" s="115" t="str">
        <f t="shared" si="18"/>
        <v xml:space="preserve"> </v>
      </c>
      <c r="S64" s="115" t="str">
        <f t="shared" si="19"/>
        <v xml:space="preserve"> </v>
      </c>
      <c r="T64" s="116" t="str">
        <f t="shared" si="20"/>
        <v/>
      </c>
      <c r="U64" s="120"/>
      <c r="V64" s="118"/>
      <c r="W64" s="131"/>
    </row>
    <row r="65" spans="1:23" ht="13.2">
      <c r="A65" s="102" t="s">
        <v>108</v>
      </c>
      <c r="B65" s="102"/>
      <c r="C65" s="103">
        <v>3</v>
      </c>
      <c r="D65" s="105" t="s">
        <v>68</v>
      </c>
      <c r="E65" s="106">
        <v>1.17</v>
      </c>
      <c r="F65" s="107">
        <v>0.1</v>
      </c>
      <c r="G65" s="108">
        <v>0.1</v>
      </c>
      <c r="H65" s="109" t="s">
        <v>55</v>
      </c>
      <c r="I65" s="110">
        <v>1.129</v>
      </c>
      <c r="J65" s="110">
        <v>1.1419999999999999</v>
      </c>
      <c r="K65" s="119">
        <v>1.143</v>
      </c>
      <c r="L65" s="111">
        <f t="shared" si="8"/>
        <v>-4.0999999999999925E-2</v>
      </c>
      <c r="M65" s="112">
        <f t="shared" si="8"/>
        <v>-2.8000000000000025E-2</v>
      </c>
      <c r="N65" s="112">
        <f t="shared" si="8"/>
        <v>-2.6999999999999913E-2</v>
      </c>
      <c r="O65" s="112">
        <f t="shared" si="15"/>
        <v>1.1379999999999999</v>
      </c>
      <c r="P65" s="113">
        <f t="shared" si="16"/>
        <v>0</v>
      </c>
      <c r="Q65" s="114">
        <f t="shared" si="17"/>
        <v>0.40999999999999925</v>
      </c>
      <c r="R65" s="115" t="str">
        <f t="shared" si="18"/>
        <v xml:space="preserve"> </v>
      </c>
      <c r="S65" s="115" t="str">
        <f t="shared" si="19"/>
        <v xml:space="preserve"> </v>
      </c>
      <c r="T65" s="116" t="str">
        <f t="shared" si="20"/>
        <v/>
      </c>
      <c r="U65" s="120"/>
      <c r="V65" s="118"/>
      <c r="W65" s="131"/>
    </row>
    <row r="66" spans="1:23" ht="13.2">
      <c r="A66" s="102" t="s">
        <v>109</v>
      </c>
      <c r="B66" s="102"/>
      <c r="C66" s="103">
        <v>3</v>
      </c>
      <c r="D66" s="105" t="s">
        <v>68</v>
      </c>
      <c r="E66" s="106">
        <v>1.17</v>
      </c>
      <c r="F66" s="107">
        <v>0.1</v>
      </c>
      <c r="G66" s="108">
        <v>0.1</v>
      </c>
      <c r="H66" s="109" t="s">
        <v>55</v>
      </c>
      <c r="I66" s="110">
        <v>1.129</v>
      </c>
      <c r="J66" s="110">
        <v>1.1419999999999999</v>
      </c>
      <c r="K66" s="119">
        <v>1.145</v>
      </c>
      <c r="L66" s="111">
        <f t="shared" si="8"/>
        <v>-4.0999999999999925E-2</v>
      </c>
      <c r="M66" s="112">
        <f t="shared" si="8"/>
        <v>-2.8000000000000025E-2</v>
      </c>
      <c r="N66" s="112">
        <f t="shared" si="8"/>
        <v>-2.4999999999999911E-2</v>
      </c>
      <c r="O66" s="112">
        <f t="shared" si="15"/>
        <v>1.1386666666666667</v>
      </c>
      <c r="P66" s="113">
        <f t="shared" si="16"/>
        <v>0</v>
      </c>
      <c r="Q66" s="114">
        <f t="shared" si="17"/>
        <v>0.40999999999999925</v>
      </c>
      <c r="R66" s="115" t="str">
        <f t="shared" si="18"/>
        <v xml:space="preserve"> </v>
      </c>
      <c r="S66" s="115" t="str">
        <f t="shared" si="19"/>
        <v xml:space="preserve"> </v>
      </c>
      <c r="T66" s="116" t="str">
        <f t="shared" si="20"/>
        <v/>
      </c>
      <c r="U66" s="120"/>
      <c r="V66" s="118"/>
      <c r="W66" s="131"/>
    </row>
    <row r="67" spans="1:23" ht="13.2">
      <c r="A67" s="102" t="s">
        <v>110</v>
      </c>
      <c r="B67" s="102"/>
      <c r="C67" s="103">
        <v>3</v>
      </c>
      <c r="D67" s="105" t="s">
        <v>68</v>
      </c>
      <c r="E67" s="106">
        <v>1.17</v>
      </c>
      <c r="F67" s="107">
        <v>0.1</v>
      </c>
      <c r="G67" s="108">
        <v>0.1</v>
      </c>
      <c r="H67" s="109" t="s">
        <v>55</v>
      </c>
      <c r="I67" s="110">
        <v>1.135</v>
      </c>
      <c r="J67" s="110">
        <v>1.1519999999999999</v>
      </c>
      <c r="K67" s="119">
        <v>1.1419999999999999</v>
      </c>
      <c r="L67" s="111">
        <f t="shared" si="8"/>
        <v>-3.499999999999992E-2</v>
      </c>
      <c r="M67" s="112">
        <f t="shared" si="8"/>
        <v>-1.8000000000000016E-2</v>
      </c>
      <c r="N67" s="112">
        <f t="shared" si="8"/>
        <v>-2.8000000000000025E-2</v>
      </c>
      <c r="O67" s="112">
        <f t="shared" si="15"/>
        <v>1.143</v>
      </c>
      <c r="P67" s="113">
        <f t="shared" si="16"/>
        <v>0</v>
      </c>
      <c r="Q67" s="114">
        <f t="shared" si="17"/>
        <v>0.3499999999999992</v>
      </c>
      <c r="R67" s="115" t="str">
        <f t="shared" si="18"/>
        <v xml:space="preserve"> </v>
      </c>
      <c r="S67" s="115" t="str">
        <f t="shared" si="19"/>
        <v xml:space="preserve"> </v>
      </c>
      <c r="T67" s="116" t="str">
        <f t="shared" si="20"/>
        <v/>
      </c>
      <c r="U67" s="120"/>
      <c r="V67" s="118"/>
      <c r="W67" s="131"/>
    </row>
    <row r="68" spans="1:23" ht="13.2">
      <c r="A68" s="102" t="s">
        <v>111</v>
      </c>
      <c r="B68" s="102"/>
      <c r="C68" s="103">
        <v>3</v>
      </c>
      <c r="D68" s="105" t="s">
        <v>68</v>
      </c>
      <c r="E68" s="106">
        <v>1.17</v>
      </c>
      <c r="F68" s="107">
        <v>0.1</v>
      </c>
      <c r="G68" s="108">
        <v>0.1</v>
      </c>
      <c r="H68" s="109" t="s">
        <v>55</v>
      </c>
      <c r="I68" s="110">
        <v>1.1379999999999999</v>
      </c>
      <c r="J68" s="110">
        <v>1.1479999999999999</v>
      </c>
      <c r="K68" s="119">
        <v>1.1379999999999999</v>
      </c>
      <c r="L68" s="111">
        <f t="shared" si="8"/>
        <v>-3.2000000000000028E-2</v>
      </c>
      <c r="M68" s="112">
        <f t="shared" si="8"/>
        <v>-2.200000000000002E-2</v>
      </c>
      <c r="N68" s="112">
        <f t="shared" si="8"/>
        <v>-3.2000000000000028E-2</v>
      </c>
      <c r="O68" s="112">
        <f t="shared" si="15"/>
        <v>1.1413333333333331</v>
      </c>
      <c r="P68" s="113">
        <f t="shared" si="16"/>
        <v>0</v>
      </c>
      <c r="Q68" s="114">
        <f t="shared" si="17"/>
        <v>0.32000000000000028</v>
      </c>
      <c r="R68" s="115" t="str">
        <f t="shared" si="18"/>
        <v xml:space="preserve"> </v>
      </c>
      <c r="S68" s="115" t="str">
        <f t="shared" si="19"/>
        <v xml:space="preserve"> </v>
      </c>
      <c r="T68" s="116" t="str">
        <f t="shared" si="20"/>
        <v/>
      </c>
      <c r="U68" s="120"/>
      <c r="V68" s="118"/>
      <c r="W68" s="131"/>
    </row>
    <row r="69" spans="1:23" ht="13.2">
      <c r="A69" s="102" t="s">
        <v>112</v>
      </c>
      <c r="B69" s="102"/>
      <c r="C69" s="103">
        <v>3</v>
      </c>
      <c r="D69" s="105" t="s">
        <v>68</v>
      </c>
      <c r="E69" s="106">
        <v>1.17</v>
      </c>
      <c r="F69" s="107">
        <v>0.1</v>
      </c>
      <c r="G69" s="108">
        <v>0.1</v>
      </c>
      <c r="H69" s="109" t="s">
        <v>55</v>
      </c>
      <c r="I69" s="110">
        <v>1.1319999999999999</v>
      </c>
      <c r="J69" s="110">
        <v>1.139</v>
      </c>
      <c r="K69" s="119">
        <v>1.1359999999999999</v>
      </c>
      <c r="L69" s="111">
        <f t="shared" si="8"/>
        <v>-3.8000000000000034E-2</v>
      </c>
      <c r="M69" s="112">
        <f t="shared" si="8"/>
        <v>-3.0999999999999917E-2</v>
      </c>
      <c r="N69" s="112">
        <f t="shared" si="8"/>
        <v>-3.400000000000003E-2</v>
      </c>
      <c r="O69" s="112">
        <f t="shared" si="15"/>
        <v>1.1356666666666666</v>
      </c>
      <c r="P69" s="113">
        <f t="shared" si="16"/>
        <v>0</v>
      </c>
      <c r="Q69" s="114">
        <f t="shared" si="17"/>
        <v>0.38000000000000034</v>
      </c>
      <c r="R69" s="115" t="str">
        <f t="shared" si="18"/>
        <v xml:space="preserve"> </v>
      </c>
      <c r="S69" s="115" t="str">
        <f t="shared" si="19"/>
        <v xml:space="preserve"> </v>
      </c>
      <c r="T69" s="116" t="str">
        <f t="shared" si="20"/>
        <v/>
      </c>
      <c r="U69" s="120"/>
      <c r="V69" s="118"/>
      <c r="W69" s="131"/>
    </row>
    <row r="70" spans="1:23" ht="13.2">
      <c r="A70" s="102" t="s">
        <v>113</v>
      </c>
      <c r="B70" s="102"/>
      <c r="C70" s="103">
        <v>3</v>
      </c>
      <c r="D70" s="105" t="s">
        <v>68</v>
      </c>
      <c r="E70" s="106">
        <v>1.17</v>
      </c>
      <c r="F70" s="107">
        <v>0.1</v>
      </c>
      <c r="G70" s="108">
        <v>0.1</v>
      </c>
      <c r="H70" s="109" t="s">
        <v>55</v>
      </c>
      <c r="I70" s="110">
        <v>1.121</v>
      </c>
      <c r="J70" s="110">
        <v>1.1499999999999999</v>
      </c>
      <c r="K70" s="119">
        <v>1.1399999999999999</v>
      </c>
      <c r="L70" s="111">
        <f t="shared" ref="L70:N92" si="21">IF(ISBLANK($E70),"",IF(ISERR(I70/I70)=TRUE,"BAD INSP",I70-$E70))</f>
        <v>-4.8999999999999932E-2</v>
      </c>
      <c r="M70" s="112">
        <f t="shared" si="21"/>
        <v>-2.0000000000000018E-2</v>
      </c>
      <c r="N70" s="112">
        <f t="shared" si="21"/>
        <v>-3.0000000000000027E-2</v>
      </c>
      <c r="O70" s="112">
        <f t="shared" si="15"/>
        <v>1.1369999999999998</v>
      </c>
      <c r="P70" s="113">
        <f t="shared" si="16"/>
        <v>0</v>
      </c>
      <c r="Q70" s="114">
        <f t="shared" si="17"/>
        <v>0.48999999999999932</v>
      </c>
      <c r="R70" s="115" t="str">
        <f t="shared" si="18"/>
        <v xml:space="preserve"> </v>
      </c>
      <c r="S70" s="115" t="str">
        <f t="shared" si="19"/>
        <v xml:space="preserve"> </v>
      </c>
      <c r="T70" s="116" t="str">
        <f t="shared" si="20"/>
        <v/>
      </c>
      <c r="U70" s="120"/>
      <c r="V70" s="118"/>
      <c r="W70" s="131"/>
    </row>
    <row r="71" spans="1:23" ht="13.2">
      <c r="A71" s="102" t="s">
        <v>114</v>
      </c>
      <c r="B71" s="102"/>
      <c r="C71" s="103">
        <v>3</v>
      </c>
      <c r="D71" s="105" t="s">
        <v>68</v>
      </c>
      <c r="E71" s="106">
        <v>1.17</v>
      </c>
      <c r="F71" s="107">
        <v>0.1</v>
      </c>
      <c r="G71" s="108">
        <v>0.1</v>
      </c>
      <c r="H71" s="109" t="s">
        <v>55</v>
      </c>
      <c r="I71" s="110">
        <v>1.135</v>
      </c>
      <c r="J71" s="110">
        <v>1.1399999999999999</v>
      </c>
      <c r="K71" s="119">
        <v>1.1439999999999999</v>
      </c>
      <c r="L71" s="111">
        <f t="shared" si="21"/>
        <v>-3.499999999999992E-2</v>
      </c>
      <c r="M71" s="112">
        <f t="shared" si="21"/>
        <v>-3.0000000000000027E-2</v>
      </c>
      <c r="N71" s="112">
        <f t="shared" si="21"/>
        <v>-2.6000000000000023E-2</v>
      </c>
      <c r="O71" s="112">
        <f t="shared" si="15"/>
        <v>1.1396666666666666</v>
      </c>
      <c r="P71" s="113">
        <f t="shared" si="16"/>
        <v>0</v>
      </c>
      <c r="Q71" s="114">
        <f t="shared" si="17"/>
        <v>0.3499999999999992</v>
      </c>
      <c r="R71" s="115" t="str">
        <f t="shared" si="18"/>
        <v xml:space="preserve"> </v>
      </c>
      <c r="S71" s="115" t="str">
        <f t="shared" si="19"/>
        <v xml:space="preserve"> </v>
      </c>
      <c r="T71" s="116" t="str">
        <f t="shared" si="20"/>
        <v/>
      </c>
      <c r="U71" s="120"/>
      <c r="V71" s="118"/>
      <c r="W71" s="131"/>
    </row>
    <row r="72" spans="1:23" ht="13.2">
      <c r="A72" s="102" t="s">
        <v>115</v>
      </c>
      <c r="B72" s="103"/>
      <c r="C72" s="103">
        <v>3</v>
      </c>
      <c r="D72" s="105" t="s">
        <v>68</v>
      </c>
      <c r="E72" s="106">
        <v>1.17</v>
      </c>
      <c r="F72" s="107">
        <v>0.1</v>
      </c>
      <c r="G72" s="108">
        <v>0.1</v>
      </c>
      <c r="H72" s="109" t="s">
        <v>55</v>
      </c>
      <c r="I72" s="110">
        <v>1.141</v>
      </c>
      <c r="J72" s="110">
        <v>1.141</v>
      </c>
      <c r="K72" s="119">
        <v>1.141</v>
      </c>
      <c r="L72" s="111">
        <f t="shared" si="21"/>
        <v>-2.8999999999999915E-2</v>
      </c>
      <c r="M72" s="112">
        <f t="shared" si="21"/>
        <v>-2.8999999999999915E-2</v>
      </c>
      <c r="N72" s="112">
        <f t="shared" si="21"/>
        <v>-2.8999999999999915E-2</v>
      </c>
      <c r="O72" s="112">
        <f t="shared" si="15"/>
        <v>1.141</v>
      </c>
      <c r="P72" s="113">
        <f t="shared" si="16"/>
        <v>0</v>
      </c>
      <c r="Q72" s="114">
        <f t="shared" si="17"/>
        <v>0.28999999999999915</v>
      </c>
      <c r="R72" s="115" t="str">
        <f t="shared" si="18"/>
        <v xml:space="preserve"> </v>
      </c>
      <c r="S72" s="115" t="str">
        <f t="shared" si="19"/>
        <v xml:space="preserve"> </v>
      </c>
      <c r="T72" s="116" t="str">
        <f t="shared" si="20"/>
        <v/>
      </c>
      <c r="U72" s="120"/>
      <c r="V72" s="118"/>
      <c r="W72" s="131"/>
    </row>
    <row r="73" spans="1:23" ht="13.2">
      <c r="A73" s="102" t="s">
        <v>116</v>
      </c>
      <c r="B73" s="103"/>
      <c r="C73" s="103">
        <v>3</v>
      </c>
      <c r="D73" s="105" t="s">
        <v>68</v>
      </c>
      <c r="E73" s="106">
        <v>1.17</v>
      </c>
      <c r="F73" s="107">
        <v>0.1</v>
      </c>
      <c r="G73" s="108">
        <v>0.1</v>
      </c>
      <c r="H73" s="109" t="s">
        <v>55</v>
      </c>
      <c r="I73" s="110">
        <v>1.137</v>
      </c>
      <c r="J73" s="110">
        <v>1.1339999999999999</v>
      </c>
      <c r="K73" s="119">
        <v>1.1399999999999999</v>
      </c>
      <c r="L73" s="111">
        <f t="shared" si="21"/>
        <v>-3.2999999999999918E-2</v>
      </c>
      <c r="M73" s="112">
        <f t="shared" si="21"/>
        <v>-3.6000000000000032E-2</v>
      </c>
      <c r="N73" s="112">
        <f t="shared" si="21"/>
        <v>-3.0000000000000027E-2</v>
      </c>
      <c r="O73" s="112">
        <f t="shared" si="15"/>
        <v>1.1369999999999998</v>
      </c>
      <c r="P73" s="113">
        <f t="shared" si="16"/>
        <v>0</v>
      </c>
      <c r="Q73" s="114">
        <f t="shared" si="17"/>
        <v>0.36000000000000032</v>
      </c>
      <c r="R73" s="115" t="str">
        <f t="shared" si="18"/>
        <v xml:space="preserve"> </v>
      </c>
      <c r="S73" s="115" t="str">
        <f t="shared" si="19"/>
        <v xml:space="preserve"> </v>
      </c>
      <c r="T73" s="116" t="str">
        <f t="shared" si="20"/>
        <v/>
      </c>
      <c r="U73" s="120"/>
      <c r="V73" s="118"/>
      <c r="W73" s="131"/>
    </row>
    <row r="74" spans="1:23" ht="13.2">
      <c r="A74" s="102" t="s">
        <v>117</v>
      </c>
      <c r="B74" s="103"/>
      <c r="C74" s="103">
        <v>3</v>
      </c>
      <c r="D74" s="105" t="s">
        <v>68</v>
      </c>
      <c r="E74" s="106">
        <v>1.17</v>
      </c>
      <c r="F74" s="107">
        <v>0.1</v>
      </c>
      <c r="G74" s="108">
        <v>0.1</v>
      </c>
      <c r="H74" s="109" t="s">
        <v>55</v>
      </c>
      <c r="I74" s="110">
        <v>1.135</v>
      </c>
      <c r="J74" s="110">
        <v>1.151</v>
      </c>
      <c r="K74" s="119">
        <v>1.143</v>
      </c>
      <c r="L74" s="111">
        <f t="shared" si="21"/>
        <v>-3.499999999999992E-2</v>
      </c>
      <c r="M74" s="112">
        <f t="shared" si="21"/>
        <v>-1.8999999999999906E-2</v>
      </c>
      <c r="N74" s="112">
        <f t="shared" si="21"/>
        <v>-2.6999999999999913E-2</v>
      </c>
      <c r="O74" s="112">
        <f t="shared" si="15"/>
        <v>1.143</v>
      </c>
      <c r="P74" s="113">
        <f t="shared" si="16"/>
        <v>0</v>
      </c>
      <c r="Q74" s="114">
        <f t="shared" si="17"/>
        <v>0.3499999999999992</v>
      </c>
      <c r="R74" s="115" t="str">
        <f t="shared" si="18"/>
        <v xml:space="preserve"> </v>
      </c>
      <c r="S74" s="115" t="str">
        <f t="shared" si="19"/>
        <v xml:space="preserve"> </v>
      </c>
      <c r="T74" s="116" t="str">
        <f t="shared" si="20"/>
        <v/>
      </c>
      <c r="U74" s="120"/>
      <c r="V74" s="118"/>
      <c r="W74" s="131"/>
    </row>
    <row r="75" spans="1:23" ht="13.2">
      <c r="A75" s="102" t="s">
        <v>164</v>
      </c>
      <c r="B75" s="102"/>
      <c r="C75" s="103">
        <v>3</v>
      </c>
      <c r="D75" s="105" t="s">
        <v>68</v>
      </c>
      <c r="E75" s="106">
        <v>1.17</v>
      </c>
      <c r="F75" s="107">
        <v>0.1</v>
      </c>
      <c r="G75" s="108">
        <v>0.1</v>
      </c>
      <c r="H75" s="109" t="s">
        <v>55</v>
      </c>
      <c r="I75" s="110">
        <v>1.1359999999999999</v>
      </c>
      <c r="J75" s="110">
        <v>1.141</v>
      </c>
      <c r="K75" s="119">
        <v>1.135</v>
      </c>
      <c r="L75" s="111">
        <f t="shared" si="21"/>
        <v>-3.400000000000003E-2</v>
      </c>
      <c r="M75" s="112">
        <f t="shared" si="21"/>
        <v>-2.8999999999999915E-2</v>
      </c>
      <c r="N75" s="112">
        <f t="shared" si="21"/>
        <v>-3.499999999999992E-2</v>
      </c>
      <c r="O75" s="112">
        <f t="shared" si="15"/>
        <v>1.1373333333333333</v>
      </c>
      <c r="P75" s="113">
        <f t="shared" si="16"/>
        <v>0</v>
      </c>
      <c r="Q75" s="114">
        <f t="shared" si="17"/>
        <v>0.3499999999999992</v>
      </c>
      <c r="R75" s="115" t="str">
        <f t="shared" si="18"/>
        <v xml:space="preserve"> </v>
      </c>
      <c r="S75" s="115" t="str">
        <f t="shared" si="19"/>
        <v xml:space="preserve"> </v>
      </c>
      <c r="T75" s="116" t="str">
        <f t="shared" si="20"/>
        <v/>
      </c>
      <c r="U75" s="120"/>
      <c r="V75" s="118"/>
      <c r="W75" s="131"/>
    </row>
    <row r="76" spans="1:23" ht="13.2">
      <c r="A76" s="102" t="s">
        <v>118</v>
      </c>
      <c r="B76" s="102"/>
      <c r="C76" s="103">
        <v>3</v>
      </c>
      <c r="D76" s="105" t="s">
        <v>68</v>
      </c>
      <c r="E76" s="106">
        <v>1.17</v>
      </c>
      <c r="F76" s="107">
        <v>0.1</v>
      </c>
      <c r="G76" s="108">
        <v>0.1</v>
      </c>
      <c r="H76" s="109" t="s">
        <v>55</v>
      </c>
      <c r="I76" s="110">
        <v>1.1419999999999999</v>
      </c>
      <c r="J76" s="110">
        <v>1.149</v>
      </c>
      <c r="K76" s="119">
        <v>1.1379999999999999</v>
      </c>
      <c r="L76" s="111">
        <f t="shared" si="21"/>
        <v>-2.8000000000000025E-2</v>
      </c>
      <c r="M76" s="112">
        <f t="shared" si="21"/>
        <v>-2.0999999999999908E-2</v>
      </c>
      <c r="N76" s="112">
        <f t="shared" si="21"/>
        <v>-3.2000000000000028E-2</v>
      </c>
      <c r="O76" s="112">
        <f t="shared" si="15"/>
        <v>1.143</v>
      </c>
      <c r="P76" s="113">
        <f t="shared" si="16"/>
        <v>0</v>
      </c>
      <c r="Q76" s="114">
        <f t="shared" si="17"/>
        <v>0.32000000000000028</v>
      </c>
      <c r="R76" s="115" t="str">
        <f t="shared" si="18"/>
        <v xml:space="preserve"> </v>
      </c>
      <c r="S76" s="115" t="str">
        <f t="shared" si="19"/>
        <v xml:space="preserve"> </v>
      </c>
      <c r="T76" s="116" t="str">
        <f t="shared" si="20"/>
        <v/>
      </c>
      <c r="U76" s="120"/>
      <c r="V76" s="118"/>
      <c r="W76" s="131"/>
    </row>
    <row r="77" spans="1:23" ht="13.2">
      <c r="A77" s="102" t="s">
        <v>119</v>
      </c>
      <c r="B77" s="102"/>
      <c r="C77" s="103">
        <v>3</v>
      </c>
      <c r="D77" s="105" t="s">
        <v>68</v>
      </c>
      <c r="E77" s="106">
        <v>1.17</v>
      </c>
      <c r="F77" s="107">
        <v>0.1</v>
      </c>
      <c r="G77" s="108">
        <v>0.1</v>
      </c>
      <c r="H77" s="109" t="s">
        <v>55</v>
      </c>
      <c r="I77" s="110">
        <v>1.131</v>
      </c>
      <c r="J77" s="110">
        <v>1.151</v>
      </c>
      <c r="K77" s="119">
        <v>1.1439999999999999</v>
      </c>
      <c r="L77" s="111">
        <f t="shared" si="21"/>
        <v>-3.8999999999999924E-2</v>
      </c>
      <c r="M77" s="112">
        <f t="shared" si="21"/>
        <v>-1.8999999999999906E-2</v>
      </c>
      <c r="N77" s="112">
        <f t="shared" si="21"/>
        <v>-2.6000000000000023E-2</v>
      </c>
      <c r="O77" s="112">
        <f t="shared" si="15"/>
        <v>1.1420000000000001</v>
      </c>
      <c r="P77" s="113">
        <f t="shared" si="16"/>
        <v>0</v>
      </c>
      <c r="Q77" s="114">
        <f t="shared" si="17"/>
        <v>0.38999999999999924</v>
      </c>
      <c r="R77" s="115" t="str">
        <f t="shared" si="18"/>
        <v xml:space="preserve"> </v>
      </c>
      <c r="S77" s="115" t="str">
        <f t="shared" si="19"/>
        <v xml:space="preserve"> </v>
      </c>
      <c r="T77" s="116" t="str">
        <f t="shared" si="20"/>
        <v/>
      </c>
      <c r="U77" s="120"/>
      <c r="V77" s="118"/>
      <c r="W77" s="131"/>
    </row>
    <row r="78" spans="1:23" ht="13.2">
      <c r="A78" s="102" t="s">
        <v>120</v>
      </c>
      <c r="B78" s="102"/>
      <c r="C78" s="103">
        <v>3</v>
      </c>
      <c r="D78" s="105" t="s">
        <v>68</v>
      </c>
      <c r="E78" s="106">
        <v>1.17</v>
      </c>
      <c r="F78" s="107">
        <v>0.1</v>
      </c>
      <c r="G78" s="108">
        <v>0.1</v>
      </c>
      <c r="H78" s="109" t="s">
        <v>55</v>
      </c>
      <c r="I78" s="110">
        <v>1.139</v>
      </c>
      <c r="J78" s="110">
        <v>1.147</v>
      </c>
      <c r="K78" s="119">
        <v>1.1419999999999999</v>
      </c>
      <c r="L78" s="111">
        <f t="shared" si="21"/>
        <v>-3.0999999999999917E-2</v>
      </c>
      <c r="M78" s="112">
        <f t="shared" si="21"/>
        <v>-2.2999999999999909E-2</v>
      </c>
      <c r="N78" s="112">
        <f t="shared" si="21"/>
        <v>-2.8000000000000025E-2</v>
      </c>
      <c r="O78" s="112">
        <f t="shared" si="15"/>
        <v>1.1426666666666667</v>
      </c>
      <c r="P78" s="113">
        <f t="shared" si="16"/>
        <v>0</v>
      </c>
      <c r="Q78" s="114">
        <f t="shared" si="17"/>
        <v>0.30999999999999917</v>
      </c>
      <c r="R78" s="115" t="str">
        <f t="shared" si="18"/>
        <v xml:space="preserve"> </v>
      </c>
      <c r="S78" s="115" t="str">
        <f t="shared" si="19"/>
        <v xml:space="preserve"> </v>
      </c>
      <c r="T78" s="116" t="str">
        <f t="shared" si="20"/>
        <v/>
      </c>
      <c r="U78" s="120"/>
      <c r="V78" s="118"/>
      <c r="W78" s="131"/>
    </row>
    <row r="79" spans="1:23" ht="13.2">
      <c r="A79" s="102" t="s">
        <v>121</v>
      </c>
      <c r="B79" s="102"/>
      <c r="C79" s="103">
        <v>3</v>
      </c>
      <c r="D79" s="105" t="s">
        <v>68</v>
      </c>
      <c r="E79" s="106">
        <v>1.17</v>
      </c>
      <c r="F79" s="107">
        <v>0.1</v>
      </c>
      <c r="G79" s="108">
        <v>0.1</v>
      </c>
      <c r="H79" s="109" t="s">
        <v>55</v>
      </c>
      <c r="I79" s="110">
        <v>1.137</v>
      </c>
      <c r="J79" s="110">
        <v>1.1479999999999999</v>
      </c>
      <c r="K79" s="119">
        <v>1.131</v>
      </c>
      <c r="L79" s="111">
        <f t="shared" si="21"/>
        <v>-3.2999999999999918E-2</v>
      </c>
      <c r="M79" s="112">
        <f t="shared" si="21"/>
        <v>-2.200000000000002E-2</v>
      </c>
      <c r="N79" s="112">
        <f t="shared" si="21"/>
        <v>-3.8999999999999924E-2</v>
      </c>
      <c r="O79" s="112">
        <f t="shared" si="15"/>
        <v>1.1386666666666667</v>
      </c>
      <c r="P79" s="113">
        <f t="shared" si="16"/>
        <v>0</v>
      </c>
      <c r="Q79" s="114">
        <f t="shared" si="17"/>
        <v>0.38999999999999924</v>
      </c>
      <c r="R79" s="115" t="str">
        <f t="shared" si="18"/>
        <v xml:space="preserve"> </v>
      </c>
      <c r="S79" s="115" t="str">
        <f t="shared" si="19"/>
        <v xml:space="preserve"> </v>
      </c>
      <c r="T79" s="116" t="str">
        <f t="shared" si="20"/>
        <v/>
      </c>
      <c r="U79" s="120"/>
      <c r="V79" s="118"/>
      <c r="W79" s="131"/>
    </row>
    <row r="80" spans="1:23" ht="13.2">
      <c r="A80" s="102" t="s">
        <v>122</v>
      </c>
      <c r="B80" s="102"/>
      <c r="C80" s="103">
        <v>3</v>
      </c>
      <c r="D80" s="105" t="s">
        <v>68</v>
      </c>
      <c r="E80" s="106">
        <v>1.17</v>
      </c>
      <c r="F80" s="107">
        <v>0.1</v>
      </c>
      <c r="G80" s="108">
        <v>0.1</v>
      </c>
      <c r="H80" s="109" t="s">
        <v>55</v>
      </c>
      <c r="I80" s="110">
        <v>1.131</v>
      </c>
      <c r="J80" s="110">
        <v>1.139</v>
      </c>
      <c r="K80" s="119">
        <v>1.1359999999999999</v>
      </c>
      <c r="L80" s="111">
        <f t="shared" si="21"/>
        <v>-3.8999999999999924E-2</v>
      </c>
      <c r="M80" s="112">
        <f t="shared" si="21"/>
        <v>-3.0999999999999917E-2</v>
      </c>
      <c r="N80" s="112">
        <f t="shared" si="21"/>
        <v>-3.400000000000003E-2</v>
      </c>
      <c r="O80" s="112">
        <f t="shared" si="15"/>
        <v>1.1353333333333333</v>
      </c>
      <c r="P80" s="113">
        <f t="shared" si="16"/>
        <v>0</v>
      </c>
      <c r="Q80" s="114">
        <f t="shared" si="17"/>
        <v>0.38999999999999924</v>
      </c>
      <c r="R80" s="115" t="str">
        <f t="shared" si="18"/>
        <v xml:space="preserve"> </v>
      </c>
      <c r="S80" s="115" t="str">
        <f t="shared" si="19"/>
        <v xml:space="preserve"> </v>
      </c>
      <c r="T80" s="116" t="str">
        <f t="shared" si="20"/>
        <v/>
      </c>
      <c r="U80" s="120"/>
      <c r="V80" s="118"/>
      <c r="W80" s="131"/>
    </row>
    <row r="81" spans="1:23" ht="13.2">
      <c r="A81" s="102" t="s">
        <v>123</v>
      </c>
      <c r="B81" s="102"/>
      <c r="C81" s="103">
        <v>3</v>
      </c>
      <c r="D81" s="105" t="s">
        <v>68</v>
      </c>
      <c r="E81" s="106">
        <v>1.17</v>
      </c>
      <c r="F81" s="107">
        <v>0.1</v>
      </c>
      <c r="G81" s="108">
        <v>0.1</v>
      </c>
      <c r="H81" s="109" t="s">
        <v>55</v>
      </c>
      <c r="I81" s="110">
        <v>1.1419999999999999</v>
      </c>
      <c r="J81" s="110">
        <v>1.1439999999999999</v>
      </c>
      <c r="K81" s="119">
        <v>1.1359999999999999</v>
      </c>
      <c r="L81" s="111">
        <f t="shared" si="21"/>
        <v>-2.8000000000000025E-2</v>
      </c>
      <c r="M81" s="112">
        <f t="shared" si="21"/>
        <v>-2.6000000000000023E-2</v>
      </c>
      <c r="N81" s="112">
        <f t="shared" si="21"/>
        <v>-3.400000000000003E-2</v>
      </c>
      <c r="O81" s="112">
        <f t="shared" si="15"/>
        <v>1.1406666666666665</v>
      </c>
      <c r="P81" s="113">
        <f t="shared" si="16"/>
        <v>0</v>
      </c>
      <c r="Q81" s="114">
        <f t="shared" si="17"/>
        <v>0.3400000000000003</v>
      </c>
      <c r="R81" s="115" t="str">
        <f t="shared" si="18"/>
        <v xml:space="preserve"> </v>
      </c>
      <c r="S81" s="115" t="str">
        <f t="shared" si="19"/>
        <v xml:space="preserve"> </v>
      </c>
      <c r="T81" s="116" t="str">
        <f t="shared" si="20"/>
        <v/>
      </c>
      <c r="U81" s="120"/>
      <c r="V81" s="118"/>
      <c r="W81" s="131"/>
    </row>
    <row r="82" spans="1:23" ht="13.2">
      <c r="A82" s="102" t="s">
        <v>124</v>
      </c>
      <c r="B82" s="102"/>
      <c r="C82" s="103">
        <v>3</v>
      </c>
      <c r="D82" s="105" t="s">
        <v>68</v>
      </c>
      <c r="E82" s="106">
        <v>1.17</v>
      </c>
      <c r="F82" s="107">
        <v>0.1</v>
      </c>
      <c r="G82" s="108">
        <v>0.1</v>
      </c>
      <c r="H82" s="109" t="s">
        <v>55</v>
      </c>
      <c r="I82" s="110">
        <v>1.1339999999999999</v>
      </c>
      <c r="J82" s="110">
        <v>1.127</v>
      </c>
      <c r="K82" s="119">
        <v>1.137</v>
      </c>
      <c r="L82" s="111">
        <f t="shared" si="21"/>
        <v>-3.6000000000000032E-2</v>
      </c>
      <c r="M82" s="112">
        <f t="shared" si="21"/>
        <v>-4.2999999999999927E-2</v>
      </c>
      <c r="N82" s="112">
        <f t="shared" si="21"/>
        <v>-3.2999999999999918E-2</v>
      </c>
      <c r="O82" s="112">
        <f t="shared" si="15"/>
        <v>1.1326666666666667</v>
      </c>
      <c r="P82" s="113">
        <f t="shared" si="16"/>
        <v>0</v>
      </c>
      <c r="Q82" s="114">
        <f t="shared" si="17"/>
        <v>0.42999999999999927</v>
      </c>
      <c r="R82" s="115" t="str">
        <f t="shared" si="18"/>
        <v xml:space="preserve"> </v>
      </c>
      <c r="S82" s="115" t="str">
        <f t="shared" si="19"/>
        <v xml:space="preserve"> </v>
      </c>
      <c r="T82" s="116" t="str">
        <f t="shared" si="20"/>
        <v/>
      </c>
      <c r="U82" s="120"/>
      <c r="V82" s="118"/>
      <c r="W82" s="131"/>
    </row>
    <row r="83" spans="1:23" ht="13.2">
      <c r="A83" s="102" t="s">
        <v>125</v>
      </c>
      <c r="B83" s="102"/>
      <c r="C83" s="103">
        <v>3</v>
      </c>
      <c r="D83" s="105" t="s">
        <v>68</v>
      </c>
      <c r="E83" s="106">
        <v>1.17</v>
      </c>
      <c r="F83" s="107">
        <v>0.1</v>
      </c>
      <c r="G83" s="108">
        <v>0.1</v>
      </c>
      <c r="H83" s="109" t="s">
        <v>55</v>
      </c>
      <c r="I83" s="110">
        <v>1.1439999999999999</v>
      </c>
      <c r="J83" s="110">
        <v>1.143</v>
      </c>
      <c r="K83" s="119">
        <v>1.1439999999999999</v>
      </c>
      <c r="L83" s="111">
        <f t="shared" si="21"/>
        <v>-2.6000000000000023E-2</v>
      </c>
      <c r="M83" s="112">
        <f t="shared" si="21"/>
        <v>-2.6999999999999913E-2</v>
      </c>
      <c r="N83" s="112">
        <f t="shared" si="21"/>
        <v>-2.6000000000000023E-2</v>
      </c>
      <c r="O83" s="112">
        <f t="shared" si="15"/>
        <v>1.1436666666666666</v>
      </c>
      <c r="P83" s="113">
        <f t="shared" si="16"/>
        <v>0</v>
      </c>
      <c r="Q83" s="114">
        <f t="shared" si="17"/>
        <v>0.26999999999999913</v>
      </c>
      <c r="R83" s="115" t="str">
        <f t="shared" si="18"/>
        <v xml:space="preserve"> </v>
      </c>
      <c r="S83" s="115" t="str">
        <f t="shared" si="19"/>
        <v xml:space="preserve"> </v>
      </c>
      <c r="T83" s="116" t="str">
        <f t="shared" si="20"/>
        <v/>
      </c>
      <c r="U83" s="120"/>
      <c r="V83" s="118"/>
      <c r="W83" s="131"/>
    </row>
    <row r="84" spans="1:23" ht="13.2">
      <c r="A84" s="102" t="s">
        <v>126</v>
      </c>
      <c r="B84" s="102"/>
      <c r="C84" s="103">
        <v>3</v>
      </c>
      <c r="D84" s="105" t="s">
        <v>68</v>
      </c>
      <c r="E84" s="106">
        <v>1.17</v>
      </c>
      <c r="F84" s="107">
        <v>0.1</v>
      </c>
      <c r="G84" s="108">
        <v>0.1</v>
      </c>
      <c r="H84" s="109" t="s">
        <v>55</v>
      </c>
      <c r="I84" s="110">
        <v>1.1339999999999999</v>
      </c>
      <c r="J84" s="110">
        <v>1.151</v>
      </c>
      <c r="K84" s="119">
        <v>1.137</v>
      </c>
      <c r="L84" s="111">
        <f t="shared" si="21"/>
        <v>-3.6000000000000032E-2</v>
      </c>
      <c r="M84" s="112">
        <f t="shared" si="21"/>
        <v>-1.8999999999999906E-2</v>
      </c>
      <c r="N84" s="112">
        <f t="shared" si="21"/>
        <v>-3.2999999999999918E-2</v>
      </c>
      <c r="O84" s="112">
        <f t="shared" si="15"/>
        <v>1.1406666666666667</v>
      </c>
      <c r="P84" s="113">
        <f t="shared" si="16"/>
        <v>0</v>
      </c>
      <c r="Q84" s="114">
        <f t="shared" si="17"/>
        <v>0.36000000000000032</v>
      </c>
      <c r="R84" s="115" t="str">
        <f t="shared" si="18"/>
        <v xml:space="preserve"> </v>
      </c>
      <c r="S84" s="115" t="str">
        <f t="shared" si="19"/>
        <v xml:space="preserve"> </v>
      </c>
      <c r="T84" s="116" t="str">
        <f t="shared" si="20"/>
        <v/>
      </c>
      <c r="U84" s="120"/>
      <c r="V84" s="118"/>
      <c r="W84" s="131"/>
    </row>
    <row r="85" spans="1:23" ht="13.2">
      <c r="A85" s="102" t="s">
        <v>127</v>
      </c>
      <c r="B85" s="102"/>
      <c r="C85" s="103">
        <v>3</v>
      </c>
      <c r="D85" s="105" t="s">
        <v>68</v>
      </c>
      <c r="E85" s="106">
        <v>1.17</v>
      </c>
      <c r="F85" s="107">
        <v>0.1</v>
      </c>
      <c r="G85" s="108">
        <v>0.1</v>
      </c>
      <c r="H85" s="109" t="s">
        <v>55</v>
      </c>
      <c r="I85" s="110">
        <v>1.137</v>
      </c>
      <c r="J85" s="110">
        <v>1.1499999999999999</v>
      </c>
      <c r="K85" s="119">
        <v>1.129</v>
      </c>
      <c r="L85" s="111">
        <f t="shared" si="21"/>
        <v>-3.2999999999999918E-2</v>
      </c>
      <c r="M85" s="112">
        <f t="shared" si="21"/>
        <v>-2.0000000000000018E-2</v>
      </c>
      <c r="N85" s="112">
        <f t="shared" si="21"/>
        <v>-4.0999999999999925E-2</v>
      </c>
      <c r="O85" s="112">
        <f t="shared" si="15"/>
        <v>1.1386666666666667</v>
      </c>
      <c r="P85" s="113">
        <f t="shared" si="16"/>
        <v>0</v>
      </c>
      <c r="Q85" s="114">
        <f t="shared" si="17"/>
        <v>0.40999999999999925</v>
      </c>
      <c r="R85" s="115" t="str">
        <f t="shared" si="18"/>
        <v xml:space="preserve"> </v>
      </c>
      <c r="S85" s="115" t="str">
        <f t="shared" si="19"/>
        <v xml:space="preserve"> </v>
      </c>
      <c r="T85" s="116" t="str">
        <f t="shared" si="20"/>
        <v/>
      </c>
      <c r="U85" s="120"/>
      <c r="V85" s="118"/>
      <c r="W85" s="131"/>
    </row>
    <row r="86" spans="1:23" ht="13.2">
      <c r="A86" s="102" t="s">
        <v>128</v>
      </c>
      <c r="B86" s="102"/>
      <c r="C86" s="103">
        <v>3</v>
      </c>
      <c r="D86" s="105" t="s">
        <v>68</v>
      </c>
      <c r="E86" s="106">
        <v>1.17</v>
      </c>
      <c r="F86" s="107">
        <v>0.1</v>
      </c>
      <c r="G86" s="108">
        <v>0.1</v>
      </c>
      <c r="H86" s="109" t="s">
        <v>55</v>
      </c>
      <c r="I86" s="110">
        <v>1.135</v>
      </c>
      <c r="J86" s="110">
        <v>1.1459999999999999</v>
      </c>
      <c r="K86" s="119">
        <v>1.139</v>
      </c>
      <c r="L86" s="111">
        <f t="shared" si="21"/>
        <v>-3.499999999999992E-2</v>
      </c>
      <c r="M86" s="112">
        <f t="shared" si="21"/>
        <v>-2.4000000000000021E-2</v>
      </c>
      <c r="N86" s="112">
        <f t="shared" si="21"/>
        <v>-3.0999999999999917E-2</v>
      </c>
      <c r="O86" s="112">
        <f t="shared" si="15"/>
        <v>1.1399999999999999</v>
      </c>
      <c r="P86" s="113">
        <f t="shared" si="16"/>
        <v>0</v>
      </c>
      <c r="Q86" s="114">
        <f t="shared" si="17"/>
        <v>0.3499999999999992</v>
      </c>
      <c r="R86" s="115" t="str">
        <f t="shared" si="18"/>
        <v xml:space="preserve"> </v>
      </c>
      <c r="S86" s="115" t="str">
        <f t="shared" si="19"/>
        <v xml:space="preserve"> </v>
      </c>
      <c r="T86" s="116" t="str">
        <f t="shared" si="20"/>
        <v/>
      </c>
      <c r="U86" s="120"/>
      <c r="V86" s="118"/>
      <c r="W86" s="131"/>
    </row>
    <row r="87" spans="1:23" ht="13.2">
      <c r="A87" s="102" t="s">
        <v>129</v>
      </c>
      <c r="B87" s="103"/>
      <c r="C87" s="103">
        <v>3</v>
      </c>
      <c r="D87" s="105" t="s">
        <v>68</v>
      </c>
      <c r="E87" s="106">
        <v>1.17</v>
      </c>
      <c r="F87" s="107">
        <v>0.1</v>
      </c>
      <c r="G87" s="108">
        <v>0.1</v>
      </c>
      <c r="H87" s="109" t="s">
        <v>55</v>
      </c>
      <c r="I87" s="110">
        <v>1.137</v>
      </c>
      <c r="J87" s="110">
        <v>1.139</v>
      </c>
      <c r="K87" s="119">
        <v>1.1419999999999999</v>
      </c>
      <c r="L87" s="111">
        <f t="shared" si="21"/>
        <v>-3.2999999999999918E-2</v>
      </c>
      <c r="M87" s="112">
        <f t="shared" si="21"/>
        <v>-3.0999999999999917E-2</v>
      </c>
      <c r="N87" s="112">
        <f t="shared" si="21"/>
        <v>-2.8000000000000025E-2</v>
      </c>
      <c r="O87" s="112">
        <f t="shared" si="15"/>
        <v>1.1393333333333333</v>
      </c>
      <c r="P87" s="113">
        <f t="shared" si="16"/>
        <v>0</v>
      </c>
      <c r="Q87" s="114">
        <f t="shared" si="17"/>
        <v>0.32999999999999918</v>
      </c>
      <c r="R87" s="115" t="str">
        <f t="shared" si="18"/>
        <v xml:space="preserve"> </v>
      </c>
      <c r="S87" s="115" t="str">
        <f t="shared" si="19"/>
        <v xml:space="preserve"> </v>
      </c>
      <c r="T87" s="116" t="str">
        <f t="shared" si="20"/>
        <v/>
      </c>
      <c r="U87" s="120"/>
      <c r="V87" s="118"/>
      <c r="W87" s="131"/>
    </row>
    <row r="88" spans="1:23" ht="13.2">
      <c r="A88" s="102" t="s">
        <v>130</v>
      </c>
      <c r="B88" s="103"/>
      <c r="C88" s="103">
        <v>3</v>
      </c>
      <c r="D88" s="105" t="s">
        <v>68</v>
      </c>
      <c r="E88" s="106">
        <v>1.17</v>
      </c>
      <c r="F88" s="107">
        <v>0.1</v>
      </c>
      <c r="G88" s="108">
        <v>0.1</v>
      </c>
      <c r="H88" s="109" t="s">
        <v>55</v>
      </c>
      <c r="I88" s="110">
        <v>1.135</v>
      </c>
      <c r="J88" s="110">
        <v>1.157</v>
      </c>
      <c r="K88" s="119">
        <v>1.1419999999999999</v>
      </c>
      <c r="L88" s="111">
        <f t="shared" si="21"/>
        <v>-3.499999999999992E-2</v>
      </c>
      <c r="M88" s="112">
        <f t="shared" si="21"/>
        <v>-1.2999999999999901E-2</v>
      </c>
      <c r="N88" s="112">
        <f t="shared" si="21"/>
        <v>-2.8000000000000025E-2</v>
      </c>
      <c r="O88" s="112">
        <f t="shared" si="15"/>
        <v>1.1446666666666665</v>
      </c>
      <c r="P88" s="113">
        <f t="shared" si="16"/>
        <v>0</v>
      </c>
      <c r="Q88" s="114">
        <f t="shared" si="17"/>
        <v>0.3499999999999992</v>
      </c>
      <c r="R88" s="115" t="str">
        <f t="shared" si="18"/>
        <v xml:space="preserve"> </v>
      </c>
      <c r="S88" s="115" t="str">
        <f t="shared" si="19"/>
        <v xml:space="preserve"> </v>
      </c>
      <c r="T88" s="116" t="str">
        <f t="shared" si="20"/>
        <v/>
      </c>
      <c r="U88" s="120"/>
      <c r="V88" s="118"/>
      <c r="W88" s="131"/>
    </row>
    <row r="89" spans="1:23" ht="13.2">
      <c r="A89" s="102" t="s">
        <v>131</v>
      </c>
      <c r="B89" s="103"/>
      <c r="C89" s="103">
        <v>3</v>
      </c>
      <c r="D89" s="105" t="s">
        <v>68</v>
      </c>
      <c r="E89" s="106">
        <v>1.17</v>
      </c>
      <c r="F89" s="107">
        <v>0.1</v>
      </c>
      <c r="G89" s="108">
        <v>0.1</v>
      </c>
      <c r="H89" s="109" t="s">
        <v>55</v>
      </c>
      <c r="I89" s="110">
        <v>1.141</v>
      </c>
      <c r="J89" s="110">
        <v>1.1479999999999999</v>
      </c>
      <c r="K89" s="119">
        <v>1.145</v>
      </c>
      <c r="L89" s="111">
        <f t="shared" si="21"/>
        <v>-2.8999999999999915E-2</v>
      </c>
      <c r="M89" s="112">
        <f t="shared" si="21"/>
        <v>-2.200000000000002E-2</v>
      </c>
      <c r="N89" s="112">
        <f t="shared" si="21"/>
        <v>-2.4999999999999911E-2</v>
      </c>
      <c r="O89" s="112">
        <f t="shared" si="15"/>
        <v>1.1446666666666665</v>
      </c>
      <c r="P89" s="113">
        <f t="shared" si="16"/>
        <v>0</v>
      </c>
      <c r="Q89" s="114">
        <f t="shared" si="17"/>
        <v>0.28999999999999915</v>
      </c>
      <c r="R89" s="115" t="str">
        <f t="shared" si="18"/>
        <v xml:space="preserve"> </v>
      </c>
      <c r="S89" s="115" t="str">
        <f t="shared" si="19"/>
        <v xml:space="preserve"> </v>
      </c>
      <c r="T89" s="116" t="str">
        <f t="shared" si="20"/>
        <v/>
      </c>
      <c r="U89" s="120"/>
      <c r="V89" s="118"/>
      <c r="W89" s="131"/>
    </row>
    <row r="90" spans="1:23" ht="13.2">
      <c r="A90" s="102" t="s">
        <v>165</v>
      </c>
      <c r="B90" s="102"/>
      <c r="C90" s="103">
        <v>3</v>
      </c>
      <c r="D90" s="105" t="s">
        <v>68</v>
      </c>
      <c r="E90" s="106">
        <v>1.17</v>
      </c>
      <c r="F90" s="107">
        <v>0.1</v>
      </c>
      <c r="G90" s="108">
        <v>0.1</v>
      </c>
      <c r="H90" s="109" t="s">
        <v>55</v>
      </c>
      <c r="I90" s="110">
        <v>1.147</v>
      </c>
      <c r="J90" s="110">
        <v>1.1579999999999999</v>
      </c>
      <c r="K90" s="119">
        <v>1.1499999999999999</v>
      </c>
      <c r="L90" s="111">
        <f t="shared" si="21"/>
        <v>-2.2999999999999909E-2</v>
      </c>
      <c r="M90" s="112">
        <f t="shared" si="21"/>
        <v>-1.2000000000000011E-2</v>
      </c>
      <c r="N90" s="112">
        <f t="shared" si="21"/>
        <v>-2.0000000000000018E-2</v>
      </c>
      <c r="O90" s="112">
        <f t="shared" si="15"/>
        <v>1.1516666666666666</v>
      </c>
      <c r="P90" s="113">
        <f t="shared" si="16"/>
        <v>0</v>
      </c>
      <c r="Q90" s="114">
        <f t="shared" si="17"/>
        <v>0.22999999999999909</v>
      </c>
      <c r="R90" s="115" t="str">
        <f t="shared" si="18"/>
        <v xml:space="preserve"> </v>
      </c>
      <c r="S90" s="115" t="str">
        <f t="shared" si="19"/>
        <v xml:space="preserve"> </v>
      </c>
      <c r="T90" s="116" t="str">
        <f t="shared" si="20"/>
        <v/>
      </c>
      <c r="U90" s="120"/>
      <c r="V90" s="118"/>
      <c r="W90" s="131"/>
    </row>
    <row r="91" spans="1:23" ht="13.2">
      <c r="A91" s="102" t="s">
        <v>132</v>
      </c>
      <c r="B91" s="102"/>
      <c r="C91" s="103">
        <v>3</v>
      </c>
      <c r="D91" s="105" t="s">
        <v>68</v>
      </c>
      <c r="E91" s="106">
        <v>1.17</v>
      </c>
      <c r="F91" s="107">
        <v>0.1</v>
      </c>
      <c r="G91" s="108">
        <v>0.1</v>
      </c>
      <c r="H91" s="109" t="s">
        <v>55</v>
      </c>
      <c r="I91" s="110">
        <v>1.131</v>
      </c>
      <c r="J91" s="110">
        <v>1.147</v>
      </c>
      <c r="K91" s="119">
        <v>1.1379999999999999</v>
      </c>
      <c r="L91" s="111">
        <f t="shared" si="21"/>
        <v>-3.8999999999999924E-2</v>
      </c>
      <c r="M91" s="112">
        <f t="shared" si="21"/>
        <v>-2.2999999999999909E-2</v>
      </c>
      <c r="N91" s="112">
        <f t="shared" si="21"/>
        <v>-3.2000000000000028E-2</v>
      </c>
      <c r="O91" s="112">
        <f t="shared" si="15"/>
        <v>1.1386666666666667</v>
      </c>
      <c r="P91" s="113">
        <f t="shared" si="16"/>
        <v>0</v>
      </c>
      <c r="Q91" s="114">
        <f t="shared" si="17"/>
        <v>0.38999999999999924</v>
      </c>
      <c r="R91" s="115" t="str">
        <f t="shared" si="18"/>
        <v xml:space="preserve"> </v>
      </c>
      <c r="S91" s="115" t="str">
        <f t="shared" si="19"/>
        <v xml:space="preserve"> </v>
      </c>
      <c r="T91" s="116" t="str">
        <f t="shared" si="20"/>
        <v/>
      </c>
      <c r="U91" s="120"/>
      <c r="V91" s="118"/>
      <c r="W91" s="131"/>
    </row>
    <row r="92" spans="1:23" ht="13.2">
      <c r="A92" s="102" t="s">
        <v>133</v>
      </c>
      <c r="B92" s="102"/>
      <c r="C92" s="103">
        <v>3</v>
      </c>
      <c r="D92" s="105" t="s">
        <v>68</v>
      </c>
      <c r="E92" s="106">
        <v>1.17</v>
      </c>
      <c r="F92" s="107">
        <v>0.1</v>
      </c>
      <c r="G92" s="108">
        <v>0.1</v>
      </c>
      <c r="H92" s="109" t="s">
        <v>55</v>
      </c>
      <c r="I92" s="110">
        <v>1.139</v>
      </c>
      <c r="J92" s="110">
        <v>1.151</v>
      </c>
      <c r="K92" s="119">
        <v>1.153</v>
      </c>
      <c r="L92" s="111">
        <f t="shared" si="21"/>
        <v>-3.0999999999999917E-2</v>
      </c>
      <c r="M92" s="112">
        <f t="shared" si="21"/>
        <v>-1.8999999999999906E-2</v>
      </c>
      <c r="N92" s="112">
        <f t="shared" si="21"/>
        <v>-1.6999999999999904E-2</v>
      </c>
      <c r="O92" s="112">
        <f t="shared" si="15"/>
        <v>1.1476666666666666</v>
      </c>
      <c r="P92" s="113">
        <f t="shared" si="16"/>
        <v>0</v>
      </c>
      <c r="Q92" s="114">
        <f t="shared" si="17"/>
        <v>0.30999999999999917</v>
      </c>
      <c r="R92" s="115" t="str">
        <f t="shared" si="18"/>
        <v xml:space="preserve"> </v>
      </c>
      <c r="S92" s="115" t="str">
        <f t="shared" si="19"/>
        <v xml:space="preserve"> </v>
      </c>
      <c r="T92" s="116" t="str">
        <f t="shared" si="20"/>
        <v/>
      </c>
      <c r="U92" s="120"/>
      <c r="V92" s="118"/>
      <c r="W92" s="131"/>
    </row>
    <row r="93" spans="1:23" ht="13.2">
      <c r="A93" s="102" t="s">
        <v>134</v>
      </c>
      <c r="B93" s="102"/>
      <c r="C93" s="103">
        <v>3</v>
      </c>
      <c r="D93" s="105" t="s">
        <v>68</v>
      </c>
      <c r="E93" s="106">
        <v>1.17</v>
      </c>
      <c r="F93" s="107">
        <v>0.1</v>
      </c>
      <c r="G93" s="108">
        <v>0.1</v>
      </c>
      <c r="H93" s="109" t="s">
        <v>55</v>
      </c>
      <c r="I93" s="110">
        <v>1.139</v>
      </c>
      <c r="J93" s="110">
        <v>1.1419999999999999</v>
      </c>
      <c r="K93" s="119">
        <v>1.137</v>
      </c>
      <c r="L93" s="111">
        <f t="shared" ref="L93:N156" si="22">IF(ISBLANK($E93),"",IF(ISERR(I93/I93)=TRUE,"BAD INSP",I93-$E93))</f>
        <v>-3.0999999999999917E-2</v>
      </c>
      <c r="M93" s="112">
        <f t="shared" si="22"/>
        <v>-2.8000000000000025E-2</v>
      </c>
      <c r="N93" s="112">
        <f t="shared" si="22"/>
        <v>-3.2999999999999918E-2</v>
      </c>
      <c r="O93" s="112">
        <f t="shared" si="15"/>
        <v>1.1393333333333333</v>
      </c>
      <c r="P93" s="113">
        <f t="shared" si="16"/>
        <v>0</v>
      </c>
      <c r="Q93" s="114">
        <f t="shared" si="17"/>
        <v>0.32999999999999918</v>
      </c>
      <c r="R93" s="115" t="str">
        <f t="shared" si="18"/>
        <v xml:space="preserve"> </v>
      </c>
      <c r="S93" s="115" t="str">
        <f t="shared" si="19"/>
        <v xml:space="preserve"> </v>
      </c>
      <c r="T93" s="116" t="str">
        <f t="shared" si="20"/>
        <v/>
      </c>
      <c r="U93" s="120"/>
      <c r="V93" s="118"/>
      <c r="W93" s="131"/>
    </row>
    <row r="94" spans="1:23" ht="13.2">
      <c r="A94" s="102" t="s">
        <v>135</v>
      </c>
      <c r="B94" s="102"/>
      <c r="C94" s="103">
        <v>3</v>
      </c>
      <c r="D94" s="105" t="s">
        <v>68</v>
      </c>
      <c r="E94" s="106">
        <v>1.17</v>
      </c>
      <c r="F94" s="107">
        <v>0.1</v>
      </c>
      <c r="G94" s="108">
        <v>0.1</v>
      </c>
      <c r="H94" s="109" t="s">
        <v>55</v>
      </c>
      <c r="I94" s="110">
        <v>1.1359999999999999</v>
      </c>
      <c r="J94" s="110">
        <v>1.1419999999999999</v>
      </c>
      <c r="K94" s="119">
        <v>1.139</v>
      </c>
      <c r="L94" s="111">
        <f t="shared" si="22"/>
        <v>-3.400000000000003E-2</v>
      </c>
      <c r="M94" s="112">
        <f t="shared" si="22"/>
        <v>-2.8000000000000025E-2</v>
      </c>
      <c r="N94" s="112">
        <f t="shared" si="22"/>
        <v>-3.0999999999999917E-2</v>
      </c>
      <c r="O94" s="112">
        <f t="shared" si="15"/>
        <v>1.139</v>
      </c>
      <c r="P94" s="113">
        <f t="shared" si="16"/>
        <v>0</v>
      </c>
      <c r="Q94" s="114">
        <f t="shared" si="17"/>
        <v>0.3400000000000003</v>
      </c>
      <c r="R94" s="115" t="str">
        <f t="shared" si="18"/>
        <v xml:space="preserve"> </v>
      </c>
      <c r="S94" s="115" t="str">
        <f t="shared" si="19"/>
        <v xml:space="preserve"> </v>
      </c>
      <c r="T94" s="116" t="str">
        <f t="shared" si="20"/>
        <v/>
      </c>
      <c r="U94" s="120"/>
      <c r="V94" s="118"/>
      <c r="W94" s="131"/>
    </row>
    <row r="95" spans="1:23" ht="13.2">
      <c r="A95" s="102" t="s">
        <v>136</v>
      </c>
      <c r="B95" s="102"/>
      <c r="C95" s="103">
        <v>3</v>
      </c>
      <c r="D95" s="105" t="s">
        <v>68</v>
      </c>
      <c r="E95" s="106">
        <v>1.17</v>
      </c>
      <c r="F95" s="107">
        <v>0.1</v>
      </c>
      <c r="G95" s="108">
        <v>0.1</v>
      </c>
      <c r="H95" s="109" t="s">
        <v>55</v>
      </c>
      <c r="I95" s="110">
        <v>1.1319999999999999</v>
      </c>
      <c r="J95" s="110">
        <v>1.1399999999999999</v>
      </c>
      <c r="K95" s="119">
        <v>1.1419999999999999</v>
      </c>
      <c r="L95" s="111">
        <f t="shared" si="22"/>
        <v>-3.8000000000000034E-2</v>
      </c>
      <c r="M95" s="112">
        <f t="shared" si="22"/>
        <v>-3.0000000000000027E-2</v>
      </c>
      <c r="N95" s="112">
        <f t="shared" si="22"/>
        <v>-2.8000000000000025E-2</v>
      </c>
      <c r="O95" s="112">
        <f t="shared" si="15"/>
        <v>1.1379999999999999</v>
      </c>
      <c r="P95" s="113">
        <f t="shared" si="16"/>
        <v>0</v>
      </c>
      <c r="Q95" s="114">
        <f t="shared" si="17"/>
        <v>0.38000000000000034</v>
      </c>
      <c r="R95" s="115" t="str">
        <f t="shared" si="18"/>
        <v xml:space="preserve"> </v>
      </c>
      <c r="S95" s="115" t="str">
        <f t="shared" si="19"/>
        <v xml:space="preserve"> </v>
      </c>
      <c r="T95" s="116" t="str">
        <f t="shared" si="20"/>
        <v/>
      </c>
      <c r="U95" s="120"/>
      <c r="V95" s="118"/>
      <c r="W95" s="131"/>
    </row>
    <row r="96" spans="1:23" ht="13.2">
      <c r="A96" s="102" t="s">
        <v>137</v>
      </c>
      <c r="B96" s="102"/>
      <c r="C96" s="103">
        <v>3</v>
      </c>
      <c r="D96" s="105" t="s">
        <v>68</v>
      </c>
      <c r="E96" s="106">
        <v>1.17</v>
      </c>
      <c r="F96" s="107">
        <v>0.1</v>
      </c>
      <c r="G96" s="108">
        <v>0.1</v>
      </c>
      <c r="H96" s="109" t="s">
        <v>55</v>
      </c>
      <c r="I96" s="110">
        <v>1.1319999999999999</v>
      </c>
      <c r="J96" s="110">
        <v>1.135</v>
      </c>
      <c r="K96" s="119">
        <v>1.133</v>
      </c>
      <c r="L96" s="111">
        <f t="shared" si="22"/>
        <v>-3.8000000000000034E-2</v>
      </c>
      <c r="M96" s="112">
        <f t="shared" si="22"/>
        <v>-3.499999999999992E-2</v>
      </c>
      <c r="N96" s="112">
        <f t="shared" si="22"/>
        <v>-3.6999999999999922E-2</v>
      </c>
      <c r="O96" s="112">
        <f t="shared" si="15"/>
        <v>1.1333333333333333</v>
      </c>
      <c r="P96" s="113">
        <f t="shared" si="16"/>
        <v>0</v>
      </c>
      <c r="Q96" s="114">
        <f t="shared" si="17"/>
        <v>0.38000000000000034</v>
      </c>
      <c r="R96" s="115" t="str">
        <f t="shared" si="18"/>
        <v xml:space="preserve"> </v>
      </c>
      <c r="S96" s="115" t="str">
        <f t="shared" si="19"/>
        <v xml:space="preserve"> </v>
      </c>
      <c r="T96" s="116" t="str">
        <f t="shared" si="20"/>
        <v/>
      </c>
      <c r="U96" s="120"/>
      <c r="V96" s="118"/>
      <c r="W96" s="131"/>
    </row>
    <row r="97" spans="1:23" ht="13.2">
      <c r="A97" s="102" t="s">
        <v>138</v>
      </c>
      <c r="B97" s="102"/>
      <c r="C97" s="103">
        <v>3</v>
      </c>
      <c r="D97" s="105" t="s">
        <v>68</v>
      </c>
      <c r="E97" s="106">
        <v>1.17</v>
      </c>
      <c r="F97" s="107">
        <v>0.1</v>
      </c>
      <c r="G97" s="108">
        <v>0.1</v>
      </c>
      <c r="H97" s="109" t="s">
        <v>55</v>
      </c>
      <c r="I97" s="110">
        <v>1.1359999999999999</v>
      </c>
      <c r="J97" s="110">
        <v>1.1399999999999999</v>
      </c>
      <c r="K97" s="119">
        <v>1.1419999999999999</v>
      </c>
      <c r="L97" s="111">
        <f t="shared" si="22"/>
        <v>-3.400000000000003E-2</v>
      </c>
      <c r="M97" s="112">
        <f t="shared" si="22"/>
        <v>-3.0000000000000027E-2</v>
      </c>
      <c r="N97" s="112">
        <f t="shared" si="22"/>
        <v>-2.8000000000000025E-2</v>
      </c>
      <c r="O97" s="112">
        <f t="shared" si="15"/>
        <v>1.1393333333333333</v>
      </c>
      <c r="P97" s="113">
        <f t="shared" si="16"/>
        <v>0</v>
      </c>
      <c r="Q97" s="114">
        <f t="shared" si="17"/>
        <v>0.3400000000000003</v>
      </c>
      <c r="R97" s="115" t="str">
        <f t="shared" si="18"/>
        <v xml:space="preserve"> </v>
      </c>
      <c r="S97" s="115" t="str">
        <f t="shared" si="19"/>
        <v xml:space="preserve"> </v>
      </c>
      <c r="T97" s="116" t="str">
        <f t="shared" si="20"/>
        <v/>
      </c>
      <c r="U97" s="120"/>
      <c r="V97" s="118"/>
      <c r="W97" s="131"/>
    </row>
    <row r="98" spans="1:23" ht="13.2">
      <c r="A98" s="102" t="s">
        <v>139</v>
      </c>
      <c r="B98" s="102"/>
      <c r="C98" s="103">
        <v>3</v>
      </c>
      <c r="D98" s="105" t="s">
        <v>68</v>
      </c>
      <c r="E98" s="106">
        <v>1.17</v>
      </c>
      <c r="F98" s="107">
        <v>0.1</v>
      </c>
      <c r="G98" s="108">
        <v>0.1</v>
      </c>
      <c r="H98" s="109" t="s">
        <v>55</v>
      </c>
      <c r="I98" s="110">
        <v>1.1379999999999999</v>
      </c>
      <c r="J98" s="110">
        <v>1.1359999999999999</v>
      </c>
      <c r="K98" s="119">
        <v>1.1319999999999999</v>
      </c>
      <c r="L98" s="111">
        <f t="shared" si="22"/>
        <v>-3.2000000000000028E-2</v>
      </c>
      <c r="M98" s="112">
        <f t="shared" si="22"/>
        <v>-3.400000000000003E-2</v>
      </c>
      <c r="N98" s="112">
        <f t="shared" si="22"/>
        <v>-3.8000000000000034E-2</v>
      </c>
      <c r="O98" s="112">
        <f t="shared" si="15"/>
        <v>1.1353333333333333</v>
      </c>
      <c r="P98" s="113">
        <f t="shared" si="16"/>
        <v>0</v>
      </c>
      <c r="Q98" s="114">
        <f t="shared" si="17"/>
        <v>0.38000000000000034</v>
      </c>
      <c r="R98" s="115" t="str">
        <f t="shared" si="18"/>
        <v xml:space="preserve"> </v>
      </c>
      <c r="S98" s="115" t="str">
        <f t="shared" si="19"/>
        <v xml:space="preserve"> </v>
      </c>
      <c r="T98" s="116" t="str">
        <f t="shared" si="20"/>
        <v/>
      </c>
      <c r="U98" s="120"/>
      <c r="V98" s="118"/>
      <c r="W98" s="131"/>
    </row>
    <row r="99" spans="1:23" ht="13.2">
      <c r="A99" s="102" t="s">
        <v>140</v>
      </c>
      <c r="B99" s="102"/>
      <c r="C99" s="103">
        <v>3</v>
      </c>
      <c r="D99" s="105" t="s">
        <v>68</v>
      </c>
      <c r="E99" s="106">
        <v>1.17</v>
      </c>
      <c r="F99" s="107">
        <v>0.1</v>
      </c>
      <c r="G99" s="108">
        <v>0.1</v>
      </c>
      <c r="H99" s="109" t="s">
        <v>55</v>
      </c>
      <c r="I99" s="110">
        <v>1.145</v>
      </c>
      <c r="J99" s="110">
        <v>1.1339999999999999</v>
      </c>
      <c r="K99" s="119">
        <v>1.1299999999999999</v>
      </c>
      <c r="L99" s="111">
        <f t="shared" si="22"/>
        <v>-2.4999999999999911E-2</v>
      </c>
      <c r="M99" s="112">
        <f t="shared" si="22"/>
        <v>-3.6000000000000032E-2</v>
      </c>
      <c r="N99" s="112">
        <f t="shared" si="22"/>
        <v>-4.0000000000000036E-2</v>
      </c>
      <c r="O99" s="112">
        <f t="shared" si="15"/>
        <v>1.1363333333333332</v>
      </c>
      <c r="P99" s="113">
        <f t="shared" si="16"/>
        <v>0</v>
      </c>
      <c r="Q99" s="114">
        <f t="shared" si="17"/>
        <v>0.40000000000000036</v>
      </c>
      <c r="R99" s="115" t="str">
        <f t="shared" si="18"/>
        <v xml:space="preserve"> </v>
      </c>
      <c r="S99" s="115" t="str">
        <f t="shared" si="19"/>
        <v xml:space="preserve"> </v>
      </c>
      <c r="T99" s="116" t="str">
        <f t="shared" si="20"/>
        <v/>
      </c>
      <c r="U99" s="120"/>
      <c r="V99" s="118"/>
      <c r="W99" s="131"/>
    </row>
    <row r="100" spans="1:23" ht="13.2">
      <c r="A100" s="102" t="s">
        <v>141</v>
      </c>
      <c r="B100" s="102"/>
      <c r="C100" s="103">
        <v>3</v>
      </c>
      <c r="D100" s="105" t="s">
        <v>68</v>
      </c>
      <c r="E100" s="106">
        <v>1.17</v>
      </c>
      <c r="F100" s="107">
        <v>0.1</v>
      </c>
      <c r="G100" s="108">
        <v>0.1</v>
      </c>
      <c r="H100" s="109" t="s">
        <v>55</v>
      </c>
      <c r="I100" s="110">
        <v>1.1439999999999999</v>
      </c>
      <c r="J100" s="110">
        <v>1.1359999999999999</v>
      </c>
      <c r="K100" s="119">
        <v>1.141</v>
      </c>
      <c r="L100" s="111">
        <f t="shared" si="22"/>
        <v>-2.6000000000000023E-2</v>
      </c>
      <c r="M100" s="112">
        <f t="shared" si="22"/>
        <v>-3.400000000000003E-2</v>
      </c>
      <c r="N100" s="112">
        <f t="shared" si="22"/>
        <v>-2.8999999999999915E-2</v>
      </c>
      <c r="O100" s="112">
        <f t="shared" si="15"/>
        <v>1.1403333333333332</v>
      </c>
      <c r="P100" s="113">
        <f t="shared" si="16"/>
        <v>0</v>
      </c>
      <c r="Q100" s="114">
        <f t="shared" si="17"/>
        <v>0.3400000000000003</v>
      </c>
      <c r="R100" s="115" t="str">
        <f t="shared" si="18"/>
        <v xml:space="preserve"> </v>
      </c>
      <c r="S100" s="115" t="str">
        <f t="shared" si="19"/>
        <v xml:space="preserve"> </v>
      </c>
      <c r="T100" s="116" t="str">
        <f t="shared" si="20"/>
        <v/>
      </c>
      <c r="U100" s="120"/>
      <c r="V100" s="118"/>
      <c r="W100" s="131"/>
    </row>
    <row r="101" spans="1:23" ht="13.2">
      <c r="A101" s="102" t="s">
        <v>142</v>
      </c>
      <c r="B101" s="102"/>
      <c r="C101" s="103">
        <v>3</v>
      </c>
      <c r="D101" s="105" t="s">
        <v>68</v>
      </c>
      <c r="E101" s="106">
        <v>1.17</v>
      </c>
      <c r="F101" s="107">
        <v>0.1</v>
      </c>
      <c r="G101" s="108">
        <v>0.1</v>
      </c>
      <c r="H101" s="109" t="s">
        <v>55</v>
      </c>
      <c r="I101" s="110">
        <v>1.1439999999999999</v>
      </c>
      <c r="J101" s="110">
        <v>1.147</v>
      </c>
      <c r="K101" s="119">
        <v>1.1499999999999999</v>
      </c>
      <c r="L101" s="111">
        <f t="shared" si="22"/>
        <v>-2.6000000000000023E-2</v>
      </c>
      <c r="M101" s="112">
        <f t="shared" si="22"/>
        <v>-2.2999999999999909E-2</v>
      </c>
      <c r="N101" s="112">
        <f t="shared" si="22"/>
        <v>-2.0000000000000018E-2</v>
      </c>
      <c r="O101" s="112">
        <f t="shared" si="15"/>
        <v>1.147</v>
      </c>
      <c r="P101" s="113">
        <f t="shared" si="16"/>
        <v>0</v>
      </c>
      <c r="Q101" s="114">
        <f t="shared" si="17"/>
        <v>0.26000000000000023</v>
      </c>
      <c r="R101" s="115" t="str">
        <f t="shared" si="18"/>
        <v xml:space="preserve"> </v>
      </c>
      <c r="S101" s="115" t="str">
        <f t="shared" si="19"/>
        <v xml:space="preserve"> </v>
      </c>
      <c r="T101" s="116" t="str">
        <f t="shared" si="20"/>
        <v/>
      </c>
      <c r="U101" s="120"/>
      <c r="V101" s="118"/>
      <c r="W101" s="131"/>
    </row>
    <row r="102" spans="1:23" ht="13.2">
      <c r="A102" s="102" t="s">
        <v>143</v>
      </c>
      <c r="B102" s="103"/>
      <c r="C102" s="103">
        <v>3</v>
      </c>
      <c r="D102" s="105" t="s">
        <v>68</v>
      </c>
      <c r="E102" s="106">
        <v>1.17</v>
      </c>
      <c r="F102" s="107">
        <v>0.1</v>
      </c>
      <c r="G102" s="108">
        <v>0.1</v>
      </c>
      <c r="H102" s="109" t="s">
        <v>55</v>
      </c>
      <c r="I102" s="110">
        <v>1.1399999999999999</v>
      </c>
      <c r="J102" s="110">
        <v>1.1399999999999999</v>
      </c>
      <c r="K102" s="119">
        <v>1.139</v>
      </c>
      <c r="L102" s="111">
        <f t="shared" si="22"/>
        <v>-3.0000000000000027E-2</v>
      </c>
      <c r="M102" s="112">
        <f t="shared" si="22"/>
        <v>-3.0000000000000027E-2</v>
      </c>
      <c r="N102" s="112">
        <f t="shared" si="22"/>
        <v>-3.0999999999999917E-2</v>
      </c>
      <c r="O102" s="112">
        <f t="shared" si="15"/>
        <v>1.1396666666666666</v>
      </c>
      <c r="P102" s="113">
        <f t="shared" si="16"/>
        <v>0</v>
      </c>
      <c r="Q102" s="114">
        <f t="shared" si="17"/>
        <v>0.30999999999999917</v>
      </c>
      <c r="R102" s="115" t="str">
        <f t="shared" si="18"/>
        <v xml:space="preserve"> </v>
      </c>
      <c r="S102" s="115" t="str">
        <f t="shared" si="19"/>
        <v xml:space="preserve"> </v>
      </c>
      <c r="T102" s="116" t="str">
        <f t="shared" si="20"/>
        <v/>
      </c>
      <c r="U102" s="120"/>
      <c r="V102" s="118"/>
      <c r="W102" s="131"/>
    </row>
    <row r="103" spans="1:23" ht="13.2">
      <c r="A103" s="102" t="s">
        <v>144</v>
      </c>
      <c r="B103" s="103"/>
      <c r="C103" s="103">
        <v>3</v>
      </c>
      <c r="D103" s="105" t="s">
        <v>68</v>
      </c>
      <c r="E103" s="106">
        <v>1.17</v>
      </c>
      <c r="F103" s="107">
        <v>0.1</v>
      </c>
      <c r="G103" s="108">
        <v>0.1</v>
      </c>
      <c r="H103" s="109" t="s">
        <v>55</v>
      </c>
      <c r="I103" s="110">
        <v>1.149</v>
      </c>
      <c r="J103" s="110">
        <v>1.137</v>
      </c>
      <c r="K103" s="119">
        <v>1.1439999999999999</v>
      </c>
      <c r="L103" s="111">
        <f t="shared" si="22"/>
        <v>-2.0999999999999908E-2</v>
      </c>
      <c r="M103" s="112">
        <f t="shared" si="22"/>
        <v>-3.2999999999999918E-2</v>
      </c>
      <c r="N103" s="112">
        <f t="shared" si="22"/>
        <v>-2.6000000000000023E-2</v>
      </c>
      <c r="O103" s="112">
        <f t="shared" si="15"/>
        <v>1.1433333333333333</v>
      </c>
      <c r="P103" s="113">
        <f t="shared" si="16"/>
        <v>0</v>
      </c>
      <c r="Q103" s="114">
        <f t="shared" si="17"/>
        <v>0.32999999999999918</v>
      </c>
      <c r="R103" s="115" t="str">
        <f t="shared" si="18"/>
        <v xml:space="preserve"> </v>
      </c>
      <c r="S103" s="115" t="str">
        <f t="shared" si="19"/>
        <v xml:space="preserve"> </v>
      </c>
      <c r="T103" s="116" t="str">
        <f t="shared" si="20"/>
        <v/>
      </c>
      <c r="U103" s="120"/>
      <c r="V103" s="118"/>
      <c r="W103" s="131"/>
    </row>
    <row r="104" spans="1:23" ht="13.2">
      <c r="A104" s="102" t="s">
        <v>145</v>
      </c>
      <c r="B104" s="103"/>
      <c r="C104" s="103">
        <v>3</v>
      </c>
      <c r="D104" s="105" t="s">
        <v>68</v>
      </c>
      <c r="E104" s="106">
        <v>1.17</v>
      </c>
      <c r="F104" s="107">
        <v>0.1</v>
      </c>
      <c r="G104" s="108">
        <v>0.1</v>
      </c>
      <c r="H104" s="109" t="s">
        <v>55</v>
      </c>
      <c r="I104" s="110">
        <v>1.139</v>
      </c>
      <c r="J104" s="110">
        <v>1.1339999999999999</v>
      </c>
      <c r="K104" s="119">
        <v>1.1399999999999999</v>
      </c>
      <c r="L104" s="111">
        <f t="shared" si="22"/>
        <v>-3.0999999999999917E-2</v>
      </c>
      <c r="M104" s="112">
        <f t="shared" si="22"/>
        <v>-3.6000000000000032E-2</v>
      </c>
      <c r="N104" s="112">
        <f t="shared" si="22"/>
        <v>-3.0000000000000027E-2</v>
      </c>
      <c r="O104" s="112">
        <f t="shared" si="15"/>
        <v>1.1376666666666664</v>
      </c>
      <c r="P104" s="113">
        <f t="shared" si="16"/>
        <v>0</v>
      </c>
      <c r="Q104" s="114">
        <f t="shared" si="17"/>
        <v>0.36000000000000032</v>
      </c>
      <c r="R104" s="115" t="str">
        <f t="shared" si="18"/>
        <v xml:space="preserve"> </v>
      </c>
      <c r="S104" s="115" t="str">
        <f t="shared" si="19"/>
        <v xml:space="preserve"> </v>
      </c>
      <c r="T104" s="116" t="str">
        <f t="shared" si="20"/>
        <v/>
      </c>
      <c r="U104" s="120"/>
      <c r="V104" s="118"/>
      <c r="W104" s="131"/>
    </row>
    <row r="105" spans="1:23" ht="13.2">
      <c r="A105" s="102" t="s">
        <v>166</v>
      </c>
      <c r="B105" s="102"/>
      <c r="C105" s="103">
        <v>3</v>
      </c>
      <c r="D105" s="105" t="s">
        <v>68</v>
      </c>
      <c r="E105" s="106">
        <v>1.17</v>
      </c>
      <c r="F105" s="107">
        <v>0.1</v>
      </c>
      <c r="G105" s="108">
        <v>0.1</v>
      </c>
      <c r="H105" s="109" t="s">
        <v>55</v>
      </c>
      <c r="I105" s="110">
        <v>1.153</v>
      </c>
      <c r="J105" s="110">
        <v>1.145</v>
      </c>
      <c r="K105" s="119">
        <v>1.1439999999999999</v>
      </c>
      <c r="L105" s="111">
        <f t="shared" si="22"/>
        <v>-1.6999999999999904E-2</v>
      </c>
      <c r="M105" s="112">
        <f t="shared" si="22"/>
        <v>-2.4999999999999911E-2</v>
      </c>
      <c r="N105" s="112">
        <f t="shared" si="22"/>
        <v>-2.6000000000000023E-2</v>
      </c>
      <c r="O105" s="112">
        <f t="shared" si="15"/>
        <v>1.1473333333333333</v>
      </c>
      <c r="P105" s="113">
        <f t="shared" si="16"/>
        <v>0</v>
      </c>
      <c r="Q105" s="114">
        <f t="shared" si="17"/>
        <v>0.26000000000000023</v>
      </c>
      <c r="R105" s="115" t="str">
        <f t="shared" si="18"/>
        <v xml:space="preserve"> </v>
      </c>
      <c r="S105" s="115" t="str">
        <f t="shared" si="19"/>
        <v xml:space="preserve"> </v>
      </c>
      <c r="T105" s="116" t="str">
        <f t="shared" si="20"/>
        <v/>
      </c>
      <c r="U105" s="120"/>
      <c r="V105" s="118"/>
      <c r="W105" s="131"/>
    </row>
    <row r="106" spans="1:23" ht="13.2">
      <c r="A106" s="102" t="s">
        <v>146</v>
      </c>
      <c r="B106" s="102"/>
      <c r="C106" s="103">
        <v>3</v>
      </c>
      <c r="D106" s="105" t="s">
        <v>68</v>
      </c>
      <c r="E106" s="106">
        <v>1.17</v>
      </c>
      <c r="F106" s="107">
        <v>0.1</v>
      </c>
      <c r="G106" s="108">
        <v>0.1</v>
      </c>
      <c r="H106" s="109" t="s">
        <v>55</v>
      </c>
      <c r="I106" s="110">
        <v>1.143</v>
      </c>
      <c r="J106" s="110">
        <v>1.1459999999999999</v>
      </c>
      <c r="K106" s="119">
        <v>1.1379999999999999</v>
      </c>
      <c r="L106" s="111">
        <f t="shared" si="22"/>
        <v>-2.6999999999999913E-2</v>
      </c>
      <c r="M106" s="112">
        <f t="shared" si="22"/>
        <v>-2.4000000000000021E-2</v>
      </c>
      <c r="N106" s="112">
        <f t="shared" si="22"/>
        <v>-3.2000000000000028E-2</v>
      </c>
      <c r="O106" s="112">
        <f t="shared" si="15"/>
        <v>1.1423333333333332</v>
      </c>
      <c r="P106" s="113">
        <f t="shared" si="16"/>
        <v>0</v>
      </c>
      <c r="Q106" s="114">
        <f t="shared" si="17"/>
        <v>0.32000000000000028</v>
      </c>
      <c r="R106" s="115" t="str">
        <f t="shared" si="18"/>
        <v xml:space="preserve"> </v>
      </c>
      <c r="S106" s="115" t="str">
        <f t="shared" si="19"/>
        <v xml:space="preserve"> </v>
      </c>
      <c r="T106" s="116" t="str">
        <f t="shared" si="20"/>
        <v/>
      </c>
      <c r="U106" s="120"/>
      <c r="V106" s="118"/>
      <c r="W106" s="131"/>
    </row>
    <row r="107" spans="1:23" ht="13.2">
      <c r="A107" s="102" t="s">
        <v>147</v>
      </c>
      <c r="B107" s="102"/>
      <c r="C107" s="103">
        <v>3</v>
      </c>
      <c r="D107" s="105" t="s">
        <v>68</v>
      </c>
      <c r="E107" s="106">
        <v>1.17</v>
      </c>
      <c r="F107" s="107">
        <v>0.1</v>
      </c>
      <c r="G107" s="108">
        <v>0.1</v>
      </c>
      <c r="H107" s="109" t="s">
        <v>55</v>
      </c>
      <c r="I107" s="110">
        <v>1.1359999999999999</v>
      </c>
      <c r="J107" s="110">
        <v>1.1539999999999999</v>
      </c>
      <c r="K107" s="119">
        <v>1.143</v>
      </c>
      <c r="L107" s="111">
        <f t="shared" si="22"/>
        <v>-3.400000000000003E-2</v>
      </c>
      <c r="M107" s="112">
        <f t="shared" si="22"/>
        <v>-1.6000000000000014E-2</v>
      </c>
      <c r="N107" s="112">
        <f t="shared" si="22"/>
        <v>-2.6999999999999913E-2</v>
      </c>
      <c r="O107" s="112">
        <f t="shared" si="15"/>
        <v>1.1443333333333332</v>
      </c>
      <c r="P107" s="113">
        <f t="shared" si="16"/>
        <v>0</v>
      </c>
      <c r="Q107" s="114">
        <f t="shared" si="17"/>
        <v>0.3400000000000003</v>
      </c>
      <c r="R107" s="115" t="str">
        <f t="shared" si="18"/>
        <v xml:space="preserve"> </v>
      </c>
      <c r="S107" s="115" t="str">
        <f t="shared" si="19"/>
        <v xml:space="preserve"> </v>
      </c>
      <c r="T107" s="116" t="str">
        <f t="shared" si="20"/>
        <v/>
      </c>
      <c r="U107" s="120"/>
      <c r="V107" s="118"/>
      <c r="W107" s="131"/>
    </row>
    <row r="108" spans="1:23" ht="13.2">
      <c r="A108" s="102" t="s">
        <v>148</v>
      </c>
      <c r="B108" s="102"/>
      <c r="C108" s="103">
        <v>3</v>
      </c>
      <c r="D108" s="105" t="s">
        <v>68</v>
      </c>
      <c r="E108" s="106">
        <v>1.17</v>
      </c>
      <c r="F108" s="107">
        <v>0.1</v>
      </c>
      <c r="G108" s="108">
        <v>0.1</v>
      </c>
      <c r="H108" s="109" t="s">
        <v>55</v>
      </c>
      <c r="I108" s="110">
        <v>1.1399999999999999</v>
      </c>
      <c r="J108" s="110">
        <v>1.1479999999999999</v>
      </c>
      <c r="K108" s="119">
        <v>1.137</v>
      </c>
      <c r="L108" s="111">
        <f t="shared" si="22"/>
        <v>-3.0000000000000027E-2</v>
      </c>
      <c r="M108" s="112">
        <f t="shared" si="22"/>
        <v>-2.200000000000002E-2</v>
      </c>
      <c r="N108" s="112">
        <f t="shared" si="22"/>
        <v>-3.2999999999999918E-2</v>
      </c>
      <c r="O108" s="112">
        <f t="shared" si="15"/>
        <v>1.1416666666666666</v>
      </c>
      <c r="P108" s="113">
        <f t="shared" si="16"/>
        <v>0</v>
      </c>
      <c r="Q108" s="114">
        <f t="shared" si="17"/>
        <v>0.32999999999999918</v>
      </c>
      <c r="R108" s="115" t="str">
        <f t="shared" si="18"/>
        <v xml:space="preserve"> </v>
      </c>
      <c r="S108" s="115" t="str">
        <f t="shared" si="19"/>
        <v xml:space="preserve"> </v>
      </c>
      <c r="T108" s="116" t="str">
        <f t="shared" si="20"/>
        <v/>
      </c>
      <c r="U108" s="120"/>
      <c r="V108" s="118"/>
      <c r="W108" s="131"/>
    </row>
    <row r="109" spans="1:23" ht="13.2">
      <c r="A109" s="102" t="s">
        <v>149</v>
      </c>
      <c r="B109" s="102"/>
      <c r="C109" s="103">
        <v>3</v>
      </c>
      <c r="D109" s="105" t="s">
        <v>68</v>
      </c>
      <c r="E109" s="106">
        <v>1.17</v>
      </c>
      <c r="F109" s="107">
        <v>0.1</v>
      </c>
      <c r="G109" s="108">
        <v>0.1</v>
      </c>
      <c r="H109" s="109" t="s">
        <v>55</v>
      </c>
      <c r="I109" s="110">
        <v>1.1399999999999999</v>
      </c>
      <c r="J109" s="110">
        <v>1.1399999999999999</v>
      </c>
      <c r="K109" s="119">
        <v>1.1359999999999999</v>
      </c>
      <c r="L109" s="111">
        <f t="shared" si="22"/>
        <v>-3.0000000000000027E-2</v>
      </c>
      <c r="M109" s="112">
        <f t="shared" si="22"/>
        <v>-3.0000000000000027E-2</v>
      </c>
      <c r="N109" s="112">
        <f t="shared" si="22"/>
        <v>-3.400000000000003E-2</v>
      </c>
      <c r="O109" s="112">
        <f t="shared" si="15"/>
        <v>1.1386666666666665</v>
      </c>
      <c r="P109" s="113">
        <f t="shared" si="16"/>
        <v>0</v>
      </c>
      <c r="Q109" s="114">
        <f t="shared" si="17"/>
        <v>0.3400000000000003</v>
      </c>
      <c r="R109" s="115" t="str">
        <f t="shared" si="18"/>
        <v xml:space="preserve"> </v>
      </c>
      <c r="S109" s="115" t="str">
        <f t="shared" si="19"/>
        <v xml:space="preserve"> </v>
      </c>
      <c r="T109" s="116" t="str">
        <f t="shared" si="20"/>
        <v/>
      </c>
      <c r="U109" s="120"/>
      <c r="V109" s="118"/>
      <c r="W109" s="131"/>
    </row>
    <row r="110" spans="1:23" ht="13.2">
      <c r="A110" s="102" t="s">
        <v>150</v>
      </c>
      <c r="B110" s="102"/>
      <c r="C110" s="103">
        <v>3</v>
      </c>
      <c r="D110" s="105" t="s">
        <v>68</v>
      </c>
      <c r="E110" s="106">
        <v>1.17</v>
      </c>
      <c r="F110" s="107">
        <v>0.1</v>
      </c>
      <c r="G110" s="108">
        <v>0.1</v>
      </c>
      <c r="H110" s="109" t="s">
        <v>55</v>
      </c>
      <c r="I110" s="110">
        <v>1.1319999999999999</v>
      </c>
      <c r="J110" s="110">
        <v>1.151</v>
      </c>
      <c r="K110" s="119">
        <v>1.151</v>
      </c>
      <c r="L110" s="111">
        <f t="shared" si="22"/>
        <v>-3.8000000000000034E-2</v>
      </c>
      <c r="M110" s="112">
        <f t="shared" si="22"/>
        <v>-1.8999999999999906E-2</v>
      </c>
      <c r="N110" s="112">
        <f t="shared" si="22"/>
        <v>-1.8999999999999906E-2</v>
      </c>
      <c r="O110" s="112">
        <f t="shared" si="15"/>
        <v>1.1446666666666667</v>
      </c>
      <c r="P110" s="113">
        <f t="shared" si="16"/>
        <v>0</v>
      </c>
      <c r="Q110" s="114">
        <f t="shared" si="17"/>
        <v>0.38000000000000034</v>
      </c>
      <c r="R110" s="115" t="str">
        <f t="shared" si="18"/>
        <v xml:space="preserve"> </v>
      </c>
      <c r="S110" s="115" t="str">
        <f t="shared" si="19"/>
        <v xml:space="preserve"> </v>
      </c>
      <c r="T110" s="116" t="str">
        <f t="shared" si="20"/>
        <v/>
      </c>
      <c r="U110" s="120"/>
      <c r="V110" s="118"/>
      <c r="W110" s="131"/>
    </row>
    <row r="111" spans="1:23" ht="13.2">
      <c r="A111" s="102" t="s">
        <v>151</v>
      </c>
      <c r="B111" s="102"/>
      <c r="C111" s="103">
        <v>3</v>
      </c>
      <c r="D111" s="105" t="s">
        <v>68</v>
      </c>
      <c r="E111" s="106">
        <v>1.17</v>
      </c>
      <c r="F111" s="107">
        <v>0.1</v>
      </c>
      <c r="G111" s="108">
        <v>0.1</v>
      </c>
      <c r="H111" s="109" t="s">
        <v>55</v>
      </c>
      <c r="I111" s="110">
        <v>1.1359999999999999</v>
      </c>
      <c r="J111" s="110">
        <v>1.1559999999999999</v>
      </c>
      <c r="K111" s="119">
        <v>1.1459999999999999</v>
      </c>
      <c r="L111" s="111">
        <f t="shared" si="22"/>
        <v>-3.400000000000003E-2</v>
      </c>
      <c r="M111" s="112">
        <f t="shared" si="22"/>
        <v>-1.4000000000000012E-2</v>
      </c>
      <c r="N111" s="112">
        <f t="shared" si="22"/>
        <v>-2.4000000000000021E-2</v>
      </c>
      <c r="O111" s="112">
        <f t="shared" si="15"/>
        <v>1.1459999999999999</v>
      </c>
      <c r="P111" s="113">
        <f t="shared" si="16"/>
        <v>0</v>
      </c>
      <c r="Q111" s="114">
        <f t="shared" si="17"/>
        <v>0.3400000000000003</v>
      </c>
      <c r="R111" s="115" t="str">
        <f t="shared" si="18"/>
        <v xml:space="preserve"> </v>
      </c>
      <c r="S111" s="115" t="str">
        <f t="shared" si="19"/>
        <v xml:space="preserve"> </v>
      </c>
      <c r="T111" s="116" t="str">
        <f t="shared" si="20"/>
        <v/>
      </c>
      <c r="U111" s="120"/>
      <c r="V111" s="118"/>
      <c r="W111" s="131"/>
    </row>
    <row r="112" spans="1:23" ht="13.2">
      <c r="A112" s="102" t="s">
        <v>152</v>
      </c>
      <c r="B112" s="102"/>
      <c r="C112" s="103">
        <v>3</v>
      </c>
      <c r="D112" s="105" t="s">
        <v>68</v>
      </c>
      <c r="E112" s="106">
        <v>1.17</v>
      </c>
      <c r="F112" s="107">
        <v>0.1</v>
      </c>
      <c r="G112" s="108">
        <v>0.1</v>
      </c>
      <c r="H112" s="109" t="s">
        <v>55</v>
      </c>
      <c r="I112" s="110">
        <v>1.1419999999999999</v>
      </c>
      <c r="J112" s="110">
        <v>1.163</v>
      </c>
      <c r="K112" s="119">
        <v>1.147</v>
      </c>
      <c r="L112" s="111">
        <f t="shared" si="22"/>
        <v>-2.8000000000000025E-2</v>
      </c>
      <c r="M112" s="112">
        <f t="shared" si="22"/>
        <v>-6.9999999999998952E-3</v>
      </c>
      <c r="N112" s="112">
        <f t="shared" si="22"/>
        <v>-2.2999999999999909E-2</v>
      </c>
      <c r="O112" s="112">
        <f t="shared" si="15"/>
        <v>1.1506666666666667</v>
      </c>
      <c r="P112" s="113">
        <f t="shared" si="16"/>
        <v>0</v>
      </c>
      <c r="Q112" s="114">
        <f t="shared" si="17"/>
        <v>0.28000000000000025</v>
      </c>
      <c r="R112" s="115" t="str">
        <f t="shared" si="18"/>
        <v xml:space="preserve"> </v>
      </c>
      <c r="S112" s="115" t="str">
        <f t="shared" si="19"/>
        <v xml:space="preserve"> </v>
      </c>
      <c r="T112" s="116" t="str">
        <f t="shared" si="20"/>
        <v/>
      </c>
      <c r="U112" s="120"/>
      <c r="V112" s="118"/>
      <c r="W112" s="131"/>
    </row>
    <row r="113" spans="1:23" ht="13.2">
      <c r="A113" s="102" t="s">
        <v>153</v>
      </c>
      <c r="B113" s="102"/>
      <c r="C113" s="103">
        <v>3</v>
      </c>
      <c r="D113" s="105" t="s">
        <v>68</v>
      </c>
      <c r="E113" s="106">
        <v>1.17</v>
      </c>
      <c r="F113" s="107">
        <v>0.1</v>
      </c>
      <c r="G113" s="108">
        <v>0.1</v>
      </c>
      <c r="H113" s="109" t="s">
        <v>55</v>
      </c>
      <c r="I113" s="110">
        <v>1.139</v>
      </c>
      <c r="J113" s="110">
        <v>1.1459999999999999</v>
      </c>
      <c r="K113" s="119">
        <v>1.137</v>
      </c>
      <c r="L113" s="111">
        <f t="shared" si="22"/>
        <v>-3.0999999999999917E-2</v>
      </c>
      <c r="M113" s="112">
        <f t="shared" si="22"/>
        <v>-2.4000000000000021E-2</v>
      </c>
      <c r="N113" s="112">
        <f t="shared" si="22"/>
        <v>-3.2999999999999918E-2</v>
      </c>
      <c r="O113" s="112">
        <f t="shared" si="15"/>
        <v>1.1406666666666667</v>
      </c>
      <c r="P113" s="113">
        <f t="shared" si="16"/>
        <v>0</v>
      </c>
      <c r="Q113" s="114">
        <f t="shared" si="17"/>
        <v>0.32999999999999918</v>
      </c>
      <c r="R113" s="115" t="str">
        <f t="shared" si="18"/>
        <v xml:space="preserve"> </v>
      </c>
      <c r="S113" s="115" t="str">
        <f t="shared" si="19"/>
        <v xml:space="preserve"> </v>
      </c>
      <c r="T113" s="116" t="str">
        <f t="shared" si="20"/>
        <v/>
      </c>
      <c r="U113" s="120"/>
      <c r="V113" s="118"/>
      <c r="W113" s="131"/>
    </row>
    <row r="114" spans="1:23" ht="13.2">
      <c r="A114" s="102" t="s">
        <v>154</v>
      </c>
      <c r="B114" s="102"/>
      <c r="C114" s="103">
        <v>3</v>
      </c>
      <c r="D114" s="105" t="s">
        <v>68</v>
      </c>
      <c r="E114" s="106">
        <v>1.17</v>
      </c>
      <c r="F114" s="107">
        <v>0.1</v>
      </c>
      <c r="G114" s="108">
        <v>0.1</v>
      </c>
      <c r="H114" s="109" t="s">
        <v>55</v>
      </c>
      <c r="I114" s="110">
        <v>1.1299999999999999</v>
      </c>
      <c r="J114" s="110">
        <v>1.145</v>
      </c>
      <c r="K114" s="119">
        <v>1.1379999999999999</v>
      </c>
      <c r="L114" s="111">
        <f t="shared" si="22"/>
        <v>-4.0000000000000036E-2</v>
      </c>
      <c r="M114" s="112">
        <f t="shared" si="22"/>
        <v>-2.4999999999999911E-2</v>
      </c>
      <c r="N114" s="112">
        <f t="shared" si="22"/>
        <v>-3.2000000000000028E-2</v>
      </c>
      <c r="O114" s="112">
        <f t="shared" si="15"/>
        <v>1.1376666666666666</v>
      </c>
      <c r="P114" s="113">
        <f t="shared" si="16"/>
        <v>0</v>
      </c>
      <c r="Q114" s="114">
        <f t="shared" si="17"/>
        <v>0.40000000000000036</v>
      </c>
      <c r="R114" s="115" t="str">
        <f t="shared" si="18"/>
        <v xml:space="preserve"> </v>
      </c>
      <c r="S114" s="115" t="str">
        <f t="shared" si="19"/>
        <v xml:space="preserve"> </v>
      </c>
      <c r="T114" s="116" t="str">
        <f t="shared" si="20"/>
        <v/>
      </c>
      <c r="U114" s="120"/>
      <c r="V114" s="118"/>
      <c r="W114" s="131"/>
    </row>
    <row r="115" spans="1:23" ht="13.2">
      <c r="A115" s="102" t="s">
        <v>155</v>
      </c>
      <c r="B115" s="102"/>
      <c r="C115" s="103">
        <v>3</v>
      </c>
      <c r="D115" s="105" t="s">
        <v>68</v>
      </c>
      <c r="E115" s="106">
        <v>1.17</v>
      </c>
      <c r="F115" s="107">
        <v>0.1</v>
      </c>
      <c r="G115" s="108">
        <v>0.1</v>
      </c>
      <c r="H115" s="109" t="s">
        <v>55</v>
      </c>
      <c r="I115" s="110">
        <v>1.1359999999999999</v>
      </c>
      <c r="J115" s="110">
        <v>1.157</v>
      </c>
      <c r="K115" s="119">
        <v>1.1419999999999999</v>
      </c>
      <c r="L115" s="111">
        <f t="shared" si="22"/>
        <v>-3.400000000000003E-2</v>
      </c>
      <c r="M115" s="112">
        <f t="shared" si="22"/>
        <v>-1.2999999999999901E-2</v>
      </c>
      <c r="N115" s="112">
        <f t="shared" si="22"/>
        <v>-2.8000000000000025E-2</v>
      </c>
      <c r="O115" s="112">
        <f t="shared" si="15"/>
        <v>1.145</v>
      </c>
      <c r="P115" s="113">
        <f t="shared" si="16"/>
        <v>0</v>
      </c>
      <c r="Q115" s="114">
        <f t="shared" si="17"/>
        <v>0.3400000000000003</v>
      </c>
      <c r="R115" s="115" t="str">
        <f t="shared" si="18"/>
        <v xml:space="preserve"> </v>
      </c>
      <c r="S115" s="115" t="str">
        <f t="shared" si="19"/>
        <v xml:space="preserve"> </v>
      </c>
      <c r="T115" s="116" t="str">
        <f t="shared" si="20"/>
        <v/>
      </c>
      <c r="U115" s="120"/>
      <c r="V115" s="118"/>
      <c r="W115" s="131"/>
    </row>
    <row r="116" spans="1:23" ht="13.2">
      <c r="A116" s="102" t="s">
        <v>156</v>
      </c>
      <c r="B116" s="102"/>
      <c r="C116" s="103">
        <v>3</v>
      </c>
      <c r="D116" s="105" t="s">
        <v>68</v>
      </c>
      <c r="E116" s="106">
        <v>1.17</v>
      </c>
      <c r="F116" s="107">
        <v>0.1</v>
      </c>
      <c r="G116" s="108">
        <v>0.1</v>
      </c>
      <c r="H116" s="109" t="s">
        <v>55</v>
      </c>
      <c r="I116" s="110">
        <v>1.153</v>
      </c>
      <c r="J116" s="110">
        <v>1.153</v>
      </c>
      <c r="K116" s="119">
        <v>1.143</v>
      </c>
      <c r="L116" s="111">
        <f t="shared" si="22"/>
        <v>-1.6999999999999904E-2</v>
      </c>
      <c r="M116" s="112">
        <f t="shared" si="22"/>
        <v>-1.6999999999999904E-2</v>
      </c>
      <c r="N116" s="112">
        <f t="shared" si="22"/>
        <v>-2.6999999999999913E-2</v>
      </c>
      <c r="O116" s="112">
        <f t="shared" si="15"/>
        <v>1.1496666666666666</v>
      </c>
      <c r="P116" s="113">
        <f t="shared" si="16"/>
        <v>0</v>
      </c>
      <c r="Q116" s="114">
        <f t="shared" si="17"/>
        <v>0.26999999999999913</v>
      </c>
      <c r="R116" s="115" t="str">
        <f t="shared" si="18"/>
        <v xml:space="preserve"> </v>
      </c>
      <c r="S116" s="115" t="str">
        <f t="shared" si="19"/>
        <v xml:space="preserve"> </v>
      </c>
      <c r="T116" s="116" t="str">
        <f t="shared" si="20"/>
        <v/>
      </c>
      <c r="U116" s="120"/>
      <c r="V116" s="118"/>
      <c r="W116" s="131"/>
    </row>
    <row r="117" spans="1:23" ht="13.2">
      <c r="A117" s="102" t="s">
        <v>157</v>
      </c>
      <c r="B117" s="103"/>
      <c r="C117" s="103">
        <v>3</v>
      </c>
      <c r="D117" s="105" t="s">
        <v>68</v>
      </c>
      <c r="E117" s="106">
        <v>1.17</v>
      </c>
      <c r="F117" s="107">
        <v>0.1</v>
      </c>
      <c r="G117" s="108">
        <v>0.1</v>
      </c>
      <c r="H117" s="109" t="s">
        <v>55</v>
      </c>
      <c r="I117" s="110">
        <v>1.1319999999999999</v>
      </c>
      <c r="J117" s="110">
        <v>1.1459999999999999</v>
      </c>
      <c r="K117" s="119">
        <v>1.1359999999999999</v>
      </c>
      <c r="L117" s="111">
        <f t="shared" si="22"/>
        <v>-3.8000000000000034E-2</v>
      </c>
      <c r="M117" s="112">
        <f t="shared" si="22"/>
        <v>-2.4000000000000021E-2</v>
      </c>
      <c r="N117" s="112">
        <f t="shared" si="22"/>
        <v>-3.400000000000003E-2</v>
      </c>
      <c r="O117" s="112">
        <f t="shared" si="15"/>
        <v>1.1379999999999999</v>
      </c>
      <c r="P117" s="113">
        <f t="shared" si="16"/>
        <v>0</v>
      </c>
      <c r="Q117" s="114">
        <f t="shared" si="17"/>
        <v>0.38000000000000034</v>
      </c>
      <c r="R117" s="115" t="str">
        <f t="shared" si="18"/>
        <v xml:space="preserve"> </v>
      </c>
      <c r="S117" s="115" t="str">
        <f t="shared" si="19"/>
        <v xml:space="preserve"> </v>
      </c>
      <c r="T117" s="116" t="str">
        <f t="shared" si="20"/>
        <v/>
      </c>
      <c r="U117" s="120"/>
      <c r="V117" s="118"/>
      <c r="W117" s="131"/>
    </row>
    <row r="118" spans="1:23" ht="13.2">
      <c r="A118" s="102" t="s">
        <v>158</v>
      </c>
      <c r="B118" s="103"/>
      <c r="C118" s="103">
        <v>3</v>
      </c>
      <c r="D118" s="105" t="s">
        <v>68</v>
      </c>
      <c r="E118" s="106">
        <v>1.17</v>
      </c>
      <c r="F118" s="107">
        <v>0.1</v>
      </c>
      <c r="G118" s="108">
        <v>0.1</v>
      </c>
      <c r="H118" s="109" t="s">
        <v>55</v>
      </c>
      <c r="I118" s="110">
        <v>1.135</v>
      </c>
      <c r="J118" s="110">
        <v>1.1639999999999999</v>
      </c>
      <c r="K118" s="119">
        <v>1.1439999999999999</v>
      </c>
      <c r="L118" s="111">
        <f t="shared" si="22"/>
        <v>-3.499999999999992E-2</v>
      </c>
      <c r="M118" s="112">
        <f t="shared" si="22"/>
        <v>-6.0000000000000053E-3</v>
      </c>
      <c r="N118" s="112">
        <f t="shared" si="22"/>
        <v>-2.6000000000000023E-2</v>
      </c>
      <c r="O118" s="112">
        <f t="shared" si="15"/>
        <v>1.1476666666666666</v>
      </c>
      <c r="P118" s="113">
        <f t="shared" si="16"/>
        <v>0</v>
      </c>
      <c r="Q118" s="114">
        <f t="shared" si="17"/>
        <v>0.3499999999999992</v>
      </c>
      <c r="R118" s="115" t="str">
        <f t="shared" si="18"/>
        <v xml:space="preserve"> </v>
      </c>
      <c r="S118" s="115" t="str">
        <f t="shared" si="19"/>
        <v xml:space="preserve"> </v>
      </c>
      <c r="T118" s="116" t="str">
        <f t="shared" si="20"/>
        <v/>
      </c>
      <c r="U118" s="120"/>
      <c r="V118" s="118"/>
      <c r="W118" s="131"/>
    </row>
    <row r="119" spans="1:23" ht="13.2">
      <c r="A119" s="102" t="s">
        <v>159</v>
      </c>
      <c r="B119" s="103"/>
      <c r="C119" s="103">
        <v>3</v>
      </c>
      <c r="D119" s="105" t="s">
        <v>68</v>
      </c>
      <c r="E119" s="106">
        <v>1.17</v>
      </c>
      <c r="F119" s="107">
        <v>0.1</v>
      </c>
      <c r="G119" s="108">
        <v>0.1</v>
      </c>
      <c r="H119" s="109" t="s">
        <v>55</v>
      </c>
      <c r="I119" s="110">
        <v>1.1419999999999999</v>
      </c>
      <c r="J119" s="110">
        <v>1.1619999999999999</v>
      </c>
      <c r="K119" s="119">
        <v>1.139</v>
      </c>
      <c r="L119" s="111">
        <f t="shared" si="22"/>
        <v>-2.8000000000000025E-2</v>
      </c>
      <c r="M119" s="112">
        <f t="shared" si="22"/>
        <v>-8.0000000000000071E-3</v>
      </c>
      <c r="N119" s="112">
        <f t="shared" si="22"/>
        <v>-3.0999999999999917E-2</v>
      </c>
      <c r="O119" s="112">
        <f t="shared" si="15"/>
        <v>1.1476666666666666</v>
      </c>
      <c r="P119" s="113">
        <f t="shared" si="16"/>
        <v>0</v>
      </c>
      <c r="Q119" s="114">
        <f t="shared" si="17"/>
        <v>0.30999999999999917</v>
      </c>
      <c r="R119" s="115" t="str">
        <f t="shared" si="18"/>
        <v xml:space="preserve"> </v>
      </c>
      <c r="S119" s="115" t="str">
        <f t="shared" si="19"/>
        <v xml:space="preserve"> </v>
      </c>
      <c r="T119" s="116" t="str">
        <f t="shared" si="20"/>
        <v/>
      </c>
      <c r="U119" s="120"/>
      <c r="V119" s="118"/>
      <c r="W119" s="131"/>
    </row>
    <row r="120" spans="1:23" ht="13.2">
      <c r="A120" s="102" t="s">
        <v>167</v>
      </c>
      <c r="B120" s="102"/>
      <c r="C120" s="103">
        <v>3</v>
      </c>
      <c r="D120" s="105" t="s">
        <v>68</v>
      </c>
      <c r="E120" s="106">
        <v>1.17</v>
      </c>
      <c r="F120" s="107">
        <v>0.1</v>
      </c>
      <c r="G120" s="108">
        <v>0.1</v>
      </c>
      <c r="H120" s="109" t="s">
        <v>55</v>
      </c>
      <c r="I120" s="110">
        <v>1.1379999999999999</v>
      </c>
      <c r="J120" s="110">
        <v>1.157</v>
      </c>
      <c r="K120" s="119">
        <v>1.1359999999999999</v>
      </c>
      <c r="L120" s="111">
        <f t="shared" si="22"/>
        <v>-3.2000000000000028E-2</v>
      </c>
      <c r="M120" s="112">
        <f t="shared" si="22"/>
        <v>-1.2999999999999901E-2</v>
      </c>
      <c r="N120" s="112">
        <f t="shared" si="22"/>
        <v>-3.400000000000003E-2</v>
      </c>
      <c r="O120" s="112">
        <f t="shared" si="15"/>
        <v>1.1436666666666666</v>
      </c>
      <c r="P120" s="113">
        <f t="shared" si="16"/>
        <v>0</v>
      </c>
      <c r="Q120" s="114">
        <f t="shared" si="17"/>
        <v>0.3400000000000003</v>
      </c>
      <c r="R120" s="115" t="str">
        <f t="shared" si="18"/>
        <v xml:space="preserve"> </v>
      </c>
      <c r="S120" s="115" t="str">
        <f t="shared" si="19"/>
        <v xml:space="preserve"> </v>
      </c>
      <c r="T120" s="116" t="str">
        <f t="shared" si="20"/>
        <v/>
      </c>
      <c r="U120" s="120"/>
      <c r="V120" s="118"/>
      <c r="W120" s="131"/>
    </row>
    <row r="121" spans="1:23" ht="13.2">
      <c r="A121" s="102" t="s">
        <v>160</v>
      </c>
      <c r="B121" s="102"/>
      <c r="C121" s="103">
        <v>3</v>
      </c>
      <c r="D121" s="105" t="s">
        <v>68</v>
      </c>
      <c r="E121" s="106">
        <v>1.17</v>
      </c>
      <c r="F121" s="107">
        <v>0.1</v>
      </c>
      <c r="G121" s="108">
        <v>0.1</v>
      </c>
      <c r="H121" s="109" t="s">
        <v>55</v>
      </c>
      <c r="I121" s="110">
        <v>1.139</v>
      </c>
      <c r="J121" s="110">
        <v>1.1559999999999999</v>
      </c>
      <c r="K121" s="119">
        <v>1.139</v>
      </c>
      <c r="L121" s="111">
        <f t="shared" si="22"/>
        <v>-3.0999999999999917E-2</v>
      </c>
      <c r="M121" s="112">
        <f t="shared" si="22"/>
        <v>-1.4000000000000012E-2</v>
      </c>
      <c r="N121" s="112">
        <f t="shared" si="22"/>
        <v>-3.0999999999999917E-2</v>
      </c>
      <c r="O121" s="112">
        <f t="shared" si="15"/>
        <v>1.1446666666666667</v>
      </c>
      <c r="P121" s="113">
        <f t="shared" si="16"/>
        <v>0</v>
      </c>
      <c r="Q121" s="114">
        <f t="shared" si="17"/>
        <v>0.30999999999999917</v>
      </c>
      <c r="R121" s="115" t="str">
        <f t="shared" si="18"/>
        <v xml:space="preserve"> </v>
      </c>
      <c r="S121" s="115" t="str">
        <f t="shared" si="19"/>
        <v xml:space="preserve"> </v>
      </c>
      <c r="T121" s="116" t="str">
        <f t="shared" si="20"/>
        <v/>
      </c>
      <c r="U121" s="120"/>
      <c r="V121" s="118"/>
      <c r="W121" s="131"/>
    </row>
    <row r="122" spans="1:23" ht="13.2">
      <c r="A122" s="102" t="s">
        <v>161</v>
      </c>
      <c r="B122" s="102"/>
      <c r="C122" s="103">
        <v>3</v>
      </c>
      <c r="D122" s="105" t="s">
        <v>68</v>
      </c>
      <c r="E122" s="106">
        <v>1.17</v>
      </c>
      <c r="F122" s="107">
        <v>0.1</v>
      </c>
      <c r="G122" s="108">
        <v>0.1</v>
      </c>
      <c r="H122" s="109" t="s">
        <v>55</v>
      </c>
      <c r="I122" s="110">
        <v>1.133</v>
      </c>
      <c r="J122" s="110">
        <v>1.1539999999999999</v>
      </c>
      <c r="K122" s="119">
        <v>1.1339999999999999</v>
      </c>
      <c r="L122" s="111">
        <f t="shared" si="22"/>
        <v>-3.6999999999999922E-2</v>
      </c>
      <c r="M122" s="112">
        <f t="shared" si="22"/>
        <v>-1.6000000000000014E-2</v>
      </c>
      <c r="N122" s="112">
        <f t="shared" si="22"/>
        <v>-3.6000000000000032E-2</v>
      </c>
      <c r="O122" s="112">
        <f t="shared" si="15"/>
        <v>1.1403333333333332</v>
      </c>
      <c r="P122" s="113">
        <f t="shared" si="16"/>
        <v>0</v>
      </c>
      <c r="Q122" s="114">
        <f t="shared" si="17"/>
        <v>0.36999999999999922</v>
      </c>
      <c r="R122" s="115" t="str">
        <f t="shared" si="18"/>
        <v xml:space="preserve"> </v>
      </c>
      <c r="S122" s="115" t="str">
        <f t="shared" si="19"/>
        <v xml:space="preserve"> </v>
      </c>
      <c r="T122" s="116" t="str">
        <f t="shared" si="20"/>
        <v/>
      </c>
      <c r="U122" s="120"/>
      <c r="V122" s="118"/>
      <c r="W122" s="131"/>
    </row>
    <row r="123" spans="1:23" ht="13.2">
      <c r="A123" s="102" t="s">
        <v>162</v>
      </c>
      <c r="B123" s="102"/>
      <c r="C123" s="103">
        <v>3</v>
      </c>
      <c r="D123" s="105" t="s">
        <v>68</v>
      </c>
      <c r="E123" s="106">
        <v>1.17</v>
      </c>
      <c r="F123" s="107">
        <v>0.1</v>
      </c>
      <c r="G123" s="108">
        <v>0.1</v>
      </c>
      <c r="H123" s="109" t="s">
        <v>55</v>
      </c>
      <c r="I123" s="110">
        <v>1.139</v>
      </c>
      <c r="J123" s="110">
        <v>1.169</v>
      </c>
      <c r="K123" s="119">
        <v>1.133</v>
      </c>
      <c r="L123" s="111">
        <f t="shared" si="22"/>
        <v>-3.0999999999999917E-2</v>
      </c>
      <c r="M123" s="112">
        <f t="shared" si="22"/>
        <v>-9.9999999999988987E-4</v>
      </c>
      <c r="N123" s="112">
        <f t="shared" si="22"/>
        <v>-3.6999999999999922E-2</v>
      </c>
      <c r="O123" s="112">
        <f t="shared" si="15"/>
        <v>1.147</v>
      </c>
      <c r="P123" s="113">
        <f t="shared" si="16"/>
        <v>0</v>
      </c>
      <c r="Q123" s="114">
        <f t="shared" si="17"/>
        <v>0.36999999999999922</v>
      </c>
      <c r="R123" s="115" t="str">
        <f t="shared" si="18"/>
        <v xml:space="preserve"> </v>
      </c>
      <c r="S123" s="115" t="str">
        <f t="shared" si="19"/>
        <v xml:space="preserve"> </v>
      </c>
      <c r="T123" s="116" t="str">
        <f t="shared" si="20"/>
        <v/>
      </c>
      <c r="U123" s="120"/>
      <c r="V123" s="118"/>
      <c r="W123" s="131"/>
    </row>
    <row r="124" spans="1:23" ht="13.2">
      <c r="A124" s="102" t="s">
        <v>168</v>
      </c>
      <c r="B124" s="102"/>
      <c r="C124" s="103">
        <v>3</v>
      </c>
      <c r="D124" s="105" t="s">
        <v>68</v>
      </c>
      <c r="E124" s="106">
        <v>4</v>
      </c>
      <c r="F124" s="107">
        <v>0.1</v>
      </c>
      <c r="G124" s="108">
        <v>0.1</v>
      </c>
      <c r="H124" s="109" t="s">
        <v>55</v>
      </c>
      <c r="I124" s="110">
        <v>3.948</v>
      </c>
      <c r="J124" s="110">
        <v>4.0140000000000002</v>
      </c>
      <c r="K124" s="119">
        <v>3.992</v>
      </c>
      <c r="L124" s="111">
        <f t="shared" si="22"/>
        <v>-5.2000000000000046E-2</v>
      </c>
      <c r="M124" s="112">
        <f t="shared" si="22"/>
        <v>1.4000000000000234E-2</v>
      </c>
      <c r="N124" s="112">
        <f t="shared" si="22"/>
        <v>-8.0000000000000071E-3</v>
      </c>
      <c r="O124" s="112">
        <f t="shared" si="15"/>
        <v>3.984666666666667</v>
      </c>
      <c r="P124" s="113">
        <f t="shared" si="16"/>
        <v>0.14000000000000234</v>
      </c>
      <c r="Q124" s="114">
        <f t="shared" si="17"/>
        <v>0.52000000000000046</v>
      </c>
      <c r="R124" s="115" t="str">
        <f t="shared" si="18"/>
        <v xml:space="preserve"> </v>
      </c>
      <c r="S124" s="115" t="str">
        <f t="shared" si="19"/>
        <v xml:space="preserve"> </v>
      </c>
      <c r="T124" s="116" t="str">
        <f t="shared" si="20"/>
        <v/>
      </c>
      <c r="U124" s="120"/>
      <c r="V124" s="118"/>
      <c r="W124" s="131"/>
    </row>
    <row r="125" spans="1:23" ht="13.2">
      <c r="A125" s="102" t="s">
        <v>29</v>
      </c>
      <c r="B125" s="102"/>
      <c r="C125" s="103">
        <v>3</v>
      </c>
      <c r="D125" s="105" t="s">
        <v>68</v>
      </c>
      <c r="E125" s="106">
        <v>4</v>
      </c>
      <c r="F125" s="107">
        <v>0.1</v>
      </c>
      <c r="G125" s="108">
        <v>0.1</v>
      </c>
      <c r="H125" s="109" t="s">
        <v>55</v>
      </c>
      <c r="I125" s="110">
        <v>3.9249999999999998</v>
      </c>
      <c r="J125" s="110">
        <v>3.9510000000000001</v>
      </c>
      <c r="K125" s="119">
        <v>3.944</v>
      </c>
      <c r="L125" s="111">
        <f t="shared" si="22"/>
        <v>-7.5000000000000178E-2</v>
      </c>
      <c r="M125" s="112">
        <f t="shared" si="22"/>
        <v>-4.8999999999999932E-2</v>
      </c>
      <c r="N125" s="112">
        <f t="shared" si="22"/>
        <v>-5.600000000000005E-2</v>
      </c>
      <c r="O125" s="112">
        <f t="shared" si="15"/>
        <v>3.94</v>
      </c>
      <c r="P125" s="113">
        <f t="shared" si="16"/>
        <v>0</v>
      </c>
      <c r="Q125" s="114">
        <f t="shared" si="17"/>
        <v>0.75000000000000178</v>
      </c>
      <c r="R125" s="115" t="str">
        <f t="shared" si="18"/>
        <v xml:space="preserve"> </v>
      </c>
      <c r="S125" s="115" t="str">
        <f t="shared" si="19"/>
        <v>Alert</v>
      </c>
      <c r="T125" s="116" t="str">
        <f t="shared" si="20"/>
        <v>Alert</v>
      </c>
      <c r="U125" s="120"/>
      <c r="V125" s="118"/>
      <c r="W125" s="131"/>
    </row>
    <row r="126" spans="1:23" ht="13.2">
      <c r="A126" s="102" t="s">
        <v>169</v>
      </c>
      <c r="B126" s="102"/>
      <c r="C126" s="103">
        <v>3</v>
      </c>
      <c r="D126" s="105" t="s">
        <v>68</v>
      </c>
      <c r="E126" s="106">
        <v>4</v>
      </c>
      <c r="F126" s="107">
        <v>0.1</v>
      </c>
      <c r="G126" s="108">
        <v>0.1</v>
      </c>
      <c r="H126" s="109" t="s">
        <v>55</v>
      </c>
      <c r="I126" s="110">
        <v>3.9260000000000002</v>
      </c>
      <c r="J126" s="110">
        <v>3.9630000000000001</v>
      </c>
      <c r="K126" s="119">
        <v>3.9409999999999998</v>
      </c>
      <c r="L126" s="111">
        <f t="shared" si="22"/>
        <v>-7.3999999999999844E-2</v>
      </c>
      <c r="M126" s="112">
        <f t="shared" si="22"/>
        <v>-3.6999999999999922E-2</v>
      </c>
      <c r="N126" s="112">
        <f t="shared" si="22"/>
        <v>-5.9000000000000163E-2</v>
      </c>
      <c r="O126" s="112">
        <f t="shared" ref="O126:O189" si="23">IF(ISERR(I126/I126)=TRUE," ",AVERAGE(I126:K126))</f>
        <v>3.9433333333333334</v>
      </c>
      <c r="P126" s="113">
        <f t="shared" ref="P126:P189" si="24">IF(ISBLANK($E126),"",IF(ISNUMBER(F126)=FALSE,"BAD TOL", IF(F126=0,"N/A",IF(ISERR(I126/I126)=TRUE,"BAD INSP",IF(AND(ISNUMBER($I126),ISNUMBER($J126),ISNUMBER($K126))=FALSE,"BAD INSP",IF(MAX($I126:$K126)&lt;$E126,0,(MAX($I126:$K126)-$E126)/$F126))))))</f>
        <v>0</v>
      </c>
      <c r="Q126" s="114">
        <f t="shared" ref="Q126:Q189" si="25">IF(ISBLANK($E126),"",IF(ISNUMBER(G126)=FALSE,"BAD TOL",IF(G126=0,"N/A",IF(ISERR(I126/I126)=TRUE,"BAD INSP",IF(AND(ISNUMBER($I126),ISNUMBER($J126),ISNUMBER($K126))=FALSE,"BAD INSP",IF(MIN(I126:K126)&gt;$E126,0,($E126-MIN(I126:K126))/G126))))))</f>
        <v>0.73999999999999844</v>
      </c>
      <c r="R126" s="115" t="str">
        <f t="shared" ref="R126:R189" si="26">IF(ISBLANK($E126),"",IF(ISNUMBER($P126)=TRUE,IF($P126&gt;0.651,IF($P126&gt;1.001,"Reject","Alert")," "),IF(AND(F126=0, ISNUMBER(F126)),IF(MAX(I126:K126)&gt;(E126+F126),"Reject",IF(MAX(I126:K126)=(E126+F126),"Alert","")),"Reject")))</f>
        <v xml:space="preserve"> </v>
      </c>
      <c r="S126" s="115" t="str">
        <f t="shared" ref="S126:S189" si="27">IF(ISBLANK($E126),"",IF(ISNUMBER($Q126)=TRUE,IF($Q126&gt;0.651,IF($Q126&gt;1.001,"Reject","Alert")," "),IF(AND(G126=0, ISNUMBER(G126)),IF(MIN(I126:K126)&lt;(E126-G126),"Reject",IF(MIN(I126:K126)=(E126-G126),"Alert","")),"Reject")))</f>
        <v>Alert</v>
      </c>
      <c r="T126" s="116" t="str">
        <f t="shared" ref="T126:T189" si="28">IF(OR(R126="Reject",S126="Reject"),"Reject",IF(OR(R126="Alert",S126="Alert"),"Alert", ""))</f>
        <v>Alert</v>
      </c>
      <c r="U126" s="120"/>
      <c r="V126" s="118"/>
      <c r="W126" s="131"/>
    </row>
    <row r="127" spans="1:23" ht="13.2">
      <c r="A127" s="102" t="s">
        <v>170</v>
      </c>
      <c r="B127" s="102"/>
      <c r="C127" s="103">
        <v>3</v>
      </c>
      <c r="D127" s="105" t="s">
        <v>68</v>
      </c>
      <c r="E127" s="106">
        <v>4</v>
      </c>
      <c r="F127" s="107">
        <v>0.1</v>
      </c>
      <c r="G127" s="108">
        <v>0.1</v>
      </c>
      <c r="H127" s="109" t="s">
        <v>55</v>
      </c>
      <c r="I127" s="110">
        <v>3.9169999999999998</v>
      </c>
      <c r="J127" s="110">
        <v>3.94</v>
      </c>
      <c r="K127" s="119">
        <v>3.9340000000000002</v>
      </c>
      <c r="L127" s="111">
        <f t="shared" si="22"/>
        <v>-8.3000000000000185E-2</v>
      </c>
      <c r="M127" s="112">
        <f t="shared" si="22"/>
        <v>-6.0000000000000053E-2</v>
      </c>
      <c r="N127" s="112">
        <f t="shared" si="22"/>
        <v>-6.5999999999999837E-2</v>
      </c>
      <c r="O127" s="112">
        <f t="shared" si="23"/>
        <v>3.9303333333333335</v>
      </c>
      <c r="P127" s="113">
        <f t="shared" si="24"/>
        <v>0</v>
      </c>
      <c r="Q127" s="114">
        <f t="shared" si="25"/>
        <v>0.83000000000000185</v>
      </c>
      <c r="R127" s="115" t="str">
        <f t="shared" si="26"/>
        <v xml:space="preserve"> </v>
      </c>
      <c r="S127" s="115" t="str">
        <f t="shared" si="27"/>
        <v>Alert</v>
      </c>
      <c r="T127" s="116" t="str">
        <f t="shared" si="28"/>
        <v>Alert</v>
      </c>
      <c r="U127" s="120"/>
      <c r="V127" s="118"/>
      <c r="W127" s="131"/>
    </row>
    <row r="128" spans="1:23" ht="13.2">
      <c r="A128" s="102" t="s">
        <v>171</v>
      </c>
      <c r="B128" s="102"/>
      <c r="C128" s="103">
        <v>3</v>
      </c>
      <c r="D128" s="105" t="s">
        <v>68</v>
      </c>
      <c r="E128" s="106">
        <v>4</v>
      </c>
      <c r="F128" s="107">
        <v>0.1</v>
      </c>
      <c r="G128" s="108">
        <v>0.1</v>
      </c>
      <c r="H128" s="109" t="s">
        <v>55</v>
      </c>
      <c r="I128" s="110">
        <v>3.9350000000000001</v>
      </c>
      <c r="J128" s="110">
        <v>3.94</v>
      </c>
      <c r="K128" s="119">
        <v>3.9449999999999998</v>
      </c>
      <c r="L128" s="111">
        <f t="shared" si="22"/>
        <v>-6.4999999999999947E-2</v>
      </c>
      <c r="M128" s="112">
        <f t="shared" si="22"/>
        <v>-6.0000000000000053E-2</v>
      </c>
      <c r="N128" s="112">
        <f t="shared" si="22"/>
        <v>-5.500000000000016E-2</v>
      </c>
      <c r="O128" s="112">
        <f t="shared" si="23"/>
        <v>3.94</v>
      </c>
      <c r="P128" s="113">
        <f t="shared" si="24"/>
        <v>0</v>
      </c>
      <c r="Q128" s="114">
        <f t="shared" si="25"/>
        <v>0.64999999999999947</v>
      </c>
      <c r="R128" s="115" t="str">
        <f t="shared" si="26"/>
        <v xml:space="preserve"> </v>
      </c>
      <c r="S128" s="115" t="str">
        <f t="shared" si="27"/>
        <v xml:space="preserve"> </v>
      </c>
      <c r="T128" s="116" t="str">
        <f t="shared" si="28"/>
        <v/>
      </c>
      <c r="U128" s="120"/>
      <c r="V128" s="118"/>
      <c r="W128" s="131"/>
    </row>
    <row r="129" spans="1:23" ht="13.2">
      <c r="A129" s="102" t="s">
        <v>172</v>
      </c>
      <c r="B129" s="102"/>
      <c r="C129" s="103">
        <v>3</v>
      </c>
      <c r="D129" s="105" t="s">
        <v>68</v>
      </c>
      <c r="E129" s="106">
        <v>4</v>
      </c>
      <c r="F129" s="107">
        <v>0.1</v>
      </c>
      <c r="G129" s="108">
        <v>0.1</v>
      </c>
      <c r="H129" s="109" t="s">
        <v>55</v>
      </c>
      <c r="I129" s="110">
        <v>3.9910000000000001</v>
      </c>
      <c r="J129" s="110">
        <v>4.0140000000000002</v>
      </c>
      <c r="K129" s="119">
        <v>4.0049999999999999</v>
      </c>
      <c r="L129" s="111">
        <f t="shared" si="22"/>
        <v>-8.999999999999897E-3</v>
      </c>
      <c r="M129" s="112">
        <f t="shared" si="22"/>
        <v>1.4000000000000234E-2</v>
      </c>
      <c r="N129" s="112">
        <f t="shared" si="22"/>
        <v>4.9999999999998934E-3</v>
      </c>
      <c r="O129" s="112">
        <f t="shared" si="23"/>
        <v>4.0033333333333339</v>
      </c>
      <c r="P129" s="113">
        <f t="shared" si="24"/>
        <v>0.14000000000000234</v>
      </c>
      <c r="Q129" s="114">
        <f t="shared" si="25"/>
        <v>8.999999999999897E-2</v>
      </c>
      <c r="R129" s="115" t="str">
        <f t="shared" si="26"/>
        <v xml:space="preserve"> </v>
      </c>
      <c r="S129" s="115" t="str">
        <f t="shared" si="27"/>
        <v xml:space="preserve"> </v>
      </c>
      <c r="T129" s="116" t="str">
        <f t="shared" si="28"/>
        <v/>
      </c>
      <c r="U129" s="120"/>
      <c r="V129" s="118"/>
      <c r="W129" s="131"/>
    </row>
    <row r="130" spans="1:23" ht="13.2">
      <c r="A130" s="102" t="s">
        <v>173</v>
      </c>
      <c r="B130" s="102"/>
      <c r="C130" s="103">
        <v>3</v>
      </c>
      <c r="D130" s="105" t="s">
        <v>68</v>
      </c>
      <c r="E130" s="106">
        <v>4</v>
      </c>
      <c r="F130" s="107">
        <v>0.1</v>
      </c>
      <c r="G130" s="108">
        <v>0.1</v>
      </c>
      <c r="H130" s="109" t="s">
        <v>55</v>
      </c>
      <c r="I130" s="110">
        <v>3.919</v>
      </c>
      <c r="J130" s="110">
        <v>3.9409999999999998</v>
      </c>
      <c r="K130" s="119">
        <v>3.93</v>
      </c>
      <c r="L130" s="111">
        <f t="shared" si="22"/>
        <v>-8.0999999999999961E-2</v>
      </c>
      <c r="M130" s="112">
        <f t="shared" si="22"/>
        <v>-5.9000000000000163E-2</v>
      </c>
      <c r="N130" s="112">
        <f t="shared" si="22"/>
        <v>-6.999999999999984E-2</v>
      </c>
      <c r="O130" s="112">
        <f t="shared" si="23"/>
        <v>3.9299999999999997</v>
      </c>
      <c r="P130" s="113">
        <f t="shared" si="24"/>
        <v>0</v>
      </c>
      <c r="Q130" s="114">
        <f t="shared" si="25"/>
        <v>0.80999999999999961</v>
      </c>
      <c r="R130" s="115" t="str">
        <f t="shared" si="26"/>
        <v xml:space="preserve"> </v>
      </c>
      <c r="S130" s="115" t="str">
        <f t="shared" si="27"/>
        <v>Alert</v>
      </c>
      <c r="T130" s="116" t="str">
        <f t="shared" si="28"/>
        <v>Alert</v>
      </c>
      <c r="U130" s="120"/>
      <c r="V130" s="118"/>
      <c r="W130" s="131"/>
    </row>
    <row r="131" spans="1:23" ht="13.2">
      <c r="A131" s="102" t="s">
        <v>174</v>
      </c>
      <c r="B131" s="102"/>
      <c r="C131" s="103">
        <v>3</v>
      </c>
      <c r="D131" s="105" t="s">
        <v>68</v>
      </c>
      <c r="E131" s="106">
        <v>4</v>
      </c>
      <c r="F131" s="107">
        <v>0.1</v>
      </c>
      <c r="G131" s="108">
        <v>0.1</v>
      </c>
      <c r="H131" s="109" t="s">
        <v>55</v>
      </c>
      <c r="I131" s="110">
        <v>3.9209999999999998</v>
      </c>
      <c r="J131" s="110">
        <v>3.9510000000000001</v>
      </c>
      <c r="K131" s="119">
        <v>3.944</v>
      </c>
      <c r="L131" s="111">
        <f t="shared" si="22"/>
        <v>-7.9000000000000181E-2</v>
      </c>
      <c r="M131" s="112">
        <f t="shared" si="22"/>
        <v>-4.8999999999999932E-2</v>
      </c>
      <c r="N131" s="112">
        <f t="shared" si="22"/>
        <v>-5.600000000000005E-2</v>
      </c>
      <c r="O131" s="112">
        <f t="shared" si="23"/>
        <v>3.9386666666666663</v>
      </c>
      <c r="P131" s="113">
        <f t="shared" si="24"/>
        <v>0</v>
      </c>
      <c r="Q131" s="114">
        <f t="shared" si="25"/>
        <v>0.79000000000000181</v>
      </c>
      <c r="R131" s="115" t="str">
        <f t="shared" si="26"/>
        <v xml:space="preserve"> </v>
      </c>
      <c r="S131" s="115" t="str">
        <f t="shared" si="27"/>
        <v>Alert</v>
      </c>
      <c r="T131" s="116" t="str">
        <f t="shared" si="28"/>
        <v>Alert</v>
      </c>
      <c r="U131" s="120"/>
      <c r="V131" s="118"/>
      <c r="W131" s="131"/>
    </row>
    <row r="132" spans="1:23" ht="13.2">
      <c r="A132" s="102" t="s">
        <v>175</v>
      </c>
      <c r="B132" s="103"/>
      <c r="C132" s="103">
        <v>3</v>
      </c>
      <c r="D132" s="105" t="s">
        <v>68</v>
      </c>
      <c r="E132" s="106">
        <v>4</v>
      </c>
      <c r="F132" s="107">
        <v>0.1</v>
      </c>
      <c r="G132" s="108">
        <v>0.1</v>
      </c>
      <c r="H132" s="109" t="s">
        <v>55</v>
      </c>
      <c r="I132" s="110">
        <v>3.9359999999999999</v>
      </c>
      <c r="J132" s="110">
        <v>3.944</v>
      </c>
      <c r="K132" s="119">
        <v>3.9510000000000001</v>
      </c>
      <c r="L132" s="111">
        <f t="shared" si="22"/>
        <v>-6.4000000000000057E-2</v>
      </c>
      <c r="M132" s="112">
        <f t="shared" si="22"/>
        <v>-5.600000000000005E-2</v>
      </c>
      <c r="N132" s="112">
        <f t="shared" si="22"/>
        <v>-4.8999999999999932E-2</v>
      </c>
      <c r="O132" s="112">
        <f t="shared" si="23"/>
        <v>3.9436666666666667</v>
      </c>
      <c r="P132" s="113">
        <f t="shared" si="24"/>
        <v>0</v>
      </c>
      <c r="Q132" s="114">
        <f t="shared" si="25"/>
        <v>0.64000000000000057</v>
      </c>
      <c r="R132" s="115" t="str">
        <f t="shared" si="26"/>
        <v xml:space="preserve"> </v>
      </c>
      <c r="S132" s="115" t="str">
        <f t="shared" si="27"/>
        <v xml:space="preserve"> </v>
      </c>
      <c r="T132" s="116" t="str">
        <f t="shared" si="28"/>
        <v/>
      </c>
      <c r="U132" s="120"/>
      <c r="V132" s="118"/>
      <c r="W132" s="131"/>
    </row>
    <row r="133" spans="1:23" ht="13.2">
      <c r="A133" s="102" t="s">
        <v>176</v>
      </c>
      <c r="B133" s="103"/>
      <c r="C133" s="103">
        <v>3</v>
      </c>
      <c r="D133" s="105" t="s">
        <v>68</v>
      </c>
      <c r="E133" s="106">
        <v>4</v>
      </c>
      <c r="F133" s="107">
        <v>0.1</v>
      </c>
      <c r="G133" s="108">
        <v>0.1</v>
      </c>
      <c r="H133" s="109" t="s">
        <v>55</v>
      </c>
      <c r="I133" s="110">
        <v>3.931</v>
      </c>
      <c r="J133" s="110">
        <v>3.9470000000000001</v>
      </c>
      <c r="K133" s="119">
        <v>3.948</v>
      </c>
      <c r="L133" s="111">
        <f t="shared" si="22"/>
        <v>-6.899999999999995E-2</v>
      </c>
      <c r="M133" s="112">
        <f t="shared" si="22"/>
        <v>-5.2999999999999936E-2</v>
      </c>
      <c r="N133" s="112">
        <f t="shared" si="22"/>
        <v>-5.2000000000000046E-2</v>
      </c>
      <c r="O133" s="112">
        <f t="shared" si="23"/>
        <v>3.9420000000000002</v>
      </c>
      <c r="P133" s="113">
        <f t="shared" si="24"/>
        <v>0</v>
      </c>
      <c r="Q133" s="114">
        <f t="shared" si="25"/>
        <v>0.6899999999999995</v>
      </c>
      <c r="R133" s="115" t="str">
        <f t="shared" si="26"/>
        <v xml:space="preserve"> </v>
      </c>
      <c r="S133" s="115" t="str">
        <f t="shared" si="27"/>
        <v>Alert</v>
      </c>
      <c r="T133" s="116" t="str">
        <f t="shared" si="28"/>
        <v>Alert</v>
      </c>
      <c r="U133" s="120"/>
      <c r="V133" s="118"/>
      <c r="W133" s="131"/>
    </row>
    <row r="134" spans="1:23" ht="13.2">
      <c r="A134" s="102" t="s">
        <v>177</v>
      </c>
      <c r="B134" s="103"/>
      <c r="C134" s="103">
        <v>3</v>
      </c>
      <c r="D134" s="105" t="s">
        <v>68</v>
      </c>
      <c r="E134" s="106">
        <v>4</v>
      </c>
      <c r="F134" s="107">
        <v>0.1</v>
      </c>
      <c r="G134" s="108">
        <v>0.1</v>
      </c>
      <c r="H134" s="109" t="s">
        <v>55</v>
      </c>
      <c r="I134" s="110">
        <v>3.9350000000000001</v>
      </c>
      <c r="J134" s="110">
        <v>3.9569999999999999</v>
      </c>
      <c r="K134" s="119">
        <v>3.95</v>
      </c>
      <c r="L134" s="111">
        <f t="shared" si="22"/>
        <v>-6.4999999999999947E-2</v>
      </c>
      <c r="M134" s="112">
        <f t="shared" si="22"/>
        <v>-4.3000000000000149E-2</v>
      </c>
      <c r="N134" s="112">
        <f t="shared" si="22"/>
        <v>-4.9999999999999822E-2</v>
      </c>
      <c r="O134" s="112">
        <f t="shared" si="23"/>
        <v>3.9473333333333329</v>
      </c>
      <c r="P134" s="113">
        <f t="shared" si="24"/>
        <v>0</v>
      </c>
      <c r="Q134" s="114">
        <f t="shared" si="25"/>
        <v>0.64999999999999947</v>
      </c>
      <c r="R134" s="115" t="str">
        <f t="shared" si="26"/>
        <v xml:space="preserve"> </v>
      </c>
      <c r="S134" s="115" t="str">
        <f t="shared" si="27"/>
        <v xml:space="preserve"> </v>
      </c>
      <c r="T134" s="116" t="str">
        <f t="shared" si="28"/>
        <v/>
      </c>
      <c r="U134" s="120"/>
      <c r="V134" s="118"/>
      <c r="W134" s="131"/>
    </row>
    <row r="135" spans="1:23" ht="13.2">
      <c r="A135" s="102" t="s">
        <v>178</v>
      </c>
      <c r="B135" s="102"/>
      <c r="C135" s="103">
        <v>3</v>
      </c>
      <c r="D135" s="105" t="s">
        <v>68</v>
      </c>
      <c r="E135" s="106">
        <v>4</v>
      </c>
      <c r="F135" s="107">
        <v>0.1</v>
      </c>
      <c r="G135" s="108">
        <v>0.1</v>
      </c>
      <c r="H135" s="109" t="s">
        <v>55</v>
      </c>
      <c r="I135" s="110">
        <v>3.976</v>
      </c>
      <c r="J135" s="110">
        <v>4.0369999999999999</v>
      </c>
      <c r="K135" s="119">
        <v>4.0199999999999996</v>
      </c>
      <c r="L135" s="111">
        <f t="shared" si="22"/>
        <v>-2.4000000000000021E-2</v>
      </c>
      <c r="M135" s="112">
        <f t="shared" si="22"/>
        <v>3.6999999999999922E-2</v>
      </c>
      <c r="N135" s="112">
        <f t="shared" si="22"/>
        <v>1.9999999999999574E-2</v>
      </c>
      <c r="O135" s="112">
        <f t="shared" si="23"/>
        <v>4.0110000000000001</v>
      </c>
      <c r="P135" s="113">
        <f t="shared" si="24"/>
        <v>0.36999999999999922</v>
      </c>
      <c r="Q135" s="114">
        <f t="shared" si="25"/>
        <v>0.24000000000000021</v>
      </c>
      <c r="R135" s="115" t="str">
        <f t="shared" si="26"/>
        <v xml:space="preserve"> </v>
      </c>
      <c r="S135" s="115" t="str">
        <f t="shared" si="27"/>
        <v xml:space="preserve"> </v>
      </c>
      <c r="T135" s="116" t="str">
        <f t="shared" si="28"/>
        <v/>
      </c>
      <c r="U135" s="120"/>
      <c r="V135" s="118"/>
      <c r="W135" s="131"/>
    </row>
    <row r="136" spans="1:23" ht="13.2">
      <c r="A136" s="102" t="s">
        <v>179</v>
      </c>
      <c r="B136" s="102"/>
      <c r="C136" s="103">
        <v>3</v>
      </c>
      <c r="D136" s="105" t="s">
        <v>68</v>
      </c>
      <c r="E136" s="106">
        <v>5</v>
      </c>
      <c r="F136" s="107">
        <v>0.1</v>
      </c>
      <c r="G136" s="108">
        <v>0.1</v>
      </c>
      <c r="H136" s="109" t="s">
        <v>55</v>
      </c>
      <c r="I136" s="110">
        <v>4.9930000000000003</v>
      </c>
      <c r="J136" s="110">
        <v>4.9930000000000003</v>
      </c>
      <c r="K136" s="119">
        <v>4.9930000000000003</v>
      </c>
      <c r="L136" s="111">
        <f t="shared" si="22"/>
        <v>-6.9999999999996732E-3</v>
      </c>
      <c r="M136" s="112">
        <f t="shared" si="22"/>
        <v>-6.9999999999996732E-3</v>
      </c>
      <c r="N136" s="112">
        <f t="shared" si="22"/>
        <v>-6.9999999999996732E-3</v>
      </c>
      <c r="O136" s="112">
        <f t="shared" si="23"/>
        <v>4.9930000000000003</v>
      </c>
      <c r="P136" s="113">
        <f t="shared" si="24"/>
        <v>0</v>
      </c>
      <c r="Q136" s="114">
        <f t="shared" si="25"/>
        <v>6.9999999999996732E-2</v>
      </c>
      <c r="R136" s="115" t="str">
        <f t="shared" si="26"/>
        <v xml:space="preserve"> </v>
      </c>
      <c r="S136" s="115" t="str">
        <f t="shared" si="27"/>
        <v xml:space="preserve"> </v>
      </c>
      <c r="T136" s="116" t="str">
        <f t="shared" si="28"/>
        <v/>
      </c>
      <c r="U136" s="120"/>
      <c r="V136" s="118"/>
      <c r="W136" s="131"/>
    </row>
    <row r="137" spans="1:23" ht="13.2">
      <c r="A137" s="102" t="s">
        <v>30</v>
      </c>
      <c r="B137" s="102"/>
      <c r="C137" s="103">
        <v>3</v>
      </c>
      <c r="D137" s="105" t="s">
        <v>68</v>
      </c>
      <c r="E137" s="106">
        <v>5</v>
      </c>
      <c r="F137" s="107">
        <v>0.1</v>
      </c>
      <c r="G137" s="108">
        <v>0.1</v>
      </c>
      <c r="H137" s="109" t="s">
        <v>55</v>
      </c>
      <c r="I137" s="110">
        <v>4.99</v>
      </c>
      <c r="J137" s="110">
        <v>4.9939999999999998</v>
      </c>
      <c r="K137" s="119">
        <v>5.0060000000000002</v>
      </c>
      <c r="L137" s="111">
        <f t="shared" si="22"/>
        <v>-9.9999999999997868E-3</v>
      </c>
      <c r="M137" s="112">
        <f t="shared" si="22"/>
        <v>-6.0000000000002274E-3</v>
      </c>
      <c r="N137" s="112">
        <f t="shared" si="22"/>
        <v>6.0000000000002274E-3</v>
      </c>
      <c r="O137" s="112">
        <f t="shared" si="23"/>
        <v>4.996666666666667</v>
      </c>
      <c r="P137" s="113">
        <f t="shared" si="24"/>
        <v>6.0000000000002274E-2</v>
      </c>
      <c r="Q137" s="114">
        <f t="shared" si="25"/>
        <v>9.9999999999997868E-2</v>
      </c>
      <c r="R137" s="115" t="str">
        <f t="shared" si="26"/>
        <v xml:space="preserve"> </v>
      </c>
      <c r="S137" s="115" t="str">
        <f t="shared" si="27"/>
        <v xml:space="preserve"> </v>
      </c>
      <c r="T137" s="116" t="str">
        <f t="shared" si="28"/>
        <v/>
      </c>
      <c r="U137" s="120"/>
      <c r="V137" s="118"/>
      <c r="W137" s="131"/>
    </row>
    <row r="138" spans="1:23" ht="13.2">
      <c r="A138" s="102" t="s">
        <v>180</v>
      </c>
      <c r="B138" s="102"/>
      <c r="C138" s="103">
        <v>3</v>
      </c>
      <c r="D138" s="105" t="s">
        <v>68</v>
      </c>
      <c r="E138" s="106">
        <v>5</v>
      </c>
      <c r="F138" s="107">
        <v>0.1</v>
      </c>
      <c r="G138" s="108">
        <v>0.1</v>
      </c>
      <c r="H138" s="109" t="s">
        <v>55</v>
      </c>
      <c r="I138" s="110">
        <v>4.9980000000000002</v>
      </c>
      <c r="J138" s="110">
        <v>5.0069999999999997</v>
      </c>
      <c r="K138" s="119">
        <v>5.0129999999999999</v>
      </c>
      <c r="L138" s="111">
        <f t="shared" si="22"/>
        <v>-1.9999999999997797E-3</v>
      </c>
      <c r="M138" s="112">
        <f t="shared" si="22"/>
        <v>6.9999999999996732E-3</v>
      </c>
      <c r="N138" s="112">
        <f t="shared" si="22"/>
        <v>1.2999999999999901E-2</v>
      </c>
      <c r="O138" s="112">
        <f t="shared" si="23"/>
        <v>5.0059999999999993</v>
      </c>
      <c r="P138" s="113">
        <f t="shared" si="24"/>
        <v>0.12999999999999901</v>
      </c>
      <c r="Q138" s="114">
        <f t="shared" si="25"/>
        <v>1.9999999999997797E-2</v>
      </c>
      <c r="R138" s="115" t="str">
        <f t="shared" si="26"/>
        <v xml:space="preserve"> </v>
      </c>
      <c r="S138" s="115" t="str">
        <f t="shared" si="27"/>
        <v xml:space="preserve"> </v>
      </c>
      <c r="T138" s="116" t="str">
        <f t="shared" si="28"/>
        <v/>
      </c>
      <c r="U138" s="120"/>
      <c r="V138" s="118"/>
      <c r="W138" s="131"/>
    </row>
    <row r="139" spans="1:23" ht="13.2">
      <c r="A139" s="102" t="s">
        <v>181</v>
      </c>
      <c r="B139" s="102"/>
      <c r="C139" s="103">
        <v>3</v>
      </c>
      <c r="D139" s="105" t="s">
        <v>68</v>
      </c>
      <c r="E139" s="106">
        <v>5</v>
      </c>
      <c r="F139" s="107">
        <v>0.1</v>
      </c>
      <c r="G139" s="108">
        <v>0.1</v>
      </c>
      <c r="H139" s="109" t="s">
        <v>55</v>
      </c>
      <c r="I139" s="110">
        <v>4.992</v>
      </c>
      <c r="J139" s="110">
        <v>5.0019999999999998</v>
      </c>
      <c r="K139" s="119">
        <v>5.0030000000000001</v>
      </c>
      <c r="L139" s="111">
        <f t="shared" si="22"/>
        <v>-8.0000000000000071E-3</v>
      </c>
      <c r="M139" s="112">
        <f t="shared" si="22"/>
        <v>1.9999999999997797E-3</v>
      </c>
      <c r="N139" s="112">
        <f t="shared" si="22"/>
        <v>3.0000000000001137E-3</v>
      </c>
      <c r="O139" s="112">
        <f t="shared" si="23"/>
        <v>4.9989999999999997</v>
      </c>
      <c r="P139" s="113">
        <f t="shared" si="24"/>
        <v>3.0000000000001137E-2</v>
      </c>
      <c r="Q139" s="114">
        <f t="shared" si="25"/>
        <v>8.0000000000000071E-2</v>
      </c>
      <c r="R139" s="115" t="str">
        <f t="shared" si="26"/>
        <v xml:space="preserve"> </v>
      </c>
      <c r="S139" s="115" t="str">
        <f t="shared" si="27"/>
        <v xml:space="preserve"> </v>
      </c>
      <c r="T139" s="116" t="str">
        <f t="shared" si="28"/>
        <v/>
      </c>
      <c r="U139" s="120"/>
      <c r="V139" s="118"/>
      <c r="W139" s="131"/>
    </row>
    <row r="140" spans="1:23" ht="13.2">
      <c r="A140" s="102" t="s">
        <v>182</v>
      </c>
      <c r="B140" s="102"/>
      <c r="C140" s="103">
        <v>3</v>
      </c>
      <c r="D140" s="105" t="s">
        <v>68</v>
      </c>
      <c r="E140" s="106">
        <v>5</v>
      </c>
      <c r="F140" s="107">
        <v>0.1</v>
      </c>
      <c r="G140" s="108">
        <v>0.1</v>
      </c>
      <c r="H140" s="109" t="s">
        <v>55</v>
      </c>
      <c r="I140" s="110">
        <v>4.9870000000000001</v>
      </c>
      <c r="J140" s="110">
        <v>5.0090000000000003</v>
      </c>
      <c r="K140" s="119">
        <v>4.992</v>
      </c>
      <c r="L140" s="111">
        <f t="shared" si="22"/>
        <v>-1.2999999999999901E-2</v>
      </c>
      <c r="M140" s="112">
        <f t="shared" si="22"/>
        <v>9.0000000000003411E-3</v>
      </c>
      <c r="N140" s="112">
        <f t="shared" si="22"/>
        <v>-8.0000000000000071E-3</v>
      </c>
      <c r="O140" s="112">
        <f t="shared" si="23"/>
        <v>4.9959999999999996</v>
      </c>
      <c r="P140" s="113">
        <f t="shared" si="24"/>
        <v>9.0000000000003411E-2</v>
      </c>
      <c r="Q140" s="114">
        <f t="shared" si="25"/>
        <v>0.12999999999999901</v>
      </c>
      <c r="R140" s="115" t="str">
        <f t="shared" si="26"/>
        <v xml:space="preserve"> </v>
      </c>
      <c r="S140" s="115" t="str">
        <f t="shared" si="27"/>
        <v xml:space="preserve"> </v>
      </c>
      <c r="T140" s="116" t="str">
        <f t="shared" si="28"/>
        <v/>
      </c>
      <c r="U140" s="120"/>
      <c r="V140" s="118"/>
      <c r="W140" s="131"/>
    </row>
    <row r="141" spans="1:23" ht="13.2">
      <c r="A141" s="102" t="s">
        <v>183</v>
      </c>
      <c r="B141" s="102"/>
      <c r="C141" s="103">
        <v>3</v>
      </c>
      <c r="D141" s="105" t="s">
        <v>68</v>
      </c>
      <c r="E141" s="106">
        <v>5</v>
      </c>
      <c r="F141" s="107">
        <v>0.1</v>
      </c>
      <c r="G141" s="108">
        <v>0.1</v>
      </c>
      <c r="H141" s="109" t="s">
        <v>55</v>
      </c>
      <c r="I141" s="110">
        <v>4.96</v>
      </c>
      <c r="J141" s="110">
        <v>4.97</v>
      </c>
      <c r="K141" s="119">
        <v>4.9560000000000004</v>
      </c>
      <c r="L141" s="111">
        <f t="shared" si="22"/>
        <v>-4.0000000000000036E-2</v>
      </c>
      <c r="M141" s="112">
        <f t="shared" si="22"/>
        <v>-3.0000000000000249E-2</v>
      </c>
      <c r="N141" s="112">
        <f t="shared" si="22"/>
        <v>-4.3999999999999595E-2</v>
      </c>
      <c r="O141" s="112">
        <f t="shared" si="23"/>
        <v>4.9619999999999997</v>
      </c>
      <c r="P141" s="113">
        <f t="shared" si="24"/>
        <v>0</v>
      </c>
      <c r="Q141" s="114">
        <f t="shared" si="25"/>
        <v>0.43999999999999595</v>
      </c>
      <c r="R141" s="115" t="str">
        <f t="shared" si="26"/>
        <v xml:space="preserve"> </v>
      </c>
      <c r="S141" s="115" t="str">
        <f t="shared" si="27"/>
        <v xml:space="preserve"> </v>
      </c>
      <c r="T141" s="116" t="str">
        <f t="shared" si="28"/>
        <v/>
      </c>
      <c r="U141" s="120"/>
      <c r="V141" s="118"/>
      <c r="W141" s="131"/>
    </row>
    <row r="142" spans="1:23" ht="13.2">
      <c r="A142" s="102" t="s">
        <v>184</v>
      </c>
      <c r="B142" s="102"/>
      <c r="C142" s="103">
        <v>3</v>
      </c>
      <c r="D142" s="105" t="s">
        <v>68</v>
      </c>
      <c r="E142" s="106">
        <v>5</v>
      </c>
      <c r="F142" s="107">
        <v>0.1</v>
      </c>
      <c r="G142" s="108">
        <v>0.1</v>
      </c>
      <c r="H142" s="109" t="s">
        <v>55</v>
      </c>
      <c r="I142" s="110">
        <v>4.984</v>
      </c>
      <c r="J142" s="110">
        <v>4.9950000000000001</v>
      </c>
      <c r="K142" s="119">
        <v>4.9980000000000002</v>
      </c>
      <c r="L142" s="111">
        <f t="shared" si="22"/>
        <v>-1.6000000000000014E-2</v>
      </c>
      <c r="M142" s="112">
        <f t="shared" si="22"/>
        <v>-4.9999999999998934E-3</v>
      </c>
      <c r="N142" s="112">
        <f t="shared" si="22"/>
        <v>-1.9999999999997797E-3</v>
      </c>
      <c r="O142" s="112">
        <f t="shared" si="23"/>
        <v>4.9923333333333337</v>
      </c>
      <c r="P142" s="113">
        <f t="shared" si="24"/>
        <v>0</v>
      </c>
      <c r="Q142" s="114">
        <f t="shared" si="25"/>
        <v>0.16000000000000014</v>
      </c>
      <c r="R142" s="115" t="str">
        <f t="shared" si="26"/>
        <v xml:space="preserve"> </v>
      </c>
      <c r="S142" s="115" t="str">
        <f t="shared" si="27"/>
        <v xml:space="preserve"> </v>
      </c>
      <c r="T142" s="116" t="str">
        <f t="shared" si="28"/>
        <v/>
      </c>
      <c r="U142" s="120"/>
      <c r="V142" s="118"/>
      <c r="W142" s="131"/>
    </row>
    <row r="143" spans="1:23" ht="13.2">
      <c r="A143" s="102" t="s">
        <v>185</v>
      </c>
      <c r="B143" s="102"/>
      <c r="C143" s="103">
        <v>3</v>
      </c>
      <c r="D143" s="105" t="s">
        <v>68</v>
      </c>
      <c r="E143" s="106">
        <v>5</v>
      </c>
      <c r="F143" s="107">
        <v>0.1</v>
      </c>
      <c r="G143" s="108">
        <v>0.1</v>
      </c>
      <c r="H143" s="109" t="s">
        <v>55</v>
      </c>
      <c r="I143" s="110">
        <v>4.9930000000000003</v>
      </c>
      <c r="J143" s="110">
        <v>5.0030000000000001</v>
      </c>
      <c r="K143" s="119">
        <v>4.99</v>
      </c>
      <c r="L143" s="111">
        <f t="shared" si="22"/>
        <v>-6.9999999999996732E-3</v>
      </c>
      <c r="M143" s="112">
        <f t="shared" si="22"/>
        <v>3.0000000000001137E-3</v>
      </c>
      <c r="N143" s="112">
        <f t="shared" si="22"/>
        <v>-9.9999999999997868E-3</v>
      </c>
      <c r="O143" s="112">
        <f t="shared" si="23"/>
        <v>4.9953333333333338</v>
      </c>
      <c r="P143" s="113">
        <f t="shared" si="24"/>
        <v>3.0000000000001137E-2</v>
      </c>
      <c r="Q143" s="114">
        <f t="shared" si="25"/>
        <v>9.9999999999997868E-2</v>
      </c>
      <c r="R143" s="115" t="str">
        <f t="shared" si="26"/>
        <v xml:space="preserve"> </v>
      </c>
      <c r="S143" s="115" t="str">
        <f t="shared" si="27"/>
        <v xml:space="preserve"> </v>
      </c>
      <c r="T143" s="116" t="str">
        <f t="shared" si="28"/>
        <v/>
      </c>
      <c r="U143" s="120"/>
      <c r="V143" s="118"/>
      <c r="W143" s="131"/>
    </row>
    <row r="144" spans="1:23" ht="13.2">
      <c r="A144" s="102" t="s">
        <v>186</v>
      </c>
      <c r="B144" s="102"/>
      <c r="C144" s="103">
        <v>3</v>
      </c>
      <c r="D144" s="105" t="s">
        <v>68</v>
      </c>
      <c r="E144" s="106">
        <v>5</v>
      </c>
      <c r="F144" s="107">
        <v>0.1</v>
      </c>
      <c r="G144" s="108">
        <v>0.1</v>
      </c>
      <c r="H144" s="109" t="s">
        <v>55</v>
      </c>
      <c r="I144" s="110">
        <v>4.9989999999999997</v>
      </c>
      <c r="J144" s="110">
        <v>4.9980000000000002</v>
      </c>
      <c r="K144" s="119">
        <v>4.9980000000000002</v>
      </c>
      <c r="L144" s="111">
        <f t="shared" si="22"/>
        <v>-1.000000000000334E-3</v>
      </c>
      <c r="M144" s="112">
        <f t="shared" si="22"/>
        <v>-1.9999999999997797E-3</v>
      </c>
      <c r="N144" s="112">
        <f t="shared" si="22"/>
        <v>-1.9999999999997797E-3</v>
      </c>
      <c r="O144" s="112">
        <f t="shared" si="23"/>
        <v>4.998333333333334</v>
      </c>
      <c r="P144" s="113">
        <f t="shared" si="24"/>
        <v>0</v>
      </c>
      <c r="Q144" s="114">
        <f t="shared" si="25"/>
        <v>1.9999999999997797E-2</v>
      </c>
      <c r="R144" s="115" t="str">
        <f t="shared" si="26"/>
        <v xml:space="preserve"> </v>
      </c>
      <c r="S144" s="115" t="str">
        <f t="shared" si="27"/>
        <v xml:space="preserve"> </v>
      </c>
      <c r="T144" s="116" t="str">
        <f t="shared" si="28"/>
        <v/>
      </c>
      <c r="U144" s="120"/>
      <c r="V144" s="118"/>
      <c r="W144" s="131"/>
    </row>
    <row r="145" spans="1:23" ht="13.2">
      <c r="A145" s="102" t="s">
        <v>187</v>
      </c>
      <c r="B145" s="102"/>
      <c r="C145" s="103">
        <v>3</v>
      </c>
      <c r="D145" s="105" t="s">
        <v>68</v>
      </c>
      <c r="E145" s="106">
        <v>5</v>
      </c>
      <c r="F145" s="107">
        <v>0.1</v>
      </c>
      <c r="G145" s="108">
        <v>0.1</v>
      </c>
      <c r="H145" s="109" t="s">
        <v>55</v>
      </c>
      <c r="I145" s="110">
        <v>4.9950000000000001</v>
      </c>
      <c r="J145" s="110">
        <v>5.01</v>
      </c>
      <c r="K145" s="119">
        <v>4.9989999999999997</v>
      </c>
      <c r="L145" s="111">
        <f t="shared" si="22"/>
        <v>-4.9999999999998934E-3</v>
      </c>
      <c r="M145" s="112">
        <f t="shared" si="22"/>
        <v>9.9999999999997868E-3</v>
      </c>
      <c r="N145" s="112">
        <f t="shared" si="22"/>
        <v>-1.000000000000334E-3</v>
      </c>
      <c r="O145" s="112">
        <f t="shared" si="23"/>
        <v>5.0013333333333323</v>
      </c>
      <c r="P145" s="113">
        <f t="shared" si="24"/>
        <v>9.9999999999997868E-2</v>
      </c>
      <c r="Q145" s="114">
        <f t="shared" si="25"/>
        <v>4.9999999999998934E-2</v>
      </c>
      <c r="R145" s="115" t="str">
        <f t="shared" si="26"/>
        <v xml:space="preserve"> </v>
      </c>
      <c r="S145" s="115" t="str">
        <f t="shared" si="27"/>
        <v xml:space="preserve"> </v>
      </c>
      <c r="T145" s="116" t="str">
        <f t="shared" si="28"/>
        <v/>
      </c>
      <c r="U145" s="120"/>
      <c r="V145" s="118"/>
      <c r="W145" s="131"/>
    </row>
    <row r="146" spans="1:23" ht="13.2">
      <c r="A146" s="102" t="s">
        <v>188</v>
      </c>
      <c r="B146" s="102"/>
      <c r="C146" s="103">
        <v>3</v>
      </c>
      <c r="D146" s="105" t="s">
        <v>68</v>
      </c>
      <c r="E146" s="106">
        <v>5</v>
      </c>
      <c r="F146" s="107">
        <v>0.1</v>
      </c>
      <c r="G146" s="108">
        <v>0.1</v>
      </c>
      <c r="H146" s="109" t="s">
        <v>55</v>
      </c>
      <c r="I146" s="110">
        <v>4.9829999999999997</v>
      </c>
      <c r="J146" s="110">
        <v>4.9960000000000004</v>
      </c>
      <c r="K146" s="119">
        <v>5</v>
      </c>
      <c r="L146" s="111">
        <f t="shared" si="22"/>
        <v>-1.7000000000000348E-2</v>
      </c>
      <c r="M146" s="112">
        <f t="shared" si="22"/>
        <v>-3.9999999999995595E-3</v>
      </c>
      <c r="N146" s="112">
        <f t="shared" si="22"/>
        <v>0</v>
      </c>
      <c r="O146" s="112">
        <f t="shared" si="23"/>
        <v>4.9929999999999994</v>
      </c>
      <c r="P146" s="113">
        <f t="shared" si="24"/>
        <v>0</v>
      </c>
      <c r="Q146" s="114">
        <f t="shared" si="25"/>
        <v>0.17000000000000348</v>
      </c>
      <c r="R146" s="115" t="str">
        <f t="shared" si="26"/>
        <v xml:space="preserve"> </v>
      </c>
      <c r="S146" s="115" t="str">
        <f t="shared" si="27"/>
        <v xml:space="preserve"> </v>
      </c>
      <c r="T146" s="116" t="str">
        <f t="shared" si="28"/>
        <v/>
      </c>
      <c r="U146" s="120"/>
      <c r="V146" s="118"/>
      <c r="W146" s="131"/>
    </row>
    <row r="147" spans="1:23" ht="13.2">
      <c r="A147" s="102" t="s">
        <v>189</v>
      </c>
      <c r="B147" s="103" t="s">
        <v>199</v>
      </c>
      <c r="C147" s="104">
        <v>3</v>
      </c>
      <c r="D147" s="105" t="s">
        <v>68</v>
      </c>
      <c r="E147" s="106">
        <v>10</v>
      </c>
      <c r="F147" s="107">
        <v>0.1</v>
      </c>
      <c r="G147" s="108">
        <v>0.1</v>
      </c>
      <c r="H147" s="121" t="s">
        <v>55</v>
      </c>
      <c r="I147" s="110">
        <v>9.9969999999999999</v>
      </c>
      <c r="J147" s="110">
        <v>10.003</v>
      </c>
      <c r="K147" s="119">
        <v>10.004</v>
      </c>
      <c r="L147" s="111">
        <f t="shared" si="22"/>
        <v>-3.0000000000001137E-3</v>
      </c>
      <c r="M147" s="112">
        <f t="shared" si="22"/>
        <v>3.0000000000001137E-3</v>
      </c>
      <c r="N147" s="112">
        <f t="shared" si="22"/>
        <v>3.9999999999995595E-3</v>
      </c>
      <c r="O147" s="112">
        <f t="shared" si="23"/>
        <v>10.001333333333333</v>
      </c>
      <c r="P147" s="113">
        <f t="shared" si="24"/>
        <v>3.9999999999995595E-2</v>
      </c>
      <c r="Q147" s="114">
        <f t="shared" si="25"/>
        <v>3.0000000000001137E-2</v>
      </c>
      <c r="R147" s="115" t="str">
        <f t="shared" si="26"/>
        <v xml:space="preserve"> </v>
      </c>
      <c r="S147" s="115" t="str">
        <f t="shared" si="27"/>
        <v xml:space="preserve"> </v>
      </c>
      <c r="T147" s="116" t="str">
        <f t="shared" si="28"/>
        <v/>
      </c>
      <c r="U147" s="120"/>
      <c r="V147" s="118"/>
      <c r="W147" s="131"/>
    </row>
    <row r="148" spans="1:23" ht="13.2">
      <c r="A148" s="102" t="s">
        <v>31</v>
      </c>
      <c r="B148" s="103" t="s">
        <v>199</v>
      </c>
      <c r="C148" s="104">
        <v>3</v>
      </c>
      <c r="D148" s="105" t="s">
        <v>68</v>
      </c>
      <c r="E148" s="106">
        <v>10</v>
      </c>
      <c r="F148" s="107">
        <v>0.1</v>
      </c>
      <c r="G148" s="108">
        <v>0.1</v>
      </c>
      <c r="H148" s="121" t="s">
        <v>55</v>
      </c>
      <c r="I148" s="110">
        <v>9.9990000000000006</v>
      </c>
      <c r="J148" s="110">
        <v>10.016</v>
      </c>
      <c r="K148" s="119">
        <v>10.015000000000001</v>
      </c>
      <c r="L148" s="111">
        <f t="shared" si="22"/>
        <v>-9.9999999999944578E-4</v>
      </c>
      <c r="M148" s="112">
        <f t="shared" si="22"/>
        <v>1.6000000000000014E-2</v>
      </c>
      <c r="N148" s="112">
        <f t="shared" si="22"/>
        <v>1.5000000000000568E-2</v>
      </c>
      <c r="O148" s="112">
        <f t="shared" si="23"/>
        <v>10.01</v>
      </c>
      <c r="P148" s="113">
        <f t="shared" si="24"/>
        <v>0.16000000000000014</v>
      </c>
      <c r="Q148" s="114">
        <f t="shared" si="25"/>
        <v>9.9999999999944578E-3</v>
      </c>
      <c r="R148" s="115" t="str">
        <f t="shared" si="26"/>
        <v xml:space="preserve"> </v>
      </c>
      <c r="S148" s="115" t="str">
        <f t="shared" si="27"/>
        <v xml:space="preserve"> </v>
      </c>
      <c r="T148" s="116" t="str">
        <f t="shared" si="28"/>
        <v/>
      </c>
      <c r="U148" s="120"/>
      <c r="V148" s="118"/>
      <c r="W148" s="131"/>
    </row>
    <row r="149" spans="1:23" ht="13.2">
      <c r="A149" s="102" t="s">
        <v>190</v>
      </c>
      <c r="B149" s="103" t="s">
        <v>199</v>
      </c>
      <c r="C149" s="104">
        <v>3</v>
      </c>
      <c r="D149" s="105" t="s">
        <v>68</v>
      </c>
      <c r="E149" s="106">
        <v>10</v>
      </c>
      <c r="F149" s="107">
        <v>0.1</v>
      </c>
      <c r="G149" s="108">
        <v>0.1</v>
      </c>
      <c r="H149" s="121" t="s">
        <v>55</v>
      </c>
      <c r="I149" s="110">
        <v>9.99</v>
      </c>
      <c r="J149" s="110">
        <v>10.006</v>
      </c>
      <c r="K149" s="119">
        <v>9.9979999999999993</v>
      </c>
      <c r="L149" s="111">
        <f t="shared" si="22"/>
        <v>-9.9999999999997868E-3</v>
      </c>
      <c r="M149" s="112">
        <f t="shared" si="22"/>
        <v>6.0000000000002274E-3</v>
      </c>
      <c r="N149" s="112">
        <f t="shared" si="22"/>
        <v>-2.0000000000006679E-3</v>
      </c>
      <c r="O149" s="112">
        <f t="shared" si="23"/>
        <v>9.9979999999999993</v>
      </c>
      <c r="P149" s="113">
        <f t="shared" si="24"/>
        <v>6.0000000000002274E-2</v>
      </c>
      <c r="Q149" s="114">
        <f t="shared" si="25"/>
        <v>9.9999999999997868E-2</v>
      </c>
      <c r="R149" s="115" t="str">
        <f t="shared" si="26"/>
        <v xml:space="preserve"> </v>
      </c>
      <c r="S149" s="115" t="str">
        <f t="shared" si="27"/>
        <v xml:space="preserve"> </v>
      </c>
      <c r="T149" s="116" t="str">
        <f t="shared" si="28"/>
        <v/>
      </c>
      <c r="U149" s="120"/>
      <c r="V149" s="118"/>
      <c r="W149" s="131"/>
    </row>
    <row r="150" spans="1:23" ht="13.2">
      <c r="A150" s="102" t="s">
        <v>191</v>
      </c>
      <c r="B150" s="103" t="s">
        <v>199</v>
      </c>
      <c r="C150" s="104">
        <v>3</v>
      </c>
      <c r="D150" s="105" t="s">
        <v>68</v>
      </c>
      <c r="E150" s="106">
        <v>10</v>
      </c>
      <c r="F150" s="107">
        <v>0.1</v>
      </c>
      <c r="G150" s="108">
        <v>0.1</v>
      </c>
      <c r="H150" s="121" t="s">
        <v>55</v>
      </c>
      <c r="I150" s="110">
        <v>9.9920000000000009</v>
      </c>
      <c r="J150" s="110">
        <v>10.018000000000001</v>
      </c>
      <c r="K150" s="119">
        <v>10.015000000000001</v>
      </c>
      <c r="L150" s="111">
        <f t="shared" si="22"/>
        <v>-7.9999999999991189E-3</v>
      </c>
      <c r="M150" s="112">
        <f t="shared" si="22"/>
        <v>1.8000000000000682E-2</v>
      </c>
      <c r="N150" s="112">
        <f t="shared" si="22"/>
        <v>1.5000000000000568E-2</v>
      </c>
      <c r="O150" s="112">
        <f t="shared" si="23"/>
        <v>10.008333333333335</v>
      </c>
      <c r="P150" s="113">
        <f t="shared" si="24"/>
        <v>0.18000000000000682</v>
      </c>
      <c r="Q150" s="114">
        <f t="shared" si="25"/>
        <v>7.9999999999991189E-2</v>
      </c>
      <c r="R150" s="115" t="str">
        <f t="shared" si="26"/>
        <v xml:space="preserve"> </v>
      </c>
      <c r="S150" s="115" t="str">
        <f t="shared" si="27"/>
        <v xml:space="preserve"> </v>
      </c>
      <c r="T150" s="116" t="str">
        <f t="shared" si="28"/>
        <v/>
      </c>
      <c r="U150" s="120"/>
      <c r="V150" s="118"/>
      <c r="W150" s="131"/>
    </row>
    <row r="151" spans="1:23" ht="13.2">
      <c r="A151" s="102" t="s">
        <v>192</v>
      </c>
      <c r="B151" s="103" t="s">
        <v>199</v>
      </c>
      <c r="C151" s="104">
        <v>3</v>
      </c>
      <c r="D151" s="105" t="s">
        <v>68</v>
      </c>
      <c r="E151" s="106">
        <v>10</v>
      </c>
      <c r="F151" s="107">
        <v>0.1</v>
      </c>
      <c r="G151" s="108">
        <v>0.1</v>
      </c>
      <c r="H151" s="121" t="s">
        <v>55</v>
      </c>
      <c r="I151" s="110">
        <v>10.013</v>
      </c>
      <c r="J151" s="110">
        <v>10.029999999999999</v>
      </c>
      <c r="K151" s="119">
        <v>10.032</v>
      </c>
      <c r="L151" s="111">
        <f t="shared" si="22"/>
        <v>1.2999999999999901E-2</v>
      </c>
      <c r="M151" s="112">
        <f t="shared" si="22"/>
        <v>2.9999999999999361E-2</v>
      </c>
      <c r="N151" s="112">
        <f t="shared" si="22"/>
        <v>3.2000000000000028E-2</v>
      </c>
      <c r="O151" s="112">
        <f t="shared" si="23"/>
        <v>10.025</v>
      </c>
      <c r="P151" s="113">
        <f t="shared" si="24"/>
        <v>0.32000000000000028</v>
      </c>
      <c r="Q151" s="114">
        <f t="shared" si="25"/>
        <v>0</v>
      </c>
      <c r="R151" s="115" t="str">
        <f t="shared" si="26"/>
        <v xml:space="preserve"> </v>
      </c>
      <c r="S151" s="115" t="str">
        <f t="shared" si="27"/>
        <v xml:space="preserve"> </v>
      </c>
      <c r="T151" s="116" t="str">
        <f t="shared" si="28"/>
        <v/>
      </c>
      <c r="U151" s="120"/>
      <c r="V151" s="118"/>
      <c r="W151" s="131"/>
    </row>
    <row r="152" spans="1:23" ht="13.2">
      <c r="A152" s="102" t="s">
        <v>193</v>
      </c>
      <c r="B152" s="103" t="s">
        <v>199</v>
      </c>
      <c r="C152" s="104">
        <v>3</v>
      </c>
      <c r="D152" s="105" t="s">
        <v>68</v>
      </c>
      <c r="E152" s="106">
        <v>10</v>
      </c>
      <c r="F152" s="107">
        <v>0.1</v>
      </c>
      <c r="G152" s="108">
        <v>0.1</v>
      </c>
      <c r="H152" s="121" t="s">
        <v>55</v>
      </c>
      <c r="I152" s="110">
        <v>9.968</v>
      </c>
      <c r="J152" s="110">
        <v>9.9819999999999993</v>
      </c>
      <c r="K152" s="119">
        <v>9.9670000000000005</v>
      </c>
      <c r="L152" s="111">
        <f t="shared" si="22"/>
        <v>-3.2000000000000028E-2</v>
      </c>
      <c r="M152" s="112">
        <f t="shared" si="22"/>
        <v>-1.8000000000000682E-2</v>
      </c>
      <c r="N152" s="112">
        <f t="shared" si="22"/>
        <v>-3.2999999999999474E-2</v>
      </c>
      <c r="O152" s="112">
        <f t="shared" si="23"/>
        <v>9.9723333333333333</v>
      </c>
      <c r="P152" s="113">
        <f t="shared" si="24"/>
        <v>0</v>
      </c>
      <c r="Q152" s="114">
        <f t="shared" si="25"/>
        <v>0.32999999999999474</v>
      </c>
      <c r="R152" s="115" t="str">
        <f t="shared" si="26"/>
        <v xml:space="preserve"> </v>
      </c>
      <c r="S152" s="115" t="str">
        <f t="shared" si="27"/>
        <v xml:space="preserve"> </v>
      </c>
      <c r="T152" s="116" t="str">
        <f t="shared" si="28"/>
        <v/>
      </c>
      <c r="U152" s="120"/>
      <c r="V152" s="118"/>
      <c r="W152" s="131"/>
    </row>
    <row r="153" spans="1:23" ht="13.2">
      <c r="A153" s="102" t="s">
        <v>194</v>
      </c>
      <c r="B153" s="103" t="s">
        <v>199</v>
      </c>
      <c r="C153" s="104">
        <v>3</v>
      </c>
      <c r="D153" s="105" t="s">
        <v>68</v>
      </c>
      <c r="E153" s="106">
        <v>10</v>
      </c>
      <c r="F153" s="107">
        <v>0.1</v>
      </c>
      <c r="G153" s="108">
        <v>0.1</v>
      </c>
      <c r="H153" s="121" t="s">
        <v>55</v>
      </c>
      <c r="I153" s="110">
        <v>9.9770000000000003</v>
      </c>
      <c r="J153" s="110">
        <v>10.006</v>
      </c>
      <c r="K153" s="119">
        <v>10.003</v>
      </c>
      <c r="L153" s="111">
        <f t="shared" si="22"/>
        <v>-2.2999999999999687E-2</v>
      </c>
      <c r="M153" s="112">
        <f t="shared" si="22"/>
        <v>6.0000000000002274E-3</v>
      </c>
      <c r="N153" s="112">
        <f t="shared" si="22"/>
        <v>3.0000000000001137E-3</v>
      </c>
      <c r="O153" s="112">
        <f t="shared" si="23"/>
        <v>9.995333333333333</v>
      </c>
      <c r="P153" s="113">
        <f t="shared" si="24"/>
        <v>6.0000000000002274E-2</v>
      </c>
      <c r="Q153" s="114">
        <f t="shared" si="25"/>
        <v>0.22999999999999687</v>
      </c>
      <c r="R153" s="115" t="str">
        <f t="shared" si="26"/>
        <v xml:space="preserve"> </v>
      </c>
      <c r="S153" s="115" t="str">
        <f t="shared" si="27"/>
        <v xml:space="preserve"> </v>
      </c>
      <c r="T153" s="116" t="str">
        <f t="shared" si="28"/>
        <v/>
      </c>
      <c r="U153" s="120"/>
      <c r="V153" s="118"/>
      <c r="W153" s="131"/>
    </row>
    <row r="154" spans="1:23" ht="13.2">
      <c r="A154" s="102" t="s">
        <v>195</v>
      </c>
      <c r="B154" s="103" t="s">
        <v>199</v>
      </c>
      <c r="C154" s="104">
        <v>3</v>
      </c>
      <c r="D154" s="105" t="s">
        <v>68</v>
      </c>
      <c r="E154" s="106">
        <v>10</v>
      </c>
      <c r="F154" s="107">
        <v>0.1</v>
      </c>
      <c r="G154" s="108">
        <v>0.1</v>
      </c>
      <c r="H154" s="121" t="s">
        <v>55</v>
      </c>
      <c r="I154" s="110">
        <v>9.9600000000000009</v>
      </c>
      <c r="J154" s="110">
        <v>10.004</v>
      </c>
      <c r="K154" s="119">
        <v>10.000999999999999</v>
      </c>
      <c r="L154" s="111">
        <f t="shared" si="22"/>
        <v>-3.9999999999999147E-2</v>
      </c>
      <c r="M154" s="112">
        <f t="shared" si="22"/>
        <v>3.9999999999995595E-3</v>
      </c>
      <c r="N154" s="112">
        <f t="shared" si="22"/>
        <v>9.9999999999944578E-4</v>
      </c>
      <c r="O154" s="112">
        <f t="shared" si="23"/>
        <v>9.9883333333333315</v>
      </c>
      <c r="P154" s="113">
        <f t="shared" si="24"/>
        <v>3.9999999999995595E-2</v>
      </c>
      <c r="Q154" s="114">
        <f t="shared" si="25"/>
        <v>0.39999999999999147</v>
      </c>
      <c r="R154" s="115" t="str">
        <f t="shared" si="26"/>
        <v xml:space="preserve"> </v>
      </c>
      <c r="S154" s="115" t="str">
        <f t="shared" si="27"/>
        <v xml:space="preserve"> </v>
      </c>
      <c r="T154" s="116" t="str">
        <f t="shared" si="28"/>
        <v/>
      </c>
      <c r="U154" s="120"/>
      <c r="V154" s="118"/>
      <c r="W154" s="131"/>
    </row>
    <row r="155" spans="1:23" ht="13.2">
      <c r="A155" s="102" t="s">
        <v>196</v>
      </c>
      <c r="B155" s="103" t="s">
        <v>199</v>
      </c>
      <c r="C155" s="104">
        <v>3</v>
      </c>
      <c r="D155" s="105" t="s">
        <v>68</v>
      </c>
      <c r="E155" s="106">
        <v>10</v>
      </c>
      <c r="F155" s="107">
        <v>0.1</v>
      </c>
      <c r="G155" s="108">
        <v>0.1</v>
      </c>
      <c r="H155" s="121" t="s">
        <v>55</v>
      </c>
      <c r="I155" s="110">
        <v>9.9879999999999995</v>
      </c>
      <c r="J155" s="110">
        <v>10.003</v>
      </c>
      <c r="K155" s="119">
        <v>10.007</v>
      </c>
      <c r="L155" s="111">
        <f t="shared" si="22"/>
        <v>-1.2000000000000455E-2</v>
      </c>
      <c r="M155" s="112">
        <f t="shared" si="22"/>
        <v>3.0000000000001137E-3</v>
      </c>
      <c r="N155" s="112">
        <f t="shared" si="22"/>
        <v>6.9999999999996732E-3</v>
      </c>
      <c r="O155" s="112">
        <f t="shared" si="23"/>
        <v>9.9993333333333325</v>
      </c>
      <c r="P155" s="113">
        <f t="shared" si="24"/>
        <v>6.9999999999996732E-2</v>
      </c>
      <c r="Q155" s="114">
        <f t="shared" si="25"/>
        <v>0.12000000000000455</v>
      </c>
      <c r="R155" s="115" t="str">
        <f t="shared" si="26"/>
        <v xml:space="preserve"> </v>
      </c>
      <c r="S155" s="115" t="str">
        <f t="shared" si="27"/>
        <v xml:space="preserve"> </v>
      </c>
      <c r="T155" s="116" t="str">
        <f t="shared" si="28"/>
        <v/>
      </c>
      <c r="U155" s="120"/>
      <c r="V155" s="118"/>
      <c r="W155" s="131"/>
    </row>
    <row r="156" spans="1:23" ht="13.2">
      <c r="A156" s="102" t="s">
        <v>197</v>
      </c>
      <c r="B156" s="103" t="s">
        <v>199</v>
      </c>
      <c r="C156" s="104">
        <v>3</v>
      </c>
      <c r="D156" s="105" t="s">
        <v>68</v>
      </c>
      <c r="E156" s="106">
        <v>10</v>
      </c>
      <c r="F156" s="107">
        <v>0.1</v>
      </c>
      <c r="G156" s="108">
        <v>0.1</v>
      </c>
      <c r="H156" s="121" t="s">
        <v>55</v>
      </c>
      <c r="I156" s="110">
        <v>9.9749999999999996</v>
      </c>
      <c r="J156" s="110">
        <v>9.9990000000000006</v>
      </c>
      <c r="K156" s="119">
        <v>10.005000000000001</v>
      </c>
      <c r="L156" s="111">
        <f t="shared" si="22"/>
        <v>-2.5000000000000355E-2</v>
      </c>
      <c r="M156" s="112">
        <f t="shared" si="22"/>
        <v>-9.9999999999944578E-4</v>
      </c>
      <c r="N156" s="112">
        <f t="shared" si="22"/>
        <v>5.0000000000007816E-3</v>
      </c>
      <c r="O156" s="112">
        <f t="shared" si="23"/>
        <v>9.9930000000000003</v>
      </c>
      <c r="P156" s="113">
        <f t="shared" si="24"/>
        <v>5.0000000000007816E-2</v>
      </c>
      <c r="Q156" s="114">
        <f t="shared" si="25"/>
        <v>0.25000000000000355</v>
      </c>
      <c r="R156" s="115" t="str">
        <f t="shared" si="26"/>
        <v xml:space="preserve"> </v>
      </c>
      <c r="S156" s="115" t="str">
        <f t="shared" si="27"/>
        <v xml:space="preserve"> </v>
      </c>
      <c r="T156" s="116" t="str">
        <f t="shared" si="28"/>
        <v/>
      </c>
      <c r="U156" s="120"/>
      <c r="V156" s="118"/>
      <c r="W156" s="131"/>
    </row>
    <row r="157" spans="1:23" ht="13.2">
      <c r="A157" s="102" t="s">
        <v>198</v>
      </c>
      <c r="B157" s="103" t="s">
        <v>199</v>
      </c>
      <c r="C157" s="104">
        <v>3</v>
      </c>
      <c r="D157" s="105" t="s">
        <v>68</v>
      </c>
      <c r="E157" s="106">
        <v>10</v>
      </c>
      <c r="F157" s="107">
        <v>0.1</v>
      </c>
      <c r="G157" s="108">
        <v>0.1</v>
      </c>
      <c r="H157" s="121" t="s">
        <v>55</v>
      </c>
      <c r="I157" s="110">
        <v>10.023</v>
      </c>
      <c r="J157" s="110">
        <v>10.044</v>
      </c>
      <c r="K157" s="119">
        <v>10.051</v>
      </c>
      <c r="L157" s="111">
        <f t="shared" ref="L157:N220" si="29">IF(ISBLANK($E157),"",IF(ISERR(I157/I157)=TRUE,"BAD INSP",I157-$E157))</f>
        <v>2.2999999999999687E-2</v>
      </c>
      <c r="M157" s="112">
        <f t="shared" si="29"/>
        <v>4.4000000000000483E-2</v>
      </c>
      <c r="N157" s="112">
        <f t="shared" si="29"/>
        <v>5.1000000000000156E-2</v>
      </c>
      <c r="O157" s="112">
        <f t="shared" si="23"/>
        <v>10.039333333333333</v>
      </c>
      <c r="P157" s="113">
        <f t="shared" si="24"/>
        <v>0.51000000000000156</v>
      </c>
      <c r="Q157" s="114">
        <f t="shared" si="25"/>
        <v>0</v>
      </c>
      <c r="R157" s="115" t="str">
        <f t="shared" si="26"/>
        <v xml:space="preserve"> </v>
      </c>
      <c r="S157" s="115" t="str">
        <f t="shared" si="27"/>
        <v xml:space="preserve"> </v>
      </c>
      <c r="T157" s="116" t="str">
        <f t="shared" si="28"/>
        <v/>
      </c>
      <c r="U157" s="120"/>
      <c r="V157" s="118"/>
      <c r="W157" s="131"/>
    </row>
    <row r="158" spans="1:23" ht="13.2">
      <c r="A158" s="102" t="s">
        <v>200</v>
      </c>
      <c r="B158" s="102"/>
      <c r="C158" s="104">
        <v>3</v>
      </c>
      <c r="D158" s="105" t="s">
        <v>68</v>
      </c>
      <c r="E158" s="106">
        <v>1</v>
      </c>
      <c r="F158" s="107">
        <v>0.03</v>
      </c>
      <c r="G158" s="108">
        <v>0.03</v>
      </c>
      <c r="H158" s="121" t="s">
        <v>55</v>
      </c>
      <c r="I158" s="110">
        <v>0.97499999999999998</v>
      </c>
      <c r="J158" s="110">
        <v>0.97699999999999998</v>
      </c>
      <c r="K158" s="119">
        <v>0.97299999999999998</v>
      </c>
      <c r="L158" s="111">
        <f t="shared" si="29"/>
        <v>-2.5000000000000022E-2</v>
      </c>
      <c r="M158" s="112">
        <f t="shared" si="29"/>
        <v>-2.300000000000002E-2</v>
      </c>
      <c r="N158" s="112">
        <f t="shared" si="29"/>
        <v>-2.7000000000000024E-2</v>
      </c>
      <c r="O158" s="112">
        <f t="shared" si="23"/>
        <v>0.97499999999999998</v>
      </c>
      <c r="P158" s="113">
        <f t="shared" si="24"/>
        <v>0</v>
      </c>
      <c r="Q158" s="114">
        <f t="shared" si="25"/>
        <v>0.9000000000000008</v>
      </c>
      <c r="R158" s="115" t="str">
        <f t="shared" si="26"/>
        <v xml:space="preserve"> </v>
      </c>
      <c r="S158" s="115" t="str">
        <f t="shared" si="27"/>
        <v>Alert</v>
      </c>
      <c r="T158" s="116" t="str">
        <f t="shared" si="28"/>
        <v>Alert</v>
      </c>
      <c r="U158" s="120"/>
      <c r="V158" s="118"/>
      <c r="W158" s="131"/>
    </row>
    <row r="159" spans="1:23" ht="13.2">
      <c r="A159" s="102" t="s">
        <v>32</v>
      </c>
      <c r="B159" s="102"/>
      <c r="C159" s="104">
        <v>3</v>
      </c>
      <c r="D159" s="105" t="s">
        <v>68</v>
      </c>
      <c r="E159" s="106">
        <v>1</v>
      </c>
      <c r="F159" s="107">
        <v>0.03</v>
      </c>
      <c r="G159" s="108">
        <v>0.03</v>
      </c>
      <c r="H159" s="121" t="s">
        <v>55</v>
      </c>
      <c r="I159" s="110">
        <v>0.997</v>
      </c>
      <c r="J159" s="110">
        <v>0.995</v>
      </c>
      <c r="K159" s="119">
        <v>0.999</v>
      </c>
      <c r="L159" s="111">
        <f t="shared" si="29"/>
        <v>-3.0000000000000027E-3</v>
      </c>
      <c r="M159" s="112">
        <f t="shared" si="29"/>
        <v>-5.0000000000000044E-3</v>
      </c>
      <c r="N159" s="112">
        <f t="shared" si="29"/>
        <v>-1.0000000000000009E-3</v>
      </c>
      <c r="O159" s="112">
        <f t="shared" si="23"/>
        <v>0.997</v>
      </c>
      <c r="P159" s="113">
        <f t="shared" si="24"/>
        <v>0</v>
      </c>
      <c r="Q159" s="114">
        <f t="shared" si="25"/>
        <v>0.16666666666666682</v>
      </c>
      <c r="R159" s="115" t="str">
        <f t="shared" si="26"/>
        <v xml:space="preserve"> </v>
      </c>
      <c r="S159" s="115" t="str">
        <f t="shared" si="27"/>
        <v xml:space="preserve"> </v>
      </c>
      <c r="T159" s="116" t="str">
        <f t="shared" si="28"/>
        <v/>
      </c>
      <c r="U159" s="120"/>
      <c r="V159" s="118"/>
      <c r="W159" s="131"/>
    </row>
    <row r="160" spans="1:23" ht="13.2">
      <c r="A160" s="102" t="s">
        <v>33</v>
      </c>
      <c r="B160" s="102"/>
      <c r="C160" s="104">
        <v>3</v>
      </c>
      <c r="D160" s="105" t="s">
        <v>68</v>
      </c>
      <c r="E160" s="106">
        <v>1</v>
      </c>
      <c r="F160" s="107">
        <v>0.03</v>
      </c>
      <c r="G160" s="108">
        <v>0.03</v>
      </c>
      <c r="H160" s="121" t="s">
        <v>55</v>
      </c>
      <c r="I160" s="110">
        <v>0.99299999999999999</v>
      </c>
      <c r="J160" s="110">
        <v>1.002</v>
      </c>
      <c r="K160" s="119">
        <v>1.0029999999999999</v>
      </c>
      <c r="L160" s="111">
        <f t="shared" si="29"/>
        <v>-7.0000000000000062E-3</v>
      </c>
      <c r="M160" s="112">
        <f t="shared" si="29"/>
        <v>2.0000000000000018E-3</v>
      </c>
      <c r="N160" s="112">
        <f t="shared" si="29"/>
        <v>2.9999999999998916E-3</v>
      </c>
      <c r="O160" s="112">
        <f t="shared" si="23"/>
        <v>0.99933333333333341</v>
      </c>
      <c r="P160" s="113">
        <f t="shared" si="24"/>
        <v>9.9999999999996397E-2</v>
      </c>
      <c r="Q160" s="114">
        <f t="shared" si="25"/>
        <v>0.23333333333333356</v>
      </c>
      <c r="R160" s="115" t="str">
        <f t="shared" si="26"/>
        <v xml:space="preserve"> </v>
      </c>
      <c r="S160" s="115" t="str">
        <f t="shared" si="27"/>
        <v xml:space="preserve"> </v>
      </c>
      <c r="T160" s="116" t="str">
        <f t="shared" si="28"/>
        <v/>
      </c>
      <c r="U160" s="120"/>
      <c r="V160" s="118"/>
      <c r="W160" s="131"/>
    </row>
    <row r="161" spans="1:23" ht="13.2">
      <c r="A161" s="102" t="s">
        <v>34</v>
      </c>
      <c r="B161" s="102"/>
      <c r="C161" s="104">
        <v>3</v>
      </c>
      <c r="D161" s="105" t="s">
        <v>68</v>
      </c>
      <c r="E161" s="106">
        <v>1</v>
      </c>
      <c r="F161" s="107">
        <v>0.03</v>
      </c>
      <c r="G161" s="108">
        <v>0.03</v>
      </c>
      <c r="H161" s="121" t="s">
        <v>55</v>
      </c>
      <c r="I161" s="110">
        <v>1.002</v>
      </c>
      <c r="J161" s="110">
        <v>1.008</v>
      </c>
      <c r="K161" s="119">
        <v>1.0009999999999999</v>
      </c>
      <c r="L161" s="111">
        <f t="shared" si="29"/>
        <v>2.0000000000000018E-3</v>
      </c>
      <c r="M161" s="112">
        <f t="shared" si="29"/>
        <v>8.0000000000000071E-3</v>
      </c>
      <c r="N161" s="112">
        <f t="shared" si="29"/>
        <v>9.9999999999988987E-4</v>
      </c>
      <c r="O161" s="112">
        <f t="shared" si="23"/>
        <v>1.0036666666666665</v>
      </c>
      <c r="P161" s="113">
        <f t="shared" si="24"/>
        <v>0.26666666666666694</v>
      </c>
      <c r="Q161" s="114">
        <f t="shared" si="25"/>
        <v>0</v>
      </c>
      <c r="R161" s="115" t="str">
        <f t="shared" si="26"/>
        <v xml:space="preserve"> </v>
      </c>
      <c r="S161" s="115" t="str">
        <f t="shared" si="27"/>
        <v xml:space="preserve"> </v>
      </c>
      <c r="T161" s="116" t="str">
        <f t="shared" si="28"/>
        <v/>
      </c>
      <c r="U161" s="120"/>
      <c r="V161" s="118"/>
      <c r="W161" s="131"/>
    </row>
    <row r="162" spans="1:23" ht="13.2">
      <c r="A162" s="102" t="s">
        <v>35</v>
      </c>
      <c r="B162" s="103"/>
      <c r="C162" s="104">
        <v>3</v>
      </c>
      <c r="D162" s="105" t="s">
        <v>68</v>
      </c>
      <c r="E162" s="106">
        <v>1</v>
      </c>
      <c r="F162" s="107">
        <v>0.03</v>
      </c>
      <c r="G162" s="108">
        <v>0.03</v>
      </c>
      <c r="H162" s="121" t="s">
        <v>55</v>
      </c>
      <c r="I162" s="110">
        <v>0.99199999999999999</v>
      </c>
      <c r="J162" s="110">
        <v>0.99399999999999999</v>
      </c>
      <c r="K162" s="119">
        <v>1.0029999999999999</v>
      </c>
      <c r="L162" s="111">
        <f t="shared" si="29"/>
        <v>-8.0000000000000071E-3</v>
      </c>
      <c r="M162" s="112">
        <f t="shared" si="29"/>
        <v>-6.0000000000000053E-3</v>
      </c>
      <c r="N162" s="112">
        <f t="shared" si="29"/>
        <v>2.9999999999998916E-3</v>
      </c>
      <c r="O162" s="112">
        <f t="shared" si="23"/>
        <v>0.99633333333333329</v>
      </c>
      <c r="P162" s="113">
        <f t="shared" si="24"/>
        <v>9.9999999999996397E-2</v>
      </c>
      <c r="Q162" s="114">
        <f t="shared" si="25"/>
        <v>0.26666666666666694</v>
      </c>
      <c r="R162" s="115" t="str">
        <f t="shared" si="26"/>
        <v xml:space="preserve"> </v>
      </c>
      <c r="S162" s="115" t="str">
        <f t="shared" si="27"/>
        <v xml:space="preserve"> </v>
      </c>
      <c r="T162" s="116" t="str">
        <f t="shared" si="28"/>
        <v/>
      </c>
      <c r="U162" s="120"/>
      <c r="V162" s="118"/>
      <c r="W162" s="131"/>
    </row>
    <row r="163" spans="1:23" ht="13.2">
      <c r="A163" s="102" t="s">
        <v>36</v>
      </c>
      <c r="B163" s="103"/>
      <c r="C163" s="104">
        <v>3</v>
      </c>
      <c r="D163" s="105" t="s">
        <v>68</v>
      </c>
      <c r="E163" s="106">
        <v>1</v>
      </c>
      <c r="F163" s="107">
        <v>0.03</v>
      </c>
      <c r="G163" s="108">
        <v>0.03</v>
      </c>
      <c r="H163" s="121" t="s">
        <v>55</v>
      </c>
      <c r="I163" s="110">
        <v>0.999</v>
      </c>
      <c r="J163" s="110">
        <v>1.01</v>
      </c>
      <c r="K163" s="119">
        <v>0.999</v>
      </c>
      <c r="L163" s="111">
        <f t="shared" si="29"/>
        <v>-1.0000000000000009E-3</v>
      </c>
      <c r="M163" s="112">
        <f t="shared" si="29"/>
        <v>1.0000000000000009E-2</v>
      </c>
      <c r="N163" s="112">
        <f t="shared" si="29"/>
        <v>-1.0000000000000009E-3</v>
      </c>
      <c r="O163" s="112">
        <f t="shared" si="23"/>
        <v>1.0026666666666666</v>
      </c>
      <c r="P163" s="113">
        <f t="shared" si="24"/>
        <v>0.33333333333333365</v>
      </c>
      <c r="Q163" s="114">
        <f t="shared" si="25"/>
        <v>3.3333333333333368E-2</v>
      </c>
      <c r="R163" s="115" t="str">
        <f t="shared" si="26"/>
        <v xml:space="preserve"> </v>
      </c>
      <c r="S163" s="115" t="str">
        <f t="shared" si="27"/>
        <v xml:space="preserve"> </v>
      </c>
      <c r="T163" s="116" t="str">
        <f t="shared" si="28"/>
        <v/>
      </c>
      <c r="U163" s="120"/>
      <c r="V163" s="118"/>
      <c r="W163" s="131"/>
    </row>
    <row r="164" spans="1:23" ht="13.2">
      <c r="A164" s="102" t="s">
        <v>37</v>
      </c>
      <c r="B164" s="103"/>
      <c r="C164" s="104">
        <v>3</v>
      </c>
      <c r="D164" s="105" t="s">
        <v>68</v>
      </c>
      <c r="E164" s="106">
        <v>1</v>
      </c>
      <c r="F164" s="107">
        <v>0.03</v>
      </c>
      <c r="G164" s="108">
        <v>0.03</v>
      </c>
      <c r="H164" s="121" t="s">
        <v>55</v>
      </c>
      <c r="I164" s="110">
        <v>0.99099999999999999</v>
      </c>
      <c r="J164" s="110">
        <v>1.002</v>
      </c>
      <c r="K164" s="119">
        <v>1.008</v>
      </c>
      <c r="L164" s="111">
        <f t="shared" si="29"/>
        <v>-9.000000000000008E-3</v>
      </c>
      <c r="M164" s="112">
        <f t="shared" si="29"/>
        <v>2.0000000000000018E-3</v>
      </c>
      <c r="N164" s="112">
        <f t="shared" si="29"/>
        <v>8.0000000000000071E-3</v>
      </c>
      <c r="O164" s="112">
        <f t="shared" si="23"/>
        <v>1.0003333333333333</v>
      </c>
      <c r="P164" s="113">
        <f t="shared" si="24"/>
        <v>0.26666666666666694</v>
      </c>
      <c r="Q164" s="114">
        <f t="shared" si="25"/>
        <v>0.30000000000000027</v>
      </c>
      <c r="R164" s="115" t="str">
        <f t="shared" si="26"/>
        <v xml:space="preserve"> </v>
      </c>
      <c r="S164" s="115" t="str">
        <f t="shared" si="27"/>
        <v xml:space="preserve"> </v>
      </c>
      <c r="T164" s="116" t="str">
        <f t="shared" si="28"/>
        <v/>
      </c>
      <c r="U164" s="120"/>
      <c r="V164" s="118"/>
      <c r="W164" s="131"/>
    </row>
    <row r="165" spans="1:23" ht="13.2">
      <c r="A165" s="102" t="s">
        <v>38</v>
      </c>
      <c r="B165" s="102"/>
      <c r="C165" s="104">
        <v>3</v>
      </c>
      <c r="D165" s="105" t="s">
        <v>68</v>
      </c>
      <c r="E165" s="106">
        <v>1</v>
      </c>
      <c r="F165" s="107">
        <v>0.03</v>
      </c>
      <c r="G165" s="108">
        <v>0.03</v>
      </c>
      <c r="H165" s="121" t="s">
        <v>55</v>
      </c>
      <c r="I165" s="110">
        <v>1.0009999999999999</v>
      </c>
      <c r="J165" s="110">
        <v>1.0009999999999999</v>
      </c>
      <c r="K165" s="119">
        <v>0.998</v>
      </c>
      <c r="L165" s="111">
        <f t="shared" si="29"/>
        <v>9.9999999999988987E-4</v>
      </c>
      <c r="M165" s="112">
        <f t="shared" si="29"/>
        <v>9.9999999999988987E-4</v>
      </c>
      <c r="N165" s="112">
        <f t="shared" si="29"/>
        <v>-2.0000000000000018E-3</v>
      </c>
      <c r="O165" s="112">
        <f t="shared" si="23"/>
        <v>1</v>
      </c>
      <c r="P165" s="113">
        <f t="shared" si="24"/>
        <v>3.3333333333329662E-2</v>
      </c>
      <c r="Q165" s="114">
        <f t="shared" si="25"/>
        <v>6.6666666666666735E-2</v>
      </c>
      <c r="R165" s="115" t="str">
        <f t="shared" si="26"/>
        <v xml:space="preserve"> </v>
      </c>
      <c r="S165" s="115" t="str">
        <f t="shared" si="27"/>
        <v xml:space="preserve"> </v>
      </c>
      <c r="T165" s="116" t="str">
        <f t="shared" si="28"/>
        <v/>
      </c>
      <c r="U165" s="120"/>
      <c r="V165" s="118"/>
      <c r="W165" s="131"/>
    </row>
    <row r="166" spans="1:23" ht="13.2">
      <c r="A166" s="102" t="s">
        <v>201</v>
      </c>
      <c r="B166" s="102"/>
      <c r="C166" s="104">
        <v>3</v>
      </c>
      <c r="D166" s="105" t="s">
        <v>68</v>
      </c>
      <c r="E166" s="106">
        <v>1</v>
      </c>
      <c r="F166" s="107">
        <v>0.03</v>
      </c>
      <c r="G166" s="108">
        <v>0.03</v>
      </c>
      <c r="H166" s="121" t="s">
        <v>55</v>
      </c>
      <c r="I166" s="110">
        <v>0.98299999999999998</v>
      </c>
      <c r="J166" s="110">
        <v>1.0009999999999999</v>
      </c>
      <c r="K166" s="119">
        <v>1.0029999999999999</v>
      </c>
      <c r="L166" s="111">
        <f t="shared" si="29"/>
        <v>-1.7000000000000015E-2</v>
      </c>
      <c r="M166" s="112">
        <f t="shared" si="29"/>
        <v>9.9999999999988987E-4</v>
      </c>
      <c r="N166" s="112">
        <f t="shared" si="29"/>
        <v>2.9999999999998916E-3</v>
      </c>
      <c r="O166" s="112">
        <f t="shared" si="23"/>
        <v>0.9956666666666667</v>
      </c>
      <c r="P166" s="113">
        <f t="shared" si="24"/>
        <v>9.9999999999996397E-2</v>
      </c>
      <c r="Q166" s="114">
        <f t="shared" si="25"/>
        <v>0.56666666666666721</v>
      </c>
      <c r="R166" s="115" t="str">
        <f t="shared" si="26"/>
        <v xml:space="preserve"> </v>
      </c>
      <c r="S166" s="115" t="str">
        <f t="shared" si="27"/>
        <v xml:space="preserve"> </v>
      </c>
      <c r="T166" s="116" t="str">
        <f t="shared" si="28"/>
        <v/>
      </c>
      <c r="U166" s="120"/>
      <c r="V166" s="118"/>
      <c r="W166" s="131"/>
    </row>
    <row r="167" spans="1:23" ht="13.2">
      <c r="A167" s="102" t="s">
        <v>202</v>
      </c>
      <c r="B167" s="102"/>
      <c r="C167" s="104">
        <v>3</v>
      </c>
      <c r="D167" s="105" t="s">
        <v>68</v>
      </c>
      <c r="E167" s="106">
        <v>1</v>
      </c>
      <c r="F167" s="107">
        <v>0.03</v>
      </c>
      <c r="G167" s="108">
        <v>0.03</v>
      </c>
      <c r="H167" s="121" t="s">
        <v>55</v>
      </c>
      <c r="I167" s="110">
        <v>0.98399999999999999</v>
      </c>
      <c r="J167" s="110">
        <v>1</v>
      </c>
      <c r="K167" s="119">
        <v>0.997</v>
      </c>
      <c r="L167" s="111">
        <f t="shared" si="29"/>
        <v>-1.6000000000000014E-2</v>
      </c>
      <c r="M167" s="112">
        <f t="shared" si="29"/>
        <v>0</v>
      </c>
      <c r="N167" s="112">
        <f t="shared" si="29"/>
        <v>-3.0000000000000027E-3</v>
      </c>
      <c r="O167" s="112">
        <f t="shared" si="23"/>
        <v>0.99366666666666659</v>
      </c>
      <c r="P167" s="113">
        <f t="shared" si="24"/>
        <v>0</v>
      </c>
      <c r="Q167" s="114">
        <f t="shared" si="25"/>
        <v>0.53333333333333388</v>
      </c>
      <c r="R167" s="115" t="str">
        <f t="shared" si="26"/>
        <v xml:space="preserve"> </v>
      </c>
      <c r="S167" s="115" t="str">
        <f t="shared" si="27"/>
        <v xml:space="preserve"> </v>
      </c>
      <c r="T167" s="116" t="str">
        <f t="shared" si="28"/>
        <v/>
      </c>
      <c r="U167" s="120"/>
      <c r="V167" s="118"/>
      <c r="W167" s="131"/>
    </row>
    <row r="168" spans="1:23" ht="13.2">
      <c r="A168" s="102" t="s">
        <v>203</v>
      </c>
      <c r="B168" s="102"/>
      <c r="C168" s="104">
        <v>3</v>
      </c>
      <c r="D168" s="105" t="s">
        <v>68</v>
      </c>
      <c r="E168" s="106">
        <v>1</v>
      </c>
      <c r="F168" s="107">
        <v>0.03</v>
      </c>
      <c r="G168" s="108">
        <v>0.03</v>
      </c>
      <c r="H168" s="121" t="s">
        <v>55</v>
      </c>
      <c r="I168" s="110">
        <v>0.98899999999999999</v>
      </c>
      <c r="J168" s="110">
        <v>1.004</v>
      </c>
      <c r="K168" s="119">
        <v>1.0109999999999999</v>
      </c>
      <c r="L168" s="111">
        <f t="shared" si="29"/>
        <v>-1.100000000000001E-2</v>
      </c>
      <c r="M168" s="112">
        <f t="shared" si="29"/>
        <v>4.0000000000000036E-3</v>
      </c>
      <c r="N168" s="112">
        <f t="shared" si="29"/>
        <v>1.0999999999999899E-2</v>
      </c>
      <c r="O168" s="112">
        <f t="shared" si="23"/>
        <v>1.0013333333333332</v>
      </c>
      <c r="P168" s="113">
        <f t="shared" si="24"/>
        <v>0.36666666666666331</v>
      </c>
      <c r="Q168" s="114">
        <f t="shared" si="25"/>
        <v>0.36666666666666703</v>
      </c>
      <c r="R168" s="115" t="str">
        <f t="shared" si="26"/>
        <v xml:space="preserve"> </v>
      </c>
      <c r="S168" s="115" t="str">
        <f t="shared" si="27"/>
        <v xml:space="preserve"> </v>
      </c>
      <c r="T168" s="116" t="str">
        <f t="shared" si="28"/>
        <v/>
      </c>
      <c r="U168" s="120"/>
      <c r="V168" s="118"/>
      <c r="W168" s="131"/>
    </row>
    <row r="169" spans="1:23" ht="13.2">
      <c r="A169" s="102" t="s">
        <v>204</v>
      </c>
      <c r="B169" s="102"/>
      <c r="C169" s="104">
        <v>3</v>
      </c>
      <c r="D169" s="105" t="s">
        <v>68</v>
      </c>
      <c r="E169" s="106">
        <v>1</v>
      </c>
      <c r="F169" s="107">
        <v>0.03</v>
      </c>
      <c r="G169" s="108">
        <v>0.03</v>
      </c>
      <c r="H169" s="121" t="s">
        <v>55</v>
      </c>
      <c r="I169" s="110">
        <v>1.0069999999999999</v>
      </c>
      <c r="J169" s="110">
        <v>1.008</v>
      </c>
      <c r="K169" s="119">
        <v>1.0089999999999999</v>
      </c>
      <c r="L169" s="111">
        <f t="shared" si="29"/>
        <v>6.9999999999998952E-3</v>
      </c>
      <c r="M169" s="112">
        <f t="shared" si="29"/>
        <v>8.0000000000000071E-3</v>
      </c>
      <c r="N169" s="112">
        <f t="shared" si="29"/>
        <v>8.999999999999897E-3</v>
      </c>
      <c r="O169" s="112">
        <f t="shared" si="23"/>
        <v>1.0079999999999998</v>
      </c>
      <c r="P169" s="113">
        <f t="shared" si="24"/>
        <v>0.2999999999999966</v>
      </c>
      <c r="Q169" s="114">
        <f t="shared" si="25"/>
        <v>0</v>
      </c>
      <c r="R169" s="115" t="str">
        <f t="shared" si="26"/>
        <v xml:space="preserve"> </v>
      </c>
      <c r="S169" s="115" t="str">
        <f t="shared" si="27"/>
        <v xml:space="preserve"> </v>
      </c>
      <c r="T169" s="116" t="str">
        <f t="shared" si="28"/>
        <v/>
      </c>
      <c r="U169" s="120"/>
      <c r="V169" s="118"/>
      <c r="W169" s="131"/>
    </row>
    <row r="170" spans="1:23" ht="13.2">
      <c r="A170" s="102" t="s">
        <v>205</v>
      </c>
      <c r="B170" s="102"/>
      <c r="C170" s="104">
        <v>3</v>
      </c>
      <c r="D170" s="105" t="s">
        <v>68</v>
      </c>
      <c r="E170" s="106">
        <v>1</v>
      </c>
      <c r="F170" s="107">
        <v>0.03</v>
      </c>
      <c r="G170" s="108">
        <v>0.03</v>
      </c>
      <c r="H170" s="121" t="s">
        <v>55</v>
      </c>
      <c r="I170" s="110">
        <v>0.98699999999999999</v>
      </c>
      <c r="J170" s="110">
        <v>1.006</v>
      </c>
      <c r="K170" s="119">
        <v>1.002</v>
      </c>
      <c r="L170" s="111">
        <f t="shared" si="29"/>
        <v>-1.3000000000000012E-2</v>
      </c>
      <c r="M170" s="112">
        <f t="shared" si="29"/>
        <v>6.0000000000000053E-3</v>
      </c>
      <c r="N170" s="112">
        <f t="shared" si="29"/>
        <v>2.0000000000000018E-3</v>
      </c>
      <c r="O170" s="112">
        <f t="shared" si="23"/>
        <v>0.99833333333333341</v>
      </c>
      <c r="P170" s="113">
        <f t="shared" si="24"/>
        <v>0.20000000000000018</v>
      </c>
      <c r="Q170" s="114">
        <f t="shared" si="25"/>
        <v>0.43333333333333374</v>
      </c>
      <c r="R170" s="115" t="str">
        <f t="shared" si="26"/>
        <v xml:space="preserve"> </v>
      </c>
      <c r="S170" s="115" t="str">
        <f t="shared" si="27"/>
        <v xml:space="preserve"> </v>
      </c>
      <c r="T170" s="116" t="str">
        <f t="shared" si="28"/>
        <v/>
      </c>
      <c r="U170" s="120"/>
      <c r="V170" s="118"/>
      <c r="W170" s="131"/>
    </row>
    <row r="171" spans="1:23" ht="13.2">
      <c r="A171" s="102" t="s">
        <v>206</v>
      </c>
      <c r="B171" s="102"/>
      <c r="C171" s="104">
        <v>3</v>
      </c>
      <c r="D171" s="105" t="s">
        <v>68</v>
      </c>
      <c r="E171" s="106">
        <v>1</v>
      </c>
      <c r="F171" s="107">
        <v>0.03</v>
      </c>
      <c r="G171" s="108">
        <v>0.03</v>
      </c>
      <c r="H171" s="121" t="s">
        <v>55</v>
      </c>
      <c r="I171" s="110">
        <v>0.997</v>
      </c>
      <c r="J171" s="110">
        <v>0.996</v>
      </c>
      <c r="K171" s="119">
        <v>0.998</v>
      </c>
      <c r="L171" s="111">
        <f t="shared" si="29"/>
        <v>-3.0000000000000027E-3</v>
      </c>
      <c r="M171" s="112">
        <f t="shared" si="29"/>
        <v>-4.0000000000000036E-3</v>
      </c>
      <c r="N171" s="112">
        <f t="shared" si="29"/>
        <v>-2.0000000000000018E-3</v>
      </c>
      <c r="O171" s="112">
        <f t="shared" si="23"/>
        <v>0.99699999999999989</v>
      </c>
      <c r="P171" s="113">
        <f t="shared" si="24"/>
        <v>0</v>
      </c>
      <c r="Q171" s="114">
        <f t="shared" si="25"/>
        <v>0.13333333333333347</v>
      </c>
      <c r="R171" s="115" t="str">
        <f t="shared" si="26"/>
        <v xml:space="preserve"> </v>
      </c>
      <c r="S171" s="115" t="str">
        <f t="shared" si="27"/>
        <v xml:space="preserve"> </v>
      </c>
      <c r="T171" s="116" t="str">
        <f t="shared" si="28"/>
        <v/>
      </c>
      <c r="U171" s="120"/>
      <c r="V171" s="118"/>
      <c r="W171" s="131"/>
    </row>
    <row r="172" spans="1:23" ht="13.2">
      <c r="A172" s="102" t="s">
        <v>207</v>
      </c>
      <c r="B172" s="102"/>
      <c r="C172" s="104">
        <v>3</v>
      </c>
      <c r="D172" s="105" t="s">
        <v>68</v>
      </c>
      <c r="E172" s="106">
        <v>1</v>
      </c>
      <c r="F172" s="107">
        <v>0.03</v>
      </c>
      <c r="G172" s="108">
        <v>0.03</v>
      </c>
      <c r="H172" s="121" t="s">
        <v>55</v>
      </c>
      <c r="I172" s="110">
        <v>0.997</v>
      </c>
      <c r="J172" s="110">
        <v>0.997</v>
      </c>
      <c r="K172" s="119">
        <v>0.998</v>
      </c>
      <c r="L172" s="111">
        <f t="shared" si="29"/>
        <v>-3.0000000000000027E-3</v>
      </c>
      <c r="M172" s="112">
        <f t="shared" si="29"/>
        <v>-3.0000000000000027E-3</v>
      </c>
      <c r="N172" s="112">
        <f t="shared" si="29"/>
        <v>-2.0000000000000018E-3</v>
      </c>
      <c r="O172" s="112">
        <f t="shared" si="23"/>
        <v>0.99733333333333329</v>
      </c>
      <c r="P172" s="113">
        <f t="shared" si="24"/>
        <v>0</v>
      </c>
      <c r="Q172" s="114">
        <f t="shared" si="25"/>
        <v>0.10000000000000009</v>
      </c>
      <c r="R172" s="115" t="str">
        <f t="shared" si="26"/>
        <v xml:space="preserve"> </v>
      </c>
      <c r="S172" s="115" t="str">
        <f t="shared" si="27"/>
        <v xml:space="preserve"> </v>
      </c>
      <c r="T172" s="116" t="str">
        <f t="shared" si="28"/>
        <v/>
      </c>
      <c r="U172" s="120"/>
      <c r="V172" s="118"/>
      <c r="W172" s="131"/>
    </row>
    <row r="173" spans="1:23" ht="13.2">
      <c r="A173" s="102" t="s">
        <v>208</v>
      </c>
      <c r="B173" s="102"/>
      <c r="C173" s="104">
        <v>3</v>
      </c>
      <c r="D173" s="105" t="s">
        <v>68</v>
      </c>
      <c r="E173" s="106">
        <v>1</v>
      </c>
      <c r="F173" s="107">
        <v>0.03</v>
      </c>
      <c r="G173" s="108">
        <v>0.03</v>
      </c>
      <c r="H173" s="121" t="s">
        <v>55</v>
      </c>
      <c r="I173" s="110">
        <v>0.97599999999999998</v>
      </c>
      <c r="J173" s="110">
        <v>0.998</v>
      </c>
      <c r="K173" s="119">
        <v>1.004</v>
      </c>
      <c r="L173" s="111">
        <f t="shared" si="29"/>
        <v>-2.4000000000000021E-2</v>
      </c>
      <c r="M173" s="112">
        <f t="shared" si="29"/>
        <v>-2.0000000000000018E-3</v>
      </c>
      <c r="N173" s="112">
        <f t="shared" si="29"/>
        <v>4.0000000000000036E-3</v>
      </c>
      <c r="O173" s="112">
        <f t="shared" si="23"/>
        <v>0.99266666666666659</v>
      </c>
      <c r="P173" s="113">
        <f t="shared" si="24"/>
        <v>0.13333333333333347</v>
      </c>
      <c r="Q173" s="114">
        <f t="shared" si="25"/>
        <v>0.80000000000000071</v>
      </c>
      <c r="R173" s="115" t="str">
        <f t="shared" si="26"/>
        <v xml:space="preserve"> </v>
      </c>
      <c r="S173" s="115" t="str">
        <f t="shared" si="27"/>
        <v>Alert</v>
      </c>
      <c r="T173" s="116" t="str">
        <f t="shared" si="28"/>
        <v>Alert</v>
      </c>
      <c r="U173" s="120"/>
      <c r="V173" s="118"/>
      <c r="W173" s="131"/>
    </row>
    <row r="174" spans="1:23" ht="13.2">
      <c r="A174" s="102" t="s">
        <v>209</v>
      </c>
      <c r="B174" s="102"/>
      <c r="C174" s="104">
        <v>3</v>
      </c>
      <c r="D174" s="105" t="s">
        <v>68</v>
      </c>
      <c r="E174" s="106">
        <v>1</v>
      </c>
      <c r="F174" s="107">
        <v>0.03</v>
      </c>
      <c r="G174" s="108">
        <v>0.03</v>
      </c>
      <c r="H174" s="121" t="s">
        <v>55</v>
      </c>
      <c r="I174" s="110">
        <v>1.024</v>
      </c>
      <c r="J174" s="110">
        <v>1.0009999999999999</v>
      </c>
      <c r="K174" s="119">
        <v>1.0049999999999999</v>
      </c>
      <c r="L174" s="111">
        <f t="shared" si="29"/>
        <v>2.4000000000000021E-2</v>
      </c>
      <c r="M174" s="112">
        <f t="shared" si="29"/>
        <v>9.9999999999988987E-4</v>
      </c>
      <c r="N174" s="112">
        <f t="shared" si="29"/>
        <v>4.9999999999998934E-3</v>
      </c>
      <c r="O174" s="112">
        <f t="shared" si="23"/>
        <v>1.01</v>
      </c>
      <c r="P174" s="113">
        <f t="shared" si="24"/>
        <v>0.80000000000000071</v>
      </c>
      <c r="Q174" s="114">
        <f t="shared" si="25"/>
        <v>0</v>
      </c>
      <c r="R174" s="115" t="str">
        <f t="shared" si="26"/>
        <v>Alert</v>
      </c>
      <c r="S174" s="115" t="str">
        <f t="shared" si="27"/>
        <v xml:space="preserve"> </v>
      </c>
      <c r="T174" s="116" t="str">
        <f t="shared" si="28"/>
        <v>Alert</v>
      </c>
      <c r="U174" s="120"/>
      <c r="V174" s="118"/>
      <c r="W174" s="131"/>
    </row>
    <row r="175" spans="1:23" ht="13.2">
      <c r="A175" s="102" t="s">
        <v>210</v>
      </c>
      <c r="B175" s="102"/>
      <c r="C175" s="104">
        <v>3</v>
      </c>
      <c r="D175" s="105" t="s">
        <v>68</v>
      </c>
      <c r="E175" s="106">
        <v>1</v>
      </c>
      <c r="F175" s="107">
        <v>0.03</v>
      </c>
      <c r="G175" s="108">
        <v>0.03</v>
      </c>
      <c r="H175" s="121" t="s">
        <v>55</v>
      </c>
      <c r="I175" s="110">
        <v>0.97799999999999998</v>
      </c>
      <c r="J175" s="110">
        <v>0.999</v>
      </c>
      <c r="K175" s="119">
        <v>1.004</v>
      </c>
      <c r="L175" s="111">
        <f t="shared" si="29"/>
        <v>-2.200000000000002E-2</v>
      </c>
      <c r="M175" s="112">
        <f t="shared" si="29"/>
        <v>-1.0000000000000009E-3</v>
      </c>
      <c r="N175" s="112">
        <f t="shared" si="29"/>
        <v>4.0000000000000036E-3</v>
      </c>
      <c r="O175" s="112">
        <f t="shared" si="23"/>
        <v>0.99366666666666659</v>
      </c>
      <c r="P175" s="113">
        <f t="shared" si="24"/>
        <v>0.13333333333333347</v>
      </c>
      <c r="Q175" s="114">
        <f t="shared" si="25"/>
        <v>0.73333333333333406</v>
      </c>
      <c r="R175" s="115" t="str">
        <f t="shared" si="26"/>
        <v xml:space="preserve"> </v>
      </c>
      <c r="S175" s="115" t="str">
        <f t="shared" si="27"/>
        <v>Alert</v>
      </c>
      <c r="T175" s="116" t="str">
        <f t="shared" si="28"/>
        <v>Alert</v>
      </c>
      <c r="U175" s="120"/>
      <c r="V175" s="118"/>
      <c r="W175" s="131"/>
    </row>
    <row r="176" spans="1:23" ht="13.2">
      <c r="A176" s="102" t="s">
        <v>211</v>
      </c>
      <c r="B176" s="102"/>
      <c r="C176" s="104">
        <v>3</v>
      </c>
      <c r="D176" s="105" t="s">
        <v>68</v>
      </c>
      <c r="E176" s="106">
        <v>1</v>
      </c>
      <c r="F176" s="107">
        <v>0.03</v>
      </c>
      <c r="G176" s="108">
        <v>0.03</v>
      </c>
      <c r="H176" s="121" t="s">
        <v>55</v>
      </c>
      <c r="I176" s="110">
        <v>1.0029999999999999</v>
      </c>
      <c r="J176" s="110">
        <v>1.0069999999999999</v>
      </c>
      <c r="K176" s="119">
        <v>1.008</v>
      </c>
      <c r="L176" s="111">
        <f t="shared" si="29"/>
        <v>2.9999999999998916E-3</v>
      </c>
      <c r="M176" s="112">
        <f t="shared" si="29"/>
        <v>6.9999999999998952E-3</v>
      </c>
      <c r="N176" s="112">
        <f t="shared" si="29"/>
        <v>8.0000000000000071E-3</v>
      </c>
      <c r="O176" s="112">
        <f t="shared" si="23"/>
        <v>1.006</v>
      </c>
      <c r="P176" s="113">
        <f t="shared" si="24"/>
        <v>0.26666666666666694</v>
      </c>
      <c r="Q176" s="114">
        <f t="shared" si="25"/>
        <v>0</v>
      </c>
      <c r="R176" s="115" t="str">
        <f t="shared" si="26"/>
        <v xml:space="preserve"> </v>
      </c>
      <c r="S176" s="115" t="str">
        <f t="shared" si="27"/>
        <v xml:space="preserve"> </v>
      </c>
      <c r="T176" s="116" t="str">
        <f t="shared" si="28"/>
        <v/>
      </c>
      <c r="U176" s="120"/>
      <c r="V176" s="118"/>
      <c r="W176" s="131"/>
    </row>
    <row r="177" spans="1:23" ht="13.2">
      <c r="A177" s="102" t="s">
        <v>212</v>
      </c>
      <c r="B177" s="103"/>
      <c r="C177" s="104">
        <v>3</v>
      </c>
      <c r="D177" s="105" t="s">
        <v>68</v>
      </c>
      <c r="E177" s="106">
        <v>1</v>
      </c>
      <c r="F177" s="107">
        <v>0.03</v>
      </c>
      <c r="G177" s="108">
        <v>0.03</v>
      </c>
      <c r="H177" s="121" t="s">
        <v>55</v>
      </c>
      <c r="I177" s="110">
        <v>0.98099999999999998</v>
      </c>
      <c r="J177" s="110">
        <v>0.99299999999999999</v>
      </c>
      <c r="K177" s="119">
        <v>1.0009999999999999</v>
      </c>
      <c r="L177" s="111">
        <f t="shared" si="29"/>
        <v>-1.9000000000000017E-2</v>
      </c>
      <c r="M177" s="112">
        <f t="shared" si="29"/>
        <v>-7.0000000000000062E-3</v>
      </c>
      <c r="N177" s="112">
        <f t="shared" si="29"/>
        <v>9.9999999999988987E-4</v>
      </c>
      <c r="O177" s="112">
        <f t="shared" si="23"/>
        <v>0.99166666666666659</v>
      </c>
      <c r="P177" s="113">
        <f t="shared" si="24"/>
        <v>3.3333333333329662E-2</v>
      </c>
      <c r="Q177" s="114">
        <f t="shared" si="25"/>
        <v>0.63333333333333397</v>
      </c>
      <c r="R177" s="115" t="str">
        <f t="shared" si="26"/>
        <v xml:space="preserve"> </v>
      </c>
      <c r="S177" s="115" t="str">
        <f t="shared" si="27"/>
        <v xml:space="preserve"> </v>
      </c>
      <c r="T177" s="116" t="str">
        <f t="shared" si="28"/>
        <v/>
      </c>
      <c r="U177" s="120"/>
      <c r="V177" s="118"/>
      <c r="W177" s="131"/>
    </row>
    <row r="178" spans="1:23" ht="13.2">
      <c r="A178" s="102" t="s">
        <v>213</v>
      </c>
      <c r="B178" s="103"/>
      <c r="C178" s="104">
        <v>3</v>
      </c>
      <c r="D178" s="105" t="s">
        <v>68</v>
      </c>
      <c r="E178" s="106">
        <v>1</v>
      </c>
      <c r="F178" s="107">
        <v>0.03</v>
      </c>
      <c r="G178" s="108">
        <v>0.03</v>
      </c>
      <c r="H178" s="121" t="s">
        <v>55</v>
      </c>
      <c r="I178" s="110">
        <v>0.98899999999999999</v>
      </c>
      <c r="J178" s="110">
        <v>1.0069999999999999</v>
      </c>
      <c r="K178" s="119">
        <v>0.998</v>
      </c>
      <c r="L178" s="111">
        <f t="shared" si="29"/>
        <v>-1.100000000000001E-2</v>
      </c>
      <c r="M178" s="112">
        <f t="shared" si="29"/>
        <v>6.9999999999998952E-3</v>
      </c>
      <c r="N178" s="112">
        <f t="shared" si="29"/>
        <v>-2.0000000000000018E-3</v>
      </c>
      <c r="O178" s="112">
        <f t="shared" si="23"/>
        <v>0.99799999999999989</v>
      </c>
      <c r="P178" s="113">
        <f t="shared" si="24"/>
        <v>0.23333333333332984</v>
      </c>
      <c r="Q178" s="114">
        <f t="shared" si="25"/>
        <v>0.36666666666666703</v>
      </c>
      <c r="R178" s="115" t="str">
        <f t="shared" si="26"/>
        <v xml:space="preserve"> </v>
      </c>
      <c r="S178" s="115" t="str">
        <f t="shared" si="27"/>
        <v xml:space="preserve"> </v>
      </c>
      <c r="T178" s="116" t="str">
        <f t="shared" si="28"/>
        <v/>
      </c>
      <c r="U178" s="120"/>
      <c r="V178" s="118"/>
      <c r="W178" s="131"/>
    </row>
    <row r="179" spans="1:23" ht="13.2">
      <c r="A179" s="102" t="s">
        <v>214</v>
      </c>
      <c r="B179" s="103"/>
      <c r="C179" s="104">
        <v>3</v>
      </c>
      <c r="D179" s="105" t="s">
        <v>68</v>
      </c>
      <c r="E179" s="106">
        <v>1</v>
      </c>
      <c r="F179" s="107">
        <v>0.03</v>
      </c>
      <c r="G179" s="108">
        <v>0.03</v>
      </c>
      <c r="H179" s="121" t="s">
        <v>55</v>
      </c>
      <c r="I179" s="110">
        <v>0.995</v>
      </c>
      <c r="J179" s="110">
        <v>0.996</v>
      </c>
      <c r="K179" s="119">
        <v>1.0049999999999999</v>
      </c>
      <c r="L179" s="111">
        <f t="shared" si="29"/>
        <v>-5.0000000000000044E-3</v>
      </c>
      <c r="M179" s="112">
        <f t="shared" si="29"/>
        <v>-4.0000000000000036E-3</v>
      </c>
      <c r="N179" s="112">
        <f t="shared" si="29"/>
        <v>4.9999999999998934E-3</v>
      </c>
      <c r="O179" s="112">
        <f t="shared" si="23"/>
        <v>0.9986666666666667</v>
      </c>
      <c r="P179" s="113">
        <f t="shared" si="24"/>
        <v>0.16666666666666313</v>
      </c>
      <c r="Q179" s="114">
        <f t="shared" si="25"/>
        <v>0.16666666666666682</v>
      </c>
      <c r="R179" s="115" t="str">
        <f t="shared" si="26"/>
        <v xml:space="preserve"> </v>
      </c>
      <c r="S179" s="115" t="str">
        <f t="shared" si="27"/>
        <v xml:space="preserve"> </v>
      </c>
      <c r="T179" s="116" t="str">
        <f t="shared" si="28"/>
        <v/>
      </c>
      <c r="U179" s="120"/>
      <c r="V179" s="118"/>
      <c r="W179" s="131"/>
    </row>
    <row r="180" spans="1:23" ht="13.2">
      <c r="A180" s="102" t="s">
        <v>215</v>
      </c>
      <c r="B180" s="102"/>
      <c r="C180" s="104">
        <v>3</v>
      </c>
      <c r="D180" s="105" t="s">
        <v>68</v>
      </c>
      <c r="E180" s="106">
        <v>1</v>
      </c>
      <c r="F180" s="107">
        <v>0.03</v>
      </c>
      <c r="G180" s="108">
        <v>0.03</v>
      </c>
      <c r="H180" s="121" t="s">
        <v>55</v>
      </c>
      <c r="I180" s="110">
        <v>0.99399999999999999</v>
      </c>
      <c r="J180" s="110">
        <v>1.0029999999999999</v>
      </c>
      <c r="K180" s="119">
        <v>1.0069999999999999</v>
      </c>
      <c r="L180" s="111">
        <f t="shared" si="29"/>
        <v>-6.0000000000000053E-3</v>
      </c>
      <c r="M180" s="112">
        <f t="shared" si="29"/>
        <v>2.9999999999998916E-3</v>
      </c>
      <c r="N180" s="112">
        <f t="shared" si="29"/>
        <v>6.9999999999998952E-3</v>
      </c>
      <c r="O180" s="112">
        <f t="shared" si="23"/>
        <v>1.0013333333333332</v>
      </c>
      <c r="P180" s="113">
        <f t="shared" si="24"/>
        <v>0.23333333333332984</v>
      </c>
      <c r="Q180" s="114">
        <f t="shared" si="25"/>
        <v>0.20000000000000018</v>
      </c>
      <c r="R180" s="115" t="str">
        <f t="shared" si="26"/>
        <v xml:space="preserve"> </v>
      </c>
      <c r="S180" s="115" t="str">
        <f t="shared" si="27"/>
        <v xml:space="preserve"> </v>
      </c>
      <c r="T180" s="116" t="str">
        <f t="shared" si="28"/>
        <v/>
      </c>
      <c r="U180" s="120"/>
      <c r="V180" s="118"/>
      <c r="W180" s="131"/>
    </row>
    <row r="181" spans="1:23" ht="13.2">
      <c r="A181" s="102" t="s">
        <v>216</v>
      </c>
      <c r="B181" s="102"/>
      <c r="C181" s="104">
        <v>3</v>
      </c>
      <c r="D181" s="105" t="s">
        <v>68</v>
      </c>
      <c r="E181" s="106">
        <v>1</v>
      </c>
      <c r="F181" s="107">
        <v>0.03</v>
      </c>
      <c r="G181" s="108">
        <v>0.03</v>
      </c>
      <c r="H181" s="121" t="s">
        <v>55</v>
      </c>
      <c r="I181" s="110">
        <v>1.0149999999999999</v>
      </c>
      <c r="J181" s="110">
        <v>0.996</v>
      </c>
      <c r="K181" s="119">
        <v>0.99399999999999999</v>
      </c>
      <c r="L181" s="111">
        <f t="shared" si="29"/>
        <v>1.4999999999999902E-2</v>
      </c>
      <c r="M181" s="112">
        <f t="shared" si="29"/>
        <v>-4.0000000000000036E-3</v>
      </c>
      <c r="N181" s="112">
        <f t="shared" si="29"/>
        <v>-6.0000000000000053E-3</v>
      </c>
      <c r="O181" s="112">
        <f t="shared" si="23"/>
        <v>1.0016666666666667</v>
      </c>
      <c r="P181" s="113">
        <f t="shared" si="24"/>
        <v>0.49999999999999678</v>
      </c>
      <c r="Q181" s="114">
        <f t="shared" si="25"/>
        <v>0.20000000000000018</v>
      </c>
      <c r="R181" s="115" t="str">
        <f t="shared" si="26"/>
        <v xml:space="preserve"> </v>
      </c>
      <c r="S181" s="115" t="str">
        <f t="shared" si="27"/>
        <v xml:space="preserve"> </v>
      </c>
      <c r="T181" s="116" t="str">
        <f t="shared" si="28"/>
        <v/>
      </c>
      <c r="U181" s="120"/>
      <c r="V181" s="118"/>
      <c r="W181" s="131"/>
    </row>
    <row r="182" spans="1:23" ht="13.2">
      <c r="A182" s="102" t="s">
        <v>217</v>
      </c>
      <c r="B182" s="102"/>
      <c r="C182" s="104">
        <v>3</v>
      </c>
      <c r="D182" s="105" t="s">
        <v>68</v>
      </c>
      <c r="E182" s="106">
        <v>1</v>
      </c>
      <c r="F182" s="107">
        <v>0.03</v>
      </c>
      <c r="G182" s="108">
        <v>0.03</v>
      </c>
      <c r="H182" s="121" t="s">
        <v>55</v>
      </c>
      <c r="I182" s="110">
        <v>0.98699999999999999</v>
      </c>
      <c r="J182" s="110">
        <v>1.0029999999999999</v>
      </c>
      <c r="K182" s="119">
        <v>0.997</v>
      </c>
      <c r="L182" s="111">
        <f t="shared" si="29"/>
        <v>-1.3000000000000012E-2</v>
      </c>
      <c r="M182" s="112">
        <f t="shared" si="29"/>
        <v>2.9999999999998916E-3</v>
      </c>
      <c r="N182" s="112">
        <f t="shared" si="29"/>
        <v>-3.0000000000000027E-3</v>
      </c>
      <c r="O182" s="112">
        <f t="shared" si="23"/>
        <v>0.99566666666666659</v>
      </c>
      <c r="P182" s="113">
        <f t="shared" si="24"/>
        <v>9.9999999999996397E-2</v>
      </c>
      <c r="Q182" s="114">
        <f t="shared" si="25"/>
        <v>0.43333333333333374</v>
      </c>
      <c r="R182" s="115" t="str">
        <f t="shared" si="26"/>
        <v xml:space="preserve"> </v>
      </c>
      <c r="S182" s="115" t="str">
        <f t="shared" si="27"/>
        <v xml:space="preserve"> </v>
      </c>
      <c r="T182" s="116" t="str">
        <f t="shared" si="28"/>
        <v/>
      </c>
      <c r="U182" s="120"/>
      <c r="V182" s="118"/>
      <c r="W182" s="131"/>
    </row>
    <row r="183" spans="1:23" ht="13.2">
      <c r="A183" s="102" t="s">
        <v>218</v>
      </c>
      <c r="B183" s="102"/>
      <c r="C183" s="104">
        <v>3</v>
      </c>
      <c r="D183" s="105" t="s">
        <v>68</v>
      </c>
      <c r="E183" s="106">
        <v>1</v>
      </c>
      <c r="F183" s="107">
        <v>0.03</v>
      </c>
      <c r="G183" s="108">
        <v>0.03</v>
      </c>
      <c r="H183" s="121" t="s">
        <v>55</v>
      </c>
      <c r="I183" s="110">
        <v>0.99199999999999999</v>
      </c>
      <c r="J183" s="110">
        <v>0.995</v>
      </c>
      <c r="K183" s="119">
        <v>1.006</v>
      </c>
      <c r="L183" s="111">
        <f t="shared" si="29"/>
        <v>-8.0000000000000071E-3</v>
      </c>
      <c r="M183" s="112">
        <f t="shared" si="29"/>
        <v>-5.0000000000000044E-3</v>
      </c>
      <c r="N183" s="112">
        <f t="shared" si="29"/>
        <v>6.0000000000000053E-3</v>
      </c>
      <c r="O183" s="112">
        <f t="shared" si="23"/>
        <v>0.99766666666666681</v>
      </c>
      <c r="P183" s="113">
        <f t="shared" si="24"/>
        <v>0.20000000000000018</v>
      </c>
      <c r="Q183" s="114">
        <f t="shared" si="25"/>
        <v>0.26666666666666694</v>
      </c>
      <c r="R183" s="115" t="str">
        <f t="shared" si="26"/>
        <v xml:space="preserve"> </v>
      </c>
      <c r="S183" s="115" t="str">
        <f t="shared" si="27"/>
        <v xml:space="preserve"> </v>
      </c>
      <c r="T183" s="116" t="str">
        <f t="shared" si="28"/>
        <v/>
      </c>
      <c r="U183" s="120"/>
      <c r="V183" s="118"/>
      <c r="W183" s="131"/>
    </row>
    <row r="184" spans="1:23" ht="13.2">
      <c r="A184" s="102" t="s">
        <v>219</v>
      </c>
      <c r="B184" s="102"/>
      <c r="C184" s="104">
        <v>3</v>
      </c>
      <c r="D184" s="105" t="s">
        <v>68</v>
      </c>
      <c r="E184" s="106">
        <v>1</v>
      </c>
      <c r="F184" s="107">
        <v>0.03</v>
      </c>
      <c r="G184" s="108">
        <v>0.03</v>
      </c>
      <c r="H184" s="121" t="s">
        <v>55</v>
      </c>
      <c r="I184" s="110">
        <v>1.0129999999999999</v>
      </c>
      <c r="J184" s="110">
        <v>0.998</v>
      </c>
      <c r="K184" s="119">
        <v>0.999</v>
      </c>
      <c r="L184" s="111">
        <f t="shared" si="29"/>
        <v>1.2999999999999901E-2</v>
      </c>
      <c r="M184" s="112">
        <f t="shared" si="29"/>
        <v>-2.0000000000000018E-3</v>
      </c>
      <c r="N184" s="112">
        <f t="shared" si="29"/>
        <v>-1.0000000000000009E-3</v>
      </c>
      <c r="O184" s="112">
        <f t="shared" si="23"/>
        <v>1.0033333333333334</v>
      </c>
      <c r="P184" s="113">
        <f t="shared" si="24"/>
        <v>0.43333333333333002</v>
      </c>
      <c r="Q184" s="114">
        <f t="shared" si="25"/>
        <v>6.6666666666666735E-2</v>
      </c>
      <c r="R184" s="115" t="str">
        <f t="shared" si="26"/>
        <v xml:space="preserve"> </v>
      </c>
      <c r="S184" s="115" t="str">
        <f t="shared" si="27"/>
        <v xml:space="preserve"> </v>
      </c>
      <c r="T184" s="116" t="str">
        <f t="shared" si="28"/>
        <v/>
      </c>
      <c r="U184" s="120"/>
      <c r="V184" s="118"/>
      <c r="W184" s="131"/>
    </row>
    <row r="185" spans="1:23" ht="13.2">
      <c r="A185" s="102" t="s">
        <v>220</v>
      </c>
      <c r="B185" s="102"/>
      <c r="C185" s="104">
        <v>3</v>
      </c>
      <c r="D185" s="105" t="s">
        <v>68</v>
      </c>
      <c r="E185" s="106">
        <v>1</v>
      </c>
      <c r="F185" s="107">
        <v>0.03</v>
      </c>
      <c r="G185" s="108">
        <v>0.03</v>
      </c>
      <c r="H185" s="121" t="s">
        <v>55</v>
      </c>
      <c r="I185" s="110">
        <v>0.997</v>
      </c>
      <c r="J185" s="110">
        <v>1.0029999999999999</v>
      </c>
      <c r="K185" s="119">
        <v>1.012</v>
      </c>
      <c r="L185" s="111">
        <f t="shared" si="29"/>
        <v>-3.0000000000000027E-3</v>
      </c>
      <c r="M185" s="112">
        <f t="shared" si="29"/>
        <v>2.9999999999998916E-3</v>
      </c>
      <c r="N185" s="112">
        <f t="shared" si="29"/>
        <v>1.2000000000000011E-2</v>
      </c>
      <c r="O185" s="112">
        <f t="shared" si="23"/>
        <v>1.004</v>
      </c>
      <c r="P185" s="113">
        <f t="shared" si="24"/>
        <v>0.40000000000000036</v>
      </c>
      <c r="Q185" s="114">
        <f t="shared" si="25"/>
        <v>0.10000000000000009</v>
      </c>
      <c r="R185" s="115" t="str">
        <f t="shared" si="26"/>
        <v xml:space="preserve"> </v>
      </c>
      <c r="S185" s="115" t="str">
        <f t="shared" si="27"/>
        <v xml:space="preserve"> </v>
      </c>
      <c r="T185" s="116" t="str">
        <f t="shared" si="28"/>
        <v/>
      </c>
      <c r="U185" s="120"/>
      <c r="V185" s="118"/>
      <c r="W185" s="131"/>
    </row>
    <row r="186" spans="1:23" ht="13.2">
      <c r="A186" s="102" t="s">
        <v>221</v>
      </c>
      <c r="B186" s="102"/>
      <c r="C186" s="104">
        <v>3</v>
      </c>
      <c r="D186" s="105" t="s">
        <v>68</v>
      </c>
      <c r="E186" s="106">
        <v>1</v>
      </c>
      <c r="F186" s="107">
        <v>0.03</v>
      </c>
      <c r="G186" s="108">
        <v>0.03</v>
      </c>
      <c r="H186" s="121" t="s">
        <v>55</v>
      </c>
      <c r="I186" s="110">
        <v>0.98599999999999999</v>
      </c>
      <c r="J186" s="110">
        <v>1.0009999999999999</v>
      </c>
      <c r="K186" s="119">
        <v>1.0069999999999999</v>
      </c>
      <c r="L186" s="111">
        <f t="shared" si="29"/>
        <v>-1.4000000000000012E-2</v>
      </c>
      <c r="M186" s="112">
        <f t="shared" si="29"/>
        <v>9.9999999999988987E-4</v>
      </c>
      <c r="N186" s="112">
        <f t="shared" si="29"/>
        <v>6.9999999999998952E-3</v>
      </c>
      <c r="O186" s="112">
        <f t="shared" si="23"/>
        <v>0.99799999999999989</v>
      </c>
      <c r="P186" s="113">
        <f t="shared" si="24"/>
        <v>0.23333333333332984</v>
      </c>
      <c r="Q186" s="114">
        <f t="shared" si="25"/>
        <v>0.46666666666666712</v>
      </c>
      <c r="R186" s="115" t="str">
        <f t="shared" si="26"/>
        <v xml:space="preserve"> </v>
      </c>
      <c r="S186" s="115" t="str">
        <f t="shared" si="27"/>
        <v xml:space="preserve"> </v>
      </c>
      <c r="T186" s="116" t="str">
        <f t="shared" si="28"/>
        <v/>
      </c>
      <c r="U186" s="120"/>
      <c r="V186" s="118"/>
      <c r="W186" s="131"/>
    </row>
    <row r="187" spans="1:23" ht="13.2">
      <c r="A187" s="102" t="s">
        <v>222</v>
      </c>
      <c r="B187" s="102"/>
      <c r="C187" s="104">
        <v>3</v>
      </c>
      <c r="D187" s="105" t="s">
        <v>68</v>
      </c>
      <c r="E187" s="106">
        <v>1</v>
      </c>
      <c r="F187" s="107">
        <v>0.03</v>
      </c>
      <c r="G187" s="108">
        <v>0.03</v>
      </c>
      <c r="H187" s="121" t="s">
        <v>55</v>
      </c>
      <c r="I187" s="110">
        <v>0.999</v>
      </c>
      <c r="J187" s="110">
        <v>0.996</v>
      </c>
      <c r="K187" s="119">
        <v>1.008</v>
      </c>
      <c r="L187" s="111">
        <f t="shared" si="29"/>
        <v>-1.0000000000000009E-3</v>
      </c>
      <c r="M187" s="112">
        <f t="shared" si="29"/>
        <v>-4.0000000000000036E-3</v>
      </c>
      <c r="N187" s="112">
        <f t="shared" si="29"/>
        <v>8.0000000000000071E-3</v>
      </c>
      <c r="O187" s="112">
        <f t="shared" si="23"/>
        <v>1.0010000000000001</v>
      </c>
      <c r="P187" s="113">
        <f t="shared" si="24"/>
        <v>0.26666666666666694</v>
      </c>
      <c r="Q187" s="114">
        <f t="shared" si="25"/>
        <v>0.13333333333333347</v>
      </c>
      <c r="R187" s="115" t="str">
        <f t="shared" si="26"/>
        <v xml:space="preserve"> </v>
      </c>
      <c r="S187" s="115" t="str">
        <f t="shared" si="27"/>
        <v xml:space="preserve"> </v>
      </c>
      <c r="T187" s="116" t="str">
        <f t="shared" si="28"/>
        <v/>
      </c>
      <c r="U187" s="120"/>
      <c r="V187" s="118"/>
      <c r="W187" s="131"/>
    </row>
    <row r="188" spans="1:23" ht="13.2">
      <c r="A188" s="102" t="s">
        <v>223</v>
      </c>
      <c r="B188" s="102"/>
      <c r="C188" s="104">
        <v>3</v>
      </c>
      <c r="D188" s="105" t="s">
        <v>68</v>
      </c>
      <c r="E188" s="106">
        <v>1</v>
      </c>
      <c r="F188" s="107">
        <v>0.03</v>
      </c>
      <c r="G188" s="108">
        <v>0.03</v>
      </c>
      <c r="H188" s="121" t="s">
        <v>55</v>
      </c>
      <c r="I188" s="110">
        <v>1.0009999999999999</v>
      </c>
      <c r="J188" s="110">
        <v>1.0049999999999999</v>
      </c>
      <c r="K188" s="119">
        <v>1.006</v>
      </c>
      <c r="L188" s="111">
        <f t="shared" si="29"/>
        <v>9.9999999999988987E-4</v>
      </c>
      <c r="M188" s="112">
        <f t="shared" si="29"/>
        <v>4.9999999999998934E-3</v>
      </c>
      <c r="N188" s="112">
        <f t="shared" si="29"/>
        <v>6.0000000000000053E-3</v>
      </c>
      <c r="O188" s="112">
        <f t="shared" si="23"/>
        <v>1.0039999999999998</v>
      </c>
      <c r="P188" s="113">
        <f t="shared" si="24"/>
        <v>0.20000000000000018</v>
      </c>
      <c r="Q188" s="114">
        <f t="shared" si="25"/>
        <v>0</v>
      </c>
      <c r="R188" s="115" t="str">
        <f t="shared" si="26"/>
        <v xml:space="preserve"> </v>
      </c>
      <c r="S188" s="115" t="str">
        <f t="shared" si="27"/>
        <v xml:space="preserve"> </v>
      </c>
      <c r="T188" s="116" t="str">
        <f t="shared" si="28"/>
        <v/>
      </c>
      <c r="U188" s="120"/>
      <c r="V188" s="118"/>
      <c r="W188" s="131"/>
    </row>
    <row r="189" spans="1:23" ht="13.2">
      <c r="A189" s="102" t="s">
        <v>224</v>
      </c>
      <c r="B189" s="102"/>
      <c r="C189" s="104">
        <v>3</v>
      </c>
      <c r="D189" s="105" t="s">
        <v>68</v>
      </c>
      <c r="E189" s="106">
        <v>1</v>
      </c>
      <c r="F189" s="107">
        <v>0.03</v>
      </c>
      <c r="G189" s="108">
        <v>0.03</v>
      </c>
      <c r="H189" s="121" t="s">
        <v>55</v>
      </c>
      <c r="I189" s="110">
        <v>1.0009999999999999</v>
      </c>
      <c r="J189" s="110">
        <v>1.0049999999999999</v>
      </c>
      <c r="K189" s="119">
        <v>1.006</v>
      </c>
      <c r="L189" s="111">
        <f t="shared" si="29"/>
        <v>9.9999999999988987E-4</v>
      </c>
      <c r="M189" s="112">
        <f t="shared" si="29"/>
        <v>4.9999999999998934E-3</v>
      </c>
      <c r="N189" s="112">
        <f t="shared" si="29"/>
        <v>6.0000000000000053E-3</v>
      </c>
      <c r="O189" s="112">
        <f t="shared" si="23"/>
        <v>1.0039999999999998</v>
      </c>
      <c r="P189" s="113">
        <f t="shared" si="24"/>
        <v>0.20000000000000018</v>
      </c>
      <c r="Q189" s="114">
        <f t="shared" si="25"/>
        <v>0</v>
      </c>
      <c r="R189" s="115" t="str">
        <f t="shared" si="26"/>
        <v xml:space="preserve"> </v>
      </c>
      <c r="S189" s="115" t="str">
        <f t="shared" si="27"/>
        <v xml:space="preserve"> </v>
      </c>
      <c r="T189" s="116" t="str">
        <f t="shared" si="28"/>
        <v/>
      </c>
      <c r="U189" s="120"/>
      <c r="V189" s="118"/>
      <c r="W189" s="131"/>
    </row>
    <row r="190" spans="1:23" ht="13.2">
      <c r="A190" s="102" t="s">
        <v>225</v>
      </c>
      <c r="B190" s="102"/>
      <c r="C190" s="104">
        <v>3</v>
      </c>
      <c r="D190" s="105" t="s">
        <v>68</v>
      </c>
      <c r="E190" s="106">
        <v>1</v>
      </c>
      <c r="F190" s="107">
        <v>0.03</v>
      </c>
      <c r="G190" s="108">
        <v>0.03</v>
      </c>
      <c r="H190" s="121" t="s">
        <v>55</v>
      </c>
      <c r="I190" s="110">
        <v>0.97599999999999998</v>
      </c>
      <c r="J190" s="110">
        <v>0.996</v>
      </c>
      <c r="K190" s="119">
        <v>0.997</v>
      </c>
      <c r="L190" s="111">
        <f t="shared" si="29"/>
        <v>-2.4000000000000021E-2</v>
      </c>
      <c r="M190" s="112">
        <f t="shared" si="29"/>
        <v>-4.0000000000000036E-3</v>
      </c>
      <c r="N190" s="112">
        <f t="shared" si="29"/>
        <v>-3.0000000000000027E-3</v>
      </c>
      <c r="O190" s="112">
        <f t="shared" ref="O190:O253" si="30">IF(ISERR(I190/I190)=TRUE," ",AVERAGE(I190:K190))</f>
        <v>0.98966666666666658</v>
      </c>
      <c r="P190" s="113">
        <f t="shared" ref="P190:P253" si="31">IF(ISBLANK($E190),"",IF(ISNUMBER(F190)=FALSE,"BAD TOL", IF(F190=0,"N/A",IF(ISERR(I190/I190)=TRUE,"BAD INSP",IF(AND(ISNUMBER($I190),ISNUMBER($J190),ISNUMBER($K190))=FALSE,"BAD INSP",IF(MAX($I190:$K190)&lt;$E190,0,(MAX($I190:$K190)-$E190)/$F190))))))</f>
        <v>0</v>
      </c>
      <c r="Q190" s="114">
        <f t="shared" ref="Q190:Q253" si="32">IF(ISBLANK($E190),"",IF(ISNUMBER(G190)=FALSE,"BAD TOL",IF(G190=0,"N/A",IF(ISERR(I190/I190)=TRUE,"BAD INSP",IF(AND(ISNUMBER($I190),ISNUMBER($J190),ISNUMBER($K190))=FALSE,"BAD INSP",IF(MIN(I190:K190)&gt;$E190,0,($E190-MIN(I190:K190))/G190))))))</f>
        <v>0.80000000000000071</v>
      </c>
      <c r="R190" s="115" t="str">
        <f t="shared" ref="R190:R253" si="33">IF(ISBLANK($E190),"",IF(ISNUMBER($P190)=TRUE,IF($P190&gt;0.651,IF($P190&gt;1.001,"Reject","Alert")," "),IF(AND(F190=0, ISNUMBER(F190)),IF(MAX(I190:K190)&gt;(E190+F190),"Reject",IF(MAX(I190:K190)=(E190+F190),"Alert","")),"Reject")))</f>
        <v xml:space="preserve"> </v>
      </c>
      <c r="S190" s="115" t="str">
        <f t="shared" ref="S190:S253" si="34">IF(ISBLANK($E190),"",IF(ISNUMBER($Q190)=TRUE,IF($Q190&gt;0.651,IF($Q190&gt;1.001,"Reject","Alert")," "),IF(AND(G190=0, ISNUMBER(G190)),IF(MIN(I190:K190)&lt;(E190-G190),"Reject",IF(MIN(I190:K190)=(E190-G190),"Alert","")),"Reject")))</f>
        <v>Alert</v>
      </c>
      <c r="T190" s="116" t="str">
        <f t="shared" ref="T190:T253" si="35">IF(OR(R190="Reject",S190="Reject"),"Reject",IF(OR(R190="Alert",S190="Alert"),"Alert", ""))</f>
        <v>Alert</v>
      </c>
      <c r="U190" s="120"/>
      <c r="V190" s="118"/>
      <c r="W190" s="131"/>
    </row>
    <row r="191" spans="1:23" ht="13.2">
      <c r="A191" s="102" t="s">
        <v>226</v>
      </c>
      <c r="B191" s="102"/>
      <c r="C191" s="104">
        <v>3</v>
      </c>
      <c r="D191" s="105" t="s">
        <v>68</v>
      </c>
      <c r="E191" s="106">
        <v>1</v>
      </c>
      <c r="F191" s="107">
        <v>0.03</v>
      </c>
      <c r="G191" s="108">
        <v>0.03</v>
      </c>
      <c r="H191" s="121" t="s">
        <v>55</v>
      </c>
      <c r="I191" s="110">
        <v>0.98899999999999999</v>
      </c>
      <c r="J191" s="110">
        <v>0.998</v>
      </c>
      <c r="K191" s="119">
        <v>1.006</v>
      </c>
      <c r="L191" s="111">
        <f t="shared" si="29"/>
        <v>-1.100000000000001E-2</v>
      </c>
      <c r="M191" s="112">
        <f t="shared" si="29"/>
        <v>-2.0000000000000018E-3</v>
      </c>
      <c r="N191" s="112">
        <f t="shared" si="29"/>
        <v>6.0000000000000053E-3</v>
      </c>
      <c r="O191" s="112">
        <f t="shared" si="30"/>
        <v>0.99766666666666681</v>
      </c>
      <c r="P191" s="113">
        <f t="shared" si="31"/>
        <v>0.20000000000000018</v>
      </c>
      <c r="Q191" s="114">
        <f t="shared" si="32"/>
        <v>0.36666666666666703</v>
      </c>
      <c r="R191" s="115" t="str">
        <f t="shared" si="33"/>
        <v xml:space="preserve"> </v>
      </c>
      <c r="S191" s="115" t="str">
        <f t="shared" si="34"/>
        <v xml:space="preserve"> </v>
      </c>
      <c r="T191" s="116" t="str">
        <f t="shared" si="35"/>
        <v/>
      </c>
      <c r="U191" s="120"/>
      <c r="V191" s="118"/>
      <c r="W191" s="131"/>
    </row>
    <row r="192" spans="1:23" ht="13.2">
      <c r="A192" s="102" t="s">
        <v>227</v>
      </c>
      <c r="B192" s="103"/>
      <c r="C192" s="104">
        <v>3</v>
      </c>
      <c r="D192" s="105" t="s">
        <v>68</v>
      </c>
      <c r="E192" s="106">
        <v>1</v>
      </c>
      <c r="F192" s="107">
        <v>0.03</v>
      </c>
      <c r="G192" s="108">
        <v>0.03</v>
      </c>
      <c r="H192" s="121" t="s">
        <v>55</v>
      </c>
      <c r="I192" s="110">
        <v>0.99</v>
      </c>
      <c r="J192" s="110">
        <v>1.002</v>
      </c>
      <c r="K192" s="119">
        <v>1</v>
      </c>
      <c r="L192" s="111">
        <f t="shared" si="29"/>
        <v>-1.0000000000000009E-2</v>
      </c>
      <c r="M192" s="112">
        <f t="shared" si="29"/>
        <v>2.0000000000000018E-3</v>
      </c>
      <c r="N192" s="112">
        <f t="shared" si="29"/>
        <v>0</v>
      </c>
      <c r="O192" s="112">
        <f t="shared" si="30"/>
        <v>0.99733333333333329</v>
      </c>
      <c r="P192" s="113">
        <f t="shared" si="31"/>
        <v>6.6666666666666735E-2</v>
      </c>
      <c r="Q192" s="114">
        <f t="shared" si="32"/>
        <v>0.33333333333333365</v>
      </c>
      <c r="R192" s="115" t="str">
        <f t="shared" si="33"/>
        <v xml:space="preserve"> </v>
      </c>
      <c r="S192" s="115" t="str">
        <f t="shared" si="34"/>
        <v xml:space="preserve"> </v>
      </c>
      <c r="T192" s="116" t="str">
        <f t="shared" si="35"/>
        <v/>
      </c>
      <c r="U192" s="120"/>
      <c r="V192" s="118"/>
      <c r="W192" s="131"/>
    </row>
    <row r="193" spans="1:23" ht="13.2">
      <c r="A193" s="102" t="s">
        <v>228</v>
      </c>
      <c r="B193" s="103"/>
      <c r="C193" s="104">
        <v>3</v>
      </c>
      <c r="D193" s="105" t="s">
        <v>68</v>
      </c>
      <c r="E193" s="106">
        <v>1</v>
      </c>
      <c r="F193" s="107">
        <v>0.03</v>
      </c>
      <c r="G193" s="108">
        <v>0.03</v>
      </c>
      <c r="H193" s="121" t="s">
        <v>55</v>
      </c>
      <c r="I193" s="110">
        <v>1.002</v>
      </c>
      <c r="J193" s="110">
        <v>1.002</v>
      </c>
      <c r="K193" s="119">
        <v>1.002</v>
      </c>
      <c r="L193" s="111">
        <f t="shared" si="29"/>
        <v>2.0000000000000018E-3</v>
      </c>
      <c r="M193" s="112">
        <f t="shared" si="29"/>
        <v>2.0000000000000018E-3</v>
      </c>
      <c r="N193" s="112">
        <f t="shared" si="29"/>
        <v>2.0000000000000018E-3</v>
      </c>
      <c r="O193" s="112">
        <f t="shared" si="30"/>
        <v>1.002</v>
      </c>
      <c r="P193" s="113">
        <f t="shared" si="31"/>
        <v>6.6666666666666735E-2</v>
      </c>
      <c r="Q193" s="114">
        <f t="shared" si="32"/>
        <v>0</v>
      </c>
      <c r="R193" s="115" t="str">
        <f t="shared" si="33"/>
        <v xml:space="preserve"> </v>
      </c>
      <c r="S193" s="115" t="str">
        <f t="shared" si="34"/>
        <v xml:space="preserve"> </v>
      </c>
      <c r="T193" s="116" t="str">
        <f t="shared" si="35"/>
        <v/>
      </c>
      <c r="U193" s="120"/>
      <c r="V193" s="118"/>
      <c r="W193" s="131"/>
    </row>
    <row r="194" spans="1:23" ht="13.2">
      <c r="A194" s="102" t="s">
        <v>229</v>
      </c>
      <c r="B194" s="103"/>
      <c r="C194" s="104">
        <v>3</v>
      </c>
      <c r="D194" s="105" t="s">
        <v>68</v>
      </c>
      <c r="E194" s="106">
        <v>1</v>
      </c>
      <c r="F194" s="107">
        <v>0.03</v>
      </c>
      <c r="G194" s="108">
        <v>0.03</v>
      </c>
      <c r="H194" s="121" t="s">
        <v>55</v>
      </c>
      <c r="I194" s="110">
        <v>0.98</v>
      </c>
      <c r="J194" s="110">
        <v>1.0009999999999999</v>
      </c>
      <c r="K194" s="119">
        <v>0.997</v>
      </c>
      <c r="L194" s="111">
        <f t="shared" si="29"/>
        <v>-2.0000000000000018E-2</v>
      </c>
      <c r="M194" s="112">
        <f t="shared" si="29"/>
        <v>9.9999999999988987E-4</v>
      </c>
      <c r="N194" s="112">
        <f t="shared" si="29"/>
        <v>-3.0000000000000027E-3</v>
      </c>
      <c r="O194" s="112">
        <f t="shared" si="30"/>
        <v>0.99266666666666659</v>
      </c>
      <c r="P194" s="113">
        <f t="shared" si="31"/>
        <v>3.3333333333329662E-2</v>
      </c>
      <c r="Q194" s="114">
        <f t="shared" si="32"/>
        <v>0.6666666666666673</v>
      </c>
      <c r="R194" s="115" t="str">
        <f t="shared" si="33"/>
        <v xml:space="preserve"> </v>
      </c>
      <c r="S194" s="115" t="str">
        <f t="shared" si="34"/>
        <v>Alert</v>
      </c>
      <c r="T194" s="116" t="str">
        <f t="shared" si="35"/>
        <v>Alert</v>
      </c>
      <c r="U194" s="120"/>
      <c r="V194" s="118"/>
      <c r="W194" s="131"/>
    </row>
    <row r="195" spans="1:23" ht="13.2">
      <c r="A195" s="102" t="s">
        <v>230</v>
      </c>
      <c r="B195" s="102"/>
      <c r="C195" s="104">
        <v>3</v>
      </c>
      <c r="D195" s="105" t="s">
        <v>68</v>
      </c>
      <c r="E195" s="106">
        <v>1</v>
      </c>
      <c r="F195" s="107">
        <v>0.03</v>
      </c>
      <c r="G195" s="108">
        <v>0.03</v>
      </c>
      <c r="H195" s="121" t="s">
        <v>55</v>
      </c>
      <c r="I195" s="110">
        <v>0.99399999999999999</v>
      </c>
      <c r="J195" s="110">
        <v>1.002</v>
      </c>
      <c r="K195" s="119">
        <v>1.014</v>
      </c>
      <c r="L195" s="111">
        <f t="shared" si="29"/>
        <v>-6.0000000000000053E-3</v>
      </c>
      <c r="M195" s="112">
        <f t="shared" si="29"/>
        <v>2.0000000000000018E-3</v>
      </c>
      <c r="N195" s="112">
        <f t="shared" si="29"/>
        <v>1.4000000000000012E-2</v>
      </c>
      <c r="O195" s="112">
        <f t="shared" si="30"/>
        <v>1.0033333333333332</v>
      </c>
      <c r="P195" s="113">
        <f t="shared" si="31"/>
        <v>0.46666666666666712</v>
      </c>
      <c r="Q195" s="114">
        <f t="shared" si="32"/>
        <v>0.20000000000000018</v>
      </c>
      <c r="R195" s="115" t="str">
        <f t="shared" si="33"/>
        <v xml:space="preserve"> </v>
      </c>
      <c r="S195" s="115" t="str">
        <f t="shared" si="34"/>
        <v xml:space="preserve"> </v>
      </c>
      <c r="T195" s="116" t="str">
        <f t="shared" si="35"/>
        <v/>
      </c>
      <c r="U195" s="120"/>
      <c r="V195" s="118"/>
      <c r="W195" s="131"/>
    </row>
    <row r="196" spans="1:23" ht="13.2">
      <c r="A196" s="102" t="s">
        <v>231</v>
      </c>
      <c r="B196" s="102"/>
      <c r="C196" s="104">
        <v>3</v>
      </c>
      <c r="D196" s="105" t="s">
        <v>68</v>
      </c>
      <c r="E196" s="106">
        <v>1</v>
      </c>
      <c r="F196" s="107">
        <v>0.03</v>
      </c>
      <c r="G196" s="108">
        <v>0.03</v>
      </c>
      <c r="H196" s="121" t="s">
        <v>55</v>
      </c>
      <c r="I196" s="110">
        <v>0.99299999999999999</v>
      </c>
      <c r="J196" s="110">
        <v>0.995</v>
      </c>
      <c r="K196" s="119">
        <v>1.0009999999999999</v>
      </c>
      <c r="L196" s="111">
        <f t="shared" si="29"/>
        <v>-7.0000000000000062E-3</v>
      </c>
      <c r="M196" s="112">
        <f t="shared" si="29"/>
        <v>-5.0000000000000044E-3</v>
      </c>
      <c r="N196" s="112">
        <f t="shared" si="29"/>
        <v>9.9999999999988987E-4</v>
      </c>
      <c r="O196" s="112">
        <f t="shared" si="30"/>
        <v>0.99633333333333329</v>
      </c>
      <c r="P196" s="113">
        <f t="shared" si="31"/>
        <v>3.3333333333329662E-2</v>
      </c>
      <c r="Q196" s="114">
        <f t="shared" si="32"/>
        <v>0.23333333333333356</v>
      </c>
      <c r="R196" s="115" t="str">
        <f t="shared" si="33"/>
        <v xml:space="preserve"> </v>
      </c>
      <c r="S196" s="115" t="str">
        <f t="shared" si="34"/>
        <v xml:space="preserve"> </v>
      </c>
      <c r="T196" s="116" t="str">
        <f t="shared" si="35"/>
        <v/>
      </c>
      <c r="U196" s="120"/>
      <c r="V196" s="118"/>
      <c r="W196" s="131"/>
    </row>
    <row r="197" spans="1:23" ht="13.2">
      <c r="A197" s="102" t="s">
        <v>232</v>
      </c>
      <c r="B197" s="102"/>
      <c r="C197" s="104">
        <v>3</v>
      </c>
      <c r="D197" s="105" t="s">
        <v>68</v>
      </c>
      <c r="E197" s="106">
        <v>1</v>
      </c>
      <c r="F197" s="107">
        <v>0.03</v>
      </c>
      <c r="G197" s="108">
        <v>0.03</v>
      </c>
      <c r="H197" s="121" t="s">
        <v>55</v>
      </c>
      <c r="I197" s="110">
        <v>0.997</v>
      </c>
      <c r="J197" s="110">
        <v>0.998</v>
      </c>
      <c r="K197" s="119">
        <v>1.0009999999999999</v>
      </c>
      <c r="L197" s="111">
        <f t="shared" si="29"/>
        <v>-3.0000000000000027E-3</v>
      </c>
      <c r="M197" s="112">
        <f t="shared" si="29"/>
        <v>-2.0000000000000018E-3</v>
      </c>
      <c r="N197" s="112">
        <f t="shared" si="29"/>
        <v>9.9999999999988987E-4</v>
      </c>
      <c r="O197" s="112">
        <f t="shared" si="30"/>
        <v>0.9986666666666667</v>
      </c>
      <c r="P197" s="113">
        <f t="shared" si="31"/>
        <v>3.3333333333329662E-2</v>
      </c>
      <c r="Q197" s="114">
        <f t="shared" si="32"/>
        <v>0.10000000000000009</v>
      </c>
      <c r="R197" s="115" t="str">
        <f t="shared" si="33"/>
        <v xml:space="preserve"> </v>
      </c>
      <c r="S197" s="115" t="str">
        <f t="shared" si="34"/>
        <v xml:space="preserve"> </v>
      </c>
      <c r="T197" s="116" t="str">
        <f t="shared" si="35"/>
        <v/>
      </c>
      <c r="U197" s="120"/>
      <c r="V197" s="118"/>
      <c r="W197" s="131"/>
    </row>
    <row r="198" spans="1:23" ht="13.2">
      <c r="A198" s="102" t="s">
        <v>233</v>
      </c>
      <c r="B198" s="102"/>
      <c r="C198" s="104">
        <v>3</v>
      </c>
      <c r="D198" s="105" t="s">
        <v>68</v>
      </c>
      <c r="E198" s="106">
        <v>1</v>
      </c>
      <c r="F198" s="107">
        <v>0.03</v>
      </c>
      <c r="G198" s="108">
        <v>0.03</v>
      </c>
      <c r="H198" s="121" t="s">
        <v>55</v>
      </c>
      <c r="I198" s="110">
        <v>0.98799999999999999</v>
      </c>
      <c r="J198" s="110">
        <v>1</v>
      </c>
      <c r="K198" s="119">
        <v>1.0009999999999999</v>
      </c>
      <c r="L198" s="111">
        <f t="shared" si="29"/>
        <v>-1.2000000000000011E-2</v>
      </c>
      <c r="M198" s="112">
        <f t="shared" si="29"/>
        <v>0</v>
      </c>
      <c r="N198" s="112">
        <f t="shared" si="29"/>
        <v>9.9999999999988987E-4</v>
      </c>
      <c r="O198" s="112">
        <f t="shared" si="30"/>
        <v>0.99633333333333329</v>
      </c>
      <c r="P198" s="113">
        <f t="shared" si="31"/>
        <v>3.3333333333329662E-2</v>
      </c>
      <c r="Q198" s="114">
        <f t="shared" si="32"/>
        <v>0.40000000000000036</v>
      </c>
      <c r="R198" s="115" t="str">
        <f t="shared" si="33"/>
        <v xml:space="preserve"> </v>
      </c>
      <c r="S198" s="115" t="str">
        <f t="shared" si="34"/>
        <v xml:space="preserve"> </v>
      </c>
      <c r="T198" s="116" t="str">
        <f t="shared" si="35"/>
        <v/>
      </c>
      <c r="U198" s="120"/>
      <c r="V198" s="118"/>
      <c r="W198" s="131"/>
    </row>
    <row r="199" spans="1:23" ht="13.2">
      <c r="A199" s="102" t="s">
        <v>234</v>
      </c>
      <c r="B199" s="102"/>
      <c r="C199" s="104">
        <v>3</v>
      </c>
      <c r="D199" s="105" t="s">
        <v>68</v>
      </c>
      <c r="E199" s="106">
        <v>1</v>
      </c>
      <c r="F199" s="107">
        <v>0.03</v>
      </c>
      <c r="G199" s="108">
        <v>0.03</v>
      </c>
      <c r="H199" s="121" t="s">
        <v>55</v>
      </c>
      <c r="I199" s="110">
        <v>1.004</v>
      </c>
      <c r="J199" s="110">
        <v>1.006</v>
      </c>
      <c r="K199" s="119">
        <v>1.012</v>
      </c>
      <c r="L199" s="111">
        <f t="shared" si="29"/>
        <v>4.0000000000000036E-3</v>
      </c>
      <c r="M199" s="112">
        <f t="shared" si="29"/>
        <v>6.0000000000000053E-3</v>
      </c>
      <c r="N199" s="112">
        <f t="shared" si="29"/>
        <v>1.2000000000000011E-2</v>
      </c>
      <c r="O199" s="112">
        <f t="shared" si="30"/>
        <v>1.0073333333333332</v>
      </c>
      <c r="P199" s="113">
        <f t="shared" si="31"/>
        <v>0.40000000000000036</v>
      </c>
      <c r="Q199" s="114">
        <f t="shared" si="32"/>
        <v>0</v>
      </c>
      <c r="R199" s="115" t="str">
        <f t="shared" si="33"/>
        <v xml:space="preserve"> </v>
      </c>
      <c r="S199" s="115" t="str">
        <f t="shared" si="34"/>
        <v xml:space="preserve"> </v>
      </c>
      <c r="T199" s="116" t="str">
        <f t="shared" si="35"/>
        <v/>
      </c>
      <c r="U199" s="120"/>
      <c r="V199" s="118"/>
      <c r="W199" s="131"/>
    </row>
    <row r="200" spans="1:23" ht="13.2">
      <c r="A200" s="102" t="s">
        <v>235</v>
      </c>
      <c r="B200" s="102"/>
      <c r="C200" s="104">
        <v>3</v>
      </c>
      <c r="D200" s="105" t="s">
        <v>68</v>
      </c>
      <c r="E200" s="106">
        <v>1</v>
      </c>
      <c r="F200" s="107">
        <v>0.03</v>
      </c>
      <c r="G200" s="108">
        <v>0.03</v>
      </c>
      <c r="H200" s="121" t="s">
        <v>55</v>
      </c>
      <c r="I200" s="110">
        <v>0.995</v>
      </c>
      <c r="J200" s="110">
        <v>1.0009999999999999</v>
      </c>
      <c r="K200" s="119">
        <v>1.01</v>
      </c>
      <c r="L200" s="111">
        <f t="shared" si="29"/>
        <v>-5.0000000000000044E-3</v>
      </c>
      <c r="M200" s="112">
        <f t="shared" si="29"/>
        <v>9.9999999999988987E-4</v>
      </c>
      <c r="N200" s="112">
        <f t="shared" si="29"/>
        <v>1.0000000000000009E-2</v>
      </c>
      <c r="O200" s="112">
        <f t="shared" si="30"/>
        <v>1.002</v>
      </c>
      <c r="P200" s="113">
        <f t="shared" si="31"/>
        <v>0.33333333333333365</v>
      </c>
      <c r="Q200" s="114">
        <f t="shared" si="32"/>
        <v>0.16666666666666682</v>
      </c>
      <c r="R200" s="115" t="str">
        <f t="shared" si="33"/>
        <v xml:space="preserve"> </v>
      </c>
      <c r="S200" s="115" t="str">
        <f t="shared" si="34"/>
        <v xml:space="preserve"> </v>
      </c>
      <c r="T200" s="116" t="str">
        <f t="shared" si="35"/>
        <v/>
      </c>
      <c r="U200" s="120"/>
      <c r="V200" s="118"/>
      <c r="W200" s="131"/>
    </row>
    <row r="201" spans="1:23" ht="13.2">
      <c r="A201" s="102" t="s">
        <v>236</v>
      </c>
      <c r="B201" s="102"/>
      <c r="C201" s="104">
        <v>3</v>
      </c>
      <c r="D201" s="105" t="s">
        <v>68</v>
      </c>
      <c r="E201" s="106">
        <v>1</v>
      </c>
      <c r="F201" s="107">
        <v>0.03</v>
      </c>
      <c r="G201" s="108">
        <v>0.03</v>
      </c>
      <c r="H201" s="121" t="s">
        <v>55</v>
      </c>
      <c r="I201" s="110">
        <v>1.0009999999999999</v>
      </c>
      <c r="J201" s="110">
        <v>1.0009999999999999</v>
      </c>
      <c r="K201" s="119">
        <v>1.0069999999999999</v>
      </c>
      <c r="L201" s="111">
        <f t="shared" si="29"/>
        <v>9.9999999999988987E-4</v>
      </c>
      <c r="M201" s="112">
        <f t="shared" si="29"/>
        <v>9.9999999999988987E-4</v>
      </c>
      <c r="N201" s="112">
        <f t="shared" si="29"/>
        <v>6.9999999999998952E-3</v>
      </c>
      <c r="O201" s="112">
        <f t="shared" si="30"/>
        <v>1.0029999999999999</v>
      </c>
      <c r="P201" s="113">
        <f t="shared" si="31"/>
        <v>0.23333333333332984</v>
      </c>
      <c r="Q201" s="114">
        <f t="shared" si="32"/>
        <v>0</v>
      </c>
      <c r="R201" s="115" t="str">
        <f t="shared" si="33"/>
        <v xml:space="preserve"> </v>
      </c>
      <c r="S201" s="115" t="str">
        <f t="shared" si="34"/>
        <v xml:space="preserve"> </v>
      </c>
      <c r="T201" s="116" t="str">
        <f t="shared" si="35"/>
        <v/>
      </c>
      <c r="U201" s="120"/>
      <c r="V201" s="118"/>
      <c r="W201" s="131"/>
    </row>
    <row r="202" spans="1:23" ht="13.2">
      <c r="A202" s="102" t="s">
        <v>237</v>
      </c>
      <c r="B202" s="102"/>
      <c r="C202" s="104">
        <v>3</v>
      </c>
      <c r="D202" s="105" t="s">
        <v>68</v>
      </c>
      <c r="E202" s="106">
        <v>1</v>
      </c>
      <c r="F202" s="107">
        <v>0.03</v>
      </c>
      <c r="G202" s="108">
        <v>0.03</v>
      </c>
      <c r="H202" s="121" t="s">
        <v>55</v>
      </c>
      <c r="I202" s="110">
        <v>1.002</v>
      </c>
      <c r="J202" s="110">
        <v>1.006</v>
      </c>
      <c r="K202" s="119">
        <v>0.998</v>
      </c>
      <c r="L202" s="111">
        <f t="shared" si="29"/>
        <v>2.0000000000000018E-3</v>
      </c>
      <c r="M202" s="112">
        <f t="shared" si="29"/>
        <v>6.0000000000000053E-3</v>
      </c>
      <c r="N202" s="112">
        <f t="shared" si="29"/>
        <v>-2.0000000000000018E-3</v>
      </c>
      <c r="O202" s="112">
        <f t="shared" si="30"/>
        <v>1.002</v>
      </c>
      <c r="P202" s="113">
        <f t="shared" si="31"/>
        <v>0.20000000000000018</v>
      </c>
      <c r="Q202" s="114">
        <f t="shared" si="32"/>
        <v>6.6666666666666735E-2</v>
      </c>
      <c r="R202" s="115" t="str">
        <f t="shared" si="33"/>
        <v xml:space="preserve"> </v>
      </c>
      <c r="S202" s="115" t="str">
        <f t="shared" si="34"/>
        <v xml:space="preserve"> </v>
      </c>
      <c r="T202" s="116" t="str">
        <f t="shared" si="35"/>
        <v/>
      </c>
      <c r="U202" s="120"/>
      <c r="V202" s="118"/>
      <c r="W202" s="131"/>
    </row>
    <row r="203" spans="1:23" ht="13.2">
      <c r="A203" s="102" t="s">
        <v>238</v>
      </c>
      <c r="B203" s="102"/>
      <c r="C203" s="104">
        <v>3</v>
      </c>
      <c r="D203" s="105" t="s">
        <v>68</v>
      </c>
      <c r="E203" s="106">
        <v>1</v>
      </c>
      <c r="F203" s="107">
        <v>0.03</v>
      </c>
      <c r="G203" s="108">
        <v>0.03</v>
      </c>
      <c r="H203" s="121" t="s">
        <v>55</v>
      </c>
      <c r="I203" s="110">
        <v>1.0009999999999999</v>
      </c>
      <c r="J203" s="110">
        <v>0.999</v>
      </c>
      <c r="K203" s="119">
        <v>0.998</v>
      </c>
      <c r="L203" s="111">
        <f t="shared" si="29"/>
        <v>9.9999999999988987E-4</v>
      </c>
      <c r="M203" s="112">
        <f t="shared" si="29"/>
        <v>-1.0000000000000009E-3</v>
      </c>
      <c r="N203" s="112">
        <f t="shared" si="29"/>
        <v>-2.0000000000000018E-3</v>
      </c>
      <c r="O203" s="112">
        <f t="shared" si="30"/>
        <v>0.99933333333333341</v>
      </c>
      <c r="P203" s="113">
        <f t="shared" si="31"/>
        <v>3.3333333333329662E-2</v>
      </c>
      <c r="Q203" s="114">
        <f t="shared" si="32"/>
        <v>6.6666666666666735E-2</v>
      </c>
      <c r="R203" s="115" t="str">
        <f t="shared" si="33"/>
        <v xml:space="preserve"> </v>
      </c>
      <c r="S203" s="115" t="str">
        <f t="shared" si="34"/>
        <v xml:space="preserve"> </v>
      </c>
      <c r="T203" s="116" t="str">
        <f t="shared" si="35"/>
        <v/>
      </c>
      <c r="U203" s="120"/>
      <c r="V203" s="118"/>
      <c r="W203" s="131"/>
    </row>
    <row r="204" spans="1:23" ht="13.2">
      <c r="A204" s="102" t="s">
        <v>239</v>
      </c>
      <c r="B204" s="102"/>
      <c r="C204" s="104">
        <v>3</v>
      </c>
      <c r="D204" s="105" t="s">
        <v>68</v>
      </c>
      <c r="E204" s="106">
        <v>1</v>
      </c>
      <c r="F204" s="107">
        <v>0.03</v>
      </c>
      <c r="G204" s="108">
        <v>0.03</v>
      </c>
      <c r="H204" s="121" t="s">
        <v>55</v>
      </c>
      <c r="I204" s="110">
        <v>1.006</v>
      </c>
      <c r="J204" s="110">
        <v>1.006</v>
      </c>
      <c r="K204" s="119">
        <v>1.004</v>
      </c>
      <c r="L204" s="111">
        <f t="shared" si="29"/>
        <v>6.0000000000000053E-3</v>
      </c>
      <c r="M204" s="112">
        <f t="shared" si="29"/>
        <v>6.0000000000000053E-3</v>
      </c>
      <c r="N204" s="112">
        <f t="shared" si="29"/>
        <v>4.0000000000000036E-3</v>
      </c>
      <c r="O204" s="112">
        <f t="shared" si="30"/>
        <v>1.0053333333333334</v>
      </c>
      <c r="P204" s="113">
        <f t="shared" si="31"/>
        <v>0.20000000000000018</v>
      </c>
      <c r="Q204" s="114">
        <f t="shared" si="32"/>
        <v>0</v>
      </c>
      <c r="R204" s="115" t="str">
        <f t="shared" si="33"/>
        <v xml:space="preserve"> </v>
      </c>
      <c r="S204" s="115" t="str">
        <f t="shared" si="34"/>
        <v xml:space="preserve"> </v>
      </c>
      <c r="T204" s="116" t="str">
        <f t="shared" si="35"/>
        <v/>
      </c>
      <c r="U204" s="120"/>
      <c r="V204" s="118"/>
      <c r="W204" s="131"/>
    </row>
    <row r="205" spans="1:23" ht="13.2">
      <c r="A205" s="102" t="s">
        <v>240</v>
      </c>
      <c r="B205" s="102"/>
      <c r="C205" s="104">
        <v>3</v>
      </c>
      <c r="D205" s="105" t="s">
        <v>68</v>
      </c>
      <c r="E205" s="106">
        <v>1</v>
      </c>
      <c r="F205" s="107">
        <v>0.03</v>
      </c>
      <c r="G205" s="108">
        <v>0.03</v>
      </c>
      <c r="H205" s="121" t="s">
        <v>55</v>
      </c>
      <c r="I205" s="110">
        <v>0.98599999999999999</v>
      </c>
      <c r="J205" s="110">
        <v>0.998</v>
      </c>
      <c r="K205" s="119">
        <v>0.999</v>
      </c>
      <c r="L205" s="111">
        <f t="shared" si="29"/>
        <v>-1.4000000000000012E-2</v>
      </c>
      <c r="M205" s="112">
        <f t="shared" si="29"/>
        <v>-2.0000000000000018E-3</v>
      </c>
      <c r="N205" s="112">
        <f t="shared" si="29"/>
        <v>-1.0000000000000009E-3</v>
      </c>
      <c r="O205" s="112">
        <f t="shared" si="30"/>
        <v>0.9943333333333334</v>
      </c>
      <c r="P205" s="113">
        <f t="shared" si="31"/>
        <v>0</v>
      </c>
      <c r="Q205" s="114">
        <f t="shared" si="32"/>
        <v>0.46666666666666712</v>
      </c>
      <c r="R205" s="115" t="str">
        <f t="shared" si="33"/>
        <v xml:space="preserve"> </v>
      </c>
      <c r="S205" s="115" t="str">
        <f t="shared" si="34"/>
        <v xml:space="preserve"> </v>
      </c>
      <c r="T205" s="116" t="str">
        <f t="shared" si="35"/>
        <v/>
      </c>
      <c r="U205" s="120"/>
      <c r="V205" s="118"/>
      <c r="W205" s="131"/>
    </row>
    <row r="206" spans="1:23" ht="13.2">
      <c r="A206" s="102" t="s">
        <v>241</v>
      </c>
      <c r="B206" s="102"/>
      <c r="C206" s="104">
        <v>3</v>
      </c>
      <c r="D206" s="105" t="s">
        <v>68</v>
      </c>
      <c r="E206" s="106">
        <v>1</v>
      </c>
      <c r="F206" s="107">
        <v>0.03</v>
      </c>
      <c r="G206" s="108">
        <v>0.03</v>
      </c>
      <c r="H206" s="121" t="s">
        <v>55</v>
      </c>
      <c r="I206" s="110">
        <v>1.014</v>
      </c>
      <c r="J206" s="110">
        <v>0.999</v>
      </c>
      <c r="K206" s="119">
        <v>1</v>
      </c>
      <c r="L206" s="111">
        <f t="shared" si="29"/>
        <v>1.4000000000000012E-2</v>
      </c>
      <c r="M206" s="112">
        <f t="shared" si="29"/>
        <v>-1.0000000000000009E-3</v>
      </c>
      <c r="N206" s="112">
        <f t="shared" si="29"/>
        <v>0</v>
      </c>
      <c r="O206" s="112">
        <f t="shared" si="30"/>
        <v>1.0043333333333333</v>
      </c>
      <c r="P206" s="113">
        <f t="shared" si="31"/>
        <v>0.46666666666666712</v>
      </c>
      <c r="Q206" s="114">
        <f t="shared" si="32"/>
        <v>3.3333333333333368E-2</v>
      </c>
      <c r="R206" s="115" t="str">
        <f t="shared" si="33"/>
        <v xml:space="preserve"> </v>
      </c>
      <c r="S206" s="115" t="str">
        <f t="shared" si="34"/>
        <v xml:space="preserve"> </v>
      </c>
      <c r="T206" s="116" t="str">
        <f t="shared" si="35"/>
        <v/>
      </c>
      <c r="U206" s="120"/>
      <c r="V206" s="118"/>
      <c r="W206" s="131"/>
    </row>
    <row r="207" spans="1:23" ht="13.2">
      <c r="A207" s="102" t="s">
        <v>242</v>
      </c>
      <c r="B207" s="103"/>
      <c r="C207" s="104">
        <v>3</v>
      </c>
      <c r="D207" s="105" t="s">
        <v>68</v>
      </c>
      <c r="E207" s="106">
        <v>1</v>
      </c>
      <c r="F207" s="107">
        <v>0.03</v>
      </c>
      <c r="G207" s="108">
        <v>0.03</v>
      </c>
      <c r="H207" s="121" t="s">
        <v>55</v>
      </c>
      <c r="I207" s="110">
        <v>1.008</v>
      </c>
      <c r="J207" s="110">
        <v>1.0389999999999999</v>
      </c>
      <c r="K207" s="119">
        <v>1.034</v>
      </c>
      <c r="L207" s="111">
        <f t="shared" si="29"/>
        <v>8.0000000000000071E-3</v>
      </c>
      <c r="M207" s="112">
        <f t="shared" si="29"/>
        <v>3.8999999999999924E-2</v>
      </c>
      <c r="N207" s="112">
        <f t="shared" si="29"/>
        <v>3.400000000000003E-2</v>
      </c>
      <c r="O207" s="112">
        <f t="shared" si="30"/>
        <v>1.0269999999999999</v>
      </c>
      <c r="P207" s="113">
        <f t="shared" si="31"/>
        <v>1.2999999999999976</v>
      </c>
      <c r="Q207" s="114">
        <f t="shared" si="32"/>
        <v>0</v>
      </c>
      <c r="R207" s="115" t="str">
        <f t="shared" si="33"/>
        <v>Reject</v>
      </c>
      <c r="S207" s="115" t="str">
        <f t="shared" si="34"/>
        <v xml:space="preserve"> </v>
      </c>
      <c r="T207" s="116" t="str">
        <f t="shared" si="35"/>
        <v>Reject</v>
      </c>
      <c r="U207" s="120"/>
      <c r="V207" s="118"/>
      <c r="W207" s="131"/>
    </row>
    <row r="208" spans="1:23" ht="13.2">
      <c r="A208" s="102" t="s">
        <v>243</v>
      </c>
      <c r="B208" s="103"/>
      <c r="C208" s="104">
        <v>3</v>
      </c>
      <c r="D208" s="105" t="s">
        <v>68</v>
      </c>
      <c r="E208" s="106">
        <v>1</v>
      </c>
      <c r="F208" s="107">
        <v>0.03</v>
      </c>
      <c r="G208" s="108">
        <v>0.03</v>
      </c>
      <c r="H208" s="121" t="s">
        <v>55</v>
      </c>
      <c r="I208" s="110">
        <v>0.97699999999999998</v>
      </c>
      <c r="J208" s="110">
        <v>0.97399999999999998</v>
      </c>
      <c r="K208" s="119">
        <v>0.97399999999999998</v>
      </c>
      <c r="L208" s="111">
        <f t="shared" si="29"/>
        <v>-2.300000000000002E-2</v>
      </c>
      <c r="M208" s="112">
        <f t="shared" si="29"/>
        <v>-2.6000000000000023E-2</v>
      </c>
      <c r="N208" s="112">
        <f t="shared" si="29"/>
        <v>-2.6000000000000023E-2</v>
      </c>
      <c r="O208" s="112">
        <f t="shared" si="30"/>
        <v>0.97499999999999998</v>
      </c>
      <c r="P208" s="113">
        <f t="shared" si="31"/>
        <v>0</v>
      </c>
      <c r="Q208" s="114">
        <f t="shared" si="32"/>
        <v>0.86666666666666747</v>
      </c>
      <c r="R208" s="115" t="str">
        <f t="shared" si="33"/>
        <v xml:space="preserve"> </v>
      </c>
      <c r="S208" s="115" t="str">
        <f t="shared" si="34"/>
        <v>Alert</v>
      </c>
      <c r="T208" s="116" t="str">
        <f t="shared" si="35"/>
        <v>Alert</v>
      </c>
      <c r="U208" s="120"/>
      <c r="V208" s="118"/>
      <c r="W208" s="131"/>
    </row>
    <row r="209" spans="1:23" ht="13.2">
      <c r="A209" s="102" t="s">
        <v>244</v>
      </c>
      <c r="B209" s="103"/>
      <c r="C209" s="104">
        <v>3</v>
      </c>
      <c r="D209" s="105" t="s">
        <v>68</v>
      </c>
      <c r="E209" s="106">
        <v>1</v>
      </c>
      <c r="F209" s="107">
        <v>0.03</v>
      </c>
      <c r="G209" s="108">
        <v>0.03</v>
      </c>
      <c r="H209" s="121" t="s">
        <v>55</v>
      </c>
      <c r="I209" s="110">
        <v>1.0049999999999999</v>
      </c>
      <c r="J209" s="110">
        <v>0.999</v>
      </c>
      <c r="K209" s="119">
        <v>0.99099999999999999</v>
      </c>
      <c r="L209" s="111">
        <f t="shared" si="29"/>
        <v>4.9999999999998934E-3</v>
      </c>
      <c r="M209" s="112">
        <f t="shared" si="29"/>
        <v>-1.0000000000000009E-3</v>
      </c>
      <c r="N209" s="112">
        <f t="shared" si="29"/>
        <v>-9.000000000000008E-3</v>
      </c>
      <c r="O209" s="112">
        <f t="shared" si="30"/>
        <v>0.99833333333333341</v>
      </c>
      <c r="P209" s="113">
        <f t="shared" si="31"/>
        <v>0.16666666666666313</v>
      </c>
      <c r="Q209" s="114">
        <f t="shared" si="32"/>
        <v>0.30000000000000027</v>
      </c>
      <c r="R209" s="115" t="str">
        <f t="shared" si="33"/>
        <v xml:space="preserve"> </v>
      </c>
      <c r="S209" s="115" t="str">
        <f t="shared" si="34"/>
        <v xml:space="preserve"> </v>
      </c>
      <c r="T209" s="116" t="str">
        <f t="shared" si="35"/>
        <v/>
      </c>
      <c r="U209" s="120"/>
      <c r="V209" s="118"/>
      <c r="W209" s="131"/>
    </row>
    <row r="210" spans="1:23" ht="13.2">
      <c r="A210" s="102" t="s">
        <v>245</v>
      </c>
      <c r="B210" s="102"/>
      <c r="C210" s="104">
        <v>3</v>
      </c>
      <c r="D210" s="105" t="s">
        <v>68</v>
      </c>
      <c r="E210" s="106">
        <v>1</v>
      </c>
      <c r="F210" s="107">
        <v>0.03</v>
      </c>
      <c r="G210" s="108">
        <v>0.03</v>
      </c>
      <c r="H210" s="121" t="s">
        <v>55</v>
      </c>
      <c r="I210" s="110">
        <v>0.996</v>
      </c>
      <c r="J210" s="110">
        <v>1.006</v>
      </c>
      <c r="K210" s="119">
        <v>1.004</v>
      </c>
      <c r="L210" s="111">
        <f t="shared" si="29"/>
        <v>-4.0000000000000036E-3</v>
      </c>
      <c r="M210" s="112">
        <f t="shared" si="29"/>
        <v>6.0000000000000053E-3</v>
      </c>
      <c r="N210" s="112">
        <f t="shared" si="29"/>
        <v>4.0000000000000036E-3</v>
      </c>
      <c r="O210" s="112">
        <f t="shared" si="30"/>
        <v>1.002</v>
      </c>
      <c r="P210" s="113">
        <f t="shared" si="31"/>
        <v>0.20000000000000018</v>
      </c>
      <c r="Q210" s="114">
        <f t="shared" si="32"/>
        <v>0.13333333333333347</v>
      </c>
      <c r="R210" s="115" t="str">
        <f t="shared" si="33"/>
        <v xml:space="preserve"> </v>
      </c>
      <c r="S210" s="115" t="str">
        <f t="shared" si="34"/>
        <v xml:space="preserve"> </v>
      </c>
      <c r="T210" s="116" t="str">
        <f t="shared" si="35"/>
        <v/>
      </c>
      <c r="U210" s="120"/>
      <c r="V210" s="118"/>
      <c r="W210" s="131"/>
    </row>
    <row r="211" spans="1:23" ht="13.2">
      <c r="A211" s="102" t="s">
        <v>246</v>
      </c>
      <c r="B211" s="102"/>
      <c r="C211" s="104">
        <v>3</v>
      </c>
      <c r="D211" s="105" t="s">
        <v>68</v>
      </c>
      <c r="E211" s="106">
        <v>1</v>
      </c>
      <c r="F211" s="107">
        <v>0.03</v>
      </c>
      <c r="G211" s="108">
        <v>0.03</v>
      </c>
      <c r="H211" s="121" t="s">
        <v>55</v>
      </c>
      <c r="I211" s="110">
        <v>1.0129999999999999</v>
      </c>
      <c r="J211" s="110">
        <v>1.002</v>
      </c>
      <c r="K211" s="119">
        <v>0.998</v>
      </c>
      <c r="L211" s="111">
        <f t="shared" si="29"/>
        <v>1.2999999999999901E-2</v>
      </c>
      <c r="M211" s="112">
        <f t="shared" si="29"/>
        <v>2.0000000000000018E-3</v>
      </c>
      <c r="N211" s="112">
        <f t="shared" si="29"/>
        <v>-2.0000000000000018E-3</v>
      </c>
      <c r="O211" s="112">
        <f t="shared" si="30"/>
        <v>1.0043333333333333</v>
      </c>
      <c r="P211" s="113">
        <f t="shared" si="31"/>
        <v>0.43333333333333002</v>
      </c>
      <c r="Q211" s="114">
        <f t="shared" si="32"/>
        <v>6.6666666666666735E-2</v>
      </c>
      <c r="R211" s="115" t="str">
        <f t="shared" si="33"/>
        <v xml:space="preserve"> </v>
      </c>
      <c r="S211" s="115" t="str">
        <f t="shared" si="34"/>
        <v xml:space="preserve"> </v>
      </c>
      <c r="T211" s="116" t="str">
        <f t="shared" si="35"/>
        <v/>
      </c>
      <c r="U211" s="120"/>
      <c r="V211" s="118"/>
      <c r="W211" s="131"/>
    </row>
    <row r="212" spans="1:23" ht="13.2">
      <c r="A212" s="102" t="s">
        <v>247</v>
      </c>
      <c r="B212" s="102"/>
      <c r="C212" s="104">
        <v>3</v>
      </c>
      <c r="D212" s="105" t="s">
        <v>68</v>
      </c>
      <c r="E212" s="106">
        <v>1</v>
      </c>
      <c r="F212" s="107">
        <v>0.03</v>
      </c>
      <c r="G212" s="108">
        <v>0.03</v>
      </c>
      <c r="H212" s="121" t="s">
        <v>55</v>
      </c>
      <c r="I212" s="110">
        <v>0.997</v>
      </c>
      <c r="J212" s="110">
        <v>1.014</v>
      </c>
      <c r="K212" s="119">
        <v>1.012</v>
      </c>
      <c r="L212" s="111">
        <f t="shared" si="29"/>
        <v>-3.0000000000000027E-3</v>
      </c>
      <c r="M212" s="112">
        <f t="shared" si="29"/>
        <v>1.4000000000000012E-2</v>
      </c>
      <c r="N212" s="112">
        <f t="shared" si="29"/>
        <v>1.2000000000000011E-2</v>
      </c>
      <c r="O212" s="112">
        <f t="shared" si="30"/>
        <v>1.0076666666666667</v>
      </c>
      <c r="P212" s="113">
        <f t="shared" si="31"/>
        <v>0.46666666666666712</v>
      </c>
      <c r="Q212" s="114">
        <f t="shared" si="32"/>
        <v>0.10000000000000009</v>
      </c>
      <c r="R212" s="115" t="str">
        <f t="shared" si="33"/>
        <v xml:space="preserve"> </v>
      </c>
      <c r="S212" s="115" t="str">
        <f t="shared" si="34"/>
        <v xml:space="preserve"> </v>
      </c>
      <c r="T212" s="116" t="str">
        <f t="shared" si="35"/>
        <v/>
      </c>
      <c r="U212" s="120"/>
      <c r="V212" s="118"/>
      <c r="W212" s="131"/>
    </row>
    <row r="213" spans="1:23" ht="13.2">
      <c r="A213" s="102" t="s">
        <v>248</v>
      </c>
      <c r="B213" s="102"/>
      <c r="C213" s="104">
        <v>3</v>
      </c>
      <c r="D213" s="105" t="s">
        <v>68</v>
      </c>
      <c r="E213" s="106">
        <v>1</v>
      </c>
      <c r="F213" s="107">
        <v>0.03</v>
      </c>
      <c r="G213" s="108">
        <v>0.03</v>
      </c>
      <c r="H213" s="121" t="s">
        <v>55</v>
      </c>
      <c r="I213" s="110">
        <v>1.0009999999999999</v>
      </c>
      <c r="J213" s="110">
        <v>0.997</v>
      </c>
      <c r="K213" s="119">
        <v>0.98799999999999999</v>
      </c>
      <c r="L213" s="111">
        <f t="shared" si="29"/>
        <v>9.9999999999988987E-4</v>
      </c>
      <c r="M213" s="112">
        <f t="shared" si="29"/>
        <v>-3.0000000000000027E-3</v>
      </c>
      <c r="N213" s="112">
        <f t="shared" si="29"/>
        <v>-1.2000000000000011E-2</v>
      </c>
      <c r="O213" s="112">
        <f t="shared" si="30"/>
        <v>0.99533333333333329</v>
      </c>
      <c r="P213" s="113">
        <f t="shared" si="31"/>
        <v>3.3333333333329662E-2</v>
      </c>
      <c r="Q213" s="114">
        <f t="shared" si="32"/>
        <v>0.40000000000000036</v>
      </c>
      <c r="R213" s="115" t="str">
        <f t="shared" si="33"/>
        <v xml:space="preserve"> </v>
      </c>
      <c r="S213" s="115" t="str">
        <f t="shared" si="34"/>
        <v xml:space="preserve"> </v>
      </c>
      <c r="T213" s="116" t="str">
        <f t="shared" si="35"/>
        <v/>
      </c>
      <c r="U213" s="120"/>
      <c r="V213" s="118"/>
      <c r="W213" s="131"/>
    </row>
    <row r="214" spans="1:23" ht="13.2">
      <c r="A214" s="102" t="s">
        <v>249</v>
      </c>
      <c r="B214" s="102"/>
      <c r="C214" s="104">
        <v>3</v>
      </c>
      <c r="D214" s="105" t="s">
        <v>68</v>
      </c>
      <c r="E214" s="106">
        <v>1</v>
      </c>
      <c r="F214" s="107">
        <v>0.03</v>
      </c>
      <c r="G214" s="108">
        <v>0.03</v>
      </c>
      <c r="H214" s="121" t="s">
        <v>55</v>
      </c>
      <c r="I214" s="110">
        <v>0.999</v>
      </c>
      <c r="J214" s="110">
        <v>0.998</v>
      </c>
      <c r="K214" s="119">
        <v>1</v>
      </c>
      <c r="L214" s="111">
        <f t="shared" si="29"/>
        <v>-1.0000000000000009E-3</v>
      </c>
      <c r="M214" s="112">
        <f t="shared" si="29"/>
        <v>-2.0000000000000018E-3</v>
      </c>
      <c r="N214" s="112">
        <f t="shared" si="29"/>
        <v>0</v>
      </c>
      <c r="O214" s="112">
        <f t="shared" si="30"/>
        <v>0.999</v>
      </c>
      <c r="P214" s="113">
        <f t="shared" si="31"/>
        <v>0</v>
      </c>
      <c r="Q214" s="114">
        <f t="shared" si="32"/>
        <v>6.6666666666666735E-2</v>
      </c>
      <c r="R214" s="115" t="str">
        <f t="shared" si="33"/>
        <v xml:space="preserve"> </v>
      </c>
      <c r="S214" s="115" t="str">
        <f t="shared" si="34"/>
        <v xml:space="preserve"> </v>
      </c>
      <c r="T214" s="116" t="str">
        <f t="shared" si="35"/>
        <v/>
      </c>
      <c r="U214" s="120"/>
      <c r="V214" s="118"/>
      <c r="W214" s="131"/>
    </row>
    <row r="215" spans="1:23" ht="13.2">
      <c r="A215" s="102" t="s">
        <v>250</v>
      </c>
      <c r="B215" s="102"/>
      <c r="C215" s="104">
        <v>3</v>
      </c>
      <c r="D215" s="105" t="s">
        <v>68</v>
      </c>
      <c r="E215" s="106">
        <v>1</v>
      </c>
      <c r="F215" s="107">
        <v>0.03</v>
      </c>
      <c r="G215" s="108">
        <v>0.03</v>
      </c>
      <c r="H215" s="121" t="s">
        <v>55</v>
      </c>
      <c r="I215" s="110">
        <v>1.0129999999999999</v>
      </c>
      <c r="J215" s="110">
        <v>1.002</v>
      </c>
      <c r="K215" s="119">
        <v>1.002</v>
      </c>
      <c r="L215" s="111">
        <f t="shared" si="29"/>
        <v>1.2999999999999901E-2</v>
      </c>
      <c r="M215" s="112">
        <f t="shared" si="29"/>
        <v>2.0000000000000018E-3</v>
      </c>
      <c r="N215" s="112">
        <f t="shared" si="29"/>
        <v>2.0000000000000018E-3</v>
      </c>
      <c r="O215" s="112">
        <f t="shared" si="30"/>
        <v>1.0056666666666665</v>
      </c>
      <c r="P215" s="113">
        <f t="shared" si="31"/>
        <v>0.43333333333333002</v>
      </c>
      <c r="Q215" s="114">
        <f t="shared" si="32"/>
        <v>0</v>
      </c>
      <c r="R215" s="115" t="str">
        <f t="shared" si="33"/>
        <v xml:space="preserve"> </v>
      </c>
      <c r="S215" s="115" t="str">
        <f t="shared" si="34"/>
        <v xml:space="preserve"> </v>
      </c>
      <c r="T215" s="116" t="str">
        <f t="shared" si="35"/>
        <v/>
      </c>
      <c r="U215" s="120"/>
      <c r="V215" s="118"/>
      <c r="W215" s="131"/>
    </row>
    <row r="216" spans="1:23" ht="13.2">
      <c r="A216" s="102" t="s">
        <v>251</v>
      </c>
      <c r="B216" s="102"/>
      <c r="C216" s="104">
        <v>3</v>
      </c>
      <c r="D216" s="105" t="s">
        <v>68</v>
      </c>
      <c r="E216" s="106">
        <v>1</v>
      </c>
      <c r="F216" s="107">
        <v>0.03</v>
      </c>
      <c r="G216" s="108">
        <v>0.03</v>
      </c>
      <c r="H216" s="121" t="s">
        <v>55</v>
      </c>
      <c r="I216" s="110">
        <v>0.999</v>
      </c>
      <c r="J216" s="110">
        <v>1.004</v>
      </c>
      <c r="K216" s="119">
        <v>0.998</v>
      </c>
      <c r="L216" s="111">
        <f t="shared" si="29"/>
        <v>-1.0000000000000009E-3</v>
      </c>
      <c r="M216" s="112">
        <f t="shared" si="29"/>
        <v>4.0000000000000036E-3</v>
      </c>
      <c r="N216" s="112">
        <f t="shared" si="29"/>
        <v>-2.0000000000000018E-3</v>
      </c>
      <c r="O216" s="112">
        <f t="shared" si="30"/>
        <v>1.0003333333333335</v>
      </c>
      <c r="P216" s="113">
        <f t="shared" si="31"/>
        <v>0.13333333333333347</v>
      </c>
      <c r="Q216" s="114">
        <f t="shared" si="32"/>
        <v>6.6666666666666735E-2</v>
      </c>
      <c r="R216" s="115" t="str">
        <f t="shared" si="33"/>
        <v xml:space="preserve"> </v>
      </c>
      <c r="S216" s="115" t="str">
        <f t="shared" si="34"/>
        <v xml:space="preserve"> </v>
      </c>
      <c r="T216" s="116" t="str">
        <f t="shared" si="35"/>
        <v/>
      </c>
      <c r="U216" s="120"/>
      <c r="V216" s="118"/>
      <c r="W216" s="131"/>
    </row>
    <row r="217" spans="1:23" ht="13.2">
      <c r="A217" s="102" t="s">
        <v>252</v>
      </c>
      <c r="B217" s="102"/>
      <c r="C217" s="104">
        <v>3</v>
      </c>
      <c r="D217" s="105" t="s">
        <v>68</v>
      </c>
      <c r="E217" s="106">
        <v>1</v>
      </c>
      <c r="F217" s="107">
        <v>0.03</v>
      </c>
      <c r="G217" s="108">
        <v>0.03</v>
      </c>
      <c r="H217" s="121" t="s">
        <v>55</v>
      </c>
      <c r="I217" s="110">
        <v>0.998</v>
      </c>
      <c r="J217" s="110">
        <v>0.995</v>
      </c>
      <c r="K217" s="119">
        <v>0.99299999999999999</v>
      </c>
      <c r="L217" s="111">
        <f t="shared" si="29"/>
        <v>-2.0000000000000018E-3</v>
      </c>
      <c r="M217" s="112">
        <f t="shared" si="29"/>
        <v>-5.0000000000000044E-3</v>
      </c>
      <c r="N217" s="112">
        <f t="shared" si="29"/>
        <v>-7.0000000000000062E-3</v>
      </c>
      <c r="O217" s="112">
        <f t="shared" si="30"/>
        <v>0.99533333333333329</v>
      </c>
      <c r="P217" s="113">
        <f t="shared" si="31"/>
        <v>0</v>
      </c>
      <c r="Q217" s="114">
        <f t="shared" si="32"/>
        <v>0.23333333333333356</v>
      </c>
      <c r="R217" s="115" t="str">
        <f t="shared" si="33"/>
        <v xml:space="preserve"> </v>
      </c>
      <c r="S217" s="115" t="str">
        <f t="shared" si="34"/>
        <v xml:space="preserve"> </v>
      </c>
      <c r="T217" s="116" t="str">
        <f t="shared" si="35"/>
        <v/>
      </c>
      <c r="U217" s="120"/>
      <c r="V217" s="118"/>
      <c r="W217" s="131"/>
    </row>
    <row r="218" spans="1:23" ht="13.2">
      <c r="A218" s="102" t="s">
        <v>253</v>
      </c>
      <c r="B218" s="102"/>
      <c r="C218" s="104">
        <v>3</v>
      </c>
      <c r="D218" s="105" t="s">
        <v>68</v>
      </c>
      <c r="E218" s="106">
        <v>1</v>
      </c>
      <c r="F218" s="107">
        <v>0.03</v>
      </c>
      <c r="G218" s="108">
        <v>0.03</v>
      </c>
      <c r="H218" s="121" t="s">
        <v>55</v>
      </c>
      <c r="I218" s="110">
        <v>0.99399999999999999</v>
      </c>
      <c r="J218" s="110">
        <v>1.0049999999999999</v>
      </c>
      <c r="K218" s="119">
        <v>1.0069999999999999</v>
      </c>
      <c r="L218" s="111">
        <f t="shared" si="29"/>
        <v>-6.0000000000000053E-3</v>
      </c>
      <c r="M218" s="112">
        <f t="shared" si="29"/>
        <v>4.9999999999998934E-3</v>
      </c>
      <c r="N218" s="112">
        <f t="shared" si="29"/>
        <v>6.9999999999998952E-3</v>
      </c>
      <c r="O218" s="112">
        <f t="shared" si="30"/>
        <v>1.002</v>
      </c>
      <c r="P218" s="113">
        <f t="shared" si="31"/>
        <v>0.23333333333332984</v>
      </c>
      <c r="Q218" s="114">
        <f t="shared" si="32"/>
        <v>0.20000000000000018</v>
      </c>
      <c r="R218" s="115" t="str">
        <f t="shared" si="33"/>
        <v xml:space="preserve"> </v>
      </c>
      <c r="S218" s="115" t="str">
        <f t="shared" si="34"/>
        <v xml:space="preserve"> </v>
      </c>
      <c r="T218" s="116" t="str">
        <f t="shared" si="35"/>
        <v/>
      </c>
      <c r="U218" s="120"/>
      <c r="V218" s="118"/>
      <c r="W218" s="131"/>
    </row>
    <row r="219" spans="1:23" ht="13.2">
      <c r="A219" s="102" t="s">
        <v>254</v>
      </c>
      <c r="B219" s="102"/>
      <c r="C219" s="104">
        <v>3</v>
      </c>
      <c r="D219" s="105" t="s">
        <v>68</v>
      </c>
      <c r="E219" s="106">
        <v>1</v>
      </c>
      <c r="F219" s="107">
        <v>0.03</v>
      </c>
      <c r="G219" s="108">
        <v>0.03</v>
      </c>
      <c r="H219" s="121" t="s">
        <v>55</v>
      </c>
      <c r="I219" s="110">
        <v>1.006</v>
      </c>
      <c r="J219" s="110">
        <v>0.996</v>
      </c>
      <c r="K219" s="119">
        <v>1.0029999999999999</v>
      </c>
      <c r="L219" s="111">
        <f t="shared" si="29"/>
        <v>6.0000000000000053E-3</v>
      </c>
      <c r="M219" s="112">
        <f t="shared" si="29"/>
        <v>-4.0000000000000036E-3</v>
      </c>
      <c r="N219" s="112">
        <f t="shared" si="29"/>
        <v>2.9999999999998916E-3</v>
      </c>
      <c r="O219" s="112">
        <f t="shared" si="30"/>
        <v>1.0016666666666667</v>
      </c>
      <c r="P219" s="113">
        <f t="shared" si="31"/>
        <v>0.20000000000000018</v>
      </c>
      <c r="Q219" s="114">
        <f t="shared" si="32"/>
        <v>0.13333333333333347</v>
      </c>
      <c r="R219" s="115" t="str">
        <f t="shared" si="33"/>
        <v xml:space="preserve"> </v>
      </c>
      <c r="S219" s="115" t="str">
        <f t="shared" si="34"/>
        <v xml:space="preserve"> </v>
      </c>
      <c r="T219" s="116" t="str">
        <f t="shared" si="35"/>
        <v/>
      </c>
      <c r="U219" s="120"/>
      <c r="V219" s="118"/>
      <c r="W219" s="131"/>
    </row>
    <row r="220" spans="1:23" ht="13.2">
      <c r="A220" s="102" t="s">
        <v>255</v>
      </c>
      <c r="B220" s="102"/>
      <c r="C220" s="104">
        <v>3</v>
      </c>
      <c r="D220" s="105" t="s">
        <v>68</v>
      </c>
      <c r="E220" s="106">
        <v>1</v>
      </c>
      <c r="F220" s="107">
        <v>0.03</v>
      </c>
      <c r="G220" s="108">
        <v>0.03</v>
      </c>
      <c r="H220" s="121" t="s">
        <v>55</v>
      </c>
      <c r="I220" s="110">
        <v>1.0029999999999999</v>
      </c>
      <c r="J220" s="110">
        <v>1.0029999999999999</v>
      </c>
      <c r="K220" s="119">
        <v>1.01</v>
      </c>
      <c r="L220" s="111">
        <f t="shared" si="29"/>
        <v>2.9999999999998916E-3</v>
      </c>
      <c r="M220" s="112">
        <f t="shared" si="29"/>
        <v>2.9999999999998916E-3</v>
      </c>
      <c r="N220" s="112">
        <f t="shared" si="29"/>
        <v>1.0000000000000009E-2</v>
      </c>
      <c r="O220" s="112">
        <f t="shared" si="30"/>
        <v>1.0053333333333334</v>
      </c>
      <c r="P220" s="113">
        <f t="shared" si="31"/>
        <v>0.33333333333333365</v>
      </c>
      <c r="Q220" s="114">
        <f t="shared" si="32"/>
        <v>0</v>
      </c>
      <c r="R220" s="115" t="str">
        <f t="shared" si="33"/>
        <v xml:space="preserve"> </v>
      </c>
      <c r="S220" s="115" t="str">
        <f t="shared" si="34"/>
        <v xml:space="preserve"> </v>
      </c>
      <c r="T220" s="116" t="str">
        <f t="shared" si="35"/>
        <v/>
      </c>
      <c r="U220" s="120"/>
      <c r="V220" s="118"/>
      <c r="W220" s="131"/>
    </row>
    <row r="221" spans="1:23" ht="13.2">
      <c r="A221" s="102" t="s">
        <v>256</v>
      </c>
      <c r="B221" s="102"/>
      <c r="C221" s="104">
        <v>3</v>
      </c>
      <c r="D221" s="105" t="s">
        <v>68</v>
      </c>
      <c r="E221" s="106">
        <v>1</v>
      </c>
      <c r="F221" s="107">
        <v>0.03</v>
      </c>
      <c r="G221" s="108">
        <v>0.03</v>
      </c>
      <c r="H221" s="121" t="s">
        <v>55</v>
      </c>
      <c r="I221" s="110">
        <v>1.0089999999999999</v>
      </c>
      <c r="J221" s="110">
        <v>1.01</v>
      </c>
      <c r="K221" s="119">
        <v>1.0149999999999999</v>
      </c>
      <c r="L221" s="111">
        <f t="shared" ref="L221:N284" si="36">IF(ISBLANK($E221),"",IF(ISERR(I221/I221)=TRUE,"BAD INSP",I221-$E221))</f>
        <v>8.999999999999897E-3</v>
      </c>
      <c r="M221" s="112">
        <f t="shared" si="36"/>
        <v>1.0000000000000009E-2</v>
      </c>
      <c r="N221" s="112">
        <f t="shared" si="36"/>
        <v>1.4999999999999902E-2</v>
      </c>
      <c r="O221" s="112">
        <f t="shared" si="30"/>
        <v>1.0113333333333332</v>
      </c>
      <c r="P221" s="113">
        <f t="shared" si="31"/>
        <v>0.49999999999999678</v>
      </c>
      <c r="Q221" s="114">
        <f t="shared" si="32"/>
        <v>0</v>
      </c>
      <c r="R221" s="115" t="str">
        <f t="shared" si="33"/>
        <v xml:space="preserve"> </v>
      </c>
      <c r="S221" s="115" t="str">
        <f t="shared" si="34"/>
        <v xml:space="preserve"> </v>
      </c>
      <c r="T221" s="116" t="str">
        <f t="shared" si="35"/>
        <v/>
      </c>
      <c r="U221" s="120"/>
      <c r="V221" s="118"/>
      <c r="W221" s="131"/>
    </row>
    <row r="222" spans="1:23" ht="13.2">
      <c r="A222" s="102" t="s">
        <v>257</v>
      </c>
      <c r="B222" s="103"/>
      <c r="C222" s="104">
        <v>3</v>
      </c>
      <c r="D222" s="105" t="s">
        <v>68</v>
      </c>
      <c r="E222" s="106">
        <v>1</v>
      </c>
      <c r="F222" s="107">
        <v>0.03</v>
      </c>
      <c r="G222" s="108">
        <v>0.03</v>
      </c>
      <c r="H222" s="121" t="s">
        <v>55</v>
      </c>
      <c r="I222" s="110">
        <v>1.006</v>
      </c>
      <c r="J222" s="110">
        <v>0.99199999999999999</v>
      </c>
      <c r="K222" s="119">
        <v>1.0009999999999999</v>
      </c>
      <c r="L222" s="111">
        <f t="shared" si="36"/>
        <v>6.0000000000000053E-3</v>
      </c>
      <c r="M222" s="112">
        <f t="shared" si="36"/>
        <v>-8.0000000000000071E-3</v>
      </c>
      <c r="N222" s="112">
        <f t="shared" si="36"/>
        <v>9.9999999999988987E-4</v>
      </c>
      <c r="O222" s="112">
        <f t="shared" si="30"/>
        <v>0.99966666666666659</v>
      </c>
      <c r="P222" s="113">
        <f t="shared" si="31"/>
        <v>0.20000000000000018</v>
      </c>
      <c r="Q222" s="114">
        <f t="shared" si="32"/>
        <v>0.26666666666666694</v>
      </c>
      <c r="R222" s="115" t="str">
        <f t="shared" si="33"/>
        <v xml:space="preserve"> </v>
      </c>
      <c r="S222" s="115" t="str">
        <f t="shared" si="34"/>
        <v xml:space="preserve"> </v>
      </c>
      <c r="T222" s="116" t="str">
        <f t="shared" si="35"/>
        <v/>
      </c>
      <c r="U222" s="120"/>
      <c r="V222" s="118"/>
      <c r="W222" s="131"/>
    </row>
    <row r="223" spans="1:23" ht="13.2">
      <c r="A223" s="102" t="s">
        <v>258</v>
      </c>
      <c r="B223" s="103"/>
      <c r="C223" s="104">
        <v>3</v>
      </c>
      <c r="D223" s="105" t="s">
        <v>68</v>
      </c>
      <c r="E223" s="106">
        <v>1</v>
      </c>
      <c r="F223" s="107">
        <v>0.03</v>
      </c>
      <c r="G223" s="108">
        <v>0.03</v>
      </c>
      <c r="H223" s="121" t="s">
        <v>55</v>
      </c>
      <c r="I223" s="110">
        <v>0.99099999999999999</v>
      </c>
      <c r="J223" s="110">
        <v>1.0109999999999999</v>
      </c>
      <c r="K223" s="119">
        <v>1.006</v>
      </c>
      <c r="L223" s="111">
        <f t="shared" si="36"/>
        <v>-9.000000000000008E-3</v>
      </c>
      <c r="M223" s="112">
        <f t="shared" si="36"/>
        <v>1.0999999999999899E-2</v>
      </c>
      <c r="N223" s="112">
        <f t="shared" si="36"/>
        <v>6.0000000000000053E-3</v>
      </c>
      <c r="O223" s="112">
        <f t="shared" si="30"/>
        <v>1.0026666666666666</v>
      </c>
      <c r="P223" s="113">
        <f t="shared" si="31"/>
        <v>0.36666666666666331</v>
      </c>
      <c r="Q223" s="114">
        <f t="shared" si="32"/>
        <v>0.30000000000000027</v>
      </c>
      <c r="R223" s="115" t="str">
        <f t="shared" si="33"/>
        <v xml:space="preserve"> </v>
      </c>
      <c r="S223" s="115" t="str">
        <f t="shared" si="34"/>
        <v xml:space="preserve"> </v>
      </c>
      <c r="T223" s="116" t="str">
        <f t="shared" si="35"/>
        <v/>
      </c>
      <c r="U223" s="120"/>
      <c r="V223" s="118"/>
      <c r="W223" s="131"/>
    </row>
    <row r="224" spans="1:23" ht="13.2">
      <c r="A224" s="102" t="s">
        <v>259</v>
      </c>
      <c r="B224" s="103"/>
      <c r="C224" s="104">
        <v>3</v>
      </c>
      <c r="D224" s="105" t="s">
        <v>68</v>
      </c>
      <c r="E224" s="106">
        <v>1</v>
      </c>
      <c r="F224" s="107">
        <v>0.03</v>
      </c>
      <c r="G224" s="108">
        <v>0.03</v>
      </c>
      <c r="H224" s="121" t="s">
        <v>55</v>
      </c>
      <c r="I224" s="110">
        <v>1.002</v>
      </c>
      <c r="J224" s="110">
        <v>1.0069999999999999</v>
      </c>
      <c r="K224" s="119">
        <v>0.997</v>
      </c>
      <c r="L224" s="111">
        <f t="shared" si="36"/>
        <v>2.0000000000000018E-3</v>
      </c>
      <c r="M224" s="112">
        <f t="shared" si="36"/>
        <v>6.9999999999998952E-3</v>
      </c>
      <c r="N224" s="112">
        <f t="shared" si="36"/>
        <v>-3.0000000000000027E-3</v>
      </c>
      <c r="O224" s="112">
        <f t="shared" si="30"/>
        <v>1.002</v>
      </c>
      <c r="P224" s="113">
        <f t="shared" si="31"/>
        <v>0.23333333333332984</v>
      </c>
      <c r="Q224" s="114">
        <f t="shared" si="32"/>
        <v>0.10000000000000009</v>
      </c>
      <c r="R224" s="115" t="str">
        <f t="shared" si="33"/>
        <v xml:space="preserve"> </v>
      </c>
      <c r="S224" s="115" t="str">
        <f t="shared" si="34"/>
        <v xml:space="preserve"> </v>
      </c>
      <c r="T224" s="116" t="str">
        <f t="shared" si="35"/>
        <v/>
      </c>
      <c r="U224" s="120"/>
      <c r="V224" s="118"/>
      <c r="W224" s="131"/>
    </row>
    <row r="225" spans="1:23" ht="13.2">
      <c r="A225" s="102" t="s">
        <v>260</v>
      </c>
      <c r="B225" s="102"/>
      <c r="C225" s="104">
        <v>3</v>
      </c>
      <c r="D225" s="105" t="s">
        <v>68</v>
      </c>
      <c r="E225" s="106">
        <v>1</v>
      </c>
      <c r="F225" s="107">
        <v>0.03</v>
      </c>
      <c r="G225" s="108">
        <v>0.03</v>
      </c>
      <c r="H225" s="121" t="s">
        <v>55</v>
      </c>
      <c r="I225" s="110">
        <v>0.997</v>
      </c>
      <c r="J225" s="110">
        <v>1.0009999999999999</v>
      </c>
      <c r="K225" s="119">
        <v>1.008</v>
      </c>
      <c r="L225" s="111">
        <f t="shared" si="36"/>
        <v>-3.0000000000000027E-3</v>
      </c>
      <c r="M225" s="112">
        <f t="shared" si="36"/>
        <v>9.9999999999988987E-4</v>
      </c>
      <c r="N225" s="112">
        <f t="shared" si="36"/>
        <v>8.0000000000000071E-3</v>
      </c>
      <c r="O225" s="112">
        <f t="shared" si="30"/>
        <v>1.002</v>
      </c>
      <c r="P225" s="113">
        <f t="shared" si="31"/>
        <v>0.26666666666666694</v>
      </c>
      <c r="Q225" s="114">
        <f t="shared" si="32"/>
        <v>0.10000000000000009</v>
      </c>
      <c r="R225" s="115" t="str">
        <f t="shared" si="33"/>
        <v xml:space="preserve"> </v>
      </c>
      <c r="S225" s="115" t="str">
        <f t="shared" si="34"/>
        <v xml:space="preserve"> </v>
      </c>
      <c r="T225" s="116" t="str">
        <f t="shared" si="35"/>
        <v/>
      </c>
      <c r="U225" s="120"/>
      <c r="V225" s="118"/>
      <c r="W225" s="131"/>
    </row>
    <row r="226" spans="1:23" ht="13.2">
      <c r="A226" s="102" t="s">
        <v>261</v>
      </c>
      <c r="B226" s="102"/>
      <c r="C226" s="104">
        <v>3</v>
      </c>
      <c r="D226" s="105" t="s">
        <v>68</v>
      </c>
      <c r="E226" s="106">
        <v>1</v>
      </c>
      <c r="F226" s="107">
        <v>0.03</v>
      </c>
      <c r="G226" s="108">
        <v>0.03</v>
      </c>
      <c r="H226" s="121" t="s">
        <v>55</v>
      </c>
      <c r="I226" s="110">
        <v>1.0089999999999999</v>
      </c>
      <c r="J226" s="110">
        <v>1.01</v>
      </c>
      <c r="K226" s="119">
        <v>1.01</v>
      </c>
      <c r="L226" s="111">
        <f t="shared" si="36"/>
        <v>8.999999999999897E-3</v>
      </c>
      <c r="M226" s="112">
        <f t="shared" si="36"/>
        <v>1.0000000000000009E-2</v>
      </c>
      <c r="N226" s="112">
        <f t="shared" si="36"/>
        <v>1.0000000000000009E-2</v>
      </c>
      <c r="O226" s="112">
        <f t="shared" si="30"/>
        <v>1.0096666666666667</v>
      </c>
      <c r="P226" s="113">
        <f t="shared" si="31"/>
        <v>0.33333333333333365</v>
      </c>
      <c r="Q226" s="114">
        <f t="shared" si="32"/>
        <v>0</v>
      </c>
      <c r="R226" s="115" t="str">
        <f t="shared" si="33"/>
        <v xml:space="preserve"> </v>
      </c>
      <c r="S226" s="115" t="str">
        <f t="shared" si="34"/>
        <v xml:space="preserve"> </v>
      </c>
      <c r="T226" s="116" t="str">
        <f t="shared" si="35"/>
        <v/>
      </c>
      <c r="U226" s="120"/>
      <c r="V226" s="118"/>
      <c r="W226" s="131"/>
    </row>
    <row r="227" spans="1:23" ht="13.2">
      <c r="A227" s="102" t="s">
        <v>262</v>
      </c>
      <c r="B227" s="102"/>
      <c r="C227" s="104">
        <v>3</v>
      </c>
      <c r="D227" s="105" t="s">
        <v>68</v>
      </c>
      <c r="E227" s="106">
        <v>1</v>
      </c>
      <c r="F227" s="107">
        <v>0.03</v>
      </c>
      <c r="G227" s="108">
        <v>0.03</v>
      </c>
      <c r="H227" s="121" t="s">
        <v>55</v>
      </c>
      <c r="I227" s="110">
        <v>1.002</v>
      </c>
      <c r="J227" s="110">
        <v>1.006</v>
      </c>
      <c r="K227" s="119">
        <v>1.0029999999999999</v>
      </c>
      <c r="L227" s="111">
        <f t="shared" si="36"/>
        <v>2.0000000000000018E-3</v>
      </c>
      <c r="M227" s="112">
        <f t="shared" si="36"/>
        <v>6.0000000000000053E-3</v>
      </c>
      <c r="N227" s="112">
        <f t="shared" si="36"/>
        <v>2.9999999999998916E-3</v>
      </c>
      <c r="O227" s="112">
        <f t="shared" si="30"/>
        <v>1.0036666666666667</v>
      </c>
      <c r="P227" s="113">
        <f t="shared" si="31"/>
        <v>0.20000000000000018</v>
      </c>
      <c r="Q227" s="114">
        <f t="shared" si="32"/>
        <v>0</v>
      </c>
      <c r="R227" s="115" t="str">
        <f t="shared" si="33"/>
        <v xml:space="preserve"> </v>
      </c>
      <c r="S227" s="115" t="str">
        <f t="shared" si="34"/>
        <v xml:space="preserve"> </v>
      </c>
      <c r="T227" s="116" t="str">
        <f t="shared" si="35"/>
        <v/>
      </c>
      <c r="U227" s="120"/>
      <c r="V227" s="118"/>
      <c r="W227" s="131"/>
    </row>
    <row r="228" spans="1:23" ht="13.2">
      <c r="A228" s="102" t="s">
        <v>263</v>
      </c>
      <c r="B228" s="102"/>
      <c r="C228" s="104">
        <v>3</v>
      </c>
      <c r="D228" s="105" t="s">
        <v>68</v>
      </c>
      <c r="E228" s="106">
        <v>1</v>
      </c>
      <c r="F228" s="107">
        <v>0.03</v>
      </c>
      <c r="G228" s="108">
        <v>0.03</v>
      </c>
      <c r="H228" s="121" t="s">
        <v>55</v>
      </c>
      <c r="I228" s="110">
        <v>0.996</v>
      </c>
      <c r="J228" s="110">
        <v>1.0009999999999999</v>
      </c>
      <c r="K228" s="119">
        <v>1.004</v>
      </c>
      <c r="L228" s="111">
        <f t="shared" si="36"/>
        <v>-4.0000000000000036E-3</v>
      </c>
      <c r="M228" s="112">
        <f t="shared" si="36"/>
        <v>9.9999999999988987E-4</v>
      </c>
      <c r="N228" s="112">
        <f t="shared" si="36"/>
        <v>4.0000000000000036E-3</v>
      </c>
      <c r="O228" s="112">
        <f t="shared" si="30"/>
        <v>1.0003333333333333</v>
      </c>
      <c r="P228" s="113">
        <f t="shared" si="31"/>
        <v>0.13333333333333347</v>
      </c>
      <c r="Q228" s="114">
        <f t="shared" si="32"/>
        <v>0.13333333333333347</v>
      </c>
      <c r="R228" s="115" t="str">
        <f t="shared" si="33"/>
        <v xml:space="preserve"> </v>
      </c>
      <c r="S228" s="115" t="str">
        <f t="shared" si="34"/>
        <v xml:space="preserve"> </v>
      </c>
      <c r="T228" s="116" t="str">
        <f t="shared" si="35"/>
        <v/>
      </c>
      <c r="U228" s="120"/>
      <c r="V228" s="118"/>
      <c r="W228" s="131"/>
    </row>
    <row r="229" spans="1:23" ht="13.2">
      <c r="A229" s="102" t="s">
        <v>264</v>
      </c>
      <c r="B229" s="102"/>
      <c r="C229" s="104">
        <v>3</v>
      </c>
      <c r="D229" s="105" t="s">
        <v>68</v>
      </c>
      <c r="E229" s="106">
        <v>1</v>
      </c>
      <c r="F229" s="107">
        <v>0.03</v>
      </c>
      <c r="G229" s="108">
        <v>0.03</v>
      </c>
      <c r="H229" s="121" t="s">
        <v>55</v>
      </c>
      <c r="I229" s="110">
        <v>1.004</v>
      </c>
      <c r="J229" s="110">
        <v>1.0049999999999999</v>
      </c>
      <c r="K229" s="119">
        <v>1</v>
      </c>
      <c r="L229" s="111">
        <f t="shared" si="36"/>
        <v>4.0000000000000036E-3</v>
      </c>
      <c r="M229" s="112">
        <f t="shared" si="36"/>
        <v>4.9999999999998934E-3</v>
      </c>
      <c r="N229" s="112">
        <f t="shared" si="36"/>
        <v>0</v>
      </c>
      <c r="O229" s="112">
        <f t="shared" si="30"/>
        <v>1.0029999999999999</v>
      </c>
      <c r="P229" s="113">
        <f t="shared" si="31"/>
        <v>0.16666666666666313</v>
      </c>
      <c r="Q229" s="114">
        <f t="shared" si="32"/>
        <v>0</v>
      </c>
      <c r="R229" s="115" t="str">
        <f t="shared" si="33"/>
        <v xml:space="preserve"> </v>
      </c>
      <c r="S229" s="115" t="str">
        <f t="shared" si="34"/>
        <v xml:space="preserve"> </v>
      </c>
      <c r="T229" s="116" t="str">
        <f t="shared" si="35"/>
        <v/>
      </c>
      <c r="U229" s="120"/>
      <c r="V229" s="118"/>
      <c r="W229" s="131"/>
    </row>
    <row r="230" spans="1:23" ht="13.2">
      <c r="A230" s="102" t="s">
        <v>265</v>
      </c>
      <c r="B230" s="102"/>
      <c r="C230" s="104">
        <v>3</v>
      </c>
      <c r="D230" s="105" t="s">
        <v>68</v>
      </c>
      <c r="E230" s="106">
        <v>1</v>
      </c>
      <c r="F230" s="107">
        <v>0.03</v>
      </c>
      <c r="G230" s="108">
        <v>0.03</v>
      </c>
      <c r="H230" s="121" t="s">
        <v>55</v>
      </c>
      <c r="I230" s="110">
        <v>0.996</v>
      </c>
      <c r="J230" s="110">
        <v>1.0069999999999999</v>
      </c>
      <c r="K230" s="119">
        <v>0.996</v>
      </c>
      <c r="L230" s="111">
        <f t="shared" si="36"/>
        <v>-4.0000000000000036E-3</v>
      </c>
      <c r="M230" s="112">
        <f t="shared" si="36"/>
        <v>6.9999999999998952E-3</v>
      </c>
      <c r="N230" s="112">
        <f t="shared" si="36"/>
        <v>-4.0000000000000036E-3</v>
      </c>
      <c r="O230" s="112">
        <f t="shared" si="30"/>
        <v>0.9996666666666667</v>
      </c>
      <c r="P230" s="113">
        <f t="shared" si="31"/>
        <v>0.23333333333332984</v>
      </c>
      <c r="Q230" s="114">
        <f t="shared" si="32"/>
        <v>0.13333333333333347</v>
      </c>
      <c r="R230" s="115" t="str">
        <f t="shared" si="33"/>
        <v xml:space="preserve"> </v>
      </c>
      <c r="S230" s="115" t="str">
        <f t="shared" si="34"/>
        <v xml:space="preserve"> </v>
      </c>
      <c r="T230" s="116" t="str">
        <f t="shared" si="35"/>
        <v/>
      </c>
      <c r="U230" s="120"/>
      <c r="V230" s="118"/>
      <c r="W230" s="131"/>
    </row>
    <row r="231" spans="1:23" ht="13.2">
      <c r="A231" s="102" t="s">
        <v>266</v>
      </c>
      <c r="B231" s="102"/>
      <c r="C231" s="104">
        <v>3</v>
      </c>
      <c r="D231" s="105" t="s">
        <v>68</v>
      </c>
      <c r="E231" s="106">
        <v>1</v>
      </c>
      <c r="F231" s="107">
        <v>0.03</v>
      </c>
      <c r="G231" s="108">
        <v>0.03</v>
      </c>
      <c r="H231" s="121" t="s">
        <v>55</v>
      </c>
      <c r="I231" s="110">
        <v>0.998</v>
      </c>
      <c r="J231" s="110">
        <v>1</v>
      </c>
      <c r="K231" s="119">
        <v>1.01</v>
      </c>
      <c r="L231" s="111">
        <f t="shared" si="36"/>
        <v>-2.0000000000000018E-3</v>
      </c>
      <c r="M231" s="112">
        <f t="shared" si="36"/>
        <v>0</v>
      </c>
      <c r="N231" s="112">
        <f t="shared" si="36"/>
        <v>1.0000000000000009E-2</v>
      </c>
      <c r="O231" s="112">
        <f t="shared" si="30"/>
        <v>1.0026666666666666</v>
      </c>
      <c r="P231" s="113">
        <f t="shared" si="31"/>
        <v>0.33333333333333365</v>
      </c>
      <c r="Q231" s="114">
        <f t="shared" si="32"/>
        <v>6.6666666666666735E-2</v>
      </c>
      <c r="R231" s="115" t="str">
        <f t="shared" si="33"/>
        <v xml:space="preserve"> </v>
      </c>
      <c r="S231" s="115" t="str">
        <f t="shared" si="34"/>
        <v xml:space="preserve"> </v>
      </c>
      <c r="T231" s="116" t="str">
        <f t="shared" si="35"/>
        <v/>
      </c>
      <c r="U231" s="120"/>
      <c r="V231" s="118"/>
      <c r="W231" s="131"/>
    </row>
    <row r="232" spans="1:23" ht="13.2">
      <c r="A232" s="102" t="s">
        <v>267</v>
      </c>
      <c r="B232" s="102"/>
      <c r="C232" s="104">
        <v>3</v>
      </c>
      <c r="D232" s="105" t="s">
        <v>68</v>
      </c>
      <c r="E232" s="106">
        <v>1</v>
      </c>
      <c r="F232" s="107">
        <v>0.03</v>
      </c>
      <c r="G232" s="108">
        <v>0.03</v>
      </c>
      <c r="H232" s="121" t="s">
        <v>55</v>
      </c>
      <c r="I232" s="110">
        <v>1.0049999999999999</v>
      </c>
      <c r="J232" s="110">
        <v>0.999</v>
      </c>
      <c r="K232" s="119">
        <v>0.995</v>
      </c>
      <c r="L232" s="111">
        <f t="shared" si="36"/>
        <v>4.9999999999998934E-3</v>
      </c>
      <c r="M232" s="112">
        <f t="shared" si="36"/>
        <v>-1.0000000000000009E-3</v>
      </c>
      <c r="N232" s="112">
        <f t="shared" si="36"/>
        <v>-5.0000000000000044E-3</v>
      </c>
      <c r="O232" s="112">
        <f t="shared" si="30"/>
        <v>0.9996666666666667</v>
      </c>
      <c r="P232" s="113">
        <f t="shared" si="31"/>
        <v>0.16666666666666313</v>
      </c>
      <c r="Q232" s="114">
        <f t="shared" si="32"/>
        <v>0.16666666666666682</v>
      </c>
      <c r="R232" s="115" t="str">
        <f t="shared" si="33"/>
        <v xml:space="preserve"> </v>
      </c>
      <c r="S232" s="115" t="str">
        <f t="shared" si="34"/>
        <v xml:space="preserve"> </v>
      </c>
      <c r="T232" s="116" t="str">
        <f t="shared" si="35"/>
        <v/>
      </c>
      <c r="U232" s="120"/>
      <c r="V232" s="118"/>
      <c r="W232" s="131"/>
    </row>
    <row r="233" spans="1:23" ht="13.2">
      <c r="A233" s="102" t="s">
        <v>268</v>
      </c>
      <c r="B233" s="102"/>
      <c r="C233" s="104">
        <v>3</v>
      </c>
      <c r="D233" s="105" t="s">
        <v>68</v>
      </c>
      <c r="E233" s="106">
        <v>1</v>
      </c>
      <c r="F233" s="107">
        <v>0.03</v>
      </c>
      <c r="G233" s="108">
        <v>0.03</v>
      </c>
      <c r="H233" s="121" t="s">
        <v>55</v>
      </c>
      <c r="I233" s="110">
        <v>0.99199999999999999</v>
      </c>
      <c r="J233" s="110">
        <v>1.014</v>
      </c>
      <c r="K233" s="119">
        <v>1.01</v>
      </c>
      <c r="L233" s="111">
        <f t="shared" si="36"/>
        <v>-8.0000000000000071E-3</v>
      </c>
      <c r="M233" s="112">
        <f t="shared" si="36"/>
        <v>1.4000000000000012E-2</v>
      </c>
      <c r="N233" s="112">
        <f t="shared" si="36"/>
        <v>1.0000000000000009E-2</v>
      </c>
      <c r="O233" s="112">
        <f t="shared" si="30"/>
        <v>1.0053333333333334</v>
      </c>
      <c r="P233" s="113">
        <f t="shared" si="31"/>
        <v>0.46666666666666712</v>
      </c>
      <c r="Q233" s="114">
        <f t="shared" si="32"/>
        <v>0.26666666666666694</v>
      </c>
      <c r="R233" s="115" t="str">
        <f t="shared" si="33"/>
        <v xml:space="preserve"> </v>
      </c>
      <c r="S233" s="115" t="str">
        <f t="shared" si="34"/>
        <v xml:space="preserve"> </v>
      </c>
      <c r="T233" s="116" t="str">
        <f t="shared" si="35"/>
        <v/>
      </c>
      <c r="U233" s="120"/>
      <c r="V233" s="118"/>
      <c r="W233" s="131"/>
    </row>
    <row r="234" spans="1:23" ht="13.2">
      <c r="A234" s="102" t="s">
        <v>269</v>
      </c>
      <c r="B234" s="102"/>
      <c r="C234" s="104">
        <v>3</v>
      </c>
      <c r="D234" s="105" t="s">
        <v>68</v>
      </c>
      <c r="E234" s="106">
        <v>1</v>
      </c>
      <c r="F234" s="107">
        <v>0.03</v>
      </c>
      <c r="G234" s="108">
        <v>0.03</v>
      </c>
      <c r="H234" s="121" t="s">
        <v>55</v>
      </c>
      <c r="I234" s="110">
        <v>0.998</v>
      </c>
      <c r="J234" s="110">
        <v>1.0049999999999999</v>
      </c>
      <c r="K234" s="119">
        <v>1.018</v>
      </c>
      <c r="L234" s="111">
        <f t="shared" si="36"/>
        <v>-2.0000000000000018E-3</v>
      </c>
      <c r="M234" s="112">
        <f t="shared" si="36"/>
        <v>4.9999999999998934E-3</v>
      </c>
      <c r="N234" s="112">
        <f t="shared" si="36"/>
        <v>1.8000000000000016E-2</v>
      </c>
      <c r="O234" s="112">
        <f t="shared" si="30"/>
        <v>1.0069999999999999</v>
      </c>
      <c r="P234" s="113">
        <f t="shared" si="31"/>
        <v>0.60000000000000053</v>
      </c>
      <c r="Q234" s="114">
        <f t="shared" si="32"/>
        <v>6.6666666666666735E-2</v>
      </c>
      <c r="R234" s="115" t="str">
        <f t="shared" si="33"/>
        <v xml:space="preserve"> </v>
      </c>
      <c r="S234" s="115" t="str">
        <f t="shared" si="34"/>
        <v xml:space="preserve"> </v>
      </c>
      <c r="T234" s="116" t="str">
        <f t="shared" si="35"/>
        <v/>
      </c>
      <c r="U234" s="120"/>
      <c r="V234" s="118"/>
      <c r="W234" s="131"/>
    </row>
    <row r="235" spans="1:23" ht="13.2">
      <c r="A235" s="102" t="s">
        <v>270</v>
      </c>
      <c r="B235" s="102"/>
      <c r="C235" s="104">
        <v>3</v>
      </c>
      <c r="D235" s="105" t="s">
        <v>68</v>
      </c>
      <c r="E235" s="106">
        <v>1</v>
      </c>
      <c r="F235" s="107">
        <v>0.03</v>
      </c>
      <c r="G235" s="108">
        <v>0.03</v>
      </c>
      <c r="H235" s="121" t="s">
        <v>55</v>
      </c>
      <c r="I235" s="110">
        <v>1.01</v>
      </c>
      <c r="J235" s="110">
        <v>1.0089999999999999</v>
      </c>
      <c r="K235" s="119">
        <v>1.002</v>
      </c>
      <c r="L235" s="111">
        <f t="shared" si="36"/>
        <v>1.0000000000000009E-2</v>
      </c>
      <c r="M235" s="112">
        <f t="shared" si="36"/>
        <v>8.999999999999897E-3</v>
      </c>
      <c r="N235" s="112">
        <f t="shared" si="36"/>
        <v>2.0000000000000018E-3</v>
      </c>
      <c r="O235" s="112">
        <f t="shared" si="30"/>
        <v>1.0069999999999999</v>
      </c>
      <c r="P235" s="113">
        <f t="shared" si="31"/>
        <v>0.33333333333333365</v>
      </c>
      <c r="Q235" s="114">
        <f t="shared" si="32"/>
        <v>0</v>
      </c>
      <c r="R235" s="115" t="str">
        <f t="shared" si="33"/>
        <v xml:space="preserve"> </v>
      </c>
      <c r="S235" s="115" t="str">
        <f t="shared" si="34"/>
        <v xml:space="preserve"> </v>
      </c>
      <c r="T235" s="116" t="str">
        <f t="shared" si="35"/>
        <v/>
      </c>
      <c r="U235" s="120"/>
      <c r="V235" s="118"/>
      <c r="W235" s="131"/>
    </row>
    <row r="236" spans="1:23" ht="13.2">
      <c r="A236" s="102" t="s">
        <v>271</v>
      </c>
      <c r="B236" s="102"/>
      <c r="C236" s="104">
        <v>3</v>
      </c>
      <c r="D236" s="105" t="s">
        <v>68</v>
      </c>
      <c r="E236" s="106">
        <v>1</v>
      </c>
      <c r="F236" s="107">
        <v>0.03</v>
      </c>
      <c r="G236" s="108">
        <v>0.03</v>
      </c>
      <c r="H236" s="121" t="s">
        <v>55</v>
      </c>
      <c r="I236" s="110">
        <v>0.998</v>
      </c>
      <c r="J236" s="110">
        <v>1.0009999999999999</v>
      </c>
      <c r="K236" s="119">
        <v>0.98899999999999999</v>
      </c>
      <c r="L236" s="111">
        <f t="shared" si="36"/>
        <v>-2.0000000000000018E-3</v>
      </c>
      <c r="M236" s="112">
        <f t="shared" si="36"/>
        <v>9.9999999999988987E-4</v>
      </c>
      <c r="N236" s="112">
        <f t="shared" si="36"/>
        <v>-1.100000000000001E-2</v>
      </c>
      <c r="O236" s="112">
        <f t="shared" si="30"/>
        <v>0.996</v>
      </c>
      <c r="P236" s="113">
        <f t="shared" si="31"/>
        <v>3.3333333333329662E-2</v>
      </c>
      <c r="Q236" s="114">
        <f t="shared" si="32"/>
        <v>0.36666666666666703</v>
      </c>
      <c r="R236" s="115" t="str">
        <f t="shared" si="33"/>
        <v xml:space="preserve"> </v>
      </c>
      <c r="S236" s="115" t="str">
        <f t="shared" si="34"/>
        <v xml:space="preserve"> </v>
      </c>
      <c r="T236" s="116" t="str">
        <f t="shared" si="35"/>
        <v/>
      </c>
      <c r="U236" s="120"/>
      <c r="V236" s="118"/>
      <c r="W236" s="131"/>
    </row>
    <row r="237" spans="1:23" ht="13.2">
      <c r="A237" s="102" t="s">
        <v>272</v>
      </c>
      <c r="B237" s="103"/>
      <c r="C237" s="104">
        <v>3</v>
      </c>
      <c r="D237" s="105" t="s">
        <v>68</v>
      </c>
      <c r="E237" s="106">
        <v>1</v>
      </c>
      <c r="F237" s="107">
        <v>0.03</v>
      </c>
      <c r="G237" s="108">
        <v>0.03</v>
      </c>
      <c r="H237" s="121" t="s">
        <v>55</v>
      </c>
      <c r="I237" s="110">
        <v>0.98699999999999999</v>
      </c>
      <c r="J237" s="110">
        <v>1.006</v>
      </c>
      <c r="K237" s="119">
        <v>1.0009999999999999</v>
      </c>
      <c r="L237" s="111">
        <f t="shared" si="36"/>
        <v>-1.3000000000000012E-2</v>
      </c>
      <c r="M237" s="112">
        <f t="shared" si="36"/>
        <v>6.0000000000000053E-3</v>
      </c>
      <c r="N237" s="112">
        <f t="shared" si="36"/>
        <v>9.9999999999988987E-4</v>
      </c>
      <c r="O237" s="112">
        <f t="shared" si="30"/>
        <v>0.99799999999999989</v>
      </c>
      <c r="P237" s="113">
        <f t="shared" si="31"/>
        <v>0.20000000000000018</v>
      </c>
      <c r="Q237" s="114">
        <f t="shared" si="32"/>
        <v>0.43333333333333374</v>
      </c>
      <c r="R237" s="115" t="str">
        <f t="shared" si="33"/>
        <v xml:space="preserve"> </v>
      </c>
      <c r="S237" s="115" t="str">
        <f t="shared" si="34"/>
        <v xml:space="preserve"> </v>
      </c>
      <c r="T237" s="116" t="str">
        <f t="shared" si="35"/>
        <v/>
      </c>
      <c r="U237" s="120"/>
      <c r="V237" s="118"/>
      <c r="W237" s="131"/>
    </row>
    <row r="238" spans="1:23" ht="13.2">
      <c r="A238" s="102" t="s">
        <v>273</v>
      </c>
      <c r="B238" s="103"/>
      <c r="C238" s="104">
        <v>3</v>
      </c>
      <c r="D238" s="105" t="s">
        <v>68</v>
      </c>
      <c r="E238" s="106">
        <v>1</v>
      </c>
      <c r="F238" s="107">
        <v>0.03</v>
      </c>
      <c r="G238" s="108">
        <v>0.03</v>
      </c>
      <c r="H238" s="121" t="s">
        <v>55</v>
      </c>
      <c r="I238" s="110">
        <v>1.0009999999999999</v>
      </c>
      <c r="J238" s="110">
        <v>1</v>
      </c>
      <c r="K238" s="119">
        <v>1.002</v>
      </c>
      <c r="L238" s="111">
        <f t="shared" si="36"/>
        <v>9.9999999999988987E-4</v>
      </c>
      <c r="M238" s="112">
        <f t="shared" si="36"/>
        <v>0</v>
      </c>
      <c r="N238" s="112">
        <f t="shared" si="36"/>
        <v>2.0000000000000018E-3</v>
      </c>
      <c r="O238" s="112">
        <f t="shared" si="30"/>
        <v>1.0010000000000001</v>
      </c>
      <c r="P238" s="113">
        <f t="shared" si="31"/>
        <v>6.6666666666666735E-2</v>
      </c>
      <c r="Q238" s="114">
        <f t="shared" si="32"/>
        <v>0</v>
      </c>
      <c r="R238" s="115" t="str">
        <f t="shared" si="33"/>
        <v xml:space="preserve"> </v>
      </c>
      <c r="S238" s="115" t="str">
        <f t="shared" si="34"/>
        <v xml:space="preserve"> </v>
      </c>
      <c r="T238" s="116" t="str">
        <f t="shared" si="35"/>
        <v/>
      </c>
      <c r="U238" s="120"/>
      <c r="V238" s="118"/>
      <c r="W238" s="131"/>
    </row>
    <row r="239" spans="1:23" ht="13.2">
      <c r="A239" s="102" t="s">
        <v>274</v>
      </c>
      <c r="B239" s="103"/>
      <c r="C239" s="104">
        <v>3</v>
      </c>
      <c r="D239" s="105" t="s">
        <v>68</v>
      </c>
      <c r="E239" s="106">
        <v>1</v>
      </c>
      <c r="F239" s="107">
        <v>0.03</v>
      </c>
      <c r="G239" s="108">
        <v>0.03</v>
      </c>
      <c r="H239" s="121" t="s">
        <v>55</v>
      </c>
      <c r="I239" s="110">
        <v>1</v>
      </c>
      <c r="J239" s="110">
        <v>1.0049999999999999</v>
      </c>
      <c r="K239" s="119">
        <v>1.0169999999999999</v>
      </c>
      <c r="L239" s="111">
        <f t="shared" si="36"/>
        <v>0</v>
      </c>
      <c r="M239" s="112">
        <f t="shared" si="36"/>
        <v>4.9999999999998934E-3</v>
      </c>
      <c r="N239" s="112">
        <f t="shared" si="36"/>
        <v>1.6999999999999904E-2</v>
      </c>
      <c r="O239" s="112">
        <f t="shared" si="30"/>
        <v>1.0073333333333332</v>
      </c>
      <c r="P239" s="113">
        <f t="shared" si="31"/>
        <v>0.56666666666666354</v>
      </c>
      <c r="Q239" s="114">
        <f t="shared" si="32"/>
        <v>0</v>
      </c>
      <c r="R239" s="115" t="str">
        <f t="shared" si="33"/>
        <v xml:space="preserve"> </v>
      </c>
      <c r="S239" s="115" t="str">
        <f t="shared" si="34"/>
        <v xml:space="preserve"> </v>
      </c>
      <c r="T239" s="116" t="str">
        <f t="shared" si="35"/>
        <v/>
      </c>
      <c r="U239" s="120"/>
      <c r="V239" s="118"/>
      <c r="W239" s="131"/>
    </row>
    <row r="240" spans="1:23" ht="13.2">
      <c r="A240" s="102" t="s">
        <v>275</v>
      </c>
      <c r="B240" s="102"/>
      <c r="C240" s="104">
        <v>3</v>
      </c>
      <c r="D240" s="105" t="s">
        <v>68</v>
      </c>
      <c r="E240" s="106">
        <v>1</v>
      </c>
      <c r="F240" s="107">
        <v>0.03</v>
      </c>
      <c r="G240" s="108">
        <v>0.03</v>
      </c>
      <c r="H240" s="121" t="s">
        <v>55</v>
      </c>
      <c r="I240" s="110">
        <v>1.004</v>
      </c>
      <c r="J240" s="110">
        <v>1.0069999999999999</v>
      </c>
      <c r="K240" s="119">
        <v>1</v>
      </c>
      <c r="L240" s="111">
        <f t="shared" si="36"/>
        <v>4.0000000000000036E-3</v>
      </c>
      <c r="M240" s="112">
        <f t="shared" si="36"/>
        <v>6.9999999999998952E-3</v>
      </c>
      <c r="N240" s="112">
        <f t="shared" si="36"/>
        <v>0</v>
      </c>
      <c r="O240" s="112">
        <f t="shared" si="30"/>
        <v>1.0036666666666667</v>
      </c>
      <c r="P240" s="113">
        <f t="shared" si="31"/>
        <v>0.23333333333332984</v>
      </c>
      <c r="Q240" s="114">
        <f t="shared" si="32"/>
        <v>0</v>
      </c>
      <c r="R240" s="115" t="str">
        <f t="shared" si="33"/>
        <v xml:space="preserve"> </v>
      </c>
      <c r="S240" s="115" t="str">
        <f t="shared" si="34"/>
        <v xml:space="preserve"> </v>
      </c>
      <c r="T240" s="116" t="str">
        <f t="shared" si="35"/>
        <v/>
      </c>
      <c r="U240" s="120"/>
      <c r="V240" s="118"/>
      <c r="W240" s="131"/>
    </row>
    <row r="241" spans="1:23" ht="13.2">
      <c r="A241" s="102" t="s">
        <v>276</v>
      </c>
      <c r="B241" s="102"/>
      <c r="C241" s="104">
        <v>3</v>
      </c>
      <c r="D241" s="105" t="s">
        <v>68</v>
      </c>
      <c r="E241" s="106">
        <v>1</v>
      </c>
      <c r="F241" s="107">
        <v>0.03</v>
      </c>
      <c r="G241" s="108">
        <v>0.03</v>
      </c>
      <c r="H241" s="121" t="s">
        <v>55</v>
      </c>
      <c r="I241" s="110">
        <v>1.008</v>
      </c>
      <c r="J241" s="110">
        <v>1.0049999999999999</v>
      </c>
      <c r="K241" s="119">
        <v>1.0069999999999999</v>
      </c>
      <c r="L241" s="111">
        <f t="shared" si="36"/>
        <v>8.0000000000000071E-3</v>
      </c>
      <c r="M241" s="112">
        <f t="shared" si="36"/>
        <v>4.9999999999998934E-3</v>
      </c>
      <c r="N241" s="112">
        <f t="shared" si="36"/>
        <v>6.9999999999998952E-3</v>
      </c>
      <c r="O241" s="112">
        <f t="shared" si="30"/>
        <v>1.0066666666666666</v>
      </c>
      <c r="P241" s="113">
        <f t="shared" si="31"/>
        <v>0.26666666666666694</v>
      </c>
      <c r="Q241" s="114">
        <f t="shared" si="32"/>
        <v>0</v>
      </c>
      <c r="R241" s="115" t="str">
        <f t="shared" si="33"/>
        <v xml:space="preserve"> </v>
      </c>
      <c r="S241" s="115" t="str">
        <f t="shared" si="34"/>
        <v xml:space="preserve"> </v>
      </c>
      <c r="T241" s="116" t="str">
        <f t="shared" si="35"/>
        <v/>
      </c>
      <c r="U241" s="120"/>
      <c r="V241" s="118"/>
      <c r="W241" s="131"/>
    </row>
    <row r="242" spans="1:23" ht="13.2">
      <c r="A242" s="102" t="s">
        <v>277</v>
      </c>
      <c r="B242" s="102"/>
      <c r="C242" s="104">
        <v>3</v>
      </c>
      <c r="D242" s="105" t="s">
        <v>68</v>
      </c>
      <c r="E242" s="106">
        <v>1</v>
      </c>
      <c r="F242" s="107">
        <v>0.03</v>
      </c>
      <c r="G242" s="108">
        <v>0.03</v>
      </c>
      <c r="H242" s="121" t="s">
        <v>55</v>
      </c>
      <c r="I242" s="110">
        <v>0.98199999999999998</v>
      </c>
      <c r="J242" s="110">
        <v>0.995</v>
      </c>
      <c r="K242" s="119">
        <v>0.998</v>
      </c>
      <c r="L242" s="111">
        <f t="shared" si="36"/>
        <v>-1.8000000000000016E-2</v>
      </c>
      <c r="M242" s="112">
        <f t="shared" si="36"/>
        <v>-5.0000000000000044E-3</v>
      </c>
      <c r="N242" s="112">
        <f t="shared" si="36"/>
        <v>-2.0000000000000018E-3</v>
      </c>
      <c r="O242" s="112">
        <f t="shared" si="30"/>
        <v>0.99166666666666659</v>
      </c>
      <c r="P242" s="113">
        <f t="shared" si="31"/>
        <v>0</v>
      </c>
      <c r="Q242" s="114">
        <f t="shared" si="32"/>
        <v>0.60000000000000053</v>
      </c>
      <c r="R242" s="115" t="str">
        <f t="shared" si="33"/>
        <v xml:space="preserve"> </v>
      </c>
      <c r="S242" s="115" t="str">
        <f t="shared" si="34"/>
        <v xml:space="preserve"> </v>
      </c>
      <c r="T242" s="116" t="str">
        <f t="shared" si="35"/>
        <v/>
      </c>
      <c r="U242" s="120"/>
      <c r="V242" s="118"/>
      <c r="W242" s="131"/>
    </row>
    <row r="243" spans="1:23" ht="13.2">
      <c r="A243" s="102" t="s">
        <v>278</v>
      </c>
      <c r="B243" s="102"/>
      <c r="C243" s="104">
        <v>3</v>
      </c>
      <c r="D243" s="105" t="s">
        <v>68</v>
      </c>
      <c r="E243" s="106">
        <v>1</v>
      </c>
      <c r="F243" s="107">
        <v>0.03</v>
      </c>
      <c r="G243" s="108">
        <v>0.03</v>
      </c>
      <c r="H243" s="121" t="s">
        <v>55</v>
      </c>
      <c r="I243" s="110">
        <v>0.99099999999999999</v>
      </c>
      <c r="J243" s="110">
        <v>1.0049999999999999</v>
      </c>
      <c r="K243" s="119">
        <v>0.99399999999999999</v>
      </c>
      <c r="L243" s="111">
        <f t="shared" si="36"/>
        <v>-9.000000000000008E-3</v>
      </c>
      <c r="M243" s="112">
        <f t="shared" si="36"/>
        <v>4.9999999999998934E-3</v>
      </c>
      <c r="N243" s="112">
        <f t="shared" si="36"/>
        <v>-6.0000000000000053E-3</v>
      </c>
      <c r="O243" s="112">
        <f t="shared" si="30"/>
        <v>0.9966666666666667</v>
      </c>
      <c r="P243" s="113">
        <f t="shared" si="31"/>
        <v>0.16666666666666313</v>
      </c>
      <c r="Q243" s="114">
        <f t="shared" si="32"/>
        <v>0.30000000000000027</v>
      </c>
      <c r="R243" s="115" t="str">
        <f t="shared" si="33"/>
        <v xml:space="preserve"> </v>
      </c>
      <c r="S243" s="115" t="str">
        <f t="shared" si="34"/>
        <v xml:space="preserve"> </v>
      </c>
      <c r="T243" s="116" t="str">
        <f t="shared" si="35"/>
        <v/>
      </c>
      <c r="U243" s="120"/>
      <c r="V243" s="118"/>
      <c r="W243" s="131"/>
    </row>
    <row r="244" spans="1:23" ht="13.2">
      <c r="A244" s="102" t="s">
        <v>279</v>
      </c>
      <c r="B244" s="102"/>
      <c r="C244" s="104">
        <v>3</v>
      </c>
      <c r="D244" s="105" t="s">
        <v>68</v>
      </c>
      <c r="E244" s="106">
        <v>1</v>
      </c>
      <c r="F244" s="107">
        <v>0.03</v>
      </c>
      <c r="G244" s="108">
        <v>0.03</v>
      </c>
      <c r="H244" s="121" t="s">
        <v>55</v>
      </c>
      <c r="I244" s="110">
        <v>1.002</v>
      </c>
      <c r="J244" s="110">
        <v>1.0029999999999999</v>
      </c>
      <c r="K244" s="119">
        <v>1.004</v>
      </c>
      <c r="L244" s="111">
        <f t="shared" si="36"/>
        <v>2.0000000000000018E-3</v>
      </c>
      <c r="M244" s="112">
        <f t="shared" si="36"/>
        <v>2.9999999999998916E-3</v>
      </c>
      <c r="N244" s="112">
        <f t="shared" si="36"/>
        <v>4.0000000000000036E-3</v>
      </c>
      <c r="O244" s="112">
        <f t="shared" si="30"/>
        <v>1.0029999999999999</v>
      </c>
      <c r="P244" s="113">
        <f t="shared" si="31"/>
        <v>0.13333333333333347</v>
      </c>
      <c r="Q244" s="114">
        <f t="shared" si="32"/>
        <v>0</v>
      </c>
      <c r="R244" s="115" t="str">
        <f t="shared" si="33"/>
        <v xml:space="preserve"> </v>
      </c>
      <c r="S244" s="115" t="str">
        <f t="shared" si="34"/>
        <v xml:space="preserve"> </v>
      </c>
      <c r="T244" s="116" t="str">
        <f t="shared" si="35"/>
        <v/>
      </c>
      <c r="U244" s="120"/>
      <c r="V244" s="118"/>
      <c r="W244" s="131"/>
    </row>
    <row r="245" spans="1:23" ht="13.2">
      <c r="A245" s="102" t="s">
        <v>280</v>
      </c>
      <c r="B245" s="102"/>
      <c r="C245" s="104">
        <v>3</v>
      </c>
      <c r="D245" s="105" t="s">
        <v>68</v>
      </c>
      <c r="E245" s="106">
        <v>1</v>
      </c>
      <c r="F245" s="107">
        <v>0.03</v>
      </c>
      <c r="G245" s="108">
        <v>0.03</v>
      </c>
      <c r="H245" s="121" t="s">
        <v>55</v>
      </c>
      <c r="I245" s="110">
        <v>0.99299999999999999</v>
      </c>
      <c r="J245" s="110">
        <v>0.996</v>
      </c>
      <c r="K245" s="119">
        <v>0.99199999999999999</v>
      </c>
      <c r="L245" s="111">
        <f t="shared" si="36"/>
        <v>-7.0000000000000062E-3</v>
      </c>
      <c r="M245" s="112">
        <f t="shared" si="36"/>
        <v>-4.0000000000000036E-3</v>
      </c>
      <c r="N245" s="112">
        <f t="shared" si="36"/>
        <v>-8.0000000000000071E-3</v>
      </c>
      <c r="O245" s="112">
        <f t="shared" si="30"/>
        <v>0.99366666666666659</v>
      </c>
      <c r="P245" s="113">
        <f t="shared" si="31"/>
        <v>0</v>
      </c>
      <c r="Q245" s="114">
        <f t="shared" si="32"/>
        <v>0.26666666666666694</v>
      </c>
      <c r="R245" s="115" t="str">
        <f t="shared" si="33"/>
        <v xml:space="preserve"> </v>
      </c>
      <c r="S245" s="115" t="str">
        <f t="shared" si="34"/>
        <v xml:space="preserve"> </v>
      </c>
      <c r="T245" s="116" t="str">
        <f t="shared" si="35"/>
        <v/>
      </c>
      <c r="U245" s="120"/>
      <c r="V245" s="118"/>
      <c r="W245" s="131"/>
    </row>
    <row r="246" spans="1:23" ht="13.2">
      <c r="A246" s="102" t="s">
        <v>281</v>
      </c>
      <c r="B246" s="102"/>
      <c r="C246" s="104">
        <v>3</v>
      </c>
      <c r="D246" s="105" t="s">
        <v>68</v>
      </c>
      <c r="E246" s="106">
        <v>1</v>
      </c>
      <c r="F246" s="107">
        <v>0.03</v>
      </c>
      <c r="G246" s="108">
        <v>0.03</v>
      </c>
      <c r="H246" s="121" t="s">
        <v>55</v>
      </c>
      <c r="I246" s="110">
        <v>1.0129999999999999</v>
      </c>
      <c r="J246" s="110">
        <v>1.0069999999999999</v>
      </c>
      <c r="K246" s="119">
        <v>1.002</v>
      </c>
      <c r="L246" s="111">
        <f t="shared" si="36"/>
        <v>1.2999999999999901E-2</v>
      </c>
      <c r="M246" s="112">
        <f t="shared" si="36"/>
        <v>6.9999999999998952E-3</v>
      </c>
      <c r="N246" s="112">
        <f t="shared" si="36"/>
        <v>2.0000000000000018E-3</v>
      </c>
      <c r="O246" s="112">
        <f t="shared" si="30"/>
        <v>1.0073333333333332</v>
      </c>
      <c r="P246" s="113">
        <f t="shared" si="31"/>
        <v>0.43333333333333002</v>
      </c>
      <c r="Q246" s="114">
        <f t="shared" si="32"/>
        <v>0</v>
      </c>
      <c r="R246" s="115" t="str">
        <f t="shared" si="33"/>
        <v xml:space="preserve"> </v>
      </c>
      <c r="S246" s="115" t="str">
        <f t="shared" si="34"/>
        <v xml:space="preserve"> </v>
      </c>
      <c r="T246" s="116" t="str">
        <f t="shared" si="35"/>
        <v/>
      </c>
      <c r="U246" s="120"/>
      <c r="V246" s="118"/>
      <c r="W246" s="131"/>
    </row>
    <row r="247" spans="1:23" ht="13.2">
      <c r="A247" s="102" t="s">
        <v>282</v>
      </c>
      <c r="B247" s="102"/>
      <c r="C247" s="104">
        <v>3</v>
      </c>
      <c r="D247" s="105" t="s">
        <v>68</v>
      </c>
      <c r="E247" s="106">
        <v>1</v>
      </c>
      <c r="F247" s="107">
        <v>0.03</v>
      </c>
      <c r="G247" s="108">
        <v>0.03</v>
      </c>
      <c r="H247" s="121" t="s">
        <v>55</v>
      </c>
      <c r="I247" s="110">
        <v>0.997</v>
      </c>
      <c r="J247" s="110">
        <v>0.998</v>
      </c>
      <c r="K247" s="119">
        <v>1.0009999999999999</v>
      </c>
      <c r="L247" s="111">
        <f t="shared" si="36"/>
        <v>-3.0000000000000027E-3</v>
      </c>
      <c r="M247" s="112">
        <f t="shared" si="36"/>
        <v>-2.0000000000000018E-3</v>
      </c>
      <c r="N247" s="112">
        <f t="shared" si="36"/>
        <v>9.9999999999988987E-4</v>
      </c>
      <c r="O247" s="112">
        <f t="shared" si="30"/>
        <v>0.9986666666666667</v>
      </c>
      <c r="P247" s="113">
        <f t="shared" si="31"/>
        <v>3.3333333333329662E-2</v>
      </c>
      <c r="Q247" s="114">
        <f t="shared" si="32"/>
        <v>0.10000000000000009</v>
      </c>
      <c r="R247" s="115" t="str">
        <f t="shared" si="33"/>
        <v xml:space="preserve"> </v>
      </c>
      <c r="S247" s="115" t="str">
        <f t="shared" si="34"/>
        <v xml:space="preserve"> </v>
      </c>
      <c r="T247" s="116" t="str">
        <f t="shared" si="35"/>
        <v/>
      </c>
      <c r="U247" s="120"/>
      <c r="V247" s="118"/>
      <c r="W247" s="131"/>
    </row>
    <row r="248" spans="1:23" ht="13.2">
      <c r="A248" s="102" t="s">
        <v>283</v>
      </c>
      <c r="B248" s="102"/>
      <c r="C248" s="104">
        <v>3</v>
      </c>
      <c r="D248" s="105" t="s">
        <v>68</v>
      </c>
      <c r="E248" s="106">
        <v>1</v>
      </c>
      <c r="F248" s="107">
        <v>0.03</v>
      </c>
      <c r="G248" s="108">
        <v>0.03</v>
      </c>
      <c r="H248" s="121" t="s">
        <v>55</v>
      </c>
      <c r="I248" s="110">
        <v>1.0189999999999999</v>
      </c>
      <c r="J248" s="110">
        <v>1.0029999999999999</v>
      </c>
      <c r="K248" s="119">
        <v>1.004</v>
      </c>
      <c r="L248" s="111">
        <f t="shared" si="36"/>
        <v>1.8999999999999906E-2</v>
      </c>
      <c r="M248" s="112">
        <f t="shared" si="36"/>
        <v>2.9999999999998916E-3</v>
      </c>
      <c r="N248" s="112">
        <f t="shared" si="36"/>
        <v>4.0000000000000036E-3</v>
      </c>
      <c r="O248" s="112">
        <f t="shared" si="30"/>
        <v>1.0086666666666666</v>
      </c>
      <c r="P248" s="113">
        <f t="shared" si="31"/>
        <v>0.6333333333333302</v>
      </c>
      <c r="Q248" s="114">
        <f t="shared" si="32"/>
        <v>0</v>
      </c>
      <c r="R248" s="115" t="str">
        <f t="shared" si="33"/>
        <v xml:space="preserve"> </v>
      </c>
      <c r="S248" s="115" t="str">
        <f t="shared" si="34"/>
        <v xml:space="preserve"> </v>
      </c>
      <c r="T248" s="116" t="str">
        <f t="shared" si="35"/>
        <v/>
      </c>
      <c r="U248" s="120"/>
      <c r="V248" s="118"/>
      <c r="W248" s="131"/>
    </row>
    <row r="249" spans="1:23" ht="13.2">
      <c r="A249" s="102" t="s">
        <v>284</v>
      </c>
      <c r="B249" s="102"/>
      <c r="C249" s="104">
        <v>3</v>
      </c>
      <c r="D249" s="105" t="s">
        <v>68</v>
      </c>
      <c r="E249" s="106">
        <v>1</v>
      </c>
      <c r="F249" s="107">
        <v>0.03</v>
      </c>
      <c r="G249" s="108">
        <v>0.03</v>
      </c>
      <c r="H249" s="121" t="s">
        <v>55</v>
      </c>
      <c r="I249" s="110">
        <v>0.995</v>
      </c>
      <c r="J249" s="110">
        <v>1.0009999999999999</v>
      </c>
      <c r="K249" s="119">
        <v>0.99399999999999999</v>
      </c>
      <c r="L249" s="111">
        <f t="shared" si="36"/>
        <v>-5.0000000000000044E-3</v>
      </c>
      <c r="M249" s="112">
        <f t="shared" si="36"/>
        <v>9.9999999999988987E-4</v>
      </c>
      <c r="N249" s="112">
        <f t="shared" si="36"/>
        <v>-6.0000000000000053E-3</v>
      </c>
      <c r="O249" s="112">
        <f t="shared" si="30"/>
        <v>0.9966666666666667</v>
      </c>
      <c r="P249" s="113">
        <f t="shared" si="31"/>
        <v>3.3333333333329662E-2</v>
      </c>
      <c r="Q249" s="114">
        <f t="shared" si="32"/>
        <v>0.20000000000000018</v>
      </c>
      <c r="R249" s="115" t="str">
        <f t="shared" si="33"/>
        <v xml:space="preserve"> </v>
      </c>
      <c r="S249" s="115" t="str">
        <f t="shared" si="34"/>
        <v xml:space="preserve"> </v>
      </c>
      <c r="T249" s="116" t="str">
        <f t="shared" si="35"/>
        <v/>
      </c>
      <c r="U249" s="120"/>
      <c r="V249" s="118"/>
      <c r="W249" s="131"/>
    </row>
    <row r="250" spans="1:23" ht="13.2">
      <c r="A250" s="102" t="s">
        <v>285</v>
      </c>
      <c r="B250" s="102"/>
      <c r="C250" s="104">
        <v>3</v>
      </c>
      <c r="D250" s="105" t="s">
        <v>68</v>
      </c>
      <c r="E250" s="106">
        <v>1</v>
      </c>
      <c r="F250" s="107">
        <v>0.03</v>
      </c>
      <c r="G250" s="108">
        <v>0.03</v>
      </c>
      <c r="H250" s="121" t="s">
        <v>55</v>
      </c>
      <c r="I250" s="110">
        <v>0.99199999999999999</v>
      </c>
      <c r="J250" s="110">
        <v>0.99199999999999999</v>
      </c>
      <c r="K250" s="119">
        <v>1.004</v>
      </c>
      <c r="L250" s="111">
        <f t="shared" si="36"/>
        <v>-8.0000000000000071E-3</v>
      </c>
      <c r="M250" s="112">
        <f t="shared" si="36"/>
        <v>-8.0000000000000071E-3</v>
      </c>
      <c r="N250" s="112">
        <f t="shared" si="36"/>
        <v>4.0000000000000036E-3</v>
      </c>
      <c r="O250" s="112">
        <f t="shared" si="30"/>
        <v>0.996</v>
      </c>
      <c r="P250" s="113">
        <f t="shared" si="31"/>
        <v>0.13333333333333347</v>
      </c>
      <c r="Q250" s="114">
        <f t="shared" si="32"/>
        <v>0.26666666666666694</v>
      </c>
      <c r="R250" s="115" t="str">
        <f t="shared" si="33"/>
        <v xml:space="preserve"> </v>
      </c>
      <c r="S250" s="115" t="str">
        <f t="shared" si="34"/>
        <v xml:space="preserve"> </v>
      </c>
      <c r="T250" s="116" t="str">
        <f t="shared" si="35"/>
        <v/>
      </c>
      <c r="U250" s="120"/>
      <c r="V250" s="118"/>
      <c r="W250" s="131"/>
    </row>
    <row r="251" spans="1:23" ht="13.2">
      <c r="A251" s="102" t="s">
        <v>286</v>
      </c>
      <c r="B251" s="102"/>
      <c r="C251" s="104">
        <v>3</v>
      </c>
      <c r="D251" s="105" t="s">
        <v>68</v>
      </c>
      <c r="E251" s="106">
        <v>1</v>
      </c>
      <c r="F251" s="107">
        <v>0.03</v>
      </c>
      <c r="G251" s="108">
        <v>0.03</v>
      </c>
      <c r="H251" s="121" t="s">
        <v>55</v>
      </c>
      <c r="I251" s="110">
        <v>0.99199999999999999</v>
      </c>
      <c r="J251" s="110">
        <v>1.006</v>
      </c>
      <c r="K251" s="119">
        <v>0.99399999999999999</v>
      </c>
      <c r="L251" s="111">
        <f t="shared" si="36"/>
        <v>-8.0000000000000071E-3</v>
      </c>
      <c r="M251" s="112">
        <f t="shared" si="36"/>
        <v>6.0000000000000053E-3</v>
      </c>
      <c r="N251" s="112">
        <f t="shared" si="36"/>
        <v>-6.0000000000000053E-3</v>
      </c>
      <c r="O251" s="112">
        <f t="shared" si="30"/>
        <v>0.99733333333333329</v>
      </c>
      <c r="P251" s="113">
        <f t="shared" si="31"/>
        <v>0.20000000000000018</v>
      </c>
      <c r="Q251" s="114">
        <f t="shared" si="32"/>
        <v>0.26666666666666694</v>
      </c>
      <c r="R251" s="115" t="str">
        <f t="shared" si="33"/>
        <v xml:space="preserve"> </v>
      </c>
      <c r="S251" s="115" t="str">
        <f t="shared" si="34"/>
        <v xml:space="preserve"> </v>
      </c>
      <c r="T251" s="116" t="str">
        <f t="shared" si="35"/>
        <v/>
      </c>
      <c r="U251" s="120"/>
      <c r="V251" s="118"/>
      <c r="W251" s="131"/>
    </row>
    <row r="252" spans="1:23" ht="13.2">
      <c r="A252" s="102" t="s">
        <v>287</v>
      </c>
      <c r="B252" s="103"/>
      <c r="C252" s="104">
        <v>3</v>
      </c>
      <c r="D252" s="105" t="s">
        <v>68</v>
      </c>
      <c r="E252" s="106">
        <v>1</v>
      </c>
      <c r="F252" s="107">
        <v>0.03</v>
      </c>
      <c r="G252" s="108">
        <v>0.03</v>
      </c>
      <c r="H252" s="121" t="s">
        <v>55</v>
      </c>
      <c r="I252" s="110">
        <v>0.99399999999999999</v>
      </c>
      <c r="J252" s="110">
        <v>0.998</v>
      </c>
      <c r="K252" s="119">
        <v>1</v>
      </c>
      <c r="L252" s="111">
        <f t="shared" si="36"/>
        <v>-6.0000000000000053E-3</v>
      </c>
      <c r="M252" s="112">
        <f t="shared" si="36"/>
        <v>-2.0000000000000018E-3</v>
      </c>
      <c r="N252" s="112">
        <f t="shared" si="36"/>
        <v>0</v>
      </c>
      <c r="O252" s="112">
        <f t="shared" si="30"/>
        <v>0.99733333333333329</v>
      </c>
      <c r="P252" s="113">
        <f t="shared" si="31"/>
        <v>0</v>
      </c>
      <c r="Q252" s="114">
        <f t="shared" si="32"/>
        <v>0.20000000000000018</v>
      </c>
      <c r="R252" s="115" t="str">
        <f t="shared" si="33"/>
        <v xml:space="preserve"> </v>
      </c>
      <c r="S252" s="115" t="str">
        <f t="shared" si="34"/>
        <v xml:space="preserve"> </v>
      </c>
      <c r="T252" s="116" t="str">
        <f t="shared" si="35"/>
        <v/>
      </c>
      <c r="U252" s="120"/>
      <c r="V252" s="118"/>
      <c r="W252" s="131"/>
    </row>
    <row r="253" spans="1:23" ht="13.2">
      <c r="A253" s="102" t="s">
        <v>288</v>
      </c>
      <c r="B253" s="103"/>
      <c r="C253" s="104">
        <v>3</v>
      </c>
      <c r="D253" s="105" t="s">
        <v>68</v>
      </c>
      <c r="E253" s="106">
        <v>1</v>
      </c>
      <c r="F253" s="107">
        <v>0.03</v>
      </c>
      <c r="G253" s="108">
        <v>0.03</v>
      </c>
      <c r="H253" s="121" t="s">
        <v>55</v>
      </c>
      <c r="I253" s="110">
        <v>0.998</v>
      </c>
      <c r="J253" s="110">
        <v>1.0069999999999999</v>
      </c>
      <c r="K253" s="119">
        <v>1.0029999999999999</v>
      </c>
      <c r="L253" s="111">
        <f t="shared" si="36"/>
        <v>-2.0000000000000018E-3</v>
      </c>
      <c r="M253" s="112">
        <f t="shared" si="36"/>
        <v>6.9999999999998952E-3</v>
      </c>
      <c r="N253" s="112">
        <f t="shared" si="36"/>
        <v>2.9999999999998916E-3</v>
      </c>
      <c r="O253" s="112">
        <f t="shared" si="30"/>
        <v>1.0026666666666666</v>
      </c>
      <c r="P253" s="113">
        <f t="shared" si="31"/>
        <v>0.23333333333332984</v>
      </c>
      <c r="Q253" s="114">
        <f t="shared" si="32"/>
        <v>6.6666666666666735E-2</v>
      </c>
      <c r="R253" s="115" t="str">
        <f t="shared" si="33"/>
        <v xml:space="preserve"> </v>
      </c>
      <c r="S253" s="115" t="str">
        <f t="shared" si="34"/>
        <v xml:space="preserve"> </v>
      </c>
      <c r="T253" s="116" t="str">
        <f t="shared" si="35"/>
        <v/>
      </c>
      <c r="U253" s="120"/>
      <c r="V253" s="118"/>
      <c r="W253" s="131"/>
    </row>
    <row r="254" spans="1:23" ht="13.2">
      <c r="A254" s="102" t="s">
        <v>289</v>
      </c>
      <c r="B254" s="103"/>
      <c r="C254" s="104">
        <v>3</v>
      </c>
      <c r="D254" s="105" t="s">
        <v>68</v>
      </c>
      <c r="E254" s="106">
        <v>1</v>
      </c>
      <c r="F254" s="107">
        <v>0.03</v>
      </c>
      <c r="G254" s="108">
        <v>0.03</v>
      </c>
      <c r="H254" s="121" t="s">
        <v>55</v>
      </c>
      <c r="I254" s="110">
        <v>1.008</v>
      </c>
      <c r="J254" s="110">
        <v>1.0049999999999999</v>
      </c>
      <c r="K254" s="119">
        <v>0.996</v>
      </c>
      <c r="L254" s="111">
        <f t="shared" si="36"/>
        <v>8.0000000000000071E-3</v>
      </c>
      <c r="M254" s="112">
        <f t="shared" si="36"/>
        <v>4.9999999999998934E-3</v>
      </c>
      <c r="N254" s="112">
        <f t="shared" si="36"/>
        <v>-4.0000000000000036E-3</v>
      </c>
      <c r="O254" s="112">
        <f t="shared" ref="O254:O317" si="37">IF(ISERR(I254/I254)=TRUE," ",AVERAGE(I254:K254))</f>
        <v>1.0029999999999999</v>
      </c>
      <c r="P254" s="113">
        <f t="shared" ref="P254:P317" si="38">IF(ISBLANK($E254),"",IF(ISNUMBER(F254)=FALSE,"BAD TOL", IF(F254=0,"N/A",IF(ISERR(I254/I254)=TRUE,"BAD INSP",IF(AND(ISNUMBER($I254),ISNUMBER($J254),ISNUMBER($K254))=FALSE,"BAD INSP",IF(MAX($I254:$K254)&lt;$E254,0,(MAX($I254:$K254)-$E254)/$F254))))))</f>
        <v>0.26666666666666694</v>
      </c>
      <c r="Q254" s="114">
        <f t="shared" ref="Q254:Q317" si="39">IF(ISBLANK($E254),"",IF(ISNUMBER(G254)=FALSE,"BAD TOL",IF(G254=0,"N/A",IF(ISERR(I254/I254)=TRUE,"BAD INSP",IF(AND(ISNUMBER($I254),ISNUMBER($J254),ISNUMBER($K254))=FALSE,"BAD INSP",IF(MIN(I254:K254)&gt;$E254,0,($E254-MIN(I254:K254))/G254))))))</f>
        <v>0.13333333333333347</v>
      </c>
      <c r="R254" s="115" t="str">
        <f t="shared" ref="R254:R317" si="40">IF(ISBLANK($E254),"",IF(ISNUMBER($P254)=TRUE,IF($P254&gt;0.651,IF($P254&gt;1.001,"Reject","Alert")," "),IF(AND(F254=0, ISNUMBER(F254)),IF(MAX(I254:K254)&gt;(E254+F254),"Reject",IF(MAX(I254:K254)=(E254+F254),"Alert","")),"Reject")))</f>
        <v xml:space="preserve"> </v>
      </c>
      <c r="S254" s="115" t="str">
        <f t="shared" ref="S254:S317" si="41">IF(ISBLANK($E254),"",IF(ISNUMBER($Q254)=TRUE,IF($Q254&gt;0.651,IF($Q254&gt;1.001,"Reject","Alert")," "),IF(AND(G254=0, ISNUMBER(G254)),IF(MIN(I254:K254)&lt;(E254-G254),"Reject",IF(MIN(I254:K254)=(E254-G254),"Alert","")),"Reject")))</f>
        <v xml:space="preserve"> </v>
      </c>
      <c r="T254" s="116" t="str">
        <f t="shared" ref="T254:T317" si="42">IF(OR(R254="Reject",S254="Reject"),"Reject",IF(OR(R254="Alert",S254="Alert"),"Alert", ""))</f>
        <v/>
      </c>
      <c r="U254" s="120"/>
      <c r="V254" s="118"/>
      <c r="W254" s="131"/>
    </row>
    <row r="255" spans="1:23" ht="13.2">
      <c r="A255" s="102" t="s">
        <v>290</v>
      </c>
      <c r="B255" s="102"/>
      <c r="C255" s="104">
        <v>3</v>
      </c>
      <c r="D255" s="105" t="s">
        <v>68</v>
      </c>
      <c r="E255" s="106">
        <v>1</v>
      </c>
      <c r="F255" s="107">
        <v>0.03</v>
      </c>
      <c r="G255" s="108">
        <v>0.03</v>
      </c>
      <c r="H255" s="121" t="s">
        <v>55</v>
      </c>
      <c r="I255" s="110">
        <v>0.98799999999999999</v>
      </c>
      <c r="J255" s="110">
        <v>0.998</v>
      </c>
      <c r="K255" s="119">
        <v>1.0049999999999999</v>
      </c>
      <c r="L255" s="111">
        <f t="shared" si="36"/>
        <v>-1.2000000000000011E-2</v>
      </c>
      <c r="M255" s="112">
        <f t="shared" si="36"/>
        <v>-2.0000000000000018E-3</v>
      </c>
      <c r="N255" s="112">
        <f t="shared" si="36"/>
        <v>4.9999999999998934E-3</v>
      </c>
      <c r="O255" s="112">
        <f t="shared" si="37"/>
        <v>0.99699999999999989</v>
      </c>
      <c r="P255" s="113">
        <f t="shared" si="38"/>
        <v>0.16666666666666313</v>
      </c>
      <c r="Q255" s="114">
        <f t="shared" si="39"/>
        <v>0.40000000000000036</v>
      </c>
      <c r="R255" s="115" t="str">
        <f t="shared" si="40"/>
        <v xml:space="preserve"> </v>
      </c>
      <c r="S255" s="115" t="str">
        <f t="shared" si="41"/>
        <v xml:space="preserve"> </v>
      </c>
      <c r="T255" s="116" t="str">
        <f t="shared" si="42"/>
        <v/>
      </c>
      <c r="U255" s="120"/>
      <c r="V255" s="118"/>
      <c r="W255" s="131"/>
    </row>
    <row r="256" spans="1:23" ht="13.2">
      <c r="A256" s="102" t="s">
        <v>291</v>
      </c>
      <c r="B256" s="102"/>
      <c r="C256" s="104">
        <v>3</v>
      </c>
      <c r="D256" s="105" t="s">
        <v>68</v>
      </c>
      <c r="E256" s="106">
        <v>1</v>
      </c>
      <c r="F256" s="107">
        <v>0.03</v>
      </c>
      <c r="G256" s="108">
        <v>0.03</v>
      </c>
      <c r="H256" s="121" t="s">
        <v>55</v>
      </c>
      <c r="I256" s="110">
        <v>1.006</v>
      </c>
      <c r="J256" s="110">
        <v>1</v>
      </c>
      <c r="K256" s="119">
        <v>1.002</v>
      </c>
      <c r="L256" s="111">
        <f t="shared" si="36"/>
        <v>6.0000000000000053E-3</v>
      </c>
      <c r="M256" s="112">
        <f t="shared" si="36"/>
        <v>0</v>
      </c>
      <c r="N256" s="112">
        <f t="shared" si="36"/>
        <v>2.0000000000000018E-3</v>
      </c>
      <c r="O256" s="112">
        <f t="shared" si="37"/>
        <v>1.0026666666666666</v>
      </c>
      <c r="P256" s="113">
        <f t="shared" si="38"/>
        <v>0.20000000000000018</v>
      </c>
      <c r="Q256" s="114">
        <f t="shared" si="39"/>
        <v>0</v>
      </c>
      <c r="R256" s="115" t="str">
        <f t="shared" si="40"/>
        <v xml:space="preserve"> </v>
      </c>
      <c r="S256" s="115" t="str">
        <f t="shared" si="41"/>
        <v xml:space="preserve"> </v>
      </c>
      <c r="T256" s="116" t="str">
        <f t="shared" si="42"/>
        <v/>
      </c>
      <c r="U256" s="120"/>
      <c r="V256" s="118"/>
      <c r="W256" s="131"/>
    </row>
    <row r="257" spans="1:23" ht="13.2">
      <c r="A257" s="102" t="s">
        <v>292</v>
      </c>
      <c r="B257" s="102"/>
      <c r="C257" s="104">
        <v>3</v>
      </c>
      <c r="D257" s="105" t="s">
        <v>68</v>
      </c>
      <c r="E257" s="106">
        <v>1</v>
      </c>
      <c r="F257" s="107">
        <v>0.03</v>
      </c>
      <c r="G257" s="108">
        <v>0.03</v>
      </c>
      <c r="H257" s="121" t="s">
        <v>55</v>
      </c>
      <c r="I257" s="110">
        <v>0.99299999999999999</v>
      </c>
      <c r="J257" s="110">
        <v>1.004</v>
      </c>
      <c r="K257" s="119">
        <v>1.0009999999999999</v>
      </c>
      <c r="L257" s="111">
        <f t="shared" si="36"/>
        <v>-7.0000000000000062E-3</v>
      </c>
      <c r="M257" s="112">
        <f t="shared" si="36"/>
        <v>4.0000000000000036E-3</v>
      </c>
      <c r="N257" s="112">
        <f t="shared" si="36"/>
        <v>9.9999999999988987E-4</v>
      </c>
      <c r="O257" s="112">
        <f t="shared" si="37"/>
        <v>0.9993333333333333</v>
      </c>
      <c r="P257" s="113">
        <f t="shared" si="38"/>
        <v>0.13333333333333347</v>
      </c>
      <c r="Q257" s="114">
        <f t="shared" si="39"/>
        <v>0.23333333333333356</v>
      </c>
      <c r="R257" s="115" t="str">
        <f t="shared" si="40"/>
        <v xml:space="preserve"> </v>
      </c>
      <c r="S257" s="115" t="str">
        <f t="shared" si="41"/>
        <v xml:space="preserve"> </v>
      </c>
      <c r="T257" s="116" t="str">
        <f t="shared" si="42"/>
        <v/>
      </c>
      <c r="U257" s="120"/>
      <c r="V257" s="118"/>
      <c r="W257" s="131"/>
    </row>
    <row r="258" spans="1:23" ht="13.2">
      <c r="A258" s="102" t="s">
        <v>293</v>
      </c>
      <c r="B258" s="102"/>
      <c r="C258" s="104">
        <v>3</v>
      </c>
      <c r="D258" s="105" t="s">
        <v>357</v>
      </c>
      <c r="E258" s="106">
        <v>0.67</v>
      </c>
      <c r="F258" s="107">
        <v>0.1</v>
      </c>
      <c r="G258" s="108">
        <v>0.1</v>
      </c>
      <c r="H258" s="121" t="s">
        <v>55</v>
      </c>
      <c r="I258" s="110">
        <v>0.77</v>
      </c>
      <c r="J258" s="110">
        <v>0.751</v>
      </c>
      <c r="K258" s="119">
        <v>0.75700000000000001</v>
      </c>
      <c r="L258" s="111">
        <f t="shared" si="36"/>
        <v>9.9999999999999978E-2</v>
      </c>
      <c r="M258" s="112">
        <f t="shared" si="36"/>
        <v>8.0999999999999961E-2</v>
      </c>
      <c r="N258" s="112">
        <f t="shared" si="36"/>
        <v>8.6999999999999966E-2</v>
      </c>
      <c r="O258" s="112">
        <f t="shared" si="37"/>
        <v>0.7593333333333333</v>
      </c>
      <c r="P258" s="113">
        <f t="shared" si="38"/>
        <v>0.99999999999999978</v>
      </c>
      <c r="Q258" s="114">
        <f t="shared" si="39"/>
        <v>0</v>
      </c>
      <c r="R258" s="115" t="str">
        <f t="shared" si="40"/>
        <v>Alert</v>
      </c>
      <c r="S258" s="115" t="str">
        <f t="shared" si="41"/>
        <v xml:space="preserve"> </v>
      </c>
      <c r="T258" s="116" t="str">
        <f t="shared" si="42"/>
        <v>Alert</v>
      </c>
      <c r="U258" s="120"/>
      <c r="V258" s="118"/>
      <c r="W258" s="131"/>
    </row>
    <row r="259" spans="1:23" ht="13.2">
      <c r="A259" s="102" t="s">
        <v>294</v>
      </c>
      <c r="B259" s="102"/>
      <c r="C259" s="104">
        <v>3</v>
      </c>
      <c r="D259" s="105" t="s">
        <v>357</v>
      </c>
      <c r="E259" s="106">
        <v>0.67</v>
      </c>
      <c r="F259" s="107">
        <v>0.1</v>
      </c>
      <c r="G259" s="108">
        <v>0.1</v>
      </c>
      <c r="H259" s="121" t="s">
        <v>55</v>
      </c>
      <c r="I259" s="110">
        <v>0.76200000000000001</v>
      </c>
      <c r="J259" s="110">
        <v>0.754</v>
      </c>
      <c r="K259" s="119">
        <v>0.76500000000000001</v>
      </c>
      <c r="L259" s="111">
        <f t="shared" si="36"/>
        <v>9.1999999999999971E-2</v>
      </c>
      <c r="M259" s="112">
        <f t="shared" si="36"/>
        <v>8.3999999999999964E-2</v>
      </c>
      <c r="N259" s="112">
        <f t="shared" si="36"/>
        <v>9.4999999999999973E-2</v>
      </c>
      <c r="O259" s="112">
        <f t="shared" si="37"/>
        <v>0.76033333333333342</v>
      </c>
      <c r="P259" s="113">
        <f t="shared" si="38"/>
        <v>0.94999999999999973</v>
      </c>
      <c r="Q259" s="114">
        <f t="shared" si="39"/>
        <v>0</v>
      </c>
      <c r="R259" s="115" t="str">
        <f t="shared" si="40"/>
        <v>Alert</v>
      </c>
      <c r="S259" s="115" t="str">
        <f t="shared" si="41"/>
        <v xml:space="preserve"> </v>
      </c>
      <c r="T259" s="116" t="str">
        <f t="shared" si="42"/>
        <v>Alert</v>
      </c>
      <c r="U259" s="120"/>
      <c r="V259" s="118"/>
      <c r="W259" s="131"/>
    </row>
    <row r="260" spans="1:23" ht="13.2">
      <c r="A260" s="102" t="s">
        <v>295</v>
      </c>
      <c r="B260" s="102"/>
      <c r="C260" s="104">
        <v>3</v>
      </c>
      <c r="D260" s="105" t="s">
        <v>357</v>
      </c>
      <c r="E260" s="106">
        <v>0.67</v>
      </c>
      <c r="F260" s="107">
        <v>0.1</v>
      </c>
      <c r="G260" s="108">
        <v>0.1</v>
      </c>
      <c r="H260" s="121" t="s">
        <v>55</v>
      </c>
      <c r="I260" s="110">
        <v>0.75600000000000001</v>
      </c>
      <c r="J260" s="110">
        <v>0.77</v>
      </c>
      <c r="K260" s="119">
        <v>0.76300000000000001</v>
      </c>
      <c r="L260" s="111">
        <f t="shared" si="36"/>
        <v>8.5999999999999965E-2</v>
      </c>
      <c r="M260" s="112">
        <f t="shared" si="36"/>
        <v>9.9999999999999978E-2</v>
      </c>
      <c r="N260" s="112">
        <f t="shared" si="36"/>
        <v>9.2999999999999972E-2</v>
      </c>
      <c r="O260" s="112">
        <f t="shared" si="37"/>
        <v>0.76300000000000001</v>
      </c>
      <c r="P260" s="113">
        <f t="shared" si="38"/>
        <v>0.99999999999999978</v>
      </c>
      <c r="Q260" s="114">
        <f t="shared" si="39"/>
        <v>0</v>
      </c>
      <c r="R260" s="115" t="str">
        <f t="shared" si="40"/>
        <v>Alert</v>
      </c>
      <c r="S260" s="115" t="str">
        <f t="shared" si="41"/>
        <v xml:space="preserve"> </v>
      </c>
      <c r="T260" s="116" t="str">
        <f t="shared" si="42"/>
        <v>Alert</v>
      </c>
      <c r="U260" s="120"/>
      <c r="V260" s="118"/>
      <c r="W260" s="131"/>
    </row>
    <row r="261" spans="1:23" ht="13.2">
      <c r="A261" s="102" t="s">
        <v>296</v>
      </c>
      <c r="B261" s="102"/>
      <c r="C261" s="104">
        <v>3</v>
      </c>
      <c r="D261" s="105" t="s">
        <v>357</v>
      </c>
      <c r="E261" s="106">
        <v>0.67</v>
      </c>
      <c r="F261" s="107">
        <v>0.1</v>
      </c>
      <c r="G261" s="108">
        <v>0.1</v>
      </c>
      <c r="H261" s="121" t="s">
        <v>55</v>
      </c>
      <c r="I261" s="110">
        <v>0.76400000000000001</v>
      </c>
      <c r="J261" s="110">
        <v>0.76800000000000002</v>
      </c>
      <c r="K261" s="119">
        <v>0.76400000000000001</v>
      </c>
      <c r="L261" s="111">
        <f t="shared" si="36"/>
        <v>9.3999999999999972E-2</v>
      </c>
      <c r="M261" s="112">
        <f t="shared" si="36"/>
        <v>9.7999999999999976E-2</v>
      </c>
      <c r="N261" s="112">
        <f t="shared" si="36"/>
        <v>9.3999999999999972E-2</v>
      </c>
      <c r="O261" s="112">
        <f t="shared" si="37"/>
        <v>0.76533333333333342</v>
      </c>
      <c r="P261" s="113">
        <f t="shared" si="38"/>
        <v>0.97999999999999976</v>
      </c>
      <c r="Q261" s="114">
        <f t="shared" si="39"/>
        <v>0</v>
      </c>
      <c r="R261" s="115" t="str">
        <f t="shared" si="40"/>
        <v>Alert</v>
      </c>
      <c r="S261" s="115" t="str">
        <f t="shared" si="41"/>
        <v xml:space="preserve"> </v>
      </c>
      <c r="T261" s="116" t="str">
        <f t="shared" si="42"/>
        <v>Alert</v>
      </c>
      <c r="U261" s="120"/>
      <c r="V261" s="118"/>
      <c r="W261" s="131"/>
    </row>
    <row r="262" spans="1:23" ht="13.2">
      <c r="A262" s="102" t="s">
        <v>297</v>
      </c>
      <c r="B262" s="102"/>
      <c r="C262" s="104">
        <v>3</v>
      </c>
      <c r="D262" s="105" t="s">
        <v>357</v>
      </c>
      <c r="E262" s="106">
        <v>0.67</v>
      </c>
      <c r="F262" s="107">
        <v>0.1</v>
      </c>
      <c r="G262" s="108">
        <v>0.1</v>
      </c>
      <c r="H262" s="121" t="s">
        <v>55</v>
      </c>
      <c r="I262" s="110">
        <v>0.76700000000000002</v>
      </c>
      <c r="J262" s="110">
        <v>0.76500000000000001</v>
      </c>
      <c r="K262" s="119">
        <v>0.76300000000000001</v>
      </c>
      <c r="L262" s="111">
        <f t="shared" si="36"/>
        <v>9.6999999999999975E-2</v>
      </c>
      <c r="M262" s="112">
        <f t="shared" si="36"/>
        <v>9.4999999999999973E-2</v>
      </c>
      <c r="N262" s="112">
        <f t="shared" si="36"/>
        <v>9.2999999999999972E-2</v>
      </c>
      <c r="O262" s="112">
        <f t="shared" si="37"/>
        <v>0.76500000000000001</v>
      </c>
      <c r="P262" s="113">
        <f t="shared" si="38"/>
        <v>0.96999999999999975</v>
      </c>
      <c r="Q262" s="114">
        <f t="shared" si="39"/>
        <v>0</v>
      </c>
      <c r="R262" s="115" t="str">
        <f t="shared" si="40"/>
        <v>Alert</v>
      </c>
      <c r="S262" s="115" t="str">
        <f t="shared" si="41"/>
        <v xml:space="preserve"> </v>
      </c>
      <c r="T262" s="116" t="str">
        <f t="shared" si="42"/>
        <v>Alert</v>
      </c>
      <c r="U262" s="120"/>
      <c r="V262" s="118"/>
      <c r="W262" s="131"/>
    </row>
    <row r="263" spans="1:23" ht="13.2">
      <c r="A263" s="102" t="s">
        <v>298</v>
      </c>
      <c r="B263" s="102"/>
      <c r="C263" s="104">
        <v>3</v>
      </c>
      <c r="D263" s="105" t="s">
        <v>357</v>
      </c>
      <c r="E263" s="106">
        <v>0.67</v>
      </c>
      <c r="F263" s="107">
        <v>0.1</v>
      </c>
      <c r="G263" s="108">
        <v>0.1</v>
      </c>
      <c r="H263" s="121" t="s">
        <v>55</v>
      </c>
      <c r="I263" s="110">
        <v>0.76100000000000001</v>
      </c>
      <c r="J263" s="110">
        <v>0.76800000000000002</v>
      </c>
      <c r="K263" s="119">
        <v>0.753</v>
      </c>
      <c r="L263" s="111">
        <f t="shared" si="36"/>
        <v>9.099999999999997E-2</v>
      </c>
      <c r="M263" s="112">
        <f t="shared" si="36"/>
        <v>9.7999999999999976E-2</v>
      </c>
      <c r="N263" s="112">
        <f t="shared" si="36"/>
        <v>8.2999999999999963E-2</v>
      </c>
      <c r="O263" s="112">
        <f t="shared" si="37"/>
        <v>0.76066666666666671</v>
      </c>
      <c r="P263" s="113">
        <f t="shared" si="38"/>
        <v>0.97999999999999976</v>
      </c>
      <c r="Q263" s="114">
        <f t="shared" si="39"/>
        <v>0</v>
      </c>
      <c r="R263" s="115" t="str">
        <f t="shared" si="40"/>
        <v>Alert</v>
      </c>
      <c r="S263" s="115" t="str">
        <f t="shared" si="41"/>
        <v xml:space="preserve"> </v>
      </c>
      <c r="T263" s="116" t="str">
        <f t="shared" si="42"/>
        <v>Alert</v>
      </c>
      <c r="U263" s="120"/>
      <c r="V263" s="118"/>
      <c r="W263" s="131"/>
    </row>
    <row r="264" spans="1:23" ht="13.2">
      <c r="A264" s="102" t="s">
        <v>299</v>
      </c>
      <c r="B264" s="102"/>
      <c r="C264" s="104">
        <v>3</v>
      </c>
      <c r="D264" s="105" t="s">
        <v>357</v>
      </c>
      <c r="E264" s="106">
        <v>0.67</v>
      </c>
      <c r="F264" s="107">
        <v>0.1</v>
      </c>
      <c r="G264" s="108">
        <v>0.1</v>
      </c>
      <c r="H264" s="121" t="s">
        <v>55</v>
      </c>
      <c r="I264" s="110">
        <v>0.76600000000000001</v>
      </c>
      <c r="J264" s="110">
        <v>0.73399999999999999</v>
      </c>
      <c r="K264" s="119">
        <v>0.76900000000000002</v>
      </c>
      <c r="L264" s="111">
        <f t="shared" si="36"/>
        <v>9.5999999999999974E-2</v>
      </c>
      <c r="M264" s="112">
        <f t="shared" si="36"/>
        <v>6.3999999999999946E-2</v>
      </c>
      <c r="N264" s="112">
        <f t="shared" si="36"/>
        <v>9.8999999999999977E-2</v>
      </c>
      <c r="O264" s="112">
        <f t="shared" si="37"/>
        <v>0.75633333333333341</v>
      </c>
      <c r="P264" s="113">
        <f t="shared" si="38"/>
        <v>0.98999999999999977</v>
      </c>
      <c r="Q264" s="114">
        <f t="shared" si="39"/>
        <v>0</v>
      </c>
      <c r="R264" s="115" t="str">
        <f t="shared" si="40"/>
        <v>Alert</v>
      </c>
      <c r="S264" s="115" t="str">
        <f t="shared" si="41"/>
        <v xml:space="preserve"> </v>
      </c>
      <c r="T264" s="116" t="str">
        <f t="shared" si="42"/>
        <v>Alert</v>
      </c>
      <c r="U264" s="120"/>
      <c r="V264" s="118"/>
      <c r="W264" s="131"/>
    </row>
    <row r="265" spans="1:23" ht="13.2">
      <c r="A265" s="102" t="s">
        <v>300</v>
      </c>
      <c r="B265" s="102"/>
      <c r="C265" s="104">
        <v>3</v>
      </c>
      <c r="D265" s="105" t="s">
        <v>357</v>
      </c>
      <c r="E265" s="106">
        <v>0.67</v>
      </c>
      <c r="F265" s="107">
        <v>0.1</v>
      </c>
      <c r="G265" s="108">
        <v>0.1</v>
      </c>
      <c r="H265" s="121" t="s">
        <v>55</v>
      </c>
      <c r="I265" s="110">
        <v>0.76800000000000002</v>
      </c>
      <c r="J265" s="110">
        <v>0.753</v>
      </c>
      <c r="K265" s="119">
        <v>0.76</v>
      </c>
      <c r="L265" s="111">
        <f t="shared" si="36"/>
        <v>9.7999999999999976E-2</v>
      </c>
      <c r="M265" s="112">
        <f t="shared" si="36"/>
        <v>8.2999999999999963E-2</v>
      </c>
      <c r="N265" s="112">
        <f t="shared" si="36"/>
        <v>8.9999999999999969E-2</v>
      </c>
      <c r="O265" s="112">
        <f t="shared" si="37"/>
        <v>0.76033333333333319</v>
      </c>
      <c r="P265" s="113">
        <f t="shared" si="38"/>
        <v>0.97999999999999976</v>
      </c>
      <c r="Q265" s="114">
        <f t="shared" si="39"/>
        <v>0</v>
      </c>
      <c r="R265" s="115" t="str">
        <f t="shared" si="40"/>
        <v>Alert</v>
      </c>
      <c r="S265" s="115" t="str">
        <f t="shared" si="41"/>
        <v xml:space="preserve"> </v>
      </c>
      <c r="T265" s="116" t="str">
        <f t="shared" si="42"/>
        <v>Alert</v>
      </c>
      <c r="U265" s="120"/>
      <c r="V265" s="118"/>
      <c r="W265" s="131"/>
    </row>
    <row r="266" spans="1:23" ht="13.2">
      <c r="A266" s="102" t="s">
        <v>301</v>
      </c>
      <c r="B266" s="102"/>
      <c r="C266" s="104">
        <v>3</v>
      </c>
      <c r="D266" s="105" t="s">
        <v>357</v>
      </c>
      <c r="E266" s="106">
        <v>0.67</v>
      </c>
      <c r="F266" s="107">
        <v>0.1</v>
      </c>
      <c r="G266" s="108">
        <v>0.1</v>
      </c>
      <c r="H266" s="121" t="s">
        <v>55</v>
      </c>
      <c r="I266" s="110">
        <v>0.76</v>
      </c>
      <c r="J266" s="110">
        <v>0.746</v>
      </c>
      <c r="K266" s="119">
        <v>0.76500000000000001</v>
      </c>
      <c r="L266" s="111">
        <f t="shared" si="36"/>
        <v>8.9999999999999969E-2</v>
      </c>
      <c r="M266" s="112">
        <f t="shared" si="36"/>
        <v>7.5999999999999956E-2</v>
      </c>
      <c r="N266" s="112">
        <f t="shared" si="36"/>
        <v>9.4999999999999973E-2</v>
      </c>
      <c r="O266" s="112">
        <f t="shared" si="37"/>
        <v>0.75700000000000001</v>
      </c>
      <c r="P266" s="113">
        <f t="shared" si="38"/>
        <v>0.94999999999999973</v>
      </c>
      <c r="Q266" s="114">
        <f t="shared" si="39"/>
        <v>0</v>
      </c>
      <c r="R266" s="115" t="str">
        <f t="shared" si="40"/>
        <v>Alert</v>
      </c>
      <c r="S266" s="115" t="str">
        <f t="shared" si="41"/>
        <v xml:space="preserve"> </v>
      </c>
      <c r="T266" s="116" t="str">
        <f t="shared" si="42"/>
        <v>Alert</v>
      </c>
      <c r="U266" s="120"/>
      <c r="V266" s="118"/>
      <c r="W266" s="131"/>
    </row>
    <row r="267" spans="1:23" ht="13.2">
      <c r="A267" s="102" t="s">
        <v>302</v>
      </c>
      <c r="B267" s="103"/>
      <c r="C267" s="104">
        <v>3</v>
      </c>
      <c r="D267" s="105" t="s">
        <v>357</v>
      </c>
      <c r="E267" s="106">
        <v>0.67</v>
      </c>
      <c r="F267" s="107">
        <v>0.1</v>
      </c>
      <c r="G267" s="108">
        <v>0.1</v>
      </c>
      <c r="H267" s="121" t="s">
        <v>55</v>
      </c>
      <c r="I267" s="110">
        <v>0.76100000000000001</v>
      </c>
      <c r="J267" s="110">
        <v>0.75800000000000001</v>
      </c>
      <c r="K267" s="119">
        <v>0.755</v>
      </c>
      <c r="L267" s="111">
        <f t="shared" si="36"/>
        <v>9.099999999999997E-2</v>
      </c>
      <c r="M267" s="112">
        <f t="shared" si="36"/>
        <v>8.7999999999999967E-2</v>
      </c>
      <c r="N267" s="112">
        <f t="shared" si="36"/>
        <v>8.4999999999999964E-2</v>
      </c>
      <c r="O267" s="112">
        <f t="shared" si="37"/>
        <v>0.75800000000000001</v>
      </c>
      <c r="P267" s="113">
        <f t="shared" si="38"/>
        <v>0.9099999999999997</v>
      </c>
      <c r="Q267" s="114">
        <f t="shared" si="39"/>
        <v>0</v>
      </c>
      <c r="R267" s="115" t="str">
        <f t="shared" si="40"/>
        <v>Alert</v>
      </c>
      <c r="S267" s="115" t="str">
        <f t="shared" si="41"/>
        <v xml:space="preserve"> </v>
      </c>
      <c r="T267" s="116" t="str">
        <f t="shared" si="42"/>
        <v>Alert</v>
      </c>
      <c r="U267" s="120"/>
      <c r="V267" s="118"/>
      <c r="W267" s="131"/>
    </row>
    <row r="268" spans="1:23" ht="13.2">
      <c r="A268" s="102" t="s">
        <v>303</v>
      </c>
      <c r="B268" s="103"/>
      <c r="C268" s="104">
        <v>3</v>
      </c>
      <c r="D268" s="105" t="s">
        <v>357</v>
      </c>
      <c r="E268" s="106">
        <v>0.67</v>
      </c>
      <c r="F268" s="107">
        <v>0.1</v>
      </c>
      <c r="G268" s="108">
        <v>0.1</v>
      </c>
      <c r="H268" s="121" t="s">
        <v>55</v>
      </c>
      <c r="I268" s="110">
        <v>0.76</v>
      </c>
      <c r="J268" s="110">
        <v>0.74299999999999999</v>
      </c>
      <c r="K268" s="119">
        <v>0.746</v>
      </c>
      <c r="L268" s="111">
        <f t="shared" si="36"/>
        <v>8.9999999999999969E-2</v>
      </c>
      <c r="M268" s="112">
        <f t="shared" si="36"/>
        <v>7.2999999999999954E-2</v>
      </c>
      <c r="N268" s="112">
        <f t="shared" si="36"/>
        <v>7.5999999999999956E-2</v>
      </c>
      <c r="O268" s="112">
        <f t="shared" si="37"/>
        <v>0.7496666666666667</v>
      </c>
      <c r="P268" s="113">
        <f t="shared" si="38"/>
        <v>0.89999999999999969</v>
      </c>
      <c r="Q268" s="114">
        <f t="shared" si="39"/>
        <v>0</v>
      </c>
      <c r="R268" s="115" t="str">
        <f t="shared" si="40"/>
        <v>Alert</v>
      </c>
      <c r="S268" s="115" t="str">
        <f t="shared" si="41"/>
        <v xml:space="preserve"> </v>
      </c>
      <c r="T268" s="116" t="str">
        <f t="shared" si="42"/>
        <v>Alert</v>
      </c>
      <c r="U268" s="120"/>
      <c r="V268" s="118"/>
      <c r="W268" s="131"/>
    </row>
    <row r="269" spans="1:23" ht="13.2">
      <c r="A269" s="102" t="s">
        <v>304</v>
      </c>
      <c r="B269" s="103"/>
      <c r="C269" s="104">
        <v>3</v>
      </c>
      <c r="D269" s="105" t="s">
        <v>357</v>
      </c>
      <c r="E269" s="106">
        <v>0.67</v>
      </c>
      <c r="F269" s="107">
        <v>0.1</v>
      </c>
      <c r="G269" s="108">
        <v>0.1</v>
      </c>
      <c r="H269" s="121" t="s">
        <v>55</v>
      </c>
      <c r="I269" s="110">
        <v>0.75700000000000001</v>
      </c>
      <c r="J269" s="110">
        <v>0.75700000000000001</v>
      </c>
      <c r="K269" s="119">
        <v>0.75600000000000001</v>
      </c>
      <c r="L269" s="111">
        <f t="shared" si="36"/>
        <v>8.6999999999999966E-2</v>
      </c>
      <c r="M269" s="112">
        <f t="shared" si="36"/>
        <v>8.6999999999999966E-2</v>
      </c>
      <c r="N269" s="112">
        <f t="shared" si="36"/>
        <v>8.5999999999999965E-2</v>
      </c>
      <c r="O269" s="112">
        <f t="shared" si="37"/>
        <v>0.75666666666666671</v>
      </c>
      <c r="P269" s="113">
        <f t="shared" si="38"/>
        <v>0.86999999999999966</v>
      </c>
      <c r="Q269" s="114">
        <f t="shared" si="39"/>
        <v>0</v>
      </c>
      <c r="R269" s="115" t="str">
        <f t="shared" si="40"/>
        <v>Alert</v>
      </c>
      <c r="S269" s="115" t="str">
        <f t="shared" si="41"/>
        <v xml:space="preserve"> </v>
      </c>
      <c r="T269" s="116" t="str">
        <f t="shared" si="42"/>
        <v>Alert</v>
      </c>
      <c r="U269" s="120"/>
      <c r="V269" s="118"/>
      <c r="W269" s="131"/>
    </row>
    <row r="270" spans="1:23" ht="13.2">
      <c r="A270" s="102" t="s">
        <v>305</v>
      </c>
      <c r="B270" s="102"/>
      <c r="C270" s="104">
        <v>3</v>
      </c>
      <c r="D270" s="105" t="s">
        <v>357</v>
      </c>
      <c r="E270" s="106">
        <v>0.67</v>
      </c>
      <c r="F270" s="107">
        <v>0.1</v>
      </c>
      <c r="G270" s="108">
        <v>0.1</v>
      </c>
      <c r="H270" s="121" t="s">
        <v>55</v>
      </c>
      <c r="I270" s="110">
        <v>0.76400000000000001</v>
      </c>
      <c r="J270" s="110">
        <v>0.755</v>
      </c>
      <c r="K270" s="119">
        <v>0.748</v>
      </c>
      <c r="L270" s="111">
        <f t="shared" si="36"/>
        <v>9.3999999999999972E-2</v>
      </c>
      <c r="M270" s="112">
        <f t="shared" si="36"/>
        <v>8.4999999999999964E-2</v>
      </c>
      <c r="N270" s="112">
        <f t="shared" si="36"/>
        <v>7.7999999999999958E-2</v>
      </c>
      <c r="O270" s="112">
        <f t="shared" si="37"/>
        <v>0.75566666666666682</v>
      </c>
      <c r="P270" s="113">
        <f t="shared" si="38"/>
        <v>0.93999999999999972</v>
      </c>
      <c r="Q270" s="114">
        <f t="shared" si="39"/>
        <v>0</v>
      </c>
      <c r="R270" s="115" t="str">
        <f t="shared" si="40"/>
        <v>Alert</v>
      </c>
      <c r="S270" s="115" t="str">
        <f t="shared" si="41"/>
        <v xml:space="preserve"> </v>
      </c>
      <c r="T270" s="116" t="str">
        <f t="shared" si="42"/>
        <v>Alert</v>
      </c>
      <c r="U270" s="120"/>
      <c r="V270" s="118"/>
      <c r="W270" s="131"/>
    </row>
    <row r="271" spans="1:23" ht="13.2">
      <c r="A271" s="102" t="s">
        <v>306</v>
      </c>
      <c r="B271" s="102"/>
      <c r="C271" s="104">
        <v>3</v>
      </c>
      <c r="D271" s="105" t="s">
        <v>357</v>
      </c>
      <c r="E271" s="106">
        <v>0.67</v>
      </c>
      <c r="F271" s="107">
        <v>0.1</v>
      </c>
      <c r="G271" s="108">
        <v>0.1</v>
      </c>
      <c r="H271" s="121" t="s">
        <v>55</v>
      </c>
      <c r="I271" s="110">
        <v>0.76600000000000001</v>
      </c>
      <c r="J271" s="110">
        <v>0.73399999999999999</v>
      </c>
      <c r="K271" s="119">
        <v>0.73199999999999998</v>
      </c>
      <c r="L271" s="111">
        <f t="shared" si="36"/>
        <v>9.5999999999999974E-2</v>
      </c>
      <c r="M271" s="112">
        <f t="shared" si="36"/>
        <v>6.3999999999999946E-2</v>
      </c>
      <c r="N271" s="112">
        <f t="shared" si="36"/>
        <v>6.1999999999999944E-2</v>
      </c>
      <c r="O271" s="112">
        <f t="shared" si="37"/>
        <v>0.74400000000000011</v>
      </c>
      <c r="P271" s="113">
        <f t="shared" si="38"/>
        <v>0.95999999999999974</v>
      </c>
      <c r="Q271" s="114">
        <f t="shared" si="39"/>
        <v>0</v>
      </c>
      <c r="R271" s="115" t="str">
        <f t="shared" si="40"/>
        <v>Alert</v>
      </c>
      <c r="S271" s="115" t="str">
        <f t="shared" si="41"/>
        <v xml:space="preserve"> </v>
      </c>
      <c r="T271" s="116" t="str">
        <f t="shared" si="42"/>
        <v>Alert</v>
      </c>
      <c r="U271" s="120"/>
      <c r="V271" s="118"/>
      <c r="W271" s="131"/>
    </row>
    <row r="272" spans="1:23" ht="13.2">
      <c r="A272" s="102" t="s">
        <v>307</v>
      </c>
      <c r="B272" s="102"/>
      <c r="C272" s="104">
        <v>3</v>
      </c>
      <c r="D272" s="105" t="s">
        <v>357</v>
      </c>
      <c r="E272" s="106">
        <v>0.67</v>
      </c>
      <c r="F272" s="107">
        <v>0.1</v>
      </c>
      <c r="G272" s="108">
        <v>0.1</v>
      </c>
      <c r="H272" s="121" t="s">
        <v>55</v>
      </c>
      <c r="I272" s="110">
        <v>0.76600000000000001</v>
      </c>
      <c r="J272" s="110">
        <v>0.754</v>
      </c>
      <c r="K272" s="119">
        <v>0.75600000000000001</v>
      </c>
      <c r="L272" s="111">
        <f t="shared" si="36"/>
        <v>9.5999999999999974E-2</v>
      </c>
      <c r="M272" s="112">
        <f t="shared" si="36"/>
        <v>8.3999999999999964E-2</v>
      </c>
      <c r="N272" s="112">
        <f t="shared" si="36"/>
        <v>8.5999999999999965E-2</v>
      </c>
      <c r="O272" s="112">
        <f t="shared" si="37"/>
        <v>0.7586666666666666</v>
      </c>
      <c r="P272" s="113">
        <f t="shared" si="38"/>
        <v>0.95999999999999974</v>
      </c>
      <c r="Q272" s="114">
        <f t="shared" si="39"/>
        <v>0</v>
      </c>
      <c r="R272" s="115" t="str">
        <f t="shared" si="40"/>
        <v>Alert</v>
      </c>
      <c r="S272" s="115" t="str">
        <f t="shared" si="41"/>
        <v xml:space="preserve"> </v>
      </c>
      <c r="T272" s="116" t="str">
        <f t="shared" si="42"/>
        <v>Alert</v>
      </c>
      <c r="U272" s="120"/>
      <c r="V272" s="118"/>
      <c r="W272" s="131"/>
    </row>
    <row r="273" spans="1:23" ht="13.2">
      <c r="A273" s="102" t="s">
        <v>308</v>
      </c>
      <c r="B273" s="102"/>
      <c r="C273" s="104">
        <v>3</v>
      </c>
      <c r="D273" s="105" t="s">
        <v>357</v>
      </c>
      <c r="E273" s="106">
        <v>0.67</v>
      </c>
      <c r="F273" s="107">
        <v>0.1</v>
      </c>
      <c r="G273" s="108">
        <v>0.1</v>
      </c>
      <c r="H273" s="121" t="s">
        <v>55</v>
      </c>
      <c r="I273" s="110">
        <v>0.76200000000000001</v>
      </c>
      <c r="J273" s="110">
        <v>0.74099999999999999</v>
      </c>
      <c r="K273" s="119">
        <v>0.74399999999999999</v>
      </c>
      <c r="L273" s="111">
        <f t="shared" si="36"/>
        <v>9.1999999999999971E-2</v>
      </c>
      <c r="M273" s="112">
        <f t="shared" si="36"/>
        <v>7.0999999999999952E-2</v>
      </c>
      <c r="N273" s="112">
        <f t="shared" si="36"/>
        <v>7.3999999999999955E-2</v>
      </c>
      <c r="O273" s="112">
        <f t="shared" si="37"/>
        <v>0.749</v>
      </c>
      <c r="P273" s="113">
        <f t="shared" si="38"/>
        <v>0.91999999999999971</v>
      </c>
      <c r="Q273" s="114">
        <f t="shared" si="39"/>
        <v>0</v>
      </c>
      <c r="R273" s="115" t="str">
        <f t="shared" si="40"/>
        <v>Alert</v>
      </c>
      <c r="S273" s="115" t="str">
        <f t="shared" si="41"/>
        <v xml:space="preserve"> </v>
      </c>
      <c r="T273" s="116" t="str">
        <f t="shared" si="42"/>
        <v>Alert</v>
      </c>
      <c r="U273" s="120"/>
      <c r="V273" s="118"/>
      <c r="W273" s="131"/>
    </row>
    <row r="274" spans="1:23" ht="13.2">
      <c r="A274" s="102" t="s">
        <v>309</v>
      </c>
      <c r="B274" s="102"/>
      <c r="C274" s="104">
        <v>3</v>
      </c>
      <c r="D274" s="105" t="s">
        <v>357</v>
      </c>
      <c r="E274" s="106">
        <v>0.67</v>
      </c>
      <c r="F274" s="107">
        <v>0.1</v>
      </c>
      <c r="G274" s="108">
        <v>0.1</v>
      </c>
      <c r="H274" s="121" t="s">
        <v>55</v>
      </c>
      <c r="I274" s="110">
        <v>0.76900000000000002</v>
      </c>
      <c r="J274" s="110">
        <v>0.754</v>
      </c>
      <c r="K274" s="119">
        <v>0.76400000000000001</v>
      </c>
      <c r="L274" s="111">
        <f t="shared" si="36"/>
        <v>9.8999999999999977E-2</v>
      </c>
      <c r="M274" s="112">
        <f t="shared" si="36"/>
        <v>8.3999999999999964E-2</v>
      </c>
      <c r="N274" s="112">
        <f t="shared" si="36"/>
        <v>9.3999999999999972E-2</v>
      </c>
      <c r="O274" s="112">
        <f t="shared" si="37"/>
        <v>0.76233333333333331</v>
      </c>
      <c r="P274" s="113">
        <f t="shared" si="38"/>
        <v>0.98999999999999977</v>
      </c>
      <c r="Q274" s="114">
        <f t="shared" si="39"/>
        <v>0</v>
      </c>
      <c r="R274" s="115" t="str">
        <f t="shared" si="40"/>
        <v>Alert</v>
      </c>
      <c r="S274" s="115" t="str">
        <f t="shared" si="41"/>
        <v xml:space="preserve"> </v>
      </c>
      <c r="T274" s="116" t="str">
        <f t="shared" si="42"/>
        <v>Alert</v>
      </c>
      <c r="U274" s="120"/>
      <c r="V274" s="118"/>
      <c r="W274" s="131"/>
    </row>
    <row r="275" spans="1:23" ht="13.2">
      <c r="A275" s="102" t="s">
        <v>310</v>
      </c>
      <c r="B275" s="102"/>
      <c r="C275" s="104">
        <v>3</v>
      </c>
      <c r="D275" s="105" t="s">
        <v>357</v>
      </c>
      <c r="E275" s="106">
        <v>0.67</v>
      </c>
      <c r="F275" s="107">
        <v>0.1</v>
      </c>
      <c r="G275" s="108">
        <v>0.1</v>
      </c>
      <c r="H275" s="121" t="s">
        <v>55</v>
      </c>
      <c r="I275" s="110">
        <v>0.76</v>
      </c>
      <c r="J275" s="110">
        <v>0.749</v>
      </c>
      <c r="K275" s="119">
        <v>0.747</v>
      </c>
      <c r="L275" s="111">
        <f t="shared" si="36"/>
        <v>8.9999999999999969E-2</v>
      </c>
      <c r="M275" s="112">
        <f t="shared" si="36"/>
        <v>7.8999999999999959E-2</v>
      </c>
      <c r="N275" s="112">
        <f t="shared" si="36"/>
        <v>7.6999999999999957E-2</v>
      </c>
      <c r="O275" s="112">
        <f t="shared" si="37"/>
        <v>0.75199999999999989</v>
      </c>
      <c r="P275" s="113">
        <f t="shared" si="38"/>
        <v>0.89999999999999969</v>
      </c>
      <c r="Q275" s="114">
        <f t="shared" si="39"/>
        <v>0</v>
      </c>
      <c r="R275" s="115" t="str">
        <f t="shared" si="40"/>
        <v>Alert</v>
      </c>
      <c r="S275" s="115" t="str">
        <f t="shared" si="41"/>
        <v xml:space="preserve"> </v>
      </c>
      <c r="T275" s="116" t="str">
        <f t="shared" si="42"/>
        <v>Alert</v>
      </c>
      <c r="U275" s="120"/>
      <c r="V275" s="118"/>
      <c r="W275" s="131"/>
    </row>
    <row r="276" spans="1:23" ht="13.2">
      <c r="A276" s="102" t="s">
        <v>311</v>
      </c>
      <c r="B276" s="102"/>
      <c r="C276" s="104">
        <v>3</v>
      </c>
      <c r="D276" s="105" t="s">
        <v>357</v>
      </c>
      <c r="E276" s="106">
        <v>0.67</v>
      </c>
      <c r="F276" s="107">
        <v>0.1</v>
      </c>
      <c r="G276" s="108">
        <v>0.1</v>
      </c>
      <c r="H276" s="121" t="s">
        <v>55</v>
      </c>
      <c r="I276" s="110">
        <v>0.76900000000000002</v>
      </c>
      <c r="J276" s="110">
        <v>0.755</v>
      </c>
      <c r="K276" s="119">
        <v>0.75700000000000001</v>
      </c>
      <c r="L276" s="111">
        <f t="shared" si="36"/>
        <v>9.8999999999999977E-2</v>
      </c>
      <c r="M276" s="112">
        <f t="shared" si="36"/>
        <v>8.4999999999999964E-2</v>
      </c>
      <c r="N276" s="112">
        <f t="shared" si="36"/>
        <v>8.6999999999999966E-2</v>
      </c>
      <c r="O276" s="112">
        <f t="shared" si="37"/>
        <v>0.76033333333333342</v>
      </c>
      <c r="P276" s="113">
        <f t="shared" si="38"/>
        <v>0.98999999999999977</v>
      </c>
      <c r="Q276" s="114">
        <f t="shared" si="39"/>
        <v>0</v>
      </c>
      <c r="R276" s="115" t="str">
        <f t="shared" si="40"/>
        <v>Alert</v>
      </c>
      <c r="S276" s="115" t="str">
        <f t="shared" si="41"/>
        <v xml:space="preserve"> </v>
      </c>
      <c r="T276" s="116" t="str">
        <f t="shared" si="42"/>
        <v>Alert</v>
      </c>
      <c r="U276" s="120"/>
      <c r="V276" s="118"/>
      <c r="W276" s="131"/>
    </row>
    <row r="277" spans="1:23" ht="13.2">
      <c r="A277" s="102" t="s">
        <v>312</v>
      </c>
      <c r="B277" s="102"/>
      <c r="C277" s="104">
        <v>3</v>
      </c>
      <c r="D277" s="105" t="s">
        <v>357</v>
      </c>
      <c r="E277" s="106">
        <v>0.67</v>
      </c>
      <c r="F277" s="107">
        <v>0.1</v>
      </c>
      <c r="G277" s="108">
        <v>0.1</v>
      </c>
      <c r="H277" s="121" t="s">
        <v>55</v>
      </c>
      <c r="I277" s="110">
        <v>0.76200000000000001</v>
      </c>
      <c r="J277" s="110">
        <v>0.76</v>
      </c>
      <c r="K277" s="119">
        <v>0.748</v>
      </c>
      <c r="L277" s="111">
        <f t="shared" si="36"/>
        <v>9.1999999999999971E-2</v>
      </c>
      <c r="M277" s="112">
        <f t="shared" si="36"/>
        <v>8.9999999999999969E-2</v>
      </c>
      <c r="N277" s="112">
        <f t="shared" si="36"/>
        <v>7.7999999999999958E-2</v>
      </c>
      <c r="O277" s="112">
        <f t="shared" si="37"/>
        <v>0.75666666666666671</v>
      </c>
      <c r="P277" s="113">
        <f t="shared" si="38"/>
        <v>0.91999999999999971</v>
      </c>
      <c r="Q277" s="114">
        <f t="shared" si="39"/>
        <v>0</v>
      </c>
      <c r="R277" s="115" t="str">
        <f t="shared" si="40"/>
        <v>Alert</v>
      </c>
      <c r="S277" s="115" t="str">
        <f t="shared" si="41"/>
        <v xml:space="preserve"> </v>
      </c>
      <c r="T277" s="116" t="str">
        <f t="shared" si="42"/>
        <v>Alert</v>
      </c>
      <c r="U277" s="120"/>
      <c r="V277" s="118"/>
      <c r="W277" s="131"/>
    </row>
    <row r="278" spans="1:23" ht="13.2">
      <c r="A278" s="102" t="s">
        <v>313</v>
      </c>
      <c r="B278" s="102"/>
      <c r="C278" s="104">
        <v>3</v>
      </c>
      <c r="D278" s="105" t="s">
        <v>357</v>
      </c>
      <c r="E278" s="106">
        <v>0.67</v>
      </c>
      <c r="F278" s="107">
        <v>0.1</v>
      </c>
      <c r="G278" s="108">
        <v>0.1</v>
      </c>
      <c r="H278" s="121" t="s">
        <v>55</v>
      </c>
      <c r="I278" s="110">
        <v>0.76400000000000001</v>
      </c>
      <c r="J278" s="110">
        <v>0.751</v>
      </c>
      <c r="K278" s="119">
        <v>0.752</v>
      </c>
      <c r="L278" s="111">
        <f t="shared" si="36"/>
        <v>9.3999999999999972E-2</v>
      </c>
      <c r="M278" s="112">
        <f t="shared" si="36"/>
        <v>8.0999999999999961E-2</v>
      </c>
      <c r="N278" s="112">
        <f t="shared" si="36"/>
        <v>8.1999999999999962E-2</v>
      </c>
      <c r="O278" s="112">
        <f t="shared" si="37"/>
        <v>0.75566666666666682</v>
      </c>
      <c r="P278" s="113">
        <f t="shared" si="38"/>
        <v>0.93999999999999972</v>
      </c>
      <c r="Q278" s="114">
        <f t="shared" si="39"/>
        <v>0</v>
      </c>
      <c r="R278" s="115" t="str">
        <f t="shared" si="40"/>
        <v>Alert</v>
      </c>
      <c r="S278" s="115" t="str">
        <f t="shared" si="41"/>
        <v xml:space="preserve"> </v>
      </c>
      <c r="T278" s="116" t="str">
        <f t="shared" si="42"/>
        <v>Alert</v>
      </c>
      <c r="U278" s="120"/>
      <c r="V278" s="118"/>
      <c r="W278" s="131"/>
    </row>
    <row r="279" spans="1:23" ht="13.2">
      <c r="A279" s="102" t="s">
        <v>314</v>
      </c>
      <c r="B279" s="102"/>
      <c r="C279" s="104">
        <v>3</v>
      </c>
      <c r="D279" s="105" t="s">
        <v>357</v>
      </c>
      <c r="E279" s="106">
        <v>0.67</v>
      </c>
      <c r="F279" s="107">
        <v>0.1</v>
      </c>
      <c r="G279" s="108">
        <v>0.1</v>
      </c>
      <c r="H279" s="121" t="s">
        <v>55</v>
      </c>
      <c r="I279" s="110">
        <v>0.76500000000000001</v>
      </c>
      <c r="J279" s="110">
        <v>0.751</v>
      </c>
      <c r="K279" s="119">
        <v>0.751</v>
      </c>
      <c r="L279" s="111">
        <f t="shared" si="36"/>
        <v>9.4999999999999973E-2</v>
      </c>
      <c r="M279" s="112">
        <f t="shared" si="36"/>
        <v>8.0999999999999961E-2</v>
      </c>
      <c r="N279" s="112">
        <f t="shared" si="36"/>
        <v>8.0999999999999961E-2</v>
      </c>
      <c r="O279" s="112">
        <f t="shared" si="37"/>
        <v>0.7556666666666666</v>
      </c>
      <c r="P279" s="113">
        <f t="shared" si="38"/>
        <v>0.94999999999999973</v>
      </c>
      <c r="Q279" s="114">
        <f t="shared" si="39"/>
        <v>0</v>
      </c>
      <c r="R279" s="115" t="str">
        <f t="shared" si="40"/>
        <v>Alert</v>
      </c>
      <c r="S279" s="115" t="str">
        <f t="shared" si="41"/>
        <v xml:space="preserve"> </v>
      </c>
      <c r="T279" s="116" t="str">
        <f t="shared" si="42"/>
        <v>Alert</v>
      </c>
      <c r="U279" s="120"/>
      <c r="V279" s="118"/>
      <c r="W279" s="131"/>
    </row>
    <row r="280" spans="1:23" ht="13.2">
      <c r="A280" s="102" t="s">
        <v>315</v>
      </c>
      <c r="B280" s="102"/>
      <c r="C280" s="104">
        <v>3</v>
      </c>
      <c r="D280" s="105" t="s">
        <v>357</v>
      </c>
      <c r="E280" s="106">
        <v>0.67</v>
      </c>
      <c r="F280" s="107">
        <v>0.1</v>
      </c>
      <c r="G280" s="108">
        <v>0.1</v>
      </c>
      <c r="H280" s="121" t="s">
        <v>55</v>
      </c>
      <c r="I280" s="110">
        <v>0.76</v>
      </c>
      <c r="J280" s="110">
        <v>0.75900000000000001</v>
      </c>
      <c r="K280" s="119">
        <v>0.75600000000000001</v>
      </c>
      <c r="L280" s="111">
        <f t="shared" si="36"/>
        <v>8.9999999999999969E-2</v>
      </c>
      <c r="M280" s="112">
        <f t="shared" si="36"/>
        <v>8.8999999999999968E-2</v>
      </c>
      <c r="N280" s="112">
        <f t="shared" si="36"/>
        <v>8.5999999999999965E-2</v>
      </c>
      <c r="O280" s="112">
        <f t="shared" si="37"/>
        <v>0.75833333333333341</v>
      </c>
      <c r="P280" s="113">
        <f t="shared" si="38"/>
        <v>0.89999999999999969</v>
      </c>
      <c r="Q280" s="114">
        <f t="shared" si="39"/>
        <v>0</v>
      </c>
      <c r="R280" s="115" t="str">
        <f t="shared" si="40"/>
        <v>Alert</v>
      </c>
      <c r="S280" s="115" t="str">
        <f t="shared" si="41"/>
        <v xml:space="preserve"> </v>
      </c>
      <c r="T280" s="116" t="str">
        <f t="shared" si="42"/>
        <v>Alert</v>
      </c>
      <c r="U280" s="120"/>
      <c r="V280" s="118"/>
      <c r="W280" s="131"/>
    </row>
    <row r="281" spans="1:23" ht="13.2">
      <c r="A281" s="102" t="s">
        <v>316</v>
      </c>
      <c r="B281" s="102"/>
      <c r="C281" s="104">
        <v>3</v>
      </c>
      <c r="D281" s="105" t="s">
        <v>357</v>
      </c>
      <c r="E281" s="106">
        <v>0.67</v>
      </c>
      <c r="F281" s="107">
        <v>0.1</v>
      </c>
      <c r="G281" s="108">
        <v>0.1</v>
      </c>
      <c r="H281" s="121" t="s">
        <v>55</v>
      </c>
      <c r="I281" s="110">
        <v>0.76900000000000002</v>
      </c>
      <c r="J281" s="110">
        <v>0.75</v>
      </c>
      <c r="K281" s="119">
        <v>0.73199999999999998</v>
      </c>
      <c r="L281" s="111">
        <f t="shared" si="36"/>
        <v>9.8999999999999977E-2</v>
      </c>
      <c r="M281" s="112">
        <f t="shared" si="36"/>
        <v>7.999999999999996E-2</v>
      </c>
      <c r="N281" s="112">
        <f t="shared" si="36"/>
        <v>6.1999999999999944E-2</v>
      </c>
      <c r="O281" s="112">
        <f t="shared" si="37"/>
        <v>0.75033333333333341</v>
      </c>
      <c r="P281" s="113">
        <f t="shared" si="38"/>
        <v>0.98999999999999977</v>
      </c>
      <c r="Q281" s="114">
        <f t="shared" si="39"/>
        <v>0</v>
      </c>
      <c r="R281" s="115" t="str">
        <f t="shared" si="40"/>
        <v>Alert</v>
      </c>
      <c r="S281" s="115" t="str">
        <f t="shared" si="41"/>
        <v xml:space="preserve"> </v>
      </c>
      <c r="T281" s="116" t="str">
        <f t="shared" si="42"/>
        <v>Alert</v>
      </c>
      <c r="U281" s="120"/>
      <c r="V281" s="118"/>
      <c r="W281" s="131"/>
    </row>
    <row r="282" spans="1:23" ht="13.2">
      <c r="A282" s="102" t="s">
        <v>317</v>
      </c>
      <c r="B282" s="103"/>
      <c r="C282" s="104">
        <v>3</v>
      </c>
      <c r="D282" s="105" t="s">
        <v>357</v>
      </c>
      <c r="E282" s="106">
        <v>0.67</v>
      </c>
      <c r="F282" s="107">
        <v>0.1</v>
      </c>
      <c r="G282" s="108">
        <v>0.1</v>
      </c>
      <c r="H282" s="121" t="s">
        <v>55</v>
      </c>
      <c r="I282" s="110">
        <v>0.76500000000000001</v>
      </c>
      <c r="J282" s="110">
        <v>0.75800000000000001</v>
      </c>
      <c r="K282" s="119">
        <v>0.76400000000000001</v>
      </c>
      <c r="L282" s="111">
        <f t="shared" si="36"/>
        <v>9.4999999999999973E-2</v>
      </c>
      <c r="M282" s="112">
        <f t="shared" si="36"/>
        <v>8.7999999999999967E-2</v>
      </c>
      <c r="N282" s="112">
        <f t="shared" si="36"/>
        <v>9.3999999999999972E-2</v>
      </c>
      <c r="O282" s="112">
        <f t="shared" si="37"/>
        <v>0.76233333333333331</v>
      </c>
      <c r="P282" s="113">
        <f t="shared" si="38"/>
        <v>0.94999999999999973</v>
      </c>
      <c r="Q282" s="114">
        <f t="shared" si="39"/>
        <v>0</v>
      </c>
      <c r="R282" s="115" t="str">
        <f t="shared" si="40"/>
        <v>Alert</v>
      </c>
      <c r="S282" s="115" t="str">
        <f t="shared" si="41"/>
        <v xml:space="preserve"> </v>
      </c>
      <c r="T282" s="116" t="str">
        <f t="shared" si="42"/>
        <v>Alert</v>
      </c>
      <c r="U282" s="120"/>
      <c r="V282" s="118"/>
      <c r="W282" s="131"/>
    </row>
    <row r="283" spans="1:23" ht="13.2">
      <c r="A283" s="102" t="s">
        <v>318</v>
      </c>
      <c r="B283" s="103"/>
      <c r="C283" s="104">
        <v>3</v>
      </c>
      <c r="D283" s="105" t="s">
        <v>357</v>
      </c>
      <c r="E283" s="106">
        <v>0.67</v>
      </c>
      <c r="F283" s="107">
        <v>0.1</v>
      </c>
      <c r="G283" s="108">
        <v>0.1</v>
      </c>
      <c r="H283" s="121" t="s">
        <v>55</v>
      </c>
      <c r="I283" s="110">
        <v>0.76300000000000001</v>
      </c>
      <c r="J283" s="110">
        <v>0.753</v>
      </c>
      <c r="K283" s="119">
        <v>0.74099999999999999</v>
      </c>
      <c r="L283" s="111">
        <f t="shared" si="36"/>
        <v>9.2999999999999972E-2</v>
      </c>
      <c r="M283" s="112">
        <f t="shared" si="36"/>
        <v>8.2999999999999963E-2</v>
      </c>
      <c r="N283" s="112">
        <f t="shared" si="36"/>
        <v>7.0999999999999952E-2</v>
      </c>
      <c r="O283" s="112">
        <f t="shared" si="37"/>
        <v>0.75233333333333341</v>
      </c>
      <c r="P283" s="113">
        <f t="shared" si="38"/>
        <v>0.92999999999999972</v>
      </c>
      <c r="Q283" s="114">
        <f t="shared" si="39"/>
        <v>0</v>
      </c>
      <c r="R283" s="115" t="str">
        <f t="shared" si="40"/>
        <v>Alert</v>
      </c>
      <c r="S283" s="115" t="str">
        <f t="shared" si="41"/>
        <v xml:space="preserve"> </v>
      </c>
      <c r="T283" s="116" t="str">
        <f t="shared" si="42"/>
        <v>Alert</v>
      </c>
      <c r="U283" s="120"/>
      <c r="V283" s="118"/>
      <c r="W283" s="131"/>
    </row>
    <row r="284" spans="1:23" ht="13.2">
      <c r="A284" s="102" t="s">
        <v>319</v>
      </c>
      <c r="B284" s="103"/>
      <c r="C284" s="104">
        <v>3</v>
      </c>
      <c r="D284" s="105" t="s">
        <v>357</v>
      </c>
      <c r="E284" s="106">
        <v>0.67</v>
      </c>
      <c r="F284" s="107">
        <v>0.1</v>
      </c>
      <c r="G284" s="108">
        <v>0.1</v>
      </c>
      <c r="H284" s="121" t="s">
        <v>55</v>
      </c>
      <c r="I284" s="110">
        <v>0.76400000000000001</v>
      </c>
      <c r="J284" s="110">
        <v>0.752</v>
      </c>
      <c r="K284" s="119">
        <v>0.75</v>
      </c>
      <c r="L284" s="111">
        <f t="shared" si="36"/>
        <v>9.3999999999999972E-2</v>
      </c>
      <c r="M284" s="112">
        <f t="shared" si="36"/>
        <v>8.1999999999999962E-2</v>
      </c>
      <c r="N284" s="112">
        <f t="shared" si="36"/>
        <v>7.999999999999996E-2</v>
      </c>
      <c r="O284" s="112">
        <f t="shared" si="37"/>
        <v>0.7553333333333333</v>
      </c>
      <c r="P284" s="113">
        <f t="shared" si="38"/>
        <v>0.93999999999999972</v>
      </c>
      <c r="Q284" s="114">
        <f t="shared" si="39"/>
        <v>0</v>
      </c>
      <c r="R284" s="115" t="str">
        <f t="shared" si="40"/>
        <v>Alert</v>
      </c>
      <c r="S284" s="115" t="str">
        <f t="shared" si="41"/>
        <v xml:space="preserve"> </v>
      </c>
      <c r="T284" s="116" t="str">
        <f t="shared" si="42"/>
        <v>Alert</v>
      </c>
      <c r="U284" s="120"/>
      <c r="V284" s="118"/>
      <c r="W284" s="131"/>
    </row>
    <row r="285" spans="1:23" ht="13.2">
      <c r="A285" s="102" t="s">
        <v>320</v>
      </c>
      <c r="B285" s="102"/>
      <c r="C285" s="104">
        <v>3</v>
      </c>
      <c r="D285" s="105" t="s">
        <v>357</v>
      </c>
      <c r="E285" s="106">
        <v>0.67</v>
      </c>
      <c r="F285" s="107">
        <v>0.1</v>
      </c>
      <c r="G285" s="108">
        <v>0.1</v>
      </c>
      <c r="H285" s="121" t="s">
        <v>55</v>
      </c>
      <c r="I285" s="110">
        <v>0.75900000000000001</v>
      </c>
      <c r="J285" s="110">
        <v>0.754</v>
      </c>
      <c r="K285" s="119">
        <v>0.755</v>
      </c>
      <c r="L285" s="111">
        <f t="shared" ref="L285:N348" si="43">IF(ISBLANK($E285),"",IF(ISERR(I285/I285)=TRUE,"BAD INSP",I285-$E285))</f>
        <v>8.8999999999999968E-2</v>
      </c>
      <c r="M285" s="112">
        <f t="shared" si="43"/>
        <v>8.3999999999999964E-2</v>
      </c>
      <c r="N285" s="112">
        <f t="shared" si="43"/>
        <v>8.4999999999999964E-2</v>
      </c>
      <c r="O285" s="112">
        <f t="shared" si="37"/>
        <v>0.75599999999999989</v>
      </c>
      <c r="P285" s="113">
        <f t="shared" si="38"/>
        <v>0.88999999999999968</v>
      </c>
      <c r="Q285" s="114">
        <f t="shared" si="39"/>
        <v>0</v>
      </c>
      <c r="R285" s="115" t="str">
        <f t="shared" si="40"/>
        <v>Alert</v>
      </c>
      <c r="S285" s="115" t="str">
        <f t="shared" si="41"/>
        <v xml:space="preserve"> </v>
      </c>
      <c r="T285" s="116" t="str">
        <f t="shared" si="42"/>
        <v>Alert</v>
      </c>
      <c r="U285" s="120"/>
      <c r="V285" s="118"/>
      <c r="W285" s="131"/>
    </row>
    <row r="286" spans="1:23" ht="13.2">
      <c r="A286" s="102" t="s">
        <v>321</v>
      </c>
      <c r="B286" s="102"/>
      <c r="C286" s="104">
        <v>3</v>
      </c>
      <c r="D286" s="105" t="s">
        <v>357</v>
      </c>
      <c r="E286" s="106">
        <v>0.67</v>
      </c>
      <c r="F286" s="107">
        <v>0.1</v>
      </c>
      <c r="G286" s="108">
        <v>0.1</v>
      </c>
      <c r="H286" s="121" t="s">
        <v>55</v>
      </c>
      <c r="I286" s="110">
        <v>0.76</v>
      </c>
      <c r="J286" s="110">
        <v>0.76</v>
      </c>
      <c r="K286" s="119">
        <v>0.75900000000000001</v>
      </c>
      <c r="L286" s="111">
        <f t="shared" si="43"/>
        <v>8.9999999999999969E-2</v>
      </c>
      <c r="M286" s="112">
        <f t="shared" si="43"/>
        <v>8.9999999999999969E-2</v>
      </c>
      <c r="N286" s="112">
        <f t="shared" si="43"/>
        <v>8.8999999999999968E-2</v>
      </c>
      <c r="O286" s="112">
        <f t="shared" si="37"/>
        <v>0.7596666666666666</v>
      </c>
      <c r="P286" s="113">
        <f t="shared" si="38"/>
        <v>0.89999999999999969</v>
      </c>
      <c r="Q286" s="114">
        <f t="shared" si="39"/>
        <v>0</v>
      </c>
      <c r="R286" s="115" t="str">
        <f t="shared" si="40"/>
        <v>Alert</v>
      </c>
      <c r="S286" s="115" t="str">
        <f t="shared" si="41"/>
        <v xml:space="preserve"> </v>
      </c>
      <c r="T286" s="116" t="str">
        <f t="shared" si="42"/>
        <v>Alert</v>
      </c>
      <c r="U286" s="120"/>
      <c r="V286" s="118"/>
      <c r="W286" s="131"/>
    </row>
    <row r="287" spans="1:23" ht="13.2">
      <c r="A287" s="102" t="s">
        <v>322</v>
      </c>
      <c r="B287" s="102"/>
      <c r="C287" s="104">
        <v>3</v>
      </c>
      <c r="D287" s="105" t="s">
        <v>357</v>
      </c>
      <c r="E287" s="106">
        <v>0.67</v>
      </c>
      <c r="F287" s="107">
        <v>0.1</v>
      </c>
      <c r="G287" s="108">
        <v>0.1</v>
      </c>
      <c r="H287" s="121" t="s">
        <v>55</v>
      </c>
      <c r="I287" s="110">
        <v>0.75900000000000001</v>
      </c>
      <c r="J287" s="110">
        <v>0.748</v>
      </c>
      <c r="K287" s="119">
        <v>0.752</v>
      </c>
      <c r="L287" s="111">
        <f t="shared" si="43"/>
        <v>8.8999999999999968E-2</v>
      </c>
      <c r="M287" s="112">
        <f t="shared" si="43"/>
        <v>7.7999999999999958E-2</v>
      </c>
      <c r="N287" s="112">
        <f t="shared" si="43"/>
        <v>8.1999999999999962E-2</v>
      </c>
      <c r="O287" s="112">
        <f t="shared" si="37"/>
        <v>0.75300000000000011</v>
      </c>
      <c r="P287" s="113">
        <f t="shared" si="38"/>
        <v>0.88999999999999968</v>
      </c>
      <c r="Q287" s="114">
        <f t="shared" si="39"/>
        <v>0</v>
      </c>
      <c r="R287" s="115" t="str">
        <f t="shared" si="40"/>
        <v>Alert</v>
      </c>
      <c r="S287" s="115" t="str">
        <f t="shared" si="41"/>
        <v xml:space="preserve"> </v>
      </c>
      <c r="T287" s="116" t="str">
        <f t="shared" si="42"/>
        <v>Alert</v>
      </c>
      <c r="U287" s="120"/>
      <c r="V287" s="118"/>
      <c r="W287" s="131"/>
    </row>
    <row r="288" spans="1:23" ht="13.2">
      <c r="A288" s="102" t="s">
        <v>323</v>
      </c>
      <c r="B288" s="102"/>
      <c r="C288" s="104">
        <v>3</v>
      </c>
      <c r="D288" s="105" t="s">
        <v>357</v>
      </c>
      <c r="E288" s="106">
        <v>0.67</v>
      </c>
      <c r="F288" s="107">
        <v>0.1</v>
      </c>
      <c r="G288" s="108">
        <v>0.1</v>
      </c>
      <c r="H288" s="121" t="s">
        <v>55</v>
      </c>
      <c r="I288" s="110">
        <v>0.76100000000000001</v>
      </c>
      <c r="J288" s="110">
        <v>0.748</v>
      </c>
      <c r="K288" s="119">
        <v>0.753</v>
      </c>
      <c r="L288" s="111">
        <f t="shared" si="43"/>
        <v>9.099999999999997E-2</v>
      </c>
      <c r="M288" s="112">
        <f t="shared" si="43"/>
        <v>7.7999999999999958E-2</v>
      </c>
      <c r="N288" s="112">
        <f t="shared" si="43"/>
        <v>8.2999999999999963E-2</v>
      </c>
      <c r="O288" s="112">
        <f t="shared" si="37"/>
        <v>0.754</v>
      </c>
      <c r="P288" s="113">
        <f t="shared" si="38"/>
        <v>0.9099999999999997</v>
      </c>
      <c r="Q288" s="114">
        <f t="shared" si="39"/>
        <v>0</v>
      </c>
      <c r="R288" s="115" t="str">
        <f t="shared" si="40"/>
        <v>Alert</v>
      </c>
      <c r="S288" s="115" t="str">
        <f t="shared" si="41"/>
        <v xml:space="preserve"> </v>
      </c>
      <c r="T288" s="116" t="str">
        <f t="shared" si="42"/>
        <v>Alert</v>
      </c>
      <c r="U288" s="120"/>
      <c r="V288" s="118"/>
      <c r="W288" s="131"/>
    </row>
    <row r="289" spans="1:23" ht="13.2">
      <c r="A289" s="102" t="s">
        <v>324</v>
      </c>
      <c r="B289" s="102"/>
      <c r="C289" s="104">
        <v>3</v>
      </c>
      <c r="D289" s="105" t="s">
        <v>357</v>
      </c>
      <c r="E289" s="106">
        <v>0.67</v>
      </c>
      <c r="F289" s="107">
        <v>0.1</v>
      </c>
      <c r="G289" s="108">
        <v>0.1</v>
      </c>
      <c r="H289" s="121" t="s">
        <v>55</v>
      </c>
      <c r="I289" s="110">
        <v>0.76300000000000001</v>
      </c>
      <c r="J289" s="110">
        <v>0.74299999999999999</v>
      </c>
      <c r="K289" s="119">
        <v>0.76700000000000002</v>
      </c>
      <c r="L289" s="111">
        <f t="shared" si="43"/>
        <v>9.2999999999999972E-2</v>
      </c>
      <c r="M289" s="112">
        <f t="shared" si="43"/>
        <v>7.2999999999999954E-2</v>
      </c>
      <c r="N289" s="112">
        <f t="shared" si="43"/>
        <v>9.6999999999999975E-2</v>
      </c>
      <c r="O289" s="112">
        <f t="shared" si="37"/>
        <v>0.75766666666666671</v>
      </c>
      <c r="P289" s="113">
        <f t="shared" si="38"/>
        <v>0.96999999999999975</v>
      </c>
      <c r="Q289" s="114">
        <f t="shared" si="39"/>
        <v>0</v>
      </c>
      <c r="R289" s="115" t="str">
        <f t="shared" si="40"/>
        <v>Alert</v>
      </c>
      <c r="S289" s="115" t="str">
        <f t="shared" si="41"/>
        <v xml:space="preserve"> </v>
      </c>
      <c r="T289" s="116" t="str">
        <f t="shared" si="42"/>
        <v>Alert</v>
      </c>
      <c r="U289" s="120"/>
      <c r="V289" s="118"/>
      <c r="W289" s="131"/>
    </row>
    <row r="290" spans="1:23" ht="13.2">
      <c r="A290" s="102" t="s">
        <v>325</v>
      </c>
      <c r="B290" s="102"/>
      <c r="C290" s="104">
        <v>3</v>
      </c>
      <c r="D290" s="105" t="s">
        <v>357</v>
      </c>
      <c r="E290" s="106">
        <v>0.67</v>
      </c>
      <c r="F290" s="107">
        <v>0.1</v>
      </c>
      <c r="G290" s="108">
        <v>0.1</v>
      </c>
      <c r="H290" s="121" t="s">
        <v>55</v>
      </c>
      <c r="I290" s="110">
        <v>0.745</v>
      </c>
      <c r="J290" s="110">
        <v>0.746</v>
      </c>
      <c r="K290" s="119">
        <v>0.753</v>
      </c>
      <c r="L290" s="111">
        <f t="shared" si="43"/>
        <v>7.4999999999999956E-2</v>
      </c>
      <c r="M290" s="112">
        <f t="shared" si="43"/>
        <v>7.5999999999999956E-2</v>
      </c>
      <c r="N290" s="112">
        <f t="shared" si="43"/>
        <v>8.2999999999999963E-2</v>
      </c>
      <c r="O290" s="112">
        <f t="shared" si="37"/>
        <v>0.74800000000000011</v>
      </c>
      <c r="P290" s="113">
        <f t="shared" si="38"/>
        <v>0.82999999999999963</v>
      </c>
      <c r="Q290" s="114">
        <f t="shared" si="39"/>
        <v>0</v>
      </c>
      <c r="R290" s="115" t="str">
        <f t="shared" si="40"/>
        <v>Alert</v>
      </c>
      <c r="S290" s="115" t="str">
        <f t="shared" si="41"/>
        <v xml:space="preserve"> </v>
      </c>
      <c r="T290" s="116" t="str">
        <f t="shared" si="42"/>
        <v>Alert</v>
      </c>
      <c r="U290" s="120"/>
      <c r="V290" s="118"/>
      <c r="W290" s="131"/>
    </row>
    <row r="291" spans="1:23" ht="13.2">
      <c r="A291" s="102" t="s">
        <v>326</v>
      </c>
      <c r="B291" s="102"/>
      <c r="C291" s="104">
        <v>3</v>
      </c>
      <c r="D291" s="105" t="s">
        <v>357</v>
      </c>
      <c r="E291" s="106">
        <v>0.67</v>
      </c>
      <c r="F291" s="107">
        <v>0.1</v>
      </c>
      <c r="G291" s="108">
        <v>0.1</v>
      </c>
      <c r="H291" s="121" t="s">
        <v>55</v>
      </c>
      <c r="I291" s="110">
        <v>0.753</v>
      </c>
      <c r="J291" s="110">
        <v>0.75700000000000001</v>
      </c>
      <c r="K291" s="119">
        <v>0.76100000000000001</v>
      </c>
      <c r="L291" s="111">
        <f t="shared" si="43"/>
        <v>8.2999999999999963E-2</v>
      </c>
      <c r="M291" s="112">
        <f t="shared" si="43"/>
        <v>8.6999999999999966E-2</v>
      </c>
      <c r="N291" s="112">
        <f t="shared" si="43"/>
        <v>9.099999999999997E-2</v>
      </c>
      <c r="O291" s="112">
        <f t="shared" si="37"/>
        <v>0.75700000000000001</v>
      </c>
      <c r="P291" s="113">
        <f t="shared" si="38"/>
        <v>0.9099999999999997</v>
      </c>
      <c r="Q291" s="114">
        <f t="shared" si="39"/>
        <v>0</v>
      </c>
      <c r="R291" s="115" t="str">
        <f t="shared" si="40"/>
        <v>Alert</v>
      </c>
      <c r="S291" s="115" t="str">
        <f t="shared" si="41"/>
        <v xml:space="preserve"> </v>
      </c>
      <c r="T291" s="116" t="str">
        <f t="shared" si="42"/>
        <v>Alert</v>
      </c>
      <c r="U291" s="120"/>
      <c r="V291" s="118"/>
      <c r="W291" s="131"/>
    </row>
    <row r="292" spans="1:23" ht="13.2">
      <c r="A292" s="102" t="s">
        <v>327</v>
      </c>
      <c r="B292" s="102"/>
      <c r="C292" s="104">
        <v>3</v>
      </c>
      <c r="D292" s="105" t="s">
        <v>357</v>
      </c>
      <c r="E292" s="106">
        <v>0.67</v>
      </c>
      <c r="F292" s="107">
        <v>0.1</v>
      </c>
      <c r="G292" s="108">
        <v>0.1</v>
      </c>
      <c r="H292" s="121" t="s">
        <v>55</v>
      </c>
      <c r="I292" s="110">
        <v>0.755</v>
      </c>
      <c r="J292" s="110">
        <v>0.74399999999999999</v>
      </c>
      <c r="K292" s="119">
        <v>0.754</v>
      </c>
      <c r="L292" s="111">
        <f t="shared" si="43"/>
        <v>8.4999999999999964E-2</v>
      </c>
      <c r="M292" s="112">
        <f t="shared" si="43"/>
        <v>7.3999999999999955E-2</v>
      </c>
      <c r="N292" s="112">
        <f t="shared" si="43"/>
        <v>8.3999999999999964E-2</v>
      </c>
      <c r="O292" s="112">
        <f t="shared" si="37"/>
        <v>0.751</v>
      </c>
      <c r="P292" s="113">
        <f t="shared" si="38"/>
        <v>0.84999999999999964</v>
      </c>
      <c r="Q292" s="114">
        <f t="shared" si="39"/>
        <v>0</v>
      </c>
      <c r="R292" s="115" t="str">
        <f t="shared" si="40"/>
        <v>Alert</v>
      </c>
      <c r="S292" s="115" t="str">
        <f t="shared" si="41"/>
        <v xml:space="preserve"> </v>
      </c>
      <c r="T292" s="116" t="str">
        <f t="shared" si="42"/>
        <v>Alert</v>
      </c>
      <c r="U292" s="120"/>
      <c r="V292" s="118"/>
      <c r="W292" s="131"/>
    </row>
    <row r="293" spans="1:23" ht="13.2">
      <c r="A293" s="102" t="s">
        <v>328</v>
      </c>
      <c r="B293" s="102"/>
      <c r="C293" s="104">
        <v>3</v>
      </c>
      <c r="D293" s="105" t="s">
        <v>357</v>
      </c>
      <c r="E293" s="106">
        <v>0.67</v>
      </c>
      <c r="F293" s="107">
        <v>0.1</v>
      </c>
      <c r="G293" s="108">
        <v>0.1</v>
      </c>
      <c r="H293" s="121" t="s">
        <v>55</v>
      </c>
      <c r="I293" s="110">
        <v>0.76600000000000001</v>
      </c>
      <c r="J293" s="110">
        <v>0.748</v>
      </c>
      <c r="K293" s="119">
        <v>0.75900000000000001</v>
      </c>
      <c r="L293" s="111">
        <f t="shared" si="43"/>
        <v>9.5999999999999974E-2</v>
      </c>
      <c r="M293" s="112">
        <f t="shared" si="43"/>
        <v>7.7999999999999958E-2</v>
      </c>
      <c r="N293" s="112">
        <f t="shared" si="43"/>
        <v>8.8999999999999968E-2</v>
      </c>
      <c r="O293" s="112">
        <f t="shared" si="37"/>
        <v>0.75766666666666671</v>
      </c>
      <c r="P293" s="113">
        <f t="shared" si="38"/>
        <v>0.95999999999999974</v>
      </c>
      <c r="Q293" s="114">
        <f t="shared" si="39"/>
        <v>0</v>
      </c>
      <c r="R293" s="115" t="str">
        <f t="shared" si="40"/>
        <v>Alert</v>
      </c>
      <c r="S293" s="115" t="str">
        <f t="shared" si="41"/>
        <v xml:space="preserve"> </v>
      </c>
      <c r="T293" s="116" t="str">
        <f t="shared" si="42"/>
        <v>Alert</v>
      </c>
      <c r="U293" s="120"/>
      <c r="V293" s="118"/>
      <c r="W293" s="131"/>
    </row>
    <row r="294" spans="1:23" ht="13.2">
      <c r="A294" s="102" t="s">
        <v>329</v>
      </c>
      <c r="B294" s="102"/>
      <c r="C294" s="104">
        <v>3</v>
      </c>
      <c r="D294" s="105" t="s">
        <v>357</v>
      </c>
      <c r="E294" s="106">
        <v>0.67</v>
      </c>
      <c r="F294" s="107">
        <v>0.1</v>
      </c>
      <c r="G294" s="108">
        <v>0.1</v>
      </c>
      <c r="H294" s="121" t="s">
        <v>55</v>
      </c>
      <c r="I294" s="110">
        <v>0.76400000000000001</v>
      </c>
      <c r="J294" s="110">
        <v>0.74399999999999999</v>
      </c>
      <c r="K294" s="119">
        <v>0.755</v>
      </c>
      <c r="L294" s="111">
        <f t="shared" si="43"/>
        <v>9.3999999999999972E-2</v>
      </c>
      <c r="M294" s="112">
        <f t="shared" si="43"/>
        <v>7.3999999999999955E-2</v>
      </c>
      <c r="N294" s="112">
        <f t="shared" si="43"/>
        <v>8.4999999999999964E-2</v>
      </c>
      <c r="O294" s="112">
        <f t="shared" si="37"/>
        <v>0.7543333333333333</v>
      </c>
      <c r="P294" s="113">
        <f t="shared" si="38"/>
        <v>0.93999999999999972</v>
      </c>
      <c r="Q294" s="114">
        <f t="shared" si="39"/>
        <v>0</v>
      </c>
      <c r="R294" s="115" t="str">
        <f t="shared" si="40"/>
        <v>Alert</v>
      </c>
      <c r="S294" s="115" t="str">
        <f t="shared" si="41"/>
        <v xml:space="preserve"> </v>
      </c>
      <c r="T294" s="116" t="str">
        <f t="shared" si="42"/>
        <v>Alert</v>
      </c>
      <c r="U294" s="120"/>
      <c r="V294" s="118"/>
      <c r="W294" s="131"/>
    </row>
    <row r="295" spans="1:23" ht="13.2">
      <c r="A295" s="102" t="s">
        <v>330</v>
      </c>
      <c r="B295" s="102"/>
      <c r="C295" s="104">
        <v>3</v>
      </c>
      <c r="D295" s="105" t="s">
        <v>357</v>
      </c>
      <c r="E295" s="106">
        <v>0.67</v>
      </c>
      <c r="F295" s="107">
        <v>0.1</v>
      </c>
      <c r="G295" s="108">
        <v>0.1</v>
      </c>
      <c r="H295" s="121" t="s">
        <v>55</v>
      </c>
      <c r="I295" s="110">
        <v>0.75700000000000001</v>
      </c>
      <c r="J295" s="110">
        <v>0.75</v>
      </c>
      <c r="K295" s="119">
        <v>0.76300000000000001</v>
      </c>
      <c r="L295" s="111">
        <f t="shared" si="43"/>
        <v>8.6999999999999966E-2</v>
      </c>
      <c r="M295" s="112">
        <f t="shared" si="43"/>
        <v>7.999999999999996E-2</v>
      </c>
      <c r="N295" s="112">
        <f t="shared" si="43"/>
        <v>9.2999999999999972E-2</v>
      </c>
      <c r="O295" s="112">
        <f t="shared" si="37"/>
        <v>0.75666666666666671</v>
      </c>
      <c r="P295" s="113">
        <f t="shared" si="38"/>
        <v>0.92999999999999972</v>
      </c>
      <c r="Q295" s="114">
        <f t="shared" si="39"/>
        <v>0</v>
      </c>
      <c r="R295" s="115" t="str">
        <f t="shared" si="40"/>
        <v>Alert</v>
      </c>
      <c r="S295" s="115" t="str">
        <f t="shared" si="41"/>
        <v xml:space="preserve"> </v>
      </c>
      <c r="T295" s="116" t="str">
        <f t="shared" si="42"/>
        <v>Alert</v>
      </c>
      <c r="U295" s="120"/>
      <c r="V295" s="118"/>
      <c r="W295" s="131"/>
    </row>
    <row r="296" spans="1:23" ht="13.2">
      <c r="A296" s="102" t="s">
        <v>331</v>
      </c>
      <c r="B296" s="102"/>
      <c r="C296" s="104">
        <v>3</v>
      </c>
      <c r="D296" s="105" t="s">
        <v>357</v>
      </c>
      <c r="E296" s="106">
        <v>0.67</v>
      </c>
      <c r="F296" s="107">
        <v>0.1</v>
      </c>
      <c r="G296" s="108">
        <v>0.1</v>
      </c>
      <c r="H296" s="121" t="s">
        <v>55</v>
      </c>
      <c r="I296" s="110">
        <v>0.75900000000000001</v>
      </c>
      <c r="J296" s="110">
        <v>0.752</v>
      </c>
      <c r="K296" s="119">
        <v>0.754</v>
      </c>
      <c r="L296" s="111">
        <f t="shared" si="43"/>
        <v>8.8999999999999968E-2</v>
      </c>
      <c r="M296" s="112">
        <f t="shared" si="43"/>
        <v>8.1999999999999962E-2</v>
      </c>
      <c r="N296" s="112">
        <f t="shared" si="43"/>
        <v>8.3999999999999964E-2</v>
      </c>
      <c r="O296" s="112">
        <f t="shared" si="37"/>
        <v>0.755</v>
      </c>
      <c r="P296" s="113">
        <f t="shared" si="38"/>
        <v>0.88999999999999968</v>
      </c>
      <c r="Q296" s="114">
        <f t="shared" si="39"/>
        <v>0</v>
      </c>
      <c r="R296" s="115" t="str">
        <f t="shared" si="40"/>
        <v>Alert</v>
      </c>
      <c r="S296" s="115" t="str">
        <f t="shared" si="41"/>
        <v xml:space="preserve"> </v>
      </c>
      <c r="T296" s="116" t="str">
        <f t="shared" si="42"/>
        <v>Alert</v>
      </c>
      <c r="U296" s="120"/>
      <c r="V296" s="118"/>
      <c r="W296" s="131"/>
    </row>
    <row r="297" spans="1:23" ht="13.2">
      <c r="A297" s="102" t="s">
        <v>332</v>
      </c>
      <c r="B297" s="103"/>
      <c r="C297" s="104">
        <v>3</v>
      </c>
      <c r="D297" s="105" t="s">
        <v>357</v>
      </c>
      <c r="E297" s="106">
        <v>0.67</v>
      </c>
      <c r="F297" s="107">
        <v>0.1</v>
      </c>
      <c r="G297" s="108">
        <v>0.1</v>
      </c>
      <c r="H297" s="121" t="s">
        <v>55</v>
      </c>
      <c r="I297" s="110">
        <v>0.76</v>
      </c>
      <c r="J297" s="110">
        <v>0.76300000000000001</v>
      </c>
      <c r="K297" s="119">
        <v>0.75800000000000001</v>
      </c>
      <c r="L297" s="111">
        <f t="shared" si="43"/>
        <v>8.9999999999999969E-2</v>
      </c>
      <c r="M297" s="112">
        <f t="shared" si="43"/>
        <v>9.2999999999999972E-2</v>
      </c>
      <c r="N297" s="112">
        <f t="shared" si="43"/>
        <v>8.7999999999999967E-2</v>
      </c>
      <c r="O297" s="112">
        <f t="shared" si="37"/>
        <v>0.76033333333333342</v>
      </c>
      <c r="P297" s="113">
        <f t="shared" si="38"/>
        <v>0.92999999999999972</v>
      </c>
      <c r="Q297" s="114">
        <f t="shared" si="39"/>
        <v>0</v>
      </c>
      <c r="R297" s="115" t="str">
        <f t="shared" si="40"/>
        <v>Alert</v>
      </c>
      <c r="S297" s="115" t="str">
        <f t="shared" si="41"/>
        <v xml:space="preserve"> </v>
      </c>
      <c r="T297" s="116" t="str">
        <f t="shared" si="42"/>
        <v>Alert</v>
      </c>
      <c r="U297" s="120"/>
      <c r="V297" s="118"/>
      <c r="W297" s="131"/>
    </row>
    <row r="298" spans="1:23" ht="13.2">
      <c r="A298" s="102" t="s">
        <v>333</v>
      </c>
      <c r="B298" s="103"/>
      <c r="C298" s="104">
        <v>3</v>
      </c>
      <c r="D298" s="105" t="s">
        <v>357</v>
      </c>
      <c r="E298" s="106">
        <v>0.67</v>
      </c>
      <c r="F298" s="107">
        <v>0.1</v>
      </c>
      <c r="G298" s="108">
        <v>0.1</v>
      </c>
      <c r="H298" s="121" t="s">
        <v>55</v>
      </c>
      <c r="I298" s="110">
        <v>0.76900000000000002</v>
      </c>
      <c r="J298" s="110">
        <v>0.75800000000000001</v>
      </c>
      <c r="K298" s="119">
        <v>0.76200000000000001</v>
      </c>
      <c r="L298" s="111">
        <f t="shared" si="43"/>
        <v>9.8999999999999977E-2</v>
      </c>
      <c r="M298" s="112">
        <f t="shared" si="43"/>
        <v>8.7999999999999967E-2</v>
      </c>
      <c r="N298" s="112">
        <f t="shared" si="43"/>
        <v>9.1999999999999971E-2</v>
      </c>
      <c r="O298" s="112">
        <f t="shared" si="37"/>
        <v>0.76300000000000001</v>
      </c>
      <c r="P298" s="113">
        <f t="shared" si="38"/>
        <v>0.98999999999999977</v>
      </c>
      <c r="Q298" s="114">
        <f t="shared" si="39"/>
        <v>0</v>
      </c>
      <c r="R298" s="115" t="str">
        <f t="shared" si="40"/>
        <v>Alert</v>
      </c>
      <c r="S298" s="115" t="str">
        <f t="shared" si="41"/>
        <v xml:space="preserve"> </v>
      </c>
      <c r="T298" s="116" t="str">
        <f t="shared" si="42"/>
        <v>Alert</v>
      </c>
      <c r="U298" s="120"/>
      <c r="V298" s="118"/>
      <c r="W298" s="131"/>
    </row>
    <row r="299" spans="1:23" ht="13.2">
      <c r="A299" s="102" t="s">
        <v>334</v>
      </c>
      <c r="B299" s="103"/>
      <c r="C299" s="104">
        <v>3</v>
      </c>
      <c r="D299" s="105" t="s">
        <v>357</v>
      </c>
      <c r="E299" s="106">
        <v>0.67</v>
      </c>
      <c r="F299" s="107">
        <v>0.1</v>
      </c>
      <c r="G299" s="108">
        <v>0.1</v>
      </c>
      <c r="H299" s="121" t="s">
        <v>55</v>
      </c>
      <c r="I299" s="110">
        <v>0.75900000000000001</v>
      </c>
      <c r="J299" s="110">
        <v>0.75600000000000001</v>
      </c>
      <c r="K299" s="119">
        <v>0.753</v>
      </c>
      <c r="L299" s="111">
        <f t="shared" si="43"/>
        <v>8.8999999999999968E-2</v>
      </c>
      <c r="M299" s="112">
        <f t="shared" si="43"/>
        <v>8.5999999999999965E-2</v>
      </c>
      <c r="N299" s="112">
        <f t="shared" si="43"/>
        <v>8.2999999999999963E-2</v>
      </c>
      <c r="O299" s="112">
        <f t="shared" si="37"/>
        <v>0.75600000000000012</v>
      </c>
      <c r="P299" s="113">
        <f t="shared" si="38"/>
        <v>0.88999999999999968</v>
      </c>
      <c r="Q299" s="114">
        <f t="shared" si="39"/>
        <v>0</v>
      </c>
      <c r="R299" s="115" t="str">
        <f t="shared" si="40"/>
        <v>Alert</v>
      </c>
      <c r="S299" s="115" t="str">
        <f t="shared" si="41"/>
        <v xml:space="preserve"> </v>
      </c>
      <c r="T299" s="116" t="str">
        <f t="shared" si="42"/>
        <v>Alert</v>
      </c>
      <c r="U299" s="120"/>
      <c r="V299" s="118"/>
      <c r="W299" s="131"/>
    </row>
    <row r="300" spans="1:23" ht="13.2">
      <c r="A300" s="102" t="s">
        <v>335</v>
      </c>
      <c r="B300" s="102"/>
      <c r="C300" s="104">
        <v>3</v>
      </c>
      <c r="D300" s="105" t="s">
        <v>357</v>
      </c>
      <c r="E300" s="106">
        <v>0.67</v>
      </c>
      <c r="F300" s="107">
        <v>0.1</v>
      </c>
      <c r="G300" s="108">
        <v>0.1</v>
      </c>
      <c r="H300" s="121" t="s">
        <v>55</v>
      </c>
      <c r="I300" s="110">
        <v>0.76400000000000001</v>
      </c>
      <c r="J300" s="110">
        <v>0.76300000000000001</v>
      </c>
      <c r="K300" s="119">
        <v>0.748</v>
      </c>
      <c r="L300" s="111">
        <f t="shared" si="43"/>
        <v>9.3999999999999972E-2</v>
      </c>
      <c r="M300" s="112">
        <f t="shared" si="43"/>
        <v>9.2999999999999972E-2</v>
      </c>
      <c r="N300" s="112">
        <f t="shared" si="43"/>
        <v>7.7999999999999958E-2</v>
      </c>
      <c r="O300" s="112">
        <f t="shared" si="37"/>
        <v>0.75833333333333341</v>
      </c>
      <c r="P300" s="113">
        <f t="shared" si="38"/>
        <v>0.93999999999999972</v>
      </c>
      <c r="Q300" s="114">
        <f t="shared" si="39"/>
        <v>0</v>
      </c>
      <c r="R300" s="115" t="str">
        <f t="shared" si="40"/>
        <v>Alert</v>
      </c>
      <c r="S300" s="115" t="str">
        <f t="shared" si="41"/>
        <v xml:space="preserve"> </v>
      </c>
      <c r="T300" s="116" t="str">
        <f t="shared" si="42"/>
        <v>Alert</v>
      </c>
      <c r="U300" s="120"/>
      <c r="V300" s="118"/>
      <c r="W300" s="131"/>
    </row>
    <row r="301" spans="1:23" ht="13.2">
      <c r="A301" s="102" t="s">
        <v>336</v>
      </c>
      <c r="B301" s="102"/>
      <c r="C301" s="104">
        <v>3</v>
      </c>
      <c r="D301" s="105" t="s">
        <v>357</v>
      </c>
      <c r="E301" s="106">
        <v>0.67</v>
      </c>
      <c r="F301" s="107">
        <v>0.1</v>
      </c>
      <c r="G301" s="108">
        <v>0.1</v>
      </c>
      <c r="H301" s="121" t="s">
        <v>55</v>
      </c>
      <c r="I301" s="110">
        <v>0.76400000000000001</v>
      </c>
      <c r="J301" s="110">
        <v>0.754</v>
      </c>
      <c r="K301" s="119">
        <v>0.755</v>
      </c>
      <c r="L301" s="111">
        <f t="shared" si="43"/>
        <v>9.3999999999999972E-2</v>
      </c>
      <c r="M301" s="112">
        <f t="shared" si="43"/>
        <v>8.3999999999999964E-2</v>
      </c>
      <c r="N301" s="112">
        <f t="shared" si="43"/>
        <v>8.4999999999999964E-2</v>
      </c>
      <c r="O301" s="112">
        <f t="shared" si="37"/>
        <v>0.75766666666666671</v>
      </c>
      <c r="P301" s="113">
        <f t="shared" si="38"/>
        <v>0.93999999999999972</v>
      </c>
      <c r="Q301" s="114">
        <f t="shared" si="39"/>
        <v>0</v>
      </c>
      <c r="R301" s="115" t="str">
        <f t="shared" si="40"/>
        <v>Alert</v>
      </c>
      <c r="S301" s="115" t="str">
        <f t="shared" si="41"/>
        <v xml:space="preserve"> </v>
      </c>
      <c r="T301" s="116" t="str">
        <f t="shared" si="42"/>
        <v>Alert</v>
      </c>
      <c r="U301" s="120"/>
      <c r="V301" s="118"/>
      <c r="W301" s="131"/>
    </row>
    <row r="302" spans="1:23" ht="13.2">
      <c r="A302" s="102" t="s">
        <v>337</v>
      </c>
      <c r="B302" s="102"/>
      <c r="C302" s="104">
        <v>3</v>
      </c>
      <c r="D302" s="105" t="s">
        <v>357</v>
      </c>
      <c r="E302" s="106">
        <v>0.67</v>
      </c>
      <c r="F302" s="107">
        <v>0.1</v>
      </c>
      <c r="G302" s="108">
        <v>0.1</v>
      </c>
      <c r="H302" s="121" t="s">
        <v>55</v>
      </c>
      <c r="I302" s="110">
        <v>0.76100000000000001</v>
      </c>
      <c r="J302" s="110">
        <v>0.76</v>
      </c>
      <c r="K302" s="119">
        <v>0.76100000000000001</v>
      </c>
      <c r="L302" s="111">
        <f t="shared" si="43"/>
        <v>9.099999999999997E-2</v>
      </c>
      <c r="M302" s="112">
        <f t="shared" si="43"/>
        <v>8.9999999999999969E-2</v>
      </c>
      <c r="N302" s="112">
        <f t="shared" si="43"/>
        <v>9.099999999999997E-2</v>
      </c>
      <c r="O302" s="112">
        <f t="shared" si="37"/>
        <v>0.76066666666666671</v>
      </c>
      <c r="P302" s="113">
        <f t="shared" si="38"/>
        <v>0.9099999999999997</v>
      </c>
      <c r="Q302" s="114">
        <f t="shared" si="39"/>
        <v>0</v>
      </c>
      <c r="R302" s="115" t="str">
        <f t="shared" si="40"/>
        <v>Alert</v>
      </c>
      <c r="S302" s="115" t="str">
        <f t="shared" si="41"/>
        <v xml:space="preserve"> </v>
      </c>
      <c r="T302" s="116" t="str">
        <f t="shared" si="42"/>
        <v>Alert</v>
      </c>
      <c r="U302" s="120"/>
      <c r="V302" s="118"/>
      <c r="W302" s="131"/>
    </row>
    <row r="303" spans="1:23" ht="13.2">
      <c r="A303" s="102" t="s">
        <v>338</v>
      </c>
      <c r="B303" s="102"/>
      <c r="C303" s="104">
        <v>3</v>
      </c>
      <c r="D303" s="105" t="s">
        <v>357</v>
      </c>
      <c r="E303" s="106">
        <v>0.67</v>
      </c>
      <c r="F303" s="107">
        <v>0.1</v>
      </c>
      <c r="G303" s="108">
        <v>0.1</v>
      </c>
      <c r="H303" s="121" t="s">
        <v>55</v>
      </c>
      <c r="I303" s="110">
        <v>0.76600000000000001</v>
      </c>
      <c r="J303" s="110">
        <v>0.753</v>
      </c>
      <c r="K303" s="119">
        <v>0.77</v>
      </c>
      <c r="L303" s="111">
        <f t="shared" si="43"/>
        <v>9.5999999999999974E-2</v>
      </c>
      <c r="M303" s="112">
        <f t="shared" si="43"/>
        <v>8.2999999999999963E-2</v>
      </c>
      <c r="N303" s="112">
        <f t="shared" si="43"/>
        <v>9.9999999999999978E-2</v>
      </c>
      <c r="O303" s="112">
        <f t="shared" si="37"/>
        <v>0.76300000000000001</v>
      </c>
      <c r="P303" s="113">
        <f t="shared" si="38"/>
        <v>0.99999999999999978</v>
      </c>
      <c r="Q303" s="114">
        <f t="shared" si="39"/>
        <v>0</v>
      </c>
      <c r="R303" s="115" t="str">
        <f t="shared" si="40"/>
        <v>Alert</v>
      </c>
      <c r="S303" s="115" t="str">
        <f t="shared" si="41"/>
        <v xml:space="preserve"> </v>
      </c>
      <c r="T303" s="116" t="str">
        <f t="shared" si="42"/>
        <v>Alert</v>
      </c>
      <c r="U303" s="120"/>
      <c r="V303" s="118"/>
      <c r="W303" s="131"/>
    </row>
    <row r="304" spans="1:23" ht="13.2">
      <c r="A304" s="102" t="s">
        <v>339</v>
      </c>
      <c r="B304" s="102"/>
      <c r="C304" s="104">
        <v>3</v>
      </c>
      <c r="D304" s="105" t="s">
        <v>357</v>
      </c>
      <c r="E304" s="106">
        <v>0.67</v>
      </c>
      <c r="F304" s="107">
        <v>0.1</v>
      </c>
      <c r="G304" s="108">
        <v>0.1</v>
      </c>
      <c r="H304" s="121" t="s">
        <v>55</v>
      </c>
      <c r="I304" s="110">
        <v>0.754</v>
      </c>
      <c r="J304" s="110">
        <v>0.73499999999999999</v>
      </c>
      <c r="K304" s="119">
        <v>0.752</v>
      </c>
      <c r="L304" s="111">
        <f t="shared" si="43"/>
        <v>8.3999999999999964E-2</v>
      </c>
      <c r="M304" s="112">
        <f t="shared" si="43"/>
        <v>6.4999999999999947E-2</v>
      </c>
      <c r="N304" s="112">
        <f t="shared" si="43"/>
        <v>8.1999999999999962E-2</v>
      </c>
      <c r="O304" s="112">
        <f t="shared" si="37"/>
        <v>0.74699999999999989</v>
      </c>
      <c r="P304" s="113">
        <f t="shared" si="38"/>
        <v>0.83999999999999964</v>
      </c>
      <c r="Q304" s="114">
        <f t="shared" si="39"/>
        <v>0</v>
      </c>
      <c r="R304" s="115" t="str">
        <f t="shared" si="40"/>
        <v>Alert</v>
      </c>
      <c r="S304" s="115" t="str">
        <f t="shared" si="41"/>
        <v xml:space="preserve"> </v>
      </c>
      <c r="T304" s="116" t="str">
        <f t="shared" si="42"/>
        <v>Alert</v>
      </c>
      <c r="U304" s="120"/>
      <c r="V304" s="118"/>
      <c r="W304" s="131"/>
    </row>
    <row r="305" spans="1:23" ht="13.2">
      <c r="A305" s="102" t="s">
        <v>340</v>
      </c>
      <c r="B305" s="102"/>
      <c r="C305" s="104">
        <v>3</v>
      </c>
      <c r="D305" s="105" t="s">
        <v>357</v>
      </c>
      <c r="E305" s="106">
        <v>0.67</v>
      </c>
      <c r="F305" s="107">
        <v>0.1</v>
      </c>
      <c r="G305" s="108">
        <v>0.1</v>
      </c>
      <c r="H305" s="121" t="s">
        <v>55</v>
      </c>
      <c r="I305" s="110">
        <v>0.75600000000000001</v>
      </c>
      <c r="J305" s="110">
        <v>0.748</v>
      </c>
      <c r="K305" s="119">
        <v>0.75800000000000001</v>
      </c>
      <c r="L305" s="111">
        <f t="shared" si="43"/>
        <v>8.5999999999999965E-2</v>
      </c>
      <c r="M305" s="112">
        <f t="shared" si="43"/>
        <v>7.7999999999999958E-2</v>
      </c>
      <c r="N305" s="112">
        <f t="shared" si="43"/>
        <v>8.7999999999999967E-2</v>
      </c>
      <c r="O305" s="112">
        <f t="shared" si="37"/>
        <v>0.754</v>
      </c>
      <c r="P305" s="113">
        <f t="shared" si="38"/>
        <v>0.87999999999999967</v>
      </c>
      <c r="Q305" s="114">
        <f t="shared" si="39"/>
        <v>0</v>
      </c>
      <c r="R305" s="115" t="str">
        <f t="shared" si="40"/>
        <v>Alert</v>
      </c>
      <c r="S305" s="115" t="str">
        <f t="shared" si="41"/>
        <v xml:space="preserve"> </v>
      </c>
      <c r="T305" s="116" t="str">
        <f t="shared" si="42"/>
        <v>Alert</v>
      </c>
      <c r="U305" s="120"/>
      <c r="V305" s="118"/>
      <c r="W305" s="131"/>
    </row>
    <row r="306" spans="1:23" ht="13.2">
      <c r="A306" s="102" t="s">
        <v>341</v>
      </c>
      <c r="B306" s="102"/>
      <c r="C306" s="104">
        <v>3</v>
      </c>
      <c r="D306" s="105" t="s">
        <v>357</v>
      </c>
      <c r="E306" s="106">
        <v>0.67</v>
      </c>
      <c r="F306" s="107">
        <v>0.1</v>
      </c>
      <c r="G306" s="108">
        <v>0.1</v>
      </c>
      <c r="H306" s="121" t="s">
        <v>55</v>
      </c>
      <c r="I306" s="110">
        <v>0.76700000000000002</v>
      </c>
      <c r="J306" s="110">
        <v>0.74399999999999999</v>
      </c>
      <c r="K306" s="119">
        <v>0.76500000000000001</v>
      </c>
      <c r="L306" s="111">
        <f t="shared" si="43"/>
        <v>9.6999999999999975E-2</v>
      </c>
      <c r="M306" s="112">
        <f t="shared" si="43"/>
        <v>7.3999999999999955E-2</v>
      </c>
      <c r="N306" s="112">
        <f t="shared" si="43"/>
        <v>9.4999999999999973E-2</v>
      </c>
      <c r="O306" s="112">
        <f t="shared" si="37"/>
        <v>0.75866666666666671</v>
      </c>
      <c r="P306" s="113">
        <f t="shared" si="38"/>
        <v>0.96999999999999975</v>
      </c>
      <c r="Q306" s="114">
        <f t="shared" si="39"/>
        <v>0</v>
      </c>
      <c r="R306" s="115" t="str">
        <f t="shared" si="40"/>
        <v>Alert</v>
      </c>
      <c r="S306" s="115" t="str">
        <f t="shared" si="41"/>
        <v xml:space="preserve"> </v>
      </c>
      <c r="T306" s="116" t="str">
        <f t="shared" si="42"/>
        <v>Alert</v>
      </c>
      <c r="U306" s="120"/>
      <c r="V306" s="118"/>
      <c r="W306" s="131"/>
    </row>
    <row r="307" spans="1:23" ht="13.2">
      <c r="A307" s="102" t="s">
        <v>342</v>
      </c>
      <c r="B307" s="102"/>
      <c r="C307" s="104">
        <v>3</v>
      </c>
      <c r="D307" s="105" t="s">
        <v>357</v>
      </c>
      <c r="E307" s="106">
        <v>0.67</v>
      </c>
      <c r="F307" s="107">
        <v>0.1</v>
      </c>
      <c r="G307" s="108">
        <v>0.1</v>
      </c>
      <c r="H307" s="121" t="s">
        <v>55</v>
      </c>
      <c r="I307" s="110">
        <v>0.751</v>
      </c>
      <c r="J307" s="110">
        <v>0.755</v>
      </c>
      <c r="K307" s="119">
        <v>0.75900000000000001</v>
      </c>
      <c r="L307" s="111">
        <f t="shared" si="43"/>
        <v>8.0999999999999961E-2</v>
      </c>
      <c r="M307" s="112">
        <f t="shared" si="43"/>
        <v>8.4999999999999964E-2</v>
      </c>
      <c r="N307" s="112">
        <f t="shared" si="43"/>
        <v>8.8999999999999968E-2</v>
      </c>
      <c r="O307" s="112">
        <f t="shared" si="37"/>
        <v>0.755</v>
      </c>
      <c r="P307" s="113">
        <f t="shared" si="38"/>
        <v>0.88999999999999968</v>
      </c>
      <c r="Q307" s="114">
        <f t="shared" si="39"/>
        <v>0</v>
      </c>
      <c r="R307" s="115" t="str">
        <f t="shared" si="40"/>
        <v>Alert</v>
      </c>
      <c r="S307" s="115" t="str">
        <f t="shared" si="41"/>
        <v xml:space="preserve"> </v>
      </c>
      <c r="T307" s="116" t="str">
        <f t="shared" si="42"/>
        <v>Alert</v>
      </c>
      <c r="U307" s="120"/>
      <c r="V307" s="118"/>
      <c r="W307" s="131"/>
    </row>
    <row r="308" spans="1:23" ht="13.2">
      <c r="A308" s="102" t="s">
        <v>343</v>
      </c>
      <c r="B308" s="102"/>
      <c r="C308" s="104">
        <v>3</v>
      </c>
      <c r="D308" s="105" t="s">
        <v>357</v>
      </c>
      <c r="E308" s="106">
        <v>0.67</v>
      </c>
      <c r="F308" s="107">
        <v>0.1</v>
      </c>
      <c r="G308" s="108">
        <v>0.1</v>
      </c>
      <c r="H308" s="121" t="s">
        <v>55</v>
      </c>
      <c r="I308" s="110">
        <v>0.76500000000000001</v>
      </c>
      <c r="J308" s="110">
        <v>0.751</v>
      </c>
      <c r="K308" s="119">
        <v>0.76100000000000001</v>
      </c>
      <c r="L308" s="111">
        <f t="shared" si="43"/>
        <v>9.4999999999999973E-2</v>
      </c>
      <c r="M308" s="112">
        <f t="shared" si="43"/>
        <v>8.0999999999999961E-2</v>
      </c>
      <c r="N308" s="112">
        <f t="shared" si="43"/>
        <v>9.099999999999997E-2</v>
      </c>
      <c r="O308" s="112">
        <f t="shared" si="37"/>
        <v>0.75900000000000001</v>
      </c>
      <c r="P308" s="113">
        <f t="shared" si="38"/>
        <v>0.94999999999999973</v>
      </c>
      <c r="Q308" s="114">
        <f t="shared" si="39"/>
        <v>0</v>
      </c>
      <c r="R308" s="115" t="str">
        <f t="shared" si="40"/>
        <v>Alert</v>
      </c>
      <c r="S308" s="115" t="str">
        <f t="shared" si="41"/>
        <v xml:space="preserve"> </v>
      </c>
      <c r="T308" s="116" t="str">
        <f t="shared" si="42"/>
        <v>Alert</v>
      </c>
      <c r="U308" s="120"/>
      <c r="V308" s="118"/>
      <c r="W308" s="131"/>
    </row>
    <row r="309" spans="1:23" ht="13.2">
      <c r="A309" s="102" t="s">
        <v>344</v>
      </c>
      <c r="B309" s="102"/>
      <c r="C309" s="104">
        <v>3</v>
      </c>
      <c r="D309" s="105" t="s">
        <v>357</v>
      </c>
      <c r="E309" s="106">
        <v>0.67</v>
      </c>
      <c r="F309" s="107">
        <v>0.1</v>
      </c>
      <c r="G309" s="108">
        <v>0.1</v>
      </c>
      <c r="H309" s="121" t="s">
        <v>55</v>
      </c>
      <c r="I309" s="110">
        <v>0.76300000000000001</v>
      </c>
      <c r="J309" s="110">
        <v>0.74399999999999999</v>
      </c>
      <c r="K309" s="119">
        <v>0.75</v>
      </c>
      <c r="L309" s="111">
        <f t="shared" si="43"/>
        <v>9.2999999999999972E-2</v>
      </c>
      <c r="M309" s="112">
        <f t="shared" si="43"/>
        <v>7.3999999999999955E-2</v>
      </c>
      <c r="N309" s="112">
        <f t="shared" si="43"/>
        <v>7.999999999999996E-2</v>
      </c>
      <c r="O309" s="112">
        <f t="shared" si="37"/>
        <v>0.75233333333333341</v>
      </c>
      <c r="P309" s="113">
        <f t="shared" si="38"/>
        <v>0.92999999999999972</v>
      </c>
      <c r="Q309" s="114">
        <f t="shared" si="39"/>
        <v>0</v>
      </c>
      <c r="R309" s="115" t="str">
        <f t="shared" si="40"/>
        <v>Alert</v>
      </c>
      <c r="S309" s="115" t="str">
        <f t="shared" si="41"/>
        <v xml:space="preserve"> </v>
      </c>
      <c r="T309" s="116" t="str">
        <f t="shared" si="42"/>
        <v>Alert</v>
      </c>
      <c r="U309" s="120"/>
      <c r="V309" s="118"/>
      <c r="W309" s="131"/>
    </row>
    <row r="310" spans="1:23" ht="13.2">
      <c r="A310" s="102" t="s">
        <v>345</v>
      </c>
      <c r="B310" s="102"/>
      <c r="C310" s="104">
        <v>3</v>
      </c>
      <c r="D310" s="105" t="s">
        <v>357</v>
      </c>
      <c r="E310" s="106">
        <v>0.67</v>
      </c>
      <c r="F310" s="107">
        <v>0.1</v>
      </c>
      <c r="G310" s="108">
        <v>0.1</v>
      </c>
      <c r="H310" s="121" t="s">
        <v>55</v>
      </c>
      <c r="I310" s="110">
        <v>0.76200000000000001</v>
      </c>
      <c r="J310" s="110">
        <v>0.753</v>
      </c>
      <c r="K310" s="119">
        <v>0.752</v>
      </c>
      <c r="L310" s="111">
        <f t="shared" si="43"/>
        <v>9.1999999999999971E-2</v>
      </c>
      <c r="M310" s="112">
        <f t="shared" si="43"/>
        <v>8.2999999999999963E-2</v>
      </c>
      <c r="N310" s="112">
        <f t="shared" si="43"/>
        <v>8.1999999999999962E-2</v>
      </c>
      <c r="O310" s="112">
        <f t="shared" si="37"/>
        <v>0.75566666666666682</v>
      </c>
      <c r="P310" s="113">
        <f t="shared" si="38"/>
        <v>0.91999999999999971</v>
      </c>
      <c r="Q310" s="114">
        <f t="shared" si="39"/>
        <v>0</v>
      </c>
      <c r="R310" s="115" t="str">
        <f t="shared" si="40"/>
        <v>Alert</v>
      </c>
      <c r="S310" s="115" t="str">
        <f t="shared" si="41"/>
        <v xml:space="preserve"> </v>
      </c>
      <c r="T310" s="116" t="str">
        <f t="shared" si="42"/>
        <v>Alert</v>
      </c>
      <c r="U310" s="120"/>
      <c r="V310" s="118"/>
      <c r="W310" s="131"/>
    </row>
    <row r="311" spans="1:23" ht="13.2">
      <c r="A311" s="102" t="s">
        <v>346</v>
      </c>
      <c r="B311" s="102"/>
      <c r="C311" s="104">
        <v>3</v>
      </c>
      <c r="D311" s="105" t="s">
        <v>357</v>
      </c>
      <c r="E311" s="106">
        <v>0.67</v>
      </c>
      <c r="F311" s="107">
        <v>0.1</v>
      </c>
      <c r="G311" s="108">
        <v>0.1</v>
      </c>
      <c r="H311" s="121" t="s">
        <v>55</v>
      </c>
      <c r="I311" s="110">
        <v>0.74399999999999999</v>
      </c>
      <c r="J311" s="110">
        <v>0.753</v>
      </c>
      <c r="K311" s="119">
        <v>0.753</v>
      </c>
      <c r="L311" s="111">
        <f t="shared" si="43"/>
        <v>7.3999999999999955E-2</v>
      </c>
      <c r="M311" s="112">
        <f t="shared" si="43"/>
        <v>8.2999999999999963E-2</v>
      </c>
      <c r="N311" s="112">
        <f t="shared" si="43"/>
        <v>8.2999999999999963E-2</v>
      </c>
      <c r="O311" s="112">
        <f t="shared" si="37"/>
        <v>0.75</v>
      </c>
      <c r="P311" s="113">
        <f t="shared" si="38"/>
        <v>0.82999999999999963</v>
      </c>
      <c r="Q311" s="114">
        <f t="shared" si="39"/>
        <v>0</v>
      </c>
      <c r="R311" s="115" t="str">
        <f t="shared" si="40"/>
        <v>Alert</v>
      </c>
      <c r="S311" s="115" t="str">
        <f t="shared" si="41"/>
        <v xml:space="preserve"> </v>
      </c>
      <c r="T311" s="116" t="str">
        <f t="shared" si="42"/>
        <v>Alert</v>
      </c>
      <c r="U311" s="120"/>
      <c r="V311" s="118"/>
      <c r="W311" s="131"/>
    </row>
    <row r="312" spans="1:23" ht="13.2">
      <c r="A312" s="102" t="s">
        <v>347</v>
      </c>
      <c r="B312" s="103"/>
      <c r="C312" s="104">
        <v>3</v>
      </c>
      <c r="D312" s="105" t="s">
        <v>357</v>
      </c>
      <c r="E312" s="106">
        <v>0.67</v>
      </c>
      <c r="F312" s="107">
        <v>0.1</v>
      </c>
      <c r="G312" s="108">
        <v>0.1</v>
      </c>
      <c r="H312" s="121" t="s">
        <v>55</v>
      </c>
      <c r="I312" s="110">
        <v>0.76600000000000001</v>
      </c>
      <c r="J312" s="110">
        <v>0.73499999999999999</v>
      </c>
      <c r="K312" s="119">
        <v>0.753</v>
      </c>
      <c r="L312" s="111">
        <f t="shared" si="43"/>
        <v>9.5999999999999974E-2</v>
      </c>
      <c r="M312" s="112">
        <f t="shared" si="43"/>
        <v>6.4999999999999947E-2</v>
      </c>
      <c r="N312" s="112">
        <f t="shared" si="43"/>
        <v>8.2999999999999963E-2</v>
      </c>
      <c r="O312" s="112">
        <f t="shared" si="37"/>
        <v>0.7513333333333333</v>
      </c>
      <c r="P312" s="113">
        <f t="shared" si="38"/>
        <v>0.95999999999999974</v>
      </c>
      <c r="Q312" s="114">
        <f t="shared" si="39"/>
        <v>0</v>
      </c>
      <c r="R312" s="115" t="str">
        <f t="shared" si="40"/>
        <v>Alert</v>
      </c>
      <c r="S312" s="115" t="str">
        <f t="shared" si="41"/>
        <v xml:space="preserve"> </v>
      </c>
      <c r="T312" s="116" t="str">
        <f t="shared" si="42"/>
        <v>Alert</v>
      </c>
      <c r="U312" s="120"/>
      <c r="V312" s="118"/>
      <c r="W312" s="131"/>
    </row>
    <row r="313" spans="1:23" ht="13.2">
      <c r="A313" s="102" t="s">
        <v>348</v>
      </c>
      <c r="B313" s="103"/>
      <c r="C313" s="104">
        <v>3</v>
      </c>
      <c r="D313" s="105" t="s">
        <v>357</v>
      </c>
      <c r="E313" s="106">
        <v>0.67</v>
      </c>
      <c r="F313" s="107">
        <v>0.1</v>
      </c>
      <c r="G313" s="108">
        <v>0.1</v>
      </c>
      <c r="H313" s="121" t="s">
        <v>55</v>
      </c>
      <c r="I313" s="110">
        <v>0.76800000000000002</v>
      </c>
      <c r="J313" s="110">
        <v>0.74099999999999999</v>
      </c>
      <c r="K313" s="119">
        <v>0.75900000000000001</v>
      </c>
      <c r="L313" s="111">
        <f t="shared" si="43"/>
        <v>9.7999999999999976E-2</v>
      </c>
      <c r="M313" s="112">
        <f t="shared" si="43"/>
        <v>7.0999999999999952E-2</v>
      </c>
      <c r="N313" s="112">
        <f t="shared" si="43"/>
        <v>8.8999999999999968E-2</v>
      </c>
      <c r="O313" s="112">
        <f t="shared" si="37"/>
        <v>0.75599999999999989</v>
      </c>
      <c r="P313" s="113">
        <f t="shared" si="38"/>
        <v>0.97999999999999976</v>
      </c>
      <c r="Q313" s="114">
        <f t="shared" si="39"/>
        <v>0</v>
      </c>
      <c r="R313" s="115" t="str">
        <f t="shared" si="40"/>
        <v>Alert</v>
      </c>
      <c r="S313" s="115" t="str">
        <f t="shared" si="41"/>
        <v xml:space="preserve"> </v>
      </c>
      <c r="T313" s="116" t="str">
        <f t="shared" si="42"/>
        <v>Alert</v>
      </c>
      <c r="U313" s="120"/>
      <c r="V313" s="118"/>
      <c r="W313" s="131"/>
    </row>
    <row r="314" spans="1:23" ht="13.2">
      <c r="A314" s="102" t="s">
        <v>349</v>
      </c>
      <c r="B314" s="103"/>
      <c r="C314" s="104">
        <v>3</v>
      </c>
      <c r="D314" s="105" t="s">
        <v>357</v>
      </c>
      <c r="E314" s="106">
        <v>0.67</v>
      </c>
      <c r="F314" s="107">
        <v>0.1</v>
      </c>
      <c r="G314" s="108">
        <v>0.1</v>
      </c>
      <c r="H314" s="121" t="s">
        <v>55</v>
      </c>
      <c r="I314" s="110">
        <v>0.76700000000000002</v>
      </c>
      <c r="J314" s="110">
        <v>0.753</v>
      </c>
      <c r="K314" s="119">
        <v>0.76300000000000001</v>
      </c>
      <c r="L314" s="111">
        <f t="shared" si="43"/>
        <v>9.6999999999999975E-2</v>
      </c>
      <c r="M314" s="112">
        <f t="shared" si="43"/>
        <v>8.2999999999999963E-2</v>
      </c>
      <c r="N314" s="112">
        <f t="shared" si="43"/>
        <v>9.2999999999999972E-2</v>
      </c>
      <c r="O314" s="112">
        <f t="shared" si="37"/>
        <v>0.76100000000000001</v>
      </c>
      <c r="P314" s="113">
        <f t="shared" si="38"/>
        <v>0.96999999999999975</v>
      </c>
      <c r="Q314" s="114">
        <f t="shared" si="39"/>
        <v>0</v>
      </c>
      <c r="R314" s="115" t="str">
        <f t="shared" si="40"/>
        <v>Alert</v>
      </c>
      <c r="S314" s="115" t="str">
        <f t="shared" si="41"/>
        <v xml:space="preserve"> </v>
      </c>
      <c r="T314" s="116" t="str">
        <f t="shared" si="42"/>
        <v>Alert</v>
      </c>
      <c r="U314" s="120"/>
      <c r="V314" s="118"/>
      <c r="W314" s="131"/>
    </row>
    <row r="315" spans="1:23" ht="13.2">
      <c r="A315" s="102" t="s">
        <v>350</v>
      </c>
      <c r="B315" s="102"/>
      <c r="C315" s="104">
        <v>3</v>
      </c>
      <c r="D315" s="105" t="s">
        <v>357</v>
      </c>
      <c r="E315" s="106">
        <v>0.67</v>
      </c>
      <c r="F315" s="107">
        <v>0.1</v>
      </c>
      <c r="G315" s="108">
        <v>0.1</v>
      </c>
      <c r="H315" s="121" t="s">
        <v>55</v>
      </c>
      <c r="I315" s="110">
        <v>0.76600000000000001</v>
      </c>
      <c r="J315" s="110">
        <v>0.73799999999999999</v>
      </c>
      <c r="K315" s="119">
        <v>0.75700000000000001</v>
      </c>
      <c r="L315" s="111">
        <f t="shared" si="43"/>
        <v>9.5999999999999974E-2</v>
      </c>
      <c r="M315" s="112">
        <f t="shared" si="43"/>
        <v>6.7999999999999949E-2</v>
      </c>
      <c r="N315" s="112">
        <f t="shared" si="43"/>
        <v>8.6999999999999966E-2</v>
      </c>
      <c r="O315" s="112">
        <f t="shared" si="37"/>
        <v>0.75366666666666671</v>
      </c>
      <c r="P315" s="113">
        <f t="shared" si="38"/>
        <v>0.95999999999999974</v>
      </c>
      <c r="Q315" s="114">
        <f t="shared" si="39"/>
        <v>0</v>
      </c>
      <c r="R315" s="115" t="str">
        <f t="shared" si="40"/>
        <v>Alert</v>
      </c>
      <c r="S315" s="115" t="str">
        <f t="shared" si="41"/>
        <v xml:space="preserve"> </v>
      </c>
      <c r="T315" s="116" t="str">
        <f t="shared" si="42"/>
        <v>Alert</v>
      </c>
      <c r="U315" s="120"/>
      <c r="V315" s="118"/>
      <c r="W315" s="131"/>
    </row>
    <row r="316" spans="1:23" ht="13.2">
      <c r="A316" s="102" t="s">
        <v>351</v>
      </c>
      <c r="B316" s="102"/>
      <c r="C316" s="104">
        <v>3</v>
      </c>
      <c r="D316" s="105" t="s">
        <v>357</v>
      </c>
      <c r="E316" s="106">
        <v>0.67</v>
      </c>
      <c r="F316" s="107">
        <v>0.1</v>
      </c>
      <c r="G316" s="108">
        <v>0.1</v>
      </c>
      <c r="H316" s="121" t="s">
        <v>55</v>
      </c>
      <c r="I316" s="110">
        <v>0.76300000000000001</v>
      </c>
      <c r="J316" s="110">
        <v>0.74099999999999999</v>
      </c>
      <c r="K316" s="119">
        <v>0.75800000000000001</v>
      </c>
      <c r="L316" s="111">
        <f t="shared" si="43"/>
        <v>9.2999999999999972E-2</v>
      </c>
      <c r="M316" s="112">
        <f t="shared" si="43"/>
        <v>7.0999999999999952E-2</v>
      </c>
      <c r="N316" s="112">
        <f t="shared" si="43"/>
        <v>8.7999999999999967E-2</v>
      </c>
      <c r="O316" s="112">
        <f t="shared" si="37"/>
        <v>0.754</v>
      </c>
      <c r="P316" s="113">
        <f t="shared" si="38"/>
        <v>0.92999999999999972</v>
      </c>
      <c r="Q316" s="114">
        <f t="shared" si="39"/>
        <v>0</v>
      </c>
      <c r="R316" s="115" t="str">
        <f t="shared" si="40"/>
        <v>Alert</v>
      </c>
      <c r="S316" s="115" t="str">
        <f t="shared" si="41"/>
        <v xml:space="preserve"> </v>
      </c>
      <c r="T316" s="116" t="str">
        <f t="shared" si="42"/>
        <v>Alert</v>
      </c>
      <c r="U316" s="120"/>
      <c r="V316" s="118"/>
      <c r="W316" s="131"/>
    </row>
    <row r="317" spans="1:23" ht="13.2">
      <c r="A317" s="102" t="s">
        <v>352</v>
      </c>
      <c r="B317" s="102"/>
      <c r="C317" s="104">
        <v>3</v>
      </c>
      <c r="D317" s="105" t="s">
        <v>357</v>
      </c>
      <c r="E317" s="106">
        <v>0.67</v>
      </c>
      <c r="F317" s="107">
        <v>0.1</v>
      </c>
      <c r="G317" s="108">
        <v>0.1</v>
      </c>
      <c r="H317" s="121" t="s">
        <v>55</v>
      </c>
      <c r="I317" s="110">
        <v>0.75700000000000001</v>
      </c>
      <c r="J317" s="110">
        <v>0.74199999999999999</v>
      </c>
      <c r="K317" s="119">
        <v>0.76800000000000002</v>
      </c>
      <c r="L317" s="111">
        <f t="shared" si="43"/>
        <v>8.6999999999999966E-2</v>
      </c>
      <c r="M317" s="112">
        <f t="shared" si="43"/>
        <v>7.1999999999999953E-2</v>
      </c>
      <c r="N317" s="112">
        <f t="shared" si="43"/>
        <v>9.7999999999999976E-2</v>
      </c>
      <c r="O317" s="112">
        <f t="shared" si="37"/>
        <v>0.75566666666666682</v>
      </c>
      <c r="P317" s="113">
        <f t="shared" si="38"/>
        <v>0.97999999999999976</v>
      </c>
      <c r="Q317" s="114">
        <f t="shared" si="39"/>
        <v>0</v>
      </c>
      <c r="R317" s="115" t="str">
        <f t="shared" si="40"/>
        <v>Alert</v>
      </c>
      <c r="S317" s="115" t="str">
        <f t="shared" si="41"/>
        <v xml:space="preserve"> </v>
      </c>
      <c r="T317" s="116" t="str">
        <f t="shared" si="42"/>
        <v>Alert</v>
      </c>
      <c r="U317" s="120"/>
      <c r="V317" s="118"/>
      <c r="W317" s="131"/>
    </row>
    <row r="318" spans="1:23" ht="13.2">
      <c r="A318" s="102" t="s">
        <v>353</v>
      </c>
      <c r="B318" s="102"/>
      <c r="C318" s="104">
        <v>3</v>
      </c>
      <c r="D318" s="105" t="s">
        <v>357</v>
      </c>
      <c r="E318" s="106">
        <v>0.67</v>
      </c>
      <c r="F318" s="107">
        <v>0.1</v>
      </c>
      <c r="G318" s="108">
        <v>0.1</v>
      </c>
      <c r="H318" s="121" t="s">
        <v>55</v>
      </c>
      <c r="I318" s="110">
        <v>0.75900000000000001</v>
      </c>
      <c r="J318" s="110">
        <v>0.745</v>
      </c>
      <c r="K318" s="119">
        <v>0.76700000000000002</v>
      </c>
      <c r="L318" s="111">
        <f t="shared" si="43"/>
        <v>8.8999999999999968E-2</v>
      </c>
      <c r="M318" s="112">
        <f t="shared" si="43"/>
        <v>7.4999999999999956E-2</v>
      </c>
      <c r="N318" s="112">
        <f t="shared" si="43"/>
        <v>9.6999999999999975E-2</v>
      </c>
      <c r="O318" s="112">
        <f t="shared" ref="O318:O381" si="44">IF(ISERR(I318/I318)=TRUE," ",AVERAGE(I318:K318))</f>
        <v>0.75700000000000001</v>
      </c>
      <c r="P318" s="113">
        <f t="shared" ref="P318:P381" si="45">IF(ISBLANK($E318),"",IF(ISNUMBER(F318)=FALSE,"BAD TOL", IF(F318=0,"N/A",IF(ISERR(I318/I318)=TRUE,"BAD INSP",IF(AND(ISNUMBER($I318),ISNUMBER($J318),ISNUMBER($K318))=FALSE,"BAD INSP",IF(MAX($I318:$K318)&lt;$E318,0,(MAX($I318:$K318)-$E318)/$F318))))))</f>
        <v>0.96999999999999975</v>
      </c>
      <c r="Q318" s="114">
        <f t="shared" ref="Q318:Q381" si="46">IF(ISBLANK($E318),"",IF(ISNUMBER(G318)=FALSE,"BAD TOL",IF(G318=0,"N/A",IF(ISERR(I318/I318)=TRUE,"BAD INSP",IF(AND(ISNUMBER($I318),ISNUMBER($J318),ISNUMBER($K318))=FALSE,"BAD INSP",IF(MIN(I318:K318)&gt;$E318,0,($E318-MIN(I318:K318))/G318))))))</f>
        <v>0</v>
      </c>
      <c r="R318" s="115" t="str">
        <f t="shared" ref="R318:R381" si="47">IF(ISBLANK($E318),"",IF(ISNUMBER($P318)=TRUE,IF($P318&gt;0.651,IF($P318&gt;1.001,"Reject","Alert")," "),IF(AND(F318=0, ISNUMBER(F318)),IF(MAX(I318:K318)&gt;(E318+F318),"Reject",IF(MAX(I318:K318)=(E318+F318),"Alert","")),"Reject")))</f>
        <v>Alert</v>
      </c>
      <c r="S318" s="115" t="str">
        <f t="shared" ref="S318:S381" si="48">IF(ISBLANK($E318),"",IF(ISNUMBER($Q318)=TRUE,IF($Q318&gt;0.651,IF($Q318&gt;1.001,"Reject","Alert")," "),IF(AND(G318=0, ISNUMBER(G318)),IF(MIN(I318:K318)&lt;(E318-G318),"Reject",IF(MIN(I318:K318)=(E318-G318),"Alert","")),"Reject")))</f>
        <v xml:space="preserve"> </v>
      </c>
      <c r="T318" s="116" t="str">
        <f t="shared" ref="T318:T381" si="49">IF(OR(R318="Reject",S318="Reject"),"Reject",IF(OR(R318="Alert",S318="Alert"),"Alert", ""))</f>
        <v>Alert</v>
      </c>
      <c r="U318" s="120"/>
      <c r="V318" s="118"/>
      <c r="W318" s="131"/>
    </row>
    <row r="319" spans="1:23" ht="13.2">
      <c r="A319" s="102" t="s">
        <v>354</v>
      </c>
      <c r="B319" s="102"/>
      <c r="C319" s="104">
        <v>3</v>
      </c>
      <c r="D319" s="105" t="s">
        <v>357</v>
      </c>
      <c r="E319" s="106">
        <v>0.67</v>
      </c>
      <c r="F319" s="107">
        <v>0.1</v>
      </c>
      <c r="G319" s="108">
        <v>0.1</v>
      </c>
      <c r="H319" s="121" t="s">
        <v>55</v>
      </c>
      <c r="I319" s="110">
        <v>0.76600000000000001</v>
      </c>
      <c r="J319" s="110">
        <v>0.76</v>
      </c>
      <c r="K319" s="119">
        <v>0.76400000000000001</v>
      </c>
      <c r="L319" s="111">
        <f t="shared" si="43"/>
        <v>9.5999999999999974E-2</v>
      </c>
      <c r="M319" s="112">
        <f t="shared" si="43"/>
        <v>8.9999999999999969E-2</v>
      </c>
      <c r="N319" s="112">
        <f t="shared" si="43"/>
        <v>9.3999999999999972E-2</v>
      </c>
      <c r="O319" s="112">
        <f t="shared" si="44"/>
        <v>0.76333333333333331</v>
      </c>
      <c r="P319" s="113">
        <f t="shared" si="45"/>
        <v>0.95999999999999974</v>
      </c>
      <c r="Q319" s="114">
        <f t="shared" si="46"/>
        <v>0</v>
      </c>
      <c r="R319" s="115" t="str">
        <f t="shared" si="47"/>
        <v>Alert</v>
      </c>
      <c r="S319" s="115" t="str">
        <f t="shared" si="48"/>
        <v xml:space="preserve"> </v>
      </c>
      <c r="T319" s="116" t="str">
        <f t="shared" si="49"/>
        <v>Alert</v>
      </c>
      <c r="U319" s="120"/>
      <c r="V319" s="118"/>
      <c r="W319" s="131"/>
    </row>
    <row r="320" spans="1:23" ht="13.2">
      <c r="A320" s="102" t="s">
        <v>355</v>
      </c>
      <c r="B320" s="102"/>
      <c r="C320" s="104">
        <v>3</v>
      </c>
      <c r="D320" s="105" t="s">
        <v>357</v>
      </c>
      <c r="E320" s="106">
        <v>0.67</v>
      </c>
      <c r="F320" s="107">
        <v>0.1</v>
      </c>
      <c r="G320" s="108">
        <v>0.1</v>
      </c>
      <c r="H320" s="121" t="s">
        <v>55</v>
      </c>
      <c r="I320" s="110">
        <v>0.76300000000000001</v>
      </c>
      <c r="J320" s="110">
        <v>0.75700000000000001</v>
      </c>
      <c r="K320" s="119">
        <v>0.75900000000000001</v>
      </c>
      <c r="L320" s="111">
        <f t="shared" si="43"/>
        <v>9.2999999999999972E-2</v>
      </c>
      <c r="M320" s="112">
        <f t="shared" si="43"/>
        <v>8.6999999999999966E-2</v>
      </c>
      <c r="N320" s="112">
        <f t="shared" si="43"/>
        <v>8.8999999999999968E-2</v>
      </c>
      <c r="O320" s="112">
        <f t="shared" si="44"/>
        <v>0.7596666666666666</v>
      </c>
      <c r="P320" s="113">
        <f t="shared" si="45"/>
        <v>0.92999999999999972</v>
      </c>
      <c r="Q320" s="114">
        <f t="shared" si="46"/>
        <v>0</v>
      </c>
      <c r="R320" s="115" t="str">
        <f t="shared" si="47"/>
        <v>Alert</v>
      </c>
      <c r="S320" s="115" t="str">
        <f t="shared" si="48"/>
        <v xml:space="preserve"> </v>
      </c>
      <c r="T320" s="116" t="str">
        <f t="shared" si="49"/>
        <v>Alert</v>
      </c>
      <c r="U320" s="120"/>
      <c r="V320" s="118"/>
      <c r="W320" s="131"/>
    </row>
    <row r="321" spans="1:23" ht="13.2">
      <c r="A321" s="102" t="s">
        <v>356</v>
      </c>
      <c r="B321" s="102"/>
      <c r="C321" s="104">
        <v>3</v>
      </c>
      <c r="D321" s="105" t="s">
        <v>357</v>
      </c>
      <c r="E321" s="106">
        <v>0.67</v>
      </c>
      <c r="F321" s="107">
        <v>0.1</v>
      </c>
      <c r="G321" s="108">
        <v>0.1</v>
      </c>
      <c r="H321" s="121" t="s">
        <v>55</v>
      </c>
      <c r="I321" s="110">
        <v>0.76100000000000001</v>
      </c>
      <c r="J321" s="110">
        <v>0.74299999999999999</v>
      </c>
      <c r="K321" s="119">
        <v>0.751</v>
      </c>
      <c r="L321" s="111">
        <f t="shared" si="43"/>
        <v>9.099999999999997E-2</v>
      </c>
      <c r="M321" s="112">
        <f t="shared" si="43"/>
        <v>7.2999999999999954E-2</v>
      </c>
      <c r="N321" s="112">
        <f t="shared" si="43"/>
        <v>8.0999999999999961E-2</v>
      </c>
      <c r="O321" s="112">
        <f t="shared" si="44"/>
        <v>0.75166666666666659</v>
      </c>
      <c r="P321" s="113">
        <f t="shared" si="45"/>
        <v>0.9099999999999997</v>
      </c>
      <c r="Q321" s="114">
        <f t="shared" si="46"/>
        <v>0</v>
      </c>
      <c r="R321" s="115" t="str">
        <f t="shared" si="47"/>
        <v>Alert</v>
      </c>
      <c r="S321" s="115" t="str">
        <f t="shared" si="48"/>
        <v xml:space="preserve"> </v>
      </c>
      <c r="T321" s="116" t="str">
        <f t="shared" si="49"/>
        <v>Alert</v>
      </c>
      <c r="U321" s="120"/>
      <c r="V321" s="118"/>
      <c r="W321" s="131"/>
    </row>
    <row r="322" spans="1:23" ht="13.2">
      <c r="A322" s="102" t="s">
        <v>358</v>
      </c>
      <c r="B322" s="102"/>
      <c r="C322" s="104">
        <v>3</v>
      </c>
      <c r="D322" s="105" t="s">
        <v>357</v>
      </c>
      <c r="E322" s="106">
        <v>1.1499999999999999</v>
      </c>
      <c r="F322" s="107">
        <v>0.1</v>
      </c>
      <c r="G322" s="108">
        <v>0.1</v>
      </c>
      <c r="H322" s="121" t="s">
        <v>55</v>
      </c>
      <c r="I322" s="110">
        <v>1.2430000000000001</v>
      </c>
      <c r="J322" s="110">
        <v>1.2330000000000001</v>
      </c>
      <c r="K322" s="119">
        <v>1.228</v>
      </c>
      <c r="L322" s="111">
        <f t="shared" si="43"/>
        <v>9.3000000000000194E-2</v>
      </c>
      <c r="M322" s="112">
        <f t="shared" si="43"/>
        <v>8.3000000000000185E-2</v>
      </c>
      <c r="N322" s="112">
        <f t="shared" si="43"/>
        <v>7.8000000000000069E-2</v>
      </c>
      <c r="O322" s="112">
        <f t="shared" si="44"/>
        <v>1.2346666666666666</v>
      </c>
      <c r="P322" s="113">
        <f t="shared" si="45"/>
        <v>0.93000000000000194</v>
      </c>
      <c r="Q322" s="114">
        <f t="shared" si="46"/>
        <v>0</v>
      </c>
      <c r="R322" s="115" t="str">
        <f t="shared" si="47"/>
        <v>Alert</v>
      </c>
      <c r="S322" s="115" t="str">
        <f t="shared" si="48"/>
        <v xml:space="preserve"> </v>
      </c>
      <c r="T322" s="116" t="str">
        <f t="shared" si="49"/>
        <v>Alert</v>
      </c>
      <c r="U322" s="120"/>
      <c r="V322" s="118"/>
      <c r="W322" s="131"/>
    </row>
    <row r="323" spans="1:23" ht="13.2">
      <c r="A323" s="102" t="s">
        <v>359</v>
      </c>
      <c r="B323" s="102"/>
      <c r="C323" s="104">
        <v>3</v>
      </c>
      <c r="D323" s="105" t="s">
        <v>357</v>
      </c>
      <c r="E323" s="106">
        <v>1.1499999999999999</v>
      </c>
      <c r="F323" s="107">
        <v>0.1</v>
      </c>
      <c r="G323" s="108">
        <v>0.1</v>
      </c>
      <c r="H323" s="121" t="s">
        <v>55</v>
      </c>
      <c r="I323" s="110">
        <v>1.2430000000000001</v>
      </c>
      <c r="J323" s="110">
        <v>1.2110000000000001</v>
      </c>
      <c r="K323" s="119">
        <v>1.2290000000000001</v>
      </c>
      <c r="L323" s="111">
        <f t="shared" si="43"/>
        <v>9.3000000000000194E-2</v>
      </c>
      <c r="M323" s="112">
        <f t="shared" si="43"/>
        <v>6.1000000000000165E-2</v>
      </c>
      <c r="N323" s="112">
        <f t="shared" si="43"/>
        <v>7.9000000000000181E-2</v>
      </c>
      <c r="O323" s="112">
        <f t="shared" si="44"/>
        <v>1.2276666666666667</v>
      </c>
      <c r="P323" s="113">
        <f t="shared" si="45"/>
        <v>0.93000000000000194</v>
      </c>
      <c r="Q323" s="114">
        <f t="shared" si="46"/>
        <v>0</v>
      </c>
      <c r="R323" s="115" t="str">
        <f t="shared" si="47"/>
        <v>Alert</v>
      </c>
      <c r="S323" s="115" t="str">
        <f t="shared" si="48"/>
        <v xml:space="preserve"> </v>
      </c>
      <c r="T323" s="116" t="str">
        <f t="shared" si="49"/>
        <v>Alert</v>
      </c>
      <c r="U323" s="120"/>
      <c r="V323" s="118"/>
      <c r="W323" s="131"/>
    </row>
    <row r="324" spans="1:23" ht="13.2">
      <c r="A324" s="102" t="s">
        <v>360</v>
      </c>
      <c r="B324" s="102"/>
      <c r="C324" s="104">
        <v>3</v>
      </c>
      <c r="D324" s="105" t="s">
        <v>357</v>
      </c>
      <c r="E324" s="106">
        <v>1.1499999999999999</v>
      </c>
      <c r="F324" s="107">
        <v>0.1</v>
      </c>
      <c r="G324" s="108">
        <v>0.1</v>
      </c>
      <c r="H324" s="121" t="s">
        <v>55</v>
      </c>
      <c r="I324" s="110">
        <v>1.2490000000000001</v>
      </c>
      <c r="J324" s="110">
        <v>1.2130000000000001</v>
      </c>
      <c r="K324" s="119">
        <v>1.218</v>
      </c>
      <c r="L324" s="111">
        <f t="shared" si="43"/>
        <v>9.9000000000000199E-2</v>
      </c>
      <c r="M324" s="112">
        <f t="shared" si="43"/>
        <v>6.3000000000000167E-2</v>
      </c>
      <c r="N324" s="112">
        <f t="shared" si="43"/>
        <v>6.800000000000006E-2</v>
      </c>
      <c r="O324" s="112">
        <f t="shared" si="44"/>
        <v>1.2266666666666668</v>
      </c>
      <c r="P324" s="113">
        <f t="shared" si="45"/>
        <v>0.99000000000000199</v>
      </c>
      <c r="Q324" s="114">
        <f t="shared" si="46"/>
        <v>0</v>
      </c>
      <c r="R324" s="115" t="str">
        <f t="shared" si="47"/>
        <v>Alert</v>
      </c>
      <c r="S324" s="115" t="str">
        <f t="shared" si="48"/>
        <v xml:space="preserve"> </v>
      </c>
      <c r="T324" s="116" t="str">
        <f t="shared" si="49"/>
        <v>Alert</v>
      </c>
      <c r="U324" s="120"/>
      <c r="V324" s="118"/>
      <c r="W324" s="131"/>
    </row>
    <row r="325" spans="1:23" ht="13.2">
      <c r="A325" s="102" t="s">
        <v>361</v>
      </c>
      <c r="B325" s="102"/>
      <c r="C325" s="104">
        <v>3</v>
      </c>
      <c r="D325" s="105" t="s">
        <v>357</v>
      </c>
      <c r="E325" s="106">
        <v>1.1499999999999999</v>
      </c>
      <c r="F325" s="107">
        <v>0.1</v>
      </c>
      <c r="G325" s="108">
        <v>0.1</v>
      </c>
      <c r="H325" s="121" t="s">
        <v>55</v>
      </c>
      <c r="I325" s="110">
        <v>1.246</v>
      </c>
      <c r="J325" s="110">
        <v>1.21</v>
      </c>
      <c r="K325" s="119">
        <v>1.216</v>
      </c>
      <c r="L325" s="111">
        <f t="shared" si="43"/>
        <v>9.6000000000000085E-2</v>
      </c>
      <c r="M325" s="112">
        <f t="shared" si="43"/>
        <v>6.0000000000000053E-2</v>
      </c>
      <c r="N325" s="112">
        <f t="shared" si="43"/>
        <v>6.6000000000000059E-2</v>
      </c>
      <c r="O325" s="112">
        <f t="shared" si="44"/>
        <v>1.224</v>
      </c>
      <c r="P325" s="113">
        <f t="shared" si="45"/>
        <v>0.96000000000000085</v>
      </c>
      <c r="Q325" s="114">
        <f t="shared" si="46"/>
        <v>0</v>
      </c>
      <c r="R325" s="115" t="str">
        <f t="shared" si="47"/>
        <v>Alert</v>
      </c>
      <c r="S325" s="115" t="str">
        <f t="shared" si="48"/>
        <v xml:space="preserve"> </v>
      </c>
      <c r="T325" s="116" t="str">
        <f t="shared" si="49"/>
        <v>Alert</v>
      </c>
      <c r="U325" s="120"/>
      <c r="V325" s="118"/>
      <c r="W325" s="131"/>
    </row>
    <row r="326" spans="1:23" ht="13.2">
      <c r="A326" s="102" t="s">
        <v>362</v>
      </c>
      <c r="B326" s="102"/>
      <c r="C326" s="104">
        <v>3</v>
      </c>
      <c r="D326" s="105" t="s">
        <v>357</v>
      </c>
      <c r="E326" s="106">
        <v>1.1499999999999999</v>
      </c>
      <c r="F326" s="107">
        <v>0.1</v>
      </c>
      <c r="G326" s="108">
        <v>0.1</v>
      </c>
      <c r="H326" s="121" t="s">
        <v>55</v>
      </c>
      <c r="I326" s="110">
        <v>1.248</v>
      </c>
      <c r="J326" s="110">
        <v>1.2110000000000001</v>
      </c>
      <c r="K326" s="119">
        <v>1.2250000000000001</v>
      </c>
      <c r="L326" s="111">
        <f t="shared" si="43"/>
        <v>9.8000000000000087E-2</v>
      </c>
      <c r="M326" s="112">
        <f t="shared" si="43"/>
        <v>6.1000000000000165E-2</v>
      </c>
      <c r="N326" s="112">
        <f t="shared" si="43"/>
        <v>7.5000000000000178E-2</v>
      </c>
      <c r="O326" s="112">
        <f t="shared" si="44"/>
        <v>1.228</v>
      </c>
      <c r="P326" s="113">
        <f t="shared" si="45"/>
        <v>0.98000000000000087</v>
      </c>
      <c r="Q326" s="114">
        <f t="shared" si="46"/>
        <v>0</v>
      </c>
      <c r="R326" s="115" t="str">
        <f t="shared" si="47"/>
        <v>Alert</v>
      </c>
      <c r="S326" s="115" t="str">
        <f t="shared" si="48"/>
        <v xml:space="preserve"> </v>
      </c>
      <c r="T326" s="116" t="str">
        <f t="shared" si="49"/>
        <v>Alert</v>
      </c>
      <c r="U326" s="120"/>
      <c r="V326" s="118"/>
      <c r="W326" s="131"/>
    </row>
    <row r="327" spans="1:23" ht="13.2">
      <c r="A327" s="102" t="s">
        <v>363</v>
      </c>
      <c r="B327" s="103"/>
      <c r="C327" s="104">
        <v>3</v>
      </c>
      <c r="D327" s="105" t="s">
        <v>357</v>
      </c>
      <c r="E327" s="106">
        <v>1.1499999999999999</v>
      </c>
      <c r="F327" s="107">
        <v>0.1</v>
      </c>
      <c r="G327" s="108">
        <v>0.1</v>
      </c>
      <c r="H327" s="121" t="s">
        <v>55</v>
      </c>
      <c r="I327" s="110">
        <v>1.242</v>
      </c>
      <c r="J327" s="110">
        <v>1.22</v>
      </c>
      <c r="K327" s="119">
        <v>1.228</v>
      </c>
      <c r="L327" s="111">
        <f t="shared" si="43"/>
        <v>9.2000000000000082E-2</v>
      </c>
      <c r="M327" s="112">
        <f t="shared" si="43"/>
        <v>7.0000000000000062E-2</v>
      </c>
      <c r="N327" s="112">
        <f t="shared" si="43"/>
        <v>7.8000000000000069E-2</v>
      </c>
      <c r="O327" s="112">
        <f t="shared" si="44"/>
        <v>1.2299999999999998</v>
      </c>
      <c r="P327" s="113">
        <f t="shared" si="45"/>
        <v>0.92000000000000082</v>
      </c>
      <c r="Q327" s="114">
        <f t="shared" si="46"/>
        <v>0</v>
      </c>
      <c r="R327" s="115" t="str">
        <f t="shared" si="47"/>
        <v>Alert</v>
      </c>
      <c r="S327" s="115" t="str">
        <f t="shared" si="48"/>
        <v xml:space="preserve"> </v>
      </c>
      <c r="T327" s="116" t="str">
        <f t="shared" si="49"/>
        <v>Alert</v>
      </c>
      <c r="U327" s="120"/>
      <c r="V327" s="118"/>
      <c r="W327" s="131"/>
    </row>
    <row r="328" spans="1:23" ht="13.2">
      <c r="A328" s="102" t="s">
        <v>364</v>
      </c>
      <c r="B328" s="103"/>
      <c r="C328" s="104">
        <v>3</v>
      </c>
      <c r="D328" s="105" t="s">
        <v>357</v>
      </c>
      <c r="E328" s="106">
        <v>1.1499999999999999</v>
      </c>
      <c r="F328" s="107">
        <v>0.1</v>
      </c>
      <c r="G328" s="108">
        <v>0.1</v>
      </c>
      <c r="H328" s="121" t="s">
        <v>55</v>
      </c>
      <c r="I328" s="110">
        <v>1.234</v>
      </c>
      <c r="J328" s="110">
        <v>1.214</v>
      </c>
      <c r="K328" s="119">
        <v>1.216</v>
      </c>
      <c r="L328" s="111">
        <f t="shared" si="43"/>
        <v>8.4000000000000075E-2</v>
      </c>
      <c r="M328" s="112">
        <f t="shared" si="43"/>
        <v>6.4000000000000057E-2</v>
      </c>
      <c r="N328" s="112">
        <f t="shared" si="43"/>
        <v>6.6000000000000059E-2</v>
      </c>
      <c r="O328" s="112">
        <f t="shared" si="44"/>
        <v>1.2213333333333332</v>
      </c>
      <c r="P328" s="113">
        <f t="shared" si="45"/>
        <v>0.84000000000000075</v>
      </c>
      <c r="Q328" s="114">
        <f t="shared" si="46"/>
        <v>0</v>
      </c>
      <c r="R328" s="115" t="str">
        <f t="shared" si="47"/>
        <v>Alert</v>
      </c>
      <c r="S328" s="115" t="str">
        <f t="shared" si="48"/>
        <v xml:space="preserve"> </v>
      </c>
      <c r="T328" s="116" t="str">
        <f t="shared" si="49"/>
        <v>Alert</v>
      </c>
      <c r="U328" s="120"/>
      <c r="V328" s="118"/>
      <c r="W328" s="131"/>
    </row>
    <row r="329" spans="1:23" ht="13.2">
      <c r="A329" s="102" t="s">
        <v>365</v>
      </c>
      <c r="B329" s="103"/>
      <c r="C329" s="104">
        <v>3</v>
      </c>
      <c r="D329" s="105" t="s">
        <v>357</v>
      </c>
      <c r="E329" s="106">
        <v>1.1499999999999999</v>
      </c>
      <c r="F329" s="107">
        <v>0.1</v>
      </c>
      <c r="G329" s="108">
        <v>0.1</v>
      </c>
      <c r="H329" s="121" t="s">
        <v>55</v>
      </c>
      <c r="I329" s="110">
        <v>1.2370000000000001</v>
      </c>
      <c r="J329" s="110">
        <v>1.2030000000000001</v>
      </c>
      <c r="K329" s="119">
        <v>1.2130000000000001</v>
      </c>
      <c r="L329" s="111">
        <f t="shared" si="43"/>
        <v>8.7000000000000188E-2</v>
      </c>
      <c r="M329" s="112">
        <f t="shared" si="43"/>
        <v>5.3000000000000158E-2</v>
      </c>
      <c r="N329" s="112">
        <f t="shared" si="43"/>
        <v>6.3000000000000167E-2</v>
      </c>
      <c r="O329" s="112">
        <f t="shared" si="44"/>
        <v>1.2176666666666669</v>
      </c>
      <c r="P329" s="113">
        <f t="shared" si="45"/>
        <v>0.87000000000000188</v>
      </c>
      <c r="Q329" s="114">
        <f t="shared" si="46"/>
        <v>0</v>
      </c>
      <c r="R329" s="115" t="str">
        <f t="shared" si="47"/>
        <v>Alert</v>
      </c>
      <c r="S329" s="115" t="str">
        <f t="shared" si="48"/>
        <v xml:space="preserve"> </v>
      </c>
      <c r="T329" s="116" t="str">
        <f t="shared" si="49"/>
        <v>Alert</v>
      </c>
      <c r="U329" s="120"/>
      <c r="V329" s="118"/>
      <c r="W329" s="131"/>
    </row>
    <row r="330" spans="1:23" ht="13.2">
      <c r="A330" s="102" t="s">
        <v>366</v>
      </c>
      <c r="B330" s="102"/>
      <c r="C330" s="104">
        <v>3</v>
      </c>
      <c r="D330" s="105" t="s">
        <v>357</v>
      </c>
      <c r="E330" s="106">
        <v>1.1499999999999999</v>
      </c>
      <c r="F330" s="107">
        <v>0.1</v>
      </c>
      <c r="G330" s="108">
        <v>0.1</v>
      </c>
      <c r="H330" s="121" t="s">
        <v>55</v>
      </c>
      <c r="I330" s="110">
        <v>1.2410000000000001</v>
      </c>
      <c r="J330" s="110">
        <v>1.2230000000000001</v>
      </c>
      <c r="K330" s="119">
        <v>1.228</v>
      </c>
      <c r="L330" s="111">
        <f t="shared" si="43"/>
        <v>9.1000000000000192E-2</v>
      </c>
      <c r="M330" s="112">
        <f t="shared" si="43"/>
        <v>7.3000000000000176E-2</v>
      </c>
      <c r="N330" s="112">
        <f t="shared" si="43"/>
        <v>7.8000000000000069E-2</v>
      </c>
      <c r="O330" s="112">
        <f t="shared" si="44"/>
        <v>1.2306666666666668</v>
      </c>
      <c r="P330" s="113">
        <f t="shared" si="45"/>
        <v>0.91000000000000192</v>
      </c>
      <c r="Q330" s="114">
        <f t="shared" si="46"/>
        <v>0</v>
      </c>
      <c r="R330" s="115" t="str">
        <f t="shared" si="47"/>
        <v>Alert</v>
      </c>
      <c r="S330" s="115" t="str">
        <f t="shared" si="48"/>
        <v xml:space="preserve"> </v>
      </c>
      <c r="T330" s="116" t="str">
        <f t="shared" si="49"/>
        <v>Alert</v>
      </c>
      <c r="U330" s="120"/>
      <c r="V330" s="118"/>
      <c r="W330" s="131"/>
    </row>
    <row r="331" spans="1:23" ht="13.2">
      <c r="A331" s="102" t="s">
        <v>367</v>
      </c>
      <c r="B331" s="102"/>
      <c r="C331" s="104">
        <v>3</v>
      </c>
      <c r="D331" s="105" t="s">
        <v>357</v>
      </c>
      <c r="E331" s="106">
        <v>1.1499999999999999</v>
      </c>
      <c r="F331" s="107">
        <v>0.1</v>
      </c>
      <c r="G331" s="108">
        <v>0.1</v>
      </c>
      <c r="H331" s="121" t="s">
        <v>55</v>
      </c>
      <c r="I331" s="110">
        <v>1.2210000000000001</v>
      </c>
      <c r="J331" s="110">
        <v>1.218</v>
      </c>
      <c r="K331" s="119">
        <v>1.204</v>
      </c>
      <c r="L331" s="111">
        <f t="shared" si="43"/>
        <v>7.1000000000000174E-2</v>
      </c>
      <c r="M331" s="112">
        <f t="shared" si="43"/>
        <v>6.800000000000006E-2</v>
      </c>
      <c r="N331" s="112">
        <f t="shared" si="43"/>
        <v>5.4000000000000048E-2</v>
      </c>
      <c r="O331" s="112">
        <f t="shared" si="44"/>
        <v>1.2143333333333333</v>
      </c>
      <c r="P331" s="113">
        <f t="shared" si="45"/>
        <v>0.71000000000000174</v>
      </c>
      <c r="Q331" s="114">
        <f t="shared" si="46"/>
        <v>0</v>
      </c>
      <c r="R331" s="115" t="str">
        <f t="shared" si="47"/>
        <v>Alert</v>
      </c>
      <c r="S331" s="115" t="str">
        <f t="shared" si="48"/>
        <v xml:space="preserve"> </v>
      </c>
      <c r="T331" s="116" t="str">
        <f t="shared" si="49"/>
        <v>Alert</v>
      </c>
      <c r="U331" s="120"/>
      <c r="V331" s="118"/>
      <c r="W331" s="131"/>
    </row>
    <row r="332" spans="1:23" ht="13.2">
      <c r="A332" s="102" t="s">
        <v>368</v>
      </c>
      <c r="B332" s="102"/>
      <c r="C332" s="104">
        <v>3</v>
      </c>
      <c r="D332" s="105" t="s">
        <v>357</v>
      </c>
      <c r="E332" s="106">
        <v>1.1499999999999999</v>
      </c>
      <c r="F332" s="107">
        <v>0.1</v>
      </c>
      <c r="G332" s="108">
        <v>0.1</v>
      </c>
      <c r="H332" s="121" t="s">
        <v>55</v>
      </c>
      <c r="I332" s="110">
        <v>1.216</v>
      </c>
      <c r="J332" s="110">
        <v>1.216</v>
      </c>
      <c r="K332" s="119">
        <v>1.228</v>
      </c>
      <c r="L332" s="111">
        <f t="shared" si="43"/>
        <v>6.6000000000000059E-2</v>
      </c>
      <c r="M332" s="112">
        <f t="shared" si="43"/>
        <v>6.6000000000000059E-2</v>
      </c>
      <c r="N332" s="112">
        <f t="shared" si="43"/>
        <v>7.8000000000000069E-2</v>
      </c>
      <c r="O332" s="112">
        <f t="shared" si="44"/>
        <v>1.22</v>
      </c>
      <c r="P332" s="113">
        <f t="shared" si="45"/>
        <v>0.78000000000000069</v>
      </c>
      <c r="Q332" s="114">
        <f t="shared" si="46"/>
        <v>0</v>
      </c>
      <c r="R332" s="115" t="str">
        <f t="shared" si="47"/>
        <v>Alert</v>
      </c>
      <c r="S332" s="115" t="str">
        <f t="shared" si="48"/>
        <v xml:space="preserve"> </v>
      </c>
      <c r="T332" s="116" t="str">
        <f t="shared" si="49"/>
        <v>Alert</v>
      </c>
      <c r="U332" s="120"/>
      <c r="V332" s="118"/>
      <c r="W332" s="131"/>
    </row>
    <row r="333" spans="1:23" ht="13.2">
      <c r="A333" s="102" t="s">
        <v>369</v>
      </c>
      <c r="B333" s="102"/>
      <c r="C333" s="104">
        <v>3</v>
      </c>
      <c r="D333" s="105" t="s">
        <v>357</v>
      </c>
      <c r="E333" s="106">
        <v>1.1499999999999999</v>
      </c>
      <c r="F333" s="107">
        <v>0.1</v>
      </c>
      <c r="G333" s="108">
        <v>0.1</v>
      </c>
      <c r="H333" s="121" t="s">
        <v>55</v>
      </c>
      <c r="I333" s="110">
        <v>1.224</v>
      </c>
      <c r="J333" s="110">
        <v>1.21</v>
      </c>
      <c r="K333" s="119">
        <v>1.22</v>
      </c>
      <c r="L333" s="111">
        <f t="shared" si="43"/>
        <v>7.4000000000000066E-2</v>
      </c>
      <c r="M333" s="112">
        <f t="shared" si="43"/>
        <v>6.0000000000000053E-2</v>
      </c>
      <c r="N333" s="112">
        <f t="shared" si="43"/>
        <v>7.0000000000000062E-2</v>
      </c>
      <c r="O333" s="112">
        <f t="shared" si="44"/>
        <v>1.218</v>
      </c>
      <c r="P333" s="113">
        <f t="shared" si="45"/>
        <v>0.74000000000000066</v>
      </c>
      <c r="Q333" s="114">
        <f t="shared" si="46"/>
        <v>0</v>
      </c>
      <c r="R333" s="115" t="str">
        <f t="shared" si="47"/>
        <v>Alert</v>
      </c>
      <c r="S333" s="115" t="str">
        <f t="shared" si="48"/>
        <v xml:space="preserve"> </v>
      </c>
      <c r="T333" s="116" t="str">
        <f t="shared" si="49"/>
        <v>Alert</v>
      </c>
      <c r="U333" s="120"/>
      <c r="V333" s="118"/>
      <c r="W333" s="131"/>
    </row>
    <row r="334" spans="1:23" ht="13.2">
      <c r="A334" s="102" t="s">
        <v>370</v>
      </c>
      <c r="B334" s="102"/>
      <c r="C334" s="104">
        <v>3</v>
      </c>
      <c r="D334" s="105" t="s">
        <v>357</v>
      </c>
      <c r="E334" s="106">
        <v>1.1499999999999999</v>
      </c>
      <c r="F334" s="107">
        <v>0.1</v>
      </c>
      <c r="G334" s="108">
        <v>0.1</v>
      </c>
      <c r="H334" s="121" t="s">
        <v>55</v>
      </c>
      <c r="I334" s="110">
        <v>1.23</v>
      </c>
      <c r="J334" s="110">
        <v>1.2230000000000001</v>
      </c>
      <c r="K334" s="119">
        <v>1.1950000000000001</v>
      </c>
      <c r="L334" s="111">
        <f t="shared" si="43"/>
        <v>8.0000000000000071E-2</v>
      </c>
      <c r="M334" s="112">
        <f t="shared" si="43"/>
        <v>7.3000000000000176E-2</v>
      </c>
      <c r="N334" s="112">
        <f t="shared" si="43"/>
        <v>4.5000000000000151E-2</v>
      </c>
      <c r="O334" s="112">
        <f t="shared" si="44"/>
        <v>1.2160000000000002</v>
      </c>
      <c r="P334" s="113">
        <f t="shared" si="45"/>
        <v>0.80000000000000071</v>
      </c>
      <c r="Q334" s="114">
        <f t="shared" si="46"/>
        <v>0</v>
      </c>
      <c r="R334" s="115" t="str">
        <f t="shared" si="47"/>
        <v>Alert</v>
      </c>
      <c r="S334" s="115" t="str">
        <f t="shared" si="48"/>
        <v xml:space="preserve"> </v>
      </c>
      <c r="T334" s="116" t="str">
        <f t="shared" si="49"/>
        <v>Alert</v>
      </c>
      <c r="U334" s="120"/>
      <c r="V334" s="118"/>
      <c r="W334" s="131"/>
    </row>
    <row r="335" spans="1:23" ht="13.2">
      <c r="A335" s="102" t="s">
        <v>371</v>
      </c>
      <c r="B335" s="102"/>
      <c r="C335" s="104">
        <v>3</v>
      </c>
      <c r="D335" s="105" t="s">
        <v>357</v>
      </c>
      <c r="E335" s="106">
        <v>1.1499999999999999</v>
      </c>
      <c r="F335" s="107">
        <v>0.1</v>
      </c>
      <c r="G335" s="108">
        <v>0.1</v>
      </c>
      <c r="H335" s="121" t="s">
        <v>55</v>
      </c>
      <c r="I335" s="110">
        <v>1.2210000000000001</v>
      </c>
      <c r="J335" s="110">
        <v>1.2110000000000001</v>
      </c>
      <c r="K335" s="119">
        <v>1.2150000000000001</v>
      </c>
      <c r="L335" s="111">
        <f t="shared" si="43"/>
        <v>7.1000000000000174E-2</v>
      </c>
      <c r="M335" s="112">
        <f t="shared" si="43"/>
        <v>6.1000000000000165E-2</v>
      </c>
      <c r="N335" s="112">
        <f t="shared" si="43"/>
        <v>6.5000000000000169E-2</v>
      </c>
      <c r="O335" s="112">
        <f t="shared" si="44"/>
        <v>1.2156666666666667</v>
      </c>
      <c r="P335" s="113">
        <f t="shared" si="45"/>
        <v>0.71000000000000174</v>
      </c>
      <c r="Q335" s="114">
        <f t="shared" si="46"/>
        <v>0</v>
      </c>
      <c r="R335" s="115" t="str">
        <f t="shared" si="47"/>
        <v>Alert</v>
      </c>
      <c r="S335" s="115" t="str">
        <f t="shared" si="48"/>
        <v xml:space="preserve"> </v>
      </c>
      <c r="T335" s="116" t="str">
        <f t="shared" si="49"/>
        <v>Alert</v>
      </c>
      <c r="U335" s="120"/>
      <c r="V335" s="118"/>
      <c r="W335" s="131"/>
    </row>
    <row r="336" spans="1:23" ht="13.2">
      <c r="A336" s="102" t="s">
        <v>372</v>
      </c>
      <c r="B336" s="102"/>
      <c r="C336" s="104">
        <v>3</v>
      </c>
      <c r="D336" s="105" t="s">
        <v>357</v>
      </c>
      <c r="E336" s="106">
        <v>1.1499999999999999</v>
      </c>
      <c r="F336" s="107">
        <v>0.1</v>
      </c>
      <c r="G336" s="108">
        <v>0.1</v>
      </c>
      <c r="H336" s="121" t="s">
        <v>55</v>
      </c>
      <c r="I336" s="110">
        <v>1.2410000000000001</v>
      </c>
      <c r="J336" s="110">
        <v>1.2190000000000001</v>
      </c>
      <c r="K336" s="119">
        <v>1.2010000000000001</v>
      </c>
      <c r="L336" s="111">
        <f t="shared" si="43"/>
        <v>9.1000000000000192E-2</v>
      </c>
      <c r="M336" s="112">
        <f t="shared" si="43"/>
        <v>6.9000000000000172E-2</v>
      </c>
      <c r="N336" s="112">
        <f t="shared" si="43"/>
        <v>5.1000000000000156E-2</v>
      </c>
      <c r="O336" s="112">
        <f t="shared" si="44"/>
        <v>1.2203333333333333</v>
      </c>
      <c r="P336" s="113">
        <f t="shared" si="45"/>
        <v>0.91000000000000192</v>
      </c>
      <c r="Q336" s="114">
        <f t="shared" si="46"/>
        <v>0</v>
      </c>
      <c r="R336" s="115" t="str">
        <f t="shared" si="47"/>
        <v>Alert</v>
      </c>
      <c r="S336" s="115" t="str">
        <f t="shared" si="48"/>
        <v xml:space="preserve"> </v>
      </c>
      <c r="T336" s="116" t="str">
        <f t="shared" si="49"/>
        <v>Alert</v>
      </c>
      <c r="U336" s="120"/>
      <c r="V336" s="118"/>
      <c r="W336" s="131"/>
    </row>
    <row r="337" spans="1:23" ht="13.2">
      <c r="A337" s="102" t="s">
        <v>373</v>
      </c>
      <c r="B337" s="102"/>
      <c r="C337" s="104">
        <v>3</v>
      </c>
      <c r="D337" s="105" t="s">
        <v>357</v>
      </c>
      <c r="E337" s="106">
        <v>1.1499999999999999</v>
      </c>
      <c r="F337" s="107">
        <v>0.1</v>
      </c>
      <c r="G337" s="108">
        <v>0.1</v>
      </c>
      <c r="H337" s="121" t="s">
        <v>55</v>
      </c>
      <c r="I337" s="110">
        <v>1.2450000000000001</v>
      </c>
      <c r="J337" s="110">
        <v>1.218</v>
      </c>
      <c r="K337" s="119">
        <v>1.2390000000000001</v>
      </c>
      <c r="L337" s="111">
        <f t="shared" si="43"/>
        <v>9.5000000000000195E-2</v>
      </c>
      <c r="M337" s="112">
        <f t="shared" si="43"/>
        <v>6.800000000000006E-2</v>
      </c>
      <c r="N337" s="112">
        <f t="shared" si="43"/>
        <v>8.900000000000019E-2</v>
      </c>
      <c r="O337" s="112">
        <f t="shared" si="44"/>
        <v>1.234</v>
      </c>
      <c r="P337" s="113">
        <f t="shared" si="45"/>
        <v>0.95000000000000195</v>
      </c>
      <c r="Q337" s="114">
        <f t="shared" si="46"/>
        <v>0</v>
      </c>
      <c r="R337" s="115" t="str">
        <f t="shared" si="47"/>
        <v>Alert</v>
      </c>
      <c r="S337" s="115" t="str">
        <f t="shared" si="48"/>
        <v xml:space="preserve"> </v>
      </c>
      <c r="T337" s="116" t="str">
        <f t="shared" si="49"/>
        <v>Alert</v>
      </c>
      <c r="U337" s="120"/>
      <c r="V337" s="118"/>
      <c r="W337" s="131"/>
    </row>
    <row r="338" spans="1:23" ht="13.2">
      <c r="A338" s="102" t="s">
        <v>374</v>
      </c>
      <c r="B338" s="102"/>
      <c r="C338" s="104">
        <v>3</v>
      </c>
      <c r="D338" s="105" t="s">
        <v>357</v>
      </c>
      <c r="E338" s="106">
        <v>1.1499999999999999</v>
      </c>
      <c r="F338" s="107">
        <v>0.1</v>
      </c>
      <c r="G338" s="108">
        <v>0.1</v>
      </c>
      <c r="H338" s="121" t="s">
        <v>55</v>
      </c>
      <c r="I338" s="110">
        <v>1.2370000000000001</v>
      </c>
      <c r="J338" s="110">
        <v>1.2130000000000001</v>
      </c>
      <c r="K338" s="119">
        <v>1.2210000000000001</v>
      </c>
      <c r="L338" s="111">
        <f t="shared" si="43"/>
        <v>8.7000000000000188E-2</v>
      </c>
      <c r="M338" s="112">
        <f t="shared" si="43"/>
        <v>6.3000000000000167E-2</v>
      </c>
      <c r="N338" s="112">
        <f t="shared" si="43"/>
        <v>7.1000000000000174E-2</v>
      </c>
      <c r="O338" s="112">
        <f t="shared" si="44"/>
        <v>1.2236666666666667</v>
      </c>
      <c r="P338" s="113">
        <f t="shared" si="45"/>
        <v>0.87000000000000188</v>
      </c>
      <c r="Q338" s="114">
        <f t="shared" si="46"/>
        <v>0</v>
      </c>
      <c r="R338" s="115" t="str">
        <f t="shared" si="47"/>
        <v>Alert</v>
      </c>
      <c r="S338" s="115" t="str">
        <f t="shared" si="48"/>
        <v xml:space="preserve"> </v>
      </c>
      <c r="T338" s="116" t="str">
        <f t="shared" si="49"/>
        <v>Alert</v>
      </c>
      <c r="U338" s="120"/>
      <c r="V338" s="118"/>
      <c r="W338" s="131"/>
    </row>
    <row r="339" spans="1:23" ht="13.2">
      <c r="A339" s="102" t="s">
        <v>375</v>
      </c>
      <c r="B339" s="102"/>
      <c r="C339" s="104">
        <v>3</v>
      </c>
      <c r="D339" s="105" t="s">
        <v>357</v>
      </c>
      <c r="E339" s="106">
        <v>1.1499999999999999</v>
      </c>
      <c r="F339" s="107">
        <v>0.1</v>
      </c>
      <c r="G339" s="108">
        <v>0.1</v>
      </c>
      <c r="H339" s="121" t="s">
        <v>55</v>
      </c>
      <c r="I339" s="110">
        <v>1.218</v>
      </c>
      <c r="J339" s="110">
        <v>1.2190000000000001</v>
      </c>
      <c r="K339" s="119">
        <v>1.226</v>
      </c>
      <c r="L339" s="111">
        <f t="shared" si="43"/>
        <v>6.800000000000006E-2</v>
      </c>
      <c r="M339" s="112">
        <f t="shared" si="43"/>
        <v>6.9000000000000172E-2</v>
      </c>
      <c r="N339" s="112">
        <f t="shared" si="43"/>
        <v>7.6000000000000068E-2</v>
      </c>
      <c r="O339" s="112">
        <f t="shared" si="44"/>
        <v>1.2210000000000001</v>
      </c>
      <c r="P339" s="113">
        <f t="shared" si="45"/>
        <v>0.76000000000000068</v>
      </c>
      <c r="Q339" s="114">
        <f t="shared" si="46"/>
        <v>0</v>
      </c>
      <c r="R339" s="115" t="str">
        <f t="shared" si="47"/>
        <v>Alert</v>
      </c>
      <c r="S339" s="115" t="str">
        <f t="shared" si="48"/>
        <v xml:space="preserve"> </v>
      </c>
      <c r="T339" s="116" t="str">
        <f t="shared" si="49"/>
        <v>Alert</v>
      </c>
      <c r="U339" s="120"/>
      <c r="V339" s="118"/>
      <c r="W339" s="131"/>
    </row>
    <row r="340" spans="1:23" ht="13.2">
      <c r="A340" s="102" t="s">
        <v>376</v>
      </c>
      <c r="B340" s="102"/>
      <c r="C340" s="104">
        <v>3</v>
      </c>
      <c r="D340" s="105" t="s">
        <v>357</v>
      </c>
      <c r="E340" s="106">
        <v>1.1499999999999999</v>
      </c>
      <c r="F340" s="107">
        <v>0.1</v>
      </c>
      <c r="G340" s="108">
        <v>0.1</v>
      </c>
      <c r="H340" s="121" t="s">
        <v>55</v>
      </c>
      <c r="I340" s="110">
        <v>1.232</v>
      </c>
      <c r="J340" s="110">
        <v>1.2130000000000001</v>
      </c>
      <c r="K340" s="119">
        <v>1.226</v>
      </c>
      <c r="L340" s="111">
        <f t="shared" si="43"/>
        <v>8.2000000000000073E-2</v>
      </c>
      <c r="M340" s="112">
        <f t="shared" si="43"/>
        <v>6.3000000000000167E-2</v>
      </c>
      <c r="N340" s="112">
        <f t="shared" si="43"/>
        <v>7.6000000000000068E-2</v>
      </c>
      <c r="O340" s="112">
        <f t="shared" si="44"/>
        <v>1.2236666666666667</v>
      </c>
      <c r="P340" s="113">
        <f t="shared" si="45"/>
        <v>0.82000000000000073</v>
      </c>
      <c r="Q340" s="114">
        <f t="shared" si="46"/>
        <v>0</v>
      </c>
      <c r="R340" s="115" t="str">
        <f t="shared" si="47"/>
        <v>Alert</v>
      </c>
      <c r="S340" s="115" t="str">
        <f t="shared" si="48"/>
        <v xml:space="preserve"> </v>
      </c>
      <c r="T340" s="116" t="str">
        <f t="shared" si="49"/>
        <v>Alert</v>
      </c>
      <c r="U340" s="120"/>
      <c r="V340" s="118"/>
      <c r="W340" s="131"/>
    </row>
    <row r="341" spans="1:23" ht="13.2">
      <c r="A341" s="102" t="s">
        <v>377</v>
      </c>
      <c r="B341" s="102"/>
      <c r="C341" s="104">
        <v>3</v>
      </c>
      <c r="D341" s="105" t="s">
        <v>357</v>
      </c>
      <c r="E341" s="106">
        <v>1.1499999999999999</v>
      </c>
      <c r="F341" s="107">
        <v>0.1</v>
      </c>
      <c r="G341" s="108">
        <v>0.1</v>
      </c>
      <c r="H341" s="121" t="s">
        <v>55</v>
      </c>
      <c r="I341" s="110">
        <v>1.2250000000000001</v>
      </c>
      <c r="J341" s="110">
        <v>1.212</v>
      </c>
      <c r="K341" s="119">
        <v>1.212</v>
      </c>
      <c r="L341" s="111">
        <f t="shared" si="43"/>
        <v>7.5000000000000178E-2</v>
      </c>
      <c r="M341" s="112">
        <f t="shared" si="43"/>
        <v>6.2000000000000055E-2</v>
      </c>
      <c r="N341" s="112">
        <f t="shared" si="43"/>
        <v>6.2000000000000055E-2</v>
      </c>
      <c r="O341" s="112">
        <f t="shared" si="44"/>
        <v>1.2163333333333333</v>
      </c>
      <c r="P341" s="113">
        <f t="shared" si="45"/>
        <v>0.75000000000000178</v>
      </c>
      <c r="Q341" s="114">
        <f t="shared" si="46"/>
        <v>0</v>
      </c>
      <c r="R341" s="115" t="str">
        <f t="shared" si="47"/>
        <v>Alert</v>
      </c>
      <c r="S341" s="115" t="str">
        <f t="shared" si="48"/>
        <v xml:space="preserve"> </v>
      </c>
      <c r="T341" s="116" t="str">
        <f t="shared" si="49"/>
        <v>Alert</v>
      </c>
      <c r="U341" s="120"/>
      <c r="V341" s="118"/>
      <c r="W341" s="131"/>
    </row>
    <row r="342" spans="1:23" ht="13.2">
      <c r="A342" s="102" t="s">
        <v>378</v>
      </c>
      <c r="B342" s="103"/>
      <c r="C342" s="104">
        <v>3</v>
      </c>
      <c r="D342" s="105" t="s">
        <v>357</v>
      </c>
      <c r="E342" s="106">
        <v>1.1499999999999999</v>
      </c>
      <c r="F342" s="107">
        <v>0.1</v>
      </c>
      <c r="G342" s="108">
        <v>0.1</v>
      </c>
      <c r="H342" s="121" t="s">
        <v>55</v>
      </c>
      <c r="I342" s="110">
        <v>1.232</v>
      </c>
      <c r="J342" s="110">
        <v>1.2190000000000001</v>
      </c>
      <c r="K342" s="119">
        <v>1.2150000000000001</v>
      </c>
      <c r="L342" s="111">
        <f t="shared" si="43"/>
        <v>8.2000000000000073E-2</v>
      </c>
      <c r="M342" s="112">
        <f t="shared" si="43"/>
        <v>6.9000000000000172E-2</v>
      </c>
      <c r="N342" s="112">
        <f t="shared" si="43"/>
        <v>6.5000000000000169E-2</v>
      </c>
      <c r="O342" s="112">
        <f t="shared" si="44"/>
        <v>1.2220000000000002</v>
      </c>
      <c r="P342" s="113">
        <f t="shared" si="45"/>
        <v>0.82000000000000073</v>
      </c>
      <c r="Q342" s="114">
        <f t="shared" si="46"/>
        <v>0</v>
      </c>
      <c r="R342" s="115" t="str">
        <f t="shared" si="47"/>
        <v>Alert</v>
      </c>
      <c r="S342" s="115" t="str">
        <f t="shared" si="48"/>
        <v xml:space="preserve"> </v>
      </c>
      <c r="T342" s="116" t="str">
        <f t="shared" si="49"/>
        <v>Alert</v>
      </c>
      <c r="U342" s="120"/>
      <c r="V342" s="118"/>
      <c r="W342" s="131"/>
    </row>
    <row r="343" spans="1:23" ht="13.2">
      <c r="A343" s="102" t="s">
        <v>379</v>
      </c>
      <c r="B343" s="103"/>
      <c r="C343" s="104">
        <v>3</v>
      </c>
      <c r="D343" s="105" t="s">
        <v>357</v>
      </c>
      <c r="E343" s="106">
        <v>1.1499999999999999</v>
      </c>
      <c r="F343" s="107">
        <v>0.1</v>
      </c>
      <c r="G343" s="108">
        <v>0.1</v>
      </c>
      <c r="H343" s="121" t="s">
        <v>55</v>
      </c>
      <c r="I343" s="110">
        <v>1.2230000000000001</v>
      </c>
      <c r="J343" s="110">
        <v>1.2150000000000001</v>
      </c>
      <c r="K343" s="119">
        <v>1.2230000000000001</v>
      </c>
      <c r="L343" s="111">
        <f t="shared" si="43"/>
        <v>7.3000000000000176E-2</v>
      </c>
      <c r="M343" s="112">
        <f t="shared" si="43"/>
        <v>6.5000000000000169E-2</v>
      </c>
      <c r="N343" s="112">
        <f t="shared" si="43"/>
        <v>7.3000000000000176E-2</v>
      </c>
      <c r="O343" s="112">
        <f t="shared" si="44"/>
        <v>1.2203333333333335</v>
      </c>
      <c r="P343" s="113">
        <f t="shared" si="45"/>
        <v>0.73000000000000176</v>
      </c>
      <c r="Q343" s="114">
        <f t="shared" si="46"/>
        <v>0</v>
      </c>
      <c r="R343" s="115" t="str">
        <f t="shared" si="47"/>
        <v>Alert</v>
      </c>
      <c r="S343" s="115" t="str">
        <f t="shared" si="48"/>
        <v xml:space="preserve"> </v>
      </c>
      <c r="T343" s="116" t="str">
        <f t="shared" si="49"/>
        <v>Alert</v>
      </c>
      <c r="U343" s="120"/>
      <c r="V343" s="118"/>
      <c r="W343" s="131"/>
    </row>
    <row r="344" spans="1:23" ht="13.2">
      <c r="A344" s="102" t="s">
        <v>380</v>
      </c>
      <c r="B344" s="103"/>
      <c r="C344" s="104">
        <v>3</v>
      </c>
      <c r="D344" s="105" t="s">
        <v>357</v>
      </c>
      <c r="E344" s="106">
        <v>1.1499999999999999</v>
      </c>
      <c r="F344" s="107">
        <v>0.1</v>
      </c>
      <c r="G344" s="108">
        <v>0.1</v>
      </c>
      <c r="H344" s="121" t="s">
        <v>55</v>
      </c>
      <c r="I344" s="110">
        <v>1.2250000000000001</v>
      </c>
      <c r="J344" s="110">
        <v>1.23</v>
      </c>
      <c r="K344" s="119">
        <v>1.2190000000000001</v>
      </c>
      <c r="L344" s="111">
        <f t="shared" si="43"/>
        <v>7.5000000000000178E-2</v>
      </c>
      <c r="M344" s="112">
        <f t="shared" si="43"/>
        <v>8.0000000000000071E-2</v>
      </c>
      <c r="N344" s="112">
        <f t="shared" si="43"/>
        <v>6.9000000000000172E-2</v>
      </c>
      <c r="O344" s="112">
        <f t="shared" si="44"/>
        <v>1.2246666666666668</v>
      </c>
      <c r="P344" s="113">
        <f t="shared" si="45"/>
        <v>0.80000000000000071</v>
      </c>
      <c r="Q344" s="114">
        <f t="shared" si="46"/>
        <v>0</v>
      </c>
      <c r="R344" s="115" t="str">
        <f t="shared" si="47"/>
        <v>Alert</v>
      </c>
      <c r="S344" s="115" t="str">
        <f t="shared" si="48"/>
        <v xml:space="preserve"> </v>
      </c>
      <c r="T344" s="116" t="str">
        <f t="shared" si="49"/>
        <v>Alert</v>
      </c>
      <c r="U344" s="120"/>
      <c r="V344" s="118"/>
      <c r="W344" s="131"/>
    </row>
    <row r="345" spans="1:23" ht="13.2">
      <c r="A345" s="102" t="s">
        <v>381</v>
      </c>
      <c r="B345" s="102"/>
      <c r="C345" s="104">
        <v>3</v>
      </c>
      <c r="D345" s="105" t="s">
        <v>357</v>
      </c>
      <c r="E345" s="106">
        <v>1.1499999999999999</v>
      </c>
      <c r="F345" s="107">
        <v>0.1</v>
      </c>
      <c r="G345" s="108">
        <v>0.1</v>
      </c>
      <c r="H345" s="121" t="s">
        <v>55</v>
      </c>
      <c r="I345" s="110">
        <v>1.2350000000000001</v>
      </c>
      <c r="J345" s="110">
        <v>1.218</v>
      </c>
      <c r="K345" s="119">
        <v>1.2230000000000001</v>
      </c>
      <c r="L345" s="111">
        <f t="shared" si="43"/>
        <v>8.5000000000000187E-2</v>
      </c>
      <c r="M345" s="112">
        <f t="shared" si="43"/>
        <v>6.800000000000006E-2</v>
      </c>
      <c r="N345" s="112">
        <f t="shared" si="43"/>
        <v>7.3000000000000176E-2</v>
      </c>
      <c r="O345" s="112">
        <f t="shared" si="44"/>
        <v>1.2253333333333334</v>
      </c>
      <c r="P345" s="113">
        <f t="shared" si="45"/>
        <v>0.85000000000000187</v>
      </c>
      <c r="Q345" s="114">
        <f t="shared" si="46"/>
        <v>0</v>
      </c>
      <c r="R345" s="115" t="str">
        <f t="shared" si="47"/>
        <v>Alert</v>
      </c>
      <c r="S345" s="115" t="str">
        <f t="shared" si="48"/>
        <v xml:space="preserve"> </v>
      </c>
      <c r="T345" s="116" t="str">
        <f t="shared" si="49"/>
        <v>Alert</v>
      </c>
      <c r="U345" s="120"/>
      <c r="V345" s="118"/>
      <c r="W345" s="131"/>
    </row>
    <row r="346" spans="1:23" ht="13.2">
      <c r="A346" s="102" t="s">
        <v>382</v>
      </c>
      <c r="B346" s="102"/>
      <c r="C346" s="104">
        <v>3</v>
      </c>
      <c r="D346" s="105" t="s">
        <v>357</v>
      </c>
      <c r="E346" s="106">
        <v>1.1499999999999999</v>
      </c>
      <c r="F346" s="107">
        <v>0.1</v>
      </c>
      <c r="G346" s="108">
        <v>0.1</v>
      </c>
      <c r="H346" s="121" t="s">
        <v>55</v>
      </c>
      <c r="I346" s="110">
        <v>1.234</v>
      </c>
      <c r="J346" s="110">
        <v>1.2210000000000001</v>
      </c>
      <c r="K346" s="119">
        <v>1.214</v>
      </c>
      <c r="L346" s="111">
        <f t="shared" si="43"/>
        <v>8.4000000000000075E-2</v>
      </c>
      <c r="M346" s="112">
        <f t="shared" si="43"/>
        <v>7.1000000000000174E-2</v>
      </c>
      <c r="N346" s="112">
        <f t="shared" si="43"/>
        <v>6.4000000000000057E-2</v>
      </c>
      <c r="O346" s="112">
        <f t="shared" si="44"/>
        <v>1.2230000000000001</v>
      </c>
      <c r="P346" s="113">
        <f t="shared" si="45"/>
        <v>0.84000000000000075</v>
      </c>
      <c r="Q346" s="114">
        <f t="shared" si="46"/>
        <v>0</v>
      </c>
      <c r="R346" s="115" t="str">
        <f t="shared" si="47"/>
        <v>Alert</v>
      </c>
      <c r="S346" s="115" t="str">
        <f t="shared" si="48"/>
        <v xml:space="preserve"> </v>
      </c>
      <c r="T346" s="116" t="str">
        <f t="shared" si="49"/>
        <v>Alert</v>
      </c>
      <c r="U346" s="120"/>
      <c r="V346" s="118"/>
      <c r="W346" s="131"/>
    </row>
    <row r="347" spans="1:23" ht="13.2">
      <c r="A347" s="102" t="s">
        <v>383</v>
      </c>
      <c r="B347" s="102"/>
      <c r="C347" s="104">
        <v>3</v>
      </c>
      <c r="D347" s="105" t="s">
        <v>357</v>
      </c>
      <c r="E347" s="106">
        <v>1.1499999999999999</v>
      </c>
      <c r="F347" s="107">
        <v>0.1</v>
      </c>
      <c r="G347" s="108">
        <v>0.1</v>
      </c>
      <c r="H347" s="121" t="s">
        <v>55</v>
      </c>
      <c r="I347" s="110">
        <v>1.2350000000000001</v>
      </c>
      <c r="J347" s="110">
        <v>1.23</v>
      </c>
      <c r="K347" s="119">
        <v>1.2430000000000001</v>
      </c>
      <c r="L347" s="111">
        <f t="shared" si="43"/>
        <v>8.5000000000000187E-2</v>
      </c>
      <c r="M347" s="112">
        <f t="shared" si="43"/>
        <v>8.0000000000000071E-2</v>
      </c>
      <c r="N347" s="112">
        <f t="shared" si="43"/>
        <v>9.3000000000000194E-2</v>
      </c>
      <c r="O347" s="112">
        <f t="shared" si="44"/>
        <v>1.236</v>
      </c>
      <c r="P347" s="113">
        <f t="shared" si="45"/>
        <v>0.93000000000000194</v>
      </c>
      <c r="Q347" s="114">
        <f t="shared" si="46"/>
        <v>0</v>
      </c>
      <c r="R347" s="115" t="str">
        <f t="shared" si="47"/>
        <v>Alert</v>
      </c>
      <c r="S347" s="115" t="str">
        <f t="shared" si="48"/>
        <v xml:space="preserve"> </v>
      </c>
      <c r="T347" s="116" t="str">
        <f t="shared" si="49"/>
        <v>Alert</v>
      </c>
      <c r="U347" s="120"/>
      <c r="V347" s="118"/>
      <c r="W347" s="131"/>
    </row>
    <row r="348" spans="1:23" ht="13.2">
      <c r="A348" s="102" t="s">
        <v>384</v>
      </c>
      <c r="B348" s="102"/>
      <c r="C348" s="104">
        <v>3</v>
      </c>
      <c r="D348" s="105" t="s">
        <v>357</v>
      </c>
      <c r="E348" s="106">
        <v>1.1499999999999999</v>
      </c>
      <c r="F348" s="107">
        <v>0.1</v>
      </c>
      <c r="G348" s="108">
        <v>0.1</v>
      </c>
      <c r="H348" s="121" t="s">
        <v>55</v>
      </c>
      <c r="I348" s="110">
        <v>1.214</v>
      </c>
      <c r="J348" s="110">
        <v>1.2130000000000001</v>
      </c>
      <c r="K348" s="119">
        <v>1.208</v>
      </c>
      <c r="L348" s="111">
        <f t="shared" si="43"/>
        <v>6.4000000000000057E-2</v>
      </c>
      <c r="M348" s="112">
        <f t="shared" si="43"/>
        <v>6.3000000000000167E-2</v>
      </c>
      <c r="N348" s="112">
        <f t="shared" si="43"/>
        <v>5.8000000000000052E-2</v>
      </c>
      <c r="O348" s="112">
        <f t="shared" si="44"/>
        <v>1.2116666666666667</v>
      </c>
      <c r="P348" s="113">
        <f t="shared" si="45"/>
        <v>0.64000000000000057</v>
      </c>
      <c r="Q348" s="114">
        <f t="shared" si="46"/>
        <v>0</v>
      </c>
      <c r="R348" s="115" t="str">
        <f t="shared" si="47"/>
        <v xml:space="preserve"> </v>
      </c>
      <c r="S348" s="115" t="str">
        <f t="shared" si="48"/>
        <v xml:space="preserve"> </v>
      </c>
      <c r="T348" s="116" t="str">
        <f t="shared" si="49"/>
        <v/>
      </c>
      <c r="U348" s="120"/>
      <c r="V348" s="118"/>
      <c r="W348" s="131"/>
    </row>
    <row r="349" spans="1:23" ht="13.2">
      <c r="A349" s="102" t="s">
        <v>385</v>
      </c>
      <c r="B349" s="102"/>
      <c r="C349" s="104">
        <v>3</v>
      </c>
      <c r="D349" s="105" t="s">
        <v>357</v>
      </c>
      <c r="E349" s="106">
        <v>1.1499999999999999</v>
      </c>
      <c r="F349" s="107">
        <v>0.1</v>
      </c>
      <c r="G349" s="108">
        <v>0.1</v>
      </c>
      <c r="H349" s="121" t="s">
        <v>55</v>
      </c>
      <c r="I349" s="110">
        <v>1.242</v>
      </c>
      <c r="J349" s="110">
        <v>1.22</v>
      </c>
      <c r="K349" s="119">
        <v>1.2210000000000001</v>
      </c>
      <c r="L349" s="111">
        <f t="shared" ref="L349:N412" si="50">IF(ISBLANK($E349),"",IF(ISERR(I349/I349)=TRUE,"BAD INSP",I349-$E349))</f>
        <v>9.2000000000000082E-2</v>
      </c>
      <c r="M349" s="112">
        <f t="shared" si="50"/>
        <v>7.0000000000000062E-2</v>
      </c>
      <c r="N349" s="112">
        <f t="shared" si="50"/>
        <v>7.1000000000000174E-2</v>
      </c>
      <c r="O349" s="112">
        <f t="shared" si="44"/>
        <v>1.2276666666666667</v>
      </c>
      <c r="P349" s="113">
        <f t="shared" si="45"/>
        <v>0.92000000000000082</v>
      </c>
      <c r="Q349" s="114">
        <f t="shared" si="46"/>
        <v>0</v>
      </c>
      <c r="R349" s="115" t="str">
        <f t="shared" si="47"/>
        <v>Alert</v>
      </c>
      <c r="S349" s="115" t="str">
        <f t="shared" si="48"/>
        <v xml:space="preserve"> </v>
      </c>
      <c r="T349" s="116" t="str">
        <f t="shared" si="49"/>
        <v>Alert</v>
      </c>
      <c r="U349" s="120"/>
      <c r="V349" s="118"/>
      <c r="W349" s="131"/>
    </row>
    <row r="350" spans="1:23" ht="13.2">
      <c r="A350" s="102" t="s">
        <v>386</v>
      </c>
      <c r="B350" s="102"/>
      <c r="C350" s="104">
        <v>3</v>
      </c>
      <c r="D350" s="105" t="s">
        <v>357</v>
      </c>
      <c r="E350" s="106">
        <v>1.1499999999999999</v>
      </c>
      <c r="F350" s="107">
        <v>0.1</v>
      </c>
      <c r="G350" s="108">
        <v>0.1</v>
      </c>
      <c r="H350" s="121" t="s">
        <v>55</v>
      </c>
      <c r="I350" s="110">
        <v>1.2290000000000001</v>
      </c>
      <c r="J350" s="110">
        <v>1.214</v>
      </c>
      <c r="K350" s="119">
        <v>1.224</v>
      </c>
      <c r="L350" s="111">
        <f t="shared" si="50"/>
        <v>7.9000000000000181E-2</v>
      </c>
      <c r="M350" s="112">
        <f t="shared" si="50"/>
        <v>6.4000000000000057E-2</v>
      </c>
      <c r="N350" s="112">
        <f t="shared" si="50"/>
        <v>7.4000000000000066E-2</v>
      </c>
      <c r="O350" s="112">
        <f t="shared" si="44"/>
        <v>1.2223333333333333</v>
      </c>
      <c r="P350" s="113">
        <f t="shared" si="45"/>
        <v>0.79000000000000181</v>
      </c>
      <c r="Q350" s="114">
        <f t="shared" si="46"/>
        <v>0</v>
      </c>
      <c r="R350" s="115" t="str">
        <f t="shared" si="47"/>
        <v>Alert</v>
      </c>
      <c r="S350" s="115" t="str">
        <f t="shared" si="48"/>
        <v xml:space="preserve"> </v>
      </c>
      <c r="T350" s="116" t="str">
        <f t="shared" si="49"/>
        <v>Alert</v>
      </c>
      <c r="U350" s="120"/>
      <c r="V350" s="118"/>
      <c r="W350" s="131"/>
    </row>
    <row r="351" spans="1:23" ht="13.2">
      <c r="A351" s="102" t="s">
        <v>387</v>
      </c>
      <c r="B351" s="102"/>
      <c r="C351" s="104">
        <v>3</v>
      </c>
      <c r="D351" s="105" t="s">
        <v>357</v>
      </c>
      <c r="E351" s="106">
        <v>1.1499999999999999</v>
      </c>
      <c r="F351" s="107">
        <v>0.1</v>
      </c>
      <c r="G351" s="108">
        <v>0.1</v>
      </c>
      <c r="H351" s="121" t="s">
        <v>55</v>
      </c>
      <c r="I351" s="110">
        <v>1.238</v>
      </c>
      <c r="J351" s="110">
        <v>1.21</v>
      </c>
      <c r="K351" s="119">
        <v>1.2270000000000001</v>
      </c>
      <c r="L351" s="111">
        <f t="shared" si="50"/>
        <v>8.8000000000000078E-2</v>
      </c>
      <c r="M351" s="112">
        <f t="shared" si="50"/>
        <v>6.0000000000000053E-2</v>
      </c>
      <c r="N351" s="112">
        <f t="shared" si="50"/>
        <v>7.7000000000000179E-2</v>
      </c>
      <c r="O351" s="112">
        <f t="shared" si="44"/>
        <v>1.2249999999999999</v>
      </c>
      <c r="P351" s="113">
        <f t="shared" si="45"/>
        <v>0.88000000000000078</v>
      </c>
      <c r="Q351" s="114">
        <f t="shared" si="46"/>
        <v>0</v>
      </c>
      <c r="R351" s="115" t="str">
        <f t="shared" si="47"/>
        <v>Alert</v>
      </c>
      <c r="S351" s="115" t="str">
        <f t="shared" si="48"/>
        <v xml:space="preserve"> </v>
      </c>
      <c r="T351" s="116" t="str">
        <f t="shared" si="49"/>
        <v>Alert</v>
      </c>
      <c r="U351" s="120"/>
      <c r="V351" s="118"/>
      <c r="W351" s="131"/>
    </row>
    <row r="352" spans="1:23" ht="13.2">
      <c r="A352" s="102" t="s">
        <v>388</v>
      </c>
      <c r="B352" s="102"/>
      <c r="C352" s="104">
        <v>3</v>
      </c>
      <c r="D352" s="105" t="s">
        <v>357</v>
      </c>
      <c r="E352" s="106">
        <v>1.1499999999999999</v>
      </c>
      <c r="F352" s="107">
        <v>0.1</v>
      </c>
      <c r="G352" s="108">
        <v>0.1</v>
      </c>
      <c r="H352" s="121" t="s">
        <v>55</v>
      </c>
      <c r="I352" s="110">
        <v>1.23</v>
      </c>
      <c r="J352" s="110">
        <v>1.2</v>
      </c>
      <c r="K352" s="119">
        <v>1.2230000000000001</v>
      </c>
      <c r="L352" s="111">
        <f t="shared" si="50"/>
        <v>8.0000000000000071E-2</v>
      </c>
      <c r="M352" s="112">
        <f t="shared" si="50"/>
        <v>5.0000000000000044E-2</v>
      </c>
      <c r="N352" s="112">
        <f t="shared" si="50"/>
        <v>7.3000000000000176E-2</v>
      </c>
      <c r="O352" s="112">
        <f t="shared" si="44"/>
        <v>1.2176666666666665</v>
      </c>
      <c r="P352" s="113">
        <f t="shared" si="45"/>
        <v>0.80000000000000071</v>
      </c>
      <c r="Q352" s="114">
        <f t="shared" si="46"/>
        <v>0</v>
      </c>
      <c r="R352" s="115" t="str">
        <f t="shared" si="47"/>
        <v>Alert</v>
      </c>
      <c r="S352" s="115" t="str">
        <f t="shared" si="48"/>
        <v xml:space="preserve"> </v>
      </c>
      <c r="T352" s="116" t="str">
        <f t="shared" si="49"/>
        <v>Alert</v>
      </c>
      <c r="U352" s="120"/>
      <c r="V352" s="118"/>
      <c r="W352" s="131"/>
    </row>
    <row r="353" spans="1:23" ht="13.2">
      <c r="A353" s="102" t="s">
        <v>389</v>
      </c>
      <c r="B353" s="102"/>
      <c r="C353" s="104">
        <v>3</v>
      </c>
      <c r="D353" s="105" t="s">
        <v>357</v>
      </c>
      <c r="E353" s="106">
        <v>1.1499999999999999</v>
      </c>
      <c r="F353" s="107">
        <v>0.1</v>
      </c>
      <c r="G353" s="108">
        <v>0.1</v>
      </c>
      <c r="H353" s="121" t="s">
        <v>55</v>
      </c>
      <c r="I353" s="110">
        <v>1.2370000000000001</v>
      </c>
      <c r="J353" s="110">
        <v>1.2090000000000001</v>
      </c>
      <c r="K353" s="119">
        <v>1.2250000000000001</v>
      </c>
      <c r="L353" s="111">
        <f t="shared" si="50"/>
        <v>8.7000000000000188E-2</v>
      </c>
      <c r="M353" s="112">
        <f t="shared" si="50"/>
        <v>5.9000000000000163E-2</v>
      </c>
      <c r="N353" s="112">
        <f t="shared" si="50"/>
        <v>7.5000000000000178E-2</v>
      </c>
      <c r="O353" s="112">
        <f t="shared" si="44"/>
        <v>1.2236666666666667</v>
      </c>
      <c r="P353" s="113">
        <f t="shared" si="45"/>
        <v>0.87000000000000188</v>
      </c>
      <c r="Q353" s="114">
        <f t="shared" si="46"/>
        <v>0</v>
      </c>
      <c r="R353" s="115" t="str">
        <f t="shared" si="47"/>
        <v>Alert</v>
      </c>
      <c r="S353" s="115" t="str">
        <f t="shared" si="48"/>
        <v xml:space="preserve"> </v>
      </c>
      <c r="T353" s="116" t="str">
        <f t="shared" si="49"/>
        <v>Alert</v>
      </c>
      <c r="U353" s="120"/>
      <c r="V353" s="118"/>
      <c r="W353" s="131"/>
    </row>
    <row r="354" spans="1:23" ht="13.2">
      <c r="A354" s="102" t="s">
        <v>390</v>
      </c>
      <c r="B354" s="102"/>
      <c r="C354" s="104">
        <v>3</v>
      </c>
      <c r="D354" s="105" t="s">
        <v>357</v>
      </c>
      <c r="E354" s="106">
        <v>1.67</v>
      </c>
      <c r="F354" s="107">
        <v>0.1</v>
      </c>
      <c r="G354" s="108">
        <v>0.1</v>
      </c>
      <c r="H354" s="109" t="s">
        <v>55</v>
      </c>
      <c r="I354" s="110">
        <v>1.7529999999999999</v>
      </c>
      <c r="J354" s="110">
        <v>1.738</v>
      </c>
      <c r="K354" s="119">
        <v>1.7569999999999999</v>
      </c>
      <c r="L354" s="111">
        <f t="shared" si="50"/>
        <v>8.2999999999999963E-2</v>
      </c>
      <c r="M354" s="112">
        <f t="shared" si="50"/>
        <v>6.800000000000006E-2</v>
      </c>
      <c r="N354" s="112">
        <f t="shared" si="50"/>
        <v>8.6999999999999966E-2</v>
      </c>
      <c r="O354" s="112">
        <f t="shared" si="44"/>
        <v>1.7493333333333332</v>
      </c>
      <c r="P354" s="113">
        <f t="shared" si="45"/>
        <v>0.86999999999999966</v>
      </c>
      <c r="Q354" s="114">
        <f t="shared" si="46"/>
        <v>0</v>
      </c>
      <c r="R354" s="115" t="str">
        <f t="shared" si="47"/>
        <v>Alert</v>
      </c>
      <c r="S354" s="115" t="str">
        <f t="shared" si="48"/>
        <v xml:space="preserve"> </v>
      </c>
      <c r="T354" s="116" t="str">
        <f t="shared" si="49"/>
        <v>Alert</v>
      </c>
      <c r="U354" s="120"/>
      <c r="V354" s="118"/>
      <c r="W354" s="131"/>
    </row>
    <row r="355" spans="1:23" ht="13.2">
      <c r="A355" s="102" t="s">
        <v>391</v>
      </c>
      <c r="B355" s="102"/>
      <c r="C355" s="104">
        <v>3</v>
      </c>
      <c r="D355" s="105" t="s">
        <v>357</v>
      </c>
      <c r="E355" s="106">
        <v>1.67</v>
      </c>
      <c r="F355" s="107">
        <v>0.1</v>
      </c>
      <c r="G355" s="108">
        <v>0.1</v>
      </c>
      <c r="H355" s="109" t="s">
        <v>55</v>
      </c>
      <c r="I355" s="110">
        <v>1.7569999999999999</v>
      </c>
      <c r="J355" s="110">
        <v>1.7410000000000001</v>
      </c>
      <c r="K355" s="119">
        <v>1.7450000000000001</v>
      </c>
      <c r="L355" s="111">
        <f t="shared" si="50"/>
        <v>8.6999999999999966E-2</v>
      </c>
      <c r="M355" s="112">
        <f t="shared" si="50"/>
        <v>7.1000000000000174E-2</v>
      </c>
      <c r="N355" s="112">
        <f t="shared" si="50"/>
        <v>7.5000000000000178E-2</v>
      </c>
      <c r="O355" s="112">
        <f t="shared" si="44"/>
        <v>1.7476666666666667</v>
      </c>
      <c r="P355" s="113">
        <f t="shared" si="45"/>
        <v>0.86999999999999966</v>
      </c>
      <c r="Q355" s="114">
        <f t="shared" si="46"/>
        <v>0</v>
      </c>
      <c r="R355" s="115" t="str">
        <f t="shared" si="47"/>
        <v>Alert</v>
      </c>
      <c r="S355" s="115" t="str">
        <f t="shared" si="48"/>
        <v xml:space="preserve"> </v>
      </c>
      <c r="T355" s="116" t="str">
        <f t="shared" si="49"/>
        <v>Alert</v>
      </c>
      <c r="U355" s="120"/>
      <c r="V355" s="118"/>
      <c r="W355" s="131"/>
    </row>
    <row r="356" spans="1:23" ht="13.2">
      <c r="A356" s="102" t="s">
        <v>392</v>
      </c>
      <c r="B356" s="102"/>
      <c r="C356" s="104">
        <v>3</v>
      </c>
      <c r="D356" s="105" t="s">
        <v>357</v>
      </c>
      <c r="E356" s="106">
        <v>1.67</v>
      </c>
      <c r="F356" s="107">
        <v>0.1</v>
      </c>
      <c r="G356" s="108">
        <v>0.1</v>
      </c>
      <c r="H356" s="109" t="s">
        <v>55</v>
      </c>
      <c r="I356" s="110">
        <v>1.7450000000000001</v>
      </c>
      <c r="J356" s="110">
        <v>1.742</v>
      </c>
      <c r="K356" s="119">
        <v>1.7430000000000001</v>
      </c>
      <c r="L356" s="111">
        <f t="shared" si="50"/>
        <v>7.5000000000000178E-2</v>
      </c>
      <c r="M356" s="112">
        <f t="shared" si="50"/>
        <v>7.2000000000000064E-2</v>
      </c>
      <c r="N356" s="112">
        <f t="shared" si="50"/>
        <v>7.3000000000000176E-2</v>
      </c>
      <c r="O356" s="112">
        <f t="shared" si="44"/>
        <v>1.7433333333333334</v>
      </c>
      <c r="P356" s="113">
        <f t="shared" si="45"/>
        <v>0.75000000000000178</v>
      </c>
      <c r="Q356" s="114">
        <f t="shared" si="46"/>
        <v>0</v>
      </c>
      <c r="R356" s="115" t="str">
        <f t="shared" si="47"/>
        <v>Alert</v>
      </c>
      <c r="S356" s="115" t="str">
        <f t="shared" si="48"/>
        <v xml:space="preserve"> </v>
      </c>
      <c r="T356" s="116" t="str">
        <f t="shared" si="49"/>
        <v>Alert</v>
      </c>
      <c r="U356" s="120"/>
      <c r="V356" s="118"/>
      <c r="W356" s="131"/>
    </row>
    <row r="357" spans="1:23" ht="13.2">
      <c r="A357" s="102" t="s">
        <v>393</v>
      </c>
      <c r="B357" s="103"/>
      <c r="C357" s="104">
        <v>3</v>
      </c>
      <c r="D357" s="105" t="s">
        <v>357</v>
      </c>
      <c r="E357" s="106">
        <v>1.67</v>
      </c>
      <c r="F357" s="107">
        <v>0.1</v>
      </c>
      <c r="G357" s="108">
        <v>0.1</v>
      </c>
      <c r="H357" s="109" t="s">
        <v>55</v>
      </c>
      <c r="I357" s="110">
        <v>1.756</v>
      </c>
      <c r="J357" s="110">
        <v>1.7230000000000001</v>
      </c>
      <c r="K357" s="119">
        <v>1.7250000000000001</v>
      </c>
      <c r="L357" s="111">
        <f t="shared" si="50"/>
        <v>8.6000000000000076E-2</v>
      </c>
      <c r="M357" s="112">
        <f t="shared" si="50"/>
        <v>5.3000000000000158E-2</v>
      </c>
      <c r="N357" s="112">
        <f t="shared" si="50"/>
        <v>5.500000000000016E-2</v>
      </c>
      <c r="O357" s="112">
        <f t="shared" si="44"/>
        <v>1.7346666666666668</v>
      </c>
      <c r="P357" s="113">
        <f t="shared" si="45"/>
        <v>0.86000000000000076</v>
      </c>
      <c r="Q357" s="114">
        <f t="shared" si="46"/>
        <v>0</v>
      </c>
      <c r="R357" s="115" t="str">
        <f t="shared" si="47"/>
        <v>Alert</v>
      </c>
      <c r="S357" s="115" t="str">
        <f t="shared" si="48"/>
        <v xml:space="preserve"> </v>
      </c>
      <c r="T357" s="116" t="str">
        <f t="shared" si="49"/>
        <v>Alert</v>
      </c>
      <c r="U357" s="120"/>
      <c r="V357" s="118"/>
      <c r="W357" s="131"/>
    </row>
    <row r="358" spans="1:23" ht="13.2">
      <c r="A358" s="102" t="s">
        <v>394</v>
      </c>
      <c r="B358" s="103"/>
      <c r="C358" s="104">
        <v>3</v>
      </c>
      <c r="D358" s="105" t="s">
        <v>357</v>
      </c>
      <c r="E358" s="106">
        <v>1.67</v>
      </c>
      <c r="F358" s="107">
        <v>0.1</v>
      </c>
      <c r="G358" s="108">
        <v>0.1</v>
      </c>
      <c r="H358" s="109" t="s">
        <v>55</v>
      </c>
      <c r="I358" s="110">
        <v>1.752</v>
      </c>
      <c r="J358" s="110">
        <v>1.724</v>
      </c>
      <c r="K358" s="119">
        <v>1.734</v>
      </c>
      <c r="L358" s="111">
        <f t="shared" si="50"/>
        <v>8.2000000000000073E-2</v>
      </c>
      <c r="M358" s="112">
        <f t="shared" si="50"/>
        <v>5.4000000000000048E-2</v>
      </c>
      <c r="N358" s="112">
        <f t="shared" si="50"/>
        <v>6.4000000000000057E-2</v>
      </c>
      <c r="O358" s="112">
        <f t="shared" si="44"/>
        <v>1.7366666666666666</v>
      </c>
      <c r="P358" s="113">
        <f t="shared" si="45"/>
        <v>0.82000000000000073</v>
      </c>
      <c r="Q358" s="114">
        <f t="shared" si="46"/>
        <v>0</v>
      </c>
      <c r="R358" s="115" t="str">
        <f t="shared" si="47"/>
        <v>Alert</v>
      </c>
      <c r="S358" s="115" t="str">
        <f t="shared" si="48"/>
        <v xml:space="preserve"> </v>
      </c>
      <c r="T358" s="116" t="str">
        <f t="shared" si="49"/>
        <v>Alert</v>
      </c>
      <c r="U358" s="120"/>
      <c r="V358" s="118"/>
      <c r="W358" s="131"/>
    </row>
    <row r="359" spans="1:23" ht="13.2">
      <c r="A359" s="102" t="s">
        <v>395</v>
      </c>
      <c r="B359" s="103"/>
      <c r="C359" s="104">
        <v>3</v>
      </c>
      <c r="D359" s="105" t="s">
        <v>357</v>
      </c>
      <c r="E359" s="106">
        <v>1.67</v>
      </c>
      <c r="F359" s="107">
        <v>0.1</v>
      </c>
      <c r="G359" s="108">
        <v>0.1</v>
      </c>
      <c r="H359" s="109" t="s">
        <v>55</v>
      </c>
      <c r="I359" s="110">
        <v>1.744</v>
      </c>
      <c r="J359" s="110">
        <v>1.7350000000000001</v>
      </c>
      <c r="K359" s="119">
        <v>1.732</v>
      </c>
      <c r="L359" s="111">
        <f t="shared" si="50"/>
        <v>7.4000000000000066E-2</v>
      </c>
      <c r="M359" s="112">
        <f t="shared" si="50"/>
        <v>6.5000000000000169E-2</v>
      </c>
      <c r="N359" s="112">
        <f t="shared" si="50"/>
        <v>6.2000000000000055E-2</v>
      </c>
      <c r="O359" s="112">
        <f t="shared" si="44"/>
        <v>1.7370000000000001</v>
      </c>
      <c r="P359" s="113">
        <f t="shared" si="45"/>
        <v>0.74000000000000066</v>
      </c>
      <c r="Q359" s="114">
        <f t="shared" si="46"/>
        <v>0</v>
      </c>
      <c r="R359" s="115" t="str">
        <f t="shared" si="47"/>
        <v>Alert</v>
      </c>
      <c r="S359" s="115" t="str">
        <f t="shared" si="48"/>
        <v xml:space="preserve"> </v>
      </c>
      <c r="T359" s="116" t="str">
        <f t="shared" si="49"/>
        <v>Alert</v>
      </c>
      <c r="U359" s="120"/>
      <c r="V359" s="118"/>
      <c r="W359" s="131"/>
    </row>
    <row r="360" spans="1:23" ht="13.2">
      <c r="A360" s="102" t="s">
        <v>396</v>
      </c>
      <c r="B360" s="102"/>
      <c r="C360" s="104">
        <v>3</v>
      </c>
      <c r="D360" s="105" t="s">
        <v>357</v>
      </c>
      <c r="E360" s="106">
        <v>1.67</v>
      </c>
      <c r="F360" s="107">
        <v>0.1</v>
      </c>
      <c r="G360" s="108">
        <v>0.1</v>
      </c>
      <c r="H360" s="109" t="s">
        <v>55</v>
      </c>
      <c r="I360" s="110">
        <v>1.7569999999999999</v>
      </c>
      <c r="J360" s="110">
        <v>1.742</v>
      </c>
      <c r="K360" s="119">
        <v>1.732</v>
      </c>
      <c r="L360" s="111">
        <f t="shared" si="50"/>
        <v>8.6999999999999966E-2</v>
      </c>
      <c r="M360" s="112">
        <f t="shared" si="50"/>
        <v>7.2000000000000064E-2</v>
      </c>
      <c r="N360" s="112">
        <f t="shared" si="50"/>
        <v>6.2000000000000055E-2</v>
      </c>
      <c r="O360" s="112">
        <f t="shared" si="44"/>
        <v>1.7436666666666667</v>
      </c>
      <c r="P360" s="113">
        <f t="shared" si="45"/>
        <v>0.86999999999999966</v>
      </c>
      <c r="Q360" s="114">
        <f t="shared" si="46"/>
        <v>0</v>
      </c>
      <c r="R360" s="115" t="str">
        <f t="shared" si="47"/>
        <v>Alert</v>
      </c>
      <c r="S360" s="115" t="str">
        <f t="shared" si="48"/>
        <v xml:space="preserve"> </v>
      </c>
      <c r="T360" s="116" t="str">
        <f t="shared" si="49"/>
        <v>Alert</v>
      </c>
      <c r="U360" s="120"/>
      <c r="V360" s="118"/>
      <c r="W360" s="131"/>
    </row>
    <row r="361" spans="1:23" ht="13.2">
      <c r="A361" s="102" t="s">
        <v>397</v>
      </c>
      <c r="B361" s="102"/>
      <c r="C361" s="104">
        <v>3</v>
      </c>
      <c r="D361" s="105" t="s">
        <v>357</v>
      </c>
      <c r="E361" s="106">
        <v>1.67</v>
      </c>
      <c r="F361" s="107">
        <v>0.1</v>
      </c>
      <c r="G361" s="108">
        <v>0.1</v>
      </c>
      <c r="H361" s="109" t="s">
        <v>55</v>
      </c>
      <c r="I361" s="110">
        <v>1.752</v>
      </c>
      <c r="J361" s="110">
        <v>1.7290000000000001</v>
      </c>
      <c r="K361" s="119">
        <v>1.7390000000000001</v>
      </c>
      <c r="L361" s="111">
        <f t="shared" si="50"/>
        <v>8.2000000000000073E-2</v>
      </c>
      <c r="M361" s="112">
        <f t="shared" si="50"/>
        <v>5.9000000000000163E-2</v>
      </c>
      <c r="N361" s="112">
        <f t="shared" si="50"/>
        <v>6.9000000000000172E-2</v>
      </c>
      <c r="O361" s="112">
        <f t="shared" si="44"/>
        <v>1.74</v>
      </c>
      <c r="P361" s="113">
        <f t="shared" si="45"/>
        <v>0.82000000000000073</v>
      </c>
      <c r="Q361" s="114">
        <f t="shared" si="46"/>
        <v>0</v>
      </c>
      <c r="R361" s="115" t="str">
        <f t="shared" si="47"/>
        <v>Alert</v>
      </c>
      <c r="S361" s="115" t="str">
        <f t="shared" si="48"/>
        <v xml:space="preserve"> </v>
      </c>
      <c r="T361" s="116" t="str">
        <f t="shared" si="49"/>
        <v>Alert</v>
      </c>
      <c r="U361" s="120"/>
      <c r="V361" s="118"/>
      <c r="W361" s="131"/>
    </row>
    <row r="362" spans="1:23" ht="13.2">
      <c r="A362" s="102" t="s">
        <v>398</v>
      </c>
      <c r="B362" s="102"/>
      <c r="C362" s="104">
        <v>3</v>
      </c>
      <c r="D362" s="105" t="s">
        <v>357</v>
      </c>
      <c r="E362" s="106">
        <v>1.67</v>
      </c>
      <c r="F362" s="107">
        <v>0.1</v>
      </c>
      <c r="G362" s="108">
        <v>0.1</v>
      </c>
      <c r="H362" s="109" t="s">
        <v>55</v>
      </c>
      <c r="I362" s="110">
        <v>1.7310000000000001</v>
      </c>
      <c r="J362" s="110">
        <v>1.732</v>
      </c>
      <c r="K362" s="119">
        <v>1.73</v>
      </c>
      <c r="L362" s="111">
        <f t="shared" si="50"/>
        <v>6.1000000000000165E-2</v>
      </c>
      <c r="M362" s="112">
        <f t="shared" si="50"/>
        <v>6.2000000000000055E-2</v>
      </c>
      <c r="N362" s="112">
        <f t="shared" si="50"/>
        <v>6.0000000000000053E-2</v>
      </c>
      <c r="O362" s="112">
        <f t="shared" si="44"/>
        <v>1.7309999999999999</v>
      </c>
      <c r="P362" s="113">
        <f t="shared" si="45"/>
        <v>0.62000000000000055</v>
      </c>
      <c r="Q362" s="114">
        <f t="shared" si="46"/>
        <v>0</v>
      </c>
      <c r="R362" s="115" t="str">
        <f t="shared" si="47"/>
        <v xml:space="preserve"> </v>
      </c>
      <c r="S362" s="115" t="str">
        <f t="shared" si="48"/>
        <v xml:space="preserve"> </v>
      </c>
      <c r="T362" s="116" t="str">
        <f t="shared" si="49"/>
        <v/>
      </c>
      <c r="U362" s="120"/>
      <c r="V362" s="118"/>
      <c r="W362" s="131"/>
    </row>
    <row r="363" spans="1:23" ht="13.2">
      <c r="A363" s="102" t="s">
        <v>399</v>
      </c>
      <c r="B363" s="102"/>
      <c r="C363" s="104">
        <v>3</v>
      </c>
      <c r="D363" s="105" t="s">
        <v>357</v>
      </c>
      <c r="E363" s="106">
        <v>1.67</v>
      </c>
      <c r="F363" s="107">
        <v>0.1</v>
      </c>
      <c r="G363" s="108">
        <v>0.1</v>
      </c>
      <c r="H363" s="109" t="s">
        <v>55</v>
      </c>
      <c r="I363" s="110">
        <v>1.752</v>
      </c>
      <c r="J363" s="110">
        <v>1.7290000000000001</v>
      </c>
      <c r="K363" s="119">
        <v>1.736</v>
      </c>
      <c r="L363" s="111">
        <f t="shared" si="50"/>
        <v>8.2000000000000073E-2</v>
      </c>
      <c r="M363" s="112">
        <f t="shared" si="50"/>
        <v>5.9000000000000163E-2</v>
      </c>
      <c r="N363" s="112">
        <f t="shared" si="50"/>
        <v>6.6000000000000059E-2</v>
      </c>
      <c r="O363" s="112">
        <f t="shared" si="44"/>
        <v>1.7389999999999999</v>
      </c>
      <c r="P363" s="113">
        <f t="shared" si="45"/>
        <v>0.82000000000000073</v>
      </c>
      <c r="Q363" s="114">
        <f t="shared" si="46"/>
        <v>0</v>
      </c>
      <c r="R363" s="115" t="str">
        <f t="shared" si="47"/>
        <v>Alert</v>
      </c>
      <c r="S363" s="115" t="str">
        <f t="shared" si="48"/>
        <v xml:space="preserve"> </v>
      </c>
      <c r="T363" s="116" t="str">
        <f t="shared" si="49"/>
        <v>Alert</v>
      </c>
      <c r="U363" s="120"/>
      <c r="V363" s="118"/>
      <c r="W363" s="131"/>
    </row>
    <row r="364" spans="1:23" ht="13.2">
      <c r="A364" s="102" t="s">
        <v>400</v>
      </c>
      <c r="B364" s="102"/>
      <c r="C364" s="104">
        <v>3</v>
      </c>
      <c r="D364" s="105" t="s">
        <v>357</v>
      </c>
      <c r="E364" s="106">
        <v>1.67</v>
      </c>
      <c r="F364" s="107">
        <v>0.1</v>
      </c>
      <c r="G364" s="108">
        <v>0.1</v>
      </c>
      <c r="H364" s="109" t="s">
        <v>55</v>
      </c>
      <c r="I364" s="110">
        <v>1.74</v>
      </c>
      <c r="J364" s="110">
        <v>1.7250000000000001</v>
      </c>
      <c r="K364" s="119">
        <v>1.726</v>
      </c>
      <c r="L364" s="111">
        <f t="shared" si="50"/>
        <v>7.0000000000000062E-2</v>
      </c>
      <c r="M364" s="112">
        <f t="shared" si="50"/>
        <v>5.500000000000016E-2</v>
      </c>
      <c r="N364" s="112">
        <f t="shared" si="50"/>
        <v>5.600000000000005E-2</v>
      </c>
      <c r="O364" s="112">
        <f t="shared" si="44"/>
        <v>1.7303333333333333</v>
      </c>
      <c r="P364" s="113">
        <f t="shared" si="45"/>
        <v>0.70000000000000062</v>
      </c>
      <c r="Q364" s="114">
        <f t="shared" si="46"/>
        <v>0</v>
      </c>
      <c r="R364" s="115" t="str">
        <f t="shared" si="47"/>
        <v>Alert</v>
      </c>
      <c r="S364" s="115" t="str">
        <f t="shared" si="48"/>
        <v xml:space="preserve"> </v>
      </c>
      <c r="T364" s="116" t="str">
        <f t="shared" si="49"/>
        <v>Alert</v>
      </c>
      <c r="U364" s="120"/>
      <c r="V364" s="118"/>
      <c r="W364" s="131"/>
    </row>
    <row r="365" spans="1:23" ht="13.2">
      <c r="A365" s="102" t="s">
        <v>401</v>
      </c>
      <c r="B365" s="102"/>
      <c r="C365" s="104">
        <v>3</v>
      </c>
      <c r="D365" s="105" t="s">
        <v>357</v>
      </c>
      <c r="E365" s="106">
        <v>1.67</v>
      </c>
      <c r="F365" s="107">
        <v>0.1</v>
      </c>
      <c r="G365" s="108">
        <v>0.1</v>
      </c>
      <c r="H365" s="109" t="s">
        <v>55</v>
      </c>
      <c r="I365" s="110">
        <v>1.7589999999999999</v>
      </c>
      <c r="J365" s="110">
        <v>1.7270000000000001</v>
      </c>
      <c r="K365" s="119">
        <v>1.7410000000000001</v>
      </c>
      <c r="L365" s="111">
        <f t="shared" si="50"/>
        <v>8.8999999999999968E-2</v>
      </c>
      <c r="M365" s="112">
        <f t="shared" si="50"/>
        <v>5.7000000000000162E-2</v>
      </c>
      <c r="N365" s="112">
        <f t="shared" si="50"/>
        <v>7.1000000000000174E-2</v>
      </c>
      <c r="O365" s="112">
        <f t="shared" si="44"/>
        <v>1.7423333333333335</v>
      </c>
      <c r="P365" s="113">
        <f t="shared" si="45"/>
        <v>0.88999999999999968</v>
      </c>
      <c r="Q365" s="114">
        <f t="shared" si="46"/>
        <v>0</v>
      </c>
      <c r="R365" s="115" t="str">
        <f t="shared" si="47"/>
        <v>Alert</v>
      </c>
      <c r="S365" s="115" t="str">
        <f t="shared" si="48"/>
        <v xml:space="preserve"> </v>
      </c>
      <c r="T365" s="116" t="str">
        <f t="shared" si="49"/>
        <v>Alert</v>
      </c>
      <c r="U365" s="120"/>
      <c r="V365" s="118"/>
      <c r="W365" s="131"/>
    </row>
    <row r="366" spans="1:23" ht="13.2">
      <c r="A366" s="102" t="s">
        <v>402</v>
      </c>
      <c r="B366" s="102"/>
      <c r="C366" s="104">
        <v>3</v>
      </c>
      <c r="D366" s="105" t="s">
        <v>357</v>
      </c>
      <c r="E366" s="106">
        <v>1.67</v>
      </c>
      <c r="F366" s="107">
        <v>0.1</v>
      </c>
      <c r="G366" s="108">
        <v>0.1</v>
      </c>
      <c r="H366" s="109" t="s">
        <v>55</v>
      </c>
      <c r="I366" s="110">
        <v>1.736</v>
      </c>
      <c r="J366" s="110">
        <v>1.7270000000000001</v>
      </c>
      <c r="K366" s="119">
        <v>1.7350000000000001</v>
      </c>
      <c r="L366" s="111">
        <f t="shared" si="50"/>
        <v>6.6000000000000059E-2</v>
      </c>
      <c r="M366" s="112">
        <f t="shared" si="50"/>
        <v>5.7000000000000162E-2</v>
      </c>
      <c r="N366" s="112">
        <f t="shared" si="50"/>
        <v>6.5000000000000169E-2</v>
      </c>
      <c r="O366" s="112">
        <f t="shared" si="44"/>
        <v>1.7326666666666668</v>
      </c>
      <c r="P366" s="113">
        <f t="shared" si="45"/>
        <v>0.66000000000000059</v>
      </c>
      <c r="Q366" s="114">
        <f t="shared" si="46"/>
        <v>0</v>
      </c>
      <c r="R366" s="115" t="str">
        <f t="shared" si="47"/>
        <v>Alert</v>
      </c>
      <c r="S366" s="115" t="str">
        <f t="shared" si="48"/>
        <v xml:space="preserve"> </v>
      </c>
      <c r="T366" s="116" t="str">
        <f t="shared" si="49"/>
        <v>Alert</v>
      </c>
      <c r="U366" s="120"/>
      <c r="V366" s="118"/>
      <c r="W366" s="131"/>
    </row>
    <row r="367" spans="1:23" ht="13.2">
      <c r="A367" s="102" t="s">
        <v>403</v>
      </c>
      <c r="B367" s="102"/>
      <c r="C367" s="104">
        <v>3</v>
      </c>
      <c r="D367" s="105" t="s">
        <v>357</v>
      </c>
      <c r="E367" s="106">
        <v>1.67</v>
      </c>
      <c r="F367" s="107">
        <v>0.1</v>
      </c>
      <c r="G367" s="108">
        <v>0.1</v>
      </c>
      <c r="H367" s="109" t="s">
        <v>55</v>
      </c>
      <c r="I367" s="110">
        <v>1.7330000000000001</v>
      </c>
      <c r="J367" s="110">
        <v>1.7330000000000001</v>
      </c>
      <c r="K367" s="119">
        <v>1.756</v>
      </c>
      <c r="L367" s="111">
        <f t="shared" si="50"/>
        <v>6.3000000000000167E-2</v>
      </c>
      <c r="M367" s="112">
        <f t="shared" si="50"/>
        <v>6.3000000000000167E-2</v>
      </c>
      <c r="N367" s="112">
        <f t="shared" si="50"/>
        <v>8.6000000000000076E-2</v>
      </c>
      <c r="O367" s="112">
        <f t="shared" si="44"/>
        <v>1.7406666666666668</v>
      </c>
      <c r="P367" s="113">
        <f t="shared" si="45"/>
        <v>0.86000000000000076</v>
      </c>
      <c r="Q367" s="114">
        <f t="shared" si="46"/>
        <v>0</v>
      </c>
      <c r="R367" s="115" t="str">
        <f t="shared" si="47"/>
        <v>Alert</v>
      </c>
      <c r="S367" s="115" t="str">
        <f t="shared" si="48"/>
        <v xml:space="preserve"> </v>
      </c>
      <c r="T367" s="116" t="str">
        <f t="shared" si="49"/>
        <v>Alert</v>
      </c>
      <c r="U367" s="120"/>
      <c r="V367" s="118"/>
      <c r="W367" s="131"/>
    </row>
    <row r="368" spans="1:23" ht="13.2">
      <c r="A368" s="102" t="s">
        <v>404</v>
      </c>
      <c r="B368" s="102"/>
      <c r="C368" s="104">
        <v>3</v>
      </c>
      <c r="D368" s="105" t="s">
        <v>357</v>
      </c>
      <c r="E368" s="106">
        <v>1.67</v>
      </c>
      <c r="F368" s="107">
        <v>0.1</v>
      </c>
      <c r="G368" s="108">
        <v>0.1</v>
      </c>
      <c r="H368" s="109" t="s">
        <v>55</v>
      </c>
      <c r="I368" s="110">
        <v>1.75</v>
      </c>
      <c r="J368" s="110">
        <v>1.7090000000000001</v>
      </c>
      <c r="K368" s="119">
        <v>1.7390000000000001</v>
      </c>
      <c r="L368" s="111">
        <f t="shared" si="50"/>
        <v>8.0000000000000071E-2</v>
      </c>
      <c r="M368" s="112">
        <f t="shared" si="50"/>
        <v>3.9000000000000146E-2</v>
      </c>
      <c r="N368" s="112">
        <f t="shared" si="50"/>
        <v>6.9000000000000172E-2</v>
      </c>
      <c r="O368" s="112">
        <f t="shared" si="44"/>
        <v>1.7326666666666668</v>
      </c>
      <c r="P368" s="113">
        <f t="shared" si="45"/>
        <v>0.80000000000000071</v>
      </c>
      <c r="Q368" s="114">
        <f t="shared" si="46"/>
        <v>0</v>
      </c>
      <c r="R368" s="115" t="str">
        <f t="shared" si="47"/>
        <v>Alert</v>
      </c>
      <c r="S368" s="115" t="str">
        <f t="shared" si="48"/>
        <v xml:space="preserve"> </v>
      </c>
      <c r="T368" s="116" t="str">
        <f t="shared" si="49"/>
        <v>Alert</v>
      </c>
      <c r="U368" s="120"/>
      <c r="V368" s="118"/>
      <c r="W368" s="131"/>
    </row>
    <row r="369" spans="1:23" ht="13.2">
      <c r="A369" s="102" t="s">
        <v>405</v>
      </c>
      <c r="B369" s="102"/>
      <c r="C369" s="104">
        <v>3</v>
      </c>
      <c r="D369" s="105" t="s">
        <v>357</v>
      </c>
      <c r="E369" s="106">
        <v>1.67</v>
      </c>
      <c r="F369" s="107">
        <v>0.1</v>
      </c>
      <c r="G369" s="108">
        <v>0.1</v>
      </c>
      <c r="H369" s="109" t="s">
        <v>55</v>
      </c>
      <c r="I369" s="110">
        <v>1.748</v>
      </c>
      <c r="J369" s="110">
        <v>1.7250000000000001</v>
      </c>
      <c r="K369" s="119">
        <v>1.7430000000000001</v>
      </c>
      <c r="L369" s="111">
        <f t="shared" si="50"/>
        <v>7.8000000000000069E-2</v>
      </c>
      <c r="M369" s="112">
        <f t="shared" si="50"/>
        <v>5.500000000000016E-2</v>
      </c>
      <c r="N369" s="112">
        <f t="shared" si="50"/>
        <v>7.3000000000000176E-2</v>
      </c>
      <c r="O369" s="112">
        <f t="shared" si="44"/>
        <v>1.7386666666666668</v>
      </c>
      <c r="P369" s="113">
        <f t="shared" si="45"/>
        <v>0.78000000000000069</v>
      </c>
      <c r="Q369" s="114">
        <f t="shared" si="46"/>
        <v>0</v>
      </c>
      <c r="R369" s="115" t="str">
        <f t="shared" si="47"/>
        <v>Alert</v>
      </c>
      <c r="S369" s="115" t="str">
        <f t="shared" si="48"/>
        <v xml:space="preserve"> </v>
      </c>
      <c r="T369" s="116" t="str">
        <f t="shared" si="49"/>
        <v>Alert</v>
      </c>
      <c r="U369" s="120"/>
      <c r="V369" s="118"/>
      <c r="W369" s="131"/>
    </row>
    <row r="370" spans="1:23" ht="13.2">
      <c r="A370" s="102" t="s">
        <v>406</v>
      </c>
      <c r="B370" s="102"/>
      <c r="C370" s="104">
        <v>3</v>
      </c>
      <c r="D370" s="105" t="s">
        <v>357</v>
      </c>
      <c r="E370" s="106">
        <v>2.1</v>
      </c>
      <c r="F370" s="107">
        <v>0.1</v>
      </c>
      <c r="G370" s="108">
        <v>0.1</v>
      </c>
      <c r="H370" s="109" t="s">
        <v>55</v>
      </c>
      <c r="I370" s="110">
        <v>2.1930000000000001</v>
      </c>
      <c r="J370" s="110">
        <v>2.1659999999999999</v>
      </c>
      <c r="K370" s="119">
        <v>2.1520000000000001</v>
      </c>
      <c r="L370" s="111">
        <f t="shared" si="50"/>
        <v>9.2999999999999972E-2</v>
      </c>
      <c r="M370" s="112">
        <f t="shared" si="50"/>
        <v>6.5999999999999837E-2</v>
      </c>
      <c r="N370" s="112">
        <f t="shared" si="50"/>
        <v>5.2000000000000046E-2</v>
      </c>
      <c r="O370" s="112">
        <f t="shared" si="44"/>
        <v>2.1703333333333332</v>
      </c>
      <c r="P370" s="113">
        <f t="shared" si="45"/>
        <v>0.92999999999999972</v>
      </c>
      <c r="Q370" s="114">
        <f t="shared" si="46"/>
        <v>0</v>
      </c>
      <c r="R370" s="115" t="str">
        <f t="shared" si="47"/>
        <v>Alert</v>
      </c>
      <c r="S370" s="115" t="str">
        <f t="shared" si="48"/>
        <v xml:space="preserve"> </v>
      </c>
      <c r="T370" s="116" t="str">
        <f t="shared" si="49"/>
        <v>Alert</v>
      </c>
      <c r="U370" s="120"/>
      <c r="V370" s="118"/>
      <c r="W370" s="131"/>
    </row>
    <row r="371" spans="1:23" ht="13.2">
      <c r="A371" s="102" t="s">
        <v>407</v>
      </c>
      <c r="B371" s="102"/>
      <c r="C371" s="104">
        <v>3</v>
      </c>
      <c r="D371" s="105" t="s">
        <v>357</v>
      </c>
      <c r="E371" s="106">
        <v>2.1</v>
      </c>
      <c r="F371" s="107">
        <v>0.1</v>
      </c>
      <c r="G371" s="108">
        <v>0.1</v>
      </c>
      <c r="H371" s="109" t="s">
        <v>55</v>
      </c>
      <c r="I371" s="110">
        <v>2.1800000000000002</v>
      </c>
      <c r="J371" s="110">
        <v>2.1520000000000001</v>
      </c>
      <c r="K371" s="119">
        <v>2.161</v>
      </c>
      <c r="L371" s="111">
        <f t="shared" si="50"/>
        <v>8.0000000000000071E-2</v>
      </c>
      <c r="M371" s="112">
        <f t="shared" si="50"/>
        <v>5.2000000000000046E-2</v>
      </c>
      <c r="N371" s="112">
        <f t="shared" si="50"/>
        <v>6.0999999999999943E-2</v>
      </c>
      <c r="O371" s="112">
        <f t="shared" si="44"/>
        <v>2.1643333333333334</v>
      </c>
      <c r="P371" s="113">
        <f t="shared" si="45"/>
        <v>0.80000000000000071</v>
      </c>
      <c r="Q371" s="114">
        <f t="shared" si="46"/>
        <v>0</v>
      </c>
      <c r="R371" s="115" t="str">
        <f t="shared" si="47"/>
        <v>Alert</v>
      </c>
      <c r="S371" s="115" t="str">
        <f t="shared" si="48"/>
        <v xml:space="preserve"> </v>
      </c>
      <c r="T371" s="116" t="str">
        <f t="shared" si="49"/>
        <v>Alert</v>
      </c>
      <c r="U371" s="120"/>
      <c r="V371" s="118"/>
      <c r="W371" s="131"/>
    </row>
    <row r="372" spans="1:23" ht="13.2">
      <c r="A372" s="102" t="s">
        <v>408</v>
      </c>
      <c r="B372" s="103"/>
      <c r="C372" s="104">
        <v>3</v>
      </c>
      <c r="D372" s="105" t="s">
        <v>357</v>
      </c>
      <c r="E372" s="106">
        <v>2.1</v>
      </c>
      <c r="F372" s="107">
        <v>0.1</v>
      </c>
      <c r="G372" s="108">
        <v>0.1</v>
      </c>
      <c r="H372" s="109" t="s">
        <v>55</v>
      </c>
      <c r="I372" s="110">
        <v>2.161</v>
      </c>
      <c r="J372" s="110">
        <v>2.1539999999999999</v>
      </c>
      <c r="K372" s="119">
        <v>2.145</v>
      </c>
      <c r="L372" s="111">
        <f t="shared" si="50"/>
        <v>6.0999999999999943E-2</v>
      </c>
      <c r="M372" s="112">
        <f t="shared" si="50"/>
        <v>5.3999999999999826E-2</v>
      </c>
      <c r="N372" s="112">
        <f t="shared" si="50"/>
        <v>4.4999999999999929E-2</v>
      </c>
      <c r="O372" s="112">
        <f t="shared" si="44"/>
        <v>2.1533333333333329</v>
      </c>
      <c r="P372" s="113">
        <f t="shared" si="45"/>
        <v>0.60999999999999943</v>
      </c>
      <c r="Q372" s="114">
        <f t="shared" si="46"/>
        <v>0</v>
      </c>
      <c r="R372" s="115" t="str">
        <f t="shared" si="47"/>
        <v xml:space="preserve"> </v>
      </c>
      <c r="S372" s="115" t="str">
        <f t="shared" si="48"/>
        <v xml:space="preserve"> </v>
      </c>
      <c r="T372" s="116" t="str">
        <f t="shared" si="49"/>
        <v/>
      </c>
      <c r="U372" s="120"/>
      <c r="V372" s="118"/>
      <c r="W372" s="131"/>
    </row>
    <row r="373" spans="1:23" ht="13.2">
      <c r="A373" s="102" t="s">
        <v>409</v>
      </c>
      <c r="B373" s="103"/>
      <c r="C373" s="104">
        <v>3</v>
      </c>
      <c r="D373" s="105" t="s">
        <v>357</v>
      </c>
      <c r="E373" s="106">
        <v>2.1</v>
      </c>
      <c r="F373" s="107">
        <v>0.1</v>
      </c>
      <c r="G373" s="108">
        <v>0.1</v>
      </c>
      <c r="H373" s="109" t="s">
        <v>55</v>
      </c>
      <c r="I373" s="110">
        <v>2.1629999999999998</v>
      </c>
      <c r="J373" s="110">
        <v>2.1539999999999999</v>
      </c>
      <c r="K373" s="119">
        <v>2.1419999999999999</v>
      </c>
      <c r="L373" s="111">
        <f t="shared" si="50"/>
        <v>6.2999999999999723E-2</v>
      </c>
      <c r="M373" s="112">
        <f t="shared" si="50"/>
        <v>5.3999999999999826E-2</v>
      </c>
      <c r="N373" s="112">
        <f t="shared" si="50"/>
        <v>4.1999999999999815E-2</v>
      </c>
      <c r="O373" s="112">
        <f t="shared" si="44"/>
        <v>2.153</v>
      </c>
      <c r="P373" s="113">
        <f t="shared" si="45"/>
        <v>0.62999999999999723</v>
      </c>
      <c r="Q373" s="114">
        <f t="shared" si="46"/>
        <v>0</v>
      </c>
      <c r="R373" s="115" t="str">
        <f t="shared" si="47"/>
        <v xml:space="preserve"> </v>
      </c>
      <c r="S373" s="115" t="str">
        <f t="shared" si="48"/>
        <v xml:space="preserve"> </v>
      </c>
      <c r="T373" s="116" t="str">
        <f t="shared" si="49"/>
        <v/>
      </c>
      <c r="U373" s="120"/>
      <c r="V373" s="118"/>
      <c r="W373" s="131"/>
    </row>
    <row r="374" spans="1:23" ht="13.2">
      <c r="A374" s="102" t="s">
        <v>410</v>
      </c>
      <c r="B374" s="103"/>
      <c r="C374" s="104">
        <v>3</v>
      </c>
      <c r="D374" s="105" t="s">
        <v>357</v>
      </c>
      <c r="E374" s="106">
        <v>2.1</v>
      </c>
      <c r="F374" s="107">
        <v>0.1</v>
      </c>
      <c r="G374" s="108">
        <v>0.1</v>
      </c>
      <c r="H374" s="109" t="s">
        <v>55</v>
      </c>
      <c r="I374" s="110">
        <v>2.1629999999999998</v>
      </c>
      <c r="J374" s="110">
        <v>2.1509999999999998</v>
      </c>
      <c r="K374" s="119">
        <v>2.16</v>
      </c>
      <c r="L374" s="111">
        <f t="shared" si="50"/>
        <v>6.2999999999999723E-2</v>
      </c>
      <c r="M374" s="112">
        <f t="shared" si="50"/>
        <v>5.0999999999999712E-2</v>
      </c>
      <c r="N374" s="112">
        <f t="shared" si="50"/>
        <v>6.0000000000000053E-2</v>
      </c>
      <c r="O374" s="112">
        <f t="shared" si="44"/>
        <v>2.1579999999999999</v>
      </c>
      <c r="P374" s="113">
        <f t="shared" si="45"/>
        <v>0.62999999999999723</v>
      </c>
      <c r="Q374" s="114">
        <f t="shared" si="46"/>
        <v>0</v>
      </c>
      <c r="R374" s="115" t="str">
        <f t="shared" si="47"/>
        <v xml:space="preserve"> </v>
      </c>
      <c r="S374" s="115" t="str">
        <f t="shared" si="48"/>
        <v xml:space="preserve"> </v>
      </c>
      <c r="T374" s="116" t="str">
        <f t="shared" si="49"/>
        <v/>
      </c>
      <c r="U374" s="120"/>
      <c r="V374" s="118"/>
      <c r="W374" s="131"/>
    </row>
    <row r="375" spans="1:23" ht="13.2">
      <c r="A375" s="102" t="s">
        <v>411</v>
      </c>
      <c r="B375" s="102"/>
      <c r="C375" s="104">
        <v>3</v>
      </c>
      <c r="D375" s="105" t="s">
        <v>357</v>
      </c>
      <c r="E375" s="106">
        <v>2.1</v>
      </c>
      <c r="F375" s="107">
        <v>0.1</v>
      </c>
      <c r="G375" s="108">
        <v>0.1</v>
      </c>
      <c r="H375" s="109" t="s">
        <v>55</v>
      </c>
      <c r="I375" s="110">
        <v>2.1829999999999998</v>
      </c>
      <c r="J375" s="110">
        <v>2.1389999999999998</v>
      </c>
      <c r="K375" s="119">
        <v>2.1579999999999999</v>
      </c>
      <c r="L375" s="111">
        <f t="shared" si="50"/>
        <v>8.2999999999999741E-2</v>
      </c>
      <c r="M375" s="112">
        <f t="shared" si="50"/>
        <v>3.8999999999999702E-2</v>
      </c>
      <c r="N375" s="112">
        <f t="shared" si="50"/>
        <v>5.7999999999999829E-2</v>
      </c>
      <c r="O375" s="112">
        <f t="shared" si="44"/>
        <v>2.1599999999999997</v>
      </c>
      <c r="P375" s="113">
        <f t="shared" si="45"/>
        <v>0.82999999999999741</v>
      </c>
      <c r="Q375" s="114">
        <f t="shared" si="46"/>
        <v>0</v>
      </c>
      <c r="R375" s="115" t="str">
        <f t="shared" si="47"/>
        <v>Alert</v>
      </c>
      <c r="S375" s="115" t="str">
        <f t="shared" si="48"/>
        <v xml:space="preserve"> </v>
      </c>
      <c r="T375" s="116" t="str">
        <f t="shared" si="49"/>
        <v>Alert</v>
      </c>
      <c r="U375" s="120"/>
      <c r="V375" s="118"/>
      <c r="W375" s="131"/>
    </row>
    <row r="376" spans="1:23" ht="13.2">
      <c r="A376" s="102" t="s">
        <v>412</v>
      </c>
      <c r="B376" s="102"/>
      <c r="C376" s="104">
        <v>3</v>
      </c>
      <c r="D376" s="105" t="s">
        <v>357</v>
      </c>
      <c r="E376" s="106">
        <v>2.1</v>
      </c>
      <c r="F376" s="107">
        <v>0.1</v>
      </c>
      <c r="G376" s="108">
        <v>0.1</v>
      </c>
      <c r="H376" s="109" t="s">
        <v>55</v>
      </c>
      <c r="I376" s="110">
        <v>2.1629999999999998</v>
      </c>
      <c r="J376" s="110">
        <v>2.1549999999999998</v>
      </c>
      <c r="K376" s="119">
        <v>2.1520000000000001</v>
      </c>
      <c r="L376" s="111">
        <f t="shared" si="50"/>
        <v>6.2999999999999723E-2</v>
      </c>
      <c r="M376" s="112">
        <f t="shared" si="50"/>
        <v>5.4999999999999716E-2</v>
      </c>
      <c r="N376" s="112">
        <f t="shared" si="50"/>
        <v>5.2000000000000046E-2</v>
      </c>
      <c r="O376" s="112">
        <f t="shared" si="44"/>
        <v>2.1566666666666667</v>
      </c>
      <c r="P376" s="113">
        <f t="shared" si="45"/>
        <v>0.62999999999999723</v>
      </c>
      <c r="Q376" s="114">
        <f t="shared" si="46"/>
        <v>0</v>
      </c>
      <c r="R376" s="115" t="str">
        <f t="shared" si="47"/>
        <v xml:space="preserve"> </v>
      </c>
      <c r="S376" s="115" t="str">
        <f t="shared" si="48"/>
        <v xml:space="preserve"> </v>
      </c>
      <c r="T376" s="116" t="str">
        <f t="shared" si="49"/>
        <v/>
      </c>
      <c r="U376" s="120"/>
      <c r="V376" s="118"/>
      <c r="W376" s="131"/>
    </row>
    <row r="377" spans="1:23" ht="13.2">
      <c r="A377" s="102" t="s">
        <v>413</v>
      </c>
      <c r="B377" s="102"/>
      <c r="C377" s="104">
        <v>3</v>
      </c>
      <c r="D377" s="105" t="s">
        <v>357</v>
      </c>
      <c r="E377" s="106">
        <v>2.1</v>
      </c>
      <c r="F377" s="107">
        <v>0.1</v>
      </c>
      <c r="G377" s="108">
        <v>0.1</v>
      </c>
      <c r="H377" s="109" t="s">
        <v>55</v>
      </c>
      <c r="I377" s="110">
        <v>2.1520000000000001</v>
      </c>
      <c r="J377" s="110">
        <v>2.16</v>
      </c>
      <c r="K377" s="119">
        <v>2.1360000000000001</v>
      </c>
      <c r="L377" s="111">
        <f t="shared" si="50"/>
        <v>5.2000000000000046E-2</v>
      </c>
      <c r="M377" s="112">
        <f t="shared" si="50"/>
        <v>6.0000000000000053E-2</v>
      </c>
      <c r="N377" s="112">
        <f t="shared" si="50"/>
        <v>3.6000000000000032E-2</v>
      </c>
      <c r="O377" s="112">
        <f t="shared" si="44"/>
        <v>2.1493333333333333</v>
      </c>
      <c r="P377" s="113">
        <f t="shared" si="45"/>
        <v>0.60000000000000053</v>
      </c>
      <c r="Q377" s="114">
        <f t="shared" si="46"/>
        <v>0</v>
      </c>
      <c r="R377" s="115" t="str">
        <f t="shared" si="47"/>
        <v xml:space="preserve"> </v>
      </c>
      <c r="S377" s="115" t="str">
        <f t="shared" si="48"/>
        <v xml:space="preserve"> </v>
      </c>
      <c r="T377" s="116" t="str">
        <f t="shared" si="49"/>
        <v/>
      </c>
      <c r="U377" s="120"/>
      <c r="V377" s="118"/>
      <c r="W377" s="131"/>
    </row>
    <row r="378" spans="1:23" ht="13.2">
      <c r="A378" s="102" t="s">
        <v>414</v>
      </c>
      <c r="B378" s="102"/>
      <c r="C378" s="104">
        <v>3</v>
      </c>
      <c r="D378" s="105" t="s">
        <v>357</v>
      </c>
      <c r="E378" s="106">
        <v>3.05</v>
      </c>
      <c r="F378" s="107">
        <v>0.1</v>
      </c>
      <c r="G378" s="108">
        <v>0.1</v>
      </c>
      <c r="H378" s="109" t="s">
        <v>55</v>
      </c>
      <c r="I378" s="110">
        <v>3.1150000000000002</v>
      </c>
      <c r="J378" s="110">
        <v>3.09</v>
      </c>
      <c r="K378" s="119">
        <v>3.1059999999999999</v>
      </c>
      <c r="L378" s="111">
        <f t="shared" si="50"/>
        <v>6.5000000000000391E-2</v>
      </c>
      <c r="M378" s="112">
        <f t="shared" si="50"/>
        <v>4.0000000000000036E-2</v>
      </c>
      <c r="N378" s="112">
        <f t="shared" si="50"/>
        <v>5.600000000000005E-2</v>
      </c>
      <c r="O378" s="112">
        <f t="shared" si="44"/>
        <v>3.1036666666666668</v>
      </c>
      <c r="P378" s="113">
        <f t="shared" si="45"/>
        <v>0.65000000000000391</v>
      </c>
      <c r="Q378" s="114">
        <f t="shared" si="46"/>
        <v>0</v>
      </c>
      <c r="R378" s="115" t="str">
        <f t="shared" si="47"/>
        <v xml:space="preserve"> </v>
      </c>
      <c r="S378" s="115" t="str">
        <f t="shared" si="48"/>
        <v xml:space="preserve"> </v>
      </c>
      <c r="T378" s="116" t="str">
        <f t="shared" si="49"/>
        <v/>
      </c>
      <c r="U378" s="120"/>
      <c r="V378" s="118"/>
      <c r="W378" s="131"/>
    </row>
    <row r="379" spans="1:23" ht="13.2">
      <c r="A379" s="102" t="s">
        <v>415</v>
      </c>
      <c r="B379" s="102"/>
      <c r="C379" s="104">
        <v>3</v>
      </c>
      <c r="D379" s="105" t="s">
        <v>357</v>
      </c>
      <c r="E379" s="106">
        <v>3.05</v>
      </c>
      <c r="F379" s="107">
        <v>0.1</v>
      </c>
      <c r="G379" s="108">
        <v>0.1</v>
      </c>
      <c r="H379" s="109" t="s">
        <v>55</v>
      </c>
      <c r="I379" s="110">
        <v>3.09</v>
      </c>
      <c r="J379" s="110">
        <v>3.0870000000000002</v>
      </c>
      <c r="K379" s="119">
        <v>3.0659999999999998</v>
      </c>
      <c r="L379" s="111">
        <f t="shared" si="50"/>
        <v>4.0000000000000036E-2</v>
      </c>
      <c r="M379" s="112">
        <f t="shared" si="50"/>
        <v>3.7000000000000366E-2</v>
      </c>
      <c r="N379" s="112">
        <f t="shared" si="50"/>
        <v>1.6000000000000014E-2</v>
      </c>
      <c r="O379" s="112">
        <f t="shared" si="44"/>
        <v>3.0809999999999995</v>
      </c>
      <c r="P379" s="113">
        <f t="shared" si="45"/>
        <v>0.40000000000000036</v>
      </c>
      <c r="Q379" s="114">
        <f t="shared" si="46"/>
        <v>0</v>
      </c>
      <c r="R379" s="115" t="str">
        <f t="shared" si="47"/>
        <v xml:space="preserve"> </v>
      </c>
      <c r="S379" s="115" t="str">
        <f t="shared" si="48"/>
        <v xml:space="preserve"> </v>
      </c>
      <c r="T379" s="116" t="str">
        <f t="shared" si="49"/>
        <v/>
      </c>
      <c r="U379" s="120"/>
      <c r="V379" s="118"/>
      <c r="W379" s="131"/>
    </row>
    <row r="380" spans="1:23" ht="13.2">
      <c r="A380" s="102" t="s">
        <v>416</v>
      </c>
      <c r="B380" s="102"/>
      <c r="C380" s="104">
        <v>3</v>
      </c>
      <c r="D380" s="105" t="s">
        <v>357</v>
      </c>
      <c r="E380" s="106">
        <v>3.05</v>
      </c>
      <c r="F380" s="107">
        <v>0.1</v>
      </c>
      <c r="G380" s="108">
        <v>0.1</v>
      </c>
      <c r="H380" s="109" t="s">
        <v>55</v>
      </c>
      <c r="I380" s="110">
        <v>3.0680000000000001</v>
      </c>
      <c r="J380" s="110">
        <v>3.0819999999999999</v>
      </c>
      <c r="K380" s="119">
        <v>3.0840000000000001</v>
      </c>
      <c r="L380" s="111">
        <f t="shared" si="50"/>
        <v>1.8000000000000238E-2</v>
      </c>
      <c r="M380" s="112">
        <f t="shared" si="50"/>
        <v>3.2000000000000028E-2</v>
      </c>
      <c r="N380" s="112">
        <f t="shared" si="50"/>
        <v>3.4000000000000252E-2</v>
      </c>
      <c r="O380" s="112">
        <f t="shared" si="44"/>
        <v>3.0779999999999998</v>
      </c>
      <c r="P380" s="113">
        <f t="shared" si="45"/>
        <v>0.34000000000000252</v>
      </c>
      <c r="Q380" s="114">
        <f t="shared" si="46"/>
        <v>0</v>
      </c>
      <c r="R380" s="115" t="str">
        <f t="shared" si="47"/>
        <v xml:space="preserve"> </v>
      </c>
      <c r="S380" s="115" t="str">
        <f t="shared" si="48"/>
        <v xml:space="preserve"> </v>
      </c>
      <c r="T380" s="116" t="str">
        <f t="shared" si="49"/>
        <v/>
      </c>
      <c r="U380" s="120"/>
      <c r="V380" s="118"/>
      <c r="W380" s="131"/>
    </row>
    <row r="381" spans="1:23" ht="13.2">
      <c r="A381" s="102" t="s">
        <v>417</v>
      </c>
      <c r="B381" s="102"/>
      <c r="C381" s="104">
        <v>3</v>
      </c>
      <c r="D381" s="105" t="s">
        <v>357</v>
      </c>
      <c r="E381" s="106">
        <v>3.05</v>
      </c>
      <c r="F381" s="107">
        <v>0.1</v>
      </c>
      <c r="G381" s="108">
        <v>0.1</v>
      </c>
      <c r="H381" s="109" t="s">
        <v>55</v>
      </c>
      <c r="I381" s="110">
        <v>3.105</v>
      </c>
      <c r="J381" s="110">
        <v>3.0710000000000002</v>
      </c>
      <c r="K381" s="119">
        <v>3.089</v>
      </c>
      <c r="L381" s="111">
        <f t="shared" si="50"/>
        <v>5.500000000000016E-2</v>
      </c>
      <c r="M381" s="112">
        <f t="shared" si="50"/>
        <v>2.1000000000000352E-2</v>
      </c>
      <c r="N381" s="112">
        <f t="shared" si="50"/>
        <v>3.9000000000000146E-2</v>
      </c>
      <c r="O381" s="112">
        <f t="shared" si="44"/>
        <v>3.0883333333333334</v>
      </c>
      <c r="P381" s="113">
        <f t="shared" si="45"/>
        <v>0.5500000000000016</v>
      </c>
      <c r="Q381" s="114">
        <f t="shared" si="46"/>
        <v>0</v>
      </c>
      <c r="R381" s="115" t="str">
        <f t="shared" si="47"/>
        <v xml:space="preserve"> </v>
      </c>
      <c r="S381" s="115" t="str">
        <f t="shared" si="48"/>
        <v xml:space="preserve"> </v>
      </c>
      <c r="T381" s="116" t="str">
        <f t="shared" si="49"/>
        <v/>
      </c>
      <c r="U381" s="120"/>
      <c r="V381" s="118"/>
      <c r="W381" s="131"/>
    </row>
    <row r="382" spans="1:23" ht="13.2">
      <c r="A382" s="102" t="s">
        <v>418</v>
      </c>
      <c r="B382" s="102"/>
      <c r="C382" s="104">
        <v>3</v>
      </c>
      <c r="D382" s="105" t="s">
        <v>357</v>
      </c>
      <c r="E382" s="106">
        <v>4</v>
      </c>
      <c r="F382" s="107">
        <v>0.1</v>
      </c>
      <c r="G382" s="108">
        <v>0.1</v>
      </c>
      <c r="H382" s="109" t="s">
        <v>55</v>
      </c>
      <c r="I382" s="110">
        <v>4.0369999999999999</v>
      </c>
      <c r="J382" s="110">
        <v>4.0250000000000004</v>
      </c>
      <c r="K382" s="119">
        <v>4.0359999999999996</v>
      </c>
      <c r="L382" s="111">
        <f t="shared" si="50"/>
        <v>3.6999999999999922E-2</v>
      </c>
      <c r="M382" s="112">
        <f t="shared" si="50"/>
        <v>2.5000000000000355E-2</v>
      </c>
      <c r="N382" s="112">
        <f t="shared" si="50"/>
        <v>3.5999999999999588E-2</v>
      </c>
      <c r="O382" s="112">
        <f t="shared" ref="O382:O445" si="51">IF(ISERR(I382/I382)=TRUE," ",AVERAGE(I382:K382))</f>
        <v>4.0326666666666666</v>
      </c>
      <c r="P382" s="113">
        <f t="shared" ref="P382:P445" si="52">IF(ISBLANK($E382),"",IF(ISNUMBER(F382)=FALSE,"BAD TOL", IF(F382=0,"N/A",IF(ISERR(I382/I382)=TRUE,"BAD INSP",IF(AND(ISNUMBER($I382),ISNUMBER($J382),ISNUMBER($K382))=FALSE,"BAD INSP",IF(MAX($I382:$K382)&lt;$E382,0,(MAX($I382:$K382)-$E382)/$F382))))))</f>
        <v>0.36999999999999922</v>
      </c>
      <c r="Q382" s="114">
        <f t="shared" ref="Q382:Q445" si="53">IF(ISBLANK($E382),"",IF(ISNUMBER(G382)=FALSE,"BAD TOL",IF(G382=0,"N/A",IF(ISERR(I382/I382)=TRUE,"BAD INSP",IF(AND(ISNUMBER($I382),ISNUMBER($J382),ISNUMBER($K382))=FALSE,"BAD INSP",IF(MIN(I382:K382)&gt;$E382,0,($E382-MIN(I382:K382))/G382))))))</f>
        <v>0</v>
      </c>
      <c r="R382" s="115" t="str">
        <f t="shared" ref="R382:R445" si="54">IF(ISBLANK($E382),"",IF(ISNUMBER($P382)=TRUE,IF($P382&gt;0.651,IF($P382&gt;1.001,"Reject","Alert")," "),IF(AND(F382=0, ISNUMBER(F382)),IF(MAX(I382:K382)&gt;(E382+F382),"Reject",IF(MAX(I382:K382)=(E382+F382),"Alert","")),"Reject")))</f>
        <v xml:space="preserve"> </v>
      </c>
      <c r="S382" s="115" t="str">
        <f t="shared" ref="S382:S445" si="55">IF(ISBLANK($E382),"",IF(ISNUMBER($Q382)=TRUE,IF($Q382&gt;0.651,IF($Q382&gt;1.001,"Reject","Alert")," "),IF(AND(G382=0, ISNUMBER(G382)),IF(MIN(I382:K382)&lt;(E382-G382),"Reject",IF(MIN(I382:K382)=(E382-G382),"Alert","")),"Reject")))</f>
        <v xml:space="preserve"> </v>
      </c>
      <c r="T382" s="116" t="str">
        <f t="shared" ref="T382:T445" si="56">IF(OR(R382="Reject",S382="Reject"),"Reject",IF(OR(R382="Alert",S382="Alert"),"Alert", ""))</f>
        <v/>
      </c>
      <c r="U382" s="120"/>
      <c r="V382" s="118"/>
      <c r="W382" s="131"/>
    </row>
    <row r="383" spans="1:23" ht="13.2">
      <c r="A383" s="102" t="s">
        <v>419</v>
      </c>
      <c r="B383" s="102"/>
      <c r="C383" s="104">
        <v>3</v>
      </c>
      <c r="D383" s="105" t="s">
        <v>357</v>
      </c>
      <c r="E383" s="106">
        <v>4</v>
      </c>
      <c r="F383" s="107">
        <v>0.1</v>
      </c>
      <c r="G383" s="108">
        <v>0.1</v>
      </c>
      <c r="H383" s="109" t="s">
        <v>55</v>
      </c>
      <c r="I383" s="110">
        <v>4.0330000000000004</v>
      </c>
      <c r="J383" s="110">
        <v>4.0259999999999998</v>
      </c>
      <c r="K383" s="119">
        <v>4.024</v>
      </c>
      <c r="L383" s="111">
        <f t="shared" si="50"/>
        <v>3.3000000000000362E-2</v>
      </c>
      <c r="M383" s="112">
        <f t="shared" si="50"/>
        <v>2.5999999999999801E-2</v>
      </c>
      <c r="N383" s="112">
        <f t="shared" si="50"/>
        <v>2.4000000000000021E-2</v>
      </c>
      <c r="O383" s="112">
        <f t="shared" si="51"/>
        <v>4.0276666666666676</v>
      </c>
      <c r="P383" s="113">
        <f t="shared" si="52"/>
        <v>0.33000000000000362</v>
      </c>
      <c r="Q383" s="114">
        <f t="shared" si="53"/>
        <v>0</v>
      </c>
      <c r="R383" s="115" t="str">
        <f t="shared" si="54"/>
        <v xml:space="preserve"> </v>
      </c>
      <c r="S383" s="115" t="str">
        <f t="shared" si="55"/>
        <v xml:space="preserve"> </v>
      </c>
      <c r="T383" s="116" t="str">
        <f t="shared" si="56"/>
        <v/>
      </c>
      <c r="U383" s="120"/>
      <c r="V383" s="118"/>
      <c r="W383" s="131"/>
    </row>
    <row r="384" spans="1:23" ht="13.2">
      <c r="A384" s="102" t="s">
        <v>420</v>
      </c>
      <c r="B384" s="102"/>
      <c r="C384" s="104">
        <v>3</v>
      </c>
      <c r="D384" s="105" t="s">
        <v>357</v>
      </c>
      <c r="E384" s="106">
        <v>4</v>
      </c>
      <c r="F384" s="107">
        <v>0.1</v>
      </c>
      <c r="G384" s="108">
        <v>0.1</v>
      </c>
      <c r="H384" s="109" t="s">
        <v>55</v>
      </c>
      <c r="I384" s="110">
        <v>4.0529999999999999</v>
      </c>
      <c r="J384" s="110">
        <v>4.024</v>
      </c>
      <c r="K384" s="119">
        <v>4.0259999999999998</v>
      </c>
      <c r="L384" s="111">
        <f t="shared" si="50"/>
        <v>5.2999999999999936E-2</v>
      </c>
      <c r="M384" s="112">
        <f t="shared" si="50"/>
        <v>2.4000000000000021E-2</v>
      </c>
      <c r="N384" s="112">
        <f t="shared" si="50"/>
        <v>2.5999999999999801E-2</v>
      </c>
      <c r="O384" s="112">
        <f t="shared" si="51"/>
        <v>4.0343333333333335</v>
      </c>
      <c r="P384" s="113">
        <f t="shared" si="52"/>
        <v>0.52999999999999936</v>
      </c>
      <c r="Q384" s="114">
        <f t="shared" si="53"/>
        <v>0</v>
      </c>
      <c r="R384" s="115" t="str">
        <f t="shared" si="54"/>
        <v xml:space="preserve"> </v>
      </c>
      <c r="S384" s="115" t="str">
        <f t="shared" si="55"/>
        <v xml:space="preserve"> </v>
      </c>
      <c r="T384" s="116" t="str">
        <f t="shared" si="56"/>
        <v/>
      </c>
      <c r="U384" s="120"/>
      <c r="V384" s="118"/>
      <c r="W384" s="131"/>
    </row>
    <row r="385" spans="1:23" ht="13.2">
      <c r="A385" s="102" t="s">
        <v>421</v>
      </c>
      <c r="B385" s="102"/>
      <c r="C385" s="104">
        <v>3</v>
      </c>
      <c r="D385" s="105" t="s">
        <v>357</v>
      </c>
      <c r="E385" s="106">
        <v>4</v>
      </c>
      <c r="F385" s="107">
        <v>0.1</v>
      </c>
      <c r="G385" s="108">
        <v>0.1</v>
      </c>
      <c r="H385" s="109" t="s">
        <v>55</v>
      </c>
      <c r="I385" s="110">
        <v>4.0229999999999997</v>
      </c>
      <c r="J385" s="110">
        <v>4.0140000000000002</v>
      </c>
      <c r="K385" s="119">
        <v>4.0220000000000002</v>
      </c>
      <c r="L385" s="111">
        <f t="shared" si="50"/>
        <v>2.2999999999999687E-2</v>
      </c>
      <c r="M385" s="112">
        <f t="shared" si="50"/>
        <v>1.4000000000000234E-2</v>
      </c>
      <c r="N385" s="112">
        <f t="shared" si="50"/>
        <v>2.2000000000000242E-2</v>
      </c>
      <c r="O385" s="112">
        <f t="shared" si="51"/>
        <v>4.0196666666666667</v>
      </c>
      <c r="P385" s="113">
        <f t="shared" si="52"/>
        <v>0.22999999999999687</v>
      </c>
      <c r="Q385" s="114">
        <f t="shared" si="53"/>
        <v>0</v>
      </c>
      <c r="R385" s="115" t="str">
        <f t="shared" si="54"/>
        <v xml:space="preserve"> </v>
      </c>
      <c r="S385" s="115" t="str">
        <f t="shared" si="55"/>
        <v xml:space="preserve"> </v>
      </c>
      <c r="T385" s="116" t="str">
        <f t="shared" si="56"/>
        <v/>
      </c>
      <c r="U385" s="120"/>
      <c r="V385" s="118"/>
      <c r="W385" s="131"/>
    </row>
    <row r="386" spans="1:23" ht="13.2">
      <c r="A386" s="102" t="s">
        <v>422</v>
      </c>
      <c r="B386" s="102"/>
      <c r="C386" s="104">
        <v>3</v>
      </c>
      <c r="D386" s="105" t="s">
        <v>357</v>
      </c>
      <c r="E386" s="106">
        <v>4</v>
      </c>
      <c r="F386" s="107">
        <v>0.1</v>
      </c>
      <c r="G386" s="108">
        <v>0.1</v>
      </c>
      <c r="H386" s="109" t="s">
        <v>55</v>
      </c>
      <c r="I386" s="110">
        <v>4.0110000000000001</v>
      </c>
      <c r="J386" s="110">
        <v>4.0110000000000001</v>
      </c>
      <c r="K386" s="119">
        <v>4.0190000000000001</v>
      </c>
      <c r="L386" s="111">
        <f t="shared" si="50"/>
        <v>1.1000000000000121E-2</v>
      </c>
      <c r="M386" s="112">
        <f t="shared" si="50"/>
        <v>1.1000000000000121E-2</v>
      </c>
      <c r="N386" s="112">
        <f t="shared" si="50"/>
        <v>1.9000000000000128E-2</v>
      </c>
      <c r="O386" s="112">
        <f t="shared" si="51"/>
        <v>4.0136666666666665</v>
      </c>
      <c r="P386" s="113">
        <f t="shared" si="52"/>
        <v>0.19000000000000128</v>
      </c>
      <c r="Q386" s="114">
        <f t="shared" si="53"/>
        <v>0</v>
      </c>
      <c r="R386" s="115" t="str">
        <f t="shared" si="54"/>
        <v xml:space="preserve"> </v>
      </c>
      <c r="S386" s="115" t="str">
        <f t="shared" si="55"/>
        <v xml:space="preserve"> </v>
      </c>
      <c r="T386" s="116" t="str">
        <f t="shared" si="56"/>
        <v/>
      </c>
      <c r="U386" s="120"/>
      <c r="V386" s="118"/>
      <c r="W386" s="131"/>
    </row>
    <row r="387" spans="1:23" ht="13.2">
      <c r="A387" s="102" t="s">
        <v>423</v>
      </c>
      <c r="B387" s="103"/>
      <c r="C387" s="104">
        <v>3</v>
      </c>
      <c r="D387" s="105" t="s">
        <v>64</v>
      </c>
      <c r="E387" s="106">
        <v>6.35</v>
      </c>
      <c r="F387" s="107">
        <v>0.1</v>
      </c>
      <c r="G387" s="108">
        <v>0.1</v>
      </c>
      <c r="H387" s="121" t="s">
        <v>55</v>
      </c>
      <c r="I387" s="110">
        <v>6.3460000000000001</v>
      </c>
      <c r="J387" s="110">
        <v>6.3620000000000001</v>
      </c>
      <c r="K387" s="119">
        <v>6.3780000000000001</v>
      </c>
      <c r="L387" s="111">
        <f t="shared" si="50"/>
        <v>-3.9999999999995595E-3</v>
      </c>
      <c r="M387" s="112">
        <f t="shared" si="50"/>
        <v>1.2000000000000455E-2</v>
      </c>
      <c r="N387" s="112">
        <f t="shared" si="50"/>
        <v>2.8000000000000469E-2</v>
      </c>
      <c r="O387" s="112">
        <f t="shared" si="51"/>
        <v>6.3619999999999992</v>
      </c>
      <c r="P387" s="113">
        <f t="shared" si="52"/>
        <v>0.28000000000000469</v>
      </c>
      <c r="Q387" s="114">
        <f t="shared" si="53"/>
        <v>3.9999999999995595E-2</v>
      </c>
      <c r="R387" s="115" t="str">
        <f t="shared" si="54"/>
        <v xml:space="preserve"> </v>
      </c>
      <c r="S387" s="115" t="str">
        <f t="shared" si="55"/>
        <v xml:space="preserve"> </v>
      </c>
      <c r="T387" s="116" t="str">
        <f t="shared" si="56"/>
        <v/>
      </c>
      <c r="U387" s="120"/>
      <c r="V387" s="118"/>
      <c r="W387" s="131"/>
    </row>
    <row r="388" spans="1:23" ht="13.2">
      <c r="A388" s="102" t="s">
        <v>424</v>
      </c>
      <c r="B388" s="103"/>
      <c r="C388" s="104">
        <v>3</v>
      </c>
      <c r="D388" s="105" t="s">
        <v>64</v>
      </c>
      <c r="E388" s="106">
        <v>6.35</v>
      </c>
      <c r="F388" s="107">
        <v>0.1</v>
      </c>
      <c r="G388" s="108">
        <v>0.1</v>
      </c>
      <c r="H388" s="121" t="s">
        <v>55</v>
      </c>
      <c r="I388" s="110">
        <v>6.3540000000000001</v>
      </c>
      <c r="J388" s="110">
        <v>6.359</v>
      </c>
      <c r="K388" s="119">
        <v>6.3780000000000001</v>
      </c>
      <c r="L388" s="111">
        <f t="shared" si="50"/>
        <v>4.0000000000004476E-3</v>
      </c>
      <c r="M388" s="112">
        <f t="shared" si="50"/>
        <v>9.0000000000003411E-3</v>
      </c>
      <c r="N388" s="112">
        <f t="shared" si="50"/>
        <v>2.8000000000000469E-2</v>
      </c>
      <c r="O388" s="112">
        <f t="shared" si="51"/>
        <v>6.363666666666667</v>
      </c>
      <c r="P388" s="113">
        <f t="shared" si="52"/>
        <v>0.28000000000000469</v>
      </c>
      <c r="Q388" s="114">
        <f t="shared" si="53"/>
        <v>0</v>
      </c>
      <c r="R388" s="115" t="str">
        <f t="shared" si="54"/>
        <v xml:space="preserve"> </v>
      </c>
      <c r="S388" s="115" t="str">
        <f t="shared" si="55"/>
        <v xml:space="preserve"> </v>
      </c>
      <c r="T388" s="116" t="str">
        <f t="shared" si="56"/>
        <v/>
      </c>
      <c r="U388" s="120"/>
      <c r="V388" s="118"/>
      <c r="W388" s="131"/>
    </row>
    <row r="389" spans="1:23" ht="13.2">
      <c r="A389" s="102" t="s">
        <v>425</v>
      </c>
      <c r="B389" s="103"/>
      <c r="C389" s="104">
        <v>3</v>
      </c>
      <c r="D389" s="105" t="s">
        <v>64</v>
      </c>
      <c r="E389" s="106">
        <v>6.35</v>
      </c>
      <c r="F389" s="107">
        <v>0.1</v>
      </c>
      <c r="G389" s="108">
        <v>0.1</v>
      </c>
      <c r="H389" s="121" t="s">
        <v>55</v>
      </c>
      <c r="I389" s="110">
        <v>6.3339999999999996</v>
      </c>
      <c r="J389" s="110">
        <v>6.3529999999999998</v>
      </c>
      <c r="K389" s="119">
        <v>6.3470000000000004</v>
      </c>
      <c r="L389" s="111">
        <f t="shared" si="50"/>
        <v>-1.6000000000000014E-2</v>
      </c>
      <c r="M389" s="112">
        <f t="shared" si="50"/>
        <v>3.0000000000001137E-3</v>
      </c>
      <c r="N389" s="112">
        <f t="shared" si="50"/>
        <v>-2.9999999999992255E-3</v>
      </c>
      <c r="O389" s="112">
        <f t="shared" si="51"/>
        <v>6.344666666666666</v>
      </c>
      <c r="P389" s="113">
        <f t="shared" si="52"/>
        <v>3.0000000000001137E-2</v>
      </c>
      <c r="Q389" s="114">
        <f t="shared" si="53"/>
        <v>0.16000000000000014</v>
      </c>
      <c r="R389" s="115" t="str">
        <f t="shared" si="54"/>
        <v xml:space="preserve"> </v>
      </c>
      <c r="S389" s="115" t="str">
        <f t="shared" si="55"/>
        <v xml:space="preserve"> </v>
      </c>
      <c r="T389" s="116" t="str">
        <f t="shared" si="56"/>
        <v/>
      </c>
      <c r="U389" s="120"/>
      <c r="V389" s="118"/>
      <c r="W389" s="131"/>
    </row>
    <row r="390" spans="1:23" ht="13.2">
      <c r="A390" s="102" t="s">
        <v>426</v>
      </c>
      <c r="B390" s="102"/>
      <c r="C390" s="104">
        <v>3</v>
      </c>
      <c r="D390" s="105" t="s">
        <v>64</v>
      </c>
      <c r="E390" s="106">
        <v>6.35</v>
      </c>
      <c r="F390" s="107">
        <v>0.1</v>
      </c>
      <c r="G390" s="108">
        <v>0.1</v>
      </c>
      <c r="H390" s="121" t="s">
        <v>55</v>
      </c>
      <c r="I390" s="110">
        <v>6.335</v>
      </c>
      <c r="J390" s="110">
        <v>6.3609999999999998</v>
      </c>
      <c r="K390" s="119">
        <v>6.3550000000000004</v>
      </c>
      <c r="L390" s="111">
        <f t="shared" si="50"/>
        <v>-1.499999999999968E-2</v>
      </c>
      <c r="M390" s="112">
        <f t="shared" si="50"/>
        <v>1.1000000000000121E-2</v>
      </c>
      <c r="N390" s="112">
        <f t="shared" si="50"/>
        <v>5.0000000000007816E-3</v>
      </c>
      <c r="O390" s="112">
        <f t="shared" si="51"/>
        <v>6.3503333333333343</v>
      </c>
      <c r="P390" s="113">
        <f t="shared" si="52"/>
        <v>0.11000000000000121</v>
      </c>
      <c r="Q390" s="114">
        <f t="shared" si="53"/>
        <v>0.1499999999999968</v>
      </c>
      <c r="R390" s="115" t="str">
        <f t="shared" si="54"/>
        <v xml:space="preserve"> </v>
      </c>
      <c r="S390" s="115" t="str">
        <f t="shared" si="55"/>
        <v xml:space="preserve"> </v>
      </c>
      <c r="T390" s="116" t="str">
        <f t="shared" si="56"/>
        <v/>
      </c>
      <c r="U390" s="120"/>
      <c r="V390" s="118"/>
      <c r="W390" s="131"/>
    </row>
    <row r="391" spans="1:23" ht="13.2">
      <c r="A391" s="102" t="s">
        <v>427</v>
      </c>
      <c r="B391" s="102"/>
      <c r="C391" s="104">
        <v>3</v>
      </c>
      <c r="D391" s="105" t="s">
        <v>64</v>
      </c>
      <c r="E391" s="106">
        <v>3.17</v>
      </c>
      <c r="F391" s="107">
        <v>0.1</v>
      </c>
      <c r="G391" s="108">
        <v>0.1</v>
      </c>
      <c r="H391" s="121" t="s">
        <v>55</v>
      </c>
      <c r="I391" s="110">
        <v>3.1739999999999999</v>
      </c>
      <c r="J391" s="110">
        <v>3.1920000000000002</v>
      </c>
      <c r="K391" s="119">
        <v>3.1859999999999999</v>
      </c>
      <c r="L391" s="111">
        <f t="shared" si="50"/>
        <v>4.0000000000000036E-3</v>
      </c>
      <c r="M391" s="112">
        <f t="shared" si="50"/>
        <v>2.2000000000000242E-2</v>
      </c>
      <c r="N391" s="112">
        <f t="shared" si="50"/>
        <v>1.6000000000000014E-2</v>
      </c>
      <c r="O391" s="112">
        <f t="shared" si="51"/>
        <v>3.1839999999999997</v>
      </c>
      <c r="P391" s="113">
        <f t="shared" si="52"/>
        <v>0.22000000000000242</v>
      </c>
      <c r="Q391" s="114">
        <f t="shared" si="53"/>
        <v>0</v>
      </c>
      <c r="R391" s="115" t="str">
        <f t="shared" si="54"/>
        <v xml:space="preserve"> </v>
      </c>
      <c r="S391" s="115" t="str">
        <f t="shared" si="55"/>
        <v xml:space="preserve"> </v>
      </c>
      <c r="T391" s="116" t="str">
        <f t="shared" si="56"/>
        <v/>
      </c>
      <c r="U391" s="120"/>
      <c r="V391" s="118"/>
      <c r="W391" s="131"/>
    </row>
    <row r="392" spans="1:23" ht="13.2">
      <c r="A392" s="102" t="s">
        <v>428</v>
      </c>
      <c r="B392" s="102"/>
      <c r="C392" s="104">
        <v>3</v>
      </c>
      <c r="D392" s="105" t="s">
        <v>64</v>
      </c>
      <c r="E392" s="106">
        <v>3.17</v>
      </c>
      <c r="F392" s="107">
        <v>0.1</v>
      </c>
      <c r="G392" s="108">
        <v>0.1</v>
      </c>
      <c r="H392" s="121" t="s">
        <v>55</v>
      </c>
      <c r="I392" s="110">
        <v>3.1819999999999999</v>
      </c>
      <c r="J392" s="110">
        <v>3.1819999999999999</v>
      </c>
      <c r="K392" s="119">
        <v>3.177</v>
      </c>
      <c r="L392" s="111">
        <f t="shared" si="50"/>
        <v>1.2000000000000011E-2</v>
      </c>
      <c r="M392" s="112">
        <f t="shared" si="50"/>
        <v>1.2000000000000011E-2</v>
      </c>
      <c r="N392" s="112">
        <f t="shared" si="50"/>
        <v>7.0000000000001172E-3</v>
      </c>
      <c r="O392" s="112">
        <f t="shared" si="51"/>
        <v>3.1803333333333335</v>
      </c>
      <c r="P392" s="113">
        <f t="shared" si="52"/>
        <v>0.12000000000000011</v>
      </c>
      <c r="Q392" s="114">
        <f t="shared" si="53"/>
        <v>0</v>
      </c>
      <c r="R392" s="115" t="str">
        <f t="shared" si="54"/>
        <v xml:space="preserve"> </v>
      </c>
      <c r="S392" s="115" t="str">
        <f t="shared" si="55"/>
        <v xml:space="preserve"> </v>
      </c>
      <c r="T392" s="116" t="str">
        <f t="shared" si="56"/>
        <v/>
      </c>
      <c r="U392" s="120"/>
      <c r="V392" s="118"/>
      <c r="W392" s="131"/>
    </row>
    <row r="393" spans="1:23" ht="13.2">
      <c r="A393" s="102" t="s">
        <v>429</v>
      </c>
      <c r="B393" s="102"/>
      <c r="C393" s="104">
        <v>3</v>
      </c>
      <c r="D393" s="105" t="s">
        <v>64</v>
      </c>
      <c r="E393" s="106">
        <v>3.17</v>
      </c>
      <c r="F393" s="107">
        <v>0.1</v>
      </c>
      <c r="G393" s="108">
        <v>0.1</v>
      </c>
      <c r="H393" s="121" t="s">
        <v>55</v>
      </c>
      <c r="I393" s="110">
        <v>3.1640000000000001</v>
      </c>
      <c r="J393" s="110">
        <v>3.18</v>
      </c>
      <c r="K393" s="119">
        <v>3.177</v>
      </c>
      <c r="L393" s="111">
        <f t="shared" si="50"/>
        <v>-5.9999999999997833E-3</v>
      </c>
      <c r="M393" s="112">
        <f t="shared" si="50"/>
        <v>1.0000000000000231E-2</v>
      </c>
      <c r="N393" s="112">
        <f t="shared" si="50"/>
        <v>7.0000000000001172E-3</v>
      </c>
      <c r="O393" s="112">
        <f t="shared" si="51"/>
        <v>3.1736666666666671</v>
      </c>
      <c r="P393" s="113">
        <f t="shared" si="52"/>
        <v>0.10000000000000231</v>
      </c>
      <c r="Q393" s="114">
        <f t="shared" si="53"/>
        <v>5.9999999999997833E-2</v>
      </c>
      <c r="R393" s="115" t="str">
        <f t="shared" si="54"/>
        <v xml:space="preserve"> </v>
      </c>
      <c r="S393" s="115" t="str">
        <f t="shared" si="55"/>
        <v xml:space="preserve"> </v>
      </c>
      <c r="T393" s="116" t="str">
        <f t="shared" si="56"/>
        <v/>
      </c>
      <c r="U393" s="120"/>
      <c r="V393" s="118"/>
      <c r="W393" s="131"/>
    </row>
    <row r="394" spans="1:23" ht="13.2">
      <c r="A394" s="102" t="s">
        <v>430</v>
      </c>
      <c r="B394" s="102"/>
      <c r="C394" s="104">
        <v>3</v>
      </c>
      <c r="D394" s="105" t="s">
        <v>64</v>
      </c>
      <c r="E394" s="106">
        <v>3.17</v>
      </c>
      <c r="F394" s="107">
        <v>0.1</v>
      </c>
      <c r="G394" s="108">
        <v>0.1</v>
      </c>
      <c r="H394" s="121" t="s">
        <v>55</v>
      </c>
      <c r="I394" s="110">
        <v>3.16</v>
      </c>
      <c r="J394" s="110">
        <v>3.18</v>
      </c>
      <c r="K394" s="119">
        <v>3.1829999999999998</v>
      </c>
      <c r="L394" s="111">
        <f t="shared" si="50"/>
        <v>-9.9999999999997868E-3</v>
      </c>
      <c r="M394" s="112">
        <f t="shared" si="50"/>
        <v>1.0000000000000231E-2</v>
      </c>
      <c r="N394" s="112">
        <f t="shared" si="50"/>
        <v>1.2999999999999901E-2</v>
      </c>
      <c r="O394" s="112">
        <f t="shared" si="51"/>
        <v>3.1743333333333332</v>
      </c>
      <c r="P394" s="113">
        <f t="shared" si="52"/>
        <v>0.12999999999999901</v>
      </c>
      <c r="Q394" s="114">
        <f t="shared" si="53"/>
        <v>9.9999999999997868E-2</v>
      </c>
      <c r="R394" s="115" t="str">
        <f t="shared" si="54"/>
        <v xml:space="preserve"> </v>
      </c>
      <c r="S394" s="115" t="str">
        <f t="shared" si="55"/>
        <v xml:space="preserve"> </v>
      </c>
      <c r="T394" s="116" t="str">
        <f t="shared" si="56"/>
        <v/>
      </c>
      <c r="U394" s="120"/>
      <c r="V394" s="118"/>
      <c r="W394" s="131"/>
    </row>
    <row r="395" spans="1:23" ht="13.2">
      <c r="A395" s="102" t="s">
        <v>431</v>
      </c>
      <c r="B395" s="102"/>
      <c r="C395" s="104">
        <v>3</v>
      </c>
      <c r="D395" s="105" t="s">
        <v>64</v>
      </c>
      <c r="E395" s="106">
        <v>1.59</v>
      </c>
      <c r="F395" s="107">
        <v>0.1</v>
      </c>
      <c r="G395" s="108">
        <v>0.1</v>
      </c>
      <c r="H395" s="121" t="s">
        <v>55</v>
      </c>
      <c r="I395" s="110">
        <v>1.587</v>
      </c>
      <c r="J395" s="110">
        <v>1.601</v>
      </c>
      <c r="K395" s="119">
        <v>1.595</v>
      </c>
      <c r="L395" s="111">
        <f t="shared" si="50"/>
        <v>-3.0000000000001137E-3</v>
      </c>
      <c r="M395" s="112">
        <f t="shared" si="50"/>
        <v>1.0999999999999899E-2</v>
      </c>
      <c r="N395" s="112">
        <f t="shared" si="50"/>
        <v>4.9999999999998934E-3</v>
      </c>
      <c r="O395" s="112">
        <f t="shared" si="51"/>
        <v>1.5943333333333332</v>
      </c>
      <c r="P395" s="113">
        <f t="shared" si="52"/>
        <v>0.10999999999999899</v>
      </c>
      <c r="Q395" s="114">
        <f t="shared" si="53"/>
        <v>3.0000000000001137E-2</v>
      </c>
      <c r="R395" s="115" t="str">
        <f t="shared" si="54"/>
        <v xml:space="preserve"> </v>
      </c>
      <c r="S395" s="115" t="str">
        <f t="shared" si="55"/>
        <v xml:space="preserve"> </v>
      </c>
      <c r="T395" s="116" t="str">
        <f t="shared" si="56"/>
        <v/>
      </c>
      <c r="U395" s="120"/>
      <c r="V395" s="118"/>
      <c r="W395" s="131"/>
    </row>
    <row r="396" spans="1:23" ht="13.2">
      <c r="A396" s="102" t="s">
        <v>432</v>
      </c>
      <c r="B396" s="102"/>
      <c r="C396" s="104">
        <v>3</v>
      </c>
      <c r="D396" s="105" t="s">
        <v>64</v>
      </c>
      <c r="E396" s="106">
        <v>1.59</v>
      </c>
      <c r="F396" s="107">
        <v>0.1</v>
      </c>
      <c r="G396" s="108">
        <v>0.1</v>
      </c>
      <c r="H396" s="121" t="s">
        <v>55</v>
      </c>
      <c r="I396" s="110">
        <v>1.585</v>
      </c>
      <c r="J396" s="110">
        <v>1.597</v>
      </c>
      <c r="K396" s="119">
        <v>1.599</v>
      </c>
      <c r="L396" s="111">
        <f t="shared" si="50"/>
        <v>-5.0000000000001155E-3</v>
      </c>
      <c r="M396" s="112">
        <f t="shared" si="50"/>
        <v>6.9999999999998952E-3</v>
      </c>
      <c r="N396" s="112">
        <f t="shared" si="50"/>
        <v>8.999999999999897E-3</v>
      </c>
      <c r="O396" s="112">
        <f t="shared" si="51"/>
        <v>1.5936666666666666</v>
      </c>
      <c r="P396" s="113">
        <f t="shared" si="52"/>
        <v>8.999999999999897E-2</v>
      </c>
      <c r="Q396" s="114">
        <f t="shared" si="53"/>
        <v>5.0000000000001155E-2</v>
      </c>
      <c r="R396" s="115" t="str">
        <f t="shared" si="54"/>
        <v xml:space="preserve"> </v>
      </c>
      <c r="S396" s="115" t="str">
        <f t="shared" si="55"/>
        <v xml:space="preserve"> </v>
      </c>
      <c r="T396" s="116" t="str">
        <f t="shared" si="56"/>
        <v/>
      </c>
      <c r="U396" s="120"/>
      <c r="V396" s="118"/>
      <c r="W396" s="131"/>
    </row>
    <row r="397" spans="1:23" ht="13.2">
      <c r="A397" s="102" t="s">
        <v>433</v>
      </c>
      <c r="B397" s="102"/>
      <c r="C397" s="104">
        <v>3</v>
      </c>
      <c r="D397" s="105" t="s">
        <v>64</v>
      </c>
      <c r="E397" s="106">
        <v>1.59</v>
      </c>
      <c r="F397" s="107">
        <v>0.1</v>
      </c>
      <c r="G397" s="108">
        <v>0.1</v>
      </c>
      <c r="H397" s="121" t="s">
        <v>55</v>
      </c>
      <c r="I397" s="110">
        <v>1.5820000000000001</v>
      </c>
      <c r="J397" s="110">
        <v>1.5940000000000001</v>
      </c>
      <c r="K397" s="119">
        <v>1.5840000000000001</v>
      </c>
      <c r="L397" s="111">
        <f t="shared" si="50"/>
        <v>-8.0000000000000071E-3</v>
      </c>
      <c r="M397" s="112">
        <f t="shared" si="50"/>
        <v>4.0000000000000036E-3</v>
      </c>
      <c r="N397" s="112">
        <f t="shared" si="50"/>
        <v>-6.0000000000000053E-3</v>
      </c>
      <c r="O397" s="112">
        <f t="shared" si="51"/>
        <v>1.5866666666666667</v>
      </c>
      <c r="P397" s="113">
        <f t="shared" si="52"/>
        <v>4.0000000000000036E-2</v>
      </c>
      <c r="Q397" s="114">
        <f t="shared" si="53"/>
        <v>8.0000000000000071E-2</v>
      </c>
      <c r="R397" s="115" t="str">
        <f t="shared" si="54"/>
        <v xml:space="preserve"> </v>
      </c>
      <c r="S397" s="115" t="str">
        <f t="shared" si="55"/>
        <v xml:space="preserve"> </v>
      </c>
      <c r="T397" s="116" t="str">
        <f t="shared" si="56"/>
        <v/>
      </c>
      <c r="U397" s="120"/>
      <c r="V397" s="118"/>
      <c r="W397" s="131"/>
    </row>
    <row r="398" spans="1:23" ht="13.2">
      <c r="A398" s="102" t="s">
        <v>434</v>
      </c>
      <c r="B398" s="102"/>
      <c r="C398" s="104">
        <v>3</v>
      </c>
      <c r="D398" s="105" t="s">
        <v>64</v>
      </c>
      <c r="E398" s="106">
        <v>1.59</v>
      </c>
      <c r="F398" s="107">
        <v>0.1</v>
      </c>
      <c r="G398" s="108">
        <v>0.1</v>
      </c>
      <c r="H398" s="121" t="s">
        <v>55</v>
      </c>
      <c r="I398" s="110">
        <v>1.571</v>
      </c>
      <c r="J398" s="110">
        <v>1.5880000000000001</v>
      </c>
      <c r="K398" s="119">
        <v>1.5920000000000001</v>
      </c>
      <c r="L398" s="111">
        <f t="shared" si="50"/>
        <v>-1.9000000000000128E-2</v>
      </c>
      <c r="M398" s="112">
        <f t="shared" si="50"/>
        <v>-2.0000000000000018E-3</v>
      </c>
      <c r="N398" s="112">
        <f t="shared" si="50"/>
        <v>2.0000000000000018E-3</v>
      </c>
      <c r="O398" s="112">
        <f t="shared" si="51"/>
        <v>1.5836666666666666</v>
      </c>
      <c r="P398" s="113">
        <f t="shared" si="52"/>
        <v>2.0000000000000018E-2</v>
      </c>
      <c r="Q398" s="114">
        <f t="shared" si="53"/>
        <v>0.19000000000000128</v>
      </c>
      <c r="R398" s="115" t="str">
        <f t="shared" si="54"/>
        <v xml:space="preserve"> </v>
      </c>
      <c r="S398" s="115" t="str">
        <f t="shared" si="55"/>
        <v xml:space="preserve"> </v>
      </c>
      <c r="T398" s="116" t="str">
        <f t="shared" si="56"/>
        <v/>
      </c>
      <c r="U398" s="120"/>
      <c r="V398" s="118"/>
      <c r="W398" s="131"/>
    </row>
    <row r="399" spans="1:23" ht="13.2">
      <c r="A399" s="102" t="s">
        <v>435</v>
      </c>
      <c r="B399" s="102"/>
      <c r="C399" s="104">
        <v>3</v>
      </c>
      <c r="D399" s="105" t="s">
        <v>64</v>
      </c>
      <c r="E399" s="106">
        <v>0.79</v>
      </c>
      <c r="F399" s="107">
        <v>0.1</v>
      </c>
      <c r="G399" s="108">
        <v>0.1</v>
      </c>
      <c r="H399" s="121" t="s">
        <v>55</v>
      </c>
      <c r="I399" s="110">
        <v>0.79100000000000004</v>
      </c>
      <c r="J399" s="110">
        <v>0.80200000000000005</v>
      </c>
      <c r="K399" s="119">
        <v>0.80400000000000005</v>
      </c>
      <c r="L399" s="111">
        <f t="shared" si="50"/>
        <v>1.0000000000000009E-3</v>
      </c>
      <c r="M399" s="112">
        <f t="shared" si="50"/>
        <v>1.2000000000000011E-2</v>
      </c>
      <c r="N399" s="112">
        <f t="shared" si="50"/>
        <v>1.4000000000000012E-2</v>
      </c>
      <c r="O399" s="112">
        <f t="shared" si="51"/>
        <v>0.79900000000000004</v>
      </c>
      <c r="P399" s="113">
        <f t="shared" si="52"/>
        <v>0.14000000000000012</v>
      </c>
      <c r="Q399" s="114">
        <f t="shared" si="53"/>
        <v>0</v>
      </c>
      <c r="R399" s="115" t="str">
        <f t="shared" si="54"/>
        <v xml:space="preserve"> </v>
      </c>
      <c r="S399" s="115" t="str">
        <f t="shared" si="55"/>
        <v xml:space="preserve"> </v>
      </c>
      <c r="T399" s="116" t="str">
        <f t="shared" si="56"/>
        <v/>
      </c>
      <c r="U399" s="120"/>
      <c r="V399" s="118"/>
      <c r="W399" s="131"/>
    </row>
    <row r="400" spans="1:23" ht="13.2">
      <c r="A400" s="102" t="s">
        <v>39</v>
      </c>
      <c r="B400" s="102"/>
      <c r="C400" s="104">
        <v>3</v>
      </c>
      <c r="D400" s="105" t="s">
        <v>64</v>
      </c>
      <c r="E400" s="106">
        <v>0.79</v>
      </c>
      <c r="F400" s="107">
        <v>0.1</v>
      </c>
      <c r="G400" s="108">
        <v>0.1</v>
      </c>
      <c r="H400" s="121" t="s">
        <v>55</v>
      </c>
      <c r="I400" s="110">
        <v>0.79800000000000004</v>
      </c>
      <c r="J400" s="110">
        <v>0.80200000000000005</v>
      </c>
      <c r="K400" s="119">
        <v>0.80200000000000005</v>
      </c>
      <c r="L400" s="111">
        <f t="shared" si="50"/>
        <v>8.0000000000000071E-3</v>
      </c>
      <c r="M400" s="112">
        <f t="shared" si="50"/>
        <v>1.2000000000000011E-2</v>
      </c>
      <c r="N400" s="112">
        <f t="shared" si="50"/>
        <v>1.2000000000000011E-2</v>
      </c>
      <c r="O400" s="112">
        <f t="shared" si="51"/>
        <v>0.80066666666666675</v>
      </c>
      <c r="P400" s="113">
        <f t="shared" si="52"/>
        <v>0.12000000000000011</v>
      </c>
      <c r="Q400" s="114">
        <f t="shared" si="53"/>
        <v>0</v>
      </c>
      <c r="R400" s="115" t="str">
        <f t="shared" si="54"/>
        <v xml:space="preserve"> </v>
      </c>
      <c r="S400" s="115" t="str">
        <f t="shared" si="55"/>
        <v xml:space="preserve"> </v>
      </c>
      <c r="T400" s="116" t="str">
        <f t="shared" si="56"/>
        <v/>
      </c>
      <c r="U400" s="120"/>
      <c r="V400" s="118"/>
      <c r="W400" s="131"/>
    </row>
    <row r="401" spans="1:23" ht="13.2">
      <c r="A401" s="102" t="s">
        <v>40</v>
      </c>
      <c r="B401" s="102"/>
      <c r="C401" s="104">
        <v>3</v>
      </c>
      <c r="D401" s="105" t="s">
        <v>64</v>
      </c>
      <c r="E401" s="106">
        <v>0.79</v>
      </c>
      <c r="F401" s="107">
        <v>0.1</v>
      </c>
      <c r="G401" s="108">
        <v>0.1</v>
      </c>
      <c r="H401" s="121" t="s">
        <v>55</v>
      </c>
      <c r="I401" s="110">
        <v>0.78800000000000003</v>
      </c>
      <c r="J401" s="110">
        <v>0.80300000000000005</v>
      </c>
      <c r="K401" s="119">
        <v>0.80400000000000005</v>
      </c>
      <c r="L401" s="111">
        <f t="shared" si="50"/>
        <v>-2.0000000000000018E-3</v>
      </c>
      <c r="M401" s="112">
        <f t="shared" si="50"/>
        <v>1.3000000000000012E-2</v>
      </c>
      <c r="N401" s="112">
        <f t="shared" si="50"/>
        <v>1.4000000000000012E-2</v>
      </c>
      <c r="O401" s="112">
        <f t="shared" si="51"/>
        <v>0.79833333333333345</v>
      </c>
      <c r="P401" s="113">
        <f t="shared" si="52"/>
        <v>0.14000000000000012</v>
      </c>
      <c r="Q401" s="114">
        <f t="shared" si="53"/>
        <v>2.0000000000000018E-2</v>
      </c>
      <c r="R401" s="115" t="str">
        <f t="shared" si="54"/>
        <v xml:space="preserve"> </v>
      </c>
      <c r="S401" s="115" t="str">
        <f t="shared" si="55"/>
        <v xml:space="preserve"> </v>
      </c>
      <c r="T401" s="116" t="str">
        <f t="shared" si="56"/>
        <v/>
      </c>
      <c r="U401" s="120"/>
      <c r="V401" s="118"/>
      <c r="W401" s="131"/>
    </row>
    <row r="402" spans="1:23" ht="13.2">
      <c r="A402" s="102" t="s">
        <v>436</v>
      </c>
      <c r="B402" s="103"/>
      <c r="C402" s="104">
        <v>3</v>
      </c>
      <c r="D402" s="105" t="s">
        <v>64</v>
      </c>
      <c r="E402" s="106">
        <v>0.79</v>
      </c>
      <c r="F402" s="107">
        <v>0.1</v>
      </c>
      <c r="G402" s="108">
        <v>0.1</v>
      </c>
      <c r="H402" s="121" t="s">
        <v>55</v>
      </c>
      <c r="I402" s="110">
        <v>0.77800000000000002</v>
      </c>
      <c r="J402" s="110">
        <v>0.79200000000000004</v>
      </c>
      <c r="K402" s="119">
        <v>0.78900000000000003</v>
      </c>
      <c r="L402" s="111">
        <f t="shared" si="50"/>
        <v>-1.2000000000000011E-2</v>
      </c>
      <c r="M402" s="112">
        <f t="shared" si="50"/>
        <v>2.0000000000000018E-3</v>
      </c>
      <c r="N402" s="112">
        <f t="shared" si="50"/>
        <v>-1.0000000000000009E-3</v>
      </c>
      <c r="O402" s="112">
        <f t="shared" si="51"/>
        <v>0.78633333333333333</v>
      </c>
      <c r="P402" s="113">
        <f t="shared" si="52"/>
        <v>2.0000000000000018E-2</v>
      </c>
      <c r="Q402" s="114">
        <f t="shared" si="53"/>
        <v>0.12000000000000011</v>
      </c>
      <c r="R402" s="115" t="str">
        <f t="shared" si="54"/>
        <v xml:space="preserve"> </v>
      </c>
      <c r="S402" s="115" t="str">
        <f t="shared" si="55"/>
        <v xml:space="preserve"> </v>
      </c>
      <c r="T402" s="116" t="str">
        <f t="shared" si="56"/>
        <v/>
      </c>
      <c r="U402" s="120"/>
      <c r="V402" s="118"/>
      <c r="W402" s="131"/>
    </row>
    <row r="403" spans="1:23" ht="13.2">
      <c r="A403" s="102" t="s">
        <v>437</v>
      </c>
      <c r="B403" s="103"/>
      <c r="C403" s="104">
        <v>3</v>
      </c>
      <c r="D403" s="105" t="s">
        <v>64</v>
      </c>
      <c r="E403" s="106">
        <v>12.7</v>
      </c>
      <c r="F403" s="107">
        <v>0.1</v>
      </c>
      <c r="G403" s="108">
        <v>0.1</v>
      </c>
      <c r="H403" s="121" t="s">
        <v>55</v>
      </c>
      <c r="I403" s="110">
        <v>12.696999999999999</v>
      </c>
      <c r="J403" s="110">
        <v>12.728</v>
      </c>
      <c r="K403" s="119">
        <v>12.733000000000001</v>
      </c>
      <c r="L403" s="111">
        <f t="shared" si="50"/>
        <v>-3.0000000000001137E-3</v>
      </c>
      <c r="M403" s="112">
        <f t="shared" si="50"/>
        <v>2.8000000000000469E-2</v>
      </c>
      <c r="N403" s="112">
        <f t="shared" si="50"/>
        <v>3.3000000000001251E-2</v>
      </c>
      <c r="O403" s="112">
        <f t="shared" si="51"/>
        <v>12.719333333333333</v>
      </c>
      <c r="P403" s="113">
        <f t="shared" si="52"/>
        <v>0.33000000000001251</v>
      </c>
      <c r="Q403" s="114">
        <f t="shared" si="53"/>
        <v>3.0000000000001137E-2</v>
      </c>
      <c r="R403" s="115" t="str">
        <f t="shared" si="54"/>
        <v xml:space="preserve"> </v>
      </c>
      <c r="S403" s="115" t="str">
        <f t="shared" si="55"/>
        <v xml:space="preserve"> </v>
      </c>
      <c r="T403" s="116" t="str">
        <f t="shared" si="56"/>
        <v/>
      </c>
      <c r="U403" s="120"/>
      <c r="V403" s="118"/>
      <c r="W403" s="131"/>
    </row>
    <row r="404" spans="1:23" ht="13.2">
      <c r="A404" s="102" t="s">
        <v>438</v>
      </c>
      <c r="B404" s="103"/>
      <c r="C404" s="104">
        <v>3</v>
      </c>
      <c r="D404" s="105" t="s">
        <v>64</v>
      </c>
      <c r="E404" s="106">
        <v>12.7</v>
      </c>
      <c r="F404" s="107">
        <v>0.1</v>
      </c>
      <c r="G404" s="108">
        <v>0.1</v>
      </c>
      <c r="H404" s="121" t="s">
        <v>55</v>
      </c>
      <c r="I404" s="110">
        <v>12.695</v>
      </c>
      <c r="J404" s="110">
        <v>12.705</v>
      </c>
      <c r="K404" s="119">
        <v>12.718999999999999</v>
      </c>
      <c r="L404" s="111">
        <f t="shared" si="50"/>
        <v>-4.9999999999990052E-3</v>
      </c>
      <c r="M404" s="112">
        <f t="shared" si="50"/>
        <v>5.0000000000007816E-3</v>
      </c>
      <c r="N404" s="112">
        <f t="shared" si="50"/>
        <v>1.9000000000000128E-2</v>
      </c>
      <c r="O404" s="112">
        <f t="shared" si="51"/>
        <v>12.706333333333333</v>
      </c>
      <c r="P404" s="113">
        <f t="shared" si="52"/>
        <v>0.19000000000000128</v>
      </c>
      <c r="Q404" s="114">
        <f t="shared" si="53"/>
        <v>4.9999999999990052E-2</v>
      </c>
      <c r="R404" s="115" t="str">
        <f t="shared" si="54"/>
        <v xml:space="preserve"> </v>
      </c>
      <c r="S404" s="115" t="str">
        <f t="shared" si="55"/>
        <v xml:space="preserve"> </v>
      </c>
      <c r="T404" s="116" t="str">
        <f t="shared" si="56"/>
        <v/>
      </c>
      <c r="U404" s="120"/>
      <c r="V404" s="118"/>
      <c r="W404" s="131"/>
    </row>
    <row r="405" spans="1:23" ht="13.2">
      <c r="A405" s="102" t="s">
        <v>439</v>
      </c>
      <c r="B405" s="102"/>
      <c r="C405" s="104">
        <v>3</v>
      </c>
      <c r="D405" s="105" t="s">
        <v>64</v>
      </c>
      <c r="E405" s="106">
        <v>12.7</v>
      </c>
      <c r="F405" s="107">
        <v>0.1</v>
      </c>
      <c r="G405" s="108">
        <v>0.1</v>
      </c>
      <c r="H405" s="121" t="s">
        <v>55</v>
      </c>
      <c r="I405" s="110">
        <v>12.68</v>
      </c>
      <c r="J405" s="110">
        <v>12.71</v>
      </c>
      <c r="K405" s="119">
        <v>12.699</v>
      </c>
      <c r="L405" s="111">
        <f t="shared" si="50"/>
        <v>-1.9999999999999574E-2</v>
      </c>
      <c r="M405" s="112">
        <f t="shared" si="50"/>
        <v>1.0000000000001563E-2</v>
      </c>
      <c r="N405" s="112">
        <f t="shared" si="50"/>
        <v>-9.9999999999944578E-4</v>
      </c>
      <c r="O405" s="112">
        <f t="shared" si="51"/>
        <v>12.696333333333333</v>
      </c>
      <c r="P405" s="113">
        <f t="shared" si="52"/>
        <v>0.10000000000001563</v>
      </c>
      <c r="Q405" s="114">
        <f t="shared" si="53"/>
        <v>0.19999999999999574</v>
      </c>
      <c r="R405" s="115" t="str">
        <f t="shared" si="54"/>
        <v xml:space="preserve"> </v>
      </c>
      <c r="S405" s="115" t="str">
        <f t="shared" si="55"/>
        <v xml:space="preserve"> </v>
      </c>
      <c r="T405" s="116" t="str">
        <f t="shared" si="56"/>
        <v/>
      </c>
      <c r="U405" s="120"/>
      <c r="V405" s="118"/>
      <c r="W405" s="131"/>
    </row>
    <row r="406" spans="1:23" ht="13.2">
      <c r="A406" s="102" t="s">
        <v>440</v>
      </c>
      <c r="B406" s="102"/>
      <c r="C406" s="104">
        <v>3</v>
      </c>
      <c r="D406" s="105" t="s">
        <v>64</v>
      </c>
      <c r="E406" s="106">
        <v>12.7</v>
      </c>
      <c r="F406" s="107">
        <v>0.1</v>
      </c>
      <c r="G406" s="108">
        <v>0.1</v>
      </c>
      <c r="H406" s="121" t="s">
        <v>55</v>
      </c>
      <c r="I406" s="110">
        <v>12.68</v>
      </c>
      <c r="J406" s="110">
        <v>12.712</v>
      </c>
      <c r="K406" s="119">
        <v>12.722</v>
      </c>
      <c r="L406" s="111">
        <f t="shared" si="50"/>
        <v>-1.9999999999999574E-2</v>
      </c>
      <c r="M406" s="112">
        <f t="shared" si="50"/>
        <v>1.2000000000000455E-2</v>
      </c>
      <c r="N406" s="112">
        <f t="shared" si="50"/>
        <v>2.2000000000000242E-2</v>
      </c>
      <c r="O406" s="112">
        <f t="shared" si="51"/>
        <v>12.704666666666666</v>
      </c>
      <c r="P406" s="113">
        <f t="shared" si="52"/>
        <v>0.22000000000000242</v>
      </c>
      <c r="Q406" s="114">
        <f t="shared" si="53"/>
        <v>0.19999999999999574</v>
      </c>
      <c r="R406" s="115" t="str">
        <f t="shared" si="54"/>
        <v xml:space="preserve"> </v>
      </c>
      <c r="S406" s="115" t="str">
        <f t="shared" si="55"/>
        <v xml:space="preserve"> </v>
      </c>
      <c r="T406" s="116" t="str">
        <f t="shared" si="56"/>
        <v/>
      </c>
      <c r="U406" s="120"/>
      <c r="V406" s="118"/>
      <c r="W406" s="131"/>
    </row>
    <row r="407" spans="1:23" ht="13.2">
      <c r="A407" s="102" t="s">
        <v>441</v>
      </c>
      <c r="B407" s="102" t="s">
        <v>573</v>
      </c>
      <c r="C407" s="104">
        <v>3</v>
      </c>
      <c r="D407" s="105" t="s">
        <v>64</v>
      </c>
      <c r="E407" s="106">
        <v>25.4</v>
      </c>
      <c r="F407" s="107">
        <v>0.1</v>
      </c>
      <c r="G407" s="108">
        <v>0.1</v>
      </c>
      <c r="H407" s="121" t="s">
        <v>55</v>
      </c>
      <c r="I407" s="110">
        <v>25.39</v>
      </c>
      <c r="J407" s="110">
        <v>25.436</v>
      </c>
      <c r="K407" s="119">
        <v>25.446999999999999</v>
      </c>
      <c r="L407" s="111">
        <f t="shared" si="50"/>
        <v>-9.9999999999980105E-3</v>
      </c>
      <c r="M407" s="112">
        <f t="shared" si="50"/>
        <v>3.6000000000001364E-2</v>
      </c>
      <c r="N407" s="112">
        <f t="shared" si="50"/>
        <v>4.7000000000000597E-2</v>
      </c>
      <c r="O407" s="112">
        <f t="shared" si="51"/>
        <v>25.424333333333333</v>
      </c>
      <c r="P407" s="113">
        <f t="shared" si="52"/>
        <v>0.47000000000000597</v>
      </c>
      <c r="Q407" s="114">
        <f t="shared" si="53"/>
        <v>9.9999999999980105E-2</v>
      </c>
      <c r="R407" s="115" t="str">
        <f t="shared" si="54"/>
        <v xml:space="preserve"> </v>
      </c>
      <c r="S407" s="115" t="str">
        <f t="shared" si="55"/>
        <v xml:space="preserve"> </v>
      </c>
      <c r="T407" s="116" t="str">
        <f t="shared" si="56"/>
        <v/>
      </c>
      <c r="U407" s="120"/>
      <c r="V407" s="118"/>
      <c r="W407" s="131"/>
    </row>
    <row r="408" spans="1:23" ht="13.2">
      <c r="A408" s="102" t="s">
        <v>442</v>
      </c>
      <c r="B408" s="102" t="s">
        <v>573</v>
      </c>
      <c r="C408" s="104">
        <v>3</v>
      </c>
      <c r="D408" s="105" t="s">
        <v>64</v>
      </c>
      <c r="E408" s="106">
        <v>25.4</v>
      </c>
      <c r="F408" s="107">
        <v>0.1</v>
      </c>
      <c r="G408" s="108">
        <v>0.1</v>
      </c>
      <c r="H408" s="121" t="s">
        <v>55</v>
      </c>
      <c r="I408" s="110">
        <v>25.398</v>
      </c>
      <c r="J408" s="110">
        <v>25.428999999999998</v>
      </c>
      <c r="K408" s="119">
        <v>25.42</v>
      </c>
      <c r="L408" s="111">
        <f t="shared" si="50"/>
        <v>-1.9999999999988916E-3</v>
      </c>
      <c r="M408" s="112">
        <f t="shared" si="50"/>
        <v>2.8999999999999915E-2</v>
      </c>
      <c r="N408" s="112">
        <f t="shared" si="50"/>
        <v>2.0000000000003126E-2</v>
      </c>
      <c r="O408" s="112">
        <f t="shared" si="51"/>
        <v>25.415666666666667</v>
      </c>
      <c r="P408" s="113">
        <f t="shared" si="52"/>
        <v>0.28999999999999915</v>
      </c>
      <c r="Q408" s="114">
        <f t="shared" si="53"/>
        <v>1.9999999999988916E-2</v>
      </c>
      <c r="R408" s="115" t="str">
        <f t="shared" si="54"/>
        <v xml:space="preserve"> </v>
      </c>
      <c r="S408" s="115" t="str">
        <f t="shared" si="55"/>
        <v xml:space="preserve"> </v>
      </c>
      <c r="T408" s="116" t="str">
        <f t="shared" si="56"/>
        <v/>
      </c>
      <c r="U408" s="120"/>
      <c r="V408" s="118"/>
      <c r="W408" s="131"/>
    </row>
    <row r="409" spans="1:23" ht="13.2">
      <c r="A409" s="102" t="s">
        <v>443</v>
      </c>
      <c r="B409" s="102" t="s">
        <v>573</v>
      </c>
      <c r="C409" s="104">
        <v>3</v>
      </c>
      <c r="D409" s="105" t="s">
        <v>64</v>
      </c>
      <c r="E409" s="106">
        <v>25.4</v>
      </c>
      <c r="F409" s="107">
        <v>0.1</v>
      </c>
      <c r="G409" s="108">
        <v>0.1</v>
      </c>
      <c r="H409" s="121" t="s">
        <v>55</v>
      </c>
      <c r="I409" s="110">
        <v>25.37</v>
      </c>
      <c r="J409" s="110">
        <v>25.425000000000001</v>
      </c>
      <c r="K409" s="119">
        <v>25.419</v>
      </c>
      <c r="L409" s="111">
        <f t="shared" si="50"/>
        <v>-2.9999999999997584E-2</v>
      </c>
      <c r="M409" s="112">
        <f t="shared" si="50"/>
        <v>2.5000000000002132E-2</v>
      </c>
      <c r="N409" s="112">
        <f t="shared" si="50"/>
        <v>1.9000000000001904E-2</v>
      </c>
      <c r="O409" s="112">
        <f t="shared" si="51"/>
        <v>25.404666666666667</v>
      </c>
      <c r="P409" s="113">
        <f t="shared" si="52"/>
        <v>0.25000000000002132</v>
      </c>
      <c r="Q409" s="114">
        <f t="shared" si="53"/>
        <v>0.29999999999997584</v>
      </c>
      <c r="R409" s="115" t="str">
        <f t="shared" si="54"/>
        <v xml:space="preserve"> </v>
      </c>
      <c r="S409" s="115" t="str">
        <f t="shared" si="55"/>
        <v xml:space="preserve"> </v>
      </c>
      <c r="T409" s="116" t="str">
        <f t="shared" si="56"/>
        <v/>
      </c>
      <c r="U409" s="120"/>
      <c r="V409" s="118"/>
      <c r="W409" s="131"/>
    </row>
    <row r="410" spans="1:23" ht="13.2">
      <c r="A410" s="102" t="s">
        <v>444</v>
      </c>
      <c r="B410" s="102" t="s">
        <v>573</v>
      </c>
      <c r="C410" s="104">
        <v>3</v>
      </c>
      <c r="D410" s="105" t="s">
        <v>64</v>
      </c>
      <c r="E410" s="106">
        <v>25.4</v>
      </c>
      <c r="F410" s="107">
        <v>0.1</v>
      </c>
      <c r="G410" s="108">
        <v>0.1</v>
      </c>
      <c r="H410" s="121" t="s">
        <v>55</v>
      </c>
      <c r="I410" s="110">
        <v>25.376999999999999</v>
      </c>
      <c r="J410" s="110">
        <v>25.408999999999999</v>
      </c>
      <c r="K410" s="119">
        <v>25.417000000000002</v>
      </c>
      <c r="L410" s="111">
        <f t="shared" si="50"/>
        <v>-2.2999999999999687E-2</v>
      </c>
      <c r="M410" s="112">
        <f t="shared" si="50"/>
        <v>9.0000000000003411E-3</v>
      </c>
      <c r="N410" s="112">
        <f t="shared" si="50"/>
        <v>1.7000000000003013E-2</v>
      </c>
      <c r="O410" s="112">
        <f t="shared" si="51"/>
        <v>25.401</v>
      </c>
      <c r="P410" s="113">
        <f t="shared" si="52"/>
        <v>0.17000000000003013</v>
      </c>
      <c r="Q410" s="114">
        <f t="shared" si="53"/>
        <v>0.22999999999999687</v>
      </c>
      <c r="R410" s="115" t="str">
        <f t="shared" si="54"/>
        <v xml:space="preserve"> </v>
      </c>
      <c r="S410" s="115" t="str">
        <f t="shared" si="55"/>
        <v xml:space="preserve"> </v>
      </c>
      <c r="T410" s="116" t="str">
        <f t="shared" si="56"/>
        <v/>
      </c>
      <c r="U410" s="120"/>
      <c r="V410" s="118"/>
      <c r="W410" s="131"/>
    </row>
    <row r="411" spans="1:23" ht="13.2">
      <c r="A411" s="102" t="s">
        <v>445</v>
      </c>
      <c r="B411" s="102"/>
      <c r="C411" s="104">
        <v>3</v>
      </c>
      <c r="D411" s="105" t="s">
        <v>64</v>
      </c>
      <c r="E411" s="106">
        <v>0.79</v>
      </c>
      <c r="F411" s="107">
        <v>0.03</v>
      </c>
      <c r="G411" s="108">
        <v>0.03</v>
      </c>
      <c r="H411" s="109" t="s">
        <v>55</v>
      </c>
      <c r="I411" s="110">
        <v>0.80600000000000005</v>
      </c>
      <c r="J411" s="110">
        <v>0.79900000000000004</v>
      </c>
      <c r="K411" s="119">
        <v>0.79600000000000004</v>
      </c>
      <c r="L411" s="111">
        <f t="shared" si="50"/>
        <v>1.6000000000000014E-2</v>
      </c>
      <c r="M411" s="112">
        <f t="shared" si="50"/>
        <v>9.000000000000008E-3</v>
      </c>
      <c r="N411" s="112">
        <f t="shared" si="50"/>
        <v>6.0000000000000053E-3</v>
      </c>
      <c r="O411" s="112">
        <f t="shared" si="51"/>
        <v>0.80033333333333323</v>
      </c>
      <c r="P411" s="113">
        <f t="shared" si="52"/>
        <v>0.53333333333333388</v>
      </c>
      <c r="Q411" s="114">
        <f t="shared" si="53"/>
        <v>0</v>
      </c>
      <c r="R411" s="115" t="str">
        <f t="shared" si="54"/>
        <v xml:space="preserve"> </v>
      </c>
      <c r="S411" s="115" t="str">
        <f t="shared" si="55"/>
        <v xml:space="preserve"> </v>
      </c>
      <c r="T411" s="116" t="str">
        <f t="shared" si="56"/>
        <v/>
      </c>
      <c r="U411" s="120"/>
      <c r="V411" s="118"/>
      <c r="W411" s="131"/>
    </row>
    <row r="412" spans="1:23" ht="13.2">
      <c r="A412" s="102" t="s">
        <v>446</v>
      </c>
      <c r="B412" s="102"/>
      <c r="C412" s="104">
        <v>3</v>
      </c>
      <c r="D412" s="105" t="s">
        <v>64</v>
      </c>
      <c r="E412" s="106">
        <v>0.79</v>
      </c>
      <c r="F412" s="107">
        <v>0.03</v>
      </c>
      <c r="G412" s="108">
        <v>0.03</v>
      </c>
      <c r="H412" s="109" t="s">
        <v>55</v>
      </c>
      <c r="I412" s="110">
        <v>0.78</v>
      </c>
      <c r="J412" s="110">
        <v>0.79300000000000004</v>
      </c>
      <c r="K412" s="119">
        <v>0.79200000000000004</v>
      </c>
      <c r="L412" s="111">
        <f t="shared" si="50"/>
        <v>-1.0000000000000009E-2</v>
      </c>
      <c r="M412" s="112">
        <f t="shared" si="50"/>
        <v>3.0000000000000027E-3</v>
      </c>
      <c r="N412" s="112">
        <f t="shared" si="50"/>
        <v>2.0000000000000018E-3</v>
      </c>
      <c r="O412" s="112">
        <f t="shared" si="51"/>
        <v>0.78833333333333344</v>
      </c>
      <c r="P412" s="113">
        <f t="shared" si="52"/>
        <v>0.10000000000000009</v>
      </c>
      <c r="Q412" s="114">
        <f t="shared" si="53"/>
        <v>0.33333333333333365</v>
      </c>
      <c r="R412" s="115" t="str">
        <f t="shared" si="54"/>
        <v xml:space="preserve"> </v>
      </c>
      <c r="S412" s="115" t="str">
        <f t="shared" si="55"/>
        <v xml:space="preserve"> </v>
      </c>
      <c r="T412" s="116" t="str">
        <f t="shared" si="56"/>
        <v/>
      </c>
      <c r="U412" s="120"/>
      <c r="V412" s="118"/>
      <c r="W412" s="131"/>
    </row>
    <row r="413" spans="1:23" ht="13.2">
      <c r="A413" s="102" t="s">
        <v>447</v>
      </c>
      <c r="B413" s="102"/>
      <c r="C413" s="104">
        <v>3</v>
      </c>
      <c r="D413" s="105" t="s">
        <v>64</v>
      </c>
      <c r="E413" s="106">
        <v>0.79</v>
      </c>
      <c r="F413" s="107">
        <v>0.03</v>
      </c>
      <c r="G413" s="108">
        <v>0.03</v>
      </c>
      <c r="H413" s="109" t="s">
        <v>55</v>
      </c>
      <c r="I413" s="110">
        <v>0.79400000000000004</v>
      </c>
      <c r="J413" s="110">
        <v>0.8</v>
      </c>
      <c r="K413" s="119">
        <v>0.79500000000000004</v>
      </c>
      <c r="L413" s="111">
        <f t="shared" ref="L413:N476" si="57">IF(ISBLANK($E413),"",IF(ISERR(I413/I413)=TRUE,"BAD INSP",I413-$E413))</f>
        <v>4.0000000000000036E-3</v>
      </c>
      <c r="M413" s="112">
        <f t="shared" si="57"/>
        <v>1.0000000000000009E-2</v>
      </c>
      <c r="N413" s="112">
        <f t="shared" si="57"/>
        <v>5.0000000000000044E-3</v>
      </c>
      <c r="O413" s="112">
        <f t="shared" si="51"/>
        <v>0.79633333333333345</v>
      </c>
      <c r="P413" s="113">
        <f t="shared" si="52"/>
        <v>0.33333333333333365</v>
      </c>
      <c r="Q413" s="114">
        <f t="shared" si="53"/>
        <v>0</v>
      </c>
      <c r="R413" s="115" t="str">
        <f t="shared" si="54"/>
        <v xml:space="preserve"> </v>
      </c>
      <c r="S413" s="115" t="str">
        <f t="shared" si="55"/>
        <v xml:space="preserve"> </v>
      </c>
      <c r="T413" s="116" t="str">
        <f t="shared" si="56"/>
        <v/>
      </c>
      <c r="U413" s="120"/>
      <c r="V413" s="118"/>
      <c r="W413" s="131"/>
    </row>
    <row r="414" spans="1:23" ht="13.2">
      <c r="A414" s="102" t="s">
        <v>448</v>
      </c>
      <c r="B414" s="102"/>
      <c r="C414" s="104">
        <v>3</v>
      </c>
      <c r="D414" s="105" t="s">
        <v>64</v>
      </c>
      <c r="E414" s="106">
        <v>0.79</v>
      </c>
      <c r="F414" s="107">
        <v>0.03</v>
      </c>
      <c r="G414" s="108">
        <v>0.03</v>
      </c>
      <c r="H414" s="109" t="s">
        <v>55</v>
      </c>
      <c r="I414" s="110">
        <v>0.79100000000000004</v>
      </c>
      <c r="J414" s="110">
        <v>0.78900000000000003</v>
      </c>
      <c r="K414" s="119">
        <v>0.78900000000000003</v>
      </c>
      <c r="L414" s="111">
        <f t="shared" si="57"/>
        <v>1.0000000000000009E-3</v>
      </c>
      <c r="M414" s="112">
        <f t="shared" si="57"/>
        <v>-1.0000000000000009E-3</v>
      </c>
      <c r="N414" s="112">
        <f t="shared" si="57"/>
        <v>-1.0000000000000009E-3</v>
      </c>
      <c r="O414" s="112">
        <f t="shared" si="51"/>
        <v>0.78966666666666674</v>
      </c>
      <c r="P414" s="113">
        <f t="shared" si="52"/>
        <v>3.3333333333333368E-2</v>
      </c>
      <c r="Q414" s="114">
        <f t="shared" si="53"/>
        <v>3.3333333333333368E-2</v>
      </c>
      <c r="R414" s="115" t="str">
        <f t="shared" si="54"/>
        <v xml:space="preserve"> </v>
      </c>
      <c r="S414" s="115" t="str">
        <f t="shared" si="55"/>
        <v xml:space="preserve"> </v>
      </c>
      <c r="T414" s="116" t="str">
        <f t="shared" si="56"/>
        <v/>
      </c>
      <c r="U414" s="120"/>
      <c r="V414" s="118"/>
      <c r="W414" s="131"/>
    </row>
    <row r="415" spans="1:23" ht="13.2">
      <c r="A415" s="102" t="s">
        <v>449</v>
      </c>
      <c r="B415" s="102"/>
      <c r="C415" s="104">
        <v>3</v>
      </c>
      <c r="D415" s="105" t="s">
        <v>64</v>
      </c>
      <c r="E415" s="106">
        <v>0.79</v>
      </c>
      <c r="F415" s="107">
        <v>0.03</v>
      </c>
      <c r="G415" s="108">
        <v>0.03</v>
      </c>
      <c r="H415" s="109" t="s">
        <v>55</v>
      </c>
      <c r="I415" s="110">
        <v>0.8</v>
      </c>
      <c r="J415" s="110">
        <v>0.79200000000000004</v>
      </c>
      <c r="K415" s="119">
        <v>0.80300000000000005</v>
      </c>
      <c r="L415" s="111">
        <f t="shared" si="57"/>
        <v>1.0000000000000009E-2</v>
      </c>
      <c r="M415" s="112">
        <f t="shared" si="57"/>
        <v>2.0000000000000018E-3</v>
      </c>
      <c r="N415" s="112">
        <f t="shared" si="57"/>
        <v>1.3000000000000012E-2</v>
      </c>
      <c r="O415" s="112">
        <f t="shared" si="51"/>
        <v>0.79833333333333334</v>
      </c>
      <c r="P415" s="113">
        <f t="shared" si="52"/>
        <v>0.43333333333333374</v>
      </c>
      <c r="Q415" s="114">
        <f t="shared" si="53"/>
        <v>0</v>
      </c>
      <c r="R415" s="115" t="str">
        <f t="shared" si="54"/>
        <v xml:space="preserve"> </v>
      </c>
      <c r="S415" s="115" t="str">
        <f t="shared" si="55"/>
        <v xml:space="preserve"> </v>
      </c>
      <c r="T415" s="116" t="str">
        <f t="shared" si="56"/>
        <v/>
      </c>
      <c r="U415" s="120"/>
      <c r="V415" s="118"/>
      <c r="W415" s="131"/>
    </row>
    <row r="416" spans="1:23" ht="13.2">
      <c r="A416" s="102" t="s">
        <v>450</v>
      </c>
      <c r="B416" s="102"/>
      <c r="C416" s="104">
        <v>3</v>
      </c>
      <c r="D416" s="105" t="s">
        <v>64</v>
      </c>
      <c r="E416" s="106">
        <v>0.79</v>
      </c>
      <c r="F416" s="107">
        <v>0.03</v>
      </c>
      <c r="G416" s="108">
        <v>0.03</v>
      </c>
      <c r="H416" s="109" t="s">
        <v>55</v>
      </c>
      <c r="I416" s="110">
        <v>0.78800000000000003</v>
      </c>
      <c r="J416" s="110">
        <v>0.78900000000000003</v>
      </c>
      <c r="K416" s="119">
        <v>0.78500000000000003</v>
      </c>
      <c r="L416" s="111">
        <f t="shared" si="57"/>
        <v>-2.0000000000000018E-3</v>
      </c>
      <c r="M416" s="112">
        <f t="shared" si="57"/>
        <v>-1.0000000000000009E-3</v>
      </c>
      <c r="N416" s="112">
        <f t="shared" si="57"/>
        <v>-5.0000000000000044E-3</v>
      </c>
      <c r="O416" s="112">
        <f t="shared" si="51"/>
        <v>0.78733333333333333</v>
      </c>
      <c r="P416" s="113">
        <f t="shared" si="52"/>
        <v>0</v>
      </c>
      <c r="Q416" s="114">
        <f t="shared" si="53"/>
        <v>0.16666666666666682</v>
      </c>
      <c r="R416" s="115" t="str">
        <f t="shared" si="54"/>
        <v xml:space="preserve"> </v>
      </c>
      <c r="S416" s="115" t="str">
        <f t="shared" si="55"/>
        <v xml:space="preserve"> </v>
      </c>
      <c r="T416" s="116" t="str">
        <f t="shared" si="56"/>
        <v/>
      </c>
      <c r="U416" s="120"/>
      <c r="V416" s="118"/>
      <c r="W416" s="131"/>
    </row>
    <row r="417" spans="1:23" ht="13.2">
      <c r="A417" s="102" t="s">
        <v>451</v>
      </c>
      <c r="B417" s="103"/>
      <c r="C417" s="104">
        <v>3</v>
      </c>
      <c r="D417" s="105" t="s">
        <v>64</v>
      </c>
      <c r="E417" s="106">
        <v>0.79</v>
      </c>
      <c r="F417" s="107">
        <v>0.03</v>
      </c>
      <c r="G417" s="108">
        <v>0.03</v>
      </c>
      <c r="H417" s="109" t="s">
        <v>55</v>
      </c>
      <c r="I417" s="110">
        <v>0.79800000000000004</v>
      </c>
      <c r="J417" s="110">
        <v>0.80300000000000005</v>
      </c>
      <c r="K417" s="119">
        <v>0.79900000000000004</v>
      </c>
      <c r="L417" s="111">
        <f t="shared" si="57"/>
        <v>8.0000000000000071E-3</v>
      </c>
      <c r="M417" s="112">
        <f t="shared" si="57"/>
        <v>1.3000000000000012E-2</v>
      </c>
      <c r="N417" s="112">
        <f t="shared" si="57"/>
        <v>9.000000000000008E-3</v>
      </c>
      <c r="O417" s="112">
        <f t="shared" si="51"/>
        <v>0.79999999999999993</v>
      </c>
      <c r="P417" s="113">
        <f t="shared" si="52"/>
        <v>0.43333333333333374</v>
      </c>
      <c r="Q417" s="114">
        <f t="shared" si="53"/>
        <v>0</v>
      </c>
      <c r="R417" s="115" t="str">
        <f t="shared" si="54"/>
        <v xml:space="preserve"> </v>
      </c>
      <c r="S417" s="115" t="str">
        <f t="shared" si="55"/>
        <v xml:space="preserve"> </v>
      </c>
      <c r="T417" s="116" t="str">
        <f t="shared" si="56"/>
        <v/>
      </c>
      <c r="U417" s="120"/>
      <c r="V417" s="118"/>
      <c r="W417" s="131"/>
    </row>
    <row r="418" spans="1:23" ht="13.2">
      <c r="A418" s="102" t="s">
        <v>452</v>
      </c>
      <c r="B418" s="103"/>
      <c r="C418" s="104">
        <v>3</v>
      </c>
      <c r="D418" s="105" t="s">
        <v>64</v>
      </c>
      <c r="E418" s="106">
        <v>0.79</v>
      </c>
      <c r="F418" s="107">
        <v>0.03</v>
      </c>
      <c r="G418" s="108">
        <v>0.03</v>
      </c>
      <c r="H418" s="109" t="s">
        <v>55</v>
      </c>
      <c r="I418" s="110">
        <v>0.79900000000000004</v>
      </c>
      <c r="J418" s="110">
        <v>0.8</v>
      </c>
      <c r="K418" s="119">
        <v>0.78600000000000003</v>
      </c>
      <c r="L418" s="111">
        <f t="shared" si="57"/>
        <v>9.000000000000008E-3</v>
      </c>
      <c r="M418" s="112">
        <f t="shared" si="57"/>
        <v>1.0000000000000009E-2</v>
      </c>
      <c r="N418" s="112">
        <f t="shared" si="57"/>
        <v>-4.0000000000000036E-3</v>
      </c>
      <c r="O418" s="112">
        <f t="shared" si="51"/>
        <v>0.79500000000000004</v>
      </c>
      <c r="P418" s="113">
        <f t="shared" si="52"/>
        <v>0.33333333333333365</v>
      </c>
      <c r="Q418" s="114">
        <f t="shared" si="53"/>
        <v>0.13333333333333347</v>
      </c>
      <c r="R418" s="115" t="str">
        <f t="shared" si="54"/>
        <v xml:space="preserve"> </v>
      </c>
      <c r="S418" s="115" t="str">
        <f t="shared" si="55"/>
        <v xml:space="preserve"> </v>
      </c>
      <c r="T418" s="116" t="str">
        <f t="shared" si="56"/>
        <v/>
      </c>
      <c r="U418" s="120"/>
      <c r="V418" s="118"/>
      <c r="W418" s="131"/>
    </row>
    <row r="419" spans="1:23" ht="13.2">
      <c r="A419" s="102" t="s">
        <v>453</v>
      </c>
      <c r="B419" s="103"/>
      <c r="C419" s="104">
        <v>3</v>
      </c>
      <c r="D419" s="105" t="s">
        <v>64</v>
      </c>
      <c r="E419" s="106">
        <v>0.79</v>
      </c>
      <c r="F419" s="107">
        <v>0.03</v>
      </c>
      <c r="G419" s="108">
        <v>0.03</v>
      </c>
      <c r="H419" s="109" t="s">
        <v>55</v>
      </c>
      <c r="I419" s="110">
        <v>0.78100000000000003</v>
      </c>
      <c r="J419" s="110">
        <v>0.78800000000000003</v>
      </c>
      <c r="K419" s="119">
        <v>0.8</v>
      </c>
      <c r="L419" s="111">
        <f t="shared" si="57"/>
        <v>-9.000000000000008E-3</v>
      </c>
      <c r="M419" s="112">
        <f t="shared" si="57"/>
        <v>-2.0000000000000018E-3</v>
      </c>
      <c r="N419" s="112">
        <f t="shared" si="57"/>
        <v>1.0000000000000009E-2</v>
      </c>
      <c r="O419" s="112">
        <f t="shared" si="51"/>
        <v>0.78966666666666663</v>
      </c>
      <c r="P419" s="113">
        <f t="shared" si="52"/>
        <v>0.33333333333333365</v>
      </c>
      <c r="Q419" s="114">
        <f t="shared" si="53"/>
        <v>0.30000000000000027</v>
      </c>
      <c r="R419" s="115" t="str">
        <f t="shared" si="54"/>
        <v xml:space="preserve"> </v>
      </c>
      <c r="S419" s="115" t="str">
        <f t="shared" si="55"/>
        <v xml:space="preserve"> </v>
      </c>
      <c r="T419" s="116" t="str">
        <f t="shared" si="56"/>
        <v/>
      </c>
      <c r="U419" s="120"/>
      <c r="V419" s="118"/>
      <c r="W419" s="131"/>
    </row>
    <row r="420" spans="1:23" ht="13.2">
      <c r="A420" s="102" t="s">
        <v>454</v>
      </c>
      <c r="B420" s="102"/>
      <c r="C420" s="104">
        <v>3</v>
      </c>
      <c r="D420" s="105" t="s">
        <v>64</v>
      </c>
      <c r="E420" s="106">
        <v>0.79</v>
      </c>
      <c r="F420" s="107">
        <v>0.03</v>
      </c>
      <c r="G420" s="108">
        <v>0.03</v>
      </c>
      <c r="H420" s="109" t="s">
        <v>55</v>
      </c>
      <c r="I420" s="110">
        <v>0.79400000000000004</v>
      </c>
      <c r="J420" s="110">
        <v>0.79500000000000004</v>
      </c>
      <c r="K420" s="119">
        <v>0.79100000000000004</v>
      </c>
      <c r="L420" s="111">
        <f t="shared" si="57"/>
        <v>4.0000000000000036E-3</v>
      </c>
      <c r="M420" s="112">
        <f t="shared" si="57"/>
        <v>5.0000000000000044E-3</v>
      </c>
      <c r="N420" s="112">
        <f t="shared" si="57"/>
        <v>1.0000000000000009E-3</v>
      </c>
      <c r="O420" s="112">
        <f t="shared" si="51"/>
        <v>0.79333333333333333</v>
      </c>
      <c r="P420" s="113">
        <f t="shared" si="52"/>
        <v>0.16666666666666682</v>
      </c>
      <c r="Q420" s="114">
        <f t="shared" si="53"/>
        <v>0</v>
      </c>
      <c r="R420" s="115" t="str">
        <f t="shared" si="54"/>
        <v xml:space="preserve"> </v>
      </c>
      <c r="S420" s="115" t="str">
        <f t="shared" si="55"/>
        <v xml:space="preserve"> </v>
      </c>
      <c r="T420" s="116" t="str">
        <f t="shared" si="56"/>
        <v/>
      </c>
      <c r="U420" s="120"/>
      <c r="V420" s="118"/>
      <c r="W420" s="131"/>
    </row>
    <row r="421" spans="1:23" ht="13.2">
      <c r="A421" s="102" t="s">
        <v>455</v>
      </c>
      <c r="B421" s="102"/>
      <c r="C421" s="104">
        <v>3</v>
      </c>
      <c r="D421" s="105" t="s">
        <v>64</v>
      </c>
      <c r="E421" s="106">
        <v>0.79</v>
      </c>
      <c r="F421" s="107">
        <v>0.03</v>
      </c>
      <c r="G421" s="108">
        <v>0.03</v>
      </c>
      <c r="H421" s="109" t="s">
        <v>55</v>
      </c>
      <c r="I421" s="110">
        <v>0.78700000000000003</v>
      </c>
      <c r="J421" s="110">
        <v>0.79200000000000004</v>
      </c>
      <c r="K421" s="119">
        <v>0.79800000000000004</v>
      </c>
      <c r="L421" s="111">
        <f t="shared" si="57"/>
        <v>-3.0000000000000027E-3</v>
      </c>
      <c r="M421" s="112">
        <f t="shared" si="57"/>
        <v>2.0000000000000018E-3</v>
      </c>
      <c r="N421" s="112">
        <f t="shared" si="57"/>
        <v>8.0000000000000071E-3</v>
      </c>
      <c r="O421" s="112">
        <f t="shared" si="51"/>
        <v>0.79233333333333344</v>
      </c>
      <c r="P421" s="113">
        <f t="shared" si="52"/>
        <v>0.26666666666666694</v>
      </c>
      <c r="Q421" s="114">
        <f t="shared" si="53"/>
        <v>0.10000000000000009</v>
      </c>
      <c r="R421" s="115" t="str">
        <f t="shared" si="54"/>
        <v xml:space="preserve"> </v>
      </c>
      <c r="S421" s="115" t="str">
        <f t="shared" si="55"/>
        <v xml:space="preserve"> </v>
      </c>
      <c r="T421" s="116" t="str">
        <f t="shared" si="56"/>
        <v/>
      </c>
      <c r="U421" s="120"/>
      <c r="V421" s="118"/>
      <c r="W421" s="131"/>
    </row>
    <row r="422" spans="1:23" ht="13.2">
      <c r="A422" s="102" t="s">
        <v>456</v>
      </c>
      <c r="B422" s="102"/>
      <c r="C422" s="104">
        <v>3</v>
      </c>
      <c r="D422" s="105" t="s">
        <v>64</v>
      </c>
      <c r="E422" s="106">
        <v>0.79</v>
      </c>
      <c r="F422" s="107">
        <v>0.03</v>
      </c>
      <c r="G422" s="108">
        <v>0.03</v>
      </c>
      <c r="H422" s="109" t="s">
        <v>55</v>
      </c>
      <c r="I422" s="110">
        <v>0.79600000000000004</v>
      </c>
      <c r="J422" s="110">
        <v>0.79800000000000004</v>
      </c>
      <c r="K422" s="119">
        <v>0.79400000000000004</v>
      </c>
      <c r="L422" s="111">
        <f t="shared" si="57"/>
        <v>6.0000000000000053E-3</v>
      </c>
      <c r="M422" s="112">
        <f t="shared" si="57"/>
        <v>8.0000000000000071E-3</v>
      </c>
      <c r="N422" s="112">
        <f t="shared" si="57"/>
        <v>4.0000000000000036E-3</v>
      </c>
      <c r="O422" s="112">
        <f t="shared" si="51"/>
        <v>0.79599999999999993</v>
      </c>
      <c r="P422" s="113">
        <f t="shared" si="52"/>
        <v>0.26666666666666694</v>
      </c>
      <c r="Q422" s="114">
        <f t="shared" si="53"/>
        <v>0</v>
      </c>
      <c r="R422" s="115" t="str">
        <f t="shared" si="54"/>
        <v xml:space="preserve"> </v>
      </c>
      <c r="S422" s="115" t="str">
        <f t="shared" si="55"/>
        <v xml:space="preserve"> </v>
      </c>
      <c r="T422" s="116" t="str">
        <f t="shared" si="56"/>
        <v/>
      </c>
      <c r="U422" s="120"/>
      <c r="V422" s="118"/>
      <c r="W422" s="131"/>
    </row>
    <row r="423" spans="1:23" ht="13.2">
      <c r="A423" s="102" t="s">
        <v>457</v>
      </c>
      <c r="B423" s="102"/>
      <c r="C423" s="104">
        <v>3</v>
      </c>
      <c r="D423" s="105" t="s">
        <v>64</v>
      </c>
      <c r="E423" s="106">
        <v>0.79</v>
      </c>
      <c r="F423" s="107">
        <v>0.03</v>
      </c>
      <c r="G423" s="108">
        <v>0.03</v>
      </c>
      <c r="H423" s="109" t="s">
        <v>55</v>
      </c>
      <c r="I423" s="110">
        <v>0.79300000000000004</v>
      </c>
      <c r="J423" s="110">
        <v>0.79800000000000004</v>
      </c>
      <c r="K423" s="119">
        <v>0.80100000000000005</v>
      </c>
      <c r="L423" s="111">
        <f t="shared" si="57"/>
        <v>3.0000000000000027E-3</v>
      </c>
      <c r="M423" s="112">
        <f t="shared" si="57"/>
        <v>8.0000000000000071E-3</v>
      </c>
      <c r="N423" s="112">
        <f t="shared" si="57"/>
        <v>1.100000000000001E-2</v>
      </c>
      <c r="O423" s="112">
        <f t="shared" si="51"/>
        <v>0.79733333333333345</v>
      </c>
      <c r="P423" s="113">
        <f t="shared" si="52"/>
        <v>0.36666666666666703</v>
      </c>
      <c r="Q423" s="114">
        <f t="shared" si="53"/>
        <v>0</v>
      </c>
      <c r="R423" s="115" t="str">
        <f t="shared" si="54"/>
        <v xml:space="preserve"> </v>
      </c>
      <c r="S423" s="115" t="str">
        <f t="shared" si="55"/>
        <v xml:space="preserve"> </v>
      </c>
      <c r="T423" s="116" t="str">
        <f t="shared" si="56"/>
        <v/>
      </c>
      <c r="U423" s="120"/>
      <c r="V423" s="118"/>
      <c r="W423" s="131"/>
    </row>
    <row r="424" spans="1:23" ht="13.2">
      <c r="A424" s="102" t="s">
        <v>458</v>
      </c>
      <c r="B424" s="102"/>
      <c r="C424" s="104">
        <v>3</v>
      </c>
      <c r="D424" s="105" t="s">
        <v>64</v>
      </c>
      <c r="E424" s="106">
        <v>0.79</v>
      </c>
      <c r="F424" s="107">
        <v>0.03</v>
      </c>
      <c r="G424" s="108">
        <v>0.03</v>
      </c>
      <c r="H424" s="109" t="s">
        <v>55</v>
      </c>
      <c r="I424" s="110">
        <v>0.79300000000000004</v>
      </c>
      <c r="J424" s="110">
        <v>0.79700000000000004</v>
      </c>
      <c r="K424" s="119">
        <v>0.79300000000000004</v>
      </c>
      <c r="L424" s="111">
        <f t="shared" si="57"/>
        <v>3.0000000000000027E-3</v>
      </c>
      <c r="M424" s="112">
        <f t="shared" si="57"/>
        <v>7.0000000000000062E-3</v>
      </c>
      <c r="N424" s="112">
        <f t="shared" si="57"/>
        <v>3.0000000000000027E-3</v>
      </c>
      <c r="O424" s="112">
        <f t="shared" si="51"/>
        <v>0.79433333333333334</v>
      </c>
      <c r="P424" s="113">
        <f t="shared" si="52"/>
        <v>0.23333333333333356</v>
      </c>
      <c r="Q424" s="114">
        <f t="shared" si="53"/>
        <v>0</v>
      </c>
      <c r="R424" s="115" t="str">
        <f t="shared" si="54"/>
        <v xml:space="preserve"> </v>
      </c>
      <c r="S424" s="115" t="str">
        <f t="shared" si="55"/>
        <v xml:space="preserve"> </v>
      </c>
      <c r="T424" s="116" t="str">
        <f t="shared" si="56"/>
        <v/>
      </c>
      <c r="U424" s="120"/>
      <c r="V424" s="118"/>
      <c r="W424" s="131"/>
    </row>
    <row r="425" spans="1:23" ht="13.2">
      <c r="A425" s="102" t="s">
        <v>459</v>
      </c>
      <c r="B425" s="102"/>
      <c r="C425" s="104">
        <v>3</v>
      </c>
      <c r="D425" s="105" t="s">
        <v>64</v>
      </c>
      <c r="E425" s="106">
        <v>0.79</v>
      </c>
      <c r="F425" s="107">
        <v>0.03</v>
      </c>
      <c r="G425" s="108">
        <v>0.03</v>
      </c>
      <c r="H425" s="109" t="s">
        <v>55</v>
      </c>
      <c r="I425" s="110">
        <v>0.79800000000000004</v>
      </c>
      <c r="J425" s="110">
        <v>0.78600000000000003</v>
      </c>
      <c r="K425" s="119">
        <v>0.79900000000000004</v>
      </c>
      <c r="L425" s="111">
        <f t="shared" si="57"/>
        <v>8.0000000000000071E-3</v>
      </c>
      <c r="M425" s="112">
        <f t="shared" si="57"/>
        <v>-4.0000000000000036E-3</v>
      </c>
      <c r="N425" s="112">
        <f t="shared" si="57"/>
        <v>9.000000000000008E-3</v>
      </c>
      <c r="O425" s="112">
        <f t="shared" si="51"/>
        <v>0.79433333333333334</v>
      </c>
      <c r="P425" s="113">
        <f t="shared" si="52"/>
        <v>0.30000000000000027</v>
      </c>
      <c r="Q425" s="114">
        <f t="shared" si="53"/>
        <v>0.13333333333333347</v>
      </c>
      <c r="R425" s="115" t="str">
        <f t="shared" si="54"/>
        <v xml:space="preserve"> </v>
      </c>
      <c r="S425" s="115" t="str">
        <f t="shared" si="55"/>
        <v xml:space="preserve"> </v>
      </c>
      <c r="T425" s="116" t="str">
        <f t="shared" si="56"/>
        <v/>
      </c>
      <c r="U425" s="120"/>
      <c r="V425" s="118"/>
      <c r="W425" s="131"/>
    </row>
    <row r="426" spans="1:23" ht="13.2">
      <c r="A426" s="102" t="s">
        <v>460</v>
      </c>
      <c r="B426" s="102"/>
      <c r="C426" s="104">
        <v>3</v>
      </c>
      <c r="D426" s="105" t="s">
        <v>64</v>
      </c>
      <c r="E426" s="106">
        <v>0.79</v>
      </c>
      <c r="F426" s="107">
        <v>0.03</v>
      </c>
      <c r="G426" s="108">
        <v>0.03</v>
      </c>
      <c r="H426" s="109" t="s">
        <v>55</v>
      </c>
      <c r="I426" s="110">
        <v>0.79400000000000004</v>
      </c>
      <c r="J426" s="110">
        <v>0.79800000000000004</v>
      </c>
      <c r="K426" s="119">
        <v>0.78500000000000003</v>
      </c>
      <c r="L426" s="111">
        <f t="shared" si="57"/>
        <v>4.0000000000000036E-3</v>
      </c>
      <c r="M426" s="112">
        <f t="shared" si="57"/>
        <v>8.0000000000000071E-3</v>
      </c>
      <c r="N426" s="112">
        <f t="shared" si="57"/>
        <v>-5.0000000000000044E-3</v>
      </c>
      <c r="O426" s="112">
        <f t="shared" si="51"/>
        <v>0.79233333333333344</v>
      </c>
      <c r="P426" s="113">
        <f t="shared" si="52"/>
        <v>0.26666666666666694</v>
      </c>
      <c r="Q426" s="114">
        <f t="shared" si="53"/>
        <v>0.16666666666666682</v>
      </c>
      <c r="R426" s="115" t="str">
        <f t="shared" si="54"/>
        <v xml:space="preserve"> </v>
      </c>
      <c r="S426" s="115" t="str">
        <f t="shared" si="55"/>
        <v xml:space="preserve"> </v>
      </c>
      <c r="T426" s="116" t="str">
        <f t="shared" si="56"/>
        <v/>
      </c>
      <c r="U426" s="120"/>
      <c r="V426" s="118"/>
      <c r="W426" s="131"/>
    </row>
    <row r="427" spans="1:23" ht="13.2">
      <c r="A427" s="102" t="s">
        <v>461</v>
      </c>
      <c r="B427" s="102"/>
      <c r="C427" s="104">
        <v>3</v>
      </c>
      <c r="D427" s="105" t="s">
        <v>64</v>
      </c>
      <c r="E427" s="106">
        <v>0.79</v>
      </c>
      <c r="F427" s="107">
        <v>0.03</v>
      </c>
      <c r="G427" s="108">
        <v>0.03</v>
      </c>
      <c r="H427" s="109" t="s">
        <v>55</v>
      </c>
      <c r="I427" s="110">
        <v>0.78900000000000003</v>
      </c>
      <c r="J427" s="110">
        <v>0.79500000000000004</v>
      </c>
      <c r="K427" s="119">
        <v>0.78500000000000003</v>
      </c>
      <c r="L427" s="111">
        <f t="shared" si="57"/>
        <v>-1.0000000000000009E-3</v>
      </c>
      <c r="M427" s="112">
        <f t="shared" si="57"/>
        <v>5.0000000000000044E-3</v>
      </c>
      <c r="N427" s="112">
        <f t="shared" si="57"/>
        <v>-5.0000000000000044E-3</v>
      </c>
      <c r="O427" s="112">
        <f t="shared" si="51"/>
        <v>0.78966666666666674</v>
      </c>
      <c r="P427" s="113">
        <f t="shared" si="52"/>
        <v>0.16666666666666682</v>
      </c>
      <c r="Q427" s="114">
        <f t="shared" si="53"/>
        <v>0.16666666666666682</v>
      </c>
      <c r="R427" s="115" t="str">
        <f t="shared" si="54"/>
        <v xml:space="preserve"> </v>
      </c>
      <c r="S427" s="115" t="str">
        <f t="shared" si="55"/>
        <v xml:space="preserve"> </v>
      </c>
      <c r="T427" s="116" t="str">
        <f t="shared" si="56"/>
        <v/>
      </c>
      <c r="U427" s="120"/>
      <c r="V427" s="118"/>
      <c r="W427" s="131"/>
    </row>
    <row r="428" spans="1:23" ht="13.2">
      <c r="A428" s="102" t="s">
        <v>462</v>
      </c>
      <c r="B428" s="102"/>
      <c r="C428" s="104">
        <v>3</v>
      </c>
      <c r="D428" s="105" t="s">
        <v>64</v>
      </c>
      <c r="E428" s="106">
        <v>0.79</v>
      </c>
      <c r="F428" s="107">
        <v>0.03</v>
      </c>
      <c r="G428" s="108">
        <v>0.03</v>
      </c>
      <c r="H428" s="109" t="s">
        <v>55</v>
      </c>
      <c r="I428" s="110">
        <v>0.79300000000000004</v>
      </c>
      <c r="J428" s="110">
        <v>0.79600000000000004</v>
      </c>
      <c r="K428" s="119">
        <v>0.79600000000000004</v>
      </c>
      <c r="L428" s="111">
        <f t="shared" si="57"/>
        <v>3.0000000000000027E-3</v>
      </c>
      <c r="M428" s="112">
        <f t="shared" si="57"/>
        <v>6.0000000000000053E-3</v>
      </c>
      <c r="N428" s="112">
        <f t="shared" si="57"/>
        <v>6.0000000000000053E-3</v>
      </c>
      <c r="O428" s="112">
        <f t="shared" si="51"/>
        <v>0.79499999999999993</v>
      </c>
      <c r="P428" s="113">
        <f t="shared" si="52"/>
        <v>0.20000000000000018</v>
      </c>
      <c r="Q428" s="114">
        <f t="shared" si="53"/>
        <v>0</v>
      </c>
      <c r="R428" s="115" t="str">
        <f t="shared" si="54"/>
        <v xml:space="preserve"> </v>
      </c>
      <c r="S428" s="115" t="str">
        <f t="shared" si="55"/>
        <v xml:space="preserve"> </v>
      </c>
      <c r="T428" s="116" t="str">
        <f t="shared" si="56"/>
        <v/>
      </c>
      <c r="U428" s="120"/>
      <c r="V428" s="118"/>
      <c r="W428" s="131"/>
    </row>
    <row r="429" spans="1:23" ht="13.2">
      <c r="A429" s="102" t="s">
        <v>463</v>
      </c>
      <c r="B429" s="102"/>
      <c r="C429" s="104">
        <v>3</v>
      </c>
      <c r="D429" s="105" t="s">
        <v>64</v>
      </c>
      <c r="E429" s="106">
        <v>0.79</v>
      </c>
      <c r="F429" s="107">
        <v>0.03</v>
      </c>
      <c r="G429" s="108">
        <v>0.03</v>
      </c>
      <c r="H429" s="109" t="s">
        <v>55</v>
      </c>
      <c r="I429" s="110">
        <v>0.79900000000000004</v>
      </c>
      <c r="J429" s="110">
        <v>0.78600000000000003</v>
      </c>
      <c r="K429" s="119">
        <v>0.79400000000000004</v>
      </c>
      <c r="L429" s="111">
        <f t="shared" si="57"/>
        <v>9.000000000000008E-3</v>
      </c>
      <c r="M429" s="112">
        <f t="shared" si="57"/>
        <v>-4.0000000000000036E-3</v>
      </c>
      <c r="N429" s="112">
        <f t="shared" si="57"/>
        <v>4.0000000000000036E-3</v>
      </c>
      <c r="O429" s="112">
        <f t="shared" si="51"/>
        <v>0.79300000000000004</v>
      </c>
      <c r="P429" s="113">
        <f t="shared" si="52"/>
        <v>0.30000000000000027</v>
      </c>
      <c r="Q429" s="114">
        <f t="shared" si="53"/>
        <v>0.13333333333333347</v>
      </c>
      <c r="R429" s="115" t="str">
        <f t="shared" si="54"/>
        <v xml:space="preserve"> </v>
      </c>
      <c r="S429" s="115" t="str">
        <f t="shared" si="55"/>
        <v xml:space="preserve"> </v>
      </c>
      <c r="T429" s="116" t="str">
        <f t="shared" si="56"/>
        <v/>
      </c>
      <c r="U429" s="120"/>
      <c r="V429" s="118"/>
      <c r="W429" s="131"/>
    </row>
    <row r="430" spans="1:23" ht="13.2">
      <c r="A430" s="102" t="s">
        <v>464</v>
      </c>
      <c r="B430" s="102"/>
      <c r="C430" s="104">
        <v>3</v>
      </c>
      <c r="D430" s="105" t="s">
        <v>64</v>
      </c>
      <c r="E430" s="106">
        <v>0.79</v>
      </c>
      <c r="F430" s="107">
        <v>0.03</v>
      </c>
      <c r="G430" s="108">
        <v>0.03</v>
      </c>
      <c r="H430" s="109" t="s">
        <v>55</v>
      </c>
      <c r="I430" s="110">
        <v>0.79800000000000004</v>
      </c>
      <c r="J430" s="110">
        <v>0.80500000000000005</v>
      </c>
      <c r="K430" s="119">
        <v>0.79900000000000004</v>
      </c>
      <c r="L430" s="111">
        <f t="shared" si="57"/>
        <v>8.0000000000000071E-3</v>
      </c>
      <c r="M430" s="112">
        <f t="shared" si="57"/>
        <v>1.5000000000000013E-2</v>
      </c>
      <c r="N430" s="112">
        <f t="shared" si="57"/>
        <v>9.000000000000008E-3</v>
      </c>
      <c r="O430" s="112">
        <f t="shared" si="51"/>
        <v>0.80066666666666675</v>
      </c>
      <c r="P430" s="113">
        <f t="shared" si="52"/>
        <v>0.50000000000000044</v>
      </c>
      <c r="Q430" s="114">
        <f t="shared" si="53"/>
        <v>0</v>
      </c>
      <c r="R430" s="115" t="str">
        <f t="shared" si="54"/>
        <v xml:space="preserve"> </v>
      </c>
      <c r="S430" s="115" t="str">
        <f t="shared" si="55"/>
        <v xml:space="preserve"> </v>
      </c>
      <c r="T430" s="116" t="str">
        <f t="shared" si="56"/>
        <v/>
      </c>
      <c r="U430" s="120"/>
      <c r="V430" s="118"/>
      <c r="W430" s="131"/>
    </row>
    <row r="431" spans="1:23" ht="13.2">
      <c r="A431" s="102" t="s">
        <v>465</v>
      </c>
      <c r="B431" s="102"/>
      <c r="C431" s="104">
        <v>3</v>
      </c>
      <c r="D431" s="105" t="s">
        <v>64</v>
      </c>
      <c r="E431" s="106">
        <v>0.79</v>
      </c>
      <c r="F431" s="107">
        <v>0.03</v>
      </c>
      <c r="G431" s="108">
        <v>0.03</v>
      </c>
      <c r="H431" s="109" t="s">
        <v>55</v>
      </c>
      <c r="I431" s="110">
        <v>0.78800000000000003</v>
      </c>
      <c r="J431" s="110">
        <v>0.78800000000000003</v>
      </c>
      <c r="K431" s="119">
        <v>0.79500000000000004</v>
      </c>
      <c r="L431" s="111">
        <f t="shared" si="57"/>
        <v>-2.0000000000000018E-3</v>
      </c>
      <c r="M431" s="112">
        <f t="shared" si="57"/>
        <v>-2.0000000000000018E-3</v>
      </c>
      <c r="N431" s="112">
        <f t="shared" si="57"/>
        <v>5.0000000000000044E-3</v>
      </c>
      <c r="O431" s="112">
        <f t="shared" si="51"/>
        <v>0.79033333333333333</v>
      </c>
      <c r="P431" s="113">
        <f t="shared" si="52"/>
        <v>0.16666666666666682</v>
      </c>
      <c r="Q431" s="114">
        <f t="shared" si="53"/>
        <v>6.6666666666666735E-2</v>
      </c>
      <c r="R431" s="115" t="str">
        <f t="shared" si="54"/>
        <v xml:space="preserve"> </v>
      </c>
      <c r="S431" s="115" t="str">
        <f t="shared" si="55"/>
        <v xml:space="preserve"> </v>
      </c>
      <c r="T431" s="116" t="str">
        <f t="shared" si="56"/>
        <v/>
      </c>
      <c r="U431" s="120"/>
      <c r="V431" s="118"/>
      <c r="W431" s="131"/>
    </row>
    <row r="432" spans="1:23" ht="13.2">
      <c r="A432" s="102" t="s">
        <v>466</v>
      </c>
      <c r="B432" s="103"/>
      <c r="C432" s="104">
        <v>3</v>
      </c>
      <c r="D432" s="105" t="s">
        <v>64</v>
      </c>
      <c r="E432" s="106">
        <v>0.79</v>
      </c>
      <c r="F432" s="107">
        <v>0.03</v>
      </c>
      <c r="G432" s="108">
        <v>0.03</v>
      </c>
      <c r="H432" s="109" t="s">
        <v>55</v>
      </c>
      <c r="I432" s="110">
        <v>0.79700000000000004</v>
      </c>
      <c r="J432" s="110">
        <v>0.79800000000000004</v>
      </c>
      <c r="K432" s="119">
        <v>0.80100000000000005</v>
      </c>
      <c r="L432" s="111">
        <f t="shared" si="57"/>
        <v>7.0000000000000062E-3</v>
      </c>
      <c r="M432" s="112">
        <f t="shared" si="57"/>
        <v>8.0000000000000071E-3</v>
      </c>
      <c r="N432" s="112">
        <f t="shared" si="57"/>
        <v>1.100000000000001E-2</v>
      </c>
      <c r="O432" s="112">
        <f t="shared" si="51"/>
        <v>0.79866666666666675</v>
      </c>
      <c r="P432" s="113">
        <f t="shared" si="52"/>
        <v>0.36666666666666703</v>
      </c>
      <c r="Q432" s="114">
        <f t="shared" si="53"/>
        <v>0</v>
      </c>
      <c r="R432" s="115" t="str">
        <f t="shared" si="54"/>
        <v xml:space="preserve"> </v>
      </c>
      <c r="S432" s="115" t="str">
        <f t="shared" si="55"/>
        <v xml:space="preserve"> </v>
      </c>
      <c r="T432" s="116" t="str">
        <f t="shared" si="56"/>
        <v/>
      </c>
      <c r="U432" s="120"/>
      <c r="V432" s="118"/>
      <c r="W432" s="131"/>
    </row>
    <row r="433" spans="1:23" ht="13.2">
      <c r="A433" s="102" t="s">
        <v>467</v>
      </c>
      <c r="B433" s="103"/>
      <c r="C433" s="104">
        <v>3</v>
      </c>
      <c r="D433" s="105" t="s">
        <v>64</v>
      </c>
      <c r="E433" s="106">
        <v>0.79</v>
      </c>
      <c r="F433" s="107">
        <v>0.03</v>
      </c>
      <c r="G433" s="108">
        <v>0.03</v>
      </c>
      <c r="H433" s="109" t="s">
        <v>55</v>
      </c>
      <c r="I433" s="110">
        <v>0.79800000000000004</v>
      </c>
      <c r="J433" s="110">
        <v>0.79600000000000004</v>
      </c>
      <c r="K433" s="119">
        <v>0.79600000000000004</v>
      </c>
      <c r="L433" s="111">
        <f t="shared" si="57"/>
        <v>8.0000000000000071E-3</v>
      </c>
      <c r="M433" s="112">
        <f t="shared" si="57"/>
        <v>6.0000000000000053E-3</v>
      </c>
      <c r="N433" s="112">
        <f t="shared" si="57"/>
        <v>6.0000000000000053E-3</v>
      </c>
      <c r="O433" s="112">
        <f t="shared" si="51"/>
        <v>0.79666666666666675</v>
      </c>
      <c r="P433" s="113">
        <f t="shared" si="52"/>
        <v>0.26666666666666694</v>
      </c>
      <c r="Q433" s="114">
        <f t="shared" si="53"/>
        <v>0</v>
      </c>
      <c r="R433" s="115" t="str">
        <f t="shared" si="54"/>
        <v xml:space="preserve"> </v>
      </c>
      <c r="S433" s="115" t="str">
        <f t="shared" si="55"/>
        <v xml:space="preserve"> </v>
      </c>
      <c r="T433" s="116" t="str">
        <f t="shared" si="56"/>
        <v/>
      </c>
      <c r="U433" s="120"/>
      <c r="V433" s="118"/>
      <c r="W433" s="131"/>
    </row>
    <row r="434" spans="1:23" ht="13.2">
      <c r="A434" s="102" t="s">
        <v>468</v>
      </c>
      <c r="B434" s="103"/>
      <c r="C434" s="104">
        <v>3</v>
      </c>
      <c r="D434" s="105" t="s">
        <v>64</v>
      </c>
      <c r="E434" s="106">
        <v>0.79</v>
      </c>
      <c r="F434" s="107">
        <v>0.03</v>
      </c>
      <c r="G434" s="108">
        <v>0.03</v>
      </c>
      <c r="H434" s="109" t="s">
        <v>55</v>
      </c>
      <c r="I434" s="110">
        <v>0.78500000000000003</v>
      </c>
      <c r="J434" s="110">
        <v>0.78900000000000003</v>
      </c>
      <c r="K434" s="119">
        <v>0.79100000000000004</v>
      </c>
      <c r="L434" s="111">
        <f t="shared" si="57"/>
        <v>-5.0000000000000044E-3</v>
      </c>
      <c r="M434" s="112">
        <f t="shared" si="57"/>
        <v>-1.0000000000000009E-3</v>
      </c>
      <c r="N434" s="112">
        <f t="shared" si="57"/>
        <v>1.0000000000000009E-3</v>
      </c>
      <c r="O434" s="112">
        <f t="shared" si="51"/>
        <v>0.78833333333333344</v>
      </c>
      <c r="P434" s="113">
        <f t="shared" si="52"/>
        <v>3.3333333333333368E-2</v>
      </c>
      <c r="Q434" s="114">
        <f t="shared" si="53"/>
        <v>0.16666666666666682</v>
      </c>
      <c r="R434" s="115" t="str">
        <f t="shared" si="54"/>
        <v xml:space="preserve"> </v>
      </c>
      <c r="S434" s="115" t="str">
        <f t="shared" si="55"/>
        <v xml:space="preserve"> </v>
      </c>
      <c r="T434" s="116" t="str">
        <f t="shared" si="56"/>
        <v/>
      </c>
      <c r="U434" s="120"/>
      <c r="V434" s="118"/>
      <c r="W434" s="131"/>
    </row>
    <row r="435" spans="1:23" ht="13.2">
      <c r="A435" s="102" t="s">
        <v>469</v>
      </c>
      <c r="B435" s="102"/>
      <c r="C435" s="104">
        <v>3</v>
      </c>
      <c r="D435" s="105" t="s">
        <v>64</v>
      </c>
      <c r="E435" s="106">
        <v>0.79</v>
      </c>
      <c r="F435" s="107">
        <v>0.03</v>
      </c>
      <c r="G435" s="108">
        <v>0.03</v>
      </c>
      <c r="H435" s="109" t="s">
        <v>55</v>
      </c>
      <c r="I435" s="110">
        <v>0.79600000000000004</v>
      </c>
      <c r="J435" s="110">
        <v>0.79800000000000004</v>
      </c>
      <c r="K435" s="119">
        <v>0.79600000000000004</v>
      </c>
      <c r="L435" s="111">
        <f t="shared" si="57"/>
        <v>6.0000000000000053E-3</v>
      </c>
      <c r="M435" s="112">
        <f t="shared" si="57"/>
        <v>8.0000000000000071E-3</v>
      </c>
      <c r="N435" s="112">
        <f t="shared" si="57"/>
        <v>6.0000000000000053E-3</v>
      </c>
      <c r="O435" s="112">
        <f t="shared" si="51"/>
        <v>0.79666666666666675</v>
      </c>
      <c r="P435" s="113">
        <f t="shared" si="52"/>
        <v>0.26666666666666694</v>
      </c>
      <c r="Q435" s="114">
        <f t="shared" si="53"/>
        <v>0</v>
      </c>
      <c r="R435" s="115" t="str">
        <f t="shared" si="54"/>
        <v xml:space="preserve"> </v>
      </c>
      <c r="S435" s="115" t="str">
        <f t="shared" si="55"/>
        <v xml:space="preserve"> </v>
      </c>
      <c r="T435" s="116" t="str">
        <f t="shared" si="56"/>
        <v/>
      </c>
      <c r="U435" s="120"/>
      <c r="V435" s="118"/>
      <c r="W435" s="131"/>
    </row>
    <row r="436" spans="1:23" ht="13.2">
      <c r="A436" s="102" t="s">
        <v>470</v>
      </c>
      <c r="B436" s="102"/>
      <c r="C436" s="104">
        <v>3</v>
      </c>
      <c r="D436" s="105" t="s">
        <v>64</v>
      </c>
      <c r="E436" s="106">
        <v>0.79</v>
      </c>
      <c r="F436" s="107">
        <v>0.03</v>
      </c>
      <c r="G436" s="108">
        <v>0.03</v>
      </c>
      <c r="H436" s="109" t="s">
        <v>55</v>
      </c>
      <c r="I436" s="110">
        <v>0.79900000000000004</v>
      </c>
      <c r="J436" s="110">
        <v>0.79900000000000004</v>
      </c>
      <c r="K436" s="119">
        <v>0.80100000000000005</v>
      </c>
      <c r="L436" s="111">
        <f t="shared" si="57"/>
        <v>9.000000000000008E-3</v>
      </c>
      <c r="M436" s="112">
        <f t="shared" si="57"/>
        <v>9.000000000000008E-3</v>
      </c>
      <c r="N436" s="112">
        <f t="shared" si="57"/>
        <v>1.100000000000001E-2</v>
      </c>
      <c r="O436" s="112">
        <f t="shared" si="51"/>
        <v>0.79966666666666664</v>
      </c>
      <c r="P436" s="113">
        <f t="shared" si="52"/>
        <v>0.36666666666666703</v>
      </c>
      <c r="Q436" s="114">
        <f t="shared" si="53"/>
        <v>0</v>
      </c>
      <c r="R436" s="115" t="str">
        <f t="shared" si="54"/>
        <v xml:space="preserve"> </v>
      </c>
      <c r="S436" s="115" t="str">
        <f t="shared" si="55"/>
        <v xml:space="preserve"> </v>
      </c>
      <c r="T436" s="116" t="str">
        <f t="shared" si="56"/>
        <v/>
      </c>
      <c r="U436" s="120"/>
      <c r="V436" s="118"/>
      <c r="W436" s="131"/>
    </row>
    <row r="437" spans="1:23" ht="13.2">
      <c r="A437" s="102" t="s">
        <v>471</v>
      </c>
      <c r="B437" s="102"/>
      <c r="C437" s="104">
        <v>3</v>
      </c>
      <c r="D437" s="105" t="s">
        <v>64</v>
      </c>
      <c r="E437" s="106">
        <v>0.79</v>
      </c>
      <c r="F437" s="107">
        <v>0.03</v>
      </c>
      <c r="G437" s="108">
        <v>0.03</v>
      </c>
      <c r="H437" s="109" t="s">
        <v>55</v>
      </c>
      <c r="I437" s="110">
        <v>0.79600000000000004</v>
      </c>
      <c r="J437" s="110">
        <v>0.79800000000000004</v>
      </c>
      <c r="K437" s="119">
        <v>0.78500000000000003</v>
      </c>
      <c r="L437" s="111">
        <f t="shared" si="57"/>
        <v>6.0000000000000053E-3</v>
      </c>
      <c r="M437" s="112">
        <f t="shared" si="57"/>
        <v>8.0000000000000071E-3</v>
      </c>
      <c r="N437" s="112">
        <f t="shared" si="57"/>
        <v>-5.0000000000000044E-3</v>
      </c>
      <c r="O437" s="112">
        <f t="shared" si="51"/>
        <v>0.79300000000000004</v>
      </c>
      <c r="P437" s="113">
        <f t="shared" si="52"/>
        <v>0.26666666666666694</v>
      </c>
      <c r="Q437" s="114">
        <f t="shared" si="53"/>
        <v>0.16666666666666682</v>
      </c>
      <c r="R437" s="115" t="str">
        <f t="shared" si="54"/>
        <v xml:space="preserve"> </v>
      </c>
      <c r="S437" s="115" t="str">
        <f t="shared" si="55"/>
        <v xml:space="preserve"> </v>
      </c>
      <c r="T437" s="116" t="str">
        <f t="shared" si="56"/>
        <v/>
      </c>
      <c r="U437" s="120"/>
      <c r="V437" s="118"/>
      <c r="W437" s="131"/>
    </row>
    <row r="438" spans="1:23" ht="13.2">
      <c r="A438" s="102" t="s">
        <v>472</v>
      </c>
      <c r="B438" s="102"/>
      <c r="C438" s="104">
        <v>3</v>
      </c>
      <c r="D438" s="105" t="s">
        <v>64</v>
      </c>
      <c r="E438" s="106">
        <v>0.79</v>
      </c>
      <c r="F438" s="107">
        <v>0.03</v>
      </c>
      <c r="G438" s="108">
        <v>0.03</v>
      </c>
      <c r="H438" s="109" t="s">
        <v>55</v>
      </c>
      <c r="I438" s="110">
        <v>0.79700000000000004</v>
      </c>
      <c r="J438" s="110">
        <v>0.79200000000000004</v>
      </c>
      <c r="K438" s="119">
        <v>0.79700000000000004</v>
      </c>
      <c r="L438" s="111">
        <f t="shared" si="57"/>
        <v>7.0000000000000062E-3</v>
      </c>
      <c r="M438" s="112">
        <f t="shared" si="57"/>
        <v>2.0000000000000018E-3</v>
      </c>
      <c r="N438" s="112">
        <f t="shared" si="57"/>
        <v>7.0000000000000062E-3</v>
      </c>
      <c r="O438" s="112">
        <f t="shared" si="51"/>
        <v>0.79533333333333334</v>
      </c>
      <c r="P438" s="113">
        <f t="shared" si="52"/>
        <v>0.23333333333333356</v>
      </c>
      <c r="Q438" s="114">
        <f t="shared" si="53"/>
        <v>0</v>
      </c>
      <c r="R438" s="115" t="str">
        <f t="shared" si="54"/>
        <v xml:space="preserve"> </v>
      </c>
      <c r="S438" s="115" t="str">
        <f t="shared" si="55"/>
        <v xml:space="preserve"> </v>
      </c>
      <c r="T438" s="116" t="str">
        <f t="shared" si="56"/>
        <v/>
      </c>
      <c r="U438" s="120"/>
      <c r="V438" s="118"/>
      <c r="W438" s="131"/>
    </row>
    <row r="439" spans="1:23" ht="13.2">
      <c r="A439" s="102" t="s">
        <v>473</v>
      </c>
      <c r="B439" s="102"/>
      <c r="C439" s="104">
        <v>3</v>
      </c>
      <c r="D439" s="105" t="s">
        <v>64</v>
      </c>
      <c r="E439" s="106">
        <v>0.79</v>
      </c>
      <c r="F439" s="107">
        <v>0.03</v>
      </c>
      <c r="G439" s="108">
        <v>0.03</v>
      </c>
      <c r="H439" s="109" t="s">
        <v>55</v>
      </c>
      <c r="I439" s="110">
        <v>0.77800000000000002</v>
      </c>
      <c r="J439" s="110">
        <v>0.79300000000000004</v>
      </c>
      <c r="K439" s="119">
        <v>0.79400000000000004</v>
      </c>
      <c r="L439" s="111">
        <f t="shared" si="57"/>
        <v>-1.2000000000000011E-2</v>
      </c>
      <c r="M439" s="112">
        <f t="shared" si="57"/>
        <v>3.0000000000000027E-3</v>
      </c>
      <c r="N439" s="112">
        <f t="shared" si="57"/>
        <v>4.0000000000000036E-3</v>
      </c>
      <c r="O439" s="112">
        <f t="shared" si="51"/>
        <v>0.78833333333333344</v>
      </c>
      <c r="P439" s="113">
        <f t="shared" si="52"/>
        <v>0.13333333333333347</v>
      </c>
      <c r="Q439" s="114">
        <f t="shared" si="53"/>
        <v>0.40000000000000036</v>
      </c>
      <c r="R439" s="115" t="str">
        <f t="shared" si="54"/>
        <v xml:space="preserve"> </v>
      </c>
      <c r="S439" s="115" t="str">
        <f t="shared" si="55"/>
        <v xml:space="preserve"> </v>
      </c>
      <c r="T439" s="116" t="str">
        <f t="shared" si="56"/>
        <v/>
      </c>
      <c r="U439" s="120"/>
      <c r="V439" s="118"/>
      <c r="W439" s="131"/>
    </row>
    <row r="440" spans="1:23" ht="13.2">
      <c r="A440" s="102" t="s">
        <v>474</v>
      </c>
      <c r="B440" s="102"/>
      <c r="C440" s="104">
        <v>3</v>
      </c>
      <c r="D440" s="105" t="s">
        <v>64</v>
      </c>
      <c r="E440" s="106">
        <v>0.79</v>
      </c>
      <c r="F440" s="107">
        <v>0.03</v>
      </c>
      <c r="G440" s="108">
        <v>0.03</v>
      </c>
      <c r="H440" s="109" t="s">
        <v>55</v>
      </c>
      <c r="I440" s="110">
        <v>0.80100000000000005</v>
      </c>
      <c r="J440" s="110">
        <v>0.79300000000000004</v>
      </c>
      <c r="K440" s="119">
        <v>0.80400000000000005</v>
      </c>
      <c r="L440" s="111">
        <f t="shared" si="57"/>
        <v>1.100000000000001E-2</v>
      </c>
      <c r="M440" s="112">
        <f t="shared" si="57"/>
        <v>3.0000000000000027E-3</v>
      </c>
      <c r="N440" s="112">
        <f t="shared" si="57"/>
        <v>1.4000000000000012E-2</v>
      </c>
      <c r="O440" s="112">
        <f t="shared" si="51"/>
        <v>0.79933333333333334</v>
      </c>
      <c r="P440" s="113">
        <f t="shared" si="52"/>
        <v>0.46666666666666712</v>
      </c>
      <c r="Q440" s="114">
        <f t="shared" si="53"/>
        <v>0</v>
      </c>
      <c r="R440" s="115" t="str">
        <f t="shared" si="54"/>
        <v xml:space="preserve"> </v>
      </c>
      <c r="S440" s="115" t="str">
        <f t="shared" si="55"/>
        <v xml:space="preserve"> </v>
      </c>
      <c r="T440" s="116" t="str">
        <f t="shared" si="56"/>
        <v/>
      </c>
      <c r="U440" s="120"/>
      <c r="V440" s="118"/>
      <c r="W440" s="131"/>
    </row>
    <row r="441" spans="1:23" ht="13.2">
      <c r="A441" s="102" t="s">
        <v>475</v>
      </c>
      <c r="B441" s="102"/>
      <c r="C441" s="104">
        <v>3</v>
      </c>
      <c r="D441" s="105" t="s">
        <v>64</v>
      </c>
      <c r="E441" s="106">
        <v>0.79</v>
      </c>
      <c r="F441" s="107">
        <v>0.03</v>
      </c>
      <c r="G441" s="108">
        <v>0.03</v>
      </c>
      <c r="H441" s="109" t="s">
        <v>55</v>
      </c>
      <c r="I441" s="110">
        <v>0.79300000000000004</v>
      </c>
      <c r="J441" s="110">
        <v>0.80900000000000005</v>
      </c>
      <c r="K441" s="119">
        <v>0.77500000000000002</v>
      </c>
      <c r="L441" s="111">
        <f t="shared" si="57"/>
        <v>3.0000000000000027E-3</v>
      </c>
      <c r="M441" s="112">
        <f t="shared" si="57"/>
        <v>1.9000000000000017E-2</v>
      </c>
      <c r="N441" s="112">
        <f t="shared" si="57"/>
        <v>-1.5000000000000013E-2</v>
      </c>
      <c r="O441" s="112">
        <f t="shared" si="51"/>
        <v>0.79233333333333344</v>
      </c>
      <c r="P441" s="113">
        <f t="shared" si="52"/>
        <v>0.63333333333333397</v>
      </c>
      <c r="Q441" s="114">
        <f t="shared" si="53"/>
        <v>0.50000000000000044</v>
      </c>
      <c r="R441" s="115" t="str">
        <f t="shared" si="54"/>
        <v xml:space="preserve"> </v>
      </c>
      <c r="S441" s="115" t="str">
        <f t="shared" si="55"/>
        <v xml:space="preserve"> </v>
      </c>
      <c r="T441" s="116" t="str">
        <f t="shared" si="56"/>
        <v/>
      </c>
      <c r="U441" s="120"/>
      <c r="V441" s="118"/>
      <c r="W441" s="131"/>
    </row>
    <row r="442" spans="1:23" ht="13.2">
      <c r="A442" s="102" t="s">
        <v>476</v>
      </c>
      <c r="B442" s="102"/>
      <c r="C442" s="104">
        <v>3</v>
      </c>
      <c r="D442" s="105" t="s">
        <v>64</v>
      </c>
      <c r="E442" s="106">
        <v>0.79</v>
      </c>
      <c r="F442" s="107">
        <v>0.03</v>
      </c>
      <c r="G442" s="108">
        <v>0.03</v>
      </c>
      <c r="H442" s="109" t="s">
        <v>55</v>
      </c>
      <c r="I442" s="110">
        <v>0.81699999999999995</v>
      </c>
      <c r="J442" s="110">
        <v>0.79100000000000004</v>
      </c>
      <c r="K442" s="119">
        <v>0.80500000000000005</v>
      </c>
      <c r="L442" s="111">
        <f t="shared" si="57"/>
        <v>2.6999999999999913E-2</v>
      </c>
      <c r="M442" s="112">
        <f t="shared" si="57"/>
        <v>1.0000000000000009E-3</v>
      </c>
      <c r="N442" s="112">
        <f t="shared" si="57"/>
        <v>1.5000000000000013E-2</v>
      </c>
      <c r="O442" s="112">
        <f t="shared" si="51"/>
        <v>0.80433333333333346</v>
      </c>
      <c r="P442" s="113">
        <f t="shared" si="52"/>
        <v>0.89999999999999714</v>
      </c>
      <c r="Q442" s="114">
        <f t="shared" si="53"/>
        <v>0</v>
      </c>
      <c r="R442" s="115" t="str">
        <f t="shared" si="54"/>
        <v>Alert</v>
      </c>
      <c r="S442" s="115" t="str">
        <f t="shared" si="55"/>
        <v xml:space="preserve"> </v>
      </c>
      <c r="T442" s="116" t="str">
        <f t="shared" si="56"/>
        <v>Alert</v>
      </c>
      <c r="U442" s="120"/>
      <c r="V442" s="118"/>
      <c r="W442" s="131"/>
    </row>
    <row r="443" spans="1:23" ht="13.2">
      <c r="A443" s="102" t="s">
        <v>477</v>
      </c>
      <c r="B443" s="102"/>
      <c r="C443" s="104">
        <v>3</v>
      </c>
      <c r="D443" s="105" t="s">
        <v>64</v>
      </c>
      <c r="E443" s="106">
        <v>0.79</v>
      </c>
      <c r="F443" s="107">
        <v>0.03</v>
      </c>
      <c r="G443" s="108">
        <v>0.03</v>
      </c>
      <c r="H443" s="109" t="s">
        <v>55</v>
      </c>
      <c r="I443" s="110">
        <v>0.78200000000000003</v>
      </c>
      <c r="J443" s="110">
        <v>0.80100000000000005</v>
      </c>
      <c r="K443" s="119">
        <v>0.79400000000000004</v>
      </c>
      <c r="L443" s="111">
        <f t="shared" si="57"/>
        <v>-8.0000000000000071E-3</v>
      </c>
      <c r="M443" s="112">
        <f t="shared" si="57"/>
        <v>1.100000000000001E-2</v>
      </c>
      <c r="N443" s="112">
        <f t="shared" si="57"/>
        <v>4.0000000000000036E-3</v>
      </c>
      <c r="O443" s="112">
        <f t="shared" si="51"/>
        <v>0.79233333333333344</v>
      </c>
      <c r="P443" s="113">
        <f t="shared" si="52"/>
        <v>0.36666666666666703</v>
      </c>
      <c r="Q443" s="114">
        <f t="shared" si="53"/>
        <v>0.26666666666666694</v>
      </c>
      <c r="R443" s="115" t="str">
        <f t="shared" si="54"/>
        <v xml:space="preserve"> </v>
      </c>
      <c r="S443" s="115" t="str">
        <f t="shared" si="55"/>
        <v xml:space="preserve"> </v>
      </c>
      <c r="T443" s="116" t="str">
        <f t="shared" si="56"/>
        <v/>
      </c>
      <c r="U443" s="120"/>
      <c r="V443" s="118"/>
      <c r="W443" s="131"/>
    </row>
    <row r="444" spans="1:23" ht="13.2">
      <c r="A444" s="102" t="s">
        <v>478</v>
      </c>
      <c r="B444" s="102"/>
      <c r="C444" s="104">
        <v>3</v>
      </c>
      <c r="D444" s="105" t="s">
        <v>64</v>
      </c>
      <c r="E444" s="106">
        <v>0.79</v>
      </c>
      <c r="F444" s="107">
        <v>0.03</v>
      </c>
      <c r="G444" s="108">
        <v>0.03</v>
      </c>
      <c r="H444" s="109" t="s">
        <v>55</v>
      </c>
      <c r="I444" s="110">
        <v>0.80100000000000005</v>
      </c>
      <c r="J444" s="110">
        <v>0.78300000000000003</v>
      </c>
      <c r="K444" s="119">
        <v>0.78700000000000003</v>
      </c>
      <c r="L444" s="111">
        <f t="shared" si="57"/>
        <v>1.100000000000001E-2</v>
      </c>
      <c r="M444" s="112">
        <f t="shared" si="57"/>
        <v>-7.0000000000000062E-3</v>
      </c>
      <c r="N444" s="112">
        <f t="shared" si="57"/>
        <v>-3.0000000000000027E-3</v>
      </c>
      <c r="O444" s="112">
        <f t="shared" si="51"/>
        <v>0.79033333333333333</v>
      </c>
      <c r="P444" s="113">
        <f t="shared" si="52"/>
        <v>0.36666666666666703</v>
      </c>
      <c r="Q444" s="114">
        <f t="shared" si="53"/>
        <v>0.23333333333333356</v>
      </c>
      <c r="R444" s="115" t="str">
        <f t="shared" si="54"/>
        <v xml:space="preserve"> </v>
      </c>
      <c r="S444" s="115" t="str">
        <f t="shared" si="55"/>
        <v xml:space="preserve"> </v>
      </c>
      <c r="T444" s="116" t="str">
        <f t="shared" si="56"/>
        <v/>
      </c>
      <c r="U444" s="120"/>
      <c r="V444" s="118"/>
      <c r="W444" s="131"/>
    </row>
    <row r="445" spans="1:23" ht="13.2">
      <c r="A445" s="102" t="s">
        <v>479</v>
      </c>
      <c r="B445" s="102"/>
      <c r="C445" s="104">
        <v>3</v>
      </c>
      <c r="D445" s="105" t="s">
        <v>64</v>
      </c>
      <c r="E445" s="106">
        <v>0.79</v>
      </c>
      <c r="F445" s="107">
        <v>0.03</v>
      </c>
      <c r="G445" s="108">
        <v>0.03</v>
      </c>
      <c r="H445" s="109" t="s">
        <v>55</v>
      </c>
      <c r="I445" s="110">
        <v>0.78200000000000003</v>
      </c>
      <c r="J445" s="110">
        <v>0.79</v>
      </c>
      <c r="K445" s="119">
        <v>0.80800000000000005</v>
      </c>
      <c r="L445" s="111">
        <f t="shared" si="57"/>
        <v>-8.0000000000000071E-3</v>
      </c>
      <c r="M445" s="112">
        <f t="shared" si="57"/>
        <v>0</v>
      </c>
      <c r="N445" s="112">
        <f t="shared" si="57"/>
        <v>1.8000000000000016E-2</v>
      </c>
      <c r="O445" s="112">
        <f t="shared" si="51"/>
        <v>0.79333333333333333</v>
      </c>
      <c r="P445" s="113">
        <f t="shared" si="52"/>
        <v>0.60000000000000053</v>
      </c>
      <c r="Q445" s="114">
        <f t="shared" si="53"/>
        <v>0.26666666666666694</v>
      </c>
      <c r="R445" s="115" t="str">
        <f t="shared" si="54"/>
        <v xml:space="preserve"> </v>
      </c>
      <c r="S445" s="115" t="str">
        <f t="shared" si="55"/>
        <v xml:space="preserve"> </v>
      </c>
      <c r="T445" s="116" t="str">
        <f t="shared" si="56"/>
        <v/>
      </c>
      <c r="U445" s="120"/>
      <c r="V445" s="118"/>
      <c r="W445" s="131"/>
    </row>
    <row r="446" spans="1:23" ht="13.2">
      <c r="A446" s="102" t="s">
        <v>480</v>
      </c>
      <c r="B446" s="102"/>
      <c r="C446" s="104">
        <v>3</v>
      </c>
      <c r="D446" s="105" t="s">
        <v>64</v>
      </c>
      <c r="E446" s="106">
        <v>0.79</v>
      </c>
      <c r="F446" s="107">
        <v>0.03</v>
      </c>
      <c r="G446" s="108">
        <v>0.03</v>
      </c>
      <c r="H446" s="109" t="s">
        <v>55</v>
      </c>
      <c r="I446" s="110">
        <v>0.78600000000000003</v>
      </c>
      <c r="J446" s="110">
        <v>0.79700000000000004</v>
      </c>
      <c r="K446" s="119">
        <v>0.79400000000000004</v>
      </c>
      <c r="L446" s="111">
        <f t="shared" si="57"/>
        <v>-4.0000000000000036E-3</v>
      </c>
      <c r="M446" s="112">
        <f t="shared" si="57"/>
        <v>7.0000000000000062E-3</v>
      </c>
      <c r="N446" s="112">
        <f t="shared" si="57"/>
        <v>4.0000000000000036E-3</v>
      </c>
      <c r="O446" s="112">
        <f t="shared" ref="O446:O509" si="58">IF(ISERR(I446/I446)=TRUE," ",AVERAGE(I446:K446))</f>
        <v>0.79233333333333344</v>
      </c>
      <c r="P446" s="113">
        <f t="shared" ref="P446:P509" si="59">IF(ISBLANK($E446),"",IF(ISNUMBER(F446)=FALSE,"BAD TOL", IF(F446=0,"N/A",IF(ISERR(I446/I446)=TRUE,"BAD INSP",IF(AND(ISNUMBER($I446),ISNUMBER($J446),ISNUMBER($K446))=FALSE,"BAD INSP",IF(MAX($I446:$K446)&lt;$E446,0,(MAX($I446:$K446)-$E446)/$F446))))))</f>
        <v>0.23333333333333356</v>
      </c>
      <c r="Q446" s="114">
        <f t="shared" ref="Q446:Q509" si="60">IF(ISBLANK($E446),"",IF(ISNUMBER(G446)=FALSE,"BAD TOL",IF(G446=0,"N/A",IF(ISERR(I446/I446)=TRUE,"BAD INSP",IF(AND(ISNUMBER($I446),ISNUMBER($J446),ISNUMBER($K446))=FALSE,"BAD INSP",IF(MIN(I446:K446)&gt;$E446,0,($E446-MIN(I446:K446))/G446))))))</f>
        <v>0.13333333333333347</v>
      </c>
      <c r="R446" s="115" t="str">
        <f t="shared" ref="R446:R509" si="61">IF(ISBLANK($E446),"",IF(ISNUMBER($P446)=TRUE,IF($P446&gt;0.651,IF($P446&gt;1.001,"Reject","Alert")," "),IF(AND(F446=0, ISNUMBER(F446)),IF(MAX(I446:K446)&gt;(E446+F446),"Reject",IF(MAX(I446:K446)=(E446+F446),"Alert","")),"Reject")))</f>
        <v xml:space="preserve"> </v>
      </c>
      <c r="S446" s="115" t="str">
        <f t="shared" ref="S446:S509" si="62">IF(ISBLANK($E446),"",IF(ISNUMBER($Q446)=TRUE,IF($Q446&gt;0.651,IF($Q446&gt;1.001,"Reject","Alert")," "),IF(AND(G446=0, ISNUMBER(G446)),IF(MIN(I446:K446)&lt;(E446-G446),"Reject",IF(MIN(I446:K446)=(E446-G446),"Alert","")),"Reject")))</f>
        <v xml:space="preserve"> </v>
      </c>
      <c r="T446" s="116" t="str">
        <f t="shared" ref="T446:T509" si="63">IF(OR(R446="Reject",S446="Reject"),"Reject",IF(OR(R446="Alert",S446="Alert"),"Alert", ""))</f>
        <v/>
      </c>
      <c r="U446" s="120"/>
      <c r="V446" s="118"/>
      <c r="W446" s="131"/>
    </row>
    <row r="447" spans="1:23" ht="13.2">
      <c r="A447" s="102" t="s">
        <v>481</v>
      </c>
      <c r="B447" s="103"/>
      <c r="C447" s="104">
        <v>3</v>
      </c>
      <c r="D447" s="105" t="s">
        <v>64</v>
      </c>
      <c r="E447" s="106">
        <v>0.79</v>
      </c>
      <c r="F447" s="107">
        <v>0.03</v>
      </c>
      <c r="G447" s="108">
        <v>0.03</v>
      </c>
      <c r="H447" s="109" t="s">
        <v>55</v>
      </c>
      <c r="I447" s="110">
        <v>0.79</v>
      </c>
      <c r="J447" s="110">
        <v>0.79300000000000004</v>
      </c>
      <c r="K447" s="119">
        <v>0.78700000000000003</v>
      </c>
      <c r="L447" s="111">
        <f t="shared" si="57"/>
        <v>0</v>
      </c>
      <c r="M447" s="112">
        <f t="shared" si="57"/>
        <v>3.0000000000000027E-3</v>
      </c>
      <c r="N447" s="112">
        <f t="shared" si="57"/>
        <v>-3.0000000000000027E-3</v>
      </c>
      <c r="O447" s="112">
        <f t="shared" si="58"/>
        <v>0.79</v>
      </c>
      <c r="P447" s="113">
        <f t="shared" si="59"/>
        <v>0.10000000000000009</v>
      </c>
      <c r="Q447" s="114">
        <f t="shared" si="60"/>
        <v>0.10000000000000009</v>
      </c>
      <c r="R447" s="115" t="str">
        <f t="shared" si="61"/>
        <v xml:space="preserve"> </v>
      </c>
      <c r="S447" s="115" t="str">
        <f t="shared" si="62"/>
        <v xml:space="preserve"> </v>
      </c>
      <c r="T447" s="116" t="str">
        <f t="shared" si="63"/>
        <v/>
      </c>
      <c r="U447" s="120"/>
      <c r="V447" s="118"/>
      <c r="W447" s="131"/>
    </row>
    <row r="448" spans="1:23" ht="13.2">
      <c r="A448" s="102" t="s">
        <v>482</v>
      </c>
      <c r="B448" s="103"/>
      <c r="C448" s="104">
        <v>3</v>
      </c>
      <c r="D448" s="105" t="s">
        <v>64</v>
      </c>
      <c r="E448" s="106">
        <v>0.79</v>
      </c>
      <c r="F448" s="107">
        <v>0.03</v>
      </c>
      <c r="G448" s="108">
        <v>0.03</v>
      </c>
      <c r="H448" s="109" t="s">
        <v>55</v>
      </c>
      <c r="I448" s="110">
        <v>0.81100000000000005</v>
      </c>
      <c r="J448" s="110">
        <v>0.77700000000000002</v>
      </c>
      <c r="K448" s="119">
        <v>0.81200000000000006</v>
      </c>
      <c r="L448" s="111">
        <f t="shared" si="57"/>
        <v>2.1000000000000019E-2</v>
      </c>
      <c r="M448" s="112">
        <f t="shared" si="57"/>
        <v>-1.3000000000000012E-2</v>
      </c>
      <c r="N448" s="112">
        <f t="shared" si="57"/>
        <v>2.200000000000002E-2</v>
      </c>
      <c r="O448" s="112">
        <f t="shared" si="58"/>
        <v>0.80000000000000016</v>
      </c>
      <c r="P448" s="113">
        <f t="shared" si="59"/>
        <v>0.73333333333333406</v>
      </c>
      <c r="Q448" s="114">
        <f t="shared" si="60"/>
        <v>0.43333333333333374</v>
      </c>
      <c r="R448" s="115" t="str">
        <f t="shared" si="61"/>
        <v>Alert</v>
      </c>
      <c r="S448" s="115" t="str">
        <f t="shared" si="62"/>
        <v xml:space="preserve"> </v>
      </c>
      <c r="T448" s="116" t="str">
        <f t="shared" si="63"/>
        <v>Alert</v>
      </c>
      <c r="U448" s="120"/>
      <c r="V448" s="118"/>
      <c r="W448" s="131"/>
    </row>
    <row r="449" spans="1:23" ht="13.2">
      <c r="A449" s="102" t="s">
        <v>483</v>
      </c>
      <c r="B449" s="103"/>
      <c r="C449" s="104">
        <v>3</v>
      </c>
      <c r="D449" s="105" t="s">
        <v>64</v>
      </c>
      <c r="E449" s="106">
        <v>0.79</v>
      </c>
      <c r="F449" s="107">
        <v>0.03</v>
      </c>
      <c r="G449" s="108">
        <v>0.03</v>
      </c>
      <c r="H449" s="109" t="s">
        <v>55</v>
      </c>
      <c r="I449" s="110">
        <v>0.78400000000000003</v>
      </c>
      <c r="J449" s="110">
        <v>0.80100000000000005</v>
      </c>
      <c r="K449" s="119">
        <v>0.77500000000000002</v>
      </c>
      <c r="L449" s="111">
        <f t="shared" si="57"/>
        <v>-6.0000000000000053E-3</v>
      </c>
      <c r="M449" s="112">
        <f t="shared" si="57"/>
        <v>1.100000000000001E-2</v>
      </c>
      <c r="N449" s="112">
        <f t="shared" si="57"/>
        <v>-1.5000000000000013E-2</v>
      </c>
      <c r="O449" s="112">
        <f t="shared" si="58"/>
        <v>0.78666666666666663</v>
      </c>
      <c r="P449" s="113">
        <f t="shared" si="59"/>
        <v>0.36666666666666703</v>
      </c>
      <c r="Q449" s="114">
        <f t="shared" si="60"/>
        <v>0.50000000000000044</v>
      </c>
      <c r="R449" s="115" t="str">
        <f t="shared" si="61"/>
        <v xml:space="preserve"> </v>
      </c>
      <c r="S449" s="115" t="str">
        <f t="shared" si="62"/>
        <v xml:space="preserve"> </v>
      </c>
      <c r="T449" s="116" t="str">
        <f t="shared" si="63"/>
        <v/>
      </c>
      <c r="U449" s="120"/>
      <c r="V449" s="118"/>
      <c r="W449" s="131"/>
    </row>
    <row r="450" spans="1:23" ht="13.2">
      <c r="A450" s="102" t="s">
        <v>484</v>
      </c>
      <c r="B450" s="102"/>
      <c r="C450" s="104">
        <v>3</v>
      </c>
      <c r="D450" s="105" t="s">
        <v>64</v>
      </c>
      <c r="E450" s="106">
        <v>0.79</v>
      </c>
      <c r="F450" s="107">
        <v>0.03</v>
      </c>
      <c r="G450" s="108">
        <v>0.03</v>
      </c>
      <c r="H450" s="109" t="s">
        <v>55</v>
      </c>
      <c r="I450" s="110">
        <v>0.77500000000000002</v>
      </c>
      <c r="J450" s="110">
        <v>0.80300000000000005</v>
      </c>
      <c r="K450" s="119">
        <v>0.80400000000000005</v>
      </c>
      <c r="L450" s="111">
        <f t="shared" si="57"/>
        <v>-1.5000000000000013E-2</v>
      </c>
      <c r="M450" s="112">
        <f t="shared" si="57"/>
        <v>1.3000000000000012E-2</v>
      </c>
      <c r="N450" s="112">
        <f t="shared" si="57"/>
        <v>1.4000000000000012E-2</v>
      </c>
      <c r="O450" s="112">
        <f t="shared" si="58"/>
        <v>0.79400000000000004</v>
      </c>
      <c r="P450" s="113">
        <f t="shared" si="59"/>
        <v>0.46666666666666712</v>
      </c>
      <c r="Q450" s="114">
        <f t="shared" si="60"/>
        <v>0.50000000000000044</v>
      </c>
      <c r="R450" s="115" t="str">
        <f t="shared" si="61"/>
        <v xml:space="preserve"> </v>
      </c>
      <c r="S450" s="115" t="str">
        <f t="shared" si="62"/>
        <v xml:space="preserve"> </v>
      </c>
      <c r="T450" s="116" t="str">
        <f t="shared" si="63"/>
        <v/>
      </c>
      <c r="U450" s="120"/>
      <c r="V450" s="118"/>
      <c r="W450" s="131"/>
    </row>
    <row r="451" spans="1:23" ht="13.2">
      <c r="A451" s="102" t="s">
        <v>485</v>
      </c>
      <c r="B451" s="102"/>
      <c r="C451" s="104">
        <v>3</v>
      </c>
      <c r="D451" s="105" t="s">
        <v>64</v>
      </c>
      <c r="E451" s="106">
        <v>0.79</v>
      </c>
      <c r="F451" s="107">
        <v>0.03</v>
      </c>
      <c r="G451" s="108">
        <v>0.03</v>
      </c>
      <c r="H451" s="109" t="s">
        <v>55</v>
      </c>
      <c r="I451" s="110">
        <v>0.80300000000000005</v>
      </c>
      <c r="J451" s="110">
        <v>0.79700000000000004</v>
      </c>
      <c r="K451" s="119">
        <v>0.79500000000000004</v>
      </c>
      <c r="L451" s="111">
        <f t="shared" si="57"/>
        <v>1.3000000000000012E-2</v>
      </c>
      <c r="M451" s="112">
        <f t="shared" si="57"/>
        <v>7.0000000000000062E-3</v>
      </c>
      <c r="N451" s="112">
        <f t="shared" si="57"/>
        <v>5.0000000000000044E-3</v>
      </c>
      <c r="O451" s="112">
        <f t="shared" si="58"/>
        <v>0.79833333333333334</v>
      </c>
      <c r="P451" s="113">
        <f t="shared" si="59"/>
        <v>0.43333333333333374</v>
      </c>
      <c r="Q451" s="114">
        <f t="shared" si="60"/>
        <v>0</v>
      </c>
      <c r="R451" s="115" t="str">
        <f t="shared" si="61"/>
        <v xml:space="preserve"> </v>
      </c>
      <c r="S451" s="115" t="str">
        <f t="shared" si="62"/>
        <v xml:space="preserve"> </v>
      </c>
      <c r="T451" s="116" t="str">
        <f t="shared" si="63"/>
        <v/>
      </c>
      <c r="U451" s="120"/>
      <c r="V451" s="118"/>
      <c r="W451" s="131"/>
    </row>
    <row r="452" spans="1:23" ht="13.2">
      <c r="A452" s="102" t="s">
        <v>486</v>
      </c>
      <c r="B452" s="102"/>
      <c r="C452" s="104">
        <v>3</v>
      </c>
      <c r="D452" s="105" t="s">
        <v>64</v>
      </c>
      <c r="E452" s="106">
        <v>0.79</v>
      </c>
      <c r="F452" s="107">
        <v>0.03</v>
      </c>
      <c r="G452" s="108">
        <v>0.03</v>
      </c>
      <c r="H452" s="109" t="s">
        <v>55</v>
      </c>
      <c r="I452" s="110">
        <v>0.80300000000000005</v>
      </c>
      <c r="J452" s="110">
        <v>0.80400000000000005</v>
      </c>
      <c r="K452" s="119">
        <v>0.80300000000000005</v>
      </c>
      <c r="L452" s="111">
        <f t="shared" si="57"/>
        <v>1.3000000000000012E-2</v>
      </c>
      <c r="M452" s="112">
        <f t="shared" si="57"/>
        <v>1.4000000000000012E-2</v>
      </c>
      <c r="N452" s="112">
        <f t="shared" si="57"/>
        <v>1.3000000000000012E-2</v>
      </c>
      <c r="O452" s="112">
        <f t="shared" si="58"/>
        <v>0.80333333333333334</v>
      </c>
      <c r="P452" s="113">
        <f t="shared" si="59"/>
        <v>0.46666666666666712</v>
      </c>
      <c r="Q452" s="114">
        <f t="shared" si="60"/>
        <v>0</v>
      </c>
      <c r="R452" s="115" t="str">
        <f t="shared" si="61"/>
        <v xml:space="preserve"> </v>
      </c>
      <c r="S452" s="115" t="str">
        <f t="shared" si="62"/>
        <v xml:space="preserve"> </v>
      </c>
      <c r="T452" s="116" t="str">
        <f t="shared" si="63"/>
        <v/>
      </c>
      <c r="U452" s="120"/>
      <c r="V452" s="118"/>
      <c r="W452" s="131"/>
    </row>
    <row r="453" spans="1:23" ht="13.2">
      <c r="A453" s="102" t="s">
        <v>487</v>
      </c>
      <c r="B453" s="102"/>
      <c r="C453" s="104">
        <v>3</v>
      </c>
      <c r="D453" s="105" t="s">
        <v>64</v>
      </c>
      <c r="E453" s="106">
        <v>0.79</v>
      </c>
      <c r="F453" s="107">
        <v>0.03</v>
      </c>
      <c r="G453" s="108">
        <v>0.03</v>
      </c>
      <c r="H453" s="109" t="s">
        <v>55</v>
      </c>
      <c r="I453" s="110">
        <v>0.78</v>
      </c>
      <c r="J453" s="110">
        <v>0.79200000000000004</v>
      </c>
      <c r="K453" s="119">
        <v>0.78100000000000003</v>
      </c>
      <c r="L453" s="111">
        <f t="shared" si="57"/>
        <v>-1.0000000000000009E-2</v>
      </c>
      <c r="M453" s="112">
        <f t="shared" si="57"/>
        <v>2.0000000000000018E-3</v>
      </c>
      <c r="N453" s="112">
        <f t="shared" si="57"/>
        <v>-9.000000000000008E-3</v>
      </c>
      <c r="O453" s="112">
        <f t="shared" si="58"/>
        <v>0.78433333333333344</v>
      </c>
      <c r="P453" s="113">
        <f t="shared" si="59"/>
        <v>6.6666666666666735E-2</v>
      </c>
      <c r="Q453" s="114">
        <f t="shared" si="60"/>
        <v>0.33333333333333365</v>
      </c>
      <c r="R453" s="115" t="str">
        <f t="shared" si="61"/>
        <v xml:space="preserve"> </v>
      </c>
      <c r="S453" s="115" t="str">
        <f t="shared" si="62"/>
        <v xml:space="preserve"> </v>
      </c>
      <c r="T453" s="116" t="str">
        <f t="shared" si="63"/>
        <v/>
      </c>
      <c r="U453" s="120"/>
      <c r="V453" s="118"/>
      <c r="W453" s="131"/>
    </row>
    <row r="454" spans="1:23" ht="13.2">
      <c r="A454" s="102" t="s">
        <v>488</v>
      </c>
      <c r="B454" s="102"/>
      <c r="C454" s="104">
        <v>3</v>
      </c>
      <c r="D454" s="105" t="s">
        <v>64</v>
      </c>
      <c r="E454" s="106">
        <v>0.79</v>
      </c>
      <c r="F454" s="107">
        <v>0.03</v>
      </c>
      <c r="G454" s="108">
        <v>0.03</v>
      </c>
      <c r="H454" s="109" t="s">
        <v>55</v>
      </c>
      <c r="I454" s="110">
        <v>0.79700000000000004</v>
      </c>
      <c r="J454" s="110">
        <v>0.79</v>
      </c>
      <c r="K454" s="119">
        <v>0.79800000000000004</v>
      </c>
      <c r="L454" s="111">
        <f t="shared" si="57"/>
        <v>7.0000000000000062E-3</v>
      </c>
      <c r="M454" s="112">
        <f t="shared" si="57"/>
        <v>0</v>
      </c>
      <c r="N454" s="112">
        <f t="shared" si="57"/>
        <v>8.0000000000000071E-3</v>
      </c>
      <c r="O454" s="112">
        <f t="shared" si="58"/>
        <v>0.79500000000000004</v>
      </c>
      <c r="P454" s="113">
        <f t="shared" si="59"/>
        <v>0.26666666666666694</v>
      </c>
      <c r="Q454" s="114">
        <f t="shared" si="60"/>
        <v>0</v>
      </c>
      <c r="R454" s="115" t="str">
        <f t="shared" si="61"/>
        <v xml:space="preserve"> </v>
      </c>
      <c r="S454" s="115" t="str">
        <f t="shared" si="62"/>
        <v xml:space="preserve"> </v>
      </c>
      <c r="T454" s="116" t="str">
        <f t="shared" si="63"/>
        <v/>
      </c>
      <c r="U454" s="120"/>
      <c r="V454" s="118"/>
      <c r="W454" s="131"/>
    </row>
    <row r="455" spans="1:23" ht="13.2">
      <c r="A455" s="102" t="s">
        <v>489</v>
      </c>
      <c r="B455" s="102"/>
      <c r="C455" s="104">
        <v>3</v>
      </c>
      <c r="D455" s="105" t="s">
        <v>64</v>
      </c>
      <c r="E455" s="106">
        <v>0.79</v>
      </c>
      <c r="F455" s="107">
        <v>0.03</v>
      </c>
      <c r="G455" s="108">
        <v>0.03</v>
      </c>
      <c r="H455" s="109" t="s">
        <v>55</v>
      </c>
      <c r="I455" s="110">
        <v>0.78900000000000003</v>
      </c>
      <c r="J455" s="110">
        <v>0.79400000000000004</v>
      </c>
      <c r="K455" s="119">
        <v>0.79</v>
      </c>
      <c r="L455" s="111">
        <f t="shared" si="57"/>
        <v>-1.0000000000000009E-3</v>
      </c>
      <c r="M455" s="112">
        <f t="shared" si="57"/>
        <v>4.0000000000000036E-3</v>
      </c>
      <c r="N455" s="112">
        <f t="shared" si="57"/>
        <v>0</v>
      </c>
      <c r="O455" s="112">
        <f t="shared" si="58"/>
        <v>0.79100000000000004</v>
      </c>
      <c r="P455" s="113">
        <f t="shared" si="59"/>
        <v>0.13333333333333347</v>
      </c>
      <c r="Q455" s="114">
        <f t="shared" si="60"/>
        <v>3.3333333333333368E-2</v>
      </c>
      <c r="R455" s="115" t="str">
        <f t="shared" si="61"/>
        <v xml:space="preserve"> </v>
      </c>
      <c r="S455" s="115" t="str">
        <f t="shared" si="62"/>
        <v xml:space="preserve"> </v>
      </c>
      <c r="T455" s="116" t="str">
        <f t="shared" si="63"/>
        <v/>
      </c>
      <c r="U455" s="120"/>
      <c r="V455" s="118"/>
      <c r="W455" s="131"/>
    </row>
    <row r="456" spans="1:23" ht="13.2">
      <c r="A456" s="102" t="s">
        <v>490</v>
      </c>
      <c r="B456" s="102"/>
      <c r="C456" s="104">
        <v>3</v>
      </c>
      <c r="D456" s="105" t="s">
        <v>64</v>
      </c>
      <c r="E456" s="106">
        <v>0.79</v>
      </c>
      <c r="F456" s="107">
        <v>0.03</v>
      </c>
      <c r="G456" s="108">
        <v>0.03</v>
      </c>
      <c r="H456" s="109" t="s">
        <v>55</v>
      </c>
      <c r="I456" s="110">
        <v>0.79300000000000004</v>
      </c>
      <c r="J456" s="110">
        <v>0.80500000000000005</v>
      </c>
      <c r="K456" s="119">
        <v>0.78900000000000003</v>
      </c>
      <c r="L456" s="111">
        <f t="shared" si="57"/>
        <v>3.0000000000000027E-3</v>
      </c>
      <c r="M456" s="112">
        <f t="shared" si="57"/>
        <v>1.5000000000000013E-2</v>
      </c>
      <c r="N456" s="112">
        <f t="shared" si="57"/>
        <v>-1.0000000000000009E-3</v>
      </c>
      <c r="O456" s="112">
        <f t="shared" si="58"/>
        <v>0.79566666666666663</v>
      </c>
      <c r="P456" s="113">
        <f t="shared" si="59"/>
        <v>0.50000000000000044</v>
      </c>
      <c r="Q456" s="114">
        <f t="shared" si="60"/>
        <v>3.3333333333333368E-2</v>
      </c>
      <c r="R456" s="115" t="str">
        <f t="shared" si="61"/>
        <v xml:space="preserve"> </v>
      </c>
      <c r="S456" s="115" t="str">
        <f t="shared" si="62"/>
        <v xml:space="preserve"> </v>
      </c>
      <c r="T456" s="116" t="str">
        <f t="shared" si="63"/>
        <v/>
      </c>
      <c r="U456" s="120"/>
      <c r="V456" s="118"/>
      <c r="W456" s="131"/>
    </row>
    <row r="457" spans="1:23" ht="13.2">
      <c r="A457" s="102" t="s">
        <v>491</v>
      </c>
      <c r="B457" s="102"/>
      <c r="C457" s="104">
        <v>3</v>
      </c>
      <c r="D457" s="105" t="s">
        <v>64</v>
      </c>
      <c r="E457" s="106">
        <v>0.79</v>
      </c>
      <c r="F457" s="107">
        <v>0.03</v>
      </c>
      <c r="G457" s="108">
        <v>0.03</v>
      </c>
      <c r="H457" s="109" t="s">
        <v>55</v>
      </c>
      <c r="I457" s="110">
        <v>0.80600000000000005</v>
      </c>
      <c r="J457" s="110">
        <v>0.78300000000000003</v>
      </c>
      <c r="K457" s="119">
        <v>0.81</v>
      </c>
      <c r="L457" s="111">
        <f t="shared" si="57"/>
        <v>1.6000000000000014E-2</v>
      </c>
      <c r="M457" s="112">
        <f t="shared" si="57"/>
        <v>-7.0000000000000062E-3</v>
      </c>
      <c r="N457" s="112">
        <f t="shared" si="57"/>
        <v>2.0000000000000018E-2</v>
      </c>
      <c r="O457" s="112">
        <f t="shared" si="58"/>
        <v>0.79966666666666664</v>
      </c>
      <c r="P457" s="113">
        <f t="shared" si="59"/>
        <v>0.6666666666666673</v>
      </c>
      <c r="Q457" s="114">
        <f t="shared" si="60"/>
        <v>0.23333333333333356</v>
      </c>
      <c r="R457" s="115" t="str">
        <f t="shared" si="61"/>
        <v>Alert</v>
      </c>
      <c r="S457" s="115" t="str">
        <f t="shared" si="62"/>
        <v xml:space="preserve"> </v>
      </c>
      <c r="T457" s="116" t="str">
        <f t="shared" si="63"/>
        <v>Alert</v>
      </c>
      <c r="U457" s="120"/>
      <c r="V457" s="118"/>
      <c r="W457" s="131"/>
    </row>
    <row r="458" spans="1:23" ht="13.2">
      <c r="A458" s="102" t="s">
        <v>492</v>
      </c>
      <c r="B458" s="102"/>
      <c r="C458" s="104">
        <v>3</v>
      </c>
      <c r="D458" s="105" t="s">
        <v>64</v>
      </c>
      <c r="E458" s="106">
        <v>0.79</v>
      </c>
      <c r="F458" s="107">
        <v>0.03</v>
      </c>
      <c r="G458" s="108">
        <v>0.03</v>
      </c>
      <c r="H458" s="109" t="s">
        <v>55</v>
      </c>
      <c r="I458" s="110">
        <v>0.78900000000000003</v>
      </c>
      <c r="J458" s="110">
        <v>0.79600000000000004</v>
      </c>
      <c r="K458" s="119">
        <v>0.79400000000000004</v>
      </c>
      <c r="L458" s="111">
        <f t="shared" si="57"/>
        <v>-1.0000000000000009E-3</v>
      </c>
      <c r="M458" s="112">
        <f t="shared" si="57"/>
        <v>6.0000000000000053E-3</v>
      </c>
      <c r="N458" s="112">
        <f t="shared" si="57"/>
        <v>4.0000000000000036E-3</v>
      </c>
      <c r="O458" s="112">
        <f t="shared" si="58"/>
        <v>0.79300000000000004</v>
      </c>
      <c r="P458" s="113">
        <f t="shared" si="59"/>
        <v>0.20000000000000018</v>
      </c>
      <c r="Q458" s="114">
        <f t="shared" si="60"/>
        <v>3.3333333333333368E-2</v>
      </c>
      <c r="R458" s="115" t="str">
        <f t="shared" si="61"/>
        <v xml:space="preserve"> </v>
      </c>
      <c r="S458" s="115" t="str">
        <f t="shared" si="62"/>
        <v xml:space="preserve"> </v>
      </c>
      <c r="T458" s="116" t="str">
        <f t="shared" si="63"/>
        <v/>
      </c>
      <c r="U458" s="120"/>
      <c r="V458" s="118"/>
      <c r="W458" s="131"/>
    </row>
    <row r="459" spans="1:23" ht="13.2">
      <c r="A459" s="102" t="s">
        <v>493</v>
      </c>
      <c r="B459" s="102"/>
      <c r="C459" s="104">
        <v>3</v>
      </c>
      <c r="D459" s="105" t="s">
        <v>64</v>
      </c>
      <c r="E459" s="106">
        <v>0.79</v>
      </c>
      <c r="F459" s="107">
        <v>0.03</v>
      </c>
      <c r="G459" s="108">
        <v>0.03</v>
      </c>
      <c r="H459" s="109" t="s">
        <v>55</v>
      </c>
      <c r="I459" s="110">
        <v>0.78700000000000003</v>
      </c>
      <c r="J459" s="110">
        <v>0.79200000000000004</v>
      </c>
      <c r="K459" s="119">
        <v>0.79700000000000004</v>
      </c>
      <c r="L459" s="111">
        <f t="shared" si="57"/>
        <v>-3.0000000000000027E-3</v>
      </c>
      <c r="M459" s="112">
        <f t="shared" si="57"/>
        <v>2.0000000000000018E-3</v>
      </c>
      <c r="N459" s="112">
        <f t="shared" si="57"/>
        <v>7.0000000000000062E-3</v>
      </c>
      <c r="O459" s="112">
        <f t="shared" si="58"/>
        <v>0.79200000000000015</v>
      </c>
      <c r="P459" s="113">
        <f t="shared" si="59"/>
        <v>0.23333333333333356</v>
      </c>
      <c r="Q459" s="114">
        <f t="shared" si="60"/>
        <v>0.10000000000000009</v>
      </c>
      <c r="R459" s="115" t="str">
        <f t="shared" si="61"/>
        <v xml:space="preserve"> </v>
      </c>
      <c r="S459" s="115" t="str">
        <f t="shared" si="62"/>
        <v xml:space="preserve"> </v>
      </c>
      <c r="T459" s="116" t="str">
        <f t="shared" si="63"/>
        <v/>
      </c>
      <c r="U459" s="120"/>
      <c r="V459" s="118"/>
      <c r="W459" s="131"/>
    </row>
    <row r="460" spans="1:23" ht="13.2">
      <c r="A460" s="102" t="s">
        <v>494</v>
      </c>
      <c r="B460" s="102"/>
      <c r="C460" s="104">
        <v>3</v>
      </c>
      <c r="D460" s="105" t="s">
        <v>64</v>
      </c>
      <c r="E460" s="106">
        <v>0.79</v>
      </c>
      <c r="F460" s="107">
        <v>0.03</v>
      </c>
      <c r="G460" s="108">
        <v>0.03</v>
      </c>
      <c r="H460" s="109" t="s">
        <v>55</v>
      </c>
      <c r="I460" s="110">
        <v>0.78900000000000003</v>
      </c>
      <c r="J460" s="110">
        <v>0.79500000000000004</v>
      </c>
      <c r="K460" s="119">
        <v>0.79600000000000004</v>
      </c>
      <c r="L460" s="111">
        <f t="shared" si="57"/>
        <v>-1.0000000000000009E-3</v>
      </c>
      <c r="M460" s="112">
        <f t="shared" si="57"/>
        <v>5.0000000000000044E-3</v>
      </c>
      <c r="N460" s="112">
        <f t="shared" si="57"/>
        <v>6.0000000000000053E-3</v>
      </c>
      <c r="O460" s="112">
        <f t="shared" si="58"/>
        <v>0.79333333333333333</v>
      </c>
      <c r="P460" s="113">
        <f t="shared" si="59"/>
        <v>0.20000000000000018</v>
      </c>
      <c r="Q460" s="114">
        <f t="shared" si="60"/>
        <v>3.3333333333333368E-2</v>
      </c>
      <c r="R460" s="115" t="str">
        <f t="shared" si="61"/>
        <v xml:space="preserve"> </v>
      </c>
      <c r="S460" s="115" t="str">
        <f t="shared" si="62"/>
        <v xml:space="preserve"> </v>
      </c>
      <c r="T460" s="116" t="str">
        <f t="shared" si="63"/>
        <v/>
      </c>
      <c r="U460" s="120"/>
      <c r="V460" s="118"/>
      <c r="W460" s="131"/>
    </row>
    <row r="461" spans="1:23" ht="13.2">
      <c r="A461" s="102" t="s">
        <v>495</v>
      </c>
      <c r="B461" s="102"/>
      <c r="C461" s="104">
        <v>3</v>
      </c>
      <c r="D461" s="105" t="s">
        <v>64</v>
      </c>
      <c r="E461" s="106">
        <v>0.79</v>
      </c>
      <c r="F461" s="107">
        <v>0.03</v>
      </c>
      <c r="G461" s="108">
        <v>0.03</v>
      </c>
      <c r="H461" s="109" t="s">
        <v>55</v>
      </c>
      <c r="I461" s="110">
        <v>0.79300000000000004</v>
      </c>
      <c r="J461" s="110">
        <v>0.79800000000000004</v>
      </c>
      <c r="K461" s="119">
        <v>0.79700000000000004</v>
      </c>
      <c r="L461" s="111">
        <f t="shared" si="57"/>
        <v>3.0000000000000027E-3</v>
      </c>
      <c r="M461" s="112">
        <f t="shared" si="57"/>
        <v>8.0000000000000071E-3</v>
      </c>
      <c r="N461" s="112">
        <f t="shared" si="57"/>
        <v>7.0000000000000062E-3</v>
      </c>
      <c r="O461" s="112">
        <f t="shared" si="58"/>
        <v>0.79600000000000015</v>
      </c>
      <c r="P461" s="113">
        <f t="shared" si="59"/>
        <v>0.26666666666666694</v>
      </c>
      <c r="Q461" s="114">
        <f t="shared" si="60"/>
        <v>0</v>
      </c>
      <c r="R461" s="115" t="str">
        <f t="shared" si="61"/>
        <v xml:space="preserve"> </v>
      </c>
      <c r="S461" s="115" t="str">
        <f t="shared" si="62"/>
        <v xml:space="preserve"> </v>
      </c>
      <c r="T461" s="116" t="str">
        <f t="shared" si="63"/>
        <v/>
      </c>
      <c r="U461" s="120"/>
      <c r="V461" s="118"/>
      <c r="W461" s="131"/>
    </row>
    <row r="462" spans="1:23" ht="13.2">
      <c r="A462" s="102" t="s">
        <v>496</v>
      </c>
      <c r="B462" s="103"/>
      <c r="C462" s="104">
        <v>3</v>
      </c>
      <c r="D462" s="105" t="s">
        <v>64</v>
      </c>
      <c r="E462" s="106">
        <v>0.79</v>
      </c>
      <c r="F462" s="107">
        <v>0.03</v>
      </c>
      <c r="G462" s="108">
        <v>0.03</v>
      </c>
      <c r="H462" s="109" t="s">
        <v>55</v>
      </c>
      <c r="I462" s="110">
        <v>0.79200000000000004</v>
      </c>
      <c r="J462" s="110">
        <v>0.79200000000000004</v>
      </c>
      <c r="K462" s="119">
        <v>0.79800000000000004</v>
      </c>
      <c r="L462" s="111">
        <f t="shared" si="57"/>
        <v>2.0000000000000018E-3</v>
      </c>
      <c r="M462" s="112">
        <f t="shared" si="57"/>
        <v>2.0000000000000018E-3</v>
      </c>
      <c r="N462" s="112">
        <f t="shared" si="57"/>
        <v>8.0000000000000071E-3</v>
      </c>
      <c r="O462" s="112">
        <f t="shared" si="58"/>
        <v>0.79400000000000004</v>
      </c>
      <c r="P462" s="113">
        <f t="shared" si="59"/>
        <v>0.26666666666666694</v>
      </c>
      <c r="Q462" s="114">
        <f t="shared" si="60"/>
        <v>0</v>
      </c>
      <c r="R462" s="115" t="str">
        <f t="shared" si="61"/>
        <v xml:space="preserve"> </v>
      </c>
      <c r="S462" s="115" t="str">
        <f t="shared" si="62"/>
        <v xml:space="preserve"> </v>
      </c>
      <c r="T462" s="116" t="str">
        <f t="shared" si="63"/>
        <v/>
      </c>
      <c r="U462" s="120"/>
      <c r="V462" s="118"/>
      <c r="W462" s="131"/>
    </row>
    <row r="463" spans="1:23" ht="13.2">
      <c r="A463" s="102" t="s">
        <v>497</v>
      </c>
      <c r="B463" s="103"/>
      <c r="C463" s="104">
        <v>3</v>
      </c>
      <c r="D463" s="105" t="s">
        <v>64</v>
      </c>
      <c r="E463" s="106">
        <v>0.79</v>
      </c>
      <c r="F463" s="107">
        <v>0.03</v>
      </c>
      <c r="G463" s="108">
        <v>0.03</v>
      </c>
      <c r="H463" s="109" t="s">
        <v>55</v>
      </c>
      <c r="I463" s="110">
        <v>0.81100000000000005</v>
      </c>
      <c r="J463" s="110">
        <v>0.78800000000000003</v>
      </c>
      <c r="K463" s="119">
        <v>0.77900000000000003</v>
      </c>
      <c r="L463" s="111">
        <f t="shared" si="57"/>
        <v>2.1000000000000019E-2</v>
      </c>
      <c r="M463" s="112">
        <f t="shared" si="57"/>
        <v>-2.0000000000000018E-3</v>
      </c>
      <c r="N463" s="112">
        <f t="shared" si="57"/>
        <v>-1.100000000000001E-2</v>
      </c>
      <c r="O463" s="112">
        <f t="shared" si="58"/>
        <v>0.79266666666666674</v>
      </c>
      <c r="P463" s="113">
        <f t="shared" si="59"/>
        <v>0.70000000000000062</v>
      </c>
      <c r="Q463" s="114">
        <f t="shared" si="60"/>
        <v>0.36666666666666703</v>
      </c>
      <c r="R463" s="115" t="str">
        <f t="shared" si="61"/>
        <v>Alert</v>
      </c>
      <c r="S463" s="115" t="str">
        <f t="shared" si="62"/>
        <v xml:space="preserve"> </v>
      </c>
      <c r="T463" s="116" t="str">
        <f t="shared" si="63"/>
        <v>Alert</v>
      </c>
      <c r="U463" s="120"/>
      <c r="V463" s="118"/>
      <c r="W463" s="131"/>
    </row>
    <row r="464" spans="1:23" ht="13.2">
      <c r="A464" s="102" t="s">
        <v>498</v>
      </c>
      <c r="B464" s="103"/>
      <c r="C464" s="104">
        <v>3</v>
      </c>
      <c r="D464" s="105" t="s">
        <v>64</v>
      </c>
      <c r="E464" s="106">
        <v>0.79</v>
      </c>
      <c r="F464" s="107">
        <v>0.03</v>
      </c>
      <c r="G464" s="108">
        <v>0.03</v>
      </c>
      <c r="H464" s="109" t="s">
        <v>55</v>
      </c>
      <c r="I464" s="110">
        <v>0.76600000000000001</v>
      </c>
      <c r="J464" s="110">
        <v>0.79</v>
      </c>
      <c r="K464" s="119">
        <v>0.79800000000000004</v>
      </c>
      <c r="L464" s="111">
        <f t="shared" si="57"/>
        <v>-2.4000000000000021E-2</v>
      </c>
      <c r="M464" s="112">
        <f t="shared" si="57"/>
        <v>0</v>
      </c>
      <c r="N464" s="112">
        <f t="shared" si="57"/>
        <v>8.0000000000000071E-3</v>
      </c>
      <c r="O464" s="112">
        <f t="shared" si="58"/>
        <v>0.78466666666666673</v>
      </c>
      <c r="P464" s="113">
        <f t="shared" si="59"/>
        <v>0.26666666666666694</v>
      </c>
      <c r="Q464" s="114">
        <f t="shared" si="60"/>
        <v>0.80000000000000071</v>
      </c>
      <c r="R464" s="115" t="str">
        <f t="shared" si="61"/>
        <v xml:space="preserve"> </v>
      </c>
      <c r="S464" s="115" t="str">
        <f t="shared" si="62"/>
        <v>Alert</v>
      </c>
      <c r="T464" s="116" t="str">
        <f t="shared" si="63"/>
        <v>Alert</v>
      </c>
      <c r="U464" s="120"/>
      <c r="V464" s="118"/>
      <c r="W464" s="131"/>
    </row>
    <row r="465" spans="1:23" ht="13.2">
      <c r="A465" s="102" t="s">
        <v>499</v>
      </c>
      <c r="B465" s="102"/>
      <c r="C465" s="104">
        <v>3</v>
      </c>
      <c r="D465" s="105" t="s">
        <v>64</v>
      </c>
      <c r="E465" s="106">
        <v>0.79</v>
      </c>
      <c r="F465" s="107">
        <v>0.03</v>
      </c>
      <c r="G465" s="108">
        <v>0.03</v>
      </c>
      <c r="H465" s="109" t="s">
        <v>55</v>
      </c>
      <c r="I465" s="110">
        <v>0.80500000000000005</v>
      </c>
      <c r="J465" s="110">
        <v>0.80600000000000005</v>
      </c>
      <c r="K465" s="119">
        <v>0.80300000000000005</v>
      </c>
      <c r="L465" s="111">
        <f t="shared" si="57"/>
        <v>1.5000000000000013E-2</v>
      </c>
      <c r="M465" s="112">
        <f t="shared" si="57"/>
        <v>1.6000000000000014E-2</v>
      </c>
      <c r="N465" s="112">
        <f t="shared" si="57"/>
        <v>1.3000000000000012E-2</v>
      </c>
      <c r="O465" s="112">
        <f t="shared" si="58"/>
        <v>0.80466666666666675</v>
      </c>
      <c r="P465" s="113">
        <f t="shared" si="59"/>
        <v>0.53333333333333388</v>
      </c>
      <c r="Q465" s="114">
        <f t="shared" si="60"/>
        <v>0</v>
      </c>
      <c r="R465" s="115" t="str">
        <f t="shared" si="61"/>
        <v xml:space="preserve"> </v>
      </c>
      <c r="S465" s="115" t="str">
        <f t="shared" si="62"/>
        <v xml:space="preserve"> </v>
      </c>
      <c r="T465" s="116" t="str">
        <f t="shared" si="63"/>
        <v/>
      </c>
      <c r="U465" s="120"/>
      <c r="V465" s="118"/>
      <c r="W465" s="131"/>
    </row>
    <row r="466" spans="1:23" ht="13.2">
      <c r="A466" s="102" t="s">
        <v>500</v>
      </c>
      <c r="B466" s="102"/>
      <c r="C466" s="104">
        <v>3</v>
      </c>
      <c r="D466" s="105" t="s">
        <v>64</v>
      </c>
      <c r="E466" s="106">
        <v>0.79</v>
      </c>
      <c r="F466" s="107">
        <v>0.03</v>
      </c>
      <c r="G466" s="108">
        <v>0.03</v>
      </c>
      <c r="H466" s="109" t="s">
        <v>55</v>
      </c>
      <c r="I466" s="110">
        <v>0.8</v>
      </c>
      <c r="J466" s="110">
        <v>0.79900000000000004</v>
      </c>
      <c r="K466" s="119">
        <v>0.77900000000000003</v>
      </c>
      <c r="L466" s="111">
        <f t="shared" si="57"/>
        <v>1.0000000000000009E-2</v>
      </c>
      <c r="M466" s="112">
        <f t="shared" si="57"/>
        <v>9.000000000000008E-3</v>
      </c>
      <c r="N466" s="112">
        <f t="shared" si="57"/>
        <v>-1.100000000000001E-2</v>
      </c>
      <c r="O466" s="112">
        <f t="shared" si="58"/>
        <v>0.79266666666666674</v>
      </c>
      <c r="P466" s="113">
        <f t="shared" si="59"/>
        <v>0.33333333333333365</v>
      </c>
      <c r="Q466" s="114">
        <f t="shared" si="60"/>
        <v>0.36666666666666703</v>
      </c>
      <c r="R466" s="115" t="str">
        <f t="shared" si="61"/>
        <v xml:space="preserve"> </v>
      </c>
      <c r="S466" s="115" t="str">
        <f t="shared" si="62"/>
        <v xml:space="preserve"> </v>
      </c>
      <c r="T466" s="116" t="str">
        <f t="shared" si="63"/>
        <v/>
      </c>
      <c r="U466" s="120"/>
      <c r="V466" s="118"/>
      <c r="W466" s="131"/>
    </row>
    <row r="467" spans="1:23" ht="13.2">
      <c r="A467" s="102" t="s">
        <v>501</v>
      </c>
      <c r="B467" s="102"/>
      <c r="C467" s="104">
        <v>3</v>
      </c>
      <c r="D467" s="105" t="s">
        <v>64</v>
      </c>
      <c r="E467" s="106">
        <v>0.79</v>
      </c>
      <c r="F467" s="107">
        <v>0.03</v>
      </c>
      <c r="G467" s="108">
        <v>0.03</v>
      </c>
      <c r="H467" s="109" t="s">
        <v>55</v>
      </c>
      <c r="I467" s="110">
        <v>0.80900000000000005</v>
      </c>
      <c r="J467" s="110">
        <v>0.79400000000000004</v>
      </c>
      <c r="K467" s="119">
        <v>0.80800000000000005</v>
      </c>
      <c r="L467" s="111">
        <f t="shared" si="57"/>
        <v>1.9000000000000017E-2</v>
      </c>
      <c r="M467" s="112">
        <f t="shared" si="57"/>
        <v>4.0000000000000036E-3</v>
      </c>
      <c r="N467" s="112">
        <f t="shared" si="57"/>
        <v>1.8000000000000016E-2</v>
      </c>
      <c r="O467" s="112">
        <f t="shared" si="58"/>
        <v>0.80366666666666686</v>
      </c>
      <c r="P467" s="113">
        <f t="shared" si="59"/>
        <v>0.63333333333333397</v>
      </c>
      <c r="Q467" s="114">
        <f t="shared" si="60"/>
        <v>0</v>
      </c>
      <c r="R467" s="115" t="str">
        <f t="shared" si="61"/>
        <v xml:space="preserve"> </v>
      </c>
      <c r="S467" s="115" t="str">
        <f t="shared" si="62"/>
        <v xml:space="preserve"> </v>
      </c>
      <c r="T467" s="116" t="str">
        <f t="shared" si="63"/>
        <v/>
      </c>
      <c r="U467" s="120"/>
      <c r="V467" s="118"/>
      <c r="W467" s="131"/>
    </row>
    <row r="468" spans="1:23" ht="13.2">
      <c r="A468" s="102" t="s">
        <v>502</v>
      </c>
      <c r="B468" s="102"/>
      <c r="C468" s="104">
        <v>3</v>
      </c>
      <c r="D468" s="105" t="s">
        <v>64</v>
      </c>
      <c r="E468" s="106">
        <v>0.79</v>
      </c>
      <c r="F468" s="107">
        <v>0.03</v>
      </c>
      <c r="G468" s="108">
        <v>0.03</v>
      </c>
      <c r="H468" s="109" t="s">
        <v>55</v>
      </c>
      <c r="I468" s="110">
        <v>0.77100000000000002</v>
      </c>
      <c r="J468" s="110">
        <v>0.78100000000000003</v>
      </c>
      <c r="K468" s="119">
        <v>0.78600000000000003</v>
      </c>
      <c r="L468" s="111">
        <f t="shared" si="57"/>
        <v>-1.9000000000000017E-2</v>
      </c>
      <c r="M468" s="112">
        <f t="shared" si="57"/>
        <v>-9.000000000000008E-3</v>
      </c>
      <c r="N468" s="112">
        <f t="shared" si="57"/>
        <v>-4.0000000000000036E-3</v>
      </c>
      <c r="O468" s="112">
        <f t="shared" si="58"/>
        <v>0.77933333333333332</v>
      </c>
      <c r="P468" s="113">
        <f t="shared" si="59"/>
        <v>0</v>
      </c>
      <c r="Q468" s="114">
        <f t="shared" si="60"/>
        <v>0.63333333333333397</v>
      </c>
      <c r="R468" s="115" t="str">
        <f t="shared" si="61"/>
        <v xml:space="preserve"> </v>
      </c>
      <c r="S468" s="115" t="str">
        <f t="shared" si="62"/>
        <v xml:space="preserve"> </v>
      </c>
      <c r="T468" s="116" t="str">
        <f t="shared" si="63"/>
        <v/>
      </c>
      <c r="U468" s="120"/>
      <c r="V468" s="118"/>
      <c r="W468" s="131"/>
    </row>
    <row r="469" spans="1:23" ht="13.2">
      <c r="A469" s="102" t="s">
        <v>503</v>
      </c>
      <c r="B469" s="102"/>
      <c r="C469" s="104">
        <v>3</v>
      </c>
      <c r="D469" s="105" t="s">
        <v>64</v>
      </c>
      <c r="E469" s="106">
        <v>0.79</v>
      </c>
      <c r="F469" s="107">
        <v>0.03</v>
      </c>
      <c r="G469" s="108">
        <v>0.03</v>
      </c>
      <c r="H469" s="109" t="s">
        <v>55</v>
      </c>
      <c r="I469" s="110">
        <v>0.78500000000000003</v>
      </c>
      <c r="J469" s="110">
        <v>0.79600000000000004</v>
      </c>
      <c r="K469" s="119">
        <v>0.80200000000000005</v>
      </c>
      <c r="L469" s="111">
        <f t="shared" si="57"/>
        <v>-5.0000000000000044E-3</v>
      </c>
      <c r="M469" s="112">
        <f t="shared" si="57"/>
        <v>6.0000000000000053E-3</v>
      </c>
      <c r="N469" s="112">
        <f t="shared" si="57"/>
        <v>1.2000000000000011E-2</v>
      </c>
      <c r="O469" s="112">
        <f t="shared" si="58"/>
        <v>0.79433333333333334</v>
      </c>
      <c r="P469" s="113">
        <f t="shared" si="59"/>
        <v>0.40000000000000036</v>
      </c>
      <c r="Q469" s="114">
        <f t="shared" si="60"/>
        <v>0.16666666666666682</v>
      </c>
      <c r="R469" s="115" t="str">
        <f t="shared" si="61"/>
        <v xml:space="preserve"> </v>
      </c>
      <c r="S469" s="115" t="str">
        <f t="shared" si="62"/>
        <v xml:space="preserve"> </v>
      </c>
      <c r="T469" s="116" t="str">
        <f t="shared" si="63"/>
        <v/>
      </c>
      <c r="U469" s="120"/>
      <c r="V469" s="118"/>
      <c r="W469" s="131"/>
    </row>
    <row r="470" spans="1:23" ht="13.2">
      <c r="A470" s="102" t="s">
        <v>504</v>
      </c>
      <c r="B470" s="102"/>
      <c r="C470" s="104">
        <v>3</v>
      </c>
      <c r="D470" s="105" t="s">
        <v>64</v>
      </c>
      <c r="E470" s="106">
        <v>0.79</v>
      </c>
      <c r="F470" s="107">
        <v>0.03</v>
      </c>
      <c r="G470" s="108">
        <v>0.03</v>
      </c>
      <c r="H470" s="109" t="s">
        <v>55</v>
      </c>
      <c r="I470" s="110">
        <v>0.78900000000000003</v>
      </c>
      <c r="J470" s="110">
        <v>0.80300000000000005</v>
      </c>
      <c r="K470" s="119">
        <v>0.8</v>
      </c>
      <c r="L470" s="111">
        <f t="shared" si="57"/>
        <v>-1.0000000000000009E-3</v>
      </c>
      <c r="M470" s="112">
        <f t="shared" si="57"/>
        <v>1.3000000000000012E-2</v>
      </c>
      <c r="N470" s="112">
        <f t="shared" si="57"/>
        <v>1.0000000000000009E-2</v>
      </c>
      <c r="O470" s="112">
        <f t="shared" si="58"/>
        <v>0.79733333333333345</v>
      </c>
      <c r="P470" s="113">
        <f t="shared" si="59"/>
        <v>0.43333333333333374</v>
      </c>
      <c r="Q470" s="114">
        <f t="shared" si="60"/>
        <v>3.3333333333333368E-2</v>
      </c>
      <c r="R470" s="115" t="str">
        <f t="shared" si="61"/>
        <v xml:space="preserve"> </v>
      </c>
      <c r="S470" s="115" t="str">
        <f t="shared" si="62"/>
        <v xml:space="preserve"> </v>
      </c>
      <c r="T470" s="116" t="str">
        <f t="shared" si="63"/>
        <v/>
      </c>
      <c r="U470" s="120"/>
      <c r="V470" s="118"/>
      <c r="W470" s="131"/>
    </row>
    <row r="471" spans="1:23" ht="13.2">
      <c r="A471" s="102" t="s">
        <v>505</v>
      </c>
      <c r="B471" s="102"/>
      <c r="C471" s="104">
        <v>3</v>
      </c>
      <c r="D471" s="105" t="s">
        <v>64</v>
      </c>
      <c r="E471" s="106">
        <v>0.79</v>
      </c>
      <c r="F471" s="107">
        <v>0.03</v>
      </c>
      <c r="G471" s="108">
        <v>0.03</v>
      </c>
      <c r="H471" s="109" t="s">
        <v>55</v>
      </c>
      <c r="I471" s="110">
        <v>0.80800000000000005</v>
      </c>
      <c r="J471" s="110">
        <v>0.78600000000000003</v>
      </c>
      <c r="K471" s="119">
        <v>0.78700000000000003</v>
      </c>
      <c r="L471" s="111">
        <f t="shared" si="57"/>
        <v>1.8000000000000016E-2</v>
      </c>
      <c r="M471" s="112">
        <f t="shared" si="57"/>
        <v>-4.0000000000000036E-3</v>
      </c>
      <c r="N471" s="112">
        <f t="shared" si="57"/>
        <v>-3.0000000000000027E-3</v>
      </c>
      <c r="O471" s="112">
        <f t="shared" si="58"/>
        <v>0.79366666666666674</v>
      </c>
      <c r="P471" s="113">
        <f t="shared" si="59"/>
        <v>0.60000000000000053</v>
      </c>
      <c r="Q471" s="114">
        <f t="shared" si="60"/>
        <v>0.13333333333333347</v>
      </c>
      <c r="R471" s="115" t="str">
        <f t="shared" si="61"/>
        <v xml:space="preserve"> </v>
      </c>
      <c r="S471" s="115" t="str">
        <f t="shared" si="62"/>
        <v xml:space="preserve"> </v>
      </c>
      <c r="T471" s="116" t="str">
        <f t="shared" si="63"/>
        <v/>
      </c>
      <c r="U471" s="120"/>
      <c r="V471" s="118"/>
      <c r="W471" s="131"/>
    </row>
    <row r="472" spans="1:23" ht="13.2">
      <c r="A472" s="102" t="s">
        <v>506</v>
      </c>
      <c r="B472" s="102"/>
      <c r="C472" s="104">
        <v>3</v>
      </c>
      <c r="D472" s="105" t="s">
        <v>64</v>
      </c>
      <c r="E472" s="106">
        <v>0.79</v>
      </c>
      <c r="F472" s="107">
        <v>0.03</v>
      </c>
      <c r="G472" s="108">
        <v>0.03</v>
      </c>
      <c r="H472" s="109" t="s">
        <v>55</v>
      </c>
      <c r="I472" s="110">
        <v>0.79500000000000004</v>
      </c>
      <c r="J472" s="110">
        <v>0.79500000000000004</v>
      </c>
      <c r="K472" s="119">
        <v>0.78300000000000003</v>
      </c>
      <c r="L472" s="111">
        <f t="shared" si="57"/>
        <v>5.0000000000000044E-3</v>
      </c>
      <c r="M472" s="112">
        <f t="shared" si="57"/>
        <v>5.0000000000000044E-3</v>
      </c>
      <c r="N472" s="112">
        <f t="shared" si="57"/>
        <v>-7.0000000000000062E-3</v>
      </c>
      <c r="O472" s="112">
        <f t="shared" si="58"/>
        <v>0.79100000000000004</v>
      </c>
      <c r="P472" s="113">
        <f t="shared" si="59"/>
        <v>0.16666666666666682</v>
      </c>
      <c r="Q472" s="114">
        <f t="shared" si="60"/>
        <v>0.23333333333333356</v>
      </c>
      <c r="R472" s="115" t="str">
        <f t="shared" si="61"/>
        <v xml:space="preserve"> </v>
      </c>
      <c r="S472" s="115" t="str">
        <f t="shared" si="62"/>
        <v xml:space="preserve"> </v>
      </c>
      <c r="T472" s="116" t="str">
        <f t="shared" si="63"/>
        <v/>
      </c>
      <c r="U472" s="120"/>
      <c r="V472" s="118"/>
      <c r="W472" s="131"/>
    </row>
    <row r="473" spans="1:23" ht="13.2">
      <c r="A473" s="102" t="s">
        <v>507</v>
      </c>
      <c r="B473" s="102"/>
      <c r="C473" s="104">
        <v>3</v>
      </c>
      <c r="D473" s="105" t="s">
        <v>64</v>
      </c>
      <c r="E473" s="106">
        <v>0.79</v>
      </c>
      <c r="F473" s="107">
        <v>0.03</v>
      </c>
      <c r="G473" s="108">
        <v>0.03</v>
      </c>
      <c r="H473" s="109" t="s">
        <v>55</v>
      </c>
      <c r="I473" s="110">
        <v>0.79100000000000004</v>
      </c>
      <c r="J473" s="110">
        <v>0.79800000000000004</v>
      </c>
      <c r="K473" s="119">
        <v>0.79800000000000004</v>
      </c>
      <c r="L473" s="111">
        <f t="shared" si="57"/>
        <v>1.0000000000000009E-3</v>
      </c>
      <c r="M473" s="112">
        <f t="shared" si="57"/>
        <v>8.0000000000000071E-3</v>
      </c>
      <c r="N473" s="112">
        <f t="shared" si="57"/>
        <v>8.0000000000000071E-3</v>
      </c>
      <c r="O473" s="112">
        <f t="shared" si="58"/>
        <v>0.79566666666666663</v>
      </c>
      <c r="P473" s="113">
        <f t="shared" si="59"/>
        <v>0.26666666666666694</v>
      </c>
      <c r="Q473" s="114">
        <f t="shared" si="60"/>
        <v>0</v>
      </c>
      <c r="R473" s="115" t="str">
        <f t="shared" si="61"/>
        <v xml:space="preserve"> </v>
      </c>
      <c r="S473" s="115" t="str">
        <f t="shared" si="62"/>
        <v xml:space="preserve"> </v>
      </c>
      <c r="T473" s="116" t="str">
        <f t="shared" si="63"/>
        <v/>
      </c>
      <c r="U473" s="120"/>
      <c r="V473" s="118"/>
      <c r="W473" s="131"/>
    </row>
    <row r="474" spans="1:23" ht="13.2">
      <c r="A474" s="102" t="s">
        <v>508</v>
      </c>
      <c r="B474" s="102"/>
      <c r="C474" s="104">
        <v>3</v>
      </c>
      <c r="D474" s="105" t="s">
        <v>64</v>
      </c>
      <c r="E474" s="106">
        <v>0.79</v>
      </c>
      <c r="F474" s="107">
        <v>0.03</v>
      </c>
      <c r="G474" s="108">
        <v>0.03</v>
      </c>
      <c r="H474" s="109" t="s">
        <v>55</v>
      </c>
      <c r="I474" s="110">
        <v>0.79900000000000004</v>
      </c>
      <c r="J474" s="110">
        <v>0.79800000000000004</v>
      </c>
      <c r="K474" s="119">
        <v>0.81</v>
      </c>
      <c r="L474" s="111">
        <f t="shared" si="57"/>
        <v>9.000000000000008E-3</v>
      </c>
      <c r="M474" s="112">
        <f t="shared" si="57"/>
        <v>8.0000000000000071E-3</v>
      </c>
      <c r="N474" s="112">
        <f t="shared" si="57"/>
        <v>2.0000000000000018E-2</v>
      </c>
      <c r="O474" s="112">
        <f t="shared" si="58"/>
        <v>0.80233333333333334</v>
      </c>
      <c r="P474" s="113">
        <f t="shared" si="59"/>
        <v>0.6666666666666673</v>
      </c>
      <c r="Q474" s="114">
        <f t="shared" si="60"/>
        <v>0</v>
      </c>
      <c r="R474" s="115" t="str">
        <f t="shared" si="61"/>
        <v>Alert</v>
      </c>
      <c r="S474" s="115" t="str">
        <f t="shared" si="62"/>
        <v xml:space="preserve"> </v>
      </c>
      <c r="T474" s="116" t="str">
        <f t="shared" si="63"/>
        <v>Alert</v>
      </c>
      <c r="U474" s="120"/>
      <c r="V474" s="118"/>
      <c r="W474" s="131"/>
    </row>
    <row r="475" spans="1:23" ht="13.2">
      <c r="A475" s="102" t="s">
        <v>509</v>
      </c>
      <c r="B475" s="102"/>
      <c r="C475" s="104">
        <v>3</v>
      </c>
      <c r="D475" s="105" t="s">
        <v>64</v>
      </c>
      <c r="E475" s="106">
        <v>0.79</v>
      </c>
      <c r="F475" s="107">
        <v>0.03</v>
      </c>
      <c r="G475" s="108">
        <v>0.03</v>
      </c>
      <c r="H475" s="109" t="s">
        <v>55</v>
      </c>
      <c r="I475" s="110">
        <v>0.78500000000000003</v>
      </c>
      <c r="J475" s="110">
        <v>0.79400000000000004</v>
      </c>
      <c r="K475" s="119">
        <v>0.79300000000000004</v>
      </c>
      <c r="L475" s="111">
        <f t="shared" si="57"/>
        <v>-5.0000000000000044E-3</v>
      </c>
      <c r="M475" s="112">
        <f t="shared" si="57"/>
        <v>4.0000000000000036E-3</v>
      </c>
      <c r="N475" s="112">
        <f t="shared" si="57"/>
        <v>3.0000000000000027E-3</v>
      </c>
      <c r="O475" s="112">
        <f t="shared" si="58"/>
        <v>0.79066666666666674</v>
      </c>
      <c r="P475" s="113">
        <f t="shared" si="59"/>
        <v>0.13333333333333347</v>
      </c>
      <c r="Q475" s="114">
        <f t="shared" si="60"/>
        <v>0.16666666666666682</v>
      </c>
      <c r="R475" s="115" t="str">
        <f t="shared" si="61"/>
        <v xml:space="preserve"> </v>
      </c>
      <c r="S475" s="115" t="str">
        <f t="shared" si="62"/>
        <v xml:space="preserve"> </v>
      </c>
      <c r="T475" s="116" t="str">
        <f t="shared" si="63"/>
        <v/>
      </c>
      <c r="U475" s="120"/>
      <c r="V475" s="118"/>
      <c r="W475" s="131"/>
    </row>
    <row r="476" spans="1:23" ht="13.2">
      <c r="A476" s="102" t="s">
        <v>510</v>
      </c>
      <c r="B476" s="102"/>
      <c r="C476" s="104">
        <v>3</v>
      </c>
      <c r="D476" s="105" t="s">
        <v>64</v>
      </c>
      <c r="E476" s="106">
        <v>0.79</v>
      </c>
      <c r="F476" s="107">
        <v>0.03</v>
      </c>
      <c r="G476" s="108">
        <v>0.03</v>
      </c>
      <c r="H476" s="109" t="s">
        <v>55</v>
      </c>
      <c r="I476" s="110">
        <v>0.77800000000000002</v>
      </c>
      <c r="J476" s="110">
        <v>0.78200000000000003</v>
      </c>
      <c r="K476" s="119">
        <v>0.78100000000000003</v>
      </c>
      <c r="L476" s="111">
        <f t="shared" si="57"/>
        <v>-1.2000000000000011E-2</v>
      </c>
      <c r="M476" s="112">
        <f t="shared" si="57"/>
        <v>-8.0000000000000071E-3</v>
      </c>
      <c r="N476" s="112">
        <f t="shared" si="57"/>
        <v>-9.000000000000008E-3</v>
      </c>
      <c r="O476" s="112">
        <f t="shared" si="58"/>
        <v>0.78033333333333343</v>
      </c>
      <c r="P476" s="113">
        <f t="shared" si="59"/>
        <v>0</v>
      </c>
      <c r="Q476" s="114">
        <f t="shared" si="60"/>
        <v>0.40000000000000036</v>
      </c>
      <c r="R476" s="115" t="str">
        <f t="shared" si="61"/>
        <v xml:space="preserve"> </v>
      </c>
      <c r="S476" s="115" t="str">
        <f t="shared" si="62"/>
        <v xml:space="preserve"> </v>
      </c>
      <c r="T476" s="116" t="str">
        <f t="shared" si="63"/>
        <v/>
      </c>
      <c r="U476" s="120"/>
      <c r="V476" s="118"/>
      <c r="W476" s="131"/>
    </row>
    <row r="477" spans="1:23" ht="13.2">
      <c r="A477" s="102" t="s">
        <v>511</v>
      </c>
      <c r="B477" s="103"/>
      <c r="C477" s="104">
        <v>3</v>
      </c>
      <c r="D477" s="105" t="s">
        <v>64</v>
      </c>
      <c r="E477" s="106">
        <v>0.79</v>
      </c>
      <c r="F477" s="107">
        <v>0.03</v>
      </c>
      <c r="G477" s="108">
        <v>0.03</v>
      </c>
      <c r="H477" s="109" t="s">
        <v>55</v>
      </c>
      <c r="I477" s="110">
        <v>0.8</v>
      </c>
      <c r="J477" s="110">
        <v>0.80700000000000005</v>
      </c>
      <c r="K477" s="119">
        <v>0.79900000000000004</v>
      </c>
      <c r="L477" s="111">
        <f t="shared" ref="L477:N540" si="64">IF(ISBLANK($E477),"",IF(ISERR(I477/I477)=TRUE,"BAD INSP",I477-$E477))</f>
        <v>1.0000000000000009E-2</v>
      </c>
      <c r="M477" s="112">
        <f t="shared" si="64"/>
        <v>1.7000000000000015E-2</v>
      </c>
      <c r="N477" s="112">
        <f t="shared" si="64"/>
        <v>9.000000000000008E-3</v>
      </c>
      <c r="O477" s="112">
        <f t="shared" si="58"/>
        <v>0.80200000000000005</v>
      </c>
      <c r="P477" s="113">
        <f t="shared" si="59"/>
        <v>0.56666666666666721</v>
      </c>
      <c r="Q477" s="114">
        <f t="shared" si="60"/>
        <v>0</v>
      </c>
      <c r="R477" s="115" t="str">
        <f t="shared" si="61"/>
        <v xml:space="preserve"> </v>
      </c>
      <c r="S477" s="115" t="str">
        <f t="shared" si="62"/>
        <v xml:space="preserve"> </v>
      </c>
      <c r="T477" s="116" t="str">
        <f t="shared" si="63"/>
        <v/>
      </c>
      <c r="U477" s="120"/>
      <c r="V477" s="118"/>
      <c r="W477" s="131"/>
    </row>
    <row r="478" spans="1:23" ht="13.2">
      <c r="A478" s="102" t="s">
        <v>512</v>
      </c>
      <c r="B478" s="103"/>
      <c r="C478" s="104">
        <v>3</v>
      </c>
      <c r="D478" s="105" t="s">
        <v>64</v>
      </c>
      <c r="E478" s="106">
        <v>0.79</v>
      </c>
      <c r="F478" s="107">
        <v>0.03</v>
      </c>
      <c r="G478" s="108">
        <v>0.03</v>
      </c>
      <c r="H478" s="109" t="s">
        <v>55</v>
      </c>
      <c r="I478" s="110">
        <v>0.80300000000000005</v>
      </c>
      <c r="J478" s="110">
        <v>0.79400000000000004</v>
      </c>
      <c r="K478" s="119">
        <v>0.80400000000000005</v>
      </c>
      <c r="L478" s="111">
        <f t="shared" si="64"/>
        <v>1.3000000000000012E-2</v>
      </c>
      <c r="M478" s="112">
        <f t="shared" si="64"/>
        <v>4.0000000000000036E-3</v>
      </c>
      <c r="N478" s="112">
        <f t="shared" si="64"/>
        <v>1.4000000000000012E-2</v>
      </c>
      <c r="O478" s="112">
        <f t="shared" si="58"/>
        <v>0.80033333333333323</v>
      </c>
      <c r="P478" s="113">
        <f t="shared" si="59"/>
        <v>0.46666666666666712</v>
      </c>
      <c r="Q478" s="114">
        <f t="shared" si="60"/>
        <v>0</v>
      </c>
      <c r="R478" s="115" t="str">
        <f t="shared" si="61"/>
        <v xml:space="preserve"> </v>
      </c>
      <c r="S478" s="115" t="str">
        <f t="shared" si="62"/>
        <v xml:space="preserve"> </v>
      </c>
      <c r="T478" s="116" t="str">
        <f t="shared" si="63"/>
        <v/>
      </c>
      <c r="U478" s="120"/>
      <c r="V478" s="118"/>
      <c r="W478" s="131"/>
    </row>
    <row r="479" spans="1:23" ht="13.2">
      <c r="A479" s="102" t="s">
        <v>513</v>
      </c>
      <c r="B479" s="103"/>
      <c r="C479" s="104">
        <v>3</v>
      </c>
      <c r="D479" s="105" t="s">
        <v>64</v>
      </c>
      <c r="E479" s="106">
        <v>0.79</v>
      </c>
      <c r="F479" s="107">
        <v>0.03</v>
      </c>
      <c r="G479" s="108">
        <v>0.03</v>
      </c>
      <c r="H479" s="109" t="s">
        <v>55</v>
      </c>
      <c r="I479" s="110">
        <v>0.79300000000000004</v>
      </c>
      <c r="J479" s="110">
        <v>0.79</v>
      </c>
      <c r="K479" s="119">
        <v>0.79100000000000004</v>
      </c>
      <c r="L479" s="111">
        <f t="shared" si="64"/>
        <v>3.0000000000000027E-3</v>
      </c>
      <c r="M479" s="112">
        <f t="shared" si="64"/>
        <v>0</v>
      </c>
      <c r="N479" s="112">
        <f t="shared" si="64"/>
        <v>1.0000000000000009E-3</v>
      </c>
      <c r="O479" s="112">
        <f t="shared" si="58"/>
        <v>0.79133333333333333</v>
      </c>
      <c r="P479" s="113">
        <f t="shared" si="59"/>
        <v>0.10000000000000009</v>
      </c>
      <c r="Q479" s="114">
        <f t="shared" si="60"/>
        <v>0</v>
      </c>
      <c r="R479" s="115" t="str">
        <f t="shared" si="61"/>
        <v xml:space="preserve"> </v>
      </c>
      <c r="S479" s="115" t="str">
        <f t="shared" si="62"/>
        <v xml:space="preserve"> </v>
      </c>
      <c r="T479" s="116" t="str">
        <f t="shared" si="63"/>
        <v/>
      </c>
      <c r="U479" s="120"/>
      <c r="V479" s="118"/>
      <c r="W479" s="131"/>
    </row>
    <row r="480" spans="1:23" ht="13.2">
      <c r="A480" s="102" t="s">
        <v>514</v>
      </c>
      <c r="B480" s="102"/>
      <c r="C480" s="104">
        <v>3</v>
      </c>
      <c r="D480" s="105" t="s">
        <v>64</v>
      </c>
      <c r="E480" s="106">
        <v>0.79</v>
      </c>
      <c r="F480" s="107">
        <v>0.03</v>
      </c>
      <c r="G480" s="108">
        <v>0.03</v>
      </c>
      <c r="H480" s="109" t="s">
        <v>55</v>
      </c>
      <c r="I480" s="110">
        <v>0.80100000000000005</v>
      </c>
      <c r="J480" s="110">
        <v>0.80400000000000005</v>
      </c>
      <c r="K480" s="119">
        <v>0.77900000000000003</v>
      </c>
      <c r="L480" s="111">
        <f t="shared" si="64"/>
        <v>1.100000000000001E-2</v>
      </c>
      <c r="M480" s="112">
        <f t="shared" si="64"/>
        <v>1.4000000000000012E-2</v>
      </c>
      <c r="N480" s="112">
        <f t="shared" si="64"/>
        <v>-1.100000000000001E-2</v>
      </c>
      <c r="O480" s="112">
        <f t="shared" si="58"/>
        <v>0.79466666666666663</v>
      </c>
      <c r="P480" s="113">
        <f t="shared" si="59"/>
        <v>0.46666666666666712</v>
      </c>
      <c r="Q480" s="114">
        <f t="shared" si="60"/>
        <v>0.36666666666666703</v>
      </c>
      <c r="R480" s="115" t="str">
        <f t="shared" si="61"/>
        <v xml:space="preserve"> </v>
      </c>
      <c r="S480" s="115" t="str">
        <f t="shared" si="62"/>
        <v xml:space="preserve"> </v>
      </c>
      <c r="T480" s="116" t="str">
        <f t="shared" si="63"/>
        <v/>
      </c>
      <c r="U480" s="120"/>
      <c r="V480" s="118"/>
      <c r="W480" s="131"/>
    </row>
    <row r="481" spans="1:23" ht="13.2">
      <c r="A481" s="102" t="s">
        <v>515</v>
      </c>
      <c r="B481" s="102"/>
      <c r="C481" s="104">
        <v>3</v>
      </c>
      <c r="D481" s="105" t="s">
        <v>64</v>
      </c>
      <c r="E481" s="106">
        <v>0.79</v>
      </c>
      <c r="F481" s="107">
        <v>0.03</v>
      </c>
      <c r="G481" s="108">
        <v>0.03</v>
      </c>
      <c r="H481" s="109" t="s">
        <v>55</v>
      </c>
      <c r="I481" s="110">
        <v>0.78400000000000003</v>
      </c>
      <c r="J481" s="110">
        <v>0.78500000000000003</v>
      </c>
      <c r="K481" s="119">
        <v>0.80300000000000005</v>
      </c>
      <c r="L481" s="111">
        <f t="shared" si="64"/>
        <v>-6.0000000000000053E-3</v>
      </c>
      <c r="M481" s="112">
        <f t="shared" si="64"/>
        <v>-5.0000000000000044E-3</v>
      </c>
      <c r="N481" s="112">
        <f t="shared" si="64"/>
        <v>1.3000000000000012E-2</v>
      </c>
      <c r="O481" s="112">
        <f t="shared" si="58"/>
        <v>0.79066666666666663</v>
      </c>
      <c r="P481" s="113">
        <f t="shared" si="59"/>
        <v>0.43333333333333374</v>
      </c>
      <c r="Q481" s="114">
        <f t="shared" si="60"/>
        <v>0.20000000000000018</v>
      </c>
      <c r="R481" s="115" t="str">
        <f t="shared" si="61"/>
        <v xml:space="preserve"> </v>
      </c>
      <c r="S481" s="115" t="str">
        <f t="shared" si="62"/>
        <v xml:space="preserve"> </v>
      </c>
      <c r="T481" s="116" t="str">
        <f t="shared" si="63"/>
        <v/>
      </c>
      <c r="U481" s="120"/>
      <c r="V481" s="118"/>
      <c r="W481" s="131"/>
    </row>
    <row r="482" spans="1:23" ht="13.2">
      <c r="A482" s="102" t="s">
        <v>516</v>
      </c>
      <c r="B482" s="102"/>
      <c r="C482" s="104">
        <v>3</v>
      </c>
      <c r="D482" s="105" t="s">
        <v>64</v>
      </c>
      <c r="E482" s="106">
        <v>0.79</v>
      </c>
      <c r="F482" s="107">
        <v>0.03</v>
      </c>
      <c r="G482" s="108">
        <v>0.03</v>
      </c>
      <c r="H482" s="109" t="s">
        <v>55</v>
      </c>
      <c r="I482" s="110">
        <v>0.78200000000000003</v>
      </c>
      <c r="J482" s="110">
        <v>0.78800000000000003</v>
      </c>
      <c r="K482" s="119">
        <v>0.79800000000000004</v>
      </c>
      <c r="L482" s="111">
        <f t="shared" si="64"/>
        <v>-8.0000000000000071E-3</v>
      </c>
      <c r="M482" s="112">
        <f t="shared" si="64"/>
        <v>-2.0000000000000018E-3</v>
      </c>
      <c r="N482" s="112">
        <f t="shared" si="64"/>
        <v>8.0000000000000071E-3</v>
      </c>
      <c r="O482" s="112">
        <f t="shared" si="58"/>
        <v>0.78933333333333344</v>
      </c>
      <c r="P482" s="113">
        <f t="shared" si="59"/>
        <v>0.26666666666666694</v>
      </c>
      <c r="Q482" s="114">
        <f t="shared" si="60"/>
        <v>0.26666666666666694</v>
      </c>
      <c r="R482" s="115" t="str">
        <f t="shared" si="61"/>
        <v xml:space="preserve"> </v>
      </c>
      <c r="S482" s="115" t="str">
        <f t="shared" si="62"/>
        <v xml:space="preserve"> </v>
      </c>
      <c r="T482" s="116" t="str">
        <f t="shared" si="63"/>
        <v/>
      </c>
      <c r="U482" s="120"/>
      <c r="V482" s="118"/>
      <c r="W482" s="131"/>
    </row>
    <row r="483" spans="1:23" ht="13.2">
      <c r="A483" s="102" t="s">
        <v>517</v>
      </c>
      <c r="B483" s="102"/>
      <c r="C483" s="104">
        <v>3</v>
      </c>
      <c r="D483" s="105" t="s">
        <v>64</v>
      </c>
      <c r="E483" s="106">
        <v>0.79</v>
      </c>
      <c r="F483" s="107">
        <v>0.03</v>
      </c>
      <c r="G483" s="108">
        <v>0.03</v>
      </c>
      <c r="H483" s="109" t="s">
        <v>55</v>
      </c>
      <c r="I483" s="110">
        <v>0.79400000000000004</v>
      </c>
      <c r="J483" s="110">
        <v>0.80300000000000005</v>
      </c>
      <c r="K483" s="119">
        <v>0.79500000000000004</v>
      </c>
      <c r="L483" s="111">
        <f t="shared" si="64"/>
        <v>4.0000000000000036E-3</v>
      </c>
      <c r="M483" s="112">
        <f t="shared" si="64"/>
        <v>1.3000000000000012E-2</v>
      </c>
      <c r="N483" s="112">
        <f t="shared" si="64"/>
        <v>5.0000000000000044E-3</v>
      </c>
      <c r="O483" s="112">
        <f t="shared" si="58"/>
        <v>0.79733333333333334</v>
      </c>
      <c r="P483" s="113">
        <f t="shared" si="59"/>
        <v>0.43333333333333374</v>
      </c>
      <c r="Q483" s="114">
        <f t="shared" si="60"/>
        <v>0</v>
      </c>
      <c r="R483" s="115" t="str">
        <f t="shared" si="61"/>
        <v xml:space="preserve"> </v>
      </c>
      <c r="S483" s="115" t="str">
        <f t="shared" si="62"/>
        <v xml:space="preserve"> </v>
      </c>
      <c r="T483" s="116" t="str">
        <f t="shared" si="63"/>
        <v/>
      </c>
      <c r="U483" s="120"/>
      <c r="V483" s="118"/>
      <c r="W483" s="131"/>
    </row>
    <row r="484" spans="1:23" ht="13.2">
      <c r="A484" s="102" t="s">
        <v>518</v>
      </c>
      <c r="B484" s="102"/>
      <c r="C484" s="104">
        <v>3</v>
      </c>
      <c r="D484" s="105" t="s">
        <v>64</v>
      </c>
      <c r="E484" s="106">
        <v>0.79</v>
      </c>
      <c r="F484" s="107">
        <v>0.03</v>
      </c>
      <c r="G484" s="108">
        <v>0.03</v>
      </c>
      <c r="H484" s="109" t="s">
        <v>55</v>
      </c>
      <c r="I484" s="110">
        <v>0.79600000000000004</v>
      </c>
      <c r="J484" s="110">
        <v>0.78100000000000003</v>
      </c>
      <c r="K484" s="119">
        <v>0.81</v>
      </c>
      <c r="L484" s="111">
        <f t="shared" si="64"/>
        <v>6.0000000000000053E-3</v>
      </c>
      <c r="M484" s="112">
        <f t="shared" si="64"/>
        <v>-9.000000000000008E-3</v>
      </c>
      <c r="N484" s="112">
        <f t="shared" si="64"/>
        <v>2.0000000000000018E-2</v>
      </c>
      <c r="O484" s="112">
        <f t="shared" si="58"/>
        <v>0.79566666666666663</v>
      </c>
      <c r="P484" s="113">
        <f t="shared" si="59"/>
        <v>0.6666666666666673</v>
      </c>
      <c r="Q484" s="114">
        <f t="shared" si="60"/>
        <v>0.30000000000000027</v>
      </c>
      <c r="R484" s="115" t="str">
        <f t="shared" si="61"/>
        <v>Alert</v>
      </c>
      <c r="S484" s="115" t="str">
        <f t="shared" si="62"/>
        <v xml:space="preserve"> </v>
      </c>
      <c r="T484" s="116" t="str">
        <f t="shared" si="63"/>
        <v>Alert</v>
      </c>
      <c r="U484" s="120"/>
      <c r="V484" s="118"/>
      <c r="W484" s="131"/>
    </row>
    <row r="485" spans="1:23" ht="13.2">
      <c r="A485" s="102" t="s">
        <v>519</v>
      </c>
      <c r="B485" s="102"/>
      <c r="C485" s="104">
        <v>3</v>
      </c>
      <c r="D485" s="105" t="s">
        <v>64</v>
      </c>
      <c r="E485" s="106">
        <v>0.79</v>
      </c>
      <c r="F485" s="107">
        <v>0.03</v>
      </c>
      <c r="G485" s="108">
        <v>0.03</v>
      </c>
      <c r="H485" s="109" t="s">
        <v>55</v>
      </c>
      <c r="I485" s="110">
        <v>0.79400000000000004</v>
      </c>
      <c r="J485" s="110">
        <v>0.80500000000000005</v>
      </c>
      <c r="K485" s="119">
        <v>0.76900000000000002</v>
      </c>
      <c r="L485" s="111">
        <f t="shared" si="64"/>
        <v>4.0000000000000036E-3</v>
      </c>
      <c r="M485" s="112">
        <f t="shared" si="64"/>
        <v>1.5000000000000013E-2</v>
      </c>
      <c r="N485" s="112">
        <f t="shared" si="64"/>
        <v>-2.1000000000000019E-2</v>
      </c>
      <c r="O485" s="112">
        <f t="shared" si="58"/>
        <v>0.78933333333333344</v>
      </c>
      <c r="P485" s="113">
        <f t="shared" si="59"/>
        <v>0.50000000000000044</v>
      </c>
      <c r="Q485" s="114">
        <f t="shared" si="60"/>
        <v>0.70000000000000062</v>
      </c>
      <c r="R485" s="115" t="str">
        <f t="shared" si="61"/>
        <v xml:space="preserve"> </v>
      </c>
      <c r="S485" s="115" t="str">
        <f t="shared" si="62"/>
        <v>Alert</v>
      </c>
      <c r="T485" s="116" t="str">
        <f t="shared" si="63"/>
        <v>Alert</v>
      </c>
      <c r="U485" s="120"/>
      <c r="V485" s="118"/>
      <c r="W485" s="131"/>
    </row>
    <row r="486" spans="1:23" ht="13.2">
      <c r="A486" s="102" t="s">
        <v>520</v>
      </c>
      <c r="B486" s="102"/>
      <c r="C486" s="104">
        <v>3</v>
      </c>
      <c r="D486" s="105" t="s">
        <v>64</v>
      </c>
      <c r="E486" s="106">
        <v>0.79</v>
      </c>
      <c r="F486" s="107">
        <v>0.03</v>
      </c>
      <c r="G486" s="108">
        <v>0.03</v>
      </c>
      <c r="H486" s="109" t="s">
        <v>55</v>
      </c>
      <c r="I486" s="110">
        <v>0.79100000000000004</v>
      </c>
      <c r="J486" s="110">
        <v>0.79200000000000004</v>
      </c>
      <c r="K486" s="119">
        <v>0.78500000000000003</v>
      </c>
      <c r="L486" s="111">
        <f t="shared" si="64"/>
        <v>1.0000000000000009E-3</v>
      </c>
      <c r="M486" s="112">
        <f t="shared" si="64"/>
        <v>2.0000000000000018E-3</v>
      </c>
      <c r="N486" s="112">
        <f t="shared" si="64"/>
        <v>-5.0000000000000044E-3</v>
      </c>
      <c r="O486" s="112">
        <f t="shared" si="58"/>
        <v>0.78933333333333344</v>
      </c>
      <c r="P486" s="113">
        <f t="shared" si="59"/>
        <v>6.6666666666666735E-2</v>
      </c>
      <c r="Q486" s="114">
        <f t="shared" si="60"/>
        <v>0.16666666666666682</v>
      </c>
      <c r="R486" s="115" t="str">
        <f t="shared" si="61"/>
        <v xml:space="preserve"> </v>
      </c>
      <c r="S486" s="115" t="str">
        <f t="shared" si="62"/>
        <v xml:space="preserve"> </v>
      </c>
      <c r="T486" s="116" t="str">
        <f t="shared" si="63"/>
        <v/>
      </c>
      <c r="U486" s="120"/>
      <c r="V486" s="118"/>
      <c r="W486" s="131"/>
    </row>
    <row r="487" spans="1:23" ht="13.2">
      <c r="A487" s="102" t="s">
        <v>521</v>
      </c>
      <c r="B487" s="102"/>
      <c r="C487" s="104">
        <v>3</v>
      </c>
      <c r="D487" s="105" t="s">
        <v>64</v>
      </c>
      <c r="E487" s="106">
        <v>0.79</v>
      </c>
      <c r="F487" s="107">
        <v>0.03</v>
      </c>
      <c r="G487" s="108">
        <v>0.03</v>
      </c>
      <c r="H487" s="109" t="s">
        <v>55</v>
      </c>
      <c r="I487" s="110">
        <v>0.79100000000000004</v>
      </c>
      <c r="J487" s="110">
        <v>0.78600000000000003</v>
      </c>
      <c r="K487" s="119">
        <v>0.8</v>
      </c>
      <c r="L487" s="111">
        <f t="shared" si="64"/>
        <v>1.0000000000000009E-3</v>
      </c>
      <c r="M487" s="112">
        <f t="shared" si="64"/>
        <v>-4.0000000000000036E-3</v>
      </c>
      <c r="N487" s="112">
        <f t="shared" si="64"/>
        <v>1.0000000000000009E-2</v>
      </c>
      <c r="O487" s="112">
        <f t="shared" si="58"/>
        <v>0.79233333333333322</v>
      </c>
      <c r="P487" s="113">
        <f t="shared" si="59"/>
        <v>0.33333333333333365</v>
      </c>
      <c r="Q487" s="114">
        <f t="shared" si="60"/>
        <v>0.13333333333333347</v>
      </c>
      <c r="R487" s="115" t="str">
        <f t="shared" si="61"/>
        <v xml:space="preserve"> </v>
      </c>
      <c r="S487" s="115" t="str">
        <f t="shared" si="62"/>
        <v xml:space="preserve"> </v>
      </c>
      <c r="T487" s="116" t="str">
        <f t="shared" si="63"/>
        <v/>
      </c>
      <c r="U487" s="120"/>
      <c r="V487" s="118"/>
      <c r="W487" s="131"/>
    </row>
    <row r="488" spans="1:23" ht="13.2">
      <c r="A488" s="102" t="s">
        <v>522</v>
      </c>
      <c r="B488" s="102"/>
      <c r="C488" s="104">
        <v>3</v>
      </c>
      <c r="D488" s="105" t="s">
        <v>64</v>
      </c>
      <c r="E488" s="106">
        <v>0.79</v>
      </c>
      <c r="F488" s="107">
        <v>0.03</v>
      </c>
      <c r="G488" s="108">
        <v>0.03</v>
      </c>
      <c r="H488" s="109" t="s">
        <v>55</v>
      </c>
      <c r="I488" s="110">
        <v>0.78300000000000003</v>
      </c>
      <c r="J488" s="110">
        <v>0.80200000000000005</v>
      </c>
      <c r="K488" s="119">
        <v>0.79400000000000004</v>
      </c>
      <c r="L488" s="111">
        <f t="shared" si="64"/>
        <v>-7.0000000000000062E-3</v>
      </c>
      <c r="M488" s="112">
        <f t="shared" si="64"/>
        <v>1.2000000000000011E-2</v>
      </c>
      <c r="N488" s="112">
        <f t="shared" si="64"/>
        <v>4.0000000000000036E-3</v>
      </c>
      <c r="O488" s="112">
        <f t="shared" si="58"/>
        <v>0.79300000000000004</v>
      </c>
      <c r="P488" s="113">
        <f t="shared" si="59"/>
        <v>0.40000000000000036</v>
      </c>
      <c r="Q488" s="114">
        <f t="shared" si="60"/>
        <v>0.23333333333333356</v>
      </c>
      <c r="R488" s="115" t="str">
        <f t="shared" si="61"/>
        <v xml:space="preserve"> </v>
      </c>
      <c r="S488" s="115" t="str">
        <f t="shared" si="62"/>
        <v xml:space="preserve"> </v>
      </c>
      <c r="T488" s="116" t="str">
        <f t="shared" si="63"/>
        <v/>
      </c>
      <c r="U488" s="120"/>
      <c r="V488" s="118"/>
      <c r="W488" s="131"/>
    </row>
    <row r="489" spans="1:23" ht="13.2">
      <c r="A489" s="102" t="s">
        <v>523</v>
      </c>
      <c r="B489" s="102"/>
      <c r="C489" s="104">
        <v>3</v>
      </c>
      <c r="D489" s="105" t="s">
        <v>64</v>
      </c>
      <c r="E489" s="106">
        <v>0.79</v>
      </c>
      <c r="F489" s="107">
        <v>0.03</v>
      </c>
      <c r="G489" s="108">
        <v>0.03</v>
      </c>
      <c r="H489" s="109" t="s">
        <v>55</v>
      </c>
      <c r="I489" s="110">
        <v>0.80200000000000005</v>
      </c>
      <c r="J489" s="110">
        <v>0.80200000000000005</v>
      </c>
      <c r="K489" s="119">
        <v>0.79600000000000004</v>
      </c>
      <c r="L489" s="111">
        <f t="shared" si="64"/>
        <v>1.2000000000000011E-2</v>
      </c>
      <c r="M489" s="112">
        <f t="shared" si="64"/>
        <v>1.2000000000000011E-2</v>
      </c>
      <c r="N489" s="112">
        <f t="shared" si="64"/>
        <v>6.0000000000000053E-3</v>
      </c>
      <c r="O489" s="112">
        <f t="shared" si="58"/>
        <v>0.80000000000000016</v>
      </c>
      <c r="P489" s="113">
        <f t="shared" si="59"/>
        <v>0.40000000000000036</v>
      </c>
      <c r="Q489" s="114">
        <f t="shared" si="60"/>
        <v>0</v>
      </c>
      <c r="R489" s="115" t="str">
        <f t="shared" si="61"/>
        <v xml:space="preserve"> </v>
      </c>
      <c r="S489" s="115" t="str">
        <f t="shared" si="62"/>
        <v xml:space="preserve"> </v>
      </c>
      <c r="T489" s="116" t="str">
        <f t="shared" si="63"/>
        <v/>
      </c>
      <c r="U489" s="120"/>
      <c r="V489" s="118"/>
      <c r="W489" s="131"/>
    </row>
    <row r="490" spans="1:23" ht="13.2">
      <c r="A490" s="102" t="s">
        <v>524</v>
      </c>
      <c r="B490" s="102"/>
      <c r="C490" s="104">
        <v>3</v>
      </c>
      <c r="D490" s="105" t="s">
        <v>64</v>
      </c>
      <c r="E490" s="106">
        <v>0.79</v>
      </c>
      <c r="F490" s="107">
        <v>0.03</v>
      </c>
      <c r="G490" s="108">
        <v>0.03</v>
      </c>
      <c r="H490" s="109" t="s">
        <v>55</v>
      </c>
      <c r="I490" s="110">
        <v>0.79100000000000004</v>
      </c>
      <c r="J490" s="110">
        <v>0.79600000000000004</v>
      </c>
      <c r="K490" s="119">
        <v>0.81299999999999994</v>
      </c>
      <c r="L490" s="111">
        <f t="shared" si="64"/>
        <v>1.0000000000000009E-3</v>
      </c>
      <c r="M490" s="112">
        <f t="shared" si="64"/>
        <v>6.0000000000000053E-3</v>
      </c>
      <c r="N490" s="112">
        <f t="shared" si="64"/>
        <v>2.2999999999999909E-2</v>
      </c>
      <c r="O490" s="112">
        <f t="shared" si="58"/>
        <v>0.80000000000000016</v>
      </c>
      <c r="P490" s="113">
        <f t="shared" si="59"/>
        <v>0.76666666666666372</v>
      </c>
      <c r="Q490" s="114">
        <f t="shared" si="60"/>
        <v>0</v>
      </c>
      <c r="R490" s="115" t="str">
        <f t="shared" si="61"/>
        <v>Alert</v>
      </c>
      <c r="S490" s="115" t="str">
        <f t="shared" si="62"/>
        <v xml:space="preserve"> </v>
      </c>
      <c r="T490" s="116" t="str">
        <f t="shared" si="63"/>
        <v>Alert</v>
      </c>
      <c r="U490" s="120"/>
      <c r="V490" s="118"/>
      <c r="W490" s="131"/>
    </row>
    <row r="491" spans="1:23" ht="13.2">
      <c r="A491" s="102" t="s">
        <v>525</v>
      </c>
      <c r="B491" s="102"/>
      <c r="C491" s="104">
        <v>3</v>
      </c>
      <c r="D491" s="105" t="s">
        <v>64</v>
      </c>
      <c r="E491" s="106">
        <v>0.79</v>
      </c>
      <c r="F491" s="107">
        <v>0.03</v>
      </c>
      <c r="G491" s="108">
        <v>0.03</v>
      </c>
      <c r="H491" s="109" t="s">
        <v>55</v>
      </c>
      <c r="I491" s="110">
        <v>0.79700000000000004</v>
      </c>
      <c r="J491" s="110">
        <v>0.79300000000000004</v>
      </c>
      <c r="K491" s="119">
        <v>0.76400000000000001</v>
      </c>
      <c r="L491" s="111">
        <f t="shared" si="64"/>
        <v>7.0000000000000062E-3</v>
      </c>
      <c r="M491" s="112">
        <f t="shared" si="64"/>
        <v>3.0000000000000027E-3</v>
      </c>
      <c r="N491" s="112">
        <f t="shared" si="64"/>
        <v>-2.6000000000000023E-2</v>
      </c>
      <c r="O491" s="112">
        <f t="shared" si="58"/>
        <v>0.78466666666666673</v>
      </c>
      <c r="P491" s="113">
        <f t="shared" si="59"/>
        <v>0.23333333333333356</v>
      </c>
      <c r="Q491" s="114">
        <f t="shared" si="60"/>
        <v>0.86666666666666747</v>
      </c>
      <c r="R491" s="115" t="str">
        <f t="shared" si="61"/>
        <v xml:space="preserve"> </v>
      </c>
      <c r="S491" s="115" t="str">
        <f t="shared" si="62"/>
        <v>Alert</v>
      </c>
      <c r="T491" s="116" t="str">
        <f t="shared" si="63"/>
        <v>Alert</v>
      </c>
      <c r="U491" s="120"/>
      <c r="V491" s="118"/>
      <c r="W491" s="131"/>
    </row>
    <row r="492" spans="1:23" ht="13.2">
      <c r="A492" s="102" t="s">
        <v>526</v>
      </c>
      <c r="B492" s="103"/>
      <c r="C492" s="104">
        <v>3</v>
      </c>
      <c r="D492" s="105" t="s">
        <v>64</v>
      </c>
      <c r="E492" s="106">
        <v>0.79</v>
      </c>
      <c r="F492" s="107">
        <v>0.03</v>
      </c>
      <c r="G492" s="108">
        <v>0.03</v>
      </c>
      <c r="H492" s="109" t="s">
        <v>55</v>
      </c>
      <c r="I492" s="110">
        <v>0.80100000000000005</v>
      </c>
      <c r="J492" s="110">
        <v>0.78800000000000003</v>
      </c>
      <c r="K492" s="119">
        <v>0.82699999999999996</v>
      </c>
      <c r="L492" s="111">
        <f t="shared" si="64"/>
        <v>1.100000000000001E-2</v>
      </c>
      <c r="M492" s="112">
        <f t="shared" si="64"/>
        <v>-2.0000000000000018E-3</v>
      </c>
      <c r="N492" s="112">
        <f t="shared" si="64"/>
        <v>3.6999999999999922E-2</v>
      </c>
      <c r="O492" s="112">
        <f t="shared" si="58"/>
        <v>0.80533333333333335</v>
      </c>
      <c r="P492" s="113">
        <f t="shared" si="59"/>
        <v>1.2333333333333307</v>
      </c>
      <c r="Q492" s="114">
        <f t="shared" si="60"/>
        <v>6.6666666666666735E-2</v>
      </c>
      <c r="R492" s="115" t="str">
        <f t="shared" si="61"/>
        <v>Reject</v>
      </c>
      <c r="S492" s="115" t="str">
        <f t="shared" si="62"/>
        <v xml:space="preserve"> </v>
      </c>
      <c r="T492" s="116" t="str">
        <f t="shared" si="63"/>
        <v>Reject</v>
      </c>
      <c r="U492" s="120"/>
      <c r="V492" s="118"/>
      <c r="W492" s="131"/>
    </row>
    <row r="493" spans="1:23" ht="13.2">
      <c r="A493" s="102" t="s">
        <v>527</v>
      </c>
      <c r="B493" s="103"/>
      <c r="C493" s="104">
        <v>3</v>
      </c>
      <c r="D493" s="105" t="s">
        <v>64</v>
      </c>
      <c r="E493" s="106">
        <v>0.79</v>
      </c>
      <c r="F493" s="107">
        <v>0.03</v>
      </c>
      <c r="G493" s="108">
        <v>0.03</v>
      </c>
      <c r="H493" s="109" t="s">
        <v>55</v>
      </c>
      <c r="I493" s="110">
        <v>0.79400000000000004</v>
      </c>
      <c r="J493" s="110">
        <v>0.78800000000000003</v>
      </c>
      <c r="K493" s="119">
        <v>0.79200000000000004</v>
      </c>
      <c r="L493" s="111">
        <f t="shared" si="64"/>
        <v>4.0000000000000036E-3</v>
      </c>
      <c r="M493" s="112">
        <f t="shared" si="64"/>
        <v>-2.0000000000000018E-3</v>
      </c>
      <c r="N493" s="112">
        <f t="shared" si="64"/>
        <v>2.0000000000000018E-3</v>
      </c>
      <c r="O493" s="112">
        <f t="shared" si="58"/>
        <v>0.79133333333333333</v>
      </c>
      <c r="P493" s="113">
        <f t="shared" si="59"/>
        <v>0.13333333333333347</v>
      </c>
      <c r="Q493" s="114">
        <f t="shared" si="60"/>
        <v>6.6666666666666735E-2</v>
      </c>
      <c r="R493" s="115" t="str">
        <f t="shared" si="61"/>
        <v xml:space="preserve"> </v>
      </c>
      <c r="S493" s="115" t="str">
        <f t="shared" si="62"/>
        <v xml:space="preserve"> </v>
      </c>
      <c r="T493" s="116" t="str">
        <f t="shared" si="63"/>
        <v/>
      </c>
      <c r="U493" s="120"/>
      <c r="V493" s="118"/>
      <c r="W493" s="131"/>
    </row>
    <row r="494" spans="1:23" ht="13.2">
      <c r="A494" s="102" t="s">
        <v>528</v>
      </c>
      <c r="B494" s="103"/>
      <c r="C494" s="104">
        <v>3</v>
      </c>
      <c r="D494" s="105" t="s">
        <v>64</v>
      </c>
      <c r="E494" s="106">
        <v>0.79</v>
      </c>
      <c r="F494" s="107">
        <v>0.03</v>
      </c>
      <c r="G494" s="108">
        <v>0.03</v>
      </c>
      <c r="H494" s="109" t="s">
        <v>55</v>
      </c>
      <c r="I494" s="110">
        <v>0.80500000000000005</v>
      </c>
      <c r="J494" s="110">
        <v>0.79600000000000004</v>
      </c>
      <c r="K494" s="119">
        <v>0.78600000000000003</v>
      </c>
      <c r="L494" s="111">
        <f t="shared" si="64"/>
        <v>1.5000000000000013E-2</v>
      </c>
      <c r="M494" s="112">
        <f t="shared" si="64"/>
        <v>6.0000000000000053E-3</v>
      </c>
      <c r="N494" s="112">
        <f t="shared" si="64"/>
        <v>-4.0000000000000036E-3</v>
      </c>
      <c r="O494" s="112">
        <f t="shared" si="58"/>
        <v>0.79566666666666663</v>
      </c>
      <c r="P494" s="113">
        <f t="shared" si="59"/>
        <v>0.50000000000000044</v>
      </c>
      <c r="Q494" s="114">
        <f t="shared" si="60"/>
        <v>0.13333333333333347</v>
      </c>
      <c r="R494" s="115" t="str">
        <f t="shared" si="61"/>
        <v xml:space="preserve"> </v>
      </c>
      <c r="S494" s="115" t="str">
        <f t="shared" si="62"/>
        <v xml:space="preserve"> </v>
      </c>
      <c r="T494" s="116" t="str">
        <f t="shared" si="63"/>
        <v/>
      </c>
      <c r="U494" s="120"/>
      <c r="V494" s="118"/>
      <c r="W494" s="131"/>
    </row>
    <row r="495" spans="1:23" ht="13.2">
      <c r="A495" s="102" t="s">
        <v>529</v>
      </c>
      <c r="B495" s="102"/>
      <c r="C495" s="104">
        <v>3</v>
      </c>
      <c r="D495" s="105" t="s">
        <v>64</v>
      </c>
      <c r="E495" s="106">
        <v>0.79</v>
      </c>
      <c r="F495" s="107">
        <v>0.03</v>
      </c>
      <c r="G495" s="108">
        <v>0.03</v>
      </c>
      <c r="H495" s="109" t="s">
        <v>55</v>
      </c>
      <c r="I495" s="110">
        <v>0.77700000000000002</v>
      </c>
      <c r="J495" s="110">
        <v>0.78900000000000003</v>
      </c>
      <c r="K495" s="119">
        <v>0.79700000000000004</v>
      </c>
      <c r="L495" s="111">
        <f t="shared" si="64"/>
        <v>-1.3000000000000012E-2</v>
      </c>
      <c r="M495" s="112">
        <f t="shared" si="64"/>
        <v>-1.0000000000000009E-3</v>
      </c>
      <c r="N495" s="112">
        <f t="shared" si="64"/>
        <v>7.0000000000000062E-3</v>
      </c>
      <c r="O495" s="112">
        <f t="shared" si="58"/>
        <v>0.78766666666666663</v>
      </c>
      <c r="P495" s="113">
        <f t="shared" si="59"/>
        <v>0.23333333333333356</v>
      </c>
      <c r="Q495" s="114">
        <f t="shared" si="60"/>
        <v>0.43333333333333374</v>
      </c>
      <c r="R495" s="115" t="str">
        <f t="shared" si="61"/>
        <v xml:space="preserve"> </v>
      </c>
      <c r="S495" s="115" t="str">
        <f t="shared" si="62"/>
        <v xml:space="preserve"> </v>
      </c>
      <c r="T495" s="116" t="str">
        <f t="shared" si="63"/>
        <v/>
      </c>
      <c r="U495" s="120"/>
      <c r="V495" s="118"/>
      <c r="W495" s="131"/>
    </row>
    <row r="496" spans="1:23" ht="13.2">
      <c r="A496" s="102" t="s">
        <v>530</v>
      </c>
      <c r="B496" s="102"/>
      <c r="C496" s="104">
        <v>3</v>
      </c>
      <c r="D496" s="105" t="s">
        <v>64</v>
      </c>
      <c r="E496" s="106">
        <v>0.79</v>
      </c>
      <c r="F496" s="107">
        <v>0.03</v>
      </c>
      <c r="G496" s="108">
        <v>0.03</v>
      </c>
      <c r="H496" s="109" t="s">
        <v>55</v>
      </c>
      <c r="I496" s="110">
        <v>0.79800000000000004</v>
      </c>
      <c r="J496" s="110">
        <v>0.81</v>
      </c>
      <c r="K496" s="119">
        <v>0.79700000000000004</v>
      </c>
      <c r="L496" s="111">
        <f t="shared" si="64"/>
        <v>8.0000000000000071E-3</v>
      </c>
      <c r="M496" s="112">
        <f t="shared" si="64"/>
        <v>2.0000000000000018E-2</v>
      </c>
      <c r="N496" s="112">
        <f t="shared" si="64"/>
        <v>7.0000000000000062E-3</v>
      </c>
      <c r="O496" s="112">
        <f t="shared" si="58"/>
        <v>0.80166666666666675</v>
      </c>
      <c r="P496" s="113">
        <f t="shared" si="59"/>
        <v>0.6666666666666673</v>
      </c>
      <c r="Q496" s="114">
        <f t="shared" si="60"/>
        <v>0</v>
      </c>
      <c r="R496" s="115" t="str">
        <f t="shared" si="61"/>
        <v>Alert</v>
      </c>
      <c r="S496" s="115" t="str">
        <f t="shared" si="62"/>
        <v xml:space="preserve"> </v>
      </c>
      <c r="T496" s="116" t="str">
        <f t="shared" si="63"/>
        <v>Alert</v>
      </c>
      <c r="U496" s="120"/>
      <c r="V496" s="118"/>
      <c r="W496" s="131"/>
    </row>
    <row r="497" spans="1:23" ht="13.2">
      <c r="A497" s="102" t="s">
        <v>531</v>
      </c>
      <c r="B497" s="102"/>
      <c r="C497" s="104">
        <v>3</v>
      </c>
      <c r="D497" s="105" t="s">
        <v>64</v>
      </c>
      <c r="E497" s="106">
        <v>0.79</v>
      </c>
      <c r="F497" s="107">
        <v>0.03</v>
      </c>
      <c r="G497" s="108">
        <v>0.03</v>
      </c>
      <c r="H497" s="109" t="s">
        <v>55</v>
      </c>
      <c r="I497" s="110">
        <v>0.79900000000000004</v>
      </c>
      <c r="J497" s="110">
        <v>0.79300000000000004</v>
      </c>
      <c r="K497" s="119">
        <v>0.79700000000000004</v>
      </c>
      <c r="L497" s="111">
        <f t="shared" si="64"/>
        <v>9.000000000000008E-3</v>
      </c>
      <c r="M497" s="112">
        <f t="shared" si="64"/>
        <v>3.0000000000000027E-3</v>
      </c>
      <c r="N497" s="112">
        <f t="shared" si="64"/>
        <v>7.0000000000000062E-3</v>
      </c>
      <c r="O497" s="112">
        <f t="shared" si="58"/>
        <v>0.79633333333333345</v>
      </c>
      <c r="P497" s="113">
        <f t="shared" si="59"/>
        <v>0.30000000000000027</v>
      </c>
      <c r="Q497" s="114">
        <f t="shared" si="60"/>
        <v>0</v>
      </c>
      <c r="R497" s="115" t="str">
        <f t="shared" si="61"/>
        <v xml:space="preserve"> </v>
      </c>
      <c r="S497" s="115" t="str">
        <f t="shared" si="62"/>
        <v xml:space="preserve"> </v>
      </c>
      <c r="T497" s="116" t="str">
        <f t="shared" si="63"/>
        <v/>
      </c>
      <c r="U497" s="120"/>
      <c r="V497" s="118"/>
      <c r="W497" s="131"/>
    </row>
    <row r="498" spans="1:23" ht="13.2">
      <c r="A498" s="102" t="s">
        <v>532</v>
      </c>
      <c r="B498" s="102"/>
      <c r="C498" s="104">
        <v>3</v>
      </c>
      <c r="D498" s="105" t="s">
        <v>64</v>
      </c>
      <c r="E498" s="106">
        <v>0.79</v>
      </c>
      <c r="F498" s="107">
        <v>0.03</v>
      </c>
      <c r="G498" s="108">
        <v>0.03</v>
      </c>
      <c r="H498" s="109" t="s">
        <v>55</v>
      </c>
      <c r="I498" s="110">
        <v>0.78200000000000003</v>
      </c>
      <c r="J498" s="110">
        <v>0.80300000000000005</v>
      </c>
      <c r="K498" s="119">
        <v>0.77300000000000002</v>
      </c>
      <c r="L498" s="111">
        <f t="shared" si="64"/>
        <v>-8.0000000000000071E-3</v>
      </c>
      <c r="M498" s="112">
        <f t="shared" si="64"/>
        <v>1.3000000000000012E-2</v>
      </c>
      <c r="N498" s="112">
        <f t="shared" si="64"/>
        <v>-1.7000000000000015E-2</v>
      </c>
      <c r="O498" s="112">
        <f t="shared" si="58"/>
        <v>0.78600000000000003</v>
      </c>
      <c r="P498" s="113">
        <f t="shared" si="59"/>
        <v>0.43333333333333374</v>
      </c>
      <c r="Q498" s="114">
        <f t="shared" si="60"/>
        <v>0.56666666666666721</v>
      </c>
      <c r="R498" s="115" t="str">
        <f t="shared" si="61"/>
        <v xml:space="preserve"> </v>
      </c>
      <c r="S498" s="115" t="str">
        <f t="shared" si="62"/>
        <v xml:space="preserve"> </v>
      </c>
      <c r="T498" s="116" t="str">
        <f t="shared" si="63"/>
        <v/>
      </c>
      <c r="U498" s="120"/>
      <c r="V498" s="118"/>
      <c r="W498" s="131"/>
    </row>
    <row r="499" spans="1:23" ht="13.2">
      <c r="A499" s="102" t="s">
        <v>533</v>
      </c>
      <c r="B499" s="102"/>
      <c r="C499" s="104">
        <v>3</v>
      </c>
      <c r="D499" s="105" t="s">
        <v>64</v>
      </c>
      <c r="E499" s="106">
        <v>0.79</v>
      </c>
      <c r="F499" s="107">
        <v>0.03</v>
      </c>
      <c r="G499" s="108">
        <v>0.03</v>
      </c>
      <c r="H499" s="109" t="s">
        <v>55</v>
      </c>
      <c r="I499" s="110">
        <v>0.79200000000000004</v>
      </c>
      <c r="J499" s="110">
        <v>0.79400000000000004</v>
      </c>
      <c r="K499" s="119">
        <v>0.80500000000000005</v>
      </c>
      <c r="L499" s="111">
        <f t="shared" si="64"/>
        <v>2.0000000000000018E-3</v>
      </c>
      <c r="M499" s="112">
        <f t="shared" si="64"/>
        <v>4.0000000000000036E-3</v>
      </c>
      <c r="N499" s="112">
        <f t="shared" si="64"/>
        <v>1.5000000000000013E-2</v>
      </c>
      <c r="O499" s="112">
        <f t="shared" si="58"/>
        <v>0.79700000000000004</v>
      </c>
      <c r="P499" s="113">
        <f t="shared" si="59"/>
        <v>0.50000000000000044</v>
      </c>
      <c r="Q499" s="114">
        <f t="shared" si="60"/>
        <v>0</v>
      </c>
      <c r="R499" s="115" t="str">
        <f t="shared" si="61"/>
        <v xml:space="preserve"> </v>
      </c>
      <c r="S499" s="115" t="str">
        <f t="shared" si="62"/>
        <v xml:space="preserve"> </v>
      </c>
      <c r="T499" s="116" t="str">
        <f t="shared" si="63"/>
        <v/>
      </c>
      <c r="U499" s="120"/>
      <c r="V499" s="118"/>
      <c r="W499" s="131"/>
    </row>
    <row r="500" spans="1:23" ht="13.2">
      <c r="A500" s="102" t="s">
        <v>534</v>
      </c>
      <c r="B500" s="102"/>
      <c r="C500" s="104">
        <v>3</v>
      </c>
      <c r="D500" s="105" t="s">
        <v>64</v>
      </c>
      <c r="E500" s="106">
        <v>0.79</v>
      </c>
      <c r="F500" s="107">
        <v>0.03</v>
      </c>
      <c r="G500" s="108">
        <v>0.03</v>
      </c>
      <c r="H500" s="109" t="s">
        <v>55</v>
      </c>
      <c r="I500" s="110">
        <v>0.79700000000000004</v>
      </c>
      <c r="J500" s="110">
        <v>0.79400000000000004</v>
      </c>
      <c r="K500" s="119">
        <v>0.80100000000000005</v>
      </c>
      <c r="L500" s="111">
        <f t="shared" si="64"/>
        <v>7.0000000000000062E-3</v>
      </c>
      <c r="M500" s="112">
        <f t="shared" si="64"/>
        <v>4.0000000000000036E-3</v>
      </c>
      <c r="N500" s="112">
        <f t="shared" si="64"/>
        <v>1.100000000000001E-2</v>
      </c>
      <c r="O500" s="112">
        <f t="shared" si="58"/>
        <v>0.79733333333333345</v>
      </c>
      <c r="P500" s="113">
        <f t="shared" si="59"/>
        <v>0.36666666666666703</v>
      </c>
      <c r="Q500" s="114">
        <f t="shared" si="60"/>
        <v>0</v>
      </c>
      <c r="R500" s="115" t="str">
        <f t="shared" si="61"/>
        <v xml:space="preserve"> </v>
      </c>
      <c r="S500" s="115" t="str">
        <f t="shared" si="62"/>
        <v xml:space="preserve"> </v>
      </c>
      <c r="T500" s="116" t="str">
        <f t="shared" si="63"/>
        <v/>
      </c>
      <c r="U500" s="120"/>
      <c r="V500" s="118"/>
      <c r="W500" s="131"/>
    </row>
    <row r="501" spans="1:23" ht="13.2">
      <c r="A501" s="102" t="s">
        <v>535</v>
      </c>
      <c r="B501" s="102"/>
      <c r="C501" s="104">
        <v>3</v>
      </c>
      <c r="D501" s="105" t="s">
        <v>64</v>
      </c>
      <c r="E501" s="106">
        <v>0.79</v>
      </c>
      <c r="F501" s="107">
        <v>0.03</v>
      </c>
      <c r="G501" s="108">
        <v>0.03</v>
      </c>
      <c r="H501" s="109" t="s">
        <v>55</v>
      </c>
      <c r="I501" s="110">
        <v>0.79400000000000004</v>
      </c>
      <c r="J501" s="110">
        <v>0.79500000000000004</v>
      </c>
      <c r="K501" s="119">
        <v>0.79500000000000004</v>
      </c>
      <c r="L501" s="111">
        <f t="shared" si="64"/>
        <v>4.0000000000000036E-3</v>
      </c>
      <c r="M501" s="112">
        <f t="shared" si="64"/>
        <v>5.0000000000000044E-3</v>
      </c>
      <c r="N501" s="112">
        <f t="shared" si="64"/>
        <v>5.0000000000000044E-3</v>
      </c>
      <c r="O501" s="112">
        <f t="shared" si="58"/>
        <v>0.79466666666666663</v>
      </c>
      <c r="P501" s="113">
        <f t="shared" si="59"/>
        <v>0.16666666666666682</v>
      </c>
      <c r="Q501" s="114">
        <f t="shared" si="60"/>
        <v>0</v>
      </c>
      <c r="R501" s="115" t="str">
        <f t="shared" si="61"/>
        <v xml:space="preserve"> </v>
      </c>
      <c r="S501" s="115" t="str">
        <f t="shared" si="62"/>
        <v xml:space="preserve"> </v>
      </c>
      <c r="T501" s="116" t="str">
        <f t="shared" si="63"/>
        <v/>
      </c>
      <c r="U501" s="120"/>
      <c r="V501" s="118"/>
      <c r="W501" s="131"/>
    </row>
    <row r="502" spans="1:23" ht="13.2">
      <c r="A502" s="102" t="s">
        <v>536</v>
      </c>
      <c r="B502" s="102"/>
      <c r="C502" s="104">
        <v>3</v>
      </c>
      <c r="D502" s="105" t="s">
        <v>64</v>
      </c>
      <c r="E502" s="106">
        <v>0.79</v>
      </c>
      <c r="F502" s="107">
        <v>0.03</v>
      </c>
      <c r="G502" s="108">
        <v>0.03</v>
      </c>
      <c r="H502" s="109" t="s">
        <v>55</v>
      </c>
      <c r="I502" s="110">
        <v>0.78200000000000003</v>
      </c>
      <c r="J502" s="110">
        <v>0.77400000000000002</v>
      </c>
      <c r="K502" s="119">
        <v>0.79600000000000004</v>
      </c>
      <c r="L502" s="111">
        <f t="shared" si="64"/>
        <v>-8.0000000000000071E-3</v>
      </c>
      <c r="M502" s="112">
        <f t="shared" si="64"/>
        <v>-1.6000000000000014E-2</v>
      </c>
      <c r="N502" s="112">
        <f t="shared" si="64"/>
        <v>6.0000000000000053E-3</v>
      </c>
      <c r="O502" s="112">
        <f t="shared" si="58"/>
        <v>0.78400000000000014</v>
      </c>
      <c r="P502" s="113">
        <f t="shared" si="59"/>
        <v>0.20000000000000018</v>
      </c>
      <c r="Q502" s="114">
        <f t="shared" si="60"/>
        <v>0.53333333333333388</v>
      </c>
      <c r="R502" s="115" t="str">
        <f t="shared" si="61"/>
        <v xml:space="preserve"> </v>
      </c>
      <c r="S502" s="115" t="str">
        <f t="shared" si="62"/>
        <v xml:space="preserve"> </v>
      </c>
      <c r="T502" s="116" t="str">
        <f t="shared" si="63"/>
        <v/>
      </c>
      <c r="U502" s="120"/>
      <c r="V502" s="118"/>
      <c r="W502" s="131"/>
    </row>
    <row r="503" spans="1:23" ht="13.2">
      <c r="A503" s="102" t="s">
        <v>537</v>
      </c>
      <c r="B503" s="102"/>
      <c r="C503" s="104">
        <v>3</v>
      </c>
      <c r="D503" s="105" t="s">
        <v>64</v>
      </c>
      <c r="E503" s="106">
        <v>0.79</v>
      </c>
      <c r="F503" s="107">
        <v>0.03</v>
      </c>
      <c r="G503" s="108">
        <v>0.03</v>
      </c>
      <c r="H503" s="109" t="s">
        <v>55</v>
      </c>
      <c r="I503" s="110">
        <v>0.80100000000000005</v>
      </c>
      <c r="J503" s="110">
        <v>0.80300000000000005</v>
      </c>
      <c r="K503" s="119">
        <v>0.79200000000000004</v>
      </c>
      <c r="L503" s="111">
        <f t="shared" si="64"/>
        <v>1.100000000000001E-2</v>
      </c>
      <c r="M503" s="112">
        <f t="shared" si="64"/>
        <v>1.3000000000000012E-2</v>
      </c>
      <c r="N503" s="112">
        <f t="shared" si="64"/>
        <v>2.0000000000000018E-3</v>
      </c>
      <c r="O503" s="112">
        <f t="shared" si="58"/>
        <v>0.79866666666666664</v>
      </c>
      <c r="P503" s="113">
        <f t="shared" si="59"/>
        <v>0.43333333333333374</v>
      </c>
      <c r="Q503" s="114">
        <f t="shared" si="60"/>
        <v>0</v>
      </c>
      <c r="R503" s="115" t="str">
        <f t="shared" si="61"/>
        <v xml:space="preserve"> </v>
      </c>
      <c r="S503" s="115" t="str">
        <f t="shared" si="62"/>
        <v xml:space="preserve"> </v>
      </c>
      <c r="T503" s="116" t="str">
        <f t="shared" si="63"/>
        <v/>
      </c>
      <c r="U503" s="120"/>
      <c r="V503" s="118"/>
      <c r="W503" s="131"/>
    </row>
    <row r="504" spans="1:23" ht="13.2">
      <c r="A504" s="102" t="s">
        <v>538</v>
      </c>
      <c r="B504" s="102"/>
      <c r="C504" s="104">
        <v>3</v>
      </c>
      <c r="D504" s="105" t="s">
        <v>64</v>
      </c>
      <c r="E504" s="106">
        <v>0.79</v>
      </c>
      <c r="F504" s="107">
        <v>0.03</v>
      </c>
      <c r="G504" s="108">
        <v>0.03</v>
      </c>
      <c r="H504" s="109" t="s">
        <v>55</v>
      </c>
      <c r="I504" s="110">
        <v>0.77500000000000002</v>
      </c>
      <c r="J504" s="110">
        <v>0.78600000000000003</v>
      </c>
      <c r="K504" s="119">
        <v>0.79500000000000004</v>
      </c>
      <c r="L504" s="111">
        <f t="shared" si="64"/>
        <v>-1.5000000000000013E-2</v>
      </c>
      <c r="M504" s="112">
        <f t="shared" si="64"/>
        <v>-4.0000000000000036E-3</v>
      </c>
      <c r="N504" s="112">
        <f t="shared" si="64"/>
        <v>5.0000000000000044E-3</v>
      </c>
      <c r="O504" s="112">
        <f t="shared" si="58"/>
        <v>0.78533333333333333</v>
      </c>
      <c r="P504" s="113">
        <f t="shared" si="59"/>
        <v>0.16666666666666682</v>
      </c>
      <c r="Q504" s="114">
        <f t="shared" si="60"/>
        <v>0.50000000000000044</v>
      </c>
      <c r="R504" s="115" t="str">
        <f t="shared" si="61"/>
        <v xml:space="preserve"> </v>
      </c>
      <c r="S504" s="115" t="str">
        <f t="shared" si="62"/>
        <v xml:space="preserve"> </v>
      </c>
      <c r="T504" s="116" t="str">
        <f t="shared" si="63"/>
        <v/>
      </c>
      <c r="U504" s="120"/>
      <c r="V504" s="118"/>
      <c r="W504" s="131"/>
    </row>
    <row r="505" spans="1:23" ht="13.2">
      <c r="A505" s="102" t="s">
        <v>539</v>
      </c>
      <c r="B505" s="102"/>
      <c r="C505" s="104">
        <v>3</v>
      </c>
      <c r="D505" s="105" t="s">
        <v>64</v>
      </c>
      <c r="E505" s="106">
        <v>0.79</v>
      </c>
      <c r="F505" s="107">
        <v>0.03</v>
      </c>
      <c r="G505" s="108">
        <v>0.03</v>
      </c>
      <c r="H505" s="109" t="s">
        <v>55</v>
      </c>
      <c r="I505" s="110">
        <v>0.79900000000000004</v>
      </c>
      <c r="J505" s="110">
        <v>0.81399999999999995</v>
      </c>
      <c r="K505" s="119">
        <v>0.79800000000000004</v>
      </c>
      <c r="L505" s="111">
        <f t="shared" si="64"/>
        <v>9.000000000000008E-3</v>
      </c>
      <c r="M505" s="112">
        <f t="shared" si="64"/>
        <v>2.399999999999991E-2</v>
      </c>
      <c r="N505" s="112">
        <f t="shared" si="64"/>
        <v>8.0000000000000071E-3</v>
      </c>
      <c r="O505" s="112">
        <f t="shared" si="58"/>
        <v>0.80366666666666664</v>
      </c>
      <c r="P505" s="113">
        <f t="shared" si="59"/>
        <v>0.79999999999999705</v>
      </c>
      <c r="Q505" s="114">
        <f t="shared" si="60"/>
        <v>0</v>
      </c>
      <c r="R505" s="115" t="str">
        <f t="shared" si="61"/>
        <v>Alert</v>
      </c>
      <c r="S505" s="115" t="str">
        <f t="shared" si="62"/>
        <v xml:space="preserve"> </v>
      </c>
      <c r="T505" s="116" t="str">
        <f t="shared" si="63"/>
        <v>Alert</v>
      </c>
      <c r="U505" s="120"/>
      <c r="V505" s="118"/>
      <c r="W505" s="131"/>
    </row>
    <row r="506" spans="1:23" ht="13.2">
      <c r="A506" s="102" t="s">
        <v>540</v>
      </c>
      <c r="B506" s="102"/>
      <c r="C506" s="104">
        <v>3</v>
      </c>
      <c r="D506" s="105" t="s">
        <v>64</v>
      </c>
      <c r="E506" s="106">
        <v>0.79</v>
      </c>
      <c r="F506" s="107">
        <v>0.03</v>
      </c>
      <c r="G506" s="108">
        <v>0.03</v>
      </c>
      <c r="H506" s="109" t="s">
        <v>55</v>
      </c>
      <c r="I506" s="110">
        <v>0.81299999999999994</v>
      </c>
      <c r="J506" s="110">
        <v>0.78600000000000003</v>
      </c>
      <c r="K506" s="119">
        <v>0.78100000000000003</v>
      </c>
      <c r="L506" s="111">
        <f t="shared" si="64"/>
        <v>2.2999999999999909E-2</v>
      </c>
      <c r="M506" s="112">
        <f t="shared" si="64"/>
        <v>-4.0000000000000036E-3</v>
      </c>
      <c r="N506" s="112">
        <f t="shared" si="64"/>
        <v>-9.000000000000008E-3</v>
      </c>
      <c r="O506" s="112">
        <f t="shared" si="58"/>
        <v>0.79333333333333333</v>
      </c>
      <c r="P506" s="113">
        <f t="shared" si="59"/>
        <v>0.76666666666666372</v>
      </c>
      <c r="Q506" s="114">
        <f t="shared" si="60"/>
        <v>0.30000000000000027</v>
      </c>
      <c r="R506" s="115" t="str">
        <f t="shared" si="61"/>
        <v>Alert</v>
      </c>
      <c r="S506" s="115" t="str">
        <f t="shared" si="62"/>
        <v xml:space="preserve"> </v>
      </c>
      <c r="T506" s="116" t="str">
        <f t="shared" si="63"/>
        <v>Alert</v>
      </c>
      <c r="U506" s="120"/>
      <c r="V506" s="118"/>
      <c r="W506" s="131"/>
    </row>
    <row r="507" spans="1:23" ht="13.2">
      <c r="A507" s="102" t="s">
        <v>541</v>
      </c>
      <c r="B507" s="103"/>
      <c r="C507" s="104">
        <v>3</v>
      </c>
      <c r="D507" s="105" t="s">
        <v>64</v>
      </c>
      <c r="E507" s="106">
        <v>0.79</v>
      </c>
      <c r="F507" s="107">
        <v>0.03</v>
      </c>
      <c r="G507" s="108">
        <v>0.03</v>
      </c>
      <c r="H507" s="109" t="s">
        <v>55</v>
      </c>
      <c r="I507" s="110">
        <v>0.78400000000000003</v>
      </c>
      <c r="J507" s="110">
        <v>0.79400000000000004</v>
      </c>
      <c r="K507" s="119">
        <v>0.80600000000000005</v>
      </c>
      <c r="L507" s="111">
        <f t="shared" si="64"/>
        <v>-6.0000000000000053E-3</v>
      </c>
      <c r="M507" s="112">
        <f t="shared" si="64"/>
        <v>4.0000000000000036E-3</v>
      </c>
      <c r="N507" s="112">
        <f t="shared" si="64"/>
        <v>1.6000000000000014E-2</v>
      </c>
      <c r="O507" s="112">
        <f t="shared" si="58"/>
        <v>0.79466666666666674</v>
      </c>
      <c r="P507" s="113">
        <f t="shared" si="59"/>
        <v>0.53333333333333388</v>
      </c>
      <c r="Q507" s="114">
        <f t="shared" si="60"/>
        <v>0.20000000000000018</v>
      </c>
      <c r="R507" s="115" t="str">
        <f t="shared" si="61"/>
        <v xml:space="preserve"> </v>
      </c>
      <c r="S507" s="115" t="str">
        <f t="shared" si="62"/>
        <v xml:space="preserve"> </v>
      </c>
      <c r="T507" s="116" t="str">
        <f t="shared" si="63"/>
        <v/>
      </c>
      <c r="U507" s="120"/>
      <c r="V507" s="118"/>
      <c r="W507" s="131"/>
    </row>
    <row r="508" spans="1:23" ht="13.2">
      <c r="A508" s="102" t="s">
        <v>542</v>
      </c>
      <c r="B508" s="103"/>
      <c r="C508" s="104">
        <v>3</v>
      </c>
      <c r="D508" s="105" t="s">
        <v>64</v>
      </c>
      <c r="E508" s="106">
        <v>0.79</v>
      </c>
      <c r="F508" s="107">
        <v>0.03</v>
      </c>
      <c r="G508" s="108">
        <v>0.03</v>
      </c>
      <c r="H508" s="109" t="s">
        <v>55</v>
      </c>
      <c r="I508" s="110">
        <v>0.79700000000000004</v>
      </c>
      <c r="J508" s="110">
        <v>0.79</v>
      </c>
      <c r="K508" s="119">
        <v>0.78500000000000003</v>
      </c>
      <c r="L508" s="111">
        <f t="shared" si="64"/>
        <v>7.0000000000000062E-3</v>
      </c>
      <c r="M508" s="112">
        <f t="shared" si="64"/>
        <v>0</v>
      </c>
      <c r="N508" s="112">
        <f t="shared" si="64"/>
        <v>-5.0000000000000044E-3</v>
      </c>
      <c r="O508" s="112">
        <f t="shared" si="58"/>
        <v>0.79066666666666674</v>
      </c>
      <c r="P508" s="113">
        <f t="shared" si="59"/>
        <v>0.23333333333333356</v>
      </c>
      <c r="Q508" s="114">
        <f t="shared" si="60"/>
        <v>0.16666666666666682</v>
      </c>
      <c r="R508" s="115" t="str">
        <f t="shared" si="61"/>
        <v xml:space="preserve"> </v>
      </c>
      <c r="S508" s="115" t="str">
        <f t="shared" si="62"/>
        <v xml:space="preserve"> </v>
      </c>
      <c r="T508" s="116" t="str">
        <f t="shared" si="63"/>
        <v/>
      </c>
      <c r="U508" s="120"/>
      <c r="V508" s="118"/>
      <c r="W508" s="131"/>
    </row>
    <row r="509" spans="1:23" ht="13.2">
      <c r="A509" s="102" t="s">
        <v>543</v>
      </c>
      <c r="B509" s="103"/>
      <c r="C509" s="104">
        <v>3</v>
      </c>
      <c r="D509" s="105" t="s">
        <v>64</v>
      </c>
      <c r="E509" s="106">
        <v>0.79</v>
      </c>
      <c r="F509" s="107">
        <v>0.03</v>
      </c>
      <c r="G509" s="108">
        <v>0.03</v>
      </c>
      <c r="H509" s="109" t="s">
        <v>55</v>
      </c>
      <c r="I509" s="110">
        <v>0.78900000000000003</v>
      </c>
      <c r="J509" s="110">
        <v>0.79200000000000004</v>
      </c>
      <c r="K509" s="119">
        <v>0.80300000000000005</v>
      </c>
      <c r="L509" s="111">
        <f t="shared" si="64"/>
        <v>-1.0000000000000009E-3</v>
      </c>
      <c r="M509" s="112">
        <f t="shared" si="64"/>
        <v>2.0000000000000018E-3</v>
      </c>
      <c r="N509" s="112">
        <f t="shared" si="64"/>
        <v>1.3000000000000012E-2</v>
      </c>
      <c r="O509" s="112">
        <f t="shared" si="58"/>
        <v>0.79466666666666663</v>
      </c>
      <c r="P509" s="113">
        <f t="shared" si="59"/>
        <v>0.43333333333333374</v>
      </c>
      <c r="Q509" s="114">
        <f t="shared" si="60"/>
        <v>3.3333333333333368E-2</v>
      </c>
      <c r="R509" s="115" t="str">
        <f t="shared" si="61"/>
        <v xml:space="preserve"> </v>
      </c>
      <c r="S509" s="115" t="str">
        <f t="shared" si="62"/>
        <v xml:space="preserve"> </v>
      </c>
      <c r="T509" s="116" t="str">
        <f t="shared" si="63"/>
        <v/>
      </c>
      <c r="U509" s="120"/>
      <c r="V509" s="118"/>
      <c r="W509" s="131"/>
    </row>
    <row r="510" spans="1:23" ht="13.2">
      <c r="A510" s="102" t="s">
        <v>544</v>
      </c>
      <c r="B510" s="102"/>
      <c r="C510" s="104">
        <v>3</v>
      </c>
      <c r="D510" s="105" t="s">
        <v>64</v>
      </c>
      <c r="E510" s="106">
        <v>0.79</v>
      </c>
      <c r="F510" s="107">
        <v>0.03</v>
      </c>
      <c r="G510" s="108">
        <v>0.03</v>
      </c>
      <c r="H510" s="109" t="s">
        <v>55</v>
      </c>
      <c r="I510" s="110">
        <v>0.79900000000000004</v>
      </c>
      <c r="J510" s="110">
        <v>0.79800000000000004</v>
      </c>
      <c r="K510" s="119">
        <v>0.78700000000000003</v>
      </c>
      <c r="L510" s="111">
        <f t="shared" si="64"/>
        <v>9.000000000000008E-3</v>
      </c>
      <c r="M510" s="112">
        <f t="shared" si="64"/>
        <v>8.0000000000000071E-3</v>
      </c>
      <c r="N510" s="112">
        <f t="shared" si="64"/>
        <v>-3.0000000000000027E-3</v>
      </c>
      <c r="O510" s="112">
        <f t="shared" ref="O510:O573" si="65">IF(ISERR(I510/I510)=TRUE," ",AVERAGE(I510:K510))</f>
        <v>0.79466666666666663</v>
      </c>
      <c r="P510" s="113">
        <f t="shared" ref="P510:P573" si="66">IF(ISBLANK($E510),"",IF(ISNUMBER(F510)=FALSE,"BAD TOL", IF(F510=0,"N/A",IF(ISERR(I510/I510)=TRUE,"BAD INSP",IF(AND(ISNUMBER($I510),ISNUMBER($J510),ISNUMBER($K510))=FALSE,"BAD INSP",IF(MAX($I510:$K510)&lt;$E510,0,(MAX($I510:$K510)-$E510)/$F510))))))</f>
        <v>0.30000000000000027</v>
      </c>
      <c r="Q510" s="114">
        <f t="shared" ref="Q510:Q573" si="67">IF(ISBLANK($E510),"",IF(ISNUMBER(G510)=FALSE,"BAD TOL",IF(G510=0,"N/A",IF(ISERR(I510/I510)=TRUE,"BAD INSP",IF(AND(ISNUMBER($I510),ISNUMBER($J510),ISNUMBER($K510))=FALSE,"BAD INSP",IF(MIN(I510:K510)&gt;$E510,0,($E510-MIN(I510:K510))/G510))))))</f>
        <v>0.10000000000000009</v>
      </c>
      <c r="R510" s="115" t="str">
        <f t="shared" ref="R510:R573" si="68">IF(ISBLANK($E510),"",IF(ISNUMBER($P510)=TRUE,IF($P510&gt;0.651,IF($P510&gt;1.001,"Reject","Alert")," "),IF(AND(F510=0, ISNUMBER(F510)),IF(MAX(I510:K510)&gt;(E510+F510),"Reject",IF(MAX(I510:K510)=(E510+F510),"Alert","")),"Reject")))</f>
        <v xml:space="preserve"> </v>
      </c>
      <c r="S510" s="115" t="str">
        <f t="shared" ref="S510:S573" si="69">IF(ISBLANK($E510),"",IF(ISNUMBER($Q510)=TRUE,IF($Q510&gt;0.651,IF($Q510&gt;1.001,"Reject","Alert")," "),IF(AND(G510=0, ISNUMBER(G510)),IF(MIN(I510:K510)&lt;(E510-G510),"Reject",IF(MIN(I510:K510)=(E510-G510),"Alert","")),"Reject")))</f>
        <v xml:space="preserve"> </v>
      </c>
      <c r="T510" s="116" t="str">
        <f t="shared" ref="T510:T573" si="70">IF(OR(R510="Reject",S510="Reject"),"Reject",IF(OR(R510="Alert",S510="Alert"),"Alert", ""))</f>
        <v/>
      </c>
      <c r="U510" s="120"/>
      <c r="V510" s="118"/>
      <c r="W510" s="131"/>
    </row>
    <row r="511" spans="1:23" ht="13.2">
      <c r="A511" s="102" t="s">
        <v>545</v>
      </c>
      <c r="B511" s="102"/>
      <c r="C511" s="104">
        <v>3</v>
      </c>
      <c r="D511" s="105" t="s">
        <v>64</v>
      </c>
      <c r="E511" s="106">
        <v>0.79</v>
      </c>
      <c r="F511" s="107">
        <v>0.03</v>
      </c>
      <c r="G511" s="108">
        <v>0.03</v>
      </c>
      <c r="H511" s="109" t="s">
        <v>55</v>
      </c>
      <c r="I511" s="110">
        <v>0.79700000000000004</v>
      </c>
      <c r="J511" s="110">
        <v>0.79900000000000004</v>
      </c>
      <c r="K511" s="119">
        <v>0.8</v>
      </c>
      <c r="L511" s="111">
        <f t="shared" si="64"/>
        <v>7.0000000000000062E-3</v>
      </c>
      <c r="M511" s="112">
        <f t="shared" si="64"/>
        <v>9.000000000000008E-3</v>
      </c>
      <c r="N511" s="112">
        <f t="shared" si="64"/>
        <v>1.0000000000000009E-2</v>
      </c>
      <c r="O511" s="112">
        <f t="shared" si="65"/>
        <v>0.79866666666666664</v>
      </c>
      <c r="P511" s="113">
        <f t="shared" si="66"/>
        <v>0.33333333333333365</v>
      </c>
      <c r="Q511" s="114">
        <f t="shared" si="67"/>
        <v>0</v>
      </c>
      <c r="R511" s="115" t="str">
        <f t="shared" si="68"/>
        <v xml:space="preserve"> </v>
      </c>
      <c r="S511" s="115" t="str">
        <f t="shared" si="69"/>
        <v xml:space="preserve"> </v>
      </c>
      <c r="T511" s="116" t="str">
        <f t="shared" si="70"/>
        <v/>
      </c>
      <c r="U511" s="120"/>
      <c r="V511" s="118"/>
      <c r="W511" s="131"/>
    </row>
    <row r="512" spans="1:23" ht="13.2">
      <c r="A512" s="102" t="s">
        <v>546</v>
      </c>
      <c r="B512" s="102"/>
      <c r="C512" s="104">
        <v>3</v>
      </c>
      <c r="D512" s="105" t="s">
        <v>64</v>
      </c>
      <c r="E512" s="106">
        <v>0.79</v>
      </c>
      <c r="F512" s="107">
        <v>0.03</v>
      </c>
      <c r="G512" s="108">
        <v>0.03</v>
      </c>
      <c r="H512" s="109" t="s">
        <v>55</v>
      </c>
      <c r="I512" s="110">
        <v>0.79100000000000004</v>
      </c>
      <c r="J512" s="110">
        <v>0.8</v>
      </c>
      <c r="K512" s="119">
        <v>0.79500000000000004</v>
      </c>
      <c r="L512" s="111">
        <f t="shared" si="64"/>
        <v>1.0000000000000009E-3</v>
      </c>
      <c r="M512" s="112">
        <f t="shared" si="64"/>
        <v>1.0000000000000009E-2</v>
      </c>
      <c r="N512" s="112">
        <f t="shared" si="64"/>
        <v>5.0000000000000044E-3</v>
      </c>
      <c r="O512" s="112">
        <f t="shared" si="65"/>
        <v>0.79533333333333334</v>
      </c>
      <c r="P512" s="113">
        <f t="shared" si="66"/>
        <v>0.33333333333333365</v>
      </c>
      <c r="Q512" s="114">
        <f t="shared" si="67"/>
        <v>0</v>
      </c>
      <c r="R512" s="115" t="str">
        <f t="shared" si="68"/>
        <v xml:space="preserve"> </v>
      </c>
      <c r="S512" s="115" t="str">
        <f t="shared" si="69"/>
        <v xml:space="preserve"> </v>
      </c>
      <c r="T512" s="116" t="str">
        <f t="shared" si="70"/>
        <v/>
      </c>
      <c r="U512" s="120"/>
      <c r="V512" s="118"/>
      <c r="W512" s="131"/>
    </row>
    <row r="513" spans="1:23" ht="13.2">
      <c r="A513" s="102" t="s">
        <v>547</v>
      </c>
      <c r="B513" s="102"/>
      <c r="C513" s="104">
        <v>3</v>
      </c>
      <c r="D513" s="105" t="s">
        <v>64</v>
      </c>
      <c r="E513" s="106">
        <v>0.79</v>
      </c>
      <c r="F513" s="107">
        <v>0.03</v>
      </c>
      <c r="G513" s="108">
        <v>0.03</v>
      </c>
      <c r="H513" s="109" t="s">
        <v>55</v>
      </c>
      <c r="I513" s="110">
        <v>0.79800000000000004</v>
      </c>
      <c r="J513" s="110">
        <v>0.77700000000000002</v>
      </c>
      <c r="K513" s="119">
        <v>0.79800000000000004</v>
      </c>
      <c r="L513" s="111">
        <f t="shared" si="64"/>
        <v>8.0000000000000071E-3</v>
      </c>
      <c r="M513" s="112">
        <f t="shared" si="64"/>
        <v>-1.3000000000000012E-2</v>
      </c>
      <c r="N513" s="112">
        <f t="shared" si="64"/>
        <v>8.0000000000000071E-3</v>
      </c>
      <c r="O513" s="112">
        <f t="shared" si="65"/>
        <v>0.79100000000000004</v>
      </c>
      <c r="P513" s="113">
        <f t="shared" si="66"/>
        <v>0.26666666666666694</v>
      </c>
      <c r="Q513" s="114">
        <f t="shared" si="67"/>
        <v>0.43333333333333374</v>
      </c>
      <c r="R513" s="115" t="str">
        <f t="shared" si="68"/>
        <v xml:space="preserve"> </v>
      </c>
      <c r="S513" s="115" t="str">
        <f t="shared" si="69"/>
        <v xml:space="preserve"> </v>
      </c>
      <c r="T513" s="116" t="str">
        <f t="shared" si="70"/>
        <v/>
      </c>
      <c r="U513" s="120"/>
      <c r="V513" s="118"/>
      <c r="W513" s="131"/>
    </row>
    <row r="514" spans="1:23" ht="13.2">
      <c r="A514" s="102" t="s">
        <v>548</v>
      </c>
      <c r="B514" s="102"/>
      <c r="C514" s="104">
        <v>3</v>
      </c>
      <c r="D514" s="105" t="s">
        <v>64</v>
      </c>
      <c r="E514" s="106">
        <v>0.79</v>
      </c>
      <c r="F514" s="107">
        <v>0.03</v>
      </c>
      <c r="G514" s="108">
        <v>0.03</v>
      </c>
      <c r="H514" s="109" t="s">
        <v>55</v>
      </c>
      <c r="I514" s="110">
        <v>0.79100000000000004</v>
      </c>
      <c r="J514" s="110">
        <v>0.80300000000000005</v>
      </c>
      <c r="K514" s="119">
        <v>0.79100000000000004</v>
      </c>
      <c r="L514" s="111">
        <f t="shared" si="64"/>
        <v>1.0000000000000009E-3</v>
      </c>
      <c r="M514" s="112">
        <f t="shared" si="64"/>
        <v>1.3000000000000012E-2</v>
      </c>
      <c r="N514" s="112">
        <f t="shared" si="64"/>
        <v>1.0000000000000009E-3</v>
      </c>
      <c r="O514" s="112">
        <f t="shared" si="65"/>
        <v>0.79500000000000004</v>
      </c>
      <c r="P514" s="113">
        <f t="shared" si="66"/>
        <v>0.43333333333333374</v>
      </c>
      <c r="Q514" s="114">
        <f t="shared" si="67"/>
        <v>0</v>
      </c>
      <c r="R514" s="115" t="str">
        <f t="shared" si="68"/>
        <v xml:space="preserve"> </v>
      </c>
      <c r="S514" s="115" t="str">
        <f t="shared" si="69"/>
        <v xml:space="preserve"> </v>
      </c>
      <c r="T514" s="116" t="str">
        <f t="shared" si="70"/>
        <v/>
      </c>
      <c r="U514" s="120"/>
      <c r="V514" s="118"/>
      <c r="W514" s="131"/>
    </row>
    <row r="515" spans="1:23" ht="13.2">
      <c r="A515" s="102" t="s">
        <v>549</v>
      </c>
      <c r="B515" s="102"/>
      <c r="C515" s="104">
        <v>3</v>
      </c>
      <c r="D515" s="105" t="s">
        <v>64</v>
      </c>
      <c r="E515" s="106">
        <v>0.79</v>
      </c>
      <c r="F515" s="107">
        <v>0.03</v>
      </c>
      <c r="G515" s="108">
        <v>0.03</v>
      </c>
      <c r="H515" s="109" t="s">
        <v>55</v>
      </c>
      <c r="I515" s="110">
        <v>0.79300000000000004</v>
      </c>
      <c r="J515" s="110">
        <v>0.80200000000000005</v>
      </c>
      <c r="K515" s="119">
        <v>0.8</v>
      </c>
      <c r="L515" s="111">
        <f t="shared" si="64"/>
        <v>3.0000000000000027E-3</v>
      </c>
      <c r="M515" s="112">
        <f t="shared" si="64"/>
        <v>1.2000000000000011E-2</v>
      </c>
      <c r="N515" s="112">
        <f t="shared" si="64"/>
        <v>1.0000000000000009E-2</v>
      </c>
      <c r="O515" s="112">
        <f t="shared" si="65"/>
        <v>0.79833333333333345</v>
      </c>
      <c r="P515" s="113">
        <f t="shared" si="66"/>
        <v>0.40000000000000036</v>
      </c>
      <c r="Q515" s="114">
        <f t="shared" si="67"/>
        <v>0</v>
      </c>
      <c r="R515" s="115" t="str">
        <f t="shared" si="68"/>
        <v xml:space="preserve"> </v>
      </c>
      <c r="S515" s="115" t="str">
        <f t="shared" si="69"/>
        <v xml:space="preserve"> </v>
      </c>
      <c r="T515" s="116" t="str">
        <f t="shared" si="70"/>
        <v/>
      </c>
      <c r="U515" s="120"/>
      <c r="V515" s="118"/>
      <c r="W515" s="131"/>
    </row>
    <row r="516" spans="1:23" ht="13.2">
      <c r="A516" s="102" t="s">
        <v>550</v>
      </c>
      <c r="B516" s="102"/>
      <c r="C516" s="104">
        <v>3</v>
      </c>
      <c r="D516" s="105" t="s">
        <v>64</v>
      </c>
      <c r="E516" s="106">
        <v>0.79</v>
      </c>
      <c r="F516" s="107">
        <v>0.03</v>
      </c>
      <c r="G516" s="108">
        <v>0.03</v>
      </c>
      <c r="H516" s="109" t="s">
        <v>55</v>
      </c>
      <c r="I516" s="110">
        <v>0.78700000000000003</v>
      </c>
      <c r="J516" s="110">
        <v>0.79600000000000004</v>
      </c>
      <c r="K516" s="119">
        <v>0.79300000000000004</v>
      </c>
      <c r="L516" s="111">
        <f t="shared" si="64"/>
        <v>-3.0000000000000027E-3</v>
      </c>
      <c r="M516" s="112">
        <f t="shared" si="64"/>
        <v>6.0000000000000053E-3</v>
      </c>
      <c r="N516" s="112">
        <f t="shared" si="64"/>
        <v>3.0000000000000027E-3</v>
      </c>
      <c r="O516" s="112">
        <f t="shared" si="65"/>
        <v>0.79200000000000015</v>
      </c>
      <c r="P516" s="113">
        <f t="shared" si="66"/>
        <v>0.20000000000000018</v>
      </c>
      <c r="Q516" s="114">
        <f t="shared" si="67"/>
        <v>0.10000000000000009</v>
      </c>
      <c r="R516" s="115" t="str">
        <f t="shared" si="68"/>
        <v xml:space="preserve"> </v>
      </c>
      <c r="S516" s="115" t="str">
        <f t="shared" si="69"/>
        <v xml:space="preserve"> </v>
      </c>
      <c r="T516" s="116" t="str">
        <f t="shared" si="70"/>
        <v/>
      </c>
      <c r="U516" s="120"/>
      <c r="V516" s="118"/>
      <c r="W516" s="131"/>
    </row>
    <row r="517" spans="1:23" ht="13.2">
      <c r="A517" s="102" t="s">
        <v>551</v>
      </c>
      <c r="B517" s="102"/>
      <c r="C517" s="104">
        <v>3</v>
      </c>
      <c r="D517" s="105" t="s">
        <v>64</v>
      </c>
      <c r="E517" s="106">
        <v>0.79</v>
      </c>
      <c r="F517" s="107">
        <v>0.03</v>
      </c>
      <c r="G517" s="108">
        <v>0.03</v>
      </c>
      <c r="H517" s="109" t="s">
        <v>55</v>
      </c>
      <c r="I517" s="110">
        <v>0.78900000000000003</v>
      </c>
      <c r="J517" s="110">
        <v>0.79500000000000004</v>
      </c>
      <c r="K517" s="119">
        <v>0.78500000000000003</v>
      </c>
      <c r="L517" s="111">
        <f t="shared" si="64"/>
        <v>-1.0000000000000009E-3</v>
      </c>
      <c r="M517" s="112">
        <f t="shared" si="64"/>
        <v>5.0000000000000044E-3</v>
      </c>
      <c r="N517" s="112">
        <f t="shared" si="64"/>
        <v>-5.0000000000000044E-3</v>
      </c>
      <c r="O517" s="112">
        <f t="shared" si="65"/>
        <v>0.78966666666666674</v>
      </c>
      <c r="P517" s="113">
        <f t="shared" si="66"/>
        <v>0.16666666666666682</v>
      </c>
      <c r="Q517" s="114">
        <f t="shared" si="67"/>
        <v>0.16666666666666682</v>
      </c>
      <c r="R517" s="115" t="str">
        <f t="shared" si="68"/>
        <v xml:space="preserve"> </v>
      </c>
      <c r="S517" s="115" t="str">
        <f t="shared" si="69"/>
        <v xml:space="preserve"> </v>
      </c>
      <c r="T517" s="116" t="str">
        <f t="shared" si="70"/>
        <v/>
      </c>
      <c r="U517" s="120"/>
      <c r="V517" s="118"/>
      <c r="W517" s="131"/>
    </row>
    <row r="518" spans="1:23" ht="13.2">
      <c r="A518" s="102" t="s">
        <v>552</v>
      </c>
      <c r="B518" s="102"/>
      <c r="C518" s="104">
        <v>3</v>
      </c>
      <c r="D518" s="105" t="s">
        <v>64</v>
      </c>
      <c r="E518" s="106">
        <v>0.79</v>
      </c>
      <c r="F518" s="107">
        <v>0.03</v>
      </c>
      <c r="G518" s="108">
        <v>0.03</v>
      </c>
      <c r="H518" s="109" t="s">
        <v>55</v>
      </c>
      <c r="I518" s="110">
        <v>0.79100000000000004</v>
      </c>
      <c r="J518" s="110">
        <v>0.76700000000000002</v>
      </c>
      <c r="K518" s="119">
        <v>0.78600000000000003</v>
      </c>
      <c r="L518" s="111">
        <f t="shared" si="64"/>
        <v>1.0000000000000009E-3</v>
      </c>
      <c r="M518" s="112">
        <f t="shared" si="64"/>
        <v>-2.300000000000002E-2</v>
      </c>
      <c r="N518" s="112">
        <f t="shared" si="64"/>
        <v>-4.0000000000000036E-3</v>
      </c>
      <c r="O518" s="112">
        <f t="shared" si="65"/>
        <v>0.78133333333333344</v>
      </c>
      <c r="P518" s="113">
        <f t="shared" si="66"/>
        <v>3.3333333333333368E-2</v>
      </c>
      <c r="Q518" s="114">
        <f t="shared" si="67"/>
        <v>0.76666666666666738</v>
      </c>
      <c r="R518" s="115" t="str">
        <f t="shared" si="68"/>
        <v xml:space="preserve"> </v>
      </c>
      <c r="S518" s="115" t="str">
        <f t="shared" si="69"/>
        <v>Alert</v>
      </c>
      <c r="T518" s="116" t="str">
        <f t="shared" si="70"/>
        <v>Alert</v>
      </c>
      <c r="U518" s="120"/>
      <c r="V518" s="118"/>
      <c r="W518" s="131"/>
    </row>
    <row r="519" spans="1:23" ht="13.2">
      <c r="A519" s="102" t="s">
        <v>553</v>
      </c>
      <c r="B519" s="102"/>
      <c r="C519" s="104">
        <v>3</v>
      </c>
      <c r="D519" s="105" t="s">
        <v>64</v>
      </c>
      <c r="E519" s="106">
        <v>0.79</v>
      </c>
      <c r="F519" s="107">
        <v>0.03</v>
      </c>
      <c r="G519" s="108">
        <v>0.03</v>
      </c>
      <c r="H519" s="109" t="s">
        <v>55</v>
      </c>
      <c r="I519" s="110">
        <v>0.79500000000000004</v>
      </c>
      <c r="J519" s="110">
        <v>0.79900000000000004</v>
      </c>
      <c r="K519" s="119">
        <v>0.81</v>
      </c>
      <c r="L519" s="111">
        <f t="shared" si="64"/>
        <v>5.0000000000000044E-3</v>
      </c>
      <c r="M519" s="112">
        <f t="shared" si="64"/>
        <v>9.000000000000008E-3</v>
      </c>
      <c r="N519" s="112">
        <f t="shared" si="64"/>
        <v>2.0000000000000018E-2</v>
      </c>
      <c r="O519" s="112">
        <f t="shared" si="65"/>
        <v>0.80133333333333334</v>
      </c>
      <c r="P519" s="113">
        <f t="shared" si="66"/>
        <v>0.6666666666666673</v>
      </c>
      <c r="Q519" s="114">
        <f t="shared" si="67"/>
        <v>0</v>
      </c>
      <c r="R519" s="115" t="str">
        <f t="shared" si="68"/>
        <v>Alert</v>
      </c>
      <c r="S519" s="115" t="str">
        <f t="shared" si="69"/>
        <v xml:space="preserve"> </v>
      </c>
      <c r="T519" s="116" t="str">
        <f t="shared" si="70"/>
        <v>Alert</v>
      </c>
      <c r="U519" s="120"/>
      <c r="V519" s="118"/>
      <c r="W519" s="131"/>
    </row>
    <row r="520" spans="1:23" ht="13.2">
      <c r="A520" s="102" t="s">
        <v>554</v>
      </c>
      <c r="B520" s="102"/>
      <c r="C520" s="104">
        <v>3</v>
      </c>
      <c r="D520" s="105" t="s">
        <v>64</v>
      </c>
      <c r="E520" s="106">
        <v>0.79</v>
      </c>
      <c r="F520" s="107">
        <v>0.03</v>
      </c>
      <c r="G520" s="108">
        <v>0.03</v>
      </c>
      <c r="H520" s="109" t="s">
        <v>55</v>
      </c>
      <c r="I520" s="110">
        <v>0.80400000000000005</v>
      </c>
      <c r="J520" s="110">
        <v>0.79800000000000004</v>
      </c>
      <c r="K520" s="119">
        <v>0.79800000000000004</v>
      </c>
      <c r="L520" s="111">
        <f t="shared" si="64"/>
        <v>1.4000000000000012E-2</v>
      </c>
      <c r="M520" s="112">
        <f t="shared" si="64"/>
        <v>8.0000000000000071E-3</v>
      </c>
      <c r="N520" s="112">
        <f t="shared" si="64"/>
        <v>8.0000000000000071E-3</v>
      </c>
      <c r="O520" s="112">
        <f t="shared" si="65"/>
        <v>0.80000000000000016</v>
      </c>
      <c r="P520" s="113">
        <f t="shared" si="66"/>
        <v>0.46666666666666712</v>
      </c>
      <c r="Q520" s="114">
        <f t="shared" si="67"/>
        <v>0</v>
      </c>
      <c r="R520" s="115" t="str">
        <f t="shared" si="68"/>
        <v xml:space="preserve"> </v>
      </c>
      <c r="S520" s="115" t="str">
        <f t="shared" si="69"/>
        <v xml:space="preserve"> </v>
      </c>
      <c r="T520" s="116" t="str">
        <f t="shared" si="70"/>
        <v/>
      </c>
      <c r="U520" s="120"/>
      <c r="V520" s="118"/>
      <c r="W520" s="131"/>
    </row>
    <row r="521" spans="1:23" ht="13.2">
      <c r="A521" s="102" t="s">
        <v>555</v>
      </c>
      <c r="B521" s="102"/>
      <c r="C521" s="104">
        <v>3</v>
      </c>
      <c r="D521" s="105" t="s">
        <v>64</v>
      </c>
      <c r="E521" s="106">
        <v>0.79</v>
      </c>
      <c r="F521" s="107">
        <v>0.03</v>
      </c>
      <c r="G521" s="108">
        <v>0.03</v>
      </c>
      <c r="H521" s="109" t="s">
        <v>55</v>
      </c>
      <c r="I521" s="110">
        <v>0.78800000000000003</v>
      </c>
      <c r="J521" s="110">
        <v>0.81299999999999994</v>
      </c>
      <c r="K521" s="119">
        <v>0.78900000000000003</v>
      </c>
      <c r="L521" s="111">
        <f t="shared" si="64"/>
        <v>-2.0000000000000018E-3</v>
      </c>
      <c r="M521" s="112">
        <f t="shared" si="64"/>
        <v>2.2999999999999909E-2</v>
      </c>
      <c r="N521" s="112">
        <f t="shared" si="64"/>
        <v>-1.0000000000000009E-3</v>
      </c>
      <c r="O521" s="112">
        <f t="shared" si="65"/>
        <v>0.79666666666666675</v>
      </c>
      <c r="P521" s="113">
        <f t="shared" si="66"/>
        <v>0.76666666666666372</v>
      </c>
      <c r="Q521" s="114">
        <f t="shared" si="67"/>
        <v>6.6666666666666735E-2</v>
      </c>
      <c r="R521" s="115" t="str">
        <f t="shared" si="68"/>
        <v>Alert</v>
      </c>
      <c r="S521" s="115" t="str">
        <f t="shared" si="69"/>
        <v xml:space="preserve"> </v>
      </c>
      <c r="T521" s="116" t="str">
        <f t="shared" si="70"/>
        <v>Alert</v>
      </c>
      <c r="U521" s="120"/>
      <c r="V521" s="118"/>
      <c r="W521" s="131"/>
    </row>
    <row r="522" spans="1:23" ht="13.2">
      <c r="A522" s="102" t="s">
        <v>556</v>
      </c>
      <c r="B522" s="103"/>
      <c r="C522" s="104">
        <v>3</v>
      </c>
      <c r="D522" s="105" t="s">
        <v>64</v>
      </c>
      <c r="E522" s="106">
        <v>0.79</v>
      </c>
      <c r="F522" s="107">
        <v>0.03</v>
      </c>
      <c r="G522" s="108">
        <v>0.03</v>
      </c>
      <c r="H522" s="109" t="s">
        <v>55</v>
      </c>
      <c r="I522" s="110">
        <v>0.80100000000000005</v>
      </c>
      <c r="J522" s="110">
        <v>0.78900000000000003</v>
      </c>
      <c r="K522" s="119">
        <v>0.79100000000000004</v>
      </c>
      <c r="L522" s="111">
        <f t="shared" si="64"/>
        <v>1.100000000000001E-2</v>
      </c>
      <c r="M522" s="112">
        <f t="shared" si="64"/>
        <v>-1.0000000000000009E-3</v>
      </c>
      <c r="N522" s="112">
        <f t="shared" si="64"/>
        <v>1.0000000000000009E-3</v>
      </c>
      <c r="O522" s="112">
        <f t="shared" si="65"/>
        <v>0.79366666666666674</v>
      </c>
      <c r="P522" s="113">
        <f t="shared" si="66"/>
        <v>0.36666666666666703</v>
      </c>
      <c r="Q522" s="114">
        <f t="shared" si="67"/>
        <v>3.3333333333333368E-2</v>
      </c>
      <c r="R522" s="115" t="str">
        <f t="shared" si="68"/>
        <v xml:space="preserve"> </v>
      </c>
      <c r="S522" s="115" t="str">
        <f t="shared" si="69"/>
        <v xml:space="preserve"> </v>
      </c>
      <c r="T522" s="116" t="str">
        <f t="shared" si="70"/>
        <v/>
      </c>
      <c r="U522" s="120"/>
      <c r="V522" s="118"/>
      <c r="W522" s="131"/>
    </row>
    <row r="523" spans="1:23" ht="13.2">
      <c r="A523" s="102" t="s">
        <v>557</v>
      </c>
      <c r="B523" s="103"/>
      <c r="C523" s="104">
        <v>3</v>
      </c>
      <c r="D523" s="105" t="s">
        <v>64</v>
      </c>
      <c r="E523" s="106">
        <v>0.79</v>
      </c>
      <c r="F523" s="107">
        <v>0.03</v>
      </c>
      <c r="G523" s="108">
        <v>0.03</v>
      </c>
      <c r="H523" s="109" t="s">
        <v>55</v>
      </c>
      <c r="I523" s="110">
        <v>0.80100000000000005</v>
      </c>
      <c r="J523" s="110">
        <v>0.80100000000000005</v>
      </c>
      <c r="K523" s="119">
        <v>0.80200000000000005</v>
      </c>
      <c r="L523" s="111">
        <f t="shared" si="64"/>
        <v>1.100000000000001E-2</v>
      </c>
      <c r="M523" s="112">
        <f t="shared" si="64"/>
        <v>1.100000000000001E-2</v>
      </c>
      <c r="N523" s="112">
        <f t="shared" si="64"/>
        <v>1.2000000000000011E-2</v>
      </c>
      <c r="O523" s="112">
        <f t="shared" si="65"/>
        <v>0.80133333333333334</v>
      </c>
      <c r="P523" s="113">
        <f t="shared" si="66"/>
        <v>0.40000000000000036</v>
      </c>
      <c r="Q523" s="114">
        <f t="shared" si="67"/>
        <v>0</v>
      </c>
      <c r="R523" s="115" t="str">
        <f t="shared" si="68"/>
        <v xml:space="preserve"> </v>
      </c>
      <c r="S523" s="115" t="str">
        <f t="shared" si="69"/>
        <v xml:space="preserve"> </v>
      </c>
      <c r="T523" s="116" t="str">
        <f t="shared" si="70"/>
        <v/>
      </c>
      <c r="U523" s="120"/>
      <c r="V523" s="118"/>
      <c r="W523" s="131"/>
    </row>
    <row r="524" spans="1:23" ht="13.2">
      <c r="A524" s="102" t="s">
        <v>558</v>
      </c>
      <c r="B524" s="103"/>
      <c r="C524" s="104">
        <v>3</v>
      </c>
      <c r="D524" s="105" t="s">
        <v>64</v>
      </c>
      <c r="E524" s="106">
        <v>0.79</v>
      </c>
      <c r="F524" s="107">
        <v>0.03</v>
      </c>
      <c r="G524" s="108">
        <v>0.03</v>
      </c>
      <c r="H524" s="109" t="s">
        <v>55</v>
      </c>
      <c r="I524" s="110">
        <v>0.78400000000000003</v>
      </c>
      <c r="J524" s="110">
        <v>0.78100000000000003</v>
      </c>
      <c r="K524" s="119">
        <v>0.78300000000000003</v>
      </c>
      <c r="L524" s="111">
        <f t="shared" si="64"/>
        <v>-6.0000000000000053E-3</v>
      </c>
      <c r="M524" s="112">
        <f t="shared" si="64"/>
        <v>-9.000000000000008E-3</v>
      </c>
      <c r="N524" s="112">
        <f t="shared" si="64"/>
        <v>-7.0000000000000062E-3</v>
      </c>
      <c r="O524" s="112">
        <f t="shared" si="65"/>
        <v>0.78266666666666662</v>
      </c>
      <c r="P524" s="113">
        <f t="shared" si="66"/>
        <v>0</v>
      </c>
      <c r="Q524" s="114">
        <f t="shared" si="67"/>
        <v>0.30000000000000027</v>
      </c>
      <c r="R524" s="115" t="str">
        <f t="shared" si="68"/>
        <v xml:space="preserve"> </v>
      </c>
      <c r="S524" s="115" t="str">
        <f t="shared" si="69"/>
        <v xml:space="preserve"> </v>
      </c>
      <c r="T524" s="116" t="str">
        <f t="shared" si="70"/>
        <v/>
      </c>
      <c r="U524" s="120"/>
      <c r="V524" s="118"/>
      <c r="W524" s="131"/>
    </row>
    <row r="525" spans="1:23" ht="13.2">
      <c r="A525" s="102" t="s">
        <v>559</v>
      </c>
      <c r="B525" s="102"/>
      <c r="C525" s="104">
        <v>3</v>
      </c>
      <c r="D525" s="105" t="s">
        <v>64</v>
      </c>
      <c r="E525" s="106">
        <v>0.79</v>
      </c>
      <c r="F525" s="107">
        <v>0.03</v>
      </c>
      <c r="G525" s="108">
        <v>0.03</v>
      </c>
      <c r="H525" s="109" t="s">
        <v>55</v>
      </c>
      <c r="I525" s="110">
        <v>0.8</v>
      </c>
      <c r="J525" s="110">
        <v>0.79400000000000004</v>
      </c>
      <c r="K525" s="119">
        <v>0.79200000000000004</v>
      </c>
      <c r="L525" s="111">
        <f t="shared" si="64"/>
        <v>1.0000000000000009E-2</v>
      </c>
      <c r="M525" s="112">
        <f t="shared" si="64"/>
        <v>4.0000000000000036E-3</v>
      </c>
      <c r="N525" s="112">
        <f t="shared" si="64"/>
        <v>2.0000000000000018E-3</v>
      </c>
      <c r="O525" s="112">
        <f t="shared" si="65"/>
        <v>0.79533333333333334</v>
      </c>
      <c r="P525" s="113">
        <f t="shared" si="66"/>
        <v>0.33333333333333365</v>
      </c>
      <c r="Q525" s="114">
        <f t="shared" si="67"/>
        <v>0</v>
      </c>
      <c r="R525" s="115" t="str">
        <f t="shared" si="68"/>
        <v xml:space="preserve"> </v>
      </c>
      <c r="S525" s="115" t="str">
        <f t="shared" si="69"/>
        <v xml:space="preserve"> </v>
      </c>
      <c r="T525" s="116" t="str">
        <f t="shared" si="70"/>
        <v/>
      </c>
      <c r="U525" s="120"/>
      <c r="V525" s="118"/>
      <c r="W525" s="131"/>
    </row>
    <row r="526" spans="1:23" ht="13.2">
      <c r="A526" s="102" t="s">
        <v>560</v>
      </c>
      <c r="B526" s="102"/>
      <c r="C526" s="104">
        <v>3</v>
      </c>
      <c r="D526" s="105" t="s">
        <v>64</v>
      </c>
      <c r="E526" s="106">
        <v>0.79</v>
      </c>
      <c r="F526" s="107">
        <v>0.03</v>
      </c>
      <c r="G526" s="108">
        <v>0.03</v>
      </c>
      <c r="H526" s="109" t="s">
        <v>55</v>
      </c>
      <c r="I526" s="110">
        <v>0.78800000000000003</v>
      </c>
      <c r="J526" s="110">
        <v>0.80400000000000005</v>
      </c>
      <c r="K526" s="119">
        <v>0.80600000000000005</v>
      </c>
      <c r="L526" s="111">
        <f t="shared" si="64"/>
        <v>-2.0000000000000018E-3</v>
      </c>
      <c r="M526" s="112">
        <f t="shared" si="64"/>
        <v>1.4000000000000012E-2</v>
      </c>
      <c r="N526" s="112">
        <f t="shared" si="64"/>
        <v>1.6000000000000014E-2</v>
      </c>
      <c r="O526" s="112">
        <f t="shared" si="65"/>
        <v>0.79933333333333334</v>
      </c>
      <c r="P526" s="113">
        <f t="shared" si="66"/>
        <v>0.53333333333333388</v>
      </c>
      <c r="Q526" s="114">
        <f t="shared" si="67"/>
        <v>6.6666666666666735E-2</v>
      </c>
      <c r="R526" s="115" t="str">
        <f t="shared" si="68"/>
        <v xml:space="preserve"> </v>
      </c>
      <c r="S526" s="115" t="str">
        <f t="shared" si="69"/>
        <v xml:space="preserve"> </v>
      </c>
      <c r="T526" s="116" t="str">
        <f t="shared" si="70"/>
        <v/>
      </c>
      <c r="U526" s="120"/>
      <c r="V526" s="118"/>
      <c r="W526" s="131"/>
    </row>
    <row r="527" spans="1:23" ht="13.2">
      <c r="A527" s="102" t="s">
        <v>561</v>
      </c>
      <c r="B527" s="102"/>
      <c r="C527" s="104">
        <v>3</v>
      </c>
      <c r="D527" s="105" t="s">
        <v>64</v>
      </c>
      <c r="E527" s="106">
        <v>0.79</v>
      </c>
      <c r="F527" s="107">
        <v>0.03</v>
      </c>
      <c r="G527" s="108">
        <v>0.03</v>
      </c>
      <c r="H527" s="109" t="s">
        <v>55</v>
      </c>
      <c r="I527" s="110">
        <v>0.79900000000000004</v>
      </c>
      <c r="J527" s="110">
        <v>0.79</v>
      </c>
      <c r="K527" s="119">
        <v>0.79700000000000004</v>
      </c>
      <c r="L527" s="111">
        <f t="shared" si="64"/>
        <v>9.000000000000008E-3</v>
      </c>
      <c r="M527" s="112">
        <f t="shared" si="64"/>
        <v>0</v>
      </c>
      <c r="N527" s="112">
        <f t="shared" si="64"/>
        <v>7.0000000000000062E-3</v>
      </c>
      <c r="O527" s="112">
        <f t="shared" si="65"/>
        <v>0.79533333333333334</v>
      </c>
      <c r="P527" s="113">
        <f t="shared" si="66"/>
        <v>0.30000000000000027</v>
      </c>
      <c r="Q527" s="114">
        <f t="shared" si="67"/>
        <v>0</v>
      </c>
      <c r="R527" s="115" t="str">
        <f t="shared" si="68"/>
        <v xml:space="preserve"> </v>
      </c>
      <c r="S527" s="115" t="str">
        <f t="shared" si="69"/>
        <v xml:space="preserve"> </v>
      </c>
      <c r="T527" s="116" t="str">
        <f t="shared" si="70"/>
        <v/>
      </c>
      <c r="U527" s="120"/>
      <c r="V527" s="118"/>
      <c r="W527" s="131"/>
    </row>
    <row r="528" spans="1:23" ht="13.2">
      <c r="A528" s="102" t="s">
        <v>562</v>
      </c>
      <c r="B528" s="102"/>
      <c r="C528" s="104">
        <v>3</v>
      </c>
      <c r="D528" s="105" t="s">
        <v>64</v>
      </c>
      <c r="E528" s="106">
        <v>0.79</v>
      </c>
      <c r="F528" s="107">
        <v>0.03</v>
      </c>
      <c r="G528" s="108">
        <v>0.03</v>
      </c>
      <c r="H528" s="109" t="s">
        <v>55</v>
      </c>
      <c r="I528" s="110">
        <v>0.78600000000000003</v>
      </c>
      <c r="J528" s="110">
        <v>0.79200000000000004</v>
      </c>
      <c r="K528" s="119">
        <v>0.79500000000000004</v>
      </c>
      <c r="L528" s="111">
        <f t="shared" si="64"/>
        <v>-4.0000000000000036E-3</v>
      </c>
      <c r="M528" s="112">
        <f t="shared" si="64"/>
        <v>2.0000000000000018E-3</v>
      </c>
      <c r="N528" s="112">
        <f t="shared" si="64"/>
        <v>5.0000000000000044E-3</v>
      </c>
      <c r="O528" s="112">
        <f t="shared" si="65"/>
        <v>0.79100000000000004</v>
      </c>
      <c r="P528" s="113">
        <f t="shared" si="66"/>
        <v>0.16666666666666682</v>
      </c>
      <c r="Q528" s="114">
        <f t="shared" si="67"/>
        <v>0.13333333333333347</v>
      </c>
      <c r="R528" s="115" t="str">
        <f t="shared" si="68"/>
        <v xml:space="preserve"> </v>
      </c>
      <c r="S528" s="115" t="str">
        <f t="shared" si="69"/>
        <v xml:space="preserve"> </v>
      </c>
      <c r="T528" s="116" t="str">
        <f t="shared" si="70"/>
        <v/>
      </c>
      <c r="U528" s="120"/>
      <c r="V528" s="118"/>
      <c r="W528" s="131"/>
    </row>
    <row r="529" spans="1:23" ht="13.2">
      <c r="A529" s="102" t="s">
        <v>563</v>
      </c>
      <c r="B529" s="102"/>
      <c r="C529" s="104">
        <v>3</v>
      </c>
      <c r="D529" s="105" t="s">
        <v>64</v>
      </c>
      <c r="E529" s="106">
        <v>0.79</v>
      </c>
      <c r="F529" s="107">
        <v>0.03</v>
      </c>
      <c r="G529" s="108">
        <v>0.03</v>
      </c>
      <c r="H529" s="109" t="s">
        <v>55</v>
      </c>
      <c r="I529" s="110">
        <v>0.78600000000000003</v>
      </c>
      <c r="J529" s="110">
        <v>0.78600000000000003</v>
      </c>
      <c r="K529" s="119">
        <v>0.77800000000000002</v>
      </c>
      <c r="L529" s="111">
        <f t="shared" si="64"/>
        <v>-4.0000000000000036E-3</v>
      </c>
      <c r="M529" s="112">
        <f t="shared" si="64"/>
        <v>-4.0000000000000036E-3</v>
      </c>
      <c r="N529" s="112">
        <f t="shared" si="64"/>
        <v>-1.2000000000000011E-2</v>
      </c>
      <c r="O529" s="112">
        <f t="shared" si="65"/>
        <v>0.78333333333333333</v>
      </c>
      <c r="P529" s="113">
        <f t="shared" si="66"/>
        <v>0</v>
      </c>
      <c r="Q529" s="114">
        <f t="shared" si="67"/>
        <v>0.40000000000000036</v>
      </c>
      <c r="R529" s="115" t="str">
        <f t="shared" si="68"/>
        <v xml:space="preserve"> </v>
      </c>
      <c r="S529" s="115" t="str">
        <f t="shared" si="69"/>
        <v xml:space="preserve"> </v>
      </c>
      <c r="T529" s="116" t="str">
        <f t="shared" si="70"/>
        <v/>
      </c>
      <c r="U529" s="120"/>
      <c r="V529" s="118"/>
      <c r="W529" s="131"/>
    </row>
    <row r="530" spans="1:23" ht="13.2">
      <c r="A530" s="102" t="s">
        <v>564</v>
      </c>
      <c r="B530" s="102"/>
      <c r="C530" s="104">
        <v>3</v>
      </c>
      <c r="D530" s="105" t="s">
        <v>64</v>
      </c>
      <c r="E530" s="106">
        <v>0.79</v>
      </c>
      <c r="F530" s="107">
        <v>0.03</v>
      </c>
      <c r="G530" s="108">
        <v>0.03</v>
      </c>
      <c r="H530" s="109" t="s">
        <v>55</v>
      </c>
      <c r="I530" s="110">
        <v>0.79500000000000004</v>
      </c>
      <c r="J530" s="110">
        <v>0.80300000000000005</v>
      </c>
      <c r="K530" s="119">
        <v>0.79100000000000004</v>
      </c>
      <c r="L530" s="111">
        <f t="shared" si="64"/>
        <v>5.0000000000000044E-3</v>
      </c>
      <c r="M530" s="112">
        <f t="shared" si="64"/>
        <v>1.3000000000000012E-2</v>
      </c>
      <c r="N530" s="112">
        <f t="shared" si="64"/>
        <v>1.0000000000000009E-3</v>
      </c>
      <c r="O530" s="112">
        <f t="shared" si="65"/>
        <v>0.79633333333333345</v>
      </c>
      <c r="P530" s="113">
        <f t="shared" si="66"/>
        <v>0.43333333333333374</v>
      </c>
      <c r="Q530" s="114">
        <f t="shared" si="67"/>
        <v>0</v>
      </c>
      <c r="R530" s="115" t="str">
        <f t="shared" si="68"/>
        <v xml:space="preserve"> </v>
      </c>
      <c r="S530" s="115" t="str">
        <f t="shared" si="69"/>
        <v xml:space="preserve"> </v>
      </c>
      <c r="T530" s="116" t="str">
        <f t="shared" si="70"/>
        <v/>
      </c>
      <c r="U530" s="120"/>
      <c r="V530" s="118"/>
      <c r="W530" s="131"/>
    </row>
    <row r="531" spans="1:23" ht="13.2">
      <c r="A531" s="102" t="s">
        <v>565</v>
      </c>
      <c r="B531" s="102"/>
      <c r="C531" s="104">
        <v>3</v>
      </c>
      <c r="D531" s="105" t="s">
        <v>64</v>
      </c>
      <c r="E531" s="106">
        <v>0.79</v>
      </c>
      <c r="F531" s="107">
        <v>0.03</v>
      </c>
      <c r="G531" s="108">
        <v>0.03</v>
      </c>
      <c r="H531" s="109" t="s">
        <v>55</v>
      </c>
      <c r="I531" s="110">
        <v>0.79100000000000004</v>
      </c>
      <c r="J531" s="110">
        <v>0.78900000000000003</v>
      </c>
      <c r="K531" s="119">
        <v>0.81399999999999995</v>
      </c>
      <c r="L531" s="111">
        <f t="shared" si="64"/>
        <v>1.0000000000000009E-3</v>
      </c>
      <c r="M531" s="112">
        <f t="shared" si="64"/>
        <v>-1.0000000000000009E-3</v>
      </c>
      <c r="N531" s="112">
        <f t="shared" si="64"/>
        <v>2.399999999999991E-2</v>
      </c>
      <c r="O531" s="112">
        <f t="shared" si="65"/>
        <v>0.79800000000000004</v>
      </c>
      <c r="P531" s="113">
        <f t="shared" si="66"/>
        <v>0.79999999999999705</v>
      </c>
      <c r="Q531" s="114">
        <f t="shared" si="67"/>
        <v>3.3333333333333368E-2</v>
      </c>
      <c r="R531" s="115" t="str">
        <f t="shared" si="68"/>
        <v>Alert</v>
      </c>
      <c r="S531" s="115" t="str">
        <f t="shared" si="69"/>
        <v xml:space="preserve"> </v>
      </c>
      <c r="T531" s="116" t="str">
        <f t="shared" si="70"/>
        <v>Alert</v>
      </c>
      <c r="U531" s="120"/>
      <c r="V531" s="118"/>
      <c r="W531" s="131"/>
    </row>
    <row r="532" spans="1:23" ht="13.2">
      <c r="A532" s="102" t="s">
        <v>566</v>
      </c>
      <c r="B532" s="102"/>
      <c r="C532" s="104">
        <v>3</v>
      </c>
      <c r="D532" s="105" t="s">
        <v>64</v>
      </c>
      <c r="E532" s="106">
        <v>0.79</v>
      </c>
      <c r="F532" s="107">
        <v>0.03</v>
      </c>
      <c r="G532" s="108">
        <v>0.03</v>
      </c>
      <c r="H532" s="109" t="s">
        <v>55</v>
      </c>
      <c r="I532" s="110">
        <v>0.79400000000000004</v>
      </c>
      <c r="J532" s="110">
        <v>0.80500000000000005</v>
      </c>
      <c r="K532" s="119">
        <v>0.78100000000000003</v>
      </c>
      <c r="L532" s="111">
        <f t="shared" si="64"/>
        <v>4.0000000000000036E-3</v>
      </c>
      <c r="M532" s="112">
        <f t="shared" si="64"/>
        <v>1.5000000000000013E-2</v>
      </c>
      <c r="N532" s="112">
        <f t="shared" si="64"/>
        <v>-9.000000000000008E-3</v>
      </c>
      <c r="O532" s="112">
        <f t="shared" si="65"/>
        <v>0.79333333333333345</v>
      </c>
      <c r="P532" s="113">
        <f t="shared" si="66"/>
        <v>0.50000000000000044</v>
      </c>
      <c r="Q532" s="114">
        <f t="shared" si="67"/>
        <v>0.30000000000000027</v>
      </c>
      <c r="R532" s="115" t="str">
        <f t="shared" si="68"/>
        <v xml:space="preserve"> </v>
      </c>
      <c r="S532" s="115" t="str">
        <f t="shared" si="69"/>
        <v xml:space="preserve"> </v>
      </c>
      <c r="T532" s="116" t="str">
        <f t="shared" si="70"/>
        <v/>
      </c>
      <c r="U532" s="120"/>
      <c r="V532" s="118"/>
      <c r="W532" s="131"/>
    </row>
    <row r="533" spans="1:23" ht="13.2">
      <c r="A533" s="102" t="s">
        <v>567</v>
      </c>
      <c r="B533" s="102"/>
      <c r="C533" s="104">
        <v>3</v>
      </c>
      <c r="D533" s="105" t="s">
        <v>64</v>
      </c>
      <c r="E533" s="106">
        <v>0.79</v>
      </c>
      <c r="F533" s="107">
        <v>0.03</v>
      </c>
      <c r="G533" s="108">
        <v>0.03</v>
      </c>
      <c r="H533" s="109" t="s">
        <v>55</v>
      </c>
      <c r="I533" s="110">
        <v>0.79300000000000004</v>
      </c>
      <c r="J533" s="110">
        <v>0.79</v>
      </c>
      <c r="K533" s="119">
        <v>0.79500000000000004</v>
      </c>
      <c r="L533" s="111">
        <f t="shared" si="64"/>
        <v>3.0000000000000027E-3</v>
      </c>
      <c r="M533" s="112">
        <f t="shared" si="64"/>
        <v>0</v>
      </c>
      <c r="N533" s="112">
        <f t="shared" si="64"/>
        <v>5.0000000000000044E-3</v>
      </c>
      <c r="O533" s="112">
        <f t="shared" si="65"/>
        <v>0.79266666666666674</v>
      </c>
      <c r="P533" s="113">
        <f t="shared" si="66"/>
        <v>0.16666666666666682</v>
      </c>
      <c r="Q533" s="114">
        <f t="shared" si="67"/>
        <v>0</v>
      </c>
      <c r="R533" s="115" t="str">
        <f t="shared" si="68"/>
        <v xml:space="preserve"> </v>
      </c>
      <c r="S533" s="115" t="str">
        <f t="shared" si="69"/>
        <v xml:space="preserve"> </v>
      </c>
      <c r="T533" s="116" t="str">
        <f t="shared" si="70"/>
        <v/>
      </c>
      <c r="U533" s="120"/>
      <c r="V533" s="118"/>
      <c r="W533" s="131"/>
    </row>
    <row r="534" spans="1:23" ht="13.2">
      <c r="A534" s="102" t="s">
        <v>568</v>
      </c>
      <c r="B534" s="102"/>
      <c r="C534" s="104">
        <v>3</v>
      </c>
      <c r="D534" s="105" t="s">
        <v>64</v>
      </c>
      <c r="E534" s="106">
        <v>0.79</v>
      </c>
      <c r="F534" s="107">
        <v>0.03</v>
      </c>
      <c r="G534" s="108">
        <v>0.03</v>
      </c>
      <c r="H534" s="109" t="s">
        <v>55</v>
      </c>
      <c r="I534" s="110">
        <v>0.79700000000000004</v>
      </c>
      <c r="J534" s="110">
        <v>0.79200000000000004</v>
      </c>
      <c r="K534" s="119">
        <v>0.79500000000000004</v>
      </c>
      <c r="L534" s="111">
        <f t="shared" si="64"/>
        <v>7.0000000000000062E-3</v>
      </c>
      <c r="M534" s="112">
        <f t="shared" si="64"/>
        <v>2.0000000000000018E-3</v>
      </c>
      <c r="N534" s="112">
        <f t="shared" si="64"/>
        <v>5.0000000000000044E-3</v>
      </c>
      <c r="O534" s="112">
        <f t="shared" si="65"/>
        <v>0.79466666666666663</v>
      </c>
      <c r="P534" s="113">
        <f t="shared" si="66"/>
        <v>0.23333333333333356</v>
      </c>
      <c r="Q534" s="114">
        <f t="shared" si="67"/>
        <v>0</v>
      </c>
      <c r="R534" s="115" t="str">
        <f t="shared" si="68"/>
        <v xml:space="preserve"> </v>
      </c>
      <c r="S534" s="115" t="str">
        <f t="shared" si="69"/>
        <v xml:space="preserve"> </v>
      </c>
      <c r="T534" s="116" t="str">
        <f t="shared" si="70"/>
        <v/>
      </c>
      <c r="U534" s="120"/>
      <c r="V534" s="118"/>
      <c r="W534" s="131"/>
    </row>
    <row r="535" spans="1:23" ht="13.2">
      <c r="A535" s="102" t="s">
        <v>569</v>
      </c>
      <c r="B535" s="102"/>
      <c r="C535" s="104">
        <v>3</v>
      </c>
      <c r="D535" s="105" t="s">
        <v>64</v>
      </c>
      <c r="E535" s="106">
        <v>0.79</v>
      </c>
      <c r="F535" s="107">
        <v>0.03</v>
      </c>
      <c r="G535" s="108">
        <v>0.03</v>
      </c>
      <c r="H535" s="109" t="s">
        <v>55</v>
      </c>
      <c r="I535" s="110">
        <v>0.79800000000000004</v>
      </c>
      <c r="J535" s="110">
        <v>0.79600000000000004</v>
      </c>
      <c r="K535" s="119">
        <v>0.81</v>
      </c>
      <c r="L535" s="111">
        <f t="shared" si="64"/>
        <v>8.0000000000000071E-3</v>
      </c>
      <c r="M535" s="112">
        <f t="shared" si="64"/>
        <v>6.0000000000000053E-3</v>
      </c>
      <c r="N535" s="112">
        <f t="shared" si="64"/>
        <v>2.0000000000000018E-2</v>
      </c>
      <c r="O535" s="112">
        <f t="shared" si="65"/>
        <v>0.80133333333333334</v>
      </c>
      <c r="P535" s="113">
        <f t="shared" si="66"/>
        <v>0.6666666666666673</v>
      </c>
      <c r="Q535" s="114">
        <f t="shared" si="67"/>
        <v>0</v>
      </c>
      <c r="R535" s="115" t="str">
        <f t="shared" si="68"/>
        <v>Alert</v>
      </c>
      <c r="S535" s="115" t="str">
        <f t="shared" si="69"/>
        <v xml:space="preserve"> </v>
      </c>
      <c r="T535" s="116" t="str">
        <f t="shared" si="70"/>
        <v>Alert</v>
      </c>
      <c r="U535" s="120"/>
      <c r="V535" s="118"/>
      <c r="W535" s="131"/>
    </row>
    <row r="536" spans="1:23" ht="13.2">
      <c r="A536" s="102" t="s">
        <v>570</v>
      </c>
      <c r="B536" s="102"/>
      <c r="C536" s="104">
        <v>3</v>
      </c>
      <c r="D536" s="105" t="s">
        <v>64</v>
      </c>
      <c r="E536" s="106">
        <v>0.79</v>
      </c>
      <c r="F536" s="107">
        <v>0.03</v>
      </c>
      <c r="G536" s="108">
        <v>0.03</v>
      </c>
      <c r="H536" s="109" t="s">
        <v>55</v>
      </c>
      <c r="I536" s="110">
        <v>0.78300000000000003</v>
      </c>
      <c r="J536" s="110">
        <v>0.79500000000000004</v>
      </c>
      <c r="K536" s="119">
        <v>0.78300000000000003</v>
      </c>
      <c r="L536" s="111">
        <f t="shared" si="64"/>
        <v>-7.0000000000000062E-3</v>
      </c>
      <c r="M536" s="112">
        <f t="shared" si="64"/>
        <v>5.0000000000000044E-3</v>
      </c>
      <c r="N536" s="112">
        <f t="shared" si="64"/>
        <v>-7.0000000000000062E-3</v>
      </c>
      <c r="O536" s="112">
        <f t="shared" si="65"/>
        <v>0.78700000000000003</v>
      </c>
      <c r="P536" s="113">
        <f t="shared" si="66"/>
        <v>0.16666666666666682</v>
      </c>
      <c r="Q536" s="114">
        <f t="shared" si="67"/>
        <v>0.23333333333333356</v>
      </c>
      <c r="R536" s="115" t="str">
        <f t="shared" si="68"/>
        <v xml:space="preserve"> </v>
      </c>
      <c r="S536" s="115" t="str">
        <f t="shared" si="69"/>
        <v xml:space="preserve"> </v>
      </c>
      <c r="T536" s="116" t="str">
        <f t="shared" si="70"/>
        <v/>
      </c>
      <c r="U536" s="120"/>
      <c r="V536" s="118"/>
      <c r="W536" s="131"/>
    </row>
    <row r="537" spans="1:23" ht="13.2">
      <c r="A537" s="102" t="s">
        <v>571</v>
      </c>
      <c r="B537" s="103"/>
      <c r="C537" s="104">
        <v>3</v>
      </c>
      <c r="D537" s="105" t="s">
        <v>64</v>
      </c>
      <c r="E537" s="106">
        <v>0.79</v>
      </c>
      <c r="F537" s="107">
        <v>0.03</v>
      </c>
      <c r="G537" s="108">
        <v>0.03</v>
      </c>
      <c r="H537" s="109" t="s">
        <v>55</v>
      </c>
      <c r="I537" s="110">
        <v>0.78800000000000003</v>
      </c>
      <c r="J537" s="110">
        <v>0.79</v>
      </c>
      <c r="K537" s="119">
        <v>0.79900000000000004</v>
      </c>
      <c r="L537" s="111">
        <f t="shared" si="64"/>
        <v>-2.0000000000000018E-3</v>
      </c>
      <c r="M537" s="112">
        <f t="shared" si="64"/>
        <v>0</v>
      </c>
      <c r="N537" s="112">
        <f t="shared" si="64"/>
        <v>9.000000000000008E-3</v>
      </c>
      <c r="O537" s="112">
        <f t="shared" si="65"/>
        <v>0.79233333333333344</v>
      </c>
      <c r="P537" s="113">
        <f t="shared" si="66"/>
        <v>0.30000000000000027</v>
      </c>
      <c r="Q537" s="114">
        <f t="shared" si="67"/>
        <v>6.6666666666666735E-2</v>
      </c>
      <c r="R537" s="115" t="str">
        <f t="shared" si="68"/>
        <v xml:space="preserve"> </v>
      </c>
      <c r="S537" s="115" t="str">
        <f t="shared" si="69"/>
        <v xml:space="preserve"> </v>
      </c>
      <c r="T537" s="116" t="str">
        <f t="shared" si="70"/>
        <v/>
      </c>
      <c r="U537" s="120"/>
      <c r="V537" s="118"/>
      <c r="W537" s="131"/>
    </row>
    <row r="538" spans="1:23" ht="13.2">
      <c r="A538" s="102" t="s">
        <v>572</v>
      </c>
      <c r="B538" s="103"/>
      <c r="C538" s="104">
        <v>3</v>
      </c>
      <c r="D538" s="105" t="s">
        <v>64</v>
      </c>
      <c r="E538" s="106">
        <v>0.79</v>
      </c>
      <c r="F538" s="107">
        <v>0.03</v>
      </c>
      <c r="G538" s="108">
        <v>0.03</v>
      </c>
      <c r="H538" s="109" t="s">
        <v>55</v>
      </c>
      <c r="I538" s="110">
        <v>0.79100000000000004</v>
      </c>
      <c r="J538" s="110">
        <v>0.79300000000000004</v>
      </c>
      <c r="K538" s="119">
        <v>0.78500000000000003</v>
      </c>
      <c r="L538" s="111">
        <f t="shared" si="64"/>
        <v>1.0000000000000009E-3</v>
      </c>
      <c r="M538" s="112">
        <f t="shared" si="64"/>
        <v>3.0000000000000027E-3</v>
      </c>
      <c r="N538" s="112">
        <f t="shared" si="64"/>
        <v>-5.0000000000000044E-3</v>
      </c>
      <c r="O538" s="112">
        <f t="shared" si="65"/>
        <v>0.78966666666666674</v>
      </c>
      <c r="P538" s="113">
        <f t="shared" si="66"/>
        <v>0.10000000000000009</v>
      </c>
      <c r="Q538" s="114">
        <f t="shared" si="67"/>
        <v>0.16666666666666682</v>
      </c>
      <c r="R538" s="115" t="str">
        <f t="shared" si="68"/>
        <v xml:space="preserve"> </v>
      </c>
      <c r="S538" s="115" t="str">
        <f t="shared" si="69"/>
        <v xml:space="preserve"> </v>
      </c>
      <c r="T538" s="116" t="str">
        <f t="shared" si="70"/>
        <v/>
      </c>
      <c r="U538" s="120"/>
      <c r="V538" s="118"/>
      <c r="W538" s="131"/>
    </row>
    <row r="539" spans="1:23" ht="13.2">
      <c r="A539" s="102">
        <v>37</v>
      </c>
      <c r="B539" s="103"/>
      <c r="C539" s="104">
        <v>1</v>
      </c>
      <c r="D539" s="105" t="s">
        <v>68</v>
      </c>
      <c r="E539" s="106">
        <v>0.2</v>
      </c>
      <c r="F539" s="107">
        <v>0.05</v>
      </c>
      <c r="G539" s="108">
        <v>0.1</v>
      </c>
      <c r="H539" s="109" t="s">
        <v>55</v>
      </c>
      <c r="I539" s="110">
        <v>0.155</v>
      </c>
      <c r="J539" s="110">
        <v>0.159</v>
      </c>
      <c r="K539" s="119">
        <v>0.154</v>
      </c>
      <c r="L539" s="111">
        <f t="shared" si="64"/>
        <v>-4.5000000000000012E-2</v>
      </c>
      <c r="M539" s="112">
        <f t="shared" si="64"/>
        <v>-4.1000000000000009E-2</v>
      </c>
      <c r="N539" s="112">
        <f t="shared" si="64"/>
        <v>-4.6000000000000013E-2</v>
      </c>
      <c r="O539" s="112">
        <f t="shared" si="65"/>
        <v>0.156</v>
      </c>
      <c r="P539" s="113">
        <f t="shared" si="66"/>
        <v>0</v>
      </c>
      <c r="Q539" s="114">
        <f t="shared" si="67"/>
        <v>0.46000000000000013</v>
      </c>
      <c r="R539" s="115" t="str">
        <f t="shared" si="68"/>
        <v xml:space="preserve"> </v>
      </c>
      <c r="S539" s="115" t="str">
        <f t="shared" si="69"/>
        <v xml:space="preserve"> </v>
      </c>
      <c r="T539" s="116" t="str">
        <f t="shared" si="70"/>
        <v/>
      </c>
      <c r="U539" s="120"/>
      <c r="V539" s="118"/>
      <c r="W539" s="131"/>
    </row>
    <row r="540" spans="1:23" ht="13.2">
      <c r="A540" s="102">
        <v>38</v>
      </c>
      <c r="B540" s="103"/>
      <c r="C540" s="104">
        <v>1</v>
      </c>
      <c r="D540" s="105" t="s">
        <v>68</v>
      </c>
      <c r="E540" s="106">
        <v>0.2</v>
      </c>
      <c r="F540" s="107">
        <v>0.1</v>
      </c>
      <c r="G540" s="108">
        <v>0.1</v>
      </c>
      <c r="H540" s="109" t="s">
        <v>55</v>
      </c>
      <c r="I540" s="110">
        <v>0.215</v>
      </c>
      <c r="J540" s="110">
        <v>0.216</v>
      </c>
      <c r="K540" s="119">
        <v>0.24299999999999999</v>
      </c>
      <c r="L540" s="111">
        <f t="shared" si="64"/>
        <v>1.4999999999999986E-2</v>
      </c>
      <c r="M540" s="112">
        <f t="shared" si="64"/>
        <v>1.5999999999999986E-2</v>
      </c>
      <c r="N540" s="112">
        <f t="shared" si="64"/>
        <v>4.2999999999999983E-2</v>
      </c>
      <c r="O540" s="112">
        <f t="shared" si="65"/>
        <v>0.22466666666666665</v>
      </c>
      <c r="P540" s="113">
        <f t="shared" si="66"/>
        <v>0.42999999999999983</v>
      </c>
      <c r="Q540" s="114">
        <f t="shared" si="67"/>
        <v>0</v>
      </c>
      <c r="R540" s="115" t="str">
        <f t="shared" si="68"/>
        <v xml:space="preserve"> </v>
      </c>
      <c r="S540" s="115" t="str">
        <f t="shared" si="69"/>
        <v xml:space="preserve"> </v>
      </c>
      <c r="T540" s="116" t="str">
        <f t="shared" si="70"/>
        <v/>
      </c>
      <c r="U540" s="120"/>
      <c r="V540" s="118"/>
      <c r="W540" s="131"/>
    </row>
    <row r="541" spans="1:23" ht="13.2">
      <c r="A541" s="102"/>
      <c r="B541" s="103"/>
      <c r="C541" s="104"/>
      <c r="D541" s="105"/>
      <c r="E541" s="106"/>
      <c r="F541" s="107"/>
      <c r="G541" s="108"/>
      <c r="H541" s="121"/>
      <c r="I541" s="122"/>
      <c r="J541" s="122"/>
      <c r="K541" s="123"/>
      <c r="L541" s="111" t="str">
        <f t="shared" ref="L541:N604" si="71">IF(ISBLANK($E541),"",IF(ISERR(I541/I541)=TRUE,"BAD INSP",I541-$E541))</f>
        <v/>
      </c>
      <c r="M541" s="112" t="str">
        <f t="shared" si="71"/>
        <v/>
      </c>
      <c r="N541" s="112" t="str">
        <f t="shared" si="71"/>
        <v/>
      </c>
      <c r="O541" s="112" t="str">
        <f t="shared" si="65"/>
        <v xml:space="preserve"> </v>
      </c>
      <c r="P541" s="113" t="str">
        <f t="shared" si="66"/>
        <v/>
      </c>
      <c r="Q541" s="114" t="str">
        <f t="shared" si="67"/>
        <v/>
      </c>
      <c r="R541" s="115" t="str">
        <f t="shared" si="68"/>
        <v/>
      </c>
      <c r="S541" s="115" t="str">
        <f t="shared" si="69"/>
        <v/>
      </c>
      <c r="T541" s="116" t="str">
        <f t="shared" si="70"/>
        <v/>
      </c>
      <c r="U541" s="120"/>
      <c r="V541" s="118"/>
    </row>
    <row r="542" spans="1:23" ht="13.2">
      <c r="A542" s="102"/>
      <c r="B542" s="102"/>
      <c r="C542" s="103"/>
      <c r="D542" s="105"/>
      <c r="E542" s="106"/>
      <c r="F542" s="107"/>
      <c r="G542" s="108"/>
      <c r="H542" s="109"/>
      <c r="I542" s="110"/>
      <c r="J542" s="110"/>
      <c r="K542" s="119"/>
      <c r="L542" s="111" t="str">
        <f t="shared" si="71"/>
        <v/>
      </c>
      <c r="M542" s="112" t="str">
        <f t="shared" si="71"/>
        <v/>
      </c>
      <c r="N542" s="112" t="str">
        <f t="shared" si="71"/>
        <v/>
      </c>
      <c r="O542" s="112" t="str">
        <f t="shared" si="65"/>
        <v xml:space="preserve"> </v>
      </c>
      <c r="P542" s="113" t="str">
        <f t="shared" si="66"/>
        <v/>
      </c>
      <c r="Q542" s="114" t="str">
        <f t="shared" si="67"/>
        <v/>
      </c>
      <c r="R542" s="115" t="str">
        <f t="shared" si="68"/>
        <v/>
      </c>
      <c r="S542" s="115" t="str">
        <f t="shared" si="69"/>
        <v/>
      </c>
      <c r="T542" s="116" t="str">
        <f t="shared" si="70"/>
        <v/>
      </c>
      <c r="U542" s="120"/>
      <c r="V542" s="118"/>
    </row>
    <row r="543" spans="1:23" ht="13.2">
      <c r="A543" s="102"/>
      <c r="B543" s="102"/>
      <c r="C543" s="103"/>
      <c r="D543" s="105"/>
      <c r="E543" s="106"/>
      <c r="F543" s="107"/>
      <c r="G543" s="108"/>
      <c r="H543" s="109"/>
      <c r="I543" s="110"/>
      <c r="J543" s="110"/>
      <c r="K543" s="119"/>
      <c r="L543" s="111" t="str">
        <f t="shared" si="71"/>
        <v/>
      </c>
      <c r="M543" s="112" t="str">
        <f t="shared" si="71"/>
        <v/>
      </c>
      <c r="N543" s="112" t="str">
        <f t="shared" si="71"/>
        <v/>
      </c>
      <c r="O543" s="112" t="str">
        <f t="shared" si="65"/>
        <v xml:space="preserve"> </v>
      </c>
      <c r="P543" s="113" t="str">
        <f t="shared" si="66"/>
        <v/>
      </c>
      <c r="Q543" s="114" t="str">
        <f t="shared" si="67"/>
        <v/>
      </c>
      <c r="R543" s="115" t="str">
        <f t="shared" si="68"/>
        <v/>
      </c>
      <c r="S543" s="115" t="str">
        <f t="shared" si="69"/>
        <v/>
      </c>
      <c r="T543" s="116" t="str">
        <f t="shared" si="70"/>
        <v/>
      </c>
      <c r="U543" s="120"/>
      <c r="V543" s="118"/>
    </row>
    <row r="544" spans="1:23" ht="13.2">
      <c r="A544" s="102"/>
      <c r="B544" s="102"/>
      <c r="C544" s="104"/>
      <c r="D544" s="105"/>
      <c r="E544" s="106"/>
      <c r="F544" s="107"/>
      <c r="G544" s="108"/>
      <c r="H544" s="109"/>
      <c r="I544" s="110"/>
      <c r="J544" s="110"/>
      <c r="K544" s="119"/>
      <c r="L544" s="111" t="str">
        <f t="shared" si="71"/>
        <v/>
      </c>
      <c r="M544" s="112" t="str">
        <f t="shared" si="71"/>
        <v/>
      </c>
      <c r="N544" s="112" t="str">
        <f t="shared" si="71"/>
        <v/>
      </c>
      <c r="O544" s="112" t="str">
        <f t="shared" si="65"/>
        <v xml:space="preserve"> </v>
      </c>
      <c r="P544" s="113" t="str">
        <f t="shared" si="66"/>
        <v/>
      </c>
      <c r="Q544" s="114" t="str">
        <f t="shared" si="67"/>
        <v/>
      </c>
      <c r="R544" s="115" t="str">
        <f t="shared" si="68"/>
        <v/>
      </c>
      <c r="S544" s="115" t="str">
        <f t="shared" si="69"/>
        <v/>
      </c>
      <c r="T544" s="116" t="str">
        <f t="shared" si="70"/>
        <v/>
      </c>
      <c r="U544" s="120"/>
      <c r="V544" s="118"/>
    </row>
    <row r="545" spans="1:22" ht="13.2">
      <c r="A545" s="102"/>
      <c r="B545" s="102"/>
      <c r="C545" s="104"/>
      <c r="D545" s="105"/>
      <c r="E545" s="106"/>
      <c r="F545" s="107"/>
      <c r="G545" s="108"/>
      <c r="H545" s="109"/>
      <c r="I545" s="110"/>
      <c r="J545" s="110"/>
      <c r="K545" s="119"/>
      <c r="L545" s="111" t="str">
        <f t="shared" si="71"/>
        <v/>
      </c>
      <c r="M545" s="112" t="str">
        <f t="shared" si="71"/>
        <v/>
      </c>
      <c r="N545" s="112" t="str">
        <f t="shared" si="71"/>
        <v/>
      </c>
      <c r="O545" s="112" t="str">
        <f t="shared" si="65"/>
        <v xml:space="preserve"> </v>
      </c>
      <c r="P545" s="113" t="str">
        <f t="shared" si="66"/>
        <v/>
      </c>
      <c r="Q545" s="114" t="str">
        <f t="shared" si="67"/>
        <v/>
      </c>
      <c r="R545" s="115" t="str">
        <f t="shared" si="68"/>
        <v/>
      </c>
      <c r="S545" s="115" t="str">
        <f t="shared" si="69"/>
        <v/>
      </c>
      <c r="T545" s="116" t="str">
        <f t="shared" si="70"/>
        <v/>
      </c>
      <c r="U545" s="120"/>
      <c r="V545" s="118"/>
    </row>
    <row r="546" spans="1:22" ht="13.2">
      <c r="A546" s="102"/>
      <c r="B546" s="102"/>
      <c r="C546" s="104"/>
      <c r="D546" s="105"/>
      <c r="E546" s="106"/>
      <c r="F546" s="107"/>
      <c r="G546" s="108"/>
      <c r="H546" s="109"/>
      <c r="I546" s="110"/>
      <c r="J546" s="110"/>
      <c r="K546" s="119"/>
      <c r="L546" s="111" t="str">
        <f t="shared" si="71"/>
        <v/>
      </c>
      <c r="M546" s="112" t="str">
        <f t="shared" si="71"/>
        <v/>
      </c>
      <c r="N546" s="112" t="str">
        <f t="shared" si="71"/>
        <v/>
      </c>
      <c r="O546" s="112" t="str">
        <f t="shared" si="65"/>
        <v xml:space="preserve"> </v>
      </c>
      <c r="P546" s="113" t="str">
        <f t="shared" si="66"/>
        <v/>
      </c>
      <c r="Q546" s="114" t="str">
        <f t="shared" si="67"/>
        <v/>
      </c>
      <c r="R546" s="115" t="str">
        <f t="shared" si="68"/>
        <v/>
      </c>
      <c r="S546" s="115" t="str">
        <f t="shared" si="69"/>
        <v/>
      </c>
      <c r="T546" s="116" t="str">
        <f t="shared" si="70"/>
        <v/>
      </c>
      <c r="U546" s="120"/>
      <c r="V546" s="118"/>
    </row>
    <row r="547" spans="1:22" ht="13.2">
      <c r="A547" s="102"/>
      <c r="B547" s="102"/>
      <c r="C547" s="104"/>
      <c r="D547" s="105"/>
      <c r="E547" s="106"/>
      <c r="F547" s="107"/>
      <c r="G547" s="108"/>
      <c r="H547" s="109"/>
      <c r="I547" s="110"/>
      <c r="J547" s="110"/>
      <c r="K547" s="119"/>
      <c r="L547" s="111" t="str">
        <f t="shared" si="71"/>
        <v/>
      </c>
      <c r="M547" s="112" t="str">
        <f t="shared" si="71"/>
        <v/>
      </c>
      <c r="N547" s="112" t="str">
        <f t="shared" si="71"/>
        <v/>
      </c>
      <c r="O547" s="112" t="str">
        <f t="shared" si="65"/>
        <v xml:space="preserve"> </v>
      </c>
      <c r="P547" s="113" t="str">
        <f t="shared" si="66"/>
        <v/>
      </c>
      <c r="Q547" s="114" t="str">
        <f t="shared" si="67"/>
        <v/>
      </c>
      <c r="R547" s="115" t="str">
        <f t="shared" si="68"/>
        <v/>
      </c>
      <c r="S547" s="115" t="str">
        <f t="shared" si="69"/>
        <v/>
      </c>
      <c r="T547" s="116" t="str">
        <f t="shared" si="70"/>
        <v/>
      </c>
      <c r="U547" s="120"/>
      <c r="V547" s="118"/>
    </row>
    <row r="548" spans="1:22" ht="13.2">
      <c r="A548" s="102"/>
      <c r="B548" s="102"/>
      <c r="C548" s="104"/>
      <c r="D548" s="105"/>
      <c r="E548" s="106"/>
      <c r="F548" s="107"/>
      <c r="G548" s="108"/>
      <c r="H548" s="109"/>
      <c r="I548" s="110"/>
      <c r="J548" s="110"/>
      <c r="K548" s="119"/>
      <c r="L548" s="111" t="str">
        <f t="shared" si="71"/>
        <v/>
      </c>
      <c r="M548" s="112" t="str">
        <f t="shared" si="71"/>
        <v/>
      </c>
      <c r="N548" s="112" t="str">
        <f t="shared" si="71"/>
        <v/>
      </c>
      <c r="O548" s="112" t="str">
        <f t="shared" si="65"/>
        <v xml:space="preserve"> </v>
      </c>
      <c r="P548" s="113" t="str">
        <f t="shared" si="66"/>
        <v/>
      </c>
      <c r="Q548" s="114" t="str">
        <f t="shared" si="67"/>
        <v/>
      </c>
      <c r="R548" s="115" t="str">
        <f t="shared" si="68"/>
        <v/>
      </c>
      <c r="S548" s="115" t="str">
        <f t="shared" si="69"/>
        <v/>
      </c>
      <c r="T548" s="116" t="str">
        <f t="shared" si="70"/>
        <v/>
      </c>
      <c r="U548" s="120"/>
      <c r="V548" s="118"/>
    </row>
    <row r="549" spans="1:22" ht="13.2">
      <c r="A549" s="102"/>
      <c r="B549" s="102"/>
      <c r="C549" s="104"/>
      <c r="D549" s="105"/>
      <c r="E549" s="106"/>
      <c r="F549" s="107"/>
      <c r="G549" s="108"/>
      <c r="H549" s="109"/>
      <c r="I549" s="110"/>
      <c r="J549" s="110"/>
      <c r="K549" s="110"/>
      <c r="L549" s="111" t="str">
        <f t="shared" si="71"/>
        <v/>
      </c>
      <c r="M549" s="112" t="str">
        <f t="shared" si="71"/>
        <v/>
      </c>
      <c r="N549" s="112" t="str">
        <f t="shared" si="71"/>
        <v/>
      </c>
      <c r="O549" s="112" t="str">
        <f t="shared" si="65"/>
        <v xml:space="preserve"> </v>
      </c>
      <c r="P549" s="113" t="str">
        <f t="shared" si="66"/>
        <v/>
      </c>
      <c r="Q549" s="114" t="str">
        <f t="shared" si="67"/>
        <v/>
      </c>
      <c r="R549" s="115" t="str">
        <f t="shared" si="68"/>
        <v/>
      </c>
      <c r="S549" s="115" t="str">
        <f t="shared" si="69"/>
        <v/>
      </c>
      <c r="T549" s="116" t="str">
        <f t="shared" si="70"/>
        <v/>
      </c>
      <c r="U549" s="120"/>
      <c r="V549" s="118"/>
    </row>
    <row r="550" spans="1:22" ht="13.2">
      <c r="A550" s="102"/>
      <c r="B550" s="102"/>
      <c r="C550" s="104"/>
      <c r="D550" s="105"/>
      <c r="E550" s="106"/>
      <c r="F550" s="107"/>
      <c r="G550" s="108"/>
      <c r="H550" s="109"/>
      <c r="I550" s="110"/>
      <c r="J550" s="110"/>
      <c r="K550" s="119"/>
      <c r="L550" s="111" t="str">
        <f t="shared" si="71"/>
        <v/>
      </c>
      <c r="M550" s="112" t="str">
        <f t="shared" si="71"/>
        <v/>
      </c>
      <c r="N550" s="112" t="str">
        <f t="shared" si="71"/>
        <v/>
      </c>
      <c r="O550" s="112" t="str">
        <f t="shared" si="65"/>
        <v xml:space="preserve"> </v>
      </c>
      <c r="P550" s="113" t="str">
        <f t="shared" si="66"/>
        <v/>
      </c>
      <c r="Q550" s="114" t="str">
        <f t="shared" si="67"/>
        <v/>
      </c>
      <c r="R550" s="115" t="str">
        <f t="shared" si="68"/>
        <v/>
      </c>
      <c r="S550" s="115" t="str">
        <f t="shared" si="69"/>
        <v/>
      </c>
      <c r="T550" s="116" t="str">
        <f t="shared" si="70"/>
        <v/>
      </c>
      <c r="U550" s="120"/>
      <c r="V550" s="118"/>
    </row>
    <row r="551" spans="1:22" ht="13.2">
      <c r="A551" s="102"/>
      <c r="B551" s="102"/>
      <c r="C551" s="104"/>
      <c r="D551" s="105"/>
      <c r="E551" s="106"/>
      <c r="F551" s="107"/>
      <c r="G551" s="108"/>
      <c r="H551" s="109"/>
      <c r="I551" s="110"/>
      <c r="J551" s="110"/>
      <c r="K551" s="119"/>
      <c r="L551" s="111" t="str">
        <f t="shared" si="71"/>
        <v/>
      </c>
      <c r="M551" s="112" t="str">
        <f t="shared" si="71"/>
        <v/>
      </c>
      <c r="N551" s="112" t="str">
        <f t="shared" si="71"/>
        <v/>
      </c>
      <c r="O551" s="112" t="str">
        <f t="shared" si="65"/>
        <v xml:space="preserve"> </v>
      </c>
      <c r="P551" s="113" t="str">
        <f t="shared" si="66"/>
        <v/>
      </c>
      <c r="Q551" s="114" t="str">
        <f t="shared" si="67"/>
        <v/>
      </c>
      <c r="R551" s="115" t="str">
        <f t="shared" si="68"/>
        <v/>
      </c>
      <c r="S551" s="115" t="str">
        <f t="shared" si="69"/>
        <v/>
      </c>
      <c r="T551" s="116" t="str">
        <f t="shared" si="70"/>
        <v/>
      </c>
      <c r="U551" s="120"/>
      <c r="V551" s="118"/>
    </row>
    <row r="552" spans="1:22" ht="13.2">
      <c r="A552" s="102"/>
      <c r="B552" s="102"/>
      <c r="C552" s="104"/>
      <c r="D552" s="105"/>
      <c r="E552" s="106"/>
      <c r="F552" s="107"/>
      <c r="G552" s="108"/>
      <c r="H552" s="109"/>
      <c r="I552" s="110"/>
      <c r="J552" s="110"/>
      <c r="K552" s="119"/>
      <c r="L552" s="111" t="str">
        <f t="shared" si="71"/>
        <v/>
      </c>
      <c r="M552" s="112" t="str">
        <f t="shared" si="71"/>
        <v/>
      </c>
      <c r="N552" s="112" t="str">
        <f t="shared" si="71"/>
        <v/>
      </c>
      <c r="O552" s="112" t="str">
        <f t="shared" si="65"/>
        <v xml:space="preserve"> </v>
      </c>
      <c r="P552" s="113" t="str">
        <f t="shared" si="66"/>
        <v/>
      </c>
      <c r="Q552" s="114" t="str">
        <f t="shared" si="67"/>
        <v/>
      </c>
      <c r="R552" s="115" t="str">
        <f t="shared" si="68"/>
        <v/>
      </c>
      <c r="S552" s="115" t="str">
        <f t="shared" si="69"/>
        <v/>
      </c>
      <c r="T552" s="116" t="str">
        <f t="shared" si="70"/>
        <v/>
      </c>
      <c r="U552" s="120"/>
      <c r="V552" s="118"/>
    </row>
    <row r="553" spans="1:22" ht="13.2">
      <c r="A553" s="102"/>
      <c r="B553" s="102"/>
      <c r="C553" s="104"/>
      <c r="D553" s="105"/>
      <c r="E553" s="106"/>
      <c r="F553" s="107"/>
      <c r="G553" s="108"/>
      <c r="H553" s="109"/>
      <c r="I553" s="110"/>
      <c r="J553" s="110"/>
      <c r="K553" s="119"/>
      <c r="L553" s="111" t="str">
        <f t="shared" si="71"/>
        <v/>
      </c>
      <c r="M553" s="112" t="str">
        <f t="shared" si="71"/>
        <v/>
      </c>
      <c r="N553" s="112" t="str">
        <f t="shared" si="71"/>
        <v/>
      </c>
      <c r="O553" s="112" t="str">
        <f t="shared" si="65"/>
        <v xml:space="preserve"> </v>
      </c>
      <c r="P553" s="113" t="str">
        <f t="shared" si="66"/>
        <v/>
      </c>
      <c r="Q553" s="114" t="str">
        <f t="shared" si="67"/>
        <v/>
      </c>
      <c r="R553" s="115" t="str">
        <f t="shared" si="68"/>
        <v/>
      </c>
      <c r="S553" s="115" t="str">
        <f t="shared" si="69"/>
        <v/>
      </c>
      <c r="T553" s="116" t="str">
        <f t="shared" si="70"/>
        <v/>
      </c>
      <c r="U553" s="120"/>
      <c r="V553" s="118"/>
    </row>
    <row r="554" spans="1:22" ht="13.2">
      <c r="A554" s="102"/>
      <c r="B554" s="103"/>
      <c r="C554" s="104"/>
      <c r="D554" s="105"/>
      <c r="E554" s="106"/>
      <c r="F554" s="107"/>
      <c r="G554" s="108"/>
      <c r="H554" s="121"/>
      <c r="I554" s="122"/>
      <c r="J554" s="122"/>
      <c r="K554" s="123"/>
      <c r="L554" s="111" t="str">
        <f t="shared" si="71"/>
        <v/>
      </c>
      <c r="M554" s="112" t="str">
        <f t="shared" si="71"/>
        <v/>
      </c>
      <c r="N554" s="112" t="str">
        <f t="shared" si="71"/>
        <v/>
      </c>
      <c r="O554" s="112" t="str">
        <f t="shared" si="65"/>
        <v xml:space="preserve"> </v>
      </c>
      <c r="P554" s="113" t="str">
        <f t="shared" si="66"/>
        <v/>
      </c>
      <c r="Q554" s="114" t="str">
        <f t="shared" si="67"/>
        <v/>
      </c>
      <c r="R554" s="115" t="str">
        <f t="shared" si="68"/>
        <v/>
      </c>
      <c r="S554" s="115" t="str">
        <f t="shared" si="69"/>
        <v/>
      </c>
      <c r="T554" s="116" t="str">
        <f t="shared" si="70"/>
        <v/>
      </c>
      <c r="U554" s="120"/>
      <c r="V554" s="118"/>
    </row>
    <row r="555" spans="1:22" ht="13.2">
      <c r="A555" s="102"/>
      <c r="B555" s="103"/>
      <c r="C555" s="104"/>
      <c r="D555" s="105"/>
      <c r="E555" s="106"/>
      <c r="F555" s="107"/>
      <c r="G555" s="108"/>
      <c r="H555" s="121"/>
      <c r="I555" s="122"/>
      <c r="J555" s="122"/>
      <c r="K555" s="123"/>
      <c r="L555" s="111" t="str">
        <f t="shared" si="71"/>
        <v/>
      </c>
      <c r="M555" s="112" t="str">
        <f t="shared" si="71"/>
        <v/>
      </c>
      <c r="N555" s="112" t="str">
        <f t="shared" si="71"/>
        <v/>
      </c>
      <c r="O555" s="112" t="str">
        <f t="shared" si="65"/>
        <v xml:space="preserve"> </v>
      </c>
      <c r="P555" s="113" t="str">
        <f t="shared" si="66"/>
        <v/>
      </c>
      <c r="Q555" s="114" t="str">
        <f t="shared" si="67"/>
        <v/>
      </c>
      <c r="R555" s="115" t="str">
        <f t="shared" si="68"/>
        <v/>
      </c>
      <c r="S555" s="115" t="str">
        <f t="shared" si="69"/>
        <v/>
      </c>
      <c r="T555" s="116" t="str">
        <f t="shared" si="70"/>
        <v/>
      </c>
      <c r="U555" s="120"/>
      <c r="V555" s="118"/>
    </row>
    <row r="556" spans="1:22" ht="13.2">
      <c r="A556" s="102"/>
      <c r="B556" s="103"/>
      <c r="C556" s="104"/>
      <c r="D556" s="105"/>
      <c r="E556" s="106"/>
      <c r="F556" s="107"/>
      <c r="G556" s="108"/>
      <c r="H556" s="121"/>
      <c r="I556" s="122"/>
      <c r="J556" s="122"/>
      <c r="K556" s="123"/>
      <c r="L556" s="111" t="str">
        <f t="shared" si="71"/>
        <v/>
      </c>
      <c r="M556" s="112" t="str">
        <f t="shared" si="71"/>
        <v/>
      </c>
      <c r="N556" s="112" t="str">
        <f t="shared" si="71"/>
        <v/>
      </c>
      <c r="O556" s="112" t="str">
        <f t="shared" si="65"/>
        <v xml:space="preserve"> </v>
      </c>
      <c r="P556" s="113" t="str">
        <f t="shared" si="66"/>
        <v/>
      </c>
      <c r="Q556" s="114" t="str">
        <f t="shared" si="67"/>
        <v/>
      </c>
      <c r="R556" s="115" t="str">
        <f t="shared" si="68"/>
        <v/>
      </c>
      <c r="S556" s="115" t="str">
        <f t="shared" si="69"/>
        <v/>
      </c>
      <c r="T556" s="116" t="str">
        <f t="shared" si="70"/>
        <v/>
      </c>
      <c r="U556" s="120"/>
      <c r="V556" s="118"/>
    </row>
    <row r="557" spans="1:22" ht="13.2">
      <c r="A557" s="102"/>
      <c r="B557" s="102"/>
      <c r="C557" s="103"/>
      <c r="D557" s="105"/>
      <c r="E557" s="106"/>
      <c r="F557" s="107"/>
      <c r="G557" s="108"/>
      <c r="H557" s="109"/>
      <c r="I557" s="110"/>
      <c r="J557" s="110"/>
      <c r="K557" s="119"/>
      <c r="L557" s="111" t="str">
        <f t="shared" si="71"/>
        <v/>
      </c>
      <c r="M557" s="112" t="str">
        <f t="shared" si="71"/>
        <v/>
      </c>
      <c r="N557" s="112" t="str">
        <f t="shared" si="71"/>
        <v/>
      </c>
      <c r="O557" s="112" t="str">
        <f t="shared" si="65"/>
        <v xml:space="preserve"> </v>
      </c>
      <c r="P557" s="113" t="str">
        <f t="shared" si="66"/>
        <v/>
      </c>
      <c r="Q557" s="114" t="str">
        <f t="shared" si="67"/>
        <v/>
      </c>
      <c r="R557" s="115" t="str">
        <f t="shared" si="68"/>
        <v/>
      </c>
      <c r="S557" s="115" t="str">
        <f t="shared" si="69"/>
        <v/>
      </c>
      <c r="T557" s="116" t="str">
        <f t="shared" si="70"/>
        <v/>
      </c>
      <c r="U557" s="120"/>
      <c r="V557" s="118"/>
    </row>
    <row r="558" spans="1:22" ht="13.2">
      <c r="A558" s="102"/>
      <c r="B558" s="102"/>
      <c r="C558" s="103"/>
      <c r="D558" s="105"/>
      <c r="E558" s="106"/>
      <c r="F558" s="107"/>
      <c r="G558" s="108"/>
      <c r="H558" s="109"/>
      <c r="I558" s="110"/>
      <c r="J558" s="110"/>
      <c r="K558" s="119"/>
      <c r="L558" s="111" t="str">
        <f t="shared" si="71"/>
        <v/>
      </c>
      <c r="M558" s="112" t="str">
        <f t="shared" si="71"/>
        <v/>
      </c>
      <c r="N558" s="112" t="str">
        <f t="shared" si="71"/>
        <v/>
      </c>
      <c r="O558" s="112" t="str">
        <f t="shared" si="65"/>
        <v xml:space="preserve"> </v>
      </c>
      <c r="P558" s="113" t="str">
        <f t="shared" si="66"/>
        <v/>
      </c>
      <c r="Q558" s="114" t="str">
        <f t="shared" si="67"/>
        <v/>
      </c>
      <c r="R558" s="115" t="str">
        <f t="shared" si="68"/>
        <v/>
      </c>
      <c r="S558" s="115" t="str">
        <f t="shared" si="69"/>
        <v/>
      </c>
      <c r="T558" s="116" t="str">
        <f t="shared" si="70"/>
        <v/>
      </c>
      <c r="U558" s="120"/>
      <c r="V558" s="118"/>
    </row>
    <row r="559" spans="1:22" ht="13.2">
      <c r="A559" s="102"/>
      <c r="B559" s="102"/>
      <c r="C559" s="104"/>
      <c r="D559" s="105"/>
      <c r="E559" s="106"/>
      <c r="F559" s="107"/>
      <c r="G559" s="108"/>
      <c r="H559" s="109"/>
      <c r="I559" s="110"/>
      <c r="J559" s="110"/>
      <c r="K559" s="119"/>
      <c r="L559" s="111" t="str">
        <f t="shared" si="71"/>
        <v/>
      </c>
      <c r="M559" s="112" t="str">
        <f t="shared" si="71"/>
        <v/>
      </c>
      <c r="N559" s="112" t="str">
        <f t="shared" si="71"/>
        <v/>
      </c>
      <c r="O559" s="112" t="str">
        <f t="shared" si="65"/>
        <v xml:space="preserve"> </v>
      </c>
      <c r="P559" s="113" t="str">
        <f t="shared" si="66"/>
        <v/>
      </c>
      <c r="Q559" s="114" t="str">
        <f t="shared" si="67"/>
        <v/>
      </c>
      <c r="R559" s="115" t="str">
        <f t="shared" si="68"/>
        <v/>
      </c>
      <c r="S559" s="115" t="str">
        <f t="shared" si="69"/>
        <v/>
      </c>
      <c r="T559" s="116" t="str">
        <f t="shared" si="70"/>
        <v/>
      </c>
      <c r="U559" s="120"/>
      <c r="V559" s="118"/>
    </row>
    <row r="560" spans="1:22" ht="13.2">
      <c r="A560" s="102"/>
      <c r="B560" s="102"/>
      <c r="C560" s="104"/>
      <c r="D560" s="105"/>
      <c r="E560" s="106"/>
      <c r="F560" s="107"/>
      <c r="G560" s="108"/>
      <c r="H560" s="109"/>
      <c r="I560" s="110"/>
      <c r="J560" s="110"/>
      <c r="K560" s="119"/>
      <c r="L560" s="111" t="str">
        <f t="shared" si="71"/>
        <v/>
      </c>
      <c r="M560" s="112" t="str">
        <f t="shared" si="71"/>
        <v/>
      </c>
      <c r="N560" s="112" t="str">
        <f t="shared" si="71"/>
        <v/>
      </c>
      <c r="O560" s="112" t="str">
        <f t="shared" si="65"/>
        <v xml:space="preserve"> </v>
      </c>
      <c r="P560" s="113" t="str">
        <f t="shared" si="66"/>
        <v/>
      </c>
      <c r="Q560" s="114" t="str">
        <f t="shared" si="67"/>
        <v/>
      </c>
      <c r="R560" s="115" t="str">
        <f t="shared" si="68"/>
        <v/>
      </c>
      <c r="S560" s="115" t="str">
        <f t="shared" si="69"/>
        <v/>
      </c>
      <c r="T560" s="116" t="str">
        <f t="shared" si="70"/>
        <v/>
      </c>
      <c r="U560" s="120"/>
      <c r="V560" s="118"/>
    </row>
    <row r="561" spans="1:22" ht="13.2">
      <c r="A561" s="102"/>
      <c r="B561" s="102"/>
      <c r="C561" s="104"/>
      <c r="D561" s="105"/>
      <c r="E561" s="106"/>
      <c r="F561" s="107"/>
      <c r="G561" s="108"/>
      <c r="H561" s="109"/>
      <c r="I561" s="110"/>
      <c r="J561" s="110"/>
      <c r="K561" s="119"/>
      <c r="L561" s="111" t="str">
        <f t="shared" si="71"/>
        <v/>
      </c>
      <c r="M561" s="112" t="str">
        <f t="shared" si="71"/>
        <v/>
      </c>
      <c r="N561" s="112" t="str">
        <f t="shared" si="71"/>
        <v/>
      </c>
      <c r="O561" s="112" t="str">
        <f t="shared" si="65"/>
        <v xml:space="preserve"> </v>
      </c>
      <c r="P561" s="113" t="str">
        <f t="shared" si="66"/>
        <v/>
      </c>
      <c r="Q561" s="114" t="str">
        <f t="shared" si="67"/>
        <v/>
      </c>
      <c r="R561" s="115" t="str">
        <f t="shared" si="68"/>
        <v/>
      </c>
      <c r="S561" s="115" t="str">
        <f t="shared" si="69"/>
        <v/>
      </c>
      <c r="T561" s="116" t="str">
        <f t="shared" si="70"/>
        <v/>
      </c>
      <c r="U561" s="120"/>
      <c r="V561" s="118"/>
    </row>
    <row r="562" spans="1:22" ht="13.2">
      <c r="A562" s="102"/>
      <c r="B562" s="102"/>
      <c r="C562" s="104"/>
      <c r="D562" s="105"/>
      <c r="E562" s="106"/>
      <c r="F562" s="107"/>
      <c r="G562" s="108"/>
      <c r="H562" s="109"/>
      <c r="I562" s="110"/>
      <c r="J562" s="110"/>
      <c r="K562" s="119"/>
      <c r="L562" s="111" t="str">
        <f t="shared" si="71"/>
        <v/>
      </c>
      <c r="M562" s="112" t="str">
        <f t="shared" si="71"/>
        <v/>
      </c>
      <c r="N562" s="112" t="str">
        <f t="shared" si="71"/>
        <v/>
      </c>
      <c r="O562" s="112" t="str">
        <f t="shared" si="65"/>
        <v xml:space="preserve"> </v>
      </c>
      <c r="P562" s="113" t="str">
        <f t="shared" si="66"/>
        <v/>
      </c>
      <c r="Q562" s="114" t="str">
        <f t="shared" si="67"/>
        <v/>
      </c>
      <c r="R562" s="115" t="str">
        <f t="shared" si="68"/>
        <v/>
      </c>
      <c r="S562" s="115" t="str">
        <f t="shared" si="69"/>
        <v/>
      </c>
      <c r="T562" s="116" t="str">
        <f t="shared" si="70"/>
        <v/>
      </c>
      <c r="U562" s="120"/>
      <c r="V562" s="118"/>
    </row>
    <row r="563" spans="1:22" ht="13.2">
      <c r="A563" s="102"/>
      <c r="B563" s="102"/>
      <c r="C563" s="104"/>
      <c r="D563" s="105"/>
      <c r="E563" s="106"/>
      <c r="F563" s="107"/>
      <c r="G563" s="108"/>
      <c r="H563" s="109"/>
      <c r="I563" s="110"/>
      <c r="J563" s="110"/>
      <c r="K563" s="119"/>
      <c r="L563" s="111" t="str">
        <f t="shared" si="71"/>
        <v/>
      </c>
      <c r="M563" s="112" t="str">
        <f t="shared" si="71"/>
        <v/>
      </c>
      <c r="N563" s="112" t="str">
        <f t="shared" si="71"/>
        <v/>
      </c>
      <c r="O563" s="112" t="str">
        <f t="shared" si="65"/>
        <v xml:space="preserve"> </v>
      </c>
      <c r="P563" s="113" t="str">
        <f t="shared" si="66"/>
        <v/>
      </c>
      <c r="Q563" s="114" t="str">
        <f t="shared" si="67"/>
        <v/>
      </c>
      <c r="R563" s="115" t="str">
        <f t="shared" si="68"/>
        <v/>
      </c>
      <c r="S563" s="115" t="str">
        <f t="shared" si="69"/>
        <v/>
      </c>
      <c r="T563" s="116" t="str">
        <f t="shared" si="70"/>
        <v/>
      </c>
      <c r="U563" s="120"/>
      <c r="V563" s="118"/>
    </row>
    <row r="564" spans="1:22" ht="13.2">
      <c r="A564" s="102"/>
      <c r="B564" s="102"/>
      <c r="C564" s="104"/>
      <c r="D564" s="105"/>
      <c r="E564" s="106"/>
      <c r="F564" s="107"/>
      <c r="G564" s="108"/>
      <c r="H564" s="109"/>
      <c r="I564" s="110"/>
      <c r="J564" s="110"/>
      <c r="K564" s="110"/>
      <c r="L564" s="111" t="str">
        <f t="shared" si="71"/>
        <v/>
      </c>
      <c r="M564" s="112" t="str">
        <f t="shared" si="71"/>
        <v/>
      </c>
      <c r="N564" s="112" t="str">
        <f t="shared" si="71"/>
        <v/>
      </c>
      <c r="O564" s="112" t="str">
        <f t="shared" si="65"/>
        <v xml:space="preserve"> </v>
      </c>
      <c r="P564" s="113" t="str">
        <f t="shared" si="66"/>
        <v/>
      </c>
      <c r="Q564" s="114" t="str">
        <f t="shared" si="67"/>
        <v/>
      </c>
      <c r="R564" s="115" t="str">
        <f t="shared" si="68"/>
        <v/>
      </c>
      <c r="S564" s="115" t="str">
        <f t="shared" si="69"/>
        <v/>
      </c>
      <c r="T564" s="116" t="str">
        <f t="shared" si="70"/>
        <v/>
      </c>
      <c r="U564" s="120"/>
      <c r="V564" s="118"/>
    </row>
    <row r="565" spans="1:22" ht="13.2">
      <c r="A565" s="102"/>
      <c r="B565" s="102"/>
      <c r="C565" s="104"/>
      <c r="D565" s="105"/>
      <c r="E565" s="106"/>
      <c r="F565" s="107"/>
      <c r="G565" s="108"/>
      <c r="H565" s="109"/>
      <c r="I565" s="110"/>
      <c r="J565" s="110"/>
      <c r="K565" s="119"/>
      <c r="L565" s="111" t="str">
        <f t="shared" si="71"/>
        <v/>
      </c>
      <c r="M565" s="112" t="str">
        <f t="shared" si="71"/>
        <v/>
      </c>
      <c r="N565" s="112" t="str">
        <f t="shared" si="71"/>
        <v/>
      </c>
      <c r="O565" s="112" t="str">
        <f t="shared" si="65"/>
        <v xml:space="preserve"> </v>
      </c>
      <c r="P565" s="113" t="str">
        <f t="shared" si="66"/>
        <v/>
      </c>
      <c r="Q565" s="114" t="str">
        <f t="shared" si="67"/>
        <v/>
      </c>
      <c r="R565" s="115" t="str">
        <f t="shared" si="68"/>
        <v/>
      </c>
      <c r="S565" s="115" t="str">
        <f t="shared" si="69"/>
        <v/>
      </c>
      <c r="T565" s="116" t="str">
        <f t="shared" si="70"/>
        <v/>
      </c>
      <c r="U565" s="120"/>
      <c r="V565" s="118"/>
    </row>
    <row r="566" spans="1:22" ht="13.2">
      <c r="A566" s="102"/>
      <c r="B566" s="102"/>
      <c r="C566" s="104"/>
      <c r="D566" s="105"/>
      <c r="E566" s="106"/>
      <c r="F566" s="107"/>
      <c r="G566" s="108"/>
      <c r="H566" s="109"/>
      <c r="I566" s="110"/>
      <c r="J566" s="110"/>
      <c r="K566" s="119"/>
      <c r="L566" s="111" t="str">
        <f t="shared" si="71"/>
        <v/>
      </c>
      <c r="M566" s="112" t="str">
        <f t="shared" si="71"/>
        <v/>
      </c>
      <c r="N566" s="112" t="str">
        <f t="shared" si="71"/>
        <v/>
      </c>
      <c r="O566" s="112" t="str">
        <f t="shared" si="65"/>
        <v xml:space="preserve"> </v>
      </c>
      <c r="P566" s="113" t="str">
        <f t="shared" si="66"/>
        <v/>
      </c>
      <c r="Q566" s="114" t="str">
        <f t="shared" si="67"/>
        <v/>
      </c>
      <c r="R566" s="115" t="str">
        <f t="shared" si="68"/>
        <v/>
      </c>
      <c r="S566" s="115" t="str">
        <f t="shared" si="69"/>
        <v/>
      </c>
      <c r="T566" s="116" t="str">
        <f t="shared" si="70"/>
        <v/>
      </c>
      <c r="U566" s="120"/>
      <c r="V566" s="118"/>
    </row>
    <row r="567" spans="1:22" ht="13.2">
      <c r="A567" s="102"/>
      <c r="B567" s="102"/>
      <c r="C567" s="104"/>
      <c r="D567" s="105"/>
      <c r="E567" s="106"/>
      <c r="F567" s="107"/>
      <c r="G567" s="108"/>
      <c r="H567" s="109"/>
      <c r="I567" s="110"/>
      <c r="J567" s="110"/>
      <c r="K567" s="119"/>
      <c r="L567" s="111" t="str">
        <f t="shared" si="71"/>
        <v/>
      </c>
      <c r="M567" s="112" t="str">
        <f t="shared" si="71"/>
        <v/>
      </c>
      <c r="N567" s="112" t="str">
        <f t="shared" si="71"/>
        <v/>
      </c>
      <c r="O567" s="112" t="str">
        <f t="shared" si="65"/>
        <v xml:space="preserve"> </v>
      </c>
      <c r="P567" s="113" t="str">
        <f t="shared" si="66"/>
        <v/>
      </c>
      <c r="Q567" s="114" t="str">
        <f t="shared" si="67"/>
        <v/>
      </c>
      <c r="R567" s="115" t="str">
        <f t="shared" si="68"/>
        <v/>
      </c>
      <c r="S567" s="115" t="str">
        <f t="shared" si="69"/>
        <v/>
      </c>
      <c r="T567" s="116" t="str">
        <f t="shared" si="70"/>
        <v/>
      </c>
      <c r="U567" s="120"/>
      <c r="V567" s="118"/>
    </row>
    <row r="568" spans="1:22" ht="13.2">
      <c r="A568" s="102"/>
      <c r="B568" s="102"/>
      <c r="C568" s="104"/>
      <c r="D568" s="105"/>
      <c r="E568" s="106"/>
      <c r="F568" s="107"/>
      <c r="G568" s="108"/>
      <c r="H568" s="109"/>
      <c r="I568" s="110"/>
      <c r="J568" s="110"/>
      <c r="K568" s="119"/>
      <c r="L568" s="111" t="str">
        <f t="shared" si="71"/>
        <v/>
      </c>
      <c r="M568" s="112" t="str">
        <f t="shared" si="71"/>
        <v/>
      </c>
      <c r="N568" s="112" t="str">
        <f t="shared" si="71"/>
        <v/>
      </c>
      <c r="O568" s="112" t="str">
        <f t="shared" si="65"/>
        <v xml:space="preserve"> </v>
      </c>
      <c r="P568" s="113" t="str">
        <f t="shared" si="66"/>
        <v/>
      </c>
      <c r="Q568" s="114" t="str">
        <f t="shared" si="67"/>
        <v/>
      </c>
      <c r="R568" s="115" t="str">
        <f t="shared" si="68"/>
        <v/>
      </c>
      <c r="S568" s="115" t="str">
        <f t="shared" si="69"/>
        <v/>
      </c>
      <c r="T568" s="116" t="str">
        <f t="shared" si="70"/>
        <v/>
      </c>
      <c r="U568" s="120"/>
      <c r="V568" s="118"/>
    </row>
    <row r="569" spans="1:22" ht="13.2">
      <c r="A569" s="102"/>
      <c r="B569" s="103"/>
      <c r="C569" s="104"/>
      <c r="D569" s="105"/>
      <c r="E569" s="106"/>
      <c r="F569" s="107"/>
      <c r="G569" s="108"/>
      <c r="H569" s="121"/>
      <c r="I569" s="122"/>
      <c r="J569" s="122"/>
      <c r="K569" s="123"/>
      <c r="L569" s="111" t="str">
        <f t="shared" si="71"/>
        <v/>
      </c>
      <c r="M569" s="112" t="str">
        <f t="shared" si="71"/>
        <v/>
      </c>
      <c r="N569" s="112" t="str">
        <f t="shared" si="71"/>
        <v/>
      </c>
      <c r="O569" s="112" t="str">
        <f t="shared" si="65"/>
        <v xml:space="preserve"> </v>
      </c>
      <c r="P569" s="113" t="str">
        <f t="shared" si="66"/>
        <v/>
      </c>
      <c r="Q569" s="114" t="str">
        <f t="shared" si="67"/>
        <v/>
      </c>
      <c r="R569" s="115" t="str">
        <f t="shared" si="68"/>
        <v/>
      </c>
      <c r="S569" s="115" t="str">
        <f t="shared" si="69"/>
        <v/>
      </c>
      <c r="T569" s="116" t="str">
        <f t="shared" si="70"/>
        <v/>
      </c>
      <c r="U569" s="120"/>
      <c r="V569" s="118"/>
    </row>
    <row r="570" spans="1:22" ht="13.2">
      <c r="A570" s="102"/>
      <c r="B570" s="103"/>
      <c r="C570" s="104"/>
      <c r="D570" s="105"/>
      <c r="E570" s="106"/>
      <c r="F570" s="107"/>
      <c r="G570" s="108"/>
      <c r="H570" s="121"/>
      <c r="I570" s="122"/>
      <c r="J570" s="122"/>
      <c r="K570" s="123"/>
      <c r="L570" s="111" t="str">
        <f t="shared" si="71"/>
        <v/>
      </c>
      <c r="M570" s="112" t="str">
        <f t="shared" si="71"/>
        <v/>
      </c>
      <c r="N570" s="112" t="str">
        <f t="shared" si="71"/>
        <v/>
      </c>
      <c r="O570" s="112" t="str">
        <f t="shared" si="65"/>
        <v xml:space="preserve"> </v>
      </c>
      <c r="P570" s="113" t="str">
        <f t="shared" si="66"/>
        <v/>
      </c>
      <c r="Q570" s="114" t="str">
        <f t="shared" si="67"/>
        <v/>
      </c>
      <c r="R570" s="115" t="str">
        <f t="shared" si="68"/>
        <v/>
      </c>
      <c r="S570" s="115" t="str">
        <f t="shared" si="69"/>
        <v/>
      </c>
      <c r="T570" s="116" t="str">
        <f t="shared" si="70"/>
        <v/>
      </c>
      <c r="U570" s="120"/>
      <c r="V570" s="118"/>
    </row>
    <row r="571" spans="1:22" ht="13.2">
      <c r="A571" s="102"/>
      <c r="B571" s="103"/>
      <c r="C571" s="104"/>
      <c r="D571" s="105"/>
      <c r="E571" s="106"/>
      <c r="F571" s="107"/>
      <c r="G571" s="108"/>
      <c r="H571" s="121"/>
      <c r="I571" s="122"/>
      <c r="J571" s="122"/>
      <c r="K571" s="123"/>
      <c r="L571" s="111" t="str">
        <f t="shared" si="71"/>
        <v/>
      </c>
      <c r="M571" s="112" t="str">
        <f t="shared" si="71"/>
        <v/>
      </c>
      <c r="N571" s="112" t="str">
        <f t="shared" si="71"/>
        <v/>
      </c>
      <c r="O571" s="112" t="str">
        <f t="shared" si="65"/>
        <v xml:space="preserve"> </v>
      </c>
      <c r="P571" s="113" t="str">
        <f t="shared" si="66"/>
        <v/>
      </c>
      <c r="Q571" s="114" t="str">
        <f t="shared" si="67"/>
        <v/>
      </c>
      <c r="R571" s="115" t="str">
        <f t="shared" si="68"/>
        <v/>
      </c>
      <c r="S571" s="115" t="str">
        <f t="shared" si="69"/>
        <v/>
      </c>
      <c r="T571" s="116" t="str">
        <f t="shared" si="70"/>
        <v/>
      </c>
      <c r="U571" s="120"/>
      <c r="V571" s="118"/>
    </row>
    <row r="572" spans="1:22" ht="13.2">
      <c r="A572" s="102"/>
      <c r="B572" s="102"/>
      <c r="C572" s="103"/>
      <c r="D572" s="105"/>
      <c r="E572" s="106"/>
      <c r="F572" s="107"/>
      <c r="G572" s="108"/>
      <c r="H572" s="109"/>
      <c r="I572" s="110"/>
      <c r="J572" s="110"/>
      <c r="K572" s="119"/>
      <c r="L572" s="111" t="str">
        <f t="shared" si="71"/>
        <v/>
      </c>
      <c r="M572" s="112" t="str">
        <f t="shared" si="71"/>
        <v/>
      </c>
      <c r="N572" s="112" t="str">
        <f t="shared" si="71"/>
        <v/>
      </c>
      <c r="O572" s="112" t="str">
        <f t="shared" si="65"/>
        <v xml:space="preserve"> </v>
      </c>
      <c r="P572" s="113" t="str">
        <f t="shared" si="66"/>
        <v/>
      </c>
      <c r="Q572" s="114" t="str">
        <f t="shared" si="67"/>
        <v/>
      </c>
      <c r="R572" s="115" t="str">
        <f t="shared" si="68"/>
        <v/>
      </c>
      <c r="S572" s="115" t="str">
        <f t="shared" si="69"/>
        <v/>
      </c>
      <c r="T572" s="116" t="str">
        <f t="shared" si="70"/>
        <v/>
      </c>
      <c r="U572" s="120"/>
      <c r="V572" s="118"/>
    </row>
    <row r="573" spans="1:22" ht="13.2">
      <c r="A573" s="102"/>
      <c r="B573" s="102"/>
      <c r="C573" s="103"/>
      <c r="D573" s="105"/>
      <c r="E573" s="106"/>
      <c r="F573" s="107"/>
      <c r="G573" s="108"/>
      <c r="H573" s="109"/>
      <c r="I573" s="110"/>
      <c r="J573" s="110"/>
      <c r="K573" s="119"/>
      <c r="L573" s="111" t="str">
        <f t="shared" si="71"/>
        <v/>
      </c>
      <c r="M573" s="112" t="str">
        <f t="shared" si="71"/>
        <v/>
      </c>
      <c r="N573" s="112" t="str">
        <f t="shared" si="71"/>
        <v/>
      </c>
      <c r="O573" s="112" t="str">
        <f t="shared" si="65"/>
        <v xml:space="preserve"> </v>
      </c>
      <c r="P573" s="113" t="str">
        <f t="shared" si="66"/>
        <v/>
      </c>
      <c r="Q573" s="114" t="str">
        <f t="shared" si="67"/>
        <v/>
      </c>
      <c r="R573" s="115" t="str">
        <f t="shared" si="68"/>
        <v/>
      </c>
      <c r="S573" s="115" t="str">
        <f t="shared" si="69"/>
        <v/>
      </c>
      <c r="T573" s="116" t="str">
        <f t="shared" si="70"/>
        <v/>
      </c>
      <c r="U573" s="120"/>
      <c r="V573" s="118"/>
    </row>
    <row r="574" spans="1:22" ht="13.2">
      <c r="A574" s="102"/>
      <c r="B574" s="102"/>
      <c r="C574" s="104"/>
      <c r="D574" s="105"/>
      <c r="E574" s="106"/>
      <c r="F574" s="107"/>
      <c r="G574" s="108"/>
      <c r="H574" s="109"/>
      <c r="I574" s="110"/>
      <c r="J574" s="110"/>
      <c r="K574" s="119"/>
      <c r="L574" s="111" t="str">
        <f t="shared" si="71"/>
        <v/>
      </c>
      <c r="M574" s="112" t="str">
        <f t="shared" si="71"/>
        <v/>
      </c>
      <c r="N574" s="112" t="str">
        <f t="shared" si="71"/>
        <v/>
      </c>
      <c r="O574" s="112" t="str">
        <f t="shared" ref="O574:O637" si="72">IF(ISERR(I574/I574)=TRUE," ",AVERAGE(I574:K574))</f>
        <v xml:space="preserve"> </v>
      </c>
      <c r="P574" s="113" t="str">
        <f t="shared" ref="P574:P637" si="73">IF(ISBLANK($E574),"",IF(ISNUMBER(F574)=FALSE,"BAD TOL", IF(F574=0,"N/A",IF(ISERR(I574/I574)=TRUE,"BAD INSP",IF(AND(ISNUMBER($I574),ISNUMBER($J574),ISNUMBER($K574))=FALSE,"BAD INSP",IF(MAX($I574:$K574)&lt;$E574,0,(MAX($I574:$K574)-$E574)/$F574))))))</f>
        <v/>
      </c>
      <c r="Q574" s="114" t="str">
        <f t="shared" ref="Q574:Q637" si="74">IF(ISBLANK($E574),"",IF(ISNUMBER(G574)=FALSE,"BAD TOL",IF(G574=0,"N/A",IF(ISERR(I574/I574)=TRUE,"BAD INSP",IF(AND(ISNUMBER($I574),ISNUMBER($J574),ISNUMBER($K574))=FALSE,"BAD INSP",IF(MIN(I574:K574)&gt;$E574,0,($E574-MIN(I574:K574))/G574))))))</f>
        <v/>
      </c>
      <c r="R574" s="115" t="str">
        <f t="shared" ref="R574:R637" si="75">IF(ISBLANK($E574),"",IF(ISNUMBER($P574)=TRUE,IF($P574&gt;0.651,IF($P574&gt;1.001,"Reject","Alert")," "),IF(AND(F574=0, ISNUMBER(F574)),IF(MAX(I574:K574)&gt;(E574+F574),"Reject",IF(MAX(I574:K574)=(E574+F574),"Alert","")),"Reject")))</f>
        <v/>
      </c>
      <c r="S574" s="115" t="str">
        <f t="shared" ref="S574:S637" si="76">IF(ISBLANK($E574),"",IF(ISNUMBER($Q574)=TRUE,IF($Q574&gt;0.651,IF($Q574&gt;1.001,"Reject","Alert")," "),IF(AND(G574=0, ISNUMBER(G574)),IF(MIN(I574:K574)&lt;(E574-G574),"Reject",IF(MIN(I574:K574)=(E574-G574),"Alert","")),"Reject")))</f>
        <v/>
      </c>
      <c r="T574" s="116" t="str">
        <f t="shared" ref="T574:T637" si="77">IF(OR(R574="Reject",S574="Reject"),"Reject",IF(OR(R574="Alert",S574="Alert"),"Alert", ""))</f>
        <v/>
      </c>
      <c r="U574" s="120"/>
      <c r="V574" s="118"/>
    </row>
    <row r="575" spans="1:22" ht="13.2">
      <c r="A575" s="102"/>
      <c r="B575" s="102"/>
      <c r="C575" s="104"/>
      <c r="D575" s="105"/>
      <c r="E575" s="106"/>
      <c r="F575" s="107"/>
      <c r="G575" s="108"/>
      <c r="H575" s="109"/>
      <c r="I575" s="110"/>
      <c r="J575" s="110"/>
      <c r="K575" s="119"/>
      <c r="L575" s="111" t="str">
        <f t="shared" si="71"/>
        <v/>
      </c>
      <c r="M575" s="112" t="str">
        <f t="shared" si="71"/>
        <v/>
      </c>
      <c r="N575" s="112" t="str">
        <f t="shared" si="71"/>
        <v/>
      </c>
      <c r="O575" s="112" t="str">
        <f t="shared" si="72"/>
        <v xml:space="preserve"> </v>
      </c>
      <c r="P575" s="113" t="str">
        <f t="shared" si="73"/>
        <v/>
      </c>
      <c r="Q575" s="114" t="str">
        <f t="shared" si="74"/>
        <v/>
      </c>
      <c r="R575" s="115" t="str">
        <f t="shared" si="75"/>
        <v/>
      </c>
      <c r="S575" s="115" t="str">
        <f t="shared" si="76"/>
        <v/>
      </c>
      <c r="T575" s="116" t="str">
        <f t="shared" si="77"/>
        <v/>
      </c>
      <c r="U575" s="120"/>
      <c r="V575" s="118"/>
    </row>
    <row r="576" spans="1:22" ht="13.2">
      <c r="A576" s="102"/>
      <c r="B576" s="102"/>
      <c r="C576" s="104"/>
      <c r="D576" s="105"/>
      <c r="E576" s="106"/>
      <c r="F576" s="107"/>
      <c r="G576" s="108"/>
      <c r="H576" s="109"/>
      <c r="I576" s="110"/>
      <c r="J576" s="110"/>
      <c r="K576" s="119"/>
      <c r="L576" s="111" t="str">
        <f t="shared" si="71"/>
        <v/>
      </c>
      <c r="M576" s="112" t="str">
        <f t="shared" si="71"/>
        <v/>
      </c>
      <c r="N576" s="112" t="str">
        <f t="shared" si="71"/>
        <v/>
      </c>
      <c r="O576" s="112" t="str">
        <f t="shared" si="72"/>
        <v xml:space="preserve"> </v>
      </c>
      <c r="P576" s="113" t="str">
        <f t="shared" si="73"/>
        <v/>
      </c>
      <c r="Q576" s="114" t="str">
        <f t="shared" si="74"/>
        <v/>
      </c>
      <c r="R576" s="115" t="str">
        <f t="shared" si="75"/>
        <v/>
      </c>
      <c r="S576" s="115" t="str">
        <f t="shared" si="76"/>
        <v/>
      </c>
      <c r="T576" s="116" t="str">
        <f t="shared" si="77"/>
        <v/>
      </c>
      <c r="U576" s="120"/>
      <c r="V576" s="118"/>
    </row>
    <row r="577" spans="1:22" ht="13.2">
      <c r="A577" s="102"/>
      <c r="B577" s="102"/>
      <c r="C577" s="104"/>
      <c r="D577" s="105"/>
      <c r="E577" s="106"/>
      <c r="F577" s="107"/>
      <c r="G577" s="108"/>
      <c r="H577" s="109"/>
      <c r="I577" s="110"/>
      <c r="J577" s="110"/>
      <c r="K577" s="119"/>
      <c r="L577" s="111" t="str">
        <f t="shared" si="71"/>
        <v/>
      </c>
      <c r="M577" s="112" t="str">
        <f t="shared" si="71"/>
        <v/>
      </c>
      <c r="N577" s="112" t="str">
        <f t="shared" si="71"/>
        <v/>
      </c>
      <c r="O577" s="112" t="str">
        <f t="shared" si="72"/>
        <v xml:space="preserve"> </v>
      </c>
      <c r="P577" s="113" t="str">
        <f t="shared" si="73"/>
        <v/>
      </c>
      <c r="Q577" s="114" t="str">
        <f t="shared" si="74"/>
        <v/>
      </c>
      <c r="R577" s="115" t="str">
        <f t="shared" si="75"/>
        <v/>
      </c>
      <c r="S577" s="115" t="str">
        <f t="shared" si="76"/>
        <v/>
      </c>
      <c r="T577" s="116" t="str">
        <f t="shared" si="77"/>
        <v/>
      </c>
      <c r="U577" s="120"/>
      <c r="V577" s="118"/>
    </row>
    <row r="578" spans="1:22" ht="13.2">
      <c r="A578" s="102"/>
      <c r="B578" s="102"/>
      <c r="C578" s="104"/>
      <c r="D578" s="105"/>
      <c r="E578" s="106"/>
      <c r="F578" s="107"/>
      <c r="G578" s="108"/>
      <c r="H578" s="109"/>
      <c r="I578" s="110"/>
      <c r="J578" s="110"/>
      <c r="K578" s="119"/>
      <c r="L578" s="111" t="str">
        <f t="shared" si="71"/>
        <v/>
      </c>
      <c r="M578" s="112" t="str">
        <f t="shared" si="71"/>
        <v/>
      </c>
      <c r="N578" s="112" t="str">
        <f t="shared" si="71"/>
        <v/>
      </c>
      <c r="O578" s="112" t="str">
        <f t="shared" si="72"/>
        <v xml:space="preserve"> </v>
      </c>
      <c r="P578" s="113" t="str">
        <f t="shared" si="73"/>
        <v/>
      </c>
      <c r="Q578" s="114" t="str">
        <f t="shared" si="74"/>
        <v/>
      </c>
      <c r="R578" s="115" t="str">
        <f t="shared" si="75"/>
        <v/>
      </c>
      <c r="S578" s="115" t="str">
        <f t="shared" si="76"/>
        <v/>
      </c>
      <c r="T578" s="116" t="str">
        <f t="shared" si="77"/>
        <v/>
      </c>
      <c r="U578" s="120"/>
      <c r="V578" s="118"/>
    </row>
    <row r="579" spans="1:22" ht="13.2">
      <c r="A579" s="102"/>
      <c r="B579" s="102"/>
      <c r="C579" s="104"/>
      <c r="D579" s="105"/>
      <c r="E579" s="106"/>
      <c r="F579" s="107"/>
      <c r="G579" s="108"/>
      <c r="H579" s="109"/>
      <c r="I579" s="110"/>
      <c r="J579" s="110"/>
      <c r="K579" s="110"/>
      <c r="L579" s="111" t="str">
        <f t="shared" si="71"/>
        <v/>
      </c>
      <c r="M579" s="112" t="str">
        <f t="shared" si="71"/>
        <v/>
      </c>
      <c r="N579" s="112" t="str">
        <f t="shared" si="71"/>
        <v/>
      </c>
      <c r="O579" s="112" t="str">
        <f t="shared" si="72"/>
        <v xml:space="preserve"> </v>
      </c>
      <c r="P579" s="113" t="str">
        <f t="shared" si="73"/>
        <v/>
      </c>
      <c r="Q579" s="114" t="str">
        <f t="shared" si="74"/>
        <v/>
      </c>
      <c r="R579" s="115" t="str">
        <f t="shared" si="75"/>
        <v/>
      </c>
      <c r="S579" s="115" t="str">
        <f t="shared" si="76"/>
        <v/>
      </c>
      <c r="T579" s="116" t="str">
        <f t="shared" si="77"/>
        <v/>
      </c>
      <c r="U579" s="120"/>
      <c r="V579" s="118"/>
    </row>
    <row r="580" spans="1:22" ht="13.2">
      <c r="A580" s="102"/>
      <c r="B580" s="102"/>
      <c r="C580" s="104"/>
      <c r="D580" s="105"/>
      <c r="E580" s="106"/>
      <c r="F580" s="107"/>
      <c r="G580" s="108"/>
      <c r="H580" s="109"/>
      <c r="I580" s="110"/>
      <c r="J580" s="110"/>
      <c r="K580" s="119"/>
      <c r="L580" s="111" t="str">
        <f t="shared" si="71"/>
        <v/>
      </c>
      <c r="M580" s="112" t="str">
        <f t="shared" si="71"/>
        <v/>
      </c>
      <c r="N580" s="112" t="str">
        <f t="shared" si="71"/>
        <v/>
      </c>
      <c r="O580" s="112" t="str">
        <f t="shared" si="72"/>
        <v xml:space="preserve"> </v>
      </c>
      <c r="P580" s="113" t="str">
        <f t="shared" si="73"/>
        <v/>
      </c>
      <c r="Q580" s="114" t="str">
        <f t="shared" si="74"/>
        <v/>
      </c>
      <c r="R580" s="115" t="str">
        <f t="shared" si="75"/>
        <v/>
      </c>
      <c r="S580" s="115" t="str">
        <f t="shared" si="76"/>
        <v/>
      </c>
      <c r="T580" s="116" t="str">
        <f t="shared" si="77"/>
        <v/>
      </c>
      <c r="U580" s="120"/>
      <c r="V580" s="118"/>
    </row>
    <row r="581" spans="1:22" ht="13.2">
      <c r="A581" s="102"/>
      <c r="B581" s="102"/>
      <c r="C581" s="104"/>
      <c r="D581" s="105"/>
      <c r="E581" s="106"/>
      <c r="F581" s="107"/>
      <c r="G581" s="108"/>
      <c r="H581" s="109"/>
      <c r="I581" s="110"/>
      <c r="J581" s="110"/>
      <c r="K581" s="119"/>
      <c r="L581" s="111" t="str">
        <f t="shared" si="71"/>
        <v/>
      </c>
      <c r="M581" s="112" t="str">
        <f t="shared" si="71"/>
        <v/>
      </c>
      <c r="N581" s="112" t="str">
        <f t="shared" si="71"/>
        <v/>
      </c>
      <c r="O581" s="112" t="str">
        <f t="shared" si="72"/>
        <v xml:space="preserve"> </v>
      </c>
      <c r="P581" s="113" t="str">
        <f t="shared" si="73"/>
        <v/>
      </c>
      <c r="Q581" s="114" t="str">
        <f t="shared" si="74"/>
        <v/>
      </c>
      <c r="R581" s="115" t="str">
        <f t="shared" si="75"/>
        <v/>
      </c>
      <c r="S581" s="115" t="str">
        <f t="shared" si="76"/>
        <v/>
      </c>
      <c r="T581" s="116" t="str">
        <f t="shared" si="77"/>
        <v/>
      </c>
      <c r="U581" s="120"/>
      <c r="V581" s="118"/>
    </row>
    <row r="582" spans="1:22" ht="13.2">
      <c r="A582" s="102"/>
      <c r="B582" s="102"/>
      <c r="C582" s="104"/>
      <c r="D582" s="105"/>
      <c r="E582" s="106"/>
      <c r="F582" s="107"/>
      <c r="G582" s="108"/>
      <c r="H582" s="109"/>
      <c r="I582" s="110"/>
      <c r="J582" s="110"/>
      <c r="K582" s="119"/>
      <c r="L582" s="111" t="str">
        <f t="shared" si="71"/>
        <v/>
      </c>
      <c r="M582" s="112" t="str">
        <f t="shared" si="71"/>
        <v/>
      </c>
      <c r="N582" s="112" t="str">
        <f t="shared" si="71"/>
        <v/>
      </c>
      <c r="O582" s="112" t="str">
        <f t="shared" si="72"/>
        <v xml:space="preserve"> </v>
      </c>
      <c r="P582" s="113" t="str">
        <f t="shared" si="73"/>
        <v/>
      </c>
      <c r="Q582" s="114" t="str">
        <f t="shared" si="74"/>
        <v/>
      </c>
      <c r="R582" s="115" t="str">
        <f t="shared" si="75"/>
        <v/>
      </c>
      <c r="S582" s="115" t="str">
        <f t="shared" si="76"/>
        <v/>
      </c>
      <c r="T582" s="116" t="str">
        <f t="shared" si="77"/>
        <v/>
      </c>
      <c r="U582" s="120"/>
      <c r="V582" s="118"/>
    </row>
    <row r="583" spans="1:22" ht="13.2">
      <c r="A583" s="102"/>
      <c r="B583" s="102"/>
      <c r="C583" s="104"/>
      <c r="D583" s="105"/>
      <c r="E583" s="106"/>
      <c r="F583" s="107"/>
      <c r="G583" s="108"/>
      <c r="H583" s="109"/>
      <c r="I583" s="110"/>
      <c r="J583" s="110"/>
      <c r="K583" s="119"/>
      <c r="L583" s="111" t="str">
        <f t="shared" si="71"/>
        <v/>
      </c>
      <c r="M583" s="112" t="str">
        <f t="shared" si="71"/>
        <v/>
      </c>
      <c r="N583" s="112" t="str">
        <f t="shared" si="71"/>
        <v/>
      </c>
      <c r="O583" s="112" t="str">
        <f t="shared" si="72"/>
        <v xml:space="preserve"> </v>
      </c>
      <c r="P583" s="113" t="str">
        <f t="shared" si="73"/>
        <v/>
      </c>
      <c r="Q583" s="114" t="str">
        <f t="shared" si="74"/>
        <v/>
      </c>
      <c r="R583" s="115" t="str">
        <f t="shared" si="75"/>
        <v/>
      </c>
      <c r="S583" s="115" t="str">
        <f t="shared" si="76"/>
        <v/>
      </c>
      <c r="T583" s="116" t="str">
        <f t="shared" si="77"/>
        <v/>
      </c>
      <c r="U583" s="120"/>
      <c r="V583" s="118"/>
    </row>
    <row r="584" spans="1:22" ht="13.2">
      <c r="A584" s="102"/>
      <c r="B584" s="103"/>
      <c r="C584" s="104"/>
      <c r="D584" s="105"/>
      <c r="E584" s="106"/>
      <c r="F584" s="107"/>
      <c r="G584" s="108"/>
      <c r="H584" s="121"/>
      <c r="I584" s="122"/>
      <c r="J584" s="122"/>
      <c r="K584" s="123"/>
      <c r="L584" s="111" t="str">
        <f t="shared" si="71"/>
        <v/>
      </c>
      <c r="M584" s="112" t="str">
        <f t="shared" si="71"/>
        <v/>
      </c>
      <c r="N584" s="112" t="str">
        <f t="shared" si="71"/>
        <v/>
      </c>
      <c r="O584" s="112" t="str">
        <f t="shared" si="72"/>
        <v xml:space="preserve"> </v>
      </c>
      <c r="P584" s="113" t="str">
        <f t="shared" si="73"/>
        <v/>
      </c>
      <c r="Q584" s="114" t="str">
        <f t="shared" si="74"/>
        <v/>
      </c>
      <c r="R584" s="115" t="str">
        <f t="shared" si="75"/>
        <v/>
      </c>
      <c r="S584" s="115" t="str">
        <f t="shared" si="76"/>
        <v/>
      </c>
      <c r="T584" s="116" t="str">
        <f t="shared" si="77"/>
        <v/>
      </c>
      <c r="U584" s="120"/>
      <c r="V584" s="118"/>
    </row>
    <row r="585" spans="1:22" ht="13.2">
      <c r="A585" s="102"/>
      <c r="B585" s="103"/>
      <c r="C585" s="104"/>
      <c r="D585" s="105"/>
      <c r="E585" s="106"/>
      <c r="F585" s="107"/>
      <c r="G585" s="108"/>
      <c r="H585" s="121"/>
      <c r="I585" s="122"/>
      <c r="J585" s="122"/>
      <c r="K585" s="123"/>
      <c r="L585" s="111" t="str">
        <f t="shared" si="71"/>
        <v/>
      </c>
      <c r="M585" s="112" t="str">
        <f t="shared" si="71"/>
        <v/>
      </c>
      <c r="N585" s="112" t="str">
        <f t="shared" si="71"/>
        <v/>
      </c>
      <c r="O585" s="112" t="str">
        <f t="shared" si="72"/>
        <v xml:space="preserve"> </v>
      </c>
      <c r="P585" s="113" t="str">
        <f t="shared" si="73"/>
        <v/>
      </c>
      <c r="Q585" s="114" t="str">
        <f t="shared" si="74"/>
        <v/>
      </c>
      <c r="R585" s="115" t="str">
        <f t="shared" si="75"/>
        <v/>
      </c>
      <c r="S585" s="115" t="str">
        <f t="shared" si="76"/>
        <v/>
      </c>
      <c r="T585" s="116" t="str">
        <f t="shared" si="77"/>
        <v/>
      </c>
      <c r="U585" s="120"/>
      <c r="V585" s="118"/>
    </row>
    <row r="586" spans="1:22" ht="13.2">
      <c r="A586" s="102"/>
      <c r="B586" s="103"/>
      <c r="C586" s="104"/>
      <c r="D586" s="105"/>
      <c r="E586" s="106"/>
      <c r="F586" s="107"/>
      <c r="G586" s="108"/>
      <c r="H586" s="121"/>
      <c r="I586" s="122"/>
      <c r="J586" s="122"/>
      <c r="K586" s="123"/>
      <c r="L586" s="111" t="str">
        <f t="shared" si="71"/>
        <v/>
      </c>
      <c r="M586" s="112" t="str">
        <f t="shared" si="71"/>
        <v/>
      </c>
      <c r="N586" s="112" t="str">
        <f t="shared" si="71"/>
        <v/>
      </c>
      <c r="O586" s="112" t="str">
        <f t="shared" si="72"/>
        <v xml:space="preserve"> </v>
      </c>
      <c r="P586" s="113" t="str">
        <f t="shared" si="73"/>
        <v/>
      </c>
      <c r="Q586" s="114" t="str">
        <f t="shared" si="74"/>
        <v/>
      </c>
      <c r="R586" s="115" t="str">
        <f t="shared" si="75"/>
        <v/>
      </c>
      <c r="S586" s="115" t="str">
        <f t="shared" si="76"/>
        <v/>
      </c>
      <c r="T586" s="116" t="str">
        <f t="shared" si="77"/>
        <v/>
      </c>
      <c r="U586" s="120"/>
      <c r="V586" s="118"/>
    </row>
    <row r="587" spans="1:22" ht="13.2">
      <c r="A587" s="102"/>
      <c r="B587" s="102"/>
      <c r="C587" s="103"/>
      <c r="D587" s="105"/>
      <c r="E587" s="106"/>
      <c r="F587" s="107"/>
      <c r="G587" s="108"/>
      <c r="H587" s="109"/>
      <c r="I587" s="110"/>
      <c r="J587" s="110"/>
      <c r="K587" s="119"/>
      <c r="L587" s="111" t="str">
        <f t="shared" si="71"/>
        <v/>
      </c>
      <c r="M587" s="112" t="str">
        <f t="shared" si="71"/>
        <v/>
      </c>
      <c r="N587" s="112" t="str">
        <f t="shared" si="71"/>
        <v/>
      </c>
      <c r="O587" s="112" t="str">
        <f t="shared" si="72"/>
        <v xml:space="preserve"> </v>
      </c>
      <c r="P587" s="113" t="str">
        <f t="shared" si="73"/>
        <v/>
      </c>
      <c r="Q587" s="114" t="str">
        <f t="shared" si="74"/>
        <v/>
      </c>
      <c r="R587" s="115" t="str">
        <f t="shared" si="75"/>
        <v/>
      </c>
      <c r="S587" s="115" t="str">
        <f t="shared" si="76"/>
        <v/>
      </c>
      <c r="T587" s="116" t="str">
        <f t="shared" si="77"/>
        <v/>
      </c>
      <c r="U587" s="120"/>
      <c r="V587" s="118"/>
    </row>
    <row r="588" spans="1:22" ht="13.2">
      <c r="A588" s="102"/>
      <c r="B588" s="102"/>
      <c r="C588" s="103"/>
      <c r="D588" s="105"/>
      <c r="E588" s="106"/>
      <c r="F588" s="107"/>
      <c r="G588" s="108"/>
      <c r="H588" s="109"/>
      <c r="I588" s="110"/>
      <c r="J588" s="110"/>
      <c r="K588" s="119"/>
      <c r="L588" s="111" t="str">
        <f t="shared" si="71"/>
        <v/>
      </c>
      <c r="M588" s="112" t="str">
        <f t="shared" si="71"/>
        <v/>
      </c>
      <c r="N588" s="112" t="str">
        <f t="shared" si="71"/>
        <v/>
      </c>
      <c r="O588" s="112" t="str">
        <f t="shared" si="72"/>
        <v xml:space="preserve"> </v>
      </c>
      <c r="P588" s="113" t="str">
        <f t="shared" si="73"/>
        <v/>
      </c>
      <c r="Q588" s="114" t="str">
        <f t="shared" si="74"/>
        <v/>
      </c>
      <c r="R588" s="115" t="str">
        <f t="shared" si="75"/>
        <v/>
      </c>
      <c r="S588" s="115" t="str">
        <f t="shared" si="76"/>
        <v/>
      </c>
      <c r="T588" s="116" t="str">
        <f t="shared" si="77"/>
        <v/>
      </c>
      <c r="U588" s="120"/>
      <c r="V588" s="118"/>
    </row>
    <row r="589" spans="1:22" ht="13.2">
      <c r="A589" s="102"/>
      <c r="B589" s="102"/>
      <c r="C589" s="104"/>
      <c r="D589" s="105"/>
      <c r="E589" s="106"/>
      <c r="F589" s="107"/>
      <c r="G589" s="108"/>
      <c r="H589" s="109"/>
      <c r="I589" s="110"/>
      <c r="J589" s="110"/>
      <c r="K589" s="119"/>
      <c r="L589" s="111" t="str">
        <f t="shared" si="71"/>
        <v/>
      </c>
      <c r="M589" s="112" t="str">
        <f t="shared" si="71"/>
        <v/>
      </c>
      <c r="N589" s="112" t="str">
        <f t="shared" si="71"/>
        <v/>
      </c>
      <c r="O589" s="112" t="str">
        <f t="shared" si="72"/>
        <v xml:space="preserve"> </v>
      </c>
      <c r="P589" s="113" t="str">
        <f t="shared" si="73"/>
        <v/>
      </c>
      <c r="Q589" s="114" t="str">
        <f t="shared" si="74"/>
        <v/>
      </c>
      <c r="R589" s="115" t="str">
        <f t="shared" si="75"/>
        <v/>
      </c>
      <c r="S589" s="115" t="str">
        <f t="shared" si="76"/>
        <v/>
      </c>
      <c r="T589" s="116" t="str">
        <f t="shared" si="77"/>
        <v/>
      </c>
      <c r="U589" s="120"/>
      <c r="V589" s="118"/>
    </row>
    <row r="590" spans="1:22" ht="13.2">
      <c r="A590" s="102"/>
      <c r="B590" s="102"/>
      <c r="C590" s="104"/>
      <c r="D590" s="105"/>
      <c r="E590" s="106"/>
      <c r="F590" s="107"/>
      <c r="G590" s="108"/>
      <c r="H590" s="109"/>
      <c r="I590" s="110"/>
      <c r="J590" s="110"/>
      <c r="K590" s="119"/>
      <c r="L590" s="111" t="str">
        <f t="shared" si="71"/>
        <v/>
      </c>
      <c r="M590" s="112" t="str">
        <f t="shared" si="71"/>
        <v/>
      </c>
      <c r="N590" s="112" t="str">
        <f t="shared" si="71"/>
        <v/>
      </c>
      <c r="O590" s="112" t="str">
        <f t="shared" si="72"/>
        <v xml:space="preserve"> </v>
      </c>
      <c r="P590" s="113" t="str">
        <f t="shared" si="73"/>
        <v/>
      </c>
      <c r="Q590" s="114" t="str">
        <f t="shared" si="74"/>
        <v/>
      </c>
      <c r="R590" s="115" t="str">
        <f t="shared" si="75"/>
        <v/>
      </c>
      <c r="S590" s="115" t="str">
        <f t="shared" si="76"/>
        <v/>
      </c>
      <c r="T590" s="116" t="str">
        <f t="shared" si="77"/>
        <v/>
      </c>
      <c r="U590" s="120"/>
      <c r="V590" s="118"/>
    </row>
    <row r="591" spans="1:22" ht="13.2">
      <c r="A591" s="102"/>
      <c r="B591" s="102"/>
      <c r="C591" s="104"/>
      <c r="D591" s="105"/>
      <c r="E591" s="106"/>
      <c r="F591" s="107"/>
      <c r="G591" s="108"/>
      <c r="H591" s="109"/>
      <c r="I591" s="110"/>
      <c r="J591" s="110"/>
      <c r="K591" s="119"/>
      <c r="L591" s="111" t="str">
        <f t="shared" si="71"/>
        <v/>
      </c>
      <c r="M591" s="112" t="str">
        <f t="shared" si="71"/>
        <v/>
      </c>
      <c r="N591" s="112" t="str">
        <f t="shared" si="71"/>
        <v/>
      </c>
      <c r="O591" s="112" t="str">
        <f t="shared" si="72"/>
        <v xml:space="preserve"> </v>
      </c>
      <c r="P591" s="113" t="str">
        <f t="shared" si="73"/>
        <v/>
      </c>
      <c r="Q591" s="114" t="str">
        <f t="shared" si="74"/>
        <v/>
      </c>
      <c r="R591" s="115" t="str">
        <f t="shared" si="75"/>
        <v/>
      </c>
      <c r="S591" s="115" t="str">
        <f t="shared" si="76"/>
        <v/>
      </c>
      <c r="T591" s="116" t="str">
        <f t="shared" si="77"/>
        <v/>
      </c>
      <c r="U591" s="120"/>
      <c r="V591" s="118"/>
    </row>
    <row r="592" spans="1:22" ht="13.2">
      <c r="A592" s="102"/>
      <c r="B592" s="102"/>
      <c r="C592" s="104"/>
      <c r="D592" s="105"/>
      <c r="E592" s="106"/>
      <c r="F592" s="107"/>
      <c r="G592" s="108"/>
      <c r="H592" s="109"/>
      <c r="I592" s="110"/>
      <c r="J592" s="110"/>
      <c r="K592" s="119"/>
      <c r="L592" s="111" t="str">
        <f t="shared" si="71"/>
        <v/>
      </c>
      <c r="M592" s="112" t="str">
        <f t="shared" si="71"/>
        <v/>
      </c>
      <c r="N592" s="112" t="str">
        <f t="shared" si="71"/>
        <v/>
      </c>
      <c r="O592" s="112" t="str">
        <f t="shared" si="72"/>
        <v xml:space="preserve"> </v>
      </c>
      <c r="P592" s="113" t="str">
        <f t="shared" si="73"/>
        <v/>
      </c>
      <c r="Q592" s="114" t="str">
        <f t="shared" si="74"/>
        <v/>
      </c>
      <c r="R592" s="115" t="str">
        <f t="shared" si="75"/>
        <v/>
      </c>
      <c r="S592" s="115" t="str">
        <f t="shared" si="76"/>
        <v/>
      </c>
      <c r="T592" s="116" t="str">
        <f t="shared" si="77"/>
        <v/>
      </c>
      <c r="U592" s="120"/>
      <c r="V592" s="118"/>
    </row>
    <row r="593" spans="1:22" ht="13.2">
      <c r="A593" s="102"/>
      <c r="B593" s="102"/>
      <c r="C593" s="104"/>
      <c r="D593" s="105"/>
      <c r="E593" s="106"/>
      <c r="F593" s="107"/>
      <c r="G593" s="108"/>
      <c r="H593" s="109"/>
      <c r="I593" s="110"/>
      <c r="J593" s="110"/>
      <c r="K593" s="119"/>
      <c r="L593" s="111" t="str">
        <f t="shared" si="71"/>
        <v/>
      </c>
      <c r="M593" s="112" t="str">
        <f t="shared" si="71"/>
        <v/>
      </c>
      <c r="N593" s="112" t="str">
        <f t="shared" si="71"/>
        <v/>
      </c>
      <c r="O593" s="112" t="str">
        <f t="shared" si="72"/>
        <v xml:space="preserve"> </v>
      </c>
      <c r="P593" s="113" t="str">
        <f t="shared" si="73"/>
        <v/>
      </c>
      <c r="Q593" s="114" t="str">
        <f t="shared" si="74"/>
        <v/>
      </c>
      <c r="R593" s="115" t="str">
        <f t="shared" si="75"/>
        <v/>
      </c>
      <c r="S593" s="115" t="str">
        <f t="shared" si="76"/>
        <v/>
      </c>
      <c r="T593" s="116" t="str">
        <f t="shared" si="77"/>
        <v/>
      </c>
      <c r="U593" s="120"/>
      <c r="V593" s="118"/>
    </row>
    <row r="594" spans="1:22" ht="13.2">
      <c r="A594" s="102"/>
      <c r="B594" s="102"/>
      <c r="C594" s="104"/>
      <c r="D594" s="105"/>
      <c r="E594" s="106"/>
      <c r="F594" s="107"/>
      <c r="G594" s="108"/>
      <c r="H594" s="109"/>
      <c r="I594" s="110"/>
      <c r="J594" s="110"/>
      <c r="K594" s="110"/>
      <c r="L594" s="111" t="str">
        <f t="shared" si="71"/>
        <v/>
      </c>
      <c r="M594" s="112" t="str">
        <f t="shared" si="71"/>
        <v/>
      </c>
      <c r="N594" s="112" t="str">
        <f t="shared" si="71"/>
        <v/>
      </c>
      <c r="O594" s="112" t="str">
        <f t="shared" si="72"/>
        <v xml:space="preserve"> </v>
      </c>
      <c r="P594" s="113" t="str">
        <f t="shared" si="73"/>
        <v/>
      </c>
      <c r="Q594" s="114" t="str">
        <f t="shared" si="74"/>
        <v/>
      </c>
      <c r="R594" s="115" t="str">
        <f t="shared" si="75"/>
        <v/>
      </c>
      <c r="S594" s="115" t="str">
        <f t="shared" si="76"/>
        <v/>
      </c>
      <c r="T594" s="116" t="str">
        <f t="shared" si="77"/>
        <v/>
      </c>
      <c r="U594" s="120"/>
      <c r="V594" s="118"/>
    </row>
    <row r="595" spans="1:22" ht="13.2">
      <c r="A595" s="102"/>
      <c r="B595" s="102"/>
      <c r="C595" s="104"/>
      <c r="D595" s="105"/>
      <c r="E595" s="106"/>
      <c r="F595" s="107"/>
      <c r="G595" s="108"/>
      <c r="H595" s="109"/>
      <c r="I595" s="110"/>
      <c r="J595" s="110"/>
      <c r="K595" s="119"/>
      <c r="L595" s="111" t="str">
        <f t="shared" si="71"/>
        <v/>
      </c>
      <c r="M595" s="112" t="str">
        <f t="shared" si="71"/>
        <v/>
      </c>
      <c r="N595" s="112" t="str">
        <f t="shared" si="71"/>
        <v/>
      </c>
      <c r="O595" s="112" t="str">
        <f t="shared" si="72"/>
        <v xml:space="preserve"> </v>
      </c>
      <c r="P595" s="113" t="str">
        <f t="shared" si="73"/>
        <v/>
      </c>
      <c r="Q595" s="114" t="str">
        <f t="shared" si="74"/>
        <v/>
      </c>
      <c r="R595" s="115" t="str">
        <f t="shared" si="75"/>
        <v/>
      </c>
      <c r="S595" s="115" t="str">
        <f t="shared" si="76"/>
        <v/>
      </c>
      <c r="T595" s="116" t="str">
        <f t="shared" si="77"/>
        <v/>
      </c>
      <c r="U595" s="120"/>
      <c r="V595" s="118"/>
    </row>
    <row r="596" spans="1:22" ht="13.2">
      <c r="A596" s="102"/>
      <c r="B596" s="102"/>
      <c r="C596" s="104"/>
      <c r="D596" s="105"/>
      <c r="E596" s="106"/>
      <c r="F596" s="107"/>
      <c r="G596" s="108"/>
      <c r="H596" s="109"/>
      <c r="I596" s="110"/>
      <c r="J596" s="110"/>
      <c r="K596" s="119"/>
      <c r="L596" s="111" t="str">
        <f t="shared" si="71"/>
        <v/>
      </c>
      <c r="M596" s="112" t="str">
        <f t="shared" si="71"/>
        <v/>
      </c>
      <c r="N596" s="112" t="str">
        <f t="shared" si="71"/>
        <v/>
      </c>
      <c r="O596" s="112" t="str">
        <f t="shared" si="72"/>
        <v xml:space="preserve"> </v>
      </c>
      <c r="P596" s="113" t="str">
        <f t="shared" si="73"/>
        <v/>
      </c>
      <c r="Q596" s="114" t="str">
        <f t="shared" si="74"/>
        <v/>
      </c>
      <c r="R596" s="115" t="str">
        <f t="shared" si="75"/>
        <v/>
      </c>
      <c r="S596" s="115" t="str">
        <f t="shared" si="76"/>
        <v/>
      </c>
      <c r="T596" s="116" t="str">
        <f t="shared" si="77"/>
        <v/>
      </c>
      <c r="U596" s="120"/>
      <c r="V596" s="118"/>
    </row>
    <row r="597" spans="1:22" ht="13.2">
      <c r="A597" s="102"/>
      <c r="B597" s="102"/>
      <c r="C597" s="104"/>
      <c r="D597" s="105"/>
      <c r="E597" s="106"/>
      <c r="F597" s="107"/>
      <c r="G597" s="108"/>
      <c r="H597" s="109"/>
      <c r="I597" s="110"/>
      <c r="J597" s="110"/>
      <c r="K597" s="119"/>
      <c r="L597" s="111" t="str">
        <f t="shared" si="71"/>
        <v/>
      </c>
      <c r="M597" s="112" t="str">
        <f t="shared" si="71"/>
        <v/>
      </c>
      <c r="N597" s="112" t="str">
        <f t="shared" si="71"/>
        <v/>
      </c>
      <c r="O597" s="112" t="str">
        <f t="shared" si="72"/>
        <v xml:space="preserve"> </v>
      </c>
      <c r="P597" s="113" t="str">
        <f t="shared" si="73"/>
        <v/>
      </c>
      <c r="Q597" s="114" t="str">
        <f t="shared" si="74"/>
        <v/>
      </c>
      <c r="R597" s="115" t="str">
        <f t="shared" si="75"/>
        <v/>
      </c>
      <c r="S597" s="115" t="str">
        <f t="shared" si="76"/>
        <v/>
      </c>
      <c r="T597" s="116" t="str">
        <f t="shared" si="77"/>
        <v/>
      </c>
      <c r="U597" s="120"/>
      <c r="V597" s="118"/>
    </row>
    <row r="598" spans="1:22" ht="13.2">
      <c r="A598" s="102"/>
      <c r="B598" s="102"/>
      <c r="C598" s="104"/>
      <c r="D598" s="105"/>
      <c r="E598" s="106"/>
      <c r="F598" s="107"/>
      <c r="G598" s="108"/>
      <c r="H598" s="109"/>
      <c r="I598" s="110"/>
      <c r="J598" s="110"/>
      <c r="K598" s="119"/>
      <c r="L598" s="111" t="str">
        <f t="shared" si="71"/>
        <v/>
      </c>
      <c r="M598" s="112" t="str">
        <f t="shared" si="71"/>
        <v/>
      </c>
      <c r="N598" s="112" t="str">
        <f t="shared" si="71"/>
        <v/>
      </c>
      <c r="O598" s="112" t="str">
        <f t="shared" si="72"/>
        <v xml:space="preserve"> </v>
      </c>
      <c r="P598" s="113" t="str">
        <f t="shared" si="73"/>
        <v/>
      </c>
      <c r="Q598" s="114" t="str">
        <f t="shared" si="74"/>
        <v/>
      </c>
      <c r="R598" s="115" t="str">
        <f t="shared" si="75"/>
        <v/>
      </c>
      <c r="S598" s="115" t="str">
        <f t="shared" si="76"/>
        <v/>
      </c>
      <c r="T598" s="116" t="str">
        <f t="shared" si="77"/>
        <v/>
      </c>
      <c r="U598" s="120"/>
      <c r="V598" s="118"/>
    </row>
    <row r="599" spans="1:22" ht="13.2">
      <c r="A599" s="102"/>
      <c r="B599" s="103"/>
      <c r="C599" s="104"/>
      <c r="D599" s="105"/>
      <c r="E599" s="106"/>
      <c r="F599" s="107"/>
      <c r="G599" s="108"/>
      <c r="H599" s="121"/>
      <c r="I599" s="122"/>
      <c r="J599" s="122"/>
      <c r="K599" s="123"/>
      <c r="L599" s="111" t="str">
        <f t="shared" si="71"/>
        <v/>
      </c>
      <c r="M599" s="112" t="str">
        <f t="shared" si="71"/>
        <v/>
      </c>
      <c r="N599" s="112" t="str">
        <f t="shared" si="71"/>
        <v/>
      </c>
      <c r="O599" s="112" t="str">
        <f t="shared" si="72"/>
        <v xml:space="preserve"> </v>
      </c>
      <c r="P599" s="113" t="str">
        <f t="shared" si="73"/>
        <v/>
      </c>
      <c r="Q599" s="114" t="str">
        <f t="shared" si="74"/>
        <v/>
      </c>
      <c r="R599" s="115" t="str">
        <f t="shared" si="75"/>
        <v/>
      </c>
      <c r="S599" s="115" t="str">
        <f t="shared" si="76"/>
        <v/>
      </c>
      <c r="T599" s="116" t="str">
        <f t="shared" si="77"/>
        <v/>
      </c>
      <c r="U599" s="120"/>
      <c r="V599" s="118"/>
    </row>
    <row r="600" spans="1:22" ht="13.2">
      <c r="A600" s="102"/>
      <c r="B600" s="103"/>
      <c r="C600" s="104"/>
      <c r="D600" s="105"/>
      <c r="E600" s="106"/>
      <c r="F600" s="107"/>
      <c r="G600" s="108"/>
      <c r="H600" s="121"/>
      <c r="I600" s="122"/>
      <c r="J600" s="122"/>
      <c r="K600" s="123"/>
      <c r="L600" s="111" t="str">
        <f t="shared" si="71"/>
        <v/>
      </c>
      <c r="M600" s="112" t="str">
        <f t="shared" si="71"/>
        <v/>
      </c>
      <c r="N600" s="112" t="str">
        <f t="shared" si="71"/>
        <v/>
      </c>
      <c r="O600" s="112" t="str">
        <f t="shared" si="72"/>
        <v xml:space="preserve"> </v>
      </c>
      <c r="P600" s="113" t="str">
        <f t="shared" si="73"/>
        <v/>
      </c>
      <c r="Q600" s="114" t="str">
        <f t="shared" si="74"/>
        <v/>
      </c>
      <c r="R600" s="115" t="str">
        <f t="shared" si="75"/>
        <v/>
      </c>
      <c r="S600" s="115" t="str">
        <f t="shared" si="76"/>
        <v/>
      </c>
      <c r="T600" s="116" t="str">
        <f t="shared" si="77"/>
        <v/>
      </c>
      <c r="U600" s="120"/>
      <c r="V600" s="118"/>
    </row>
    <row r="601" spans="1:22" ht="13.2">
      <c r="A601" s="102"/>
      <c r="B601" s="103"/>
      <c r="C601" s="104"/>
      <c r="D601" s="105"/>
      <c r="E601" s="106"/>
      <c r="F601" s="107"/>
      <c r="G601" s="108"/>
      <c r="H601" s="121"/>
      <c r="I601" s="122"/>
      <c r="J601" s="122"/>
      <c r="K601" s="123"/>
      <c r="L601" s="111" t="str">
        <f t="shared" si="71"/>
        <v/>
      </c>
      <c r="M601" s="112" t="str">
        <f t="shared" si="71"/>
        <v/>
      </c>
      <c r="N601" s="112" t="str">
        <f t="shared" si="71"/>
        <v/>
      </c>
      <c r="O601" s="112" t="str">
        <f t="shared" si="72"/>
        <v xml:space="preserve"> </v>
      </c>
      <c r="P601" s="113" t="str">
        <f t="shared" si="73"/>
        <v/>
      </c>
      <c r="Q601" s="114" t="str">
        <f t="shared" si="74"/>
        <v/>
      </c>
      <c r="R601" s="115" t="str">
        <f t="shared" si="75"/>
        <v/>
      </c>
      <c r="S601" s="115" t="str">
        <f t="shared" si="76"/>
        <v/>
      </c>
      <c r="T601" s="116" t="str">
        <f t="shared" si="77"/>
        <v/>
      </c>
      <c r="U601" s="120"/>
      <c r="V601" s="118"/>
    </row>
    <row r="602" spans="1:22" ht="13.2">
      <c r="A602" s="102"/>
      <c r="B602" s="102"/>
      <c r="C602" s="103"/>
      <c r="D602" s="105"/>
      <c r="E602" s="106"/>
      <c r="F602" s="107"/>
      <c r="G602" s="108"/>
      <c r="H602" s="109"/>
      <c r="I602" s="110"/>
      <c r="J602" s="110"/>
      <c r="K602" s="119"/>
      <c r="L602" s="111" t="str">
        <f t="shared" si="71"/>
        <v/>
      </c>
      <c r="M602" s="112" t="str">
        <f t="shared" si="71"/>
        <v/>
      </c>
      <c r="N602" s="112" t="str">
        <f t="shared" si="71"/>
        <v/>
      </c>
      <c r="O602" s="112" t="str">
        <f t="shared" si="72"/>
        <v xml:space="preserve"> </v>
      </c>
      <c r="P602" s="113" t="str">
        <f t="shared" si="73"/>
        <v/>
      </c>
      <c r="Q602" s="114" t="str">
        <f t="shared" si="74"/>
        <v/>
      </c>
      <c r="R602" s="115" t="str">
        <f t="shared" si="75"/>
        <v/>
      </c>
      <c r="S602" s="115" t="str">
        <f t="shared" si="76"/>
        <v/>
      </c>
      <c r="T602" s="116" t="str">
        <f t="shared" si="77"/>
        <v/>
      </c>
      <c r="U602" s="120"/>
      <c r="V602" s="118"/>
    </row>
    <row r="603" spans="1:22" ht="13.2">
      <c r="A603" s="102"/>
      <c r="B603" s="102"/>
      <c r="C603" s="103"/>
      <c r="D603" s="105"/>
      <c r="E603" s="106"/>
      <c r="F603" s="107"/>
      <c r="G603" s="108"/>
      <c r="H603" s="109"/>
      <c r="I603" s="110"/>
      <c r="J603" s="110"/>
      <c r="K603" s="119"/>
      <c r="L603" s="111" t="str">
        <f t="shared" si="71"/>
        <v/>
      </c>
      <c r="M603" s="112" t="str">
        <f t="shared" si="71"/>
        <v/>
      </c>
      <c r="N603" s="112" t="str">
        <f t="shared" si="71"/>
        <v/>
      </c>
      <c r="O603" s="112" t="str">
        <f t="shared" si="72"/>
        <v xml:space="preserve"> </v>
      </c>
      <c r="P603" s="113" t="str">
        <f t="shared" si="73"/>
        <v/>
      </c>
      <c r="Q603" s="114" t="str">
        <f t="shared" si="74"/>
        <v/>
      </c>
      <c r="R603" s="115" t="str">
        <f t="shared" si="75"/>
        <v/>
      </c>
      <c r="S603" s="115" t="str">
        <f t="shared" si="76"/>
        <v/>
      </c>
      <c r="T603" s="116" t="str">
        <f t="shared" si="77"/>
        <v/>
      </c>
      <c r="U603" s="120"/>
      <c r="V603" s="118"/>
    </row>
    <row r="604" spans="1:22" ht="13.2">
      <c r="A604" s="102"/>
      <c r="B604" s="102"/>
      <c r="C604" s="104"/>
      <c r="D604" s="105"/>
      <c r="E604" s="106"/>
      <c r="F604" s="107"/>
      <c r="G604" s="108"/>
      <c r="H604" s="109"/>
      <c r="I604" s="110"/>
      <c r="J604" s="110"/>
      <c r="K604" s="119"/>
      <c r="L604" s="111" t="str">
        <f t="shared" si="71"/>
        <v/>
      </c>
      <c r="M604" s="112" t="str">
        <f t="shared" si="71"/>
        <v/>
      </c>
      <c r="N604" s="112" t="str">
        <f t="shared" si="71"/>
        <v/>
      </c>
      <c r="O604" s="112" t="str">
        <f t="shared" si="72"/>
        <v xml:space="preserve"> </v>
      </c>
      <c r="P604" s="113" t="str">
        <f t="shared" si="73"/>
        <v/>
      </c>
      <c r="Q604" s="114" t="str">
        <f t="shared" si="74"/>
        <v/>
      </c>
      <c r="R604" s="115" t="str">
        <f t="shared" si="75"/>
        <v/>
      </c>
      <c r="S604" s="115" t="str">
        <f t="shared" si="76"/>
        <v/>
      </c>
      <c r="T604" s="116" t="str">
        <f t="shared" si="77"/>
        <v/>
      </c>
      <c r="U604" s="120"/>
      <c r="V604" s="118"/>
    </row>
    <row r="605" spans="1:22" ht="13.2">
      <c r="A605" s="102"/>
      <c r="B605" s="102"/>
      <c r="C605" s="104"/>
      <c r="D605" s="105"/>
      <c r="E605" s="106"/>
      <c r="F605" s="107"/>
      <c r="G605" s="108"/>
      <c r="H605" s="109"/>
      <c r="I605" s="110"/>
      <c r="J605" s="110"/>
      <c r="K605" s="119"/>
      <c r="L605" s="111" t="str">
        <f t="shared" ref="L605:N668" si="78">IF(ISBLANK($E605),"",IF(ISERR(I605/I605)=TRUE,"BAD INSP",I605-$E605))</f>
        <v/>
      </c>
      <c r="M605" s="112" t="str">
        <f t="shared" si="78"/>
        <v/>
      </c>
      <c r="N605" s="112" t="str">
        <f t="shared" si="78"/>
        <v/>
      </c>
      <c r="O605" s="112" t="str">
        <f t="shared" si="72"/>
        <v xml:space="preserve"> </v>
      </c>
      <c r="P605" s="113" t="str">
        <f t="shared" si="73"/>
        <v/>
      </c>
      <c r="Q605" s="114" t="str">
        <f t="shared" si="74"/>
        <v/>
      </c>
      <c r="R605" s="115" t="str">
        <f t="shared" si="75"/>
        <v/>
      </c>
      <c r="S605" s="115" t="str">
        <f t="shared" si="76"/>
        <v/>
      </c>
      <c r="T605" s="116" t="str">
        <f t="shared" si="77"/>
        <v/>
      </c>
      <c r="U605" s="120"/>
      <c r="V605" s="118"/>
    </row>
    <row r="606" spans="1:22" ht="13.2">
      <c r="A606" s="102"/>
      <c r="B606" s="102"/>
      <c r="C606" s="104"/>
      <c r="D606" s="105"/>
      <c r="E606" s="106"/>
      <c r="F606" s="107"/>
      <c r="G606" s="108"/>
      <c r="H606" s="109"/>
      <c r="I606" s="110"/>
      <c r="J606" s="110"/>
      <c r="K606" s="119"/>
      <c r="L606" s="111" t="str">
        <f t="shared" si="78"/>
        <v/>
      </c>
      <c r="M606" s="112" t="str">
        <f t="shared" si="78"/>
        <v/>
      </c>
      <c r="N606" s="112" t="str">
        <f t="shared" si="78"/>
        <v/>
      </c>
      <c r="O606" s="112" t="str">
        <f t="shared" si="72"/>
        <v xml:space="preserve"> </v>
      </c>
      <c r="P606" s="113" t="str">
        <f t="shared" si="73"/>
        <v/>
      </c>
      <c r="Q606" s="114" t="str">
        <f t="shared" si="74"/>
        <v/>
      </c>
      <c r="R606" s="115" t="str">
        <f t="shared" si="75"/>
        <v/>
      </c>
      <c r="S606" s="115" t="str">
        <f t="shared" si="76"/>
        <v/>
      </c>
      <c r="T606" s="116" t="str">
        <f t="shared" si="77"/>
        <v/>
      </c>
      <c r="U606" s="120"/>
      <c r="V606" s="118"/>
    </row>
    <row r="607" spans="1:22" ht="13.2">
      <c r="A607" s="102"/>
      <c r="B607" s="102"/>
      <c r="C607" s="104"/>
      <c r="D607" s="105"/>
      <c r="E607" s="106"/>
      <c r="F607" s="107"/>
      <c r="G607" s="108"/>
      <c r="H607" s="109"/>
      <c r="I607" s="110"/>
      <c r="J607" s="110"/>
      <c r="K607" s="119"/>
      <c r="L607" s="111" t="str">
        <f t="shared" si="78"/>
        <v/>
      </c>
      <c r="M607" s="112" t="str">
        <f t="shared" si="78"/>
        <v/>
      </c>
      <c r="N607" s="112" t="str">
        <f t="shared" si="78"/>
        <v/>
      </c>
      <c r="O607" s="112" t="str">
        <f t="shared" si="72"/>
        <v xml:space="preserve"> </v>
      </c>
      <c r="P607" s="113" t="str">
        <f t="shared" si="73"/>
        <v/>
      </c>
      <c r="Q607" s="114" t="str">
        <f t="shared" si="74"/>
        <v/>
      </c>
      <c r="R607" s="115" t="str">
        <f t="shared" si="75"/>
        <v/>
      </c>
      <c r="S607" s="115" t="str">
        <f t="shared" si="76"/>
        <v/>
      </c>
      <c r="T607" s="116" t="str">
        <f t="shared" si="77"/>
        <v/>
      </c>
      <c r="U607" s="120"/>
      <c r="V607" s="118"/>
    </row>
    <row r="608" spans="1:22" ht="13.2">
      <c r="A608" s="102"/>
      <c r="B608" s="102"/>
      <c r="C608" s="104"/>
      <c r="D608" s="105"/>
      <c r="E608" s="106"/>
      <c r="F608" s="107"/>
      <c r="G608" s="108"/>
      <c r="H608" s="109"/>
      <c r="I608" s="110"/>
      <c r="J608" s="110"/>
      <c r="K608" s="119"/>
      <c r="L608" s="111" t="str">
        <f t="shared" si="78"/>
        <v/>
      </c>
      <c r="M608" s="112" t="str">
        <f t="shared" si="78"/>
        <v/>
      </c>
      <c r="N608" s="112" t="str">
        <f t="shared" si="78"/>
        <v/>
      </c>
      <c r="O608" s="112" t="str">
        <f t="shared" si="72"/>
        <v xml:space="preserve"> </v>
      </c>
      <c r="P608" s="113" t="str">
        <f t="shared" si="73"/>
        <v/>
      </c>
      <c r="Q608" s="114" t="str">
        <f t="shared" si="74"/>
        <v/>
      </c>
      <c r="R608" s="115" t="str">
        <f t="shared" si="75"/>
        <v/>
      </c>
      <c r="S608" s="115" t="str">
        <f t="shared" si="76"/>
        <v/>
      </c>
      <c r="T608" s="116" t="str">
        <f t="shared" si="77"/>
        <v/>
      </c>
      <c r="U608" s="120"/>
      <c r="V608" s="118"/>
    </row>
    <row r="609" spans="1:22" ht="13.2">
      <c r="A609" s="102"/>
      <c r="B609" s="102"/>
      <c r="C609" s="104"/>
      <c r="D609" s="105"/>
      <c r="E609" s="106"/>
      <c r="F609" s="107"/>
      <c r="G609" s="108"/>
      <c r="H609" s="109"/>
      <c r="I609" s="110"/>
      <c r="J609" s="110"/>
      <c r="K609" s="110"/>
      <c r="L609" s="111" t="str">
        <f t="shared" si="78"/>
        <v/>
      </c>
      <c r="M609" s="112" t="str">
        <f t="shared" si="78"/>
        <v/>
      </c>
      <c r="N609" s="112" t="str">
        <f t="shared" si="78"/>
        <v/>
      </c>
      <c r="O609" s="112" t="str">
        <f t="shared" si="72"/>
        <v xml:space="preserve"> </v>
      </c>
      <c r="P609" s="113" t="str">
        <f t="shared" si="73"/>
        <v/>
      </c>
      <c r="Q609" s="114" t="str">
        <f t="shared" si="74"/>
        <v/>
      </c>
      <c r="R609" s="115" t="str">
        <f t="shared" si="75"/>
        <v/>
      </c>
      <c r="S609" s="115" t="str">
        <f t="shared" si="76"/>
        <v/>
      </c>
      <c r="T609" s="116" t="str">
        <f t="shared" si="77"/>
        <v/>
      </c>
      <c r="U609" s="120"/>
      <c r="V609" s="118"/>
    </row>
    <row r="610" spans="1:22" ht="13.2">
      <c r="A610" s="102"/>
      <c r="B610" s="102"/>
      <c r="C610" s="104"/>
      <c r="D610" s="105"/>
      <c r="E610" s="106"/>
      <c r="F610" s="107"/>
      <c r="G610" s="108"/>
      <c r="H610" s="109"/>
      <c r="I610" s="110"/>
      <c r="J610" s="110"/>
      <c r="K610" s="119"/>
      <c r="L610" s="111" t="str">
        <f t="shared" si="78"/>
        <v/>
      </c>
      <c r="M610" s="112" t="str">
        <f t="shared" si="78"/>
        <v/>
      </c>
      <c r="N610" s="112" t="str">
        <f t="shared" si="78"/>
        <v/>
      </c>
      <c r="O610" s="112" t="str">
        <f t="shared" si="72"/>
        <v xml:space="preserve"> </v>
      </c>
      <c r="P610" s="113" t="str">
        <f t="shared" si="73"/>
        <v/>
      </c>
      <c r="Q610" s="114" t="str">
        <f t="shared" si="74"/>
        <v/>
      </c>
      <c r="R610" s="115" t="str">
        <f t="shared" si="75"/>
        <v/>
      </c>
      <c r="S610" s="115" t="str">
        <f t="shared" si="76"/>
        <v/>
      </c>
      <c r="T610" s="116" t="str">
        <f t="shared" si="77"/>
        <v/>
      </c>
      <c r="U610" s="120"/>
      <c r="V610" s="118"/>
    </row>
    <row r="611" spans="1:22" ht="13.2">
      <c r="A611" s="102"/>
      <c r="B611" s="102"/>
      <c r="C611" s="104"/>
      <c r="D611" s="105"/>
      <c r="E611" s="106"/>
      <c r="F611" s="107"/>
      <c r="G611" s="108"/>
      <c r="H611" s="109"/>
      <c r="I611" s="110"/>
      <c r="J611" s="110"/>
      <c r="K611" s="119"/>
      <c r="L611" s="111" t="str">
        <f t="shared" si="78"/>
        <v/>
      </c>
      <c r="M611" s="112" t="str">
        <f t="shared" si="78"/>
        <v/>
      </c>
      <c r="N611" s="112" t="str">
        <f t="shared" si="78"/>
        <v/>
      </c>
      <c r="O611" s="112" t="str">
        <f t="shared" si="72"/>
        <v xml:space="preserve"> </v>
      </c>
      <c r="P611" s="113" t="str">
        <f t="shared" si="73"/>
        <v/>
      </c>
      <c r="Q611" s="114" t="str">
        <f t="shared" si="74"/>
        <v/>
      </c>
      <c r="R611" s="115" t="str">
        <f t="shared" si="75"/>
        <v/>
      </c>
      <c r="S611" s="115" t="str">
        <f t="shared" si="76"/>
        <v/>
      </c>
      <c r="T611" s="116" t="str">
        <f t="shared" si="77"/>
        <v/>
      </c>
      <c r="U611" s="120"/>
      <c r="V611" s="118"/>
    </row>
    <row r="612" spans="1:22" ht="13.2">
      <c r="A612" s="102"/>
      <c r="B612" s="102"/>
      <c r="C612" s="104"/>
      <c r="D612" s="105"/>
      <c r="E612" s="106"/>
      <c r="F612" s="107"/>
      <c r="G612" s="108"/>
      <c r="H612" s="109"/>
      <c r="I612" s="110"/>
      <c r="J612" s="110"/>
      <c r="K612" s="119"/>
      <c r="L612" s="111" t="str">
        <f t="shared" si="78"/>
        <v/>
      </c>
      <c r="M612" s="112" t="str">
        <f t="shared" si="78"/>
        <v/>
      </c>
      <c r="N612" s="112" t="str">
        <f t="shared" si="78"/>
        <v/>
      </c>
      <c r="O612" s="112" t="str">
        <f t="shared" si="72"/>
        <v xml:space="preserve"> </v>
      </c>
      <c r="P612" s="113" t="str">
        <f t="shared" si="73"/>
        <v/>
      </c>
      <c r="Q612" s="114" t="str">
        <f t="shared" si="74"/>
        <v/>
      </c>
      <c r="R612" s="115" t="str">
        <f t="shared" si="75"/>
        <v/>
      </c>
      <c r="S612" s="115" t="str">
        <f t="shared" si="76"/>
        <v/>
      </c>
      <c r="T612" s="116" t="str">
        <f t="shared" si="77"/>
        <v/>
      </c>
      <c r="U612" s="120"/>
      <c r="V612" s="118"/>
    </row>
    <row r="613" spans="1:22" ht="13.2">
      <c r="A613" s="102"/>
      <c r="B613" s="102"/>
      <c r="C613" s="104"/>
      <c r="D613" s="105"/>
      <c r="E613" s="106"/>
      <c r="F613" s="107"/>
      <c r="G613" s="108"/>
      <c r="H613" s="109"/>
      <c r="I613" s="110"/>
      <c r="J613" s="110"/>
      <c r="K613" s="119"/>
      <c r="L613" s="111" t="str">
        <f t="shared" si="78"/>
        <v/>
      </c>
      <c r="M613" s="112" t="str">
        <f t="shared" si="78"/>
        <v/>
      </c>
      <c r="N613" s="112" t="str">
        <f t="shared" si="78"/>
        <v/>
      </c>
      <c r="O613" s="112" t="str">
        <f t="shared" si="72"/>
        <v xml:space="preserve"> </v>
      </c>
      <c r="P613" s="113" t="str">
        <f t="shared" si="73"/>
        <v/>
      </c>
      <c r="Q613" s="114" t="str">
        <f t="shared" si="74"/>
        <v/>
      </c>
      <c r="R613" s="115" t="str">
        <f t="shared" si="75"/>
        <v/>
      </c>
      <c r="S613" s="115" t="str">
        <f t="shared" si="76"/>
        <v/>
      </c>
      <c r="T613" s="116" t="str">
        <f t="shared" si="77"/>
        <v/>
      </c>
      <c r="U613" s="120"/>
      <c r="V613" s="118"/>
    </row>
    <row r="614" spans="1:22" ht="13.2">
      <c r="A614" s="102"/>
      <c r="B614" s="103"/>
      <c r="C614" s="104"/>
      <c r="D614" s="105"/>
      <c r="E614" s="106"/>
      <c r="F614" s="107"/>
      <c r="G614" s="108"/>
      <c r="H614" s="121"/>
      <c r="I614" s="122"/>
      <c r="J614" s="122"/>
      <c r="K614" s="123"/>
      <c r="L614" s="111" t="str">
        <f t="shared" si="78"/>
        <v/>
      </c>
      <c r="M614" s="112" t="str">
        <f t="shared" si="78"/>
        <v/>
      </c>
      <c r="N614" s="112" t="str">
        <f t="shared" si="78"/>
        <v/>
      </c>
      <c r="O614" s="112" t="str">
        <f t="shared" si="72"/>
        <v xml:space="preserve"> </v>
      </c>
      <c r="P614" s="113" t="str">
        <f t="shared" si="73"/>
        <v/>
      </c>
      <c r="Q614" s="114" t="str">
        <f t="shared" si="74"/>
        <v/>
      </c>
      <c r="R614" s="115" t="str">
        <f t="shared" si="75"/>
        <v/>
      </c>
      <c r="S614" s="115" t="str">
        <f t="shared" si="76"/>
        <v/>
      </c>
      <c r="T614" s="116" t="str">
        <f t="shared" si="77"/>
        <v/>
      </c>
      <c r="U614" s="120"/>
      <c r="V614" s="118"/>
    </row>
    <row r="615" spans="1:22" ht="13.2">
      <c r="A615" s="102"/>
      <c r="B615" s="103"/>
      <c r="C615" s="104"/>
      <c r="D615" s="105"/>
      <c r="E615" s="106"/>
      <c r="F615" s="107"/>
      <c r="G615" s="108"/>
      <c r="H615" s="121"/>
      <c r="I615" s="122"/>
      <c r="J615" s="122"/>
      <c r="K615" s="123"/>
      <c r="L615" s="111" t="str">
        <f t="shared" si="78"/>
        <v/>
      </c>
      <c r="M615" s="112" t="str">
        <f t="shared" si="78"/>
        <v/>
      </c>
      <c r="N615" s="112" t="str">
        <f t="shared" si="78"/>
        <v/>
      </c>
      <c r="O615" s="112" t="str">
        <f t="shared" si="72"/>
        <v xml:space="preserve"> </v>
      </c>
      <c r="P615" s="113" t="str">
        <f t="shared" si="73"/>
        <v/>
      </c>
      <c r="Q615" s="114" t="str">
        <f t="shared" si="74"/>
        <v/>
      </c>
      <c r="R615" s="115" t="str">
        <f t="shared" si="75"/>
        <v/>
      </c>
      <c r="S615" s="115" t="str">
        <f t="shared" si="76"/>
        <v/>
      </c>
      <c r="T615" s="116" t="str">
        <f t="shared" si="77"/>
        <v/>
      </c>
      <c r="U615" s="120"/>
      <c r="V615" s="118"/>
    </row>
    <row r="616" spans="1:22" ht="13.2">
      <c r="A616" s="102"/>
      <c r="B616" s="103"/>
      <c r="C616" s="104"/>
      <c r="D616" s="105"/>
      <c r="E616" s="106"/>
      <c r="F616" s="107"/>
      <c r="G616" s="108"/>
      <c r="H616" s="121"/>
      <c r="I616" s="122"/>
      <c r="J616" s="122"/>
      <c r="K616" s="123"/>
      <c r="L616" s="111" t="str">
        <f t="shared" si="78"/>
        <v/>
      </c>
      <c r="M616" s="112" t="str">
        <f t="shared" si="78"/>
        <v/>
      </c>
      <c r="N616" s="112" t="str">
        <f t="shared" si="78"/>
        <v/>
      </c>
      <c r="O616" s="112" t="str">
        <f t="shared" si="72"/>
        <v xml:space="preserve"> </v>
      </c>
      <c r="P616" s="113" t="str">
        <f t="shared" si="73"/>
        <v/>
      </c>
      <c r="Q616" s="114" t="str">
        <f t="shared" si="74"/>
        <v/>
      </c>
      <c r="R616" s="115" t="str">
        <f t="shared" si="75"/>
        <v/>
      </c>
      <c r="S616" s="115" t="str">
        <f t="shared" si="76"/>
        <v/>
      </c>
      <c r="T616" s="116" t="str">
        <f t="shared" si="77"/>
        <v/>
      </c>
      <c r="U616" s="120"/>
      <c r="V616" s="118"/>
    </row>
    <row r="617" spans="1:22" ht="13.2">
      <c r="A617" s="102"/>
      <c r="B617" s="102"/>
      <c r="C617" s="103"/>
      <c r="D617" s="105"/>
      <c r="E617" s="106"/>
      <c r="F617" s="107"/>
      <c r="G617" s="108"/>
      <c r="H617" s="109"/>
      <c r="I617" s="110"/>
      <c r="J617" s="110"/>
      <c r="K617" s="119"/>
      <c r="L617" s="111" t="str">
        <f t="shared" si="78"/>
        <v/>
      </c>
      <c r="M617" s="112" t="str">
        <f t="shared" si="78"/>
        <v/>
      </c>
      <c r="N617" s="112" t="str">
        <f t="shared" si="78"/>
        <v/>
      </c>
      <c r="O617" s="112" t="str">
        <f t="shared" si="72"/>
        <v xml:space="preserve"> </v>
      </c>
      <c r="P617" s="113" t="str">
        <f t="shared" si="73"/>
        <v/>
      </c>
      <c r="Q617" s="114" t="str">
        <f t="shared" si="74"/>
        <v/>
      </c>
      <c r="R617" s="115" t="str">
        <f t="shared" si="75"/>
        <v/>
      </c>
      <c r="S617" s="115" t="str">
        <f t="shared" si="76"/>
        <v/>
      </c>
      <c r="T617" s="116" t="str">
        <f t="shared" si="77"/>
        <v/>
      </c>
      <c r="U617" s="120"/>
      <c r="V617" s="118"/>
    </row>
    <row r="618" spans="1:22" ht="13.2">
      <c r="A618" s="102"/>
      <c r="B618" s="102"/>
      <c r="C618" s="103"/>
      <c r="D618" s="105"/>
      <c r="E618" s="106"/>
      <c r="F618" s="107"/>
      <c r="G618" s="108"/>
      <c r="H618" s="109"/>
      <c r="I618" s="110"/>
      <c r="J618" s="110"/>
      <c r="K618" s="119"/>
      <c r="L618" s="111" t="str">
        <f t="shared" si="78"/>
        <v/>
      </c>
      <c r="M618" s="112" t="str">
        <f t="shared" si="78"/>
        <v/>
      </c>
      <c r="N618" s="112" t="str">
        <f t="shared" si="78"/>
        <v/>
      </c>
      <c r="O618" s="112" t="str">
        <f t="shared" si="72"/>
        <v xml:space="preserve"> </v>
      </c>
      <c r="P618" s="113" t="str">
        <f t="shared" si="73"/>
        <v/>
      </c>
      <c r="Q618" s="114" t="str">
        <f t="shared" si="74"/>
        <v/>
      </c>
      <c r="R618" s="115" t="str">
        <f t="shared" si="75"/>
        <v/>
      </c>
      <c r="S618" s="115" t="str">
        <f t="shared" si="76"/>
        <v/>
      </c>
      <c r="T618" s="116" t="str">
        <f t="shared" si="77"/>
        <v/>
      </c>
      <c r="U618" s="120"/>
      <c r="V618" s="118"/>
    </row>
    <row r="619" spans="1:22" ht="13.2">
      <c r="A619" s="102"/>
      <c r="B619" s="102"/>
      <c r="C619" s="104"/>
      <c r="D619" s="105"/>
      <c r="E619" s="106"/>
      <c r="F619" s="107"/>
      <c r="G619" s="108"/>
      <c r="H619" s="109"/>
      <c r="I619" s="110"/>
      <c r="J619" s="110"/>
      <c r="K619" s="119"/>
      <c r="L619" s="111" t="str">
        <f t="shared" si="78"/>
        <v/>
      </c>
      <c r="M619" s="112" t="str">
        <f t="shared" si="78"/>
        <v/>
      </c>
      <c r="N619" s="112" t="str">
        <f t="shared" si="78"/>
        <v/>
      </c>
      <c r="O619" s="112" t="str">
        <f t="shared" si="72"/>
        <v xml:space="preserve"> </v>
      </c>
      <c r="P619" s="113" t="str">
        <f t="shared" si="73"/>
        <v/>
      </c>
      <c r="Q619" s="114" t="str">
        <f t="shared" si="74"/>
        <v/>
      </c>
      <c r="R619" s="115" t="str">
        <f t="shared" si="75"/>
        <v/>
      </c>
      <c r="S619" s="115" t="str">
        <f t="shared" si="76"/>
        <v/>
      </c>
      <c r="T619" s="116" t="str">
        <f t="shared" si="77"/>
        <v/>
      </c>
      <c r="U619" s="120"/>
      <c r="V619" s="118"/>
    </row>
    <row r="620" spans="1:22" ht="13.2">
      <c r="A620" s="102"/>
      <c r="B620" s="102"/>
      <c r="C620" s="104"/>
      <c r="D620" s="105"/>
      <c r="E620" s="106"/>
      <c r="F620" s="107"/>
      <c r="G620" s="108"/>
      <c r="H620" s="109"/>
      <c r="I620" s="110"/>
      <c r="J620" s="110"/>
      <c r="K620" s="119"/>
      <c r="L620" s="111" t="str">
        <f t="shared" si="78"/>
        <v/>
      </c>
      <c r="M620" s="112" t="str">
        <f t="shared" si="78"/>
        <v/>
      </c>
      <c r="N620" s="112" t="str">
        <f t="shared" si="78"/>
        <v/>
      </c>
      <c r="O620" s="112" t="str">
        <f t="shared" si="72"/>
        <v xml:space="preserve"> </v>
      </c>
      <c r="P620" s="113" t="str">
        <f t="shared" si="73"/>
        <v/>
      </c>
      <c r="Q620" s="114" t="str">
        <f t="shared" si="74"/>
        <v/>
      </c>
      <c r="R620" s="115" t="str">
        <f t="shared" si="75"/>
        <v/>
      </c>
      <c r="S620" s="115" t="str">
        <f t="shared" si="76"/>
        <v/>
      </c>
      <c r="T620" s="116" t="str">
        <f t="shared" si="77"/>
        <v/>
      </c>
      <c r="U620" s="120"/>
      <c r="V620" s="118"/>
    </row>
    <row r="621" spans="1:22" ht="13.2">
      <c r="A621" s="102"/>
      <c r="B621" s="102"/>
      <c r="C621" s="104"/>
      <c r="D621" s="105"/>
      <c r="E621" s="106"/>
      <c r="F621" s="107"/>
      <c r="G621" s="108"/>
      <c r="H621" s="109"/>
      <c r="I621" s="110"/>
      <c r="J621" s="110"/>
      <c r="K621" s="119"/>
      <c r="L621" s="111" t="str">
        <f t="shared" si="78"/>
        <v/>
      </c>
      <c r="M621" s="112" t="str">
        <f t="shared" si="78"/>
        <v/>
      </c>
      <c r="N621" s="112" t="str">
        <f t="shared" si="78"/>
        <v/>
      </c>
      <c r="O621" s="112" t="str">
        <f t="shared" si="72"/>
        <v xml:space="preserve"> </v>
      </c>
      <c r="P621" s="113" t="str">
        <f t="shared" si="73"/>
        <v/>
      </c>
      <c r="Q621" s="114" t="str">
        <f t="shared" si="74"/>
        <v/>
      </c>
      <c r="R621" s="115" t="str">
        <f t="shared" si="75"/>
        <v/>
      </c>
      <c r="S621" s="115" t="str">
        <f t="shared" si="76"/>
        <v/>
      </c>
      <c r="T621" s="116" t="str">
        <f t="shared" si="77"/>
        <v/>
      </c>
      <c r="U621" s="120"/>
      <c r="V621" s="118"/>
    </row>
    <row r="622" spans="1:22" ht="13.2">
      <c r="A622" s="102"/>
      <c r="B622" s="102"/>
      <c r="C622" s="104"/>
      <c r="D622" s="105"/>
      <c r="E622" s="106"/>
      <c r="F622" s="107"/>
      <c r="G622" s="108"/>
      <c r="H622" s="109"/>
      <c r="I622" s="110"/>
      <c r="J622" s="110"/>
      <c r="K622" s="119"/>
      <c r="L622" s="111" t="str">
        <f t="shared" si="78"/>
        <v/>
      </c>
      <c r="M622" s="112" t="str">
        <f t="shared" si="78"/>
        <v/>
      </c>
      <c r="N622" s="112" t="str">
        <f t="shared" si="78"/>
        <v/>
      </c>
      <c r="O622" s="112" t="str">
        <f t="shared" si="72"/>
        <v xml:space="preserve"> </v>
      </c>
      <c r="P622" s="113" t="str">
        <f t="shared" si="73"/>
        <v/>
      </c>
      <c r="Q622" s="114" t="str">
        <f t="shared" si="74"/>
        <v/>
      </c>
      <c r="R622" s="115" t="str">
        <f t="shared" si="75"/>
        <v/>
      </c>
      <c r="S622" s="115" t="str">
        <f t="shared" si="76"/>
        <v/>
      </c>
      <c r="T622" s="116" t="str">
        <f t="shared" si="77"/>
        <v/>
      </c>
      <c r="U622" s="120"/>
      <c r="V622" s="118"/>
    </row>
    <row r="623" spans="1:22" ht="13.2">
      <c r="A623" s="102"/>
      <c r="B623" s="102"/>
      <c r="C623" s="104"/>
      <c r="D623" s="105"/>
      <c r="E623" s="106"/>
      <c r="F623" s="107"/>
      <c r="G623" s="108"/>
      <c r="H623" s="109"/>
      <c r="I623" s="110"/>
      <c r="J623" s="110"/>
      <c r="K623" s="119"/>
      <c r="L623" s="111" t="str">
        <f t="shared" si="78"/>
        <v/>
      </c>
      <c r="M623" s="112" t="str">
        <f t="shared" si="78"/>
        <v/>
      </c>
      <c r="N623" s="112" t="str">
        <f t="shared" si="78"/>
        <v/>
      </c>
      <c r="O623" s="112" t="str">
        <f t="shared" si="72"/>
        <v xml:space="preserve"> </v>
      </c>
      <c r="P623" s="113" t="str">
        <f t="shared" si="73"/>
        <v/>
      </c>
      <c r="Q623" s="114" t="str">
        <f t="shared" si="74"/>
        <v/>
      </c>
      <c r="R623" s="115" t="str">
        <f t="shared" si="75"/>
        <v/>
      </c>
      <c r="S623" s="115" t="str">
        <f t="shared" si="76"/>
        <v/>
      </c>
      <c r="T623" s="116" t="str">
        <f t="shared" si="77"/>
        <v/>
      </c>
      <c r="U623" s="120"/>
      <c r="V623" s="118"/>
    </row>
    <row r="624" spans="1:22" ht="13.2">
      <c r="A624" s="102"/>
      <c r="B624" s="102"/>
      <c r="C624" s="104"/>
      <c r="D624" s="105"/>
      <c r="E624" s="106"/>
      <c r="F624" s="107"/>
      <c r="G624" s="108"/>
      <c r="H624" s="109"/>
      <c r="I624" s="110"/>
      <c r="J624" s="110"/>
      <c r="K624" s="110"/>
      <c r="L624" s="111" t="str">
        <f t="shared" si="78"/>
        <v/>
      </c>
      <c r="M624" s="112" t="str">
        <f t="shared" si="78"/>
        <v/>
      </c>
      <c r="N624" s="112" t="str">
        <f t="shared" si="78"/>
        <v/>
      </c>
      <c r="O624" s="112" t="str">
        <f t="shared" si="72"/>
        <v xml:space="preserve"> </v>
      </c>
      <c r="P624" s="113" t="str">
        <f t="shared" si="73"/>
        <v/>
      </c>
      <c r="Q624" s="114" t="str">
        <f t="shared" si="74"/>
        <v/>
      </c>
      <c r="R624" s="115" t="str">
        <f t="shared" si="75"/>
        <v/>
      </c>
      <c r="S624" s="115" t="str">
        <f t="shared" si="76"/>
        <v/>
      </c>
      <c r="T624" s="116" t="str">
        <f t="shared" si="77"/>
        <v/>
      </c>
      <c r="U624" s="120"/>
      <c r="V624" s="118"/>
    </row>
    <row r="625" spans="1:22" ht="13.2">
      <c r="A625" s="102"/>
      <c r="B625" s="102"/>
      <c r="C625" s="104"/>
      <c r="D625" s="105"/>
      <c r="E625" s="106"/>
      <c r="F625" s="107"/>
      <c r="G625" s="108"/>
      <c r="H625" s="109"/>
      <c r="I625" s="110"/>
      <c r="J625" s="110"/>
      <c r="K625" s="119"/>
      <c r="L625" s="111" t="str">
        <f t="shared" si="78"/>
        <v/>
      </c>
      <c r="M625" s="112" t="str">
        <f t="shared" si="78"/>
        <v/>
      </c>
      <c r="N625" s="112" t="str">
        <f t="shared" si="78"/>
        <v/>
      </c>
      <c r="O625" s="112" t="str">
        <f t="shared" si="72"/>
        <v xml:space="preserve"> </v>
      </c>
      <c r="P625" s="113" t="str">
        <f t="shared" si="73"/>
        <v/>
      </c>
      <c r="Q625" s="114" t="str">
        <f t="shared" si="74"/>
        <v/>
      </c>
      <c r="R625" s="115" t="str">
        <f t="shared" si="75"/>
        <v/>
      </c>
      <c r="S625" s="115" t="str">
        <f t="shared" si="76"/>
        <v/>
      </c>
      <c r="T625" s="116" t="str">
        <f t="shared" si="77"/>
        <v/>
      </c>
      <c r="U625" s="120"/>
      <c r="V625" s="118"/>
    </row>
    <row r="626" spans="1:22" ht="13.2">
      <c r="A626" s="102"/>
      <c r="B626" s="102"/>
      <c r="C626" s="104"/>
      <c r="D626" s="105"/>
      <c r="E626" s="106"/>
      <c r="F626" s="107"/>
      <c r="G626" s="108"/>
      <c r="H626" s="109"/>
      <c r="I626" s="110"/>
      <c r="J626" s="110"/>
      <c r="K626" s="119"/>
      <c r="L626" s="111" t="str">
        <f t="shared" si="78"/>
        <v/>
      </c>
      <c r="M626" s="112" t="str">
        <f t="shared" si="78"/>
        <v/>
      </c>
      <c r="N626" s="112" t="str">
        <f t="shared" si="78"/>
        <v/>
      </c>
      <c r="O626" s="112" t="str">
        <f t="shared" si="72"/>
        <v xml:space="preserve"> </v>
      </c>
      <c r="P626" s="113" t="str">
        <f t="shared" si="73"/>
        <v/>
      </c>
      <c r="Q626" s="114" t="str">
        <f t="shared" si="74"/>
        <v/>
      </c>
      <c r="R626" s="115" t="str">
        <f t="shared" si="75"/>
        <v/>
      </c>
      <c r="S626" s="115" t="str">
        <f t="shared" si="76"/>
        <v/>
      </c>
      <c r="T626" s="116" t="str">
        <f t="shared" si="77"/>
        <v/>
      </c>
      <c r="U626" s="120"/>
      <c r="V626" s="118"/>
    </row>
    <row r="627" spans="1:22" ht="13.2">
      <c r="A627" s="102"/>
      <c r="B627" s="102"/>
      <c r="C627" s="104"/>
      <c r="D627" s="105"/>
      <c r="E627" s="106"/>
      <c r="F627" s="107"/>
      <c r="G627" s="108"/>
      <c r="H627" s="109"/>
      <c r="I627" s="110"/>
      <c r="J627" s="110"/>
      <c r="K627" s="119"/>
      <c r="L627" s="111" t="str">
        <f t="shared" si="78"/>
        <v/>
      </c>
      <c r="M627" s="112" t="str">
        <f t="shared" si="78"/>
        <v/>
      </c>
      <c r="N627" s="112" t="str">
        <f t="shared" si="78"/>
        <v/>
      </c>
      <c r="O627" s="112" t="str">
        <f t="shared" si="72"/>
        <v xml:space="preserve"> </v>
      </c>
      <c r="P627" s="113" t="str">
        <f t="shared" si="73"/>
        <v/>
      </c>
      <c r="Q627" s="114" t="str">
        <f t="shared" si="74"/>
        <v/>
      </c>
      <c r="R627" s="115" t="str">
        <f t="shared" si="75"/>
        <v/>
      </c>
      <c r="S627" s="115" t="str">
        <f t="shared" si="76"/>
        <v/>
      </c>
      <c r="T627" s="116" t="str">
        <f t="shared" si="77"/>
        <v/>
      </c>
      <c r="U627" s="120"/>
      <c r="V627" s="118"/>
    </row>
    <row r="628" spans="1:22" ht="13.2">
      <c r="A628" s="102"/>
      <c r="B628" s="102"/>
      <c r="C628" s="104"/>
      <c r="D628" s="105"/>
      <c r="E628" s="106"/>
      <c r="F628" s="107"/>
      <c r="G628" s="108"/>
      <c r="H628" s="109"/>
      <c r="I628" s="110"/>
      <c r="J628" s="110"/>
      <c r="K628" s="119"/>
      <c r="L628" s="111" t="str">
        <f t="shared" si="78"/>
        <v/>
      </c>
      <c r="M628" s="112" t="str">
        <f t="shared" si="78"/>
        <v/>
      </c>
      <c r="N628" s="112" t="str">
        <f t="shared" si="78"/>
        <v/>
      </c>
      <c r="O628" s="112" t="str">
        <f t="shared" si="72"/>
        <v xml:space="preserve"> </v>
      </c>
      <c r="P628" s="113" t="str">
        <f t="shared" si="73"/>
        <v/>
      </c>
      <c r="Q628" s="114" t="str">
        <f t="shared" si="74"/>
        <v/>
      </c>
      <c r="R628" s="115" t="str">
        <f t="shared" si="75"/>
        <v/>
      </c>
      <c r="S628" s="115" t="str">
        <f t="shared" si="76"/>
        <v/>
      </c>
      <c r="T628" s="116" t="str">
        <f t="shared" si="77"/>
        <v/>
      </c>
      <c r="U628" s="120"/>
      <c r="V628" s="118"/>
    </row>
    <row r="629" spans="1:22" ht="13.2">
      <c r="A629" s="102"/>
      <c r="B629" s="103"/>
      <c r="C629" s="104"/>
      <c r="D629" s="105"/>
      <c r="E629" s="106"/>
      <c r="F629" s="107"/>
      <c r="G629" s="108"/>
      <c r="H629" s="121"/>
      <c r="I629" s="122"/>
      <c r="J629" s="122"/>
      <c r="K629" s="123"/>
      <c r="L629" s="111" t="str">
        <f t="shared" si="78"/>
        <v/>
      </c>
      <c r="M629" s="112" t="str">
        <f t="shared" si="78"/>
        <v/>
      </c>
      <c r="N629" s="112" t="str">
        <f t="shared" si="78"/>
        <v/>
      </c>
      <c r="O629" s="112" t="str">
        <f t="shared" si="72"/>
        <v xml:space="preserve"> </v>
      </c>
      <c r="P629" s="113" t="str">
        <f t="shared" si="73"/>
        <v/>
      </c>
      <c r="Q629" s="114" t="str">
        <f t="shared" si="74"/>
        <v/>
      </c>
      <c r="R629" s="115" t="str">
        <f t="shared" si="75"/>
        <v/>
      </c>
      <c r="S629" s="115" t="str">
        <f t="shared" si="76"/>
        <v/>
      </c>
      <c r="T629" s="116" t="str">
        <f t="shared" si="77"/>
        <v/>
      </c>
      <c r="U629" s="120"/>
      <c r="V629" s="118"/>
    </row>
    <row r="630" spans="1:22" ht="13.2">
      <c r="A630" s="102"/>
      <c r="B630" s="103"/>
      <c r="C630" s="104"/>
      <c r="D630" s="105"/>
      <c r="E630" s="106"/>
      <c r="F630" s="107"/>
      <c r="G630" s="108"/>
      <c r="H630" s="121"/>
      <c r="I630" s="122"/>
      <c r="J630" s="122"/>
      <c r="K630" s="123"/>
      <c r="L630" s="111" t="str">
        <f t="shared" si="78"/>
        <v/>
      </c>
      <c r="M630" s="112" t="str">
        <f t="shared" si="78"/>
        <v/>
      </c>
      <c r="N630" s="112" t="str">
        <f t="shared" si="78"/>
        <v/>
      </c>
      <c r="O630" s="112" t="str">
        <f t="shared" si="72"/>
        <v xml:space="preserve"> </v>
      </c>
      <c r="P630" s="113" t="str">
        <f t="shared" si="73"/>
        <v/>
      </c>
      <c r="Q630" s="114" t="str">
        <f t="shared" si="74"/>
        <v/>
      </c>
      <c r="R630" s="115" t="str">
        <f t="shared" si="75"/>
        <v/>
      </c>
      <c r="S630" s="115" t="str">
        <f t="shared" si="76"/>
        <v/>
      </c>
      <c r="T630" s="116" t="str">
        <f t="shared" si="77"/>
        <v/>
      </c>
      <c r="U630" s="120"/>
      <c r="V630" s="118"/>
    </row>
    <row r="631" spans="1:22" ht="13.2">
      <c r="A631" s="102"/>
      <c r="B631" s="103"/>
      <c r="C631" s="104"/>
      <c r="D631" s="105"/>
      <c r="E631" s="106"/>
      <c r="F631" s="107"/>
      <c r="G631" s="108"/>
      <c r="H631" s="121"/>
      <c r="I631" s="122"/>
      <c r="J631" s="122"/>
      <c r="K631" s="123"/>
      <c r="L631" s="111" t="str">
        <f t="shared" si="78"/>
        <v/>
      </c>
      <c r="M631" s="112" t="str">
        <f t="shared" si="78"/>
        <v/>
      </c>
      <c r="N631" s="112" t="str">
        <f t="shared" si="78"/>
        <v/>
      </c>
      <c r="O631" s="112" t="str">
        <f t="shared" si="72"/>
        <v xml:space="preserve"> </v>
      </c>
      <c r="P631" s="113" t="str">
        <f t="shared" si="73"/>
        <v/>
      </c>
      <c r="Q631" s="114" t="str">
        <f t="shared" si="74"/>
        <v/>
      </c>
      <c r="R631" s="115" t="str">
        <f t="shared" si="75"/>
        <v/>
      </c>
      <c r="S631" s="115" t="str">
        <f t="shared" si="76"/>
        <v/>
      </c>
      <c r="T631" s="116" t="str">
        <f t="shared" si="77"/>
        <v/>
      </c>
      <c r="U631" s="120"/>
      <c r="V631" s="118"/>
    </row>
    <row r="632" spans="1:22" ht="13.2">
      <c r="A632" s="102"/>
      <c r="B632" s="102"/>
      <c r="C632" s="103"/>
      <c r="D632" s="105"/>
      <c r="E632" s="106"/>
      <c r="F632" s="107"/>
      <c r="G632" s="108"/>
      <c r="H632" s="109"/>
      <c r="I632" s="110"/>
      <c r="J632" s="110"/>
      <c r="K632" s="119"/>
      <c r="L632" s="111" t="str">
        <f t="shared" si="78"/>
        <v/>
      </c>
      <c r="M632" s="112" t="str">
        <f t="shared" si="78"/>
        <v/>
      </c>
      <c r="N632" s="112" t="str">
        <f t="shared" si="78"/>
        <v/>
      </c>
      <c r="O632" s="112" t="str">
        <f t="shared" si="72"/>
        <v xml:space="preserve"> </v>
      </c>
      <c r="P632" s="113" t="str">
        <f t="shared" si="73"/>
        <v/>
      </c>
      <c r="Q632" s="114" t="str">
        <f t="shared" si="74"/>
        <v/>
      </c>
      <c r="R632" s="115" t="str">
        <f t="shared" si="75"/>
        <v/>
      </c>
      <c r="S632" s="115" t="str">
        <f t="shared" si="76"/>
        <v/>
      </c>
      <c r="T632" s="116" t="str">
        <f t="shared" si="77"/>
        <v/>
      </c>
      <c r="U632" s="120"/>
      <c r="V632" s="118"/>
    </row>
    <row r="633" spans="1:22" ht="13.2">
      <c r="A633" s="102"/>
      <c r="B633" s="102"/>
      <c r="C633" s="103"/>
      <c r="D633" s="105"/>
      <c r="E633" s="106"/>
      <c r="F633" s="107"/>
      <c r="G633" s="108"/>
      <c r="H633" s="109"/>
      <c r="I633" s="110"/>
      <c r="J633" s="110"/>
      <c r="K633" s="119"/>
      <c r="L633" s="111" t="str">
        <f t="shared" si="78"/>
        <v/>
      </c>
      <c r="M633" s="112" t="str">
        <f t="shared" si="78"/>
        <v/>
      </c>
      <c r="N633" s="112" t="str">
        <f t="shared" si="78"/>
        <v/>
      </c>
      <c r="O633" s="112" t="str">
        <f t="shared" si="72"/>
        <v xml:space="preserve"> </v>
      </c>
      <c r="P633" s="113" t="str">
        <f t="shared" si="73"/>
        <v/>
      </c>
      <c r="Q633" s="114" t="str">
        <f t="shared" si="74"/>
        <v/>
      </c>
      <c r="R633" s="115" t="str">
        <f t="shared" si="75"/>
        <v/>
      </c>
      <c r="S633" s="115" t="str">
        <f t="shared" si="76"/>
        <v/>
      </c>
      <c r="T633" s="116" t="str">
        <f t="shared" si="77"/>
        <v/>
      </c>
      <c r="U633" s="120"/>
      <c r="V633" s="118"/>
    </row>
    <row r="634" spans="1:22" ht="13.2">
      <c r="A634" s="102"/>
      <c r="B634" s="102"/>
      <c r="C634" s="104"/>
      <c r="D634" s="105"/>
      <c r="E634" s="106"/>
      <c r="F634" s="107"/>
      <c r="G634" s="108"/>
      <c r="H634" s="109"/>
      <c r="I634" s="110"/>
      <c r="J634" s="110"/>
      <c r="K634" s="119"/>
      <c r="L634" s="111" t="str">
        <f t="shared" si="78"/>
        <v/>
      </c>
      <c r="M634" s="112" t="str">
        <f t="shared" si="78"/>
        <v/>
      </c>
      <c r="N634" s="112" t="str">
        <f t="shared" si="78"/>
        <v/>
      </c>
      <c r="O634" s="112" t="str">
        <f t="shared" si="72"/>
        <v xml:space="preserve"> </v>
      </c>
      <c r="P634" s="113" t="str">
        <f t="shared" si="73"/>
        <v/>
      </c>
      <c r="Q634" s="114" t="str">
        <f t="shared" si="74"/>
        <v/>
      </c>
      <c r="R634" s="115" t="str">
        <f t="shared" si="75"/>
        <v/>
      </c>
      <c r="S634" s="115" t="str">
        <f t="shared" si="76"/>
        <v/>
      </c>
      <c r="T634" s="116" t="str">
        <f t="shared" si="77"/>
        <v/>
      </c>
      <c r="U634" s="120"/>
      <c r="V634" s="118"/>
    </row>
    <row r="635" spans="1:22" ht="13.2">
      <c r="A635" s="102"/>
      <c r="B635" s="102"/>
      <c r="C635" s="104"/>
      <c r="D635" s="105"/>
      <c r="E635" s="106"/>
      <c r="F635" s="107"/>
      <c r="G635" s="108"/>
      <c r="H635" s="109"/>
      <c r="I635" s="110"/>
      <c r="J635" s="110"/>
      <c r="K635" s="119"/>
      <c r="L635" s="111" t="str">
        <f t="shared" si="78"/>
        <v/>
      </c>
      <c r="M635" s="112" t="str">
        <f t="shared" si="78"/>
        <v/>
      </c>
      <c r="N635" s="112" t="str">
        <f t="shared" si="78"/>
        <v/>
      </c>
      <c r="O635" s="112" t="str">
        <f t="shared" si="72"/>
        <v xml:space="preserve"> </v>
      </c>
      <c r="P635" s="113" t="str">
        <f t="shared" si="73"/>
        <v/>
      </c>
      <c r="Q635" s="114" t="str">
        <f t="shared" si="74"/>
        <v/>
      </c>
      <c r="R635" s="115" t="str">
        <f t="shared" si="75"/>
        <v/>
      </c>
      <c r="S635" s="115" t="str">
        <f t="shared" si="76"/>
        <v/>
      </c>
      <c r="T635" s="116" t="str">
        <f t="shared" si="77"/>
        <v/>
      </c>
      <c r="U635" s="120"/>
      <c r="V635" s="118"/>
    </row>
    <row r="636" spans="1:22" ht="13.2">
      <c r="A636" s="102"/>
      <c r="B636" s="102"/>
      <c r="C636" s="104"/>
      <c r="D636" s="105"/>
      <c r="E636" s="106"/>
      <c r="F636" s="107"/>
      <c r="G636" s="108"/>
      <c r="H636" s="109"/>
      <c r="I636" s="110"/>
      <c r="J636" s="110"/>
      <c r="K636" s="119"/>
      <c r="L636" s="111" t="str">
        <f t="shared" si="78"/>
        <v/>
      </c>
      <c r="M636" s="112" t="str">
        <f t="shared" si="78"/>
        <v/>
      </c>
      <c r="N636" s="112" t="str">
        <f t="shared" si="78"/>
        <v/>
      </c>
      <c r="O636" s="112" t="str">
        <f t="shared" si="72"/>
        <v xml:space="preserve"> </v>
      </c>
      <c r="P636" s="113" t="str">
        <f t="shared" si="73"/>
        <v/>
      </c>
      <c r="Q636" s="114" t="str">
        <f t="shared" si="74"/>
        <v/>
      </c>
      <c r="R636" s="115" t="str">
        <f t="shared" si="75"/>
        <v/>
      </c>
      <c r="S636" s="115" t="str">
        <f t="shared" si="76"/>
        <v/>
      </c>
      <c r="T636" s="116" t="str">
        <f t="shared" si="77"/>
        <v/>
      </c>
      <c r="U636" s="120"/>
      <c r="V636" s="118"/>
    </row>
    <row r="637" spans="1:22" ht="13.2">
      <c r="A637" s="102"/>
      <c r="B637" s="102"/>
      <c r="C637" s="104"/>
      <c r="D637" s="105"/>
      <c r="E637" s="106"/>
      <c r="F637" s="107"/>
      <c r="G637" s="108"/>
      <c r="H637" s="109"/>
      <c r="I637" s="110"/>
      <c r="J637" s="110"/>
      <c r="K637" s="119"/>
      <c r="L637" s="111" t="str">
        <f t="shared" si="78"/>
        <v/>
      </c>
      <c r="M637" s="112" t="str">
        <f t="shared" si="78"/>
        <v/>
      </c>
      <c r="N637" s="112" t="str">
        <f t="shared" si="78"/>
        <v/>
      </c>
      <c r="O637" s="112" t="str">
        <f t="shared" si="72"/>
        <v xml:space="preserve"> </v>
      </c>
      <c r="P637" s="113" t="str">
        <f t="shared" si="73"/>
        <v/>
      </c>
      <c r="Q637" s="114" t="str">
        <f t="shared" si="74"/>
        <v/>
      </c>
      <c r="R637" s="115" t="str">
        <f t="shared" si="75"/>
        <v/>
      </c>
      <c r="S637" s="115" t="str">
        <f t="shared" si="76"/>
        <v/>
      </c>
      <c r="T637" s="116" t="str">
        <f t="shared" si="77"/>
        <v/>
      </c>
      <c r="U637" s="120"/>
      <c r="V637" s="118"/>
    </row>
    <row r="638" spans="1:22" ht="13.2">
      <c r="A638" s="102"/>
      <c r="B638" s="102"/>
      <c r="C638" s="104"/>
      <c r="D638" s="105"/>
      <c r="E638" s="106"/>
      <c r="F638" s="107"/>
      <c r="G638" s="108"/>
      <c r="H638" s="109"/>
      <c r="I638" s="110"/>
      <c r="J638" s="110"/>
      <c r="K638" s="119"/>
      <c r="L638" s="111" t="str">
        <f t="shared" si="78"/>
        <v/>
      </c>
      <c r="M638" s="112" t="str">
        <f t="shared" si="78"/>
        <v/>
      </c>
      <c r="N638" s="112" t="str">
        <f t="shared" si="78"/>
        <v/>
      </c>
      <c r="O638" s="112" t="str">
        <f t="shared" ref="O638:O701" si="79">IF(ISERR(I638/I638)=TRUE," ",AVERAGE(I638:K638))</f>
        <v xml:space="preserve"> </v>
      </c>
      <c r="P638" s="113" t="str">
        <f t="shared" ref="P638:P701" si="80">IF(ISBLANK($E638),"",IF(ISNUMBER(F638)=FALSE,"BAD TOL", IF(F638=0,"N/A",IF(ISERR(I638/I638)=TRUE,"BAD INSP",IF(AND(ISNUMBER($I638),ISNUMBER($J638),ISNUMBER($K638))=FALSE,"BAD INSP",IF(MAX($I638:$K638)&lt;$E638,0,(MAX($I638:$K638)-$E638)/$F638))))))</f>
        <v/>
      </c>
      <c r="Q638" s="114" t="str">
        <f t="shared" ref="Q638:Q701" si="81">IF(ISBLANK($E638),"",IF(ISNUMBER(G638)=FALSE,"BAD TOL",IF(G638=0,"N/A",IF(ISERR(I638/I638)=TRUE,"BAD INSP",IF(AND(ISNUMBER($I638),ISNUMBER($J638),ISNUMBER($K638))=FALSE,"BAD INSP",IF(MIN(I638:K638)&gt;$E638,0,($E638-MIN(I638:K638))/G638))))))</f>
        <v/>
      </c>
      <c r="R638" s="115" t="str">
        <f t="shared" ref="R638:R701" si="82">IF(ISBLANK($E638),"",IF(ISNUMBER($P638)=TRUE,IF($P638&gt;0.651,IF($P638&gt;1.001,"Reject","Alert")," "),IF(AND(F638=0, ISNUMBER(F638)),IF(MAX(I638:K638)&gt;(E638+F638),"Reject",IF(MAX(I638:K638)=(E638+F638),"Alert","")),"Reject")))</f>
        <v/>
      </c>
      <c r="S638" s="115" t="str">
        <f t="shared" ref="S638:S701" si="83">IF(ISBLANK($E638),"",IF(ISNUMBER($Q638)=TRUE,IF($Q638&gt;0.651,IF($Q638&gt;1.001,"Reject","Alert")," "),IF(AND(G638=0, ISNUMBER(G638)),IF(MIN(I638:K638)&lt;(E638-G638),"Reject",IF(MIN(I638:K638)=(E638-G638),"Alert","")),"Reject")))</f>
        <v/>
      </c>
      <c r="T638" s="116" t="str">
        <f t="shared" ref="T638:T701" si="84">IF(OR(R638="Reject",S638="Reject"),"Reject",IF(OR(R638="Alert",S638="Alert"),"Alert", ""))</f>
        <v/>
      </c>
      <c r="U638" s="120"/>
      <c r="V638" s="118"/>
    </row>
    <row r="639" spans="1:22" ht="13.2">
      <c r="A639" s="102"/>
      <c r="B639" s="102"/>
      <c r="C639" s="104"/>
      <c r="D639" s="105"/>
      <c r="E639" s="106"/>
      <c r="F639" s="107"/>
      <c r="G639" s="108"/>
      <c r="H639" s="109"/>
      <c r="I639" s="110"/>
      <c r="J639" s="110"/>
      <c r="K639" s="110"/>
      <c r="L639" s="111" t="str">
        <f t="shared" si="78"/>
        <v/>
      </c>
      <c r="M639" s="112" t="str">
        <f t="shared" si="78"/>
        <v/>
      </c>
      <c r="N639" s="112" t="str">
        <f t="shared" si="78"/>
        <v/>
      </c>
      <c r="O639" s="112" t="str">
        <f t="shared" si="79"/>
        <v xml:space="preserve"> </v>
      </c>
      <c r="P639" s="113" t="str">
        <f t="shared" si="80"/>
        <v/>
      </c>
      <c r="Q639" s="114" t="str">
        <f t="shared" si="81"/>
        <v/>
      </c>
      <c r="R639" s="115" t="str">
        <f t="shared" si="82"/>
        <v/>
      </c>
      <c r="S639" s="115" t="str">
        <f t="shared" si="83"/>
        <v/>
      </c>
      <c r="T639" s="116" t="str">
        <f t="shared" si="84"/>
        <v/>
      </c>
      <c r="U639" s="120"/>
      <c r="V639" s="118"/>
    </row>
    <row r="640" spans="1:22" ht="13.2">
      <c r="A640" s="102"/>
      <c r="B640" s="102"/>
      <c r="C640" s="104"/>
      <c r="D640" s="105"/>
      <c r="E640" s="106"/>
      <c r="F640" s="107"/>
      <c r="G640" s="108"/>
      <c r="H640" s="109"/>
      <c r="I640" s="110"/>
      <c r="J640" s="110"/>
      <c r="K640" s="119"/>
      <c r="L640" s="111" t="str">
        <f t="shared" si="78"/>
        <v/>
      </c>
      <c r="M640" s="112" t="str">
        <f t="shared" si="78"/>
        <v/>
      </c>
      <c r="N640" s="112" t="str">
        <f t="shared" si="78"/>
        <v/>
      </c>
      <c r="O640" s="112" t="str">
        <f t="shared" si="79"/>
        <v xml:space="preserve"> </v>
      </c>
      <c r="P640" s="113" t="str">
        <f t="shared" si="80"/>
        <v/>
      </c>
      <c r="Q640" s="114" t="str">
        <f t="shared" si="81"/>
        <v/>
      </c>
      <c r="R640" s="115" t="str">
        <f t="shared" si="82"/>
        <v/>
      </c>
      <c r="S640" s="115" t="str">
        <f t="shared" si="83"/>
        <v/>
      </c>
      <c r="T640" s="116" t="str">
        <f t="shared" si="84"/>
        <v/>
      </c>
      <c r="U640" s="120"/>
      <c r="V640" s="118"/>
    </row>
    <row r="641" spans="1:22" ht="13.2">
      <c r="A641" s="102"/>
      <c r="B641" s="102"/>
      <c r="C641" s="104"/>
      <c r="D641" s="105"/>
      <c r="E641" s="106"/>
      <c r="F641" s="107"/>
      <c r="G641" s="108"/>
      <c r="H641" s="109"/>
      <c r="I641" s="110"/>
      <c r="J641" s="110"/>
      <c r="K641" s="119"/>
      <c r="L641" s="111" t="str">
        <f t="shared" si="78"/>
        <v/>
      </c>
      <c r="M641" s="112" t="str">
        <f t="shared" si="78"/>
        <v/>
      </c>
      <c r="N641" s="112" t="str">
        <f t="shared" si="78"/>
        <v/>
      </c>
      <c r="O641" s="112" t="str">
        <f t="shared" si="79"/>
        <v xml:space="preserve"> </v>
      </c>
      <c r="P641" s="113" t="str">
        <f t="shared" si="80"/>
        <v/>
      </c>
      <c r="Q641" s="114" t="str">
        <f t="shared" si="81"/>
        <v/>
      </c>
      <c r="R641" s="115" t="str">
        <f t="shared" si="82"/>
        <v/>
      </c>
      <c r="S641" s="115" t="str">
        <f t="shared" si="83"/>
        <v/>
      </c>
      <c r="T641" s="116" t="str">
        <f t="shared" si="84"/>
        <v/>
      </c>
      <c r="U641" s="120"/>
      <c r="V641" s="118"/>
    </row>
    <row r="642" spans="1:22" ht="13.2">
      <c r="A642" s="102"/>
      <c r="B642" s="102"/>
      <c r="C642" s="104"/>
      <c r="D642" s="105"/>
      <c r="E642" s="106"/>
      <c r="F642" s="107"/>
      <c r="G642" s="108"/>
      <c r="H642" s="109"/>
      <c r="I642" s="110"/>
      <c r="J642" s="110"/>
      <c r="K642" s="119"/>
      <c r="L642" s="111" t="str">
        <f t="shared" si="78"/>
        <v/>
      </c>
      <c r="M642" s="112" t="str">
        <f t="shared" si="78"/>
        <v/>
      </c>
      <c r="N642" s="112" t="str">
        <f t="shared" si="78"/>
        <v/>
      </c>
      <c r="O642" s="112" t="str">
        <f t="shared" si="79"/>
        <v xml:space="preserve"> </v>
      </c>
      <c r="P642" s="113" t="str">
        <f t="shared" si="80"/>
        <v/>
      </c>
      <c r="Q642" s="114" t="str">
        <f t="shared" si="81"/>
        <v/>
      </c>
      <c r="R642" s="115" t="str">
        <f t="shared" si="82"/>
        <v/>
      </c>
      <c r="S642" s="115" t="str">
        <f t="shared" si="83"/>
        <v/>
      </c>
      <c r="T642" s="116" t="str">
        <f t="shared" si="84"/>
        <v/>
      </c>
      <c r="U642" s="120"/>
      <c r="V642" s="118"/>
    </row>
    <row r="643" spans="1:22" ht="13.2">
      <c r="A643" s="102"/>
      <c r="B643" s="102"/>
      <c r="C643" s="104"/>
      <c r="D643" s="105"/>
      <c r="E643" s="106"/>
      <c r="F643" s="107"/>
      <c r="G643" s="108"/>
      <c r="H643" s="109"/>
      <c r="I643" s="110"/>
      <c r="J643" s="110"/>
      <c r="K643" s="119"/>
      <c r="L643" s="111" t="str">
        <f t="shared" si="78"/>
        <v/>
      </c>
      <c r="M643" s="112" t="str">
        <f t="shared" si="78"/>
        <v/>
      </c>
      <c r="N643" s="112" t="str">
        <f t="shared" si="78"/>
        <v/>
      </c>
      <c r="O643" s="112" t="str">
        <f t="shared" si="79"/>
        <v xml:space="preserve"> </v>
      </c>
      <c r="P643" s="113" t="str">
        <f t="shared" si="80"/>
        <v/>
      </c>
      <c r="Q643" s="114" t="str">
        <f t="shared" si="81"/>
        <v/>
      </c>
      <c r="R643" s="115" t="str">
        <f t="shared" si="82"/>
        <v/>
      </c>
      <c r="S643" s="115" t="str">
        <f t="shared" si="83"/>
        <v/>
      </c>
      <c r="T643" s="116" t="str">
        <f t="shared" si="84"/>
        <v/>
      </c>
      <c r="U643" s="120"/>
      <c r="V643" s="118"/>
    </row>
    <row r="644" spans="1:22" ht="13.2">
      <c r="A644" s="102"/>
      <c r="B644" s="103"/>
      <c r="C644" s="104"/>
      <c r="D644" s="105"/>
      <c r="E644" s="106"/>
      <c r="F644" s="107"/>
      <c r="G644" s="108"/>
      <c r="H644" s="121"/>
      <c r="I644" s="122"/>
      <c r="J644" s="122"/>
      <c r="K644" s="123"/>
      <c r="L644" s="111" t="str">
        <f t="shared" si="78"/>
        <v/>
      </c>
      <c r="M644" s="112" t="str">
        <f t="shared" si="78"/>
        <v/>
      </c>
      <c r="N644" s="112" t="str">
        <f t="shared" si="78"/>
        <v/>
      </c>
      <c r="O644" s="112" t="str">
        <f t="shared" si="79"/>
        <v xml:space="preserve"> </v>
      </c>
      <c r="P644" s="113" t="str">
        <f t="shared" si="80"/>
        <v/>
      </c>
      <c r="Q644" s="114" t="str">
        <f t="shared" si="81"/>
        <v/>
      </c>
      <c r="R644" s="115" t="str">
        <f t="shared" si="82"/>
        <v/>
      </c>
      <c r="S644" s="115" t="str">
        <f t="shared" si="83"/>
        <v/>
      </c>
      <c r="T644" s="116" t="str">
        <f t="shared" si="84"/>
        <v/>
      </c>
      <c r="U644" s="120"/>
      <c r="V644" s="118"/>
    </row>
    <row r="645" spans="1:22" ht="13.2">
      <c r="A645" s="102"/>
      <c r="B645" s="103"/>
      <c r="C645" s="104"/>
      <c r="D645" s="105"/>
      <c r="E645" s="106"/>
      <c r="F645" s="107"/>
      <c r="G645" s="108"/>
      <c r="H645" s="121"/>
      <c r="I645" s="122"/>
      <c r="J645" s="122"/>
      <c r="K645" s="123"/>
      <c r="L645" s="111" t="str">
        <f t="shared" si="78"/>
        <v/>
      </c>
      <c r="M645" s="112" t="str">
        <f t="shared" si="78"/>
        <v/>
      </c>
      <c r="N645" s="112" t="str">
        <f t="shared" si="78"/>
        <v/>
      </c>
      <c r="O645" s="112" t="str">
        <f t="shared" si="79"/>
        <v xml:space="preserve"> </v>
      </c>
      <c r="P645" s="113" t="str">
        <f t="shared" si="80"/>
        <v/>
      </c>
      <c r="Q645" s="114" t="str">
        <f t="shared" si="81"/>
        <v/>
      </c>
      <c r="R645" s="115" t="str">
        <f t="shared" si="82"/>
        <v/>
      </c>
      <c r="S645" s="115" t="str">
        <f t="shared" si="83"/>
        <v/>
      </c>
      <c r="T645" s="116" t="str">
        <f t="shared" si="84"/>
        <v/>
      </c>
      <c r="U645" s="120"/>
      <c r="V645" s="118"/>
    </row>
    <row r="646" spans="1:22" ht="13.2">
      <c r="A646" s="102"/>
      <c r="B646" s="103"/>
      <c r="C646" s="104"/>
      <c r="D646" s="105"/>
      <c r="E646" s="106"/>
      <c r="F646" s="107"/>
      <c r="G646" s="108"/>
      <c r="H646" s="121"/>
      <c r="I646" s="122"/>
      <c r="J646" s="122"/>
      <c r="K646" s="123"/>
      <c r="L646" s="111" t="str">
        <f t="shared" si="78"/>
        <v/>
      </c>
      <c r="M646" s="112" t="str">
        <f t="shared" si="78"/>
        <v/>
      </c>
      <c r="N646" s="112" t="str">
        <f t="shared" si="78"/>
        <v/>
      </c>
      <c r="O646" s="112" t="str">
        <f t="shared" si="79"/>
        <v xml:space="preserve"> </v>
      </c>
      <c r="P646" s="113" t="str">
        <f t="shared" si="80"/>
        <v/>
      </c>
      <c r="Q646" s="114" t="str">
        <f t="shared" si="81"/>
        <v/>
      </c>
      <c r="R646" s="115" t="str">
        <f t="shared" si="82"/>
        <v/>
      </c>
      <c r="S646" s="115" t="str">
        <f t="shared" si="83"/>
        <v/>
      </c>
      <c r="T646" s="116" t="str">
        <f t="shared" si="84"/>
        <v/>
      </c>
      <c r="U646" s="120"/>
      <c r="V646" s="118"/>
    </row>
    <row r="647" spans="1:22" ht="13.2">
      <c r="A647" s="102"/>
      <c r="B647" s="102"/>
      <c r="C647" s="103"/>
      <c r="D647" s="105"/>
      <c r="E647" s="106"/>
      <c r="F647" s="107"/>
      <c r="G647" s="108"/>
      <c r="H647" s="109"/>
      <c r="I647" s="110"/>
      <c r="J647" s="110"/>
      <c r="K647" s="119"/>
      <c r="L647" s="111" t="str">
        <f t="shared" si="78"/>
        <v/>
      </c>
      <c r="M647" s="112" t="str">
        <f t="shared" si="78"/>
        <v/>
      </c>
      <c r="N647" s="112" t="str">
        <f t="shared" si="78"/>
        <v/>
      </c>
      <c r="O647" s="112" t="str">
        <f t="shared" si="79"/>
        <v xml:space="preserve"> </v>
      </c>
      <c r="P647" s="113" t="str">
        <f t="shared" si="80"/>
        <v/>
      </c>
      <c r="Q647" s="114" t="str">
        <f t="shared" si="81"/>
        <v/>
      </c>
      <c r="R647" s="115" t="str">
        <f t="shared" si="82"/>
        <v/>
      </c>
      <c r="S647" s="115" t="str">
        <f t="shared" si="83"/>
        <v/>
      </c>
      <c r="T647" s="116" t="str">
        <f t="shared" si="84"/>
        <v/>
      </c>
      <c r="U647" s="120"/>
      <c r="V647" s="118"/>
    </row>
    <row r="648" spans="1:22" ht="13.2">
      <c r="A648" s="102"/>
      <c r="B648" s="102"/>
      <c r="C648" s="103"/>
      <c r="D648" s="105"/>
      <c r="E648" s="106"/>
      <c r="F648" s="107"/>
      <c r="G648" s="108"/>
      <c r="H648" s="109"/>
      <c r="I648" s="110"/>
      <c r="J648" s="110"/>
      <c r="K648" s="119"/>
      <c r="L648" s="111" t="str">
        <f t="shared" si="78"/>
        <v/>
      </c>
      <c r="M648" s="112" t="str">
        <f t="shared" si="78"/>
        <v/>
      </c>
      <c r="N648" s="112" t="str">
        <f t="shared" si="78"/>
        <v/>
      </c>
      <c r="O648" s="112" t="str">
        <f t="shared" si="79"/>
        <v xml:space="preserve"> </v>
      </c>
      <c r="P648" s="113" t="str">
        <f t="shared" si="80"/>
        <v/>
      </c>
      <c r="Q648" s="114" t="str">
        <f t="shared" si="81"/>
        <v/>
      </c>
      <c r="R648" s="115" t="str">
        <f t="shared" si="82"/>
        <v/>
      </c>
      <c r="S648" s="115" t="str">
        <f t="shared" si="83"/>
        <v/>
      </c>
      <c r="T648" s="116" t="str">
        <f t="shared" si="84"/>
        <v/>
      </c>
      <c r="U648" s="120"/>
      <c r="V648" s="118"/>
    </row>
    <row r="649" spans="1:22" ht="13.2">
      <c r="A649" s="102"/>
      <c r="B649" s="102"/>
      <c r="C649" s="104"/>
      <c r="D649" s="105"/>
      <c r="E649" s="106"/>
      <c r="F649" s="107"/>
      <c r="G649" s="108"/>
      <c r="H649" s="109"/>
      <c r="I649" s="110"/>
      <c r="J649" s="110"/>
      <c r="K649" s="119"/>
      <c r="L649" s="111" t="str">
        <f t="shared" si="78"/>
        <v/>
      </c>
      <c r="M649" s="112" t="str">
        <f t="shared" si="78"/>
        <v/>
      </c>
      <c r="N649" s="112" t="str">
        <f t="shared" si="78"/>
        <v/>
      </c>
      <c r="O649" s="112" t="str">
        <f t="shared" si="79"/>
        <v xml:space="preserve"> </v>
      </c>
      <c r="P649" s="113" t="str">
        <f t="shared" si="80"/>
        <v/>
      </c>
      <c r="Q649" s="114" t="str">
        <f t="shared" si="81"/>
        <v/>
      </c>
      <c r="R649" s="115" t="str">
        <f t="shared" si="82"/>
        <v/>
      </c>
      <c r="S649" s="115" t="str">
        <f t="shared" si="83"/>
        <v/>
      </c>
      <c r="T649" s="116" t="str">
        <f t="shared" si="84"/>
        <v/>
      </c>
      <c r="U649" s="120"/>
      <c r="V649" s="118"/>
    </row>
    <row r="650" spans="1:22" ht="13.2">
      <c r="A650" s="102"/>
      <c r="B650" s="102"/>
      <c r="C650" s="104"/>
      <c r="D650" s="105"/>
      <c r="E650" s="106"/>
      <c r="F650" s="107"/>
      <c r="G650" s="108"/>
      <c r="H650" s="109"/>
      <c r="I650" s="110"/>
      <c r="J650" s="110"/>
      <c r="K650" s="119"/>
      <c r="L650" s="111" t="str">
        <f t="shared" si="78"/>
        <v/>
      </c>
      <c r="M650" s="112" t="str">
        <f t="shared" si="78"/>
        <v/>
      </c>
      <c r="N650" s="112" t="str">
        <f t="shared" si="78"/>
        <v/>
      </c>
      <c r="O650" s="112" t="str">
        <f t="shared" si="79"/>
        <v xml:space="preserve"> </v>
      </c>
      <c r="P650" s="113" t="str">
        <f t="shared" si="80"/>
        <v/>
      </c>
      <c r="Q650" s="114" t="str">
        <f t="shared" si="81"/>
        <v/>
      </c>
      <c r="R650" s="115" t="str">
        <f t="shared" si="82"/>
        <v/>
      </c>
      <c r="S650" s="115" t="str">
        <f t="shared" si="83"/>
        <v/>
      </c>
      <c r="T650" s="116" t="str">
        <f t="shared" si="84"/>
        <v/>
      </c>
      <c r="U650" s="120"/>
      <c r="V650" s="118"/>
    </row>
    <row r="651" spans="1:22" ht="13.2">
      <c r="A651" s="102"/>
      <c r="B651" s="102"/>
      <c r="C651" s="104"/>
      <c r="D651" s="105"/>
      <c r="E651" s="106"/>
      <c r="F651" s="107"/>
      <c r="G651" s="108"/>
      <c r="H651" s="109"/>
      <c r="I651" s="110"/>
      <c r="J651" s="110"/>
      <c r="K651" s="119"/>
      <c r="L651" s="111" t="str">
        <f t="shared" si="78"/>
        <v/>
      </c>
      <c r="M651" s="112" t="str">
        <f t="shared" si="78"/>
        <v/>
      </c>
      <c r="N651" s="112" t="str">
        <f t="shared" si="78"/>
        <v/>
      </c>
      <c r="O651" s="112" t="str">
        <f t="shared" si="79"/>
        <v xml:space="preserve"> </v>
      </c>
      <c r="P651" s="113" t="str">
        <f t="shared" si="80"/>
        <v/>
      </c>
      <c r="Q651" s="114" t="str">
        <f t="shared" si="81"/>
        <v/>
      </c>
      <c r="R651" s="115" t="str">
        <f t="shared" si="82"/>
        <v/>
      </c>
      <c r="S651" s="115" t="str">
        <f t="shared" si="83"/>
        <v/>
      </c>
      <c r="T651" s="116" t="str">
        <f t="shared" si="84"/>
        <v/>
      </c>
      <c r="U651" s="120"/>
      <c r="V651" s="118"/>
    </row>
    <row r="652" spans="1:22" ht="13.2">
      <c r="A652" s="102"/>
      <c r="B652" s="102"/>
      <c r="C652" s="104"/>
      <c r="D652" s="105"/>
      <c r="E652" s="106"/>
      <c r="F652" s="107"/>
      <c r="G652" s="108"/>
      <c r="H652" s="109"/>
      <c r="I652" s="110"/>
      <c r="J652" s="110"/>
      <c r="K652" s="119"/>
      <c r="L652" s="111" t="str">
        <f t="shared" si="78"/>
        <v/>
      </c>
      <c r="M652" s="112" t="str">
        <f t="shared" si="78"/>
        <v/>
      </c>
      <c r="N652" s="112" t="str">
        <f t="shared" si="78"/>
        <v/>
      </c>
      <c r="O652" s="112" t="str">
        <f t="shared" si="79"/>
        <v xml:space="preserve"> </v>
      </c>
      <c r="P652" s="113" t="str">
        <f t="shared" si="80"/>
        <v/>
      </c>
      <c r="Q652" s="114" t="str">
        <f t="shared" si="81"/>
        <v/>
      </c>
      <c r="R652" s="115" t="str">
        <f t="shared" si="82"/>
        <v/>
      </c>
      <c r="S652" s="115" t="str">
        <f t="shared" si="83"/>
        <v/>
      </c>
      <c r="T652" s="116" t="str">
        <f t="shared" si="84"/>
        <v/>
      </c>
      <c r="U652" s="120"/>
      <c r="V652" s="118"/>
    </row>
    <row r="653" spans="1:22" ht="13.2">
      <c r="A653" s="102"/>
      <c r="B653" s="102"/>
      <c r="C653" s="104"/>
      <c r="D653" s="105"/>
      <c r="E653" s="106"/>
      <c r="F653" s="107"/>
      <c r="G653" s="108"/>
      <c r="H653" s="109"/>
      <c r="I653" s="110"/>
      <c r="J653" s="110"/>
      <c r="K653" s="119"/>
      <c r="L653" s="111" t="str">
        <f t="shared" si="78"/>
        <v/>
      </c>
      <c r="M653" s="112" t="str">
        <f t="shared" si="78"/>
        <v/>
      </c>
      <c r="N653" s="112" t="str">
        <f t="shared" si="78"/>
        <v/>
      </c>
      <c r="O653" s="112" t="str">
        <f t="shared" si="79"/>
        <v xml:space="preserve"> </v>
      </c>
      <c r="P653" s="113" t="str">
        <f t="shared" si="80"/>
        <v/>
      </c>
      <c r="Q653" s="114" t="str">
        <f t="shared" si="81"/>
        <v/>
      </c>
      <c r="R653" s="115" t="str">
        <f t="shared" si="82"/>
        <v/>
      </c>
      <c r="S653" s="115" t="str">
        <f t="shared" si="83"/>
        <v/>
      </c>
      <c r="T653" s="116" t="str">
        <f t="shared" si="84"/>
        <v/>
      </c>
      <c r="U653" s="120"/>
      <c r="V653" s="118"/>
    </row>
    <row r="654" spans="1:22" ht="13.2">
      <c r="A654" s="102"/>
      <c r="B654" s="102"/>
      <c r="C654" s="104"/>
      <c r="D654" s="105"/>
      <c r="E654" s="106"/>
      <c r="F654" s="107"/>
      <c r="G654" s="108"/>
      <c r="H654" s="109"/>
      <c r="I654" s="110"/>
      <c r="J654" s="110"/>
      <c r="K654" s="110"/>
      <c r="L654" s="111" t="str">
        <f t="shared" si="78"/>
        <v/>
      </c>
      <c r="M654" s="112" t="str">
        <f t="shared" si="78"/>
        <v/>
      </c>
      <c r="N654" s="112" t="str">
        <f t="shared" si="78"/>
        <v/>
      </c>
      <c r="O654" s="112" t="str">
        <f t="shared" si="79"/>
        <v xml:space="preserve"> </v>
      </c>
      <c r="P654" s="113" t="str">
        <f t="shared" si="80"/>
        <v/>
      </c>
      <c r="Q654" s="114" t="str">
        <f t="shared" si="81"/>
        <v/>
      </c>
      <c r="R654" s="115" t="str">
        <f t="shared" si="82"/>
        <v/>
      </c>
      <c r="S654" s="115" t="str">
        <f t="shared" si="83"/>
        <v/>
      </c>
      <c r="T654" s="116" t="str">
        <f t="shared" si="84"/>
        <v/>
      </c>
      <c r="U654" s="120"/>
      <c r="V654" s="118"/>
    </row>
    <row r="655" spans="1:22" ht="13.2">
      <c r="A655" s="102"/>
      <c r="B655" s="102"/>
      <c r="C655" s="104"/>
      <c r="D655" s="105"/>
      <c r="E655" s="106"/>
      <c r="F655" s="107"/>
      <c r="G655" s="108"/>
      <c r="H655" s="109"/>
      <c r="I655" s="110"/>
      <c r="J655" s="110"/>
      <c r="K655" s="119"/>
      <c r="L655" s="111" t="str">
        <f t="shared" si="78"/>
        <v/>
      </c>
      <c r="M655" s="112" t="str">
        <f t="shared" si="78"/>
        <v/>
      </c>
      <c r="N655" s="112" t="str">
        <f t="shared" si="78"/>
        <v/>
      </c>
      <c r="O655" s="112" t="str">
        <f t="shared" si="79"/>
        <v xml:space="preserve"> </v>
      </c>
      <c r="P655" s="113" t="str">
        <f t="shared" si="80"/>
        <v/>
      </c>
      <c r="Q655" s="114" t="str">
        <f t="shared" si="81"/>
        <v/>
      </c>
      <c r="R655" s="115" t="str">
        <f t="shared" si="82"/>
        <v/>
      </c>
      <c r="S655" s="115" t="str">
        <f t="shared" si="83"/>
        <v/>
      </c>
      <c r="T655" s="116" t="str">
        <f t="shared" si="84"/>
        <v/>
      </c>
      <c r="U655" s="120"/>
      <c r="V655" s="118"/>
    </row>
    <row r="656" spans="1:22" ht="13.2">
      <c r="A656" s="102"/>
      <c r="B656" s="102"/>
      <c r="C656" s="104"/>
      <c r="D656" s="105"/>
      <c r="E656" s="106"/>
      <c r="F656" s="107"/>
      <c r="G656" s="108"/>
      <c r="H656" s="109"/>
      <c r="I656" s="110"/>
      <c r="J656" s="110"/>
      <c r="K656" s="119"/>
      <c r="L656" s="111" t="str">
        <f t="shared" si="78"/>
        <v/>
      </c>
      <c r="M656" s="112" t="str">
        <f t="shared" si="78"/>
        <v/>
      </c>
      <c r="N656" s="112" t="str">
        <f t="shared" si="78"/>
        <v/>
      </c>
      <c r="O656" s="112" t="str">
        <f t="shared" si="79"/>
        <v xml:space="preserve"> </v>
      </c>
      <c r="P656" s="113" t="str">
        <f t="shared" si="80"/>
        <v/>
      </c>
      <c r="Q656" s="114" t="str">
        <f t="shared" si="81"/>
        <v/>
      </c>
      <c r="R656" s="115" t="str">
        <f t="shared" si="82"/>
        <v/>
      </c>
      <c r="S656" s="115" t="str">
        <f t="shared" si="83"/>
        <v/>
      </c>
      <c r="T656" s="116" t="str">
        <f t="shared" si="84"/>
        <v/>
      </c>
      <c r="U656" s="120"/>
      <c r="V656" s="118"/>
    </row>
    <row r="657" spans="1:22" ht="13.2">
      <c r="A657" s="102"/>
      <c r="B657" s="102"/>
      <c r="C657" s="104"/>
      <c r="D657" s="105"/>
      <c r="E657" s="106"/>
      <c r="F657" s="107"/>
      <c r="G657" s="108"/>
      <c r="H657" s="109"/>
      <c r="I657" s="110"/>
      <c r="J657" s="110"/>
      <c r="K657" s="119"/>
      <c r="L657" s="111" t="str">
        <f t="shared" si="78"/>
        <v/>
      </c>
      <c r="M657" s="112" t="str">
        <f t="shared" si="78"/>
        <v/>
      </c>
      <c r="N657" s="112" t="str">
        <f t="shared" si="78"/>
        <v/>
      </c>
      <c r="O657" s="112" t="str">
        <f t="shared" si="79"/>
        <v xml:space="preserve"> </v>
      </c>
      <c r="P657" s="113" t="str">
        <f t="shared" si="80"/>
        <v/>
      </c>
      <c r="Q657" s="114" t="str">
        <f t="shared" si="81"/>
        <v/>
      </c>
      <c r="R657" s="115" t="str">
        <f t="shared" si="82"/>
        <v/>
      </c>
      <c r="S657" s="115" t="str">
        <f t="shared" si="83"/>
        <v/>
      </c>
      <c r="T657" s="116" t="str">
        <f t="shared" si="84"/>
        <v/>
      </c>
      <c r="U657" s="120"/>
      <c r="V657" s="118"/>
    </row>
    <row r="658" spans="1:22" ht="13.2">
      <c r="A658" s="102"/>
      <c r="B658" s="102"/>
      <c r="C658" s="104"/>
      <c r="D658" s="105"/>
      <c r="E658" s="106"/>
      <c r="F658" s="107"/>
      <c r="G658" s="108"/>
      <c r="H658" s="109"/>
      <c r="I658" s="110"/>
      <c r="J658" s="110"/>
      <c r="K658" s="119"/>
      <c r="L658" s="111" t="str">
        <f t="shared" si="78"/>
        <v/>
      </c>
      <c r="M658" s="112" t="str">
        <f t="shared" si="78"/>
        <v/>
      </c>
      <c r="N658" s="112" t="str">
        <f t="shared" si="78"/>
        <v/>
      </c>
      <c r="O658" s="112" t="str">
        <f t="shared" si="79"/>
        <v xml:space="preserve"> </v>
      </c>
      <c r="P658" s="113" t="str">
        <f t="shared" si="80"/>
        <v/>
      </c>
      <c r="Q658" s="114" t="str">
        <f t="shared" si="81"/>
        <v/>
      </c>
      <c r="R658" s="115" t="str">
        <f t="shared" si="82"/>
        <v/>
      </c>
      <c r="S658" s="115" t="str">
        <f t="shared" si="83"/>
        <v/>
      </c>
      <c r="T658" s="116" t="str">
        <f t="shared" si="84"/>
        <v/>
      </c>
      <c r="U658" s="120"/>
      <c r="V658" s="118"/>
    </row>
    <row r="659" spans="1:22" ht="13.2">
      <c r="A659" s="102"/>
      <c r="B659" s="103"/>
      <c r="C659" s="104"/>
      <c r="D659" s="105"/>
      <c r="E659" s="106"/>
      <c r="F659" s="107"/>
      <c r="G659" s="108"/>
      <c r="H659" s="121"/>
      <c r="I659" s="122"/>
      <c r="J659" s="122"/>
      <c r="K659" s="123"/>
      <c r="L659" s="111" t="str">
        <f t="shared" si="78"/>
        <v/>
      </c>
      <c r="M659" s="112" t="str">
        <f t="shared" si="78"/>
        <v/>
      </c>
      <c r="N659" s="112" t="str">
        <f t="shared" si="78"/>
        <v/>
      </c>
      <c r="O659" s="112" t="str">
        <f t="shared" si="79"/>
        <v xml:space="preserve"> </v>
      </c>
      <c r="P659" s="113" t="str">
        <f t="shared" si="80"/>
        <v/>
      </c>
      <c r="Q659" s="114" t="str">
        <f t="shared" si="81"/>
        <v/>
      </c>
      <c r="R659" s="115" t="str">
        <f t="shared" si="82"/>
        <v/>
      </c>
      <c r="S659" s="115" t="str">
        <f t="shared" si="83"/>
        <v/>
      </c>
      <c r="T659" s="116" t="str">
        <f t="shared" si="84"/>
        <v/>
      </c>
      <c r="U659" s="120"/>
      <c r="V659" s="118"/>
    </row>
    <row r="660" spans="1:22" ht="13.2">
      <c r="A660" s="102"/>
      <c r="B660" s="103"/>
      <c r="C660" s="104"/>
      <c r="D660" s="105"/>
      <c r="E660" s="106"/>
      <c r="F660" s="107"/>
      <c r="G660" s="108"/>
      <c r="H660" s="121"/>
      <c r="I660" s="122"/>
      <c r="J660" s="122"/>
      <c r="K660" s="123"/>
      <c r="L660" s="111" t="str">
        <f t="shared" si="78"/>
        <v/>
      </c>
      <c r="M660" s="112" t="str">
        <f t="shared" si="78"/>
        <v/>
      </c>
      <c r="N660" s="112" t="str">
        <f t="shared" si="78"/>
        <v/>
      </c>
      <c r="O660" s="112" t="str">
        <f t="shared" si="79"/>
        <v xml:space="preserve"> </v>
      </c>
      <c r="P660" s="113" t="str">
        <f t="shared" si="80"/>
        <v/>
      </c>
      <c r="Q660" s="114" t="str">
        <f t="shared" si="81"/>
        <v/>
      </c>
      <c r="R660" s="115" t="str">
        <f t="shared" si="82"/>
        <v/>
      </c>
      <c r="S660" s="115" t="str">
        <f t="shared" si="83"/>
        <v/>
      </c>
      <c r="T660" s="116" t="str">
        <f t="shared" si="84"/>
        <v/>
      </c>
      <c r="U660" s="120"/>
      <c r="V660" s="118"/>
    </row>
    <row r="661" spans="1:22" ht="13.2">
      <c r="A661" s="102"/>
      <c r="B661" s="103"/>
      <c r="C661" s="104"/>
      <c r="D661" s="105"/>
      <c r="E661" s="106"/>
      <c r="F661" s="107"/>
      <c r="G661" s="108"/>
      <c r="H661" s="121"/>
      <c r="I661" s="122"/>
      <c r="J661" s="122"/>
      <c r="K661" s="123"/>
      <c r="L661" s="111" t="str">
        <f t="shared" si="78"/>
        <v/>
      </c>
      <c r="M661" s="112" t="str">
        <f t="shared" si="78"/>
        <v/>
      </c>
      <c r="N661" s="112" t="str">
        <f t="shared" si="78"/>
        <v/>
      </c>
      <c r="O661" s="112" t="str">
        <f t="shared" si="79"/>
        <v xml:space="preserve"> </v>
      </c>
      <c r="P661" s="113" t="str">
        <f t="shared" si="80"/>
        <v/>
      </c>
      <c r="Q661" s="114" t="str">
        <f t="shared" si="81"/>
        <v/>
      </c>
      <c r="R661" s="115" t="str">
        <f t="shared" si="82"/>
        <v/>
      </c>
      <c r="S661" s="115" t="str">
        <f t="shared" si="83"/>
        <v/>
      </c>
      <c r="T661" s="116" t="str">
        <f t="shared" si="84"/>
        <v/>
      </c>
      <c r="U661" s="120"/>
      <c r="V661" s="118"/>
    </row>
    <row r="662" spans="1:22" ht="13.2">
      <c r="A662" s="102"/>
      <c r="B662" s="102"/>
      <c r="C662" s="103"/>
      <c r="D662" s="105"/>
      <c r="E662" s="106"/>
      <c r="F662" s="107"/>
      <c r="G662" s="108"/>
      <c r="H662" s="109"/>
      <c r="I662" s="110"/>
      <c r="J662" s="110"/>
      <c r="K662" s="119"/>
      <c r="L662" s="111" t="str">
        <f t="shared" si="78"/>
        <v/>
      </c>
      <c r="M662" s="112" t="str">
        <f t="shared" si="78"/>
        <v/>
      </c>
      <c r="N662" s="112" t="str">
        <f t="shared" si="78"/>
        <v/>
      </c>
      <c r="O662" s="112" t="str">
        <f t="shared" si="79"/>
        <v xml:space="preserve"> </v>
      </c>
      <c r="P662" s="113" t="str">
        <f t="shared" si="80"/>
        <v/>
      </c>
      <c r="Q662" s="114" t="str">
        <f t="shared" si="81"/>
        <v/>
      </c>
      <c r="R662" s="115" t="str">
        <f t="shared" si="82"/>
        <v/>
      </c>
      <c r="S662" s="115" t="str">
        <f t="shared" si="83"/>
        <v/>
      </c>
      <c r="T662" s="116" t="str">
        <f t="shared" si="84"/>
        <v/>
      </c>
      <c r="U662" s="120"/>
      <c r="V662" s="118"/>
    </row>
    <row r="663" spans="1:22" ht="13.2">
      <c r="A663" s="102"/>
      <c r="B663" s="102"/>
      <c r="C663" s="103"/>
      <c r="D663" s="105"/>
      <c r="E663" s="106"/>
      <c r="F663" s="107"/>
      <c r="G663" s="108"/>
      <c r="H663" s="109"/>
      <c r="I663" s="110"/>
      <c r="J663" s="110"/>
      <c r="K663" s="119"/>
      <c r="L663" s="111" t="str">
        <f t="shared" si="78"/>
        <v/>
      </c>
      <c r="M663" s="112" t="str">
        <f t="shared" si="78"/>
        <v/>
      </c>
      <c r="N663" s="112" t="str">
        <f t="shared" si="78"/>
        <v/>
      </c>
      <c r="O663" s="112" t="str">
        <f t="shared" si="79"/>
        <v xml:space="preserve"> </v>
      </c>
      <c r="P663" s="113" t="str">
        <f t="shared" si="80"/>
        <v/>
      </c>
      <c r="Q663" s="114" t="str">
        <f t="shared" si="81"/>
        <v/>
      </c>
      <c r="R663" s="115" t="str">
        <f t="shared" si="82"/>
        <v/>
      </c>
      <c r="S663" s="115" t="str">
        <f t="shared" si="83"/>
        <v/>
      </c>
      <c r="T663" s="116" t="str">
        <f t="shared" si="84"/>
        <v/>
      </c>
      <c r="U663" s="120"/>
      <c r="V663" s="118"/>
    </row>
    <row r="664" spans="1:22" ht="13.2">
      <c r="A664" s="102"/>
      <c r="B664" s="102"/>
      <c r="C664" s="104"/>
      <c r="D664" s="105"/>
      <c r="E664" s="106"/>
      <c r="F664" s="107"/>
      <c r="G664" s="108"/>
      <c r="H664" s="109"/>
      <c r="I664" s="110"/>
      <c r="J664" s="110"/>
      <c r="K664" s="119"/>
      <c r="L664" s="111" t="str">
        <f t="shared" si="78"/>
        <v/>
      </c>
      <c r="M664" s="112" t="str">
        <f t="shared" si="78"/>
        <v/>
      </c>
      <c r="N664" s="112" t="str">
        <f t="shared" si="78"/>
        <v/>
      </c>
      <c r="O664" s="112" t="str">
        <f t="shared" si="79"/>
        <v xml:space="preserve"> </v>
      </c>
      <c r="P664" s="113" t="str">
        <f t="shared" si="80"/>
        <v/>
      </c>
      <c r="Q664" s="114" t="str">
        <f t="shared" si="81"/>
        <v/>
      </c>
      <c r="R664" s="115" t="str">
        <f t="shared" si="82"/>
        <v/>
      </c>
      <c r="S664" s="115" t="str">
        <f t="shared" si="83"/>
        <v/>
      </c>
      <c r="T664" s="116" t="str">
        <f t="shared" si="84"/>
        <v/>
      </c>
      <c r="U664" s="120"/>
      <c r="V664" s="118"/>
    </row>
    <row r="665" spans="1:22" ht="13.2">
      <c r="A665" s="102"/>
      <c r="B665" s="102"/>
      <c r="C665" s="104"/>
      <c r="D665" s="105"/>
      <c r="E665" s="106"/>
      <c r="F665" s="107"/>
      <c r="G665" s="108"/>
      <c r="H665" s="109"/>
      <c r="I665" s="110"/>
      <c r="J665" s="110"/>
      <c r="K665" s="119"/>
      <c r="L665" s="111" t="str">
        <f t="shared" si="78"/>
        <v/>
      </c>
      <c r="M665" s="112" t="str">
        <f t="shared" si="78"/>
        <v/>
      </c>
      <c r="N665" s="112" t="str">
        <f t="shared" si="78"/>
        <v/>
      </c>
      <c r="O665" s="112" t="str">
        <f t="shared" si="79"/>
        <v xml:space="preserve"> </v>
      </c>
      <c r="P665" s="113" t="str">
        <f t="shared" si="80"/>
        <v/>
      </c>
      <c r="Q665" s="114" t="str">
        <f t="shared" si="81"/>
        <v/>
      </c>
      <c r="R665" s="115" t="str">
        <f t="shared" si="82"/>
        <v/>
      </c>
      <c r="S665" s="115" t="str">
        <f t="shared" si="83"/>
        <v/>
      </c>
      <c r="T665" s="116" t="str">
        <f t="shared" si="84"/>
        <v/>
      </c>
      <c r="U665" s="120"/>
      <c r="V665" s="118"/>
    </row>
    <row r="666" spans="1:22" ht="13.2">
      <c r="A666" s="102"/>
      <c r="B666" s="102"/>
      <c r="C666" s="104"/>
      <c r="D666" s="105"/>
      <c r="E666" s="106"/>
      <c r="F666" s="107"/>
      <c r="G666" s="108"/>
      <c r="H666" s="109"/>
      <c r="I666" s="110"/>
      <c r="J666" s="110"/>
      <c r="K666" s="119"/>
      <c r="L666" s="111" t="str">
        <f t="shared" si="78"/>
        <v/>
      </c>
      <c r="M666" s="112" t="str">
        <f t="shared" si="78"/>
        <v/>
      </c>
      <c r="N666" s="112" t="str">
        <f t="shared" si="78"/>
        <v/>
      </c>
      <c r="O666" s="112" t="str">
        <f t="shared" si="79"/>
        <v xml:space="preserve"> </v>
      </c>
      <c r="P666" s="113" t="str">
        <f t="shared" si="80"/>
        <v/>
      </c>
      <c r="Q666" s="114" t="str">
        <f t="shared" si="81"/>
        <v/>
      </c>
      <c r="R666" s="115" t="str">
        <f t="shared" si="82"/>
        <v/>
      </c>
      <c r="S666" s="115" t="str">
        <f t="shared" si="83"/>
        <v/>
      </c>
      <c r="T666" s="116" t="str">
        <f t="shared" si="84"/>
        <v/>
      </c>
      <c r="U666" s="120"/>
      <c r="V666" s="118"/>
    </row>
    <row r="667" spans="1:22" ht="13.2">
      <c r="A667" s="102"/>
      <c r="B667" s="102"/>
      <c r="C667" s="104"/>
      <c r="D667" s="105"/>
      <c r="E667" s="106"/>
      <c r="F667" s="107"/>
      <c r="G667" s="108"/>
      <c r="H667" s="109"/>
      <c r="I667" s="110"/>
      <c r="J667" s="110"/>
      <c r="K667" s="119"/>
      <c r="L667" s="111" t="str">
        <f t="shared" si="78"/>
        <v/>
      </c>
      <c r="M667" s="112" t="str">
        <f t="shared" si="78"/>
        <v/>
      </c>
      <c r="N667" s="112" t="str">
        <f t="shared" si="78"/>
        <v/>
      </c>
      <c r="O667" s="112" t="str">
        <f t="shared" si="79"/>
        <v xml:space="preserve"> </v>
      </c>
      <c r="P667" s="113" t="str">
        <f t="shared" si="80"/>
        <v/>
      </c>
      <c r="Q667" s="114" t="str">
        <f t="shared" si="81"/>
        <v/>
      </c>
      <c r="R667" s="115" t="str">
        <f t="shared" si="82"/>
        <v/>
      </c>
      <c r="S667" s="115" t="str">
        <f t="shared" si="83"/>
        <v/>
      </c>
      <c r="T667" s="116" t="str">
        <f t="shared" si="84"/>
        <v/>
      </c>
      <c r="U667" s="120"/>
      <c r="V667" s="118"/>
    </row>
    <row r="668" spans="1:22" ht="13.2">
      <c r="A668" s="102"/>
      <c r="B668" s="102"/>
      <c r="C668" s="104"/>
      <c r="D668" s="105"/>
      <c r="E668" s="106"/>
      <c r="F668" s="107"/>
      <c r="G668" s="108"/>
      <c r="H668" s="109"/>
      <c r="I668" s="110"/>
      <c r="J668" s="110"/>
      <c r="K668" s="119"/>
      <c r="L668" s="111" t="str">
        <f t="shared" si="78"/>
        <v/>
      </c>
      <c r="M668" s="112" t="str">
        <f t="shared" si="78"/>
        <v/>
      </c>
      <c r="N668" s="112" t="str">
        <f t="shared" si="78"/>
        <v/>
      </c>
      <c r="O668" s="112" t="str">
        <f t="shared" si="79"/>
        <v xml:space="preserve"> </v>
      </c>
      <c r="P668" s="113" t="str">
        <f t="shared" si="80"/>
        <v/>
      </c>
      <c r="Q668" s="114" t="str">
        <f t="shared" si="81"/>
        <v/>
      </c>
      <c r="R668" s="115" t="str">
        <f t="shared" si="82"/>
        <v/>
      </c>
      <c r="S668" s="115" t="str">
        <f t="shared" si="83"/>
        <v/>
      </c>
      <c r="T668" s="116" t="str">
        <f t="shared" si="84"/>
        <v/>
      </c>
      <c r="U668" s="120"/>
      <c r="V668" s="118"/>
    </row>
    <row r="669" spans="1:22" ht="13.2">
      <c r="A669" s="102"/>
      <c r="B669" s="102"/>
      <c r="C669" s="104"/>
      <c r="D669" s="105"/>
      <c r="E669" s="106"/>
      <c r="F669" s="107"/>
      <c r="G669" s="108"/>
      <c r="H669" s="109"/>
      <c r="I669" s="110"/>
      <c r="J669" s="110"/>
      <c r="K669" s="110"/>
      <c r="L669" s="111" t="str">
        <f t="shared" ref="L669:N732" si="85">IF(ISBLANK($E669),"",IF(ISERR(I669/I669)=TRUE,"BAD INSP",I669-$E669))</f>
        <v/>
      </c>
      <c r="M669" s="112" t="str">
        <f t="shared" si="85"/>
        <v/>
      </c>
      <c r="N669" s="112" t="str">
        <f t="shared" si="85"/>
        <v/>
      </c>
      <c r="O669" s="112" t="str">
        <f t="shared" si="79"/>
        <v xml:space="preserve"> </v>
      </c>
      <c r="P669" s="113" t="str">
        <f t="shared" si="80"/>
        <v/>
      </c>
      <c r="Q669" s="114" t="str">
        <f t="shared" si="81"/>
        <v/>
      </c>
      <c r="R669" s="115" t="str">
        <f t="shared" si="82"/>
        <v/>
      </c>
      <c r="S669" s="115" t="str">
        <f t="shared" si="83"/>
        <v/>
      </c>
      <c r="T669" s="116" t="str">
        <f t="shared" si="84"/>
        <v/>
      </c>
      <c r="U669" s="120"/>
      <c r="V669" s="118"/>
    </row>
    <row r="670" spans="1:22" ht="13.2">
      <c r="A670" s="102"/>
      <c r="B670" s="102"/>
      <c r="C670" s="104"/>
      <c r="D670" s="105"/>
      <c r="E670" s="106"/>
      <c r="F670" s="107"/>
      <c r="G670" s="108"/>
      <c r="H670" s="109"/>
      <c r="I670" s="110"/>
      <c r="J670" s="110"/>
      <c r="K670" s="119"/>
      <c r="L670" s="111" t="str">
        <f t="shared" si="85"/>
        <v/>
      </c>
      <c r="M670" s="112" t="str">
        <f t="shared" si="85"/>
        <v/>
      </c>
      <c r="N670" s="112" t="str">
        <f t="shared" si="85"/>
        <v/>
      </c>
      <c r="O670" s="112" t="str">
        <f t="shared" si="79"/>
        <v xml:space="preserve"> </v>
      </c>
      <c r="P670" s="113" t="str">
        <f t="shared" si="80"/>
        <v/>
      </c>
      <c r="Q670" s="114" t="str">
        <f t="shared" si="81"/>
        <v/>
      </c>
      <c r="R670" s="115" t="str">
        <f t="shared" si="82"/>
        <v/>
      </c>
      <c r="S670" s="115" t="str">
        <f t="shared" si="83"/>
        <v/>
      </c>
      <c r="T670" s="116" t="str">
        <f t="shared" si="84"/>
        <v/>
      </c>
      <c r="U670" s="120"/>
      <c r="V670" s="118"/>
    </row>
    <row r="671" spans="1:22" ht="13.2">
      <c r="A671" s="102"/>
      <c r="B671" s="102"/>
      <c r="C671" s="104"/>
      <c r="D671" s="105"/>
      <c r="E671" s="106"/>
      <c r="F671" s="107"/>
      <c r="G671" s="108"/>
      <c r="H671" s="109"/>
      <c r="I671" s="110"/>
      <c r="J671" s="110"/>
      <c r="K671" s="119"/>
      <c r="L671" s="111" t="str">
        <f t="shared" si="85"/>
        <v/>
      </c>
      <c r="M671" s="112" t="str">
        <f t="shared" si="85"/>
        <v/>
      </c>
      <c r="N671" s="112" t="str">
        <f t="shared" si="85"/>
        <v/>
      </c>
      <c r="O671" s="112" t="str">
        <f t="shared" si="79"/>
        <v xml:space="preserve"> </v>
      </c>
      <c r="P671" s="113" t="str">
        <f t="shared" si="80"/>
        <v/>
      </c>
      <c r="Q671" s="114" t="str">
        <f t="shared" si="81"/>
        <v/>
      </c>
      <c r="R671" s="115" t="str">
        <f t="shared" si="82"/>
        <v/>
      </c>
      <c r="S671" s="115" t="str">
        <f t="shared" si="83"/>
        <v/>
      </c>
      <c r="T671" s="116" t="str">
        <f t="shared" si="84"/>
        <v/>
      </c>
      <c r="U671" s="120"/>
      <c r="V671" s="118"/>
    </row>
    <row r="672" spans="1:22" ht="13.2">
      <c r="A672" s="102"/>
      <c r="B672" s="102"/>
      <c r="C672" s="104"/>
      <c r="D672" s="105"/>
      <c r="E672" s="106"/>
      <c r="F672" s="107"/>
      <c r="G672" s="108"/>
      <c r="H672" s="109"/>
      <c r="I672" s="110"/>
      <c r="J672" s="110"/>
      <c r="K672" s="119"/>
      <c r="L672" s="111" t="str">
        <f t="shared" si="85"/>
        <v/>
      </c>
      <c r="M672" s="112" t="str">
        <f t="shared" si="85"/>
        <v/>
      </c>
      <c r="N672" s="112" t="str">
        <f t="shared" si="85"/>
        <v/>
      </c>
      <c r="O672" s="112" t="str">
        <f t="shared" si="79"/>
        <v xml:space="preserve"> </v>
      </c>
      <c r="P672" s="113" t="str">
        <f t="shared" si="80"/>
        <v/>
      </c>
      <c r="Q672" s="114" t="str">
        <f t="shared" si="81"/>
        <v/>
      </c>
      <c r="R672" s="115" t="str">
        <f t="shared" si="82"/>
        <v/>
      </c>
      <c r="S672" s="115" t="str">
        <f t="shared" si="83"/>
        <v/>
      </c>
      <c r="T672" s="116" t="str">
        <f t="shared" si="84"/>
        <v/>
      </c>
      <c r="U672" s="120"/>
      <c r="V672" s="118"/>
    </row>
    <row r="673" spans="1:22" ht="13.2">
      <c r="A673" s="102"/>
      <c r="B673" s="102"/>
      <c r="C673" s="104"/>
      <c r="D673" s="105"/>
      <c r="E673" s="106"/>
      <c r="F673" s="107"/>
      <c r="G673" s="108"/>
      <c r="H673" s="109"/>
      <c r="I673" s="110"/>
      <c r="J673" s="110"/>
      <c r="K673" s="119"/>
      <c r="L673" s="111" t="str">
        <f t="shared" si="85"/>
        <v/>
      </c>
      <c r="M673" s="112" t="str">
        <f t="shared" si="85"/>
        <v/>
      </c>
      <c r="N673" s="112" t="str">
        <f t="shared" si="85"/>
        <v/>
      </c>
      <c r="O673" s="112" t="str">
        <f t="shared" si="79"/>
        <v xml:space="preserve"> </v>
      </c>
      <c r="P673" s="113" t="str">
        <f t="shared" si="80"/>
        <v/>
      </c>
      <c r="Q673" s="114" t="str">
        <f t="shared" si="81"/>
        <v/>
      </c>
      <c r="R673" s="115" t="str">
        <f t="shared" si="82"/>
        <v/>
      </c>
      <c r="S673" s="115" t="str">
        <f t="shared" si="83"/>
        <v/>
      </c>
      <c r="T673" s="116" t="str">
        <f t="shared" si="84"/>
        <v/>
      </c>
      <c r="U673" s="120"/>
      <c r="V673" s="118"/>
    </row>
    <row r="674" spans="1:22" ht="13.2">
      <c r="A674" s="102"/>
      <c r="B674" s="103"/>
      <c r="C674" s="104"/>
      <c r="D674" s="105"/>
      <c r="E674" s="106"/>
      <c r="F674" s="107"/>
      <c r="G674" s="108"/>
      <c r="H674" s="121"/>
      <c r="I674" s="122"/>
      <c r="J674" s="122"/>
      <c r="K674" s="123"/>
      <c r="L674" s="111" t="str">
        <f t="shared" si="85"/>
        <v/>
      </c>
      <c r="M674" s="112" t="str">
        <f t="shared" si="85"/>
        <v/>
      </c>
      <c r="N674" s="112" t="str">
        <f t="shared" si="85"/>
        <v/>
      </c>
      <c r="O674" s="112" t="str">
        <f t="shared" si="79"/>
        <v xml:space="preserve"> </v>
      </c>
      <c r="P674" s="113" t="str">
        <f t="shared" si="80"/>
        <v/>
      </c>
      <c r="Q674" s="114" t="str">
        <f t="shared" si="81"/>
        <v/>
      </c>
      <c r="R674" s="115" t="str">
        <f t="shared" si="82"/>
        <v/>
      </c>
      <c r="S674" s="115" t="str">
        <f t="shared" si="83"/>
        <v/>
      </c>
      <c r="T674" s="116" t="str">
        <f t="shared" si="84"/>
        <v/>
      </c>
      <c r="U674" s="120"/>
      <c r="V674" s="118"/>
    </row>
    <row r="675" spans="1:22" ht="13.2">
      <c r="A675" s="102"/>
      <c r="B675" s="103"/>
      <c r="C675" s="104"/>
      <c r="D675" s="105"/>
      <c r="E675" s="106"/>
      <c r="F675" s="107"/>
      <c r="G675" s="108"/>
      <c r="H675" s="121"/>
      <c r="I675" s="122"/>
      <c r="J675" s="122"/>
      <c r="K675" s="123"/>
      <c r="L675" s="111" t="str">
        <f t="shared" si="85"/>
        <v/>
      </c>
      <c r="M675" s="112" t="str">
        <f t="shared" si="85"/>
        <v/>
      </c>
      <c r="N675" s="112" t="str">
        <f t="shared" si="85"/>
        <v/>
      </c>
      <c r="O675" s="112" t="str">
        <f t="shared" si="79"/>
        <v xml:space="preserve"> </v>
      </c>
      <c r="P675" s="113" t="str">
        <f t="shared" si="80"/>
        <v/>
      </c>
      <c r="Q675" s="114" t="str">
        <f t="shared" si="81"/>
        <v/>
      </c>
      <c r="R675" s="115" t="str">
        <f t="shared" si="82"/>
        <v/>
      </c>
      <c r="S675" s="115" t="str">
        <f t="shared" si="83"/>
        <v/>
      </c>
      <c r="T675" s="116" t="str">
        <f t="shared" si="84"/>
        <v/>
      </c>
      <c r="U675" s="120"/>
      <c r="V675" s="118"/>
    </row>
    <row r="676" spans="1:22" ht="13.2">
      <c r="A676" s="102"/>
      <c r="B676" s="103"/>
      <c r="C676" s="104"/>
      <c r="D676" s="105"/>
      <c r="E676" s="106"/>
      <c r="F676" s="107"/>
      <c r="G676" s="108"/>
      <c r="H676" s="121"/>
      <c r="I676" s="122"/>
      <c r="J676" s="122"/>
      <c r="K676" s="123"/>
      <c r="L676" s="111" t="str">
        <f t="shared" si="85"/>
        <v/>
      </c>
      <c r="M676" s="112" t="str">
        <f t="shared" si="85"/>
        <v/>
      </c>
      <c r="N676" s="112" t="str">
        <f t="shared" si="85"/>
        <v/>
      </c>
      <c r="O676" s="112" t="str">
        <f t="shared" si="79"/>
        <v xml:space="preserve"> </v>
      </c>
      <c r="P676" s="113" t="str">
        <f t="shared" si="80"/>
        <v/>
      </c>
      <c r="Q676" s="114" t="str">
        <f t="shared" si="81"/>
        <v/>
      </c>
      <c r="R676" s="115" t="str">
        <f t="shared" si="82"/>
        <v/>
      </c>
      <c r="S676" s="115" t="str">
        <f t="shared" si="83"/>
        <v/>
      </c>
      <c r="T676" s="116" t="str">
        <f t="shared" si="84"/>
        <v/>
      </c>
      <c r="U676" s="120"/>
      <c r="V676" s="118"/>
    </row>
    <row r="677" spans="1:22" ht="13.2">
      <c r="A677" s="102"/>
      <c r="B677" s="102"/>
      <c r="C677" s="103"/>
      <c r="D677" s="105"/>
      <c r="E677" s="106"/>
      <c r="F677" s="107"/>
      <c r="G677" s="108"/>
      <c r="H677" s="109"/>
      <c r="I677" s="110"/>
      <c r="J677" s="110"/>
      <c r="K677" s="119"/>
      <c r="L677" s="111" t="str">
        <f t="shared" si="85"/>
        <v/>
      </c>
      <c r="M677" s="112" t="str">
        <f t="shared" si="85"/>
        <v/>
      </c>
      <c r="N677" s="112" t="str">
        <f t="shared" si="85"/>
        <v/>
      </c>
      <c r="O677" s="112" t="str">
        <f t="shared" si="79"/>
        <v xml:space="preserve"> </v>
      </c>
      <c r="P677" s="113" t="str">
        <f t="shared" si="80"/>
        <v/>
      </c>
      <c r="Q677" s="114" t="str">
        <f t="shared" si="81"/>
        <v/>
      </c>
      <c r="R677" s="115" t="str">
        <f t="shared" si="82"/>
        <v/>
      </c>
      <c r="S677" s="115" t="str">
        <f t="shared" si="83"/>
        <v/>
      </c>
      <c r="T677" s="116" t="str">
        <f t="shared" si="84"/>
        <v/>
      </c>
      <c r="U677" s="120"/>
      <c r="V677" s="118"/>
    </row>
    <row r="678" spans="1:22" ht="13.2">
      <c r="A678" s="102"/>
      <c r="B678" s="102"/>
      <c r="C678" s="103"/>
      <c r="D678" s="105"/>
      <c r="E678" s="106"/>
      <c r="F678" s="107"/>
      <c r="G678" s="108"/>
      <c r="H678" s="109"/>
      <c r="I678" s="110"/>
      <c r="J678" s="110"/>
      <c r="K678" s="119"/>
      <c r="L678" s="111" t="str">
        <f t="shared" si="85"/>
        <v/>
      </c>
      <c r="M678" s="112" t="str">
        <f t="shared" si="85"/>
        <v/>
      </c>
      <c r="N678" s="112" t="str">
        <f t="shared" si="85"/>
        <v/>
      </c>
      <c r="O678" s="112" t="str">
        <f t="shared" si="79"/>
        <v xml:space="preserve"> </v>
      </c>
      <c r="P678" s="113" t="str">
        <f t="shared" si="80"/>
        <v/>
      </c>
      <c r="Q678" s="114" t="str">
        <f t="shared" si="81"/>
        <v/>
      </c>
      <c r="R678" s="115" t="str">
        <f t="shared" si="82"/>
        <v/>
      </c>
      <c r="S678" s="115" t="str">
        <f t="shared" si="83"/>
        <v/>
      </c>
      <c r="T678" s="116" t="str">
        <f t="shared" si="84"/>
        <v/>
      </c>
      <c r="U678" s="120"/>
      <c r="V678" s="118"/>
    </row>
    <row r="679" spans="1:22" ht="13.2">
      <c r="A679" s="102"/>
      <c r="B679" s="102"/>
      <c r="C679" s="104"/>
      <c r="D679" s="105"/>
      <c r="E679" s="106"/>
      <c r="F679" s="107"/>
      <c r="G679" s="108"/>
      <c r="H679" s="109"/>
      <c r="I679" s="110"/>
      <c r="J679" s="110"/>
      <c r="K679" s="119"/>
      <c r="L679" s="111" t="str">
        <f t="shared" si="85"/>
        <v/>
      </c>
      <c r="M679" s="112" t="str">
        <f t="shared" si="85"/>
        <v/>
      </c>
      <c r="N679" s="112" t="str">
        <f t="shared" si="85"/>
        <v/>
      </c>
      <c r="O679" s="112" t="str">
        <f t="shared" si="79"/>
        <v xml:space="preserve"> </v>
      </c>
      <c r="P679" s="113" t="str">
        <f t="shared" si="80"/>
        <v/>
      </c>
      <c r="Q679" s="114" t="str">
        <f t="shared" si="81"/>
        <v/>
      </c>
      <c r="R679" s="115" t="str">
        <f t="shared" si="82"/>
        <v/>
      </c>
      <c r="S679" s="115" t="str">
        <f t="shared" si="83"/>
        <v/>
      </c>
      <c r="T679" s="116" t="str">
        <f t="shared" si="84"/>
        <v/>
      </c>
      <c r="U679" s="120"/>
      <c r="V679" s="118"/>
    </row>
    <row r="680" spans="1:22" ht="13.2">
      <c r="A680" s="102"/>
      <c r="B680" s="102"/>
      <c r="C680" s="104"/>
      <c r="D680" s="105"/>
      <c r="E680" s="106"/>
      <c r="F680" s="107"/>
      <c r="G680" s="108"/>
      <c r="H680" s="109"/>
      <c r="I680" s="110"/>
      <c r="J680" s="110"/>
      <c r="K680" s="119"/>
      <c r="L680" s="111" t="str">
        <f t="shared" si="85"/>
        <v/>
      </c>
      <c r="M680" s="112" t="str">
        <f t="shared" si="85"/>
        <v/>
      </c>
      <c r="N680" s="112" t="str">
        <f t="shared" si="85"/>
        <v/>
      </c>
      <c r="O680" s="112" t="str">
        <f t="shared" si="79"/>
        <v xml:space="preserve"> </v>
      </c>
      <c r="P680" s="113" t="str">
        <f t="shared" si="80"/>
        <v/>
      </c>
      <c r="Q680" s="114" t="str">
        <f t="shared" si="81"/>
        <v/>
      </c>
      <c r="R680" s="115" t="str">
        <f t="shared" si="82"/>
        <v/>
      </c>
      <c r="S680" s="115" t="str">
        <f t="shared" si="83"/>
        <v/>
      </c>
      <c r="T680" s="116" t="str">
        <f t="shared" si="84"/>
        <v/>
      </c>
      <c r="U680" s="120"/>
      <c r="V680" s="118"/>
    </row>
    <row r="681" spans="1:22" ht="13.2">
      <c r="A681" s="102"/>
      <c r="B681" s="102"/>
      <c r="C681" s="104"/>
      <c r="D681" s="105"/>
      <c r="E681" s="106"/>
      <c r="F681" s="107"/>
      <c r="G681" s="108"/>
      <c r="H681" s="109"/>
      <c r="I681" s="110"/>
      <c r="J681" s="110"/>
      <c r="K681" s="119"/>
      <c r="L681" s="111" t="str">
        <f t="shared" si="85"/>
        <v/>
      </c>
      <c r="M681" s="112" t="str">
        <f t="shared" si="85"/>
        <v/>
      </c>
      <c r="N681" s="112" t="str">
        <f t="shared" si="85"/>
        <v/>
      </c>
      <c r="O681" s="112" t="str">
        <f t="shared" si="79"/>
        <v xml:space="preserve"> </v>
      </c>
      <c r="P681" s="113" t="str">
        <f t="shared" si="80"/>
        <v/>
      </c>
      <c r="Q681" s="114" t="str">
        <f t="shared" si="81"/>
        <v/>
      </c>
      <c r="R681" s="115" t="str">
        <f t="shared" si="82"/>
        <v/>
      </c>
      <c r="S681" s="115" t="str">
        <f t="shared" si="83"/>
        <v/>
      </c>
      <c r="T681" s="116" t="str">
        <f t="shared" si="84"/>
        <v/>
      </c>
      <c r="U681" s="120"/>
      <c r="V681" s="118"/>
    </row>
    <row r="682" spans="1:22" ht="13.2">
      <c r="A682" s="102"/>
      <c r="B682" s="102"/>
      <c r="C682" s="104"/>
      <c r="D682" s="105"/>
      <c r="E682" s="106"/>
      <c r="F682" s="107"/>
      <c r="G682" s="108"/>
      <c r="H682" s="109"/>
      <c r="I682" s="110"/>
      <c r="J682" s="110"/>
      <c r="K682" s="119"/>
      <c r="L682" s="111" t="str">
        <f t="shared" si="85"/>
        <v/>
      </c>
      <c r="M682" s="112" t="str">
        <f t="shared" si="85"/>
        <v/>
      </c>
      <c r="N682" s="112" t="str">
        <f t="shared" si="85"/>
        <v/>
      </c>
      <c r="O682" s="112" t="str">
        <f t="shared" si="79"/>
        <v xml:space="preserve"> </v>
      </c>
      <c r="P682" s="113" t="str">
        <f t="shared" si="80"/>
        <v/>
      </c>
      <c r="Q682" s="114" t="str">
        <f t="shared" si="81"/>
        <v/>
      </c>
      <c r="R682" s="115" t="str">
        <f t="shared" si="82"/>
        <v/>
      </c>
      <c r="S682" s="115" t="str">
        <f t="shared" si="83"/>
        <v/>
      </c>
      <c r="T682" s="116" t="str">
        <f t="shared" si="84"/>
        <v/>
      </c>
      <c r="U682" s="120"/>
      <c r="V682" s="118"/>
    </row>
    <row r="683" spans="1:22" ht="13.2">
      <c r="A683" s="102"/>
      <c r="B683" s="102"/>
      <c r="C683" s="104"/>
      <c r="D683" s="105"/>
      <c r="E683" s="106"/>
      <c r="F683" s="107"/>
      <c r="G683" s="108"/>
      <c r="H683" s="109"/>
      <c r="I683" s="110"/>
      <c r="J683" s="110"/>
      <c r="K683" s="119"/>
      <c r="L683" s="111" t="str">
        <f t="shared" si="85"/>
        <v/>
      </c>
      <c r="M683" s="112" t="str">
        <f t="shared" si="85"/>
        <v/>
      </c>
      <c r="N683" s="112" t="str">
        <f t="shared" si="85"/>
        <v/>
      </c>
      <c r="O683" s="112" t="str">
        <f t="shared" si="79"/>
        <v xml:space="preserve"> </v>
      </c>
      <c r="P683" s="113" t="str">
        <f t="shared" si="80"/>
        <v/>
      </c>
      <c r="Q683" s="114" t="str">
        <f t="shared" si="81"/>
        <v/>
      </c>
      <c r="R683" s="115" t="str">
        <f t="shared" si="82"/>
        <v/>
      </c>
      <c r="S683" s="115" t="str">
        <f t="shared" si="83"/>
        <v/>
      </c>
      <c r="T683" s="116" t="str">
        <f t="shared" si="84"/>
        <v/>
      </c>
      <c r="U683" s="120"/>
      <c r="V683" s="118"/>
    </row>
    <row r="684" spans="1:22" ht="13.2">
      <c r="A684" s="102"/>
      <c r="B684" s="102"/>
      <c r="C684" s="104"/>
      <c r="D684" s="105"/>
      <c r="E684" s="106"/>
      <c r="F684" s="107"/>
      <c r="G684" s="108"/>
      <c r="H684" s="109"/>
      <c r="I684" s="110"/>
      <c r="J684" s="110"/>
      <c r="K684" s="110"/>
      <c r="L684" s="111" t="str">
        <f t="shared" si="85"/>
        <v/>
      </c>
      <c r="M684" s="112" t="str">
        <f t="shared" si="85"/>
        <v/>
      </c>
      <c r="N684" s="112" t="str">
        <f t="shared" si="85"/>
        <v/>
      </c>
      <c r="O684" s="112" t="str">
        <f t="shared" si="79"/>
        <v xml:space="preserve"> </v>
      </c>
      <c r="P684" s="113" t="str">
        <f t="shared" si="80"/>
        <v/>
      </c>
      <c r="Q684" s="114" t="str">
        <f t="shared" si="81"/>
        <v/>
      </c>
      <c r="R684" s="115" t="str">
        <f t="shared" si="82"/>
        <v/>
      </c>
      <c r="S684" s="115" t="str">
        <f t="shared" si="83"/>
        <v/>
      </c>
      <c r="T684" s="116" t="str">
        <f t="shared" si="84"/>
        <v/>
      </c>
      <c r="U684" s="120"/>
      <c r="V684" s="118"/>
    </row>
    <row r="685" spans="1:22" ht="13.2">
      <c r="A685" s="102"/>
      <c r="B685" s="102"/>
      <c r="C685" s="104"/>
      <c r="D685" s="105"/>
      <c r="E685" s="106"/>
      <c r="F685" s="107"/>
      <c r="G685" s="108"/>
      <c r="H685" s="109"/>
      <c r="I685" s="110"/>
      <c r="J685" s="110"/>
      <c r="K685" s="119"/>
      <c r="L685" s="111" t="str">
        <f t="shared" si="85"/>
        <v/>
      </c>
      <c r="M685" s="112" t="str">
        <f t="shared" si="85"/>
        <v/>
      </c>
      <c r="N685" s="112" t="str">
        <f t="shared" si="85"/>
        <v/>
      </c>
      <c r="O685" s="112" t="str">
        <f t="shared" si="79"/>
        <v xml:space="preserve"> </v>
      </c>
      <c r="P685" s="113" t="str">
        <f t="shared" si="80"/>
        <v/>
      </c>
      <c r="Q685" s="114" t="str">
        <f t="shared" si="81"/>
        <v/>
      </c>
      <c r="R685" s="115" t="str">
        <f t="shared" si="82"/>
        <v/>
      </c>
      <c r="S685" s="115" t="str">
        <f t="shared" si="83"/>
        <v/>
      </c>
      <c r="T685" s="116" t="str">
        <f t="shared" si="84"/>
        <v/>
      </c>
      <c r="U685" s="120"/>
      <c r="V685" s="118"/>
    </row>
    <row r="686" spans="1:22" ht="13.2">
      <c r="A686" s="102"/>
      <c r="B686" s="102"/>
      <c r="C686" s="104"/>
      <c r="D686" s="105"/>
      <c r="E686" s="106"/>
      <c r="F686" s="107"/>
      <c r="G686" s="108"/>
      <c r="H686" s="109"/>
      <c r="I686" s="110"/>
      <c r="J686" s="110"/>
      <c r="K686" s="119"/>
      <c r="L686" s="111" t="str">
        <f t="shared" si="85"/>
        <v/>
      </c>
      <c r="M686" s="112" t="str">
        <f t="shared" si="85"/>
        <v/>
      </c>
      <c r="N686" s="112" t="str">
        <f t="shared" si="85"/>
        <v/>
      </c>
      <c r="O686" s="112" t="str">
        <f t="shared" si="79"/>
        <v xml:space="preserve"> </v>
      </c>
      <c r="P686" s="113" t="str">
        <f t="shared" si="80"/>
        <v/>
      </c>
      <c r="Q686" s="114" t="str">
        <f t="shared" si="81"/>
        <v/>
      </c>
      <c r="R686" s="115" t="str">
        <f t="shared" si="82"/>
        <v/>
      </c>
      <c r="S686" s="115" t="str">
        <f t="shared" si="83"/>
        <v/>
      </c>
      <c r="T686" s="116" t="str">
        <f t="shared" si="84"/>
        <v/>
      </c>
      <c r="U686" s="120"/>
      <c r="V686" s="118"/>
    </row>
    <row r="687" spans="1:22" ht="13.2">
      <c r="A687" s="102"/>
      <c r="B687" s="102"/>
      <c r="C687" s="104"/>
      <c r="D687" s="105"/>
      <c r="E687" s="106"/>
      <c r="F687" s="107"/>
      <c r="G687" s="108"/>
      <c r="H687" s="109"/>
      <c r="I687" s="110"/>
      <c r="J687" s="110"/>
      <c r="K687" s="119"/>
      <c r="L687" s="111" t="str">
        <f t="shared" si="85"/>
        <v/>
      </c>
      <c r="M687" s="112" t="str">
        <f t="shared" si="85"/>
        <v/>
      </c>
      <c r="N687" s="112" t="str">
        <f t="shared" si="85"/>
        <v/>
      </c>
      <c r="O687" s="112" t="str">
        <f t="shared" si="79"/>
        <v xml:space="preserve"> </v>
      </c>
      <c r="P687" s="113" t="str">
        <f t="shared" si="80"/>
        <v/>
      </c>
      <c r="Q687" s="114" t="str">
        <f t="shared" si="81"/>
        <v/>
      </c>
      <c r="R687" s="115" t="str">
        <f t="shared" si="82"/>
        <v/>
      </c>
      <c r="S687" s="115" t="str">
        <f t="shared" si="83"/>
        <v/>
      </c>
      <c r="T687" s="116" t="str">
        <f t="shared" si="84"/>
        <v/>
      </c>
      <c r="U687" s="120"/>
      <c r="V687" s="118"/>
    </row>
    <row r="688" spans="1:22" ht="13.2">
      <c r="A688" s="102"/>
      <c r="B688" s="102"/>
      <c r="C688" s="104"/>
      <c r="D688" s="105"/>
      <c r="E688" s="106"/>
      <c r="F688" s="107"/>
      <c r="G688" s="108"/>
      <c r="H688" s="109"/>
      <c r="I688" s="110"/>
      <c r="J688" s="110"/>
      <c r="K688" s="119"/>
      <c r="L688" s="111" t="str">
        <f t="shared" si="85"/>
        <v/>
      </c>
      <c r="M688" s="112" t="str">
        <f t="shared" si="85"/>
        <v/>
      </c>
      <c r="N688" s="112" t="str">
        <f t="shared" si="85"/>
        <v/>
      </c>
      <c r="O688" s="112" t="str">
        <f t="shared" si="79"/>
        <v xml:space="preserve"> </v>
      </c>
      <c r="P688" s="113" t="str">
        <f t="shared" si="80"/>
        <v/>
      </c>
      <c r="Q688" s="114" t="str">
        <f t="shared" si="81"/>
        <v/>
      </c>
      <c r="R688" s="115" t="str">
        <f t="shared" si="82"/>
        <v/>
      </c>
      <c r="S688" s="115" t="str">
        <f t="shared" si="83"/>
        <v/>
      </c>
      <c r="T688" s="116" t="str">
        <f t="shared" si="84"/>
        <v/>
      </c>
      <c r="U688" s="120"/>
      <c r="V688" s="118"/>
    </row>
    <row r="689" spans="1:22" ht="13.2">
      <c r="A689" s="102"/>
      <c r="B689" s="103"/>
      <c r="C689" s="104"/>
      <c r="D689" s="105"/>
      <c r="E689" s="106"/>
      <c r="F689" s="107"/>
      <c r="G689" s="108"/>
      <c r="H689" s="121"/>
      <c r="I689" s="122"/>
      <c r="J689" s="122"/>
      <c r="K689" s="123"/>
      <c r="L689" s="111" t="str">
        <f t="shared" si="85"/>
        <v/>
      </c>
      <c r="M689" s="112" t="str">
        <f t="shared" si="85"/>
        <v/>
      </c>
      <c r="N689" s="112" t="str">
        <f t="shared" si="85"/>
        <v/>
      </c>
      <c r="O689" s="112" t="str">
        <f t="shared" si="79"/>
        <v xml:space="preserve"> </v>
      </c>
      <c r="P689" s="113" t="str">
        <f t="shared" si="80"/>
        <v/>
      </c>
      <c r="Q689" s="114" t="str">
        <f t="shared" si="81"/>
        <v/>
      </c>
      <c r="R689" s="115" t="str">
        <f t="shared" si="82"/>
        <v/>
      </c>
      <c r="S689" s="115" t="str">
        <f t="shared" si="83"/>
        <v/>
      </c>
      <c r="T689" s="116" t="str">
        <f t="shared" si="84"/>
        <v/>
      </c>
      <c r="U689" s="120"/>
      <c r="V689" s="118"/>
    </row>
    <row r="690" spans="1:22" ht="13.2">
      <c r="A690" s="102"/>
      <c r="B690" s="103"/>
      <c r="C690" s="104"/>
      <c r="D690" s="105"/>
      <c r="E690" s="106"/>
      <c r="F690" s="107"/>
      <c r="G690" s="108"/>
      <c r="H690" s="121"/>
      <c r="I690" s="122"/>
      <c r="J690" s="122"/>
      <c r="K690" s="123"/>
      <c r="L690" s="111" t="str">
        <f t="shared" si="85"/>
        <v/>
      </c>
      <c r="M690" s="112" t="str">
        <f t="shared" si="85"/>
        <v/>
      </c>
      <c r="N690" s="112" t="str">
        <f t="shared" si="85"/>
        <v/>
      </c>
      <c r="O690" s="112" t="str">
        <f t="shared" si="79"/>
        <v xml:space="preserve"> </v>
      </c>
      <c r="P690" s="113" t="str">
        <f t="shared" si="80"/>
        <v/>
      </c>
      <c r="Q690" s="114" t="str">
        <f t="shared" si="81"/>
        <v/>
      </c>
      <c r="R690" s="115" t="str">
        <f t="shared" si="82"/>
        <v/>
      </c>
      <c r="S690" s="115" t="str">
        <f t="shared" si="83"/>
        <v/>
      </c>
      <c r="T690" s="116" t="str">
        <f t="shared" si="84"/>
        <v/>
      </c>
      <c r="U690" s="120"/>
      <c r="V690" s="118"/>
    </row>
    <row r="691" spans="1:22" ht="13.2">
      <c r="A691" s="102"/>
      <c r="B691" s="103"/>
      <c r="C691" s="104"/>
      <c r="D691" s="105"/>
      <c r="E691" s="106"/>
      <c r="F691" s="107"/>
      <c r="G691" s="108"/>
      <c r="H691" s="121"/>
      <c r="I691" s="122"/>
      <c r="J691" s="122"/>
      <c r="K691" s="123"/>
      <c r="L691" s="111" t="str">
        <f t="shared" si="85"/>
        <v/>
      </c>
      <c r="M691" s="112" t="str">
        <f t="shared" si="85"/>
        <v/>
      </c>
      <c r="N691" s="112" t="str">
        <f t="shared" si="85"/>
        <v/>
      </c>
      <c r="O691" s="112" t="str">
        <f t="shared" si="79"/>
        <v xml:space="preserve"> </v>
      </c>
      <c r="P691" s="113" t="str">
        <f t="shared" si="80"/>
        <v/>
      </c>
      <c r="Q691" s="114" t="str">
        <f t="shared" si="81"/>
        <v/>
      </c>
      <c r="R691" s="115" t="str">
        <f t="shared" si="82"/>
        <v/>
      </c>
      <c r="S691" s="115" t="str">
        <f t="shared" si="83"/>
        <v/>
      </c>
      <c r="T691" s="116" t="str">
        <f t="shared" si="84"/>
        <v/>
      </c>
      <c r="U691" s="120"/>
      <c r="V691" s="118"/>
    </row>
    <row r="692" spans="1:22" ht="13.2">
      <c r="A692" s="102"/>
      <c r="B692" s="102"/>
      <c r="C692" s="103"/>
      <c r="D692" s="105"/>
      <c r="E692" s="106"/>
      <c r="F692" s="107"/>
      <c r="G692" s="108"/>
      <c r="H692" s="109"/>
      <c r="I692" s="110"/>
      <c r="J692" s="110"/>
      <c r="K692" s="119"/>
      <c r="L692" s="111" t="str">
        <f t="shared" si="85"/>
        <v/>
      </c>
      <c r="M692" s="112" t="str">
        <f t="shared" si="85"/>
        <v/>
      </c>
      <c r="N692" s="112" t="str">
        <f t="shared" si="85"/>
        <v/>
      </c>
      <c r="O692" s="112" t="str">
        <f t="shared" si="79"/>
        <v xml:space="preserve"> </v>
      </c>
      <c r="P692" s="113" t="str">
        <f t="shared" si="80"/>
        <v/>
      </c>
      <c r="Q692" s="114" t="str">
        <f t="shared" si="81"/>
        <v/>
      </c>
      <c r="R692" s="115" t="str">
        <f t="shared" si="82"/>
        <v/>
      </c>
      <c r="S692" s="115" t="str">
        <f t="shared" si="83"/>
        <v/>
      </c>
      <c r="T692" s="116" t="str">
        <f t="shared" si="84"/>
        <v/>
      </c>
      <c r="U692" s="120"/>
      <c r="V692" s="118"/>
    </row>
    <row r="693" spans="1:22" ht="13.2">
      <c r="A693" s="102"/>
      <c r="B693" s="102"/>
      <c r="C693" s="103"/>
      <c r="D693" s="105"/>
      <c r="E693" s="106"/>
      <c r="F693" s="107"/>
      <c r="G693" s="108"/>
      <c r="H693" s="109"/>
      <c r="I693" s="110"/>
      <c r="J693" s="110"/>
      <c r="K693" s="119"/>
      <c r="L693" s="111" t="str">
        <f t="shared" si="85"/>
        <v/>
      </c>
      <c r="M693" s="112" t="str">
        <f t="shared" si="85"/>
        <v/>
      </c>
      <c r="N693" s="112" t="str">
        <f t="shared" si="85"/>
        <v/>
      </c>
      <c r="O693" s="112" t="str">
        <f t="shared" si="79"/>
        <v xml:space="preserve"> </v>
      </c>
      <c r="P693" s="113" t="str">
        <f t="shared" si="80"/>
        <v/>
      </c>
      <c r="Q693" s="114" t="str">
        <f t="shared" si="81"/>
        <v/>
      </c>
      <c r="R693" s="115" t="str">
        <f t="shared" si="82"/>
        <v/>
      </c>
      <c r="S693" s="115" t="str">
        <f t="shared" si="83"/>
        <v/>
      </c>
      <c r="T693" s="116" t="str">
        <f t="shared" si="84"/>
        <v/>
      </c>
      <c r="U693" s="120"/>
      <c r="V693" s="118"/>
    </row>
    <row r="694" spans="1:22" ht="13.2">
      <c r="A694" s="102"/>
      <c r="B694" s="102"/>
      <c r="C694" s="104"/>
      <c r="D694" s="105"/>
      <c r="E694" s="106"/>
      <c r="F694" s="107"/>
      <c r="G694" s="108"/>
      <c r="H694" s="109"/>
      <c r="I694" s="110"/>
      <c r="J694" s="110"/>
      <c r="K694" s="119"/>
      <c r="L694" s="111" t="str">
        <f t="shared" si="85"/>
        <v/>
      </c>
      <c r="M694" s="112" t="str">
        <f t="shared" si="85"/>
        <v/>
      </c>
      <c r="N694" s="112" t="str">
        <f t="shared" si="85"/>
        <v/>
      </c>
      <c r="O694" s="112" t="str">
        <f t="shared" si="79"/>
        <v xml:space="preserve"> </v>
      </c>
      <c r="P694" s="113" t="str">
        <f t="shared" si="80"/>
        <v/>
      </c>
      <c r="Q694" s="114" t="str">
        <f t="shared" si="81"/>
        <v/>
      </c>
      <c r="R694" s="115" t="str">
        <f t="shared" si="82"/>
        <v/>
      </c>
      <c r="S694" s="115" t="str">
        <f t="shared" si="83"/>
        <v/>
      </c>
      <c r="T694" s="116" t="str">
        <f t="shared" si="84"/>
        <v/>
      </c>
      <c r="U694" s="120"/>
      <c r="V694" s="118"/>
    </row>
    <row r="695" spans="1:22" ht="13.2">
      <c r="A695" s="102"/>
      <c r="B695" s="102"/>
      <c r="C695" s="104"/>
      <c r="D695" s="105"/>
      <c r="E695" s="106"/>
      <c r="F695" s="107"/>
      <c r="G695" s="108"/>
      <c r="H695" s="109"/>
      <c r="I695" s="110"/>
      <c r="J695" s="110"/>
      <c r="K695" s="119"/>
      <c r="L695" s="111" t="str">
        <f t="shared" si="85"/>
        <v/>
      </c>
      <c r="M695" s="112" t="str">
        <f t="shared" si="85"/>
        <v/>
      </c>
      <c r="N695" s="112" t="str">
        <f t="shared" si="85"/>
        <v/>
      </c>
      <c r="O695" s="112" t="str">
        <f t="shared" si="79"/>
        <v xml:space="preserve"> </v>
      </c>
      <c r="P695" s="113" t="str">
        <f t="shared" si="80"/>
        <v/>
      </c>
      <c r="Q695" s="114" t="str">
        <f t="shared" si="81"/>
        <v/>
      </c>
      <c r="R695" s="115" t="str">
        <f t="shared" si="82"/>
        <v/>
      </c>
      <c r="S695" s="115" t="str">
        <f t="shared" si="83"/>
        <v/>
      </c>
      <c r="T695" s="116" t="str">
        <f t="shared" si="84"/>
        <v/>
      </c>
      <c r="U695" s="120"/>
      <c r="V695" s="118"/>
    </row>
    <row r="696" spans="1:22" ht="13.2">
      <c r="A696" s="102"/>
      <c r="B696" s="102"/>
      <c r="C696" s="104"/>
      <c r="D696" s="105"/>
      <c r="E696" s="106"/>
      <c r="F696" s="107"/>
      <c r="G696" s="108"/>
      <c r="H696" s="109"/>
      <c r="I696" s="110"/>
      <c r="J696" s="110"/>
      <c r="K696" s="119"/>
      <c r="L696" s="111" t="str">
        <f t="shared" si="85"/>
        <v/>
      </c>
      <c r="M696" s="112" t="str">
        <f t="shared" si="85"/>
        <v/>
      </c>
      <c r="N696" s="112" t="str">
        <f t="shared" si="85"/>
        <v/>
      </c>
      <c r="O696" s="112" t="str">
        <f t="shared" si="79"/>
        <v xml:space="preserve"> </v>
      </c>
      <c r="P696" s="113" t="str">
        <f t="shared" si="80"/>
        <v/>
      </c>
      <c r="Q696" s="114" t="str">
        <f t="shared" si="81"/>
        <v/>
      </c>
      <c r="R696" s="115" t="str">
        <f t="shared" si="82"/>
        <v/>
      </c>
      <c r="S696" s="115" t="str">
        <f t="shared" si="83"/>
        <v/>
      </c>
      <c r="T696" s="116" t="str">
        <f t="shared" si="84"/>
        <v/>
      </c>
      <c r="U696" s="120"/>
      <c r="V696" s="118"/>
    </row>
    <row r="697" spans="1:22" ht="13.2">
      <c r="A697" s="102"/>
      <c r="B697" s="102"/>
      <c r="C697" s="104"/>
      <c r="D697" s="105"/>
      <c r="E697" s="106"/>
      <c r="F697" s="107"/>
      <c r="G697" s="108"/>
      <c r="H697" s="109"/>
      <c r="I697" s="110"/>
      <c r="J697" s="110"/>
      <c r="K697" s="119"/>
      <c r="L697" s="111" t="str">
        <f t="shared" si="85"/>
        <v/>
      </c>
      <c r="M697" s="112" t="str">
        <f t="shared" si="85"/>
        <v/>
      </c>
      <c r="N697" s="112" t="str">
        <f t="shared" si="85"/>
        <v/>
      </c>
      <c r="O697" s="112" t="str">
        <f t="shared" si="79"/>
        <v xml:space="preserve"> </v>
      </c>
      <c r="P697" s="113" t="str">
        <f t="shared" si="80"/>
        <v/>
      </c>
      <c r="Q697" s="114" t="str">
        <f t="shared" si="81"/>
        <v/>
      </c>
      <c r="R697" s="115" t="str">
        <f t="shared" si="82"/>
        <v/>
      </c>
      <c r="S697" s="115" t="str">
        <f t="shared" si="83"/>
        <v/>
      </c>
      <c r="T697" s="116" t="str">
        <f t="shared" si="84"/>
        <v/>
      </c>
      <c r="U697" s="120"/>
      <c r="V697" s="118"/>
    </row>
    <row r="698" spans="1:22" ht="13.2">
      <c r="A698" s="102"/>
      <c r="B698" s="102"/>
      <c r="C698" s="104"/>
      <c r="D698" s="105"/>
      <c r="E698" s="106"/>
      <c r="F698" s="107"/>
      <c r="G698" s="108"/>
      <c r="H698" s="109"/>
      <c r="I698" s="110"/>
      <c r="J698" s="110"/>
      <c r="K698" s="119"/>
      <c r="L698" s="111" t="str">
        <f t="shared" si="85"/>
        <v/>
      </c>
      <c r="M698" s="112" t="str">
        <f t="shared" si="85"/>
        <v/>
      </c>
      <c r="N698" s="112" t="str">
        <f t="shared" si="85"/>
        <v/>
      </c>
      <c r="O698" s="112" t="str">
        <f t="shared" si="79"/>
        <v xml:space="preserve"> </v>
      </c>
      <c r="P698" s="113" t="str">
        <f t="shared" si="80"/>
        <v/>
      </c>
      <c r="Q698" s="114" t="str">
        <f t="shared" si="81"/>
        <v/>
      </c>
      <c r="R698" s="115" t="str">
        <f t="shared" si="82"/>
        <v/>
      </c>
      <c r="S698" s="115" t="str">
        <f t="shared" si="83"/>
        <v/>
      </c>
      <c r="T698" s="116" t="str">
        <f t="shared" si="84"/>
        <v/>
      </c>
      <c r="U698" s="120"/>
      <c r="V698" s="118"/>
    </row>
    <row r="699" spans="1:22" ht="13.2">
      <c r="A699" s="102"/>
      <c r="B699" s="102"/>
      <c r="C699" s="104"/>
      <c r="D699" s="105"/>
      <c r="E699" s="106"/>
      <c r="F699" s="107"/>
      <c r="G699" s="108"/>
      <c r="H699" s="109"/>
      <c r="I699" s="110"/>
      <c r="J699" s="110"/>
      <c r="K699" s="110"/>
      <c r="L699" s="111" t="str">
        <f t="shared" si="85"/>
        <v/>
      </c>
      <c r="M699" s="112" t="str">
        <f t="shared" si="85"/>
        <v/>
      </c>
      <c r="N699" s="112" t="str">
        <f t="shared" si="85"/>
        <v/>
      </c>
      <c r="O699" s="112" t="str">
        <f t="shared" si="79"/>
        <v xml:space="preserve"> </v>
      </c>
      <c r="P699" s="113" t="str">
        <f t="shared" si="80"/>
        <v/>
      </c>
      <c r="Q699" s="114" t="str">
        <f t="shared" si="81"/>
        <v/>
      </c>
      <c r="R699" s="115" t="str">
        <f t="shared" si="82"/>
        <v/>
      </c>
      <c r="S699" s="115" t="str">
        <f t="shared" si="83"/>
        <v/>
      </c>
      <c r="T699" s="116" t="str">
        <f t="shared" si="84"/>
        <v/>
      </c>
      <c r="U699" s="120"/>
      <c r="V699" s="118"/>
    </row>
    <row r="700" spans="1:22" ht="13.2">
      <c r="A700" s="102"/>
      <c r="B700" s="102"/>
      <c r="C700" s="104"/>
      <c r="D700" s="105"/>
      <c r="E700" s="106"/>
      <c r="F700" s="107"/>
      <c r="G700" s="108"/>
      <c r="H700" s="109"/>
      <c r="I700" s="110"/>
      <c r="J700" s="110"/>
      <c r="K700" s="119"/>
      <c r="L700" s="111" t="str">
        <f t="shared" si="85"/>
        <v/>
      </c>
      <c r="M700" s="112" t="str">
        <f t="shared" si="85"/>
        <v/>
      </c>
      <c r="N700" s="112" t="str">
        <f t="shared" si="85"/>
        <v/>
      </c>
      <c r="O700" s="112" t="str">
        <f t="shared" si="79"/>
        <v xml:space="preserve"> </v>
      </c>
      <c r="P700" s="113" t="str">
        <f t="shared" si="80"/>
        <v/>
      </c>
      <c r="Q700" s="114" t="str">
        <f t="shared" si="81"/>
        <v/>
      </c>
      <c r="R700" s="115" t="str">
        <f t="shared" si="82"/>
        <v/>
      </c>
      <c r="S700" s="115" t="str">
        <f t="shared" si="83"/>
        <v/>
      </c>
      <c r="T700" s="116" t="str">
        <f t="shared" si="84"/>
        <v/>
      </c>
      <c r="U700" s="120"/>
      <c r="V700" s="118"/>
    </row>
    <row r="701" spans="1:22" ht="13.2">
      <c r="A701" s="102"/>
      <c r="B701" s="102"/>
      <c r="C701" s="104"/>
      <c r="D701" s="105"/>
      <c r="E701" s="106"/>
      <c r="F701" s="107"/>
      <c r="G701" s="108"/>
      <c r="H701" s="109"/>
      <c r="I701" s="110"/>
      <c r="J701" s="110"/>
      <c r="K701" s="119"/>
      <c r="L701" s="111" t="str">
        <f t="shared" si="85"/>
        <v/>
      </c>
      <c r="M701" s="112" t="str">
        <f t="shared" si="85"/>
        <v/>
      </c>
      <c r="N701" s="112" t="str">
        <f t="shared" si="85"/>
        <v/>
      </c>
      <c r="O701" s="112" t="str">
        <f t="shared" si="79"/>
        <v xml:space="preserve"> </v>
      </c>
      <c r="P701" s="113" t="str">
        <f t="shared" si="80"/>
        <v/>
      </c>
      <c r="Q701" s="114" t="str">
        <f t="shared" si="81"/>
        <v/>
      </c>
      <c r="R701" s="115" t="str">
        <f t="shared" si="82"/>
        <v/>
      </c>
      <c r="S701" s="115" t="str">
        <f t="shared" si="83"/>
        <v/>
      </c>
      <c r="T701" s="116" t="str">
        <f t="shared" si="84"/>
        <v/>
      </c>
      <c r="U701" s="120"/>
      <c r="V701" s="118"/>
    </row>
    <row r="702" spans="1:22" ht="13.2">
      <c r="A702" s="102"/>
      <c r="B702" s="102"/>
      <c r="C702" s="104"/>
      <c r="D702" s="105"/>
      <c r="E702" s="106"/>
      <c r="F702" s="107"/>
      <c r="G702" s="108"/>
      <c r="H702" s="109"/>
      <c r="I702" s="110"/>
      <c r="J702" s="110"/>
      <c r="K702" s="119"/>
      <c r="L702" s="111" t="str">
        <f t="shared" si="85"/>
        <v/>
      </c>
      <c r="M702" s="112" t="str">
        <f t="shared" si="85"/>
        <v/>
      </c>
      <c r="N702" s="112" t="str">
        <f t="shared" si="85"/>
        <v/>
      </c>
      <c r="O702" s="112" t="str">
        <f t="shared" ref="O702:O765" si="86">IF(ISERR(I702/I702)=TRUE," ",AVERAGE(I702:K702))</f>
        <v xml:space="preserve"> </v>
      </c>
      <c r="P702" s="113" t="str">
        <f t="shared" ref="P702:P765" si="87">IF(ISBLANK($E702),"",IF(ISNUMBER(F702)=FALSE,"BAD TOL", IF(F702=0,"N/A",IF(ISERR(I702/I702)=TRUE,"BAD INSP",IF(AND(ISNUMBER($I702),ISNUMBER($J702),ISNUMBER($K702))=FALSE,"BAD INSP",IF(MAX($I702:$K702)&lt;$E702,0,(MAX($I702:$K702)-$E702)/$F702))))))</f>
        <v/>
      </c>
      <c r="Q702" s="114" t="str">
        <f t="shared" ref="Q702:Q765" si="88">IF(ISBLANK($E702),"",IF(ISNUMBER(G702)=FALSE,"BAD TOL",IF(G702=0,"N/A",IF(ISERR(I702/I702)=TRUE,"BAD INSP",IF(AND(ISNUMBER($I702),ISNUMBER($J702),ISNUMBER($K702))=FALSE,"BAD INSP",IF(MIN(I702:K702)&gt;$E702,0,($E702-MIN(I702:K702))/G702))))))</f>
        <v/>
      </c>
      <c r="R702" s="115" t="str">
        <f t="shared" ref="R702:R765" si="89">IF(ISBLANK($E702),"",IF(ISNUMBER($P702)=TRUE,IF($P702&gt;0.651,IF($P702&gt;1.001,"Reject","Alert")," "),IF(AND(F702=0, ISNUMBER(F702)),IF(MAX(I702:K702)&gt;(E702+F702),"Reject",IF(MAX(I702:K702)=(E702+F702),"Alert","")),"Reject")))</f>
        <v/>
      </c>
      <c r="S702" s="115" t="str">
        <f t="shared" ref="S702:S765" si="90">IF(ISBLANK($E702),"",IF(ISNUMBER($Q702)=TRUE,IF($Q702&gt;0.651,IF($Q702&gt;1.001,"Reject","Alert")," "),IF(AND(G702=0, ISNUMBER(G702)),IF(MIN(I702:K702)&lt;(E702-G702),"Reject",IF(MIN(I702:K702)=(E702-G702),"Alert","")),"Reject")))</f>
        <v/>
      </c>
      <c r="T702" s="116" t="str">
        <f t="shared" ref="T702:T765" si="91">IF(OR(R702="Reject",S702="Reject"),"Reject",IF(OR(R702="Alert",S702="Alert"),"Alert", ""))</f>
        <v/>
      </c>
      <c r="U702" s="120"/>
      <c r="V702" s="118"/>
    </row>
    <row r="703" spans="1:22" ht="13.2">
      <c r="A703" s="102"/>
      <c r="B703" s="102"/>
      <c r="C703" s="104"/>
      <c r="D703" s="105"/>
      <c r="E703" s="106"/>
      <c r="F703" s="107"/>
      <c r="G703" s="108"/>
      <c r="H703" s="109"/>
      <c r="I703" s="110"/>
      <c r="J703" s="110"/>
      <c r="K703" s="119"/>
      <c r="L703" s="111" t="str">
        <f t="shared" si="85"/>
        <v/>
      </c>
      <c r="M703" s="112" t="str">
        <f t="shared" si="85"/>
        <v/>
      </c>
      <c r="N703" s="112" t="str">
        <f t="shared" si="85"/>
        <v/>
      </c>
      <c r="O703" s="112" t="str">
        <f t="shared" si="86"/>
        <v xml:space="preserve"> </v>
      </c>
      <c r="P703" s="113" t="str">
        <f t="shared" si="87"/>
        <v/>
      </c>
      <c r="Q703" s="114" t="str">
        <f t="shared" si="88"/>
        <v/>
      </c>
      <c r="R703" s="115" t="str">
        <f t="shared" si="89"/>
        <v/>
      </c>
      <c r="S703" s="115" t="str">
        <f t="shared" si="90"/>
        <v/>
      </c>
      <c r="T703" s="116" t="str">
        <f t="shared" si="91"/>
        <v/>
      </c>
      <c r="U703" s="120"/>
      <c r="V703" s="118"/>
    </row>
    <row r="704" spans="1:22" ht="13.2">
      <c r="A704" s="102"/>
      <c r="B704" s="103"/>
      <c r="C704" s="104"/>
      <c r="D704" s="105"/>
      <c r="E704" s="106"/>
      <c r="F704" s="107"/>
      <c r="G704" s="108"/>
      <c r="H704" s="121"/>
      <c r="I704" s="122"/>
      <c r="J704" s="122"/>
      <c r="K704" s="123"/>
      <c r="L704" s="111" t="str">
        <f t="shared" si="85"/>
        <v/>
      </c>
      <c r="M704" s="112" t="str">
        <f t="shared" si="85"/>
        <v/>
      </c>
      <c r="N704" s="112" t="str">
        <f t="shared" si="85"/>
        <v/>
      </c>
      <c r="O704" s="112" t="str">
        <f t="shared" si="86"/>
        <v xml:space="preserve"> </v>
      </c>
      <c r="P704" s="113" t="str">
        <f t="shared" si="87"/>
        <v/>
      </c>
      <c r="Q704" s="114" t="str">
        <f t="shared" si="88"/>
        <v/>
      </c>
      <c r="R704" s="115" t="str">
        <f t="shared" si="89"/>
        <v/>
      </c>
      <c r="S704" s="115" t="str">
        <f t="shared" si="90"/>
        <v/>
      </c>
      <c r="T704" s="116" t="str">
        <f t="shared" si="91"/>
        <v/>
      </c>
      <c r="U704" s="120"/>
      <c r="V704" s="118"/>
    </row>
    <row r="705" spans="1:22" ht="13.2">
      <c r="A705" s="102"/>
      <c r="B705" s="103"/>
      <c r="C705" s="104"/>
      <c r="D705" s="105"/>
      <c r="E705" s="106"/>
      <c r="F705" s="107"/>
      <c r="G705" s="108"/>
      <c r="H705" s="121"/>
      <c r="I705" s="122"/>
      <c r="J705" s="122"/>
      <c r="K705" s="123"/>
      <c r="L705" s="111" t="str">
        <f t="shared" si="85"/>
        <v/>
      </c>
      <c r="M705" s="112" t="str">
        <f t="shared" si="85"/>
        <v/>
      </c>
      <c r="N705" s="112" t="str">
        <f t="shared" si="85"/>
        <v/>
      </c>
      <c r="O705" s="112" t="str">
        <f t="shared" si="86"/>
        <v xml:space="preserve"> </v>
      </c>
      <c r="P705" s="113" t="str">
        <f t="shared" si="87"/>
        <v/>
      </c>
      <c r="Q705" s="114" t="str">
        <f t="shared" si="88"/>
        <v/>
      </c>
      <c r="R705" s="115" t="str">
        <f t="shared" si="89"/>
        <v/>
      </c>
      <c r="S705" s="115" t="str">
        <f t="shared" si="90"/>
        <v/>
      </c>
      <c r="T705" s="116" t="str">
        <f t="shared" si="91"/>
        <v/>
      </c>
      <c r="U705" s="120"/>
      <c r="V705" s="118"/>
    </row>
    <row r="706" spans="1:22" ht="13.2">
      <c r="A706" s="102"/>
      <c r="B706" s="103"/>
      <c r="C706" s="104"/>
      <c r="D706" s="105"/>
      <c r="E706" s="106"/>
      <c r="F706" s="107"/>
      <c r="G706" s="108"/>
      <c r="H706" s="121"/>
      <c r="I706" s="122"/>
      <c r="J706" s="122"/>
      <c r="K706" s="123"/>
      <c r="L706" s="111" t="str">
        <f t="shared" si="85"/>
        <v/>
      </c>
      <c r="M706" s="112" t="str">
        <f t="shared" si="85"/>
        <v/>
      </c>
      <c r="N706" s="112" t="str">
        <f t="shared" si="85"/>
        <v/>
      </c>
      <c r="O706" s="112" t="str">
        <f t="shared" si="86"/>
        <v xml:space="preserve"> </v>
      </c>
      <c r="P706" s="113" t="str">
        <f t="shared" si="87"/>
        <v/>
      </c>
      <c r="Q706" s="114" t="str">
        <f t="shared" si="88"/>
        <v/>
      </c>
      <c r="R706" s="115" t="str">
        <f t="shared" si="89"/>
        <v/>
      </c>
      <c r="S706" s="115" t="str">
        <f t="shared" si="90"/>
        <v/>
      </c>
      <c r="T706" s="116" t="str">
        <f t="shared" si="91"/>
        <v/>
      </c>
      <c r="U706" s="120"/>
      <c r="V706" s="118"/>
    </row>
    <row r="707" spans="1:22" ht="13.2">
      <c r="A707" s="102"/>
      <c r="B707" s="102"/>
      <c r="C707" s="103"/>
      <c r="D707" s="105"/>
      <c r="E707" s="106"/>
      <c r="F707" s="107"/>
      <c r="G707" s="108"/>
      <c r="H707" s="109"/>
      <c r="I707" s="110"/>
      <c r="J707" s="110"/>
      <c r="K707" s="119"/>
      <c r="L707" s="111" t="str">
        <f t="shared" si="85"/>
        <v/>
      </c>
      <c r="M707" s="112" t="str">
        <f t="shared" si="85"/>
        <v/>
      </c>
      <c r="N707" s="112" t="str">
        <f t="shared" si="85"/>
        <v/>
      </c>
      <c r="O707" s="112" t="str">
        <f t="shared" si="86"/>
        <v xml:space="preserve"> </v>
      </c>
      <c r="P707" s="113" t="str">
        <f t="shared" si="87"/>
        <v/>
      </c>
      <c r="Q707" s="114" t="str">
        <f t="shared" si="88"/>
        <v/>
      </c>
      <c r="R707" s="115" t="str">
        <f t="shared" si="89"/>
        <v/>
      </c>
      <c r="S707" s="115" t="str">
        <f t="shared" si="90"/>
        <v/>
      </c>
      <c r="T707" s="116" t="str">
        <f t="shared" si="91"/>
        <v/>
      </c>
      <c r="U707" s="120"/>
      <c r="V707" s="118"/>
    </row>
    <row r="708" spans="1:22" ht="13.2">
      <c r="A708" s="102"/>
      <c r="B708" s="102"/>
      <c r="C708" s="103"/>
      <c r="D708" s="105"/>
      <c r="E708" s="106"/>
      <c r="F708" s="107"/>
      <c r="G708" s="108"/>
      <c r="H708" s="109"/>
      <c r="I708" s="110"/>
      <c r="J708" s="110"/>
      <c r="K708" s="119"/>
      <c r="L708" s="111" t="str">
        <f t="shared" si="85"/>
        <v/>
      </c>
      <c r="M708" s="112" t="str">
        <f t="shared" si="85"/>
        <v/>
      </c>
      <c r="N708" s="112" t="str">
        <f t="shared" si="85"/>
        <v/>
      </c>
      <c r="O708" s="112" t="str">
        <f t="shared" si="86"/>
        <v xml:space="preserve"> </v>
      </c>
      <c r="P708" s="113" t="str">
        <f t="shared" si="87"/>
        <v/>
      </c>
      <c r="Q708" s="114" t="str">
        <f t="shared" si="88"/>
        <v/>
      </c>
      <c r="R708" s="115" t="str">
        <f t="shared" si="89"/>
        <v/>
      </c>
      <c r="S708" s="115" t="str">
        <f t="shared" si="90"/>
        <v/>
      </c>
      <c r="T708" s="116" t="str">
        <f t="shared" si="91"/>
        <v/>
      </c>
      <c r="U708" s="120"/>
      <c r="V708" s="118"/>
    </row>
    <row r="709" spans="1:22" ht="13.2">
      <c r="A709" s="102"/>
      <c r="B709" s="102"/>
      <c r="C709" s="104"/>
      <c r="D709" s="105"/>
      <c r="E709" s="106"/>
      <c r="F709" s="107"/>
      <c r="G709" s="108"/>
      <c r="H709" s="109"/>
      <c r="I709" s="110"/>
      <c r="J709" s="110"/>
      <c r="K709" s="119"/>
      <c r="L709" s="111" t="str">
        <f t="shared" si="85"/>
        <v/>
      </c>
      <c r="M709" s="112" t="str">
        <f t="shared" si="85"/>
        <v/>
      </c>
      <c r="N709" s="112" t="str">
        <f t="shared" si="85"/>
        <v/>
      </c>
      <c r="O709" s="112" t="str">
        <f t="shared" si="86"/>
        <v xml:space="preserve"> </v>
      </c>
      <c r="P709" s="113" t="str">
        <f t="shared" si="87"/>
        <v/>
      </c>
      <c r="Q709" s="114" t="str">
        <f t="shared" si="88"/>
        <v/>
      </c>
      <c r="R709" s="115" t="str">
        <f t="shared" si="89"/>
        <v/>
      </c>
      <c r="S709" s="115" t="str">
        <f t="shared" si="90"/>
        <v/>
      </c>
      <c r="T709" s="116" t="str">
        <f t="shared" si="91"/>
        <v/>
      </c>
      <c r="U709" s="120"/>
      <c r="V709" s="118"/>
    </row>
    <row r="710" spans="1:22" ht="13.2">
      <c r="A710" s="102"/>
      <c r="B710" s="102"/>
      <c r="C710" s="104"/>
      <c r="D710" s="105"/>
      <c r="E710" s="106"/>
      <c r="F710" s="107"/>
      <c r="G710" s="108"/>
      <c r="H710" s="109"/>
      <c r="I710" s="110"/>
      <c r="J710" s="110"/>
      <c r="K710" s="119"/>
      <c r="L710" s="111" t="str">
        <f t="shared" si="85"/>
        <v/>
      </c>
      <c r="M710" s="112" t="str">
        <f t="shared" si="85"/>
        <v/>
      </c>
      <c r="N710" s="112" t="str">
        <f t="shared" si="85"/>
        <v/>
      </c>
      <c r="O710" s="112" t="str">
        <f t="shared" si="86"/>
        <v xml:space="preserve"> </v>
      </c>
      <c r="P710" s="113" t="str">
        <f t="shared" si="87"/>
        <v/>
      </c>
      <c r="Q710" s="114" t="str">
        <f t="shared" si="88"/>
        <v/>
      </c>
      <c r="R710" s="115" t="str">
        <f t="shared" si="89"/>
        <v/>
      </c>
      <c r="S710" s="115" t="str">
        <f t="shared" si="90"/>
        <v/>
      </c>
      <c r="T710" s="116" t="str">
        <f t="shared" si="91"/>
        <v/>
      </c>
      <c r="U710" s="120"/>
      <c r="V710" s="118"/>
    </row>
    <row r="711" spans="1:22" ht="13.2">
      <c r="A711" s="102"/>
      <c r="B711" s="102"/>
      <c r="C711" s="104"/>
      <c r="D711" s="105"/>
      <c r="E711" s="106"/>
      <c r="F711" s="107"/>
      <c r="G711" s="108"/>
      <c r="H711" s="109"/>
      <c r="I711" s="110"/>
      <c r="J711" s="110"/>
      <c r="K711" s="119"/>
      <c r="L711" s="111" t="str">
        <f t="shared" si="85"/>
        <v/>
      </c>
      <c r="M711" s="112" t="str">
        <f t="shared" si="85"/>
        <v/>
      </c>
      <c r="N711" s="112" t="str">
        <f t="shared" si="85"/>
        <v/>
      </c>
      <c r="O711" s="112" t="str">
        <f t="shared" si="86"/>
        <v xml:space="preserve"> </v>
      </c>
      <c r="P711" s="113" t="str">
        <f t="shared" si="87"/>
        <v/>
      </c>
      <c r="Q711" s="114" t="str">
        <f t="shared" si="88"/>
        <v/>
      </c>
      <c r="R711" s="115" t="str">
        <f t="shared" si="89"/>
        <v/>
      </c>
      <c r="S711" s="115" t="str">
        <f t="shared" si="90"/>
        <v/>
      </c>
      <c r="T711" s="116" t="str">
        <f t="shared" si="91"/>
        <v/>
      </c>
      <c r="U711" s="120"/>
      <c r="V711" s="118"/>
    </row>
    <row r="712" spans="1:22" ht="13.2">
      <c r="A712" s="102"/>
      <c r="B712" s="102"/>
      <c r="C712" s="104"/>
      <c r="D712" s="105"/>
      <c r="E712" s="106"/>
      <c r="F712" s="107"/>
      <c r="G712" s="108"/>
      <c r="H712" s="109"/>
      <c r="I712" s="110"/>
      <c r="J712" s="110"/>
      <c r="K712" s="119"/>
      <c r="L712" s="111" t="str">
        <f t="shared" si="85"/>
        <v/>
      </c>
      <c r="M712" s="112" t="str">
        <f t="shared" si="85"/>
        <v/>
      </c>
      <c r="N712" s="112" t="str">
        <f t="shared" si="85"/>
        <v/>
      </c>
      <c r="O712" s="112" t="str">
        <f t="shared" si="86"/>
        <v xml:space="preserve"> </v>
      </c>
      <c r="P712" s="113" t="str">
        <f t="shared" si="87"/>
        <v/>
      </c>
      <c r="Q712" s="114" t="str">
        <f t="shared" si="88"/>
        <v/>
      </c>
      <c r="R712" s="115" t="str">
        <f t="shared" si="89"/>
        <v/>
      </c>
      <c r="S712" s="115" t="str">
        <f t="shared" si="90"/>
        <v/>
      </c>
      <c r="T712" s="116" t="str">
        <f t="shared" si="91"/>
        <v/>
      </c>
      <c r="U712" s="120"/>
      <c r="V712" s="118"/>
    </row>
    <row r="713" spans="1:22" ht="13.2">
      <c r="A713" s="102"/>
      <c r="B713" s="102"/>
      <c r="C713" s="104"/>
      <c r="D713" s="105"/>
      <c r="E713" s="106"/>
      <c r="F713" s="107"/>
      <c r="G713" s="108"/>
      <c r="H713" s="109"/>
      <c r="I713" s="110"/>
      <c r="J713" s="110"/>
      <c r="K713" s="119"/>
      <c r="L713" s="111" t="str">
        <f t="shared" si="85"/>
        <v/>
      </c>
      <c r="M713" s="112" t="str">
        <f t="shared" si="85"/>
        <v/>
      </c>
      <c r="N713" s="112" t="str">
        <f t="shared" si="85"/>
        <v/>
      </c>
      <c r="O713" s="112" t="str">
        <f t="shared" si="86"/>
        <v xml:space="preserve"> </v>
      </c>
      <c r="P713" s="113" t="str">
        <f t="shared" si="87"/>
        <v/>
      </c>
      <c r="Q713" s="114" t="str">
        <f t="shared" si="88"/>
        <v/>
      </c>
      <c r="R713" s="115" t="str">
        <f t="shared" si="89"/>
        <v/>
      </c>
      <c r="S713" s="115" t="str">
        <f t="shared" si="90"/>
        <v/>
      </c>
      <c r="T713" s="116" t="str">
        <f t="shared" si="91"/>
        <v/>
      </c>
      <c r="U713" s="120"/>
      <c r="V713" s="118"/>
    </row>
    <row r="714" spans="1:22" ht="13.2">
      <c r="A714" s="102"/>
      <c r="B714" s="102"/>
      <c r="C714" s="104"/>
      <c r="D714" s="105"/>
      <c r="E714" s="106"/>
      <c r="F714" s="107"/>
      <c r="G714" s="108"/>
      <c r="H714" s="109"/>
      <c r="I714" s="110"/>
      <c r="J714" s="110"/>
      <c r="K714" s="110"/>
      <c r="L714" s="111" t="str">
        <f t="shared" si="85"/>
        <v/>
      </c>
      <c r="M714" s="112" t="str">
        <f t="shared" si="85"/>
        <v/>
      </c>
      <c r="N714" s="112" t="str">
        <f t="shared" si="85"/>
        <v/>
      </c>
      <c r="O714" s="112" t="str">
        <f t="shared" si="86"/>
        <v xml:space="preserve"> </v>
      </c>
      <c r="P714" s="113" t="str">
        <f t="shared" si="87"/>
        <v/>
      </c>
      <c r="Q714" s="114" t="str">
        <f t="shared" si="88"/>
        <v/>
      </c>
      <c r="R714" s="115" t="str">
        <f t="shared" si="89"/>
        <v/>
      </c>
      <c r="S714" s="115" t="str">
        <f t="shared" si="90"/>
        <v/>
      </c>
      <c r="T714" s="116" t="str">
        <f t="shared" si="91"/>
        <v/>
      </c>
      <c r="U714" s="120"/>
      <c r="V714" s="118"/>
    </row>
    <row r="715" spans="1:22" ht="13.2">
      <c r="A715" s="102"/>
      <c r="B715" s="102"/>
      <c r="C715" s="104"/>
      <c r="D715" s="105"/>
      <c r="E715" s="106"/>
      <c r="F715" s="107"/>
      <c r="G715" s="108"/>
      <c r="H715" s="109"/>
      <c r="I715" s="110"/>
      <c r="J715" s="110"/>
      <c r="K715" s="119"/>
      <c r="L715" s="111" t="str">
        <f t="shared" si="85"/>
        <v/>
      </c>
      <c r="M715" s="112" t="str">
        <f t="shared" si="85"/>
        <v/>
      </c>
      <c r="N715" s="112" t="str">
        <f t="shared" si="85"/>
        <v/>
      </c>
      <c r="O715" s="112" t="str">
        <f t="shared" si="86"/>
        <v xml:space="preserve"> </v>
      </c>
      <c r="P715" s="113" t="str">
        <f t="shared" si="87"/>
        <v/>
      </c>
      <c r="Q715" s="114" t="str">
        <f t="shared" si="88"/>
        <v/>
      </c>
      <c r="R715" s="115" t="str">
        <f t="shared" si="89"/>
        <v/>
      </c>
      <c r="S715" s="115" t="str">
        <f t="shared" si="90"/>
        <v/>
      </c>
      <c r="T715" s="116" t="str">
        <f t="shared" si="91"/>
        <v/>
      </c>
      <c r="U715" s="120"/>
      <c r="V715" s="118"/>
    </row>
    <row r="716" spans="1:22" ht="13.2">
      <c r="A716" s="102"/>
      <c r="B716" s="102"/>
      <c r="C716" s="104"/>
      <c r="D716" s="105"/>
      <c r="E716" s="106"/>
      <c r="F716" s="107"/>
      <c r="G716" s="108"/>
      <c r="H716" s="109"/>
      <c r="I716" s="110"/>
      <c r="J716" s="110"/>
      <c r="K716" s="119"/>
      <c r="L716" s="111" t="str">
        <f t="shared" si="85"/>
        <v/>
      </c>
      <c r="M716" s="112" t="str">
        <f t="shared" si="85"/>
        <v/>
      </c>
      <c r="N716" s="112" t="str">
        <f t="shared" si="85"/>
        <v/>
      </c>
      <c r="O716" s="112" t="str">
        <f t="shared" si="86"/>
        <v xml:space="preserve"> </v>
      </c>
      <c r="P716" s="113" t="str">
        <f t="shared" si="87"/>
        <v/>
      </c>
      <c r="Q716" s="114" t="str">
        <f t="shared" si="88"/>
        <v/>
      </c>
      <c r="R716" s="115" t="str">
        <f t="shared" si="89"/>
        <v/>
      </c>
      <c r="S716" s="115" t="str">
        <f t="shared" si="90"/>
        <v/>
      </c>
      <c r="T716" s="116" t="str">
        <f t="shared" si="91"/>
        <v/>
      </c>
      <c r="U716" s="120"/>
      <c r="V716" s="118"/>
    </row>
    <row r="717" spans="1:22" ht="13.2">
      <c r="A717" s="102"/>
      <c r="B717" s="102"/>
      <c r="C717" s="104"/>
      <c r="D717" s="105"/>
      <c r="E717" s="106"/>
      <c r="F717" s="107"/>
      <c r="G717" s="108"/>
      <c r="H717" s="109"/>
      <c r="I717" s="110"/>
      <c r="J717" s="110"/>
      <c r="K717" s="119"/>
      <c r="L717" s="111" t="str">
        <f t="shared" si="85"/>
        <v/>
      </c>
      <c r="M717" s="112" t="str">
        <f t="shared" si="85"/>
        <v/>
      </c>
      <c r="N717" s="112" t="str">
        <f t="shared" si="85"/>
        <v/>
      </c>
      <c r="O717" s="112" t="str">
        <f t="shared" si="86"/>
        <v xml:space="preserve"> </v>
      </c>
      <c r="P717" s="113" t="str">
        <f t="shared" si="87"/>
        <v/>
      </c>
      <c r="Q717" s="114" t="str">
        <f t="shared" si="88"/>
        <v/>
      </c>
      <c r="R717" s="115" t="str">
        <f t="shared" si="89"/>
        <v/>
      </c>
      <c r="S717" s="115" t="str">
        <f t="shared" si="90"/>
        <v/>
      </c>
      <c r="T717" s="116" t="str">
        <f t="shared" si="91"/>
        <v/>
      </c>
      <c r="U717" s="120"/>
      <c r="V717" s="118"/>
    </row>
    <row r="718" spans="1:22" ht="13.2">
      <c r="A718" s="102"/>
      <c r="B718" s="102"/>
      <c r="C718" s="104"/>
      <c r="D718" s="105"/>
      <c r="E718" s="106"/>
      <c r="F718" s="107"/>
      <c r="G718" s="108"/>
      <c r="H718" s="109"/>
      <c r="I718" s="110"/>
      <c r="J718" s="110"/>
      <c r="K718" s="119"/>
      <c r="L718" s="111" t="str">
        <f t="shared" si="85"/>
        <v/>
      </c>
      <c r="M718" s="112" t="str">
        <f t="shared" si="85"/>
        <v/>
      </c>
      <c r="N718" s="112" t="str">
        <f t="shared" si="85"/>
        <v/>
      </c>
      <c r="O718" s="112" t="str">
        <f t="shared" si="86"/>
        <v xml:space="preserve"> </v>
      </c>
      <c r="P718" s="113" t="str">
        <f t="shared" si="87"/>
        <v/>
      </c>
      <c r="Q718" s="114" t="str">
        <f t="shared" si="88"/>
        <v/>
      </c>
      <c r="R718" s="115" t="str">
        <f t="shared" si="89"/>
        <v/>
      </c>
      <c r="S718" s="115" t="str">
        <f t="shared" si="90"/>
        <v/>
      </c>
      <c r="T718" s="116" t="str">
        <f t="shared" si="91"/>
        <v/>
      </c>
      <c r="U718" s="120"/>
      <c r="V718" s="118"/>
    </row>
    <row r="719" spans="1:22" ht="13.2">
      <c r="A719" s="102"/>
      <c r="B719" s="103"/>
      <c r="C719" s="104"/>
      <c r="D719" s="105"/>
      <c r="E719" s="106"/>
      <c r="F719" s="107"/>
      <c r="G719" s="108"/>
      <c r="H719" s="121"/>
      <c r="I719" s="122"/>
      <c r="J719" s="122"/>
      <c r="K719" s="123"/>
      <c r="L719" s="111" t="str">
        <f t="shared" si="85"/>
        <v/>
      </c>
      <c r="M719" s="112" t="str">
        <f t="shared" si="85"/>
        <v/>
      </c>
      <c r="N719" s="112" t="str">
        <f t="shared" si="85"/>
        <v/>
      </c>
      <c r="O719" s="112" t="str">
        <f t="shared" si="86"/>
        <v xml:space="preserve"> </v>
      </c>
      <c r="P719" s="113" t="str">
        <f t="shared" si="87"/>
        <v/>
      </c>
      <c r="Q719" s="114" t="str">
        <f t="shared" si="88"/>
        <v/>
      </c>
      <c r="R719" s="115" t="str">
        <f t="shared" si="89"/>
        <v/>
      </c>
      <c r="S719" s="115" t="str">
        <f t="shared" si="90"/>
        <v/>
      </c>
      <c r="T719" s="116" t="str">
        <f t="shared" si="91"/>
        <v/>
      </c>
      <c r="U719" s="120"/>
      <c r="V719" s="118"/>
    </row>
    <row r="720" spans="1:22" ht="13.2">
      <c r="A720" s="102"/>
      <c r="B720" s="103"/>
      <c r="C720" s="104"/>
      <c r="D720" s="105"/>
      <c r="E720" s="106"/>
      <c r="F720" s="107"/>
      <c r="G720" s="108"/>
      <c r="H720" s="121"/>
      <c r="I720" s="122"/>
      <c r="J720" s="122"/>
      <c r="K720" s="123"/>
      <c r="L720" s="111" t="str">
        <f t="shared" si="85"/>
        <v/>
      </c>
      <c r="M720" s="112" t="str">
        <f t="shared" si="85"/>
        <v/>
      </c>
      <c r="N720" s="112" t="str">
        <f t="shared" si="85"/>
        <v/>
      </c>
      <c r="O720" s="112" t="str">
        <f t="shared" si="86"/>
        <v xml:space="preserve"> </v>
      </c>
      <c r="P720" s="113" t="str">
        <f t="shared" si="87"/>
        <v/>
      </c>
      <c r="Q720" s="114" t="str">
        <f t="shared" si="88"/>
        <v/>
      </c>
      <c r="R720" s="115" t="str">
        <f t="shared" si="89"/>
        <v/>
      </c>
      <c r="S720" s="115" t="str">
        <f t="shared" si="90"/>
        <v/>
      </c>
      <c r="T720" s="116" t="str">
        <f t="shared" si="91"/>
        <v/>
      </c>
      <c r="U720" s="120"/>
      <c r="V720" s="118"/>
    </row>
    <row r="721" spans="1:22" ht="13.2">
      <c r="A721" s="102"/>
      <c r="B721" s="103"/>
      <c r="C721" s="104"/>
      <c r="D721" s="105"/>
      <c r="E721" s="106"/>
      <c r="F721" s="107"/>
      <c r="G721" s="108"/>
      <c r="H721" s="121"/>
      <c r="I721" s="122"/>
      <c r="J721" s="122"/>
      <c r="K721" s="123"/>
      <c r="L721" s="111" t="str">
        <f t="shared" si="85"/>
        <v/>
      </c>
      <c r="M721" s="112" t="str">
        <f t="shared" si="85"/>
        <v/>
      </c>
      <c r="N721" s="112" t="str">
        <f t="shared" si="85"/>
        <v/>
      </c>
      <c r="O721" s="112" t="str">
        <f t="shared" si="86"/>
        <v xml:space="preserve"> </v>
      </c>
      <c r="P721" s="113" t="str">
        <f t="shared" si="87"/>
        <v/>
      </c>
      <c r="Q721" s="114" t="str">
        <f t="shared" si="88"/>
        <v/>
      </c>
      <c r="R721" s="115" t="str">
        <f t="shared" si="89"/>
        <v/>
      </c>
      <c r="S721" s="115" t="str">
        <f t="shared" si="90"/>
        <v/>
      </c>
      <c r="T721" s="116" t="str">
        <f t="shared" si="91"/>
        <v/>
      </c>
      <c r="U721" s="120"/>
      <c r="V721" s="118"/>
    </row>
    <row r="722" spans="1:22" ht="13.2">
      <c r="A722" s="102"/>
      <c r="B722" s="102"/>
      <c r="C722" s="103"/>
      <c r="D722" s="105"/>
      <c r="E722" s="106"/>
      <c r="F722" s="107"/>
      <c r="G722" s="108"/>
      <c r="H722" s="109"/>
      <c r="I722" s="110"/>
      <c r="J722" s="110"/>
      <c r="K722" s="119"/>
      <c r="L722" s="111" t="str">
        <f t="shared" si="85"/>
        <v/>
      </c>
      <c r="M722" s="112" t="str">
        <f t="shared" si="85"/>
        <v/>
      </c>
      <c r="N722" s="112" t="str">
        <f t="shared" si="85"/>
        <v/>
      </c>
      <c r="O722" s="112" t="str">
        <f t="shared" si="86"/>
        <v xml:space="preserve"> </v>
      </c>
      <c r="P722" s="113" t="str">
        <f t="shared" si="87"/>
        <v/>
      </c>
      <c r="Q722" s="114" t="str">
        <f t="shared" si="88"/>
        <v/>
      </c>
      <c r="R722" s="115" t="str">
        <f t="shared" si="89"/>
        <v/>
      </c>
      <c r="S722" s="115" t="str">
        <f t="shared" si="90"/>
        <v/>
      </c>
      <c r="T722" s="116" t="str">
        <f t="shared" si="91"/>
        <v/>
      </c>
      <c r="U722" s="120"/>
      <c r="V722" s="118"/>
    </row>
    <row r="723" spans="1:22" ht="13.2">
      <c r="A723" s="102"/>
      <c r="B723" s="102"/>
      <c r="C723" s="103"/>
      <c r="D723" s="105"/>
      <c r="E723" s="106"/>
      <c r="F723" s="107"/>
      <c r="G723" s="108"/>
      <c r="H723" s="109"/>
      <c r="I723" s="110"/>
      <c r="J723" s="110"/>
      <c r="K723" s="119"/>
      <c r="L723" s="111" t="str">
        <f t="shared" si="85"/>
        <v/>
      </c>
      <c r="M723" s="112" t="str">
        <f t="shared" si="85"/>
        <v/>
      </c>
      <c r="N723" s="112" t="str">
        <f t="shared" si="85"/>
        <v/>
      </c>
      <c r="O723" s="112" t="str">
        <f t="shared" si="86"/>
        <v xml:space="preserve"> </v>
      </c>
      <c r="P723" s="113" t="str">
        <f t="shared" si="87"/>
        <v/>
      </c>
      <c r="Q723" s="114" t="str">
        <f t="shared" si="88"/>
        <v/>
      </c>
      <c r="R723" s="115" t="str">
        <f t="shared" si="89"/>
        <v/>
      </c>
      <c r="S723" s="115" t="str">
        <f t="shared" si="90"/>
        <v/>
      </c>
      <c r="T723" s="116" t="str">
        <f t="shared" si="91"/>
        <v/>
      </c>
      <c r="U723" s="120"/>
      <c r="V723" s="118"/>
    </row>
    <row r="724" spans="1:22" ht="13.2">
      <c r="A724" s="102"/>
      <c r="B724" s="102"/>
      <c r="C724" s="104"/>
      <c r="D724" s="105"/>
      <c r="E724" s="106"/>
      <c r="F724" s="107"/>
      <c r="G724" s="108"/>
      <c r="H724" s="109"/>
      <c r="I724" s="110"/>
      <c r="J724" s="110"/>
      <c r="K724" s="119"/>
      <c r="L724" s="111" t="str">
        <f t="shared" si="85"/>
        <v/>
      </c>
      <c r="M724" s="112" t="str">
        <f t="shared" si="85"/>
        <v/>
      </c>
      <c r="N724" s="112" t="str">
        <f t="shared" si="85"/>
        <v/>
      </c>
      <c r="O724" s="112" t="str">
        <f t="shared" si="86"/>
        <v xml:space="preserve"> </v>
      </c>
      <c r="P724" s="113" t="str">
        <f t="shared" si="87"/>
        <v/>
      </c>
      <c r="Q724" s="114" t="str">
        <f t="shared" si="88"/>
        <v/>
      </c>
      <c r="R724" s="115" t="str">
        <f t="shared" si="89"/>
        <v/>
      </c>
      <c r="S724" s="115" t="str">
        <f t="shared" si="90"/>
        <v/>
      </c>
      <c r="T724" s="116" t="str">
        <f t="shared" si="91"/>
        <v/>
      </c>
      <c r="U724" s="120"/>
      <c r="V724" s="118"/>
    </row>
    <row r="725" spans="1:22" ht="13.2">
      <c r="A725" s="102"/>
      <c r="B725" s="102"/>
      <c r="C725" s="104"/>
      <c r="D725" s="105"/>
      <c r="E725" s="106"/>
      <c r="F725" s="107"/>
      <c r="G725" s="108"/>
      <c r="H725" s="109"/>
      <c r="I725" s="110"/>
      <c r="J725" s="110"/>
      <c r="K725" s="119"/>
      <c r="L725" s="111" t="str">
        <f t="shared" si="85"/>
        <v/>
      </c>
      <c r="M725" s="112" t="str">
        <f t="shared" si="85"/>
        <v/>
      </c>
      <c r="N725" s="112" t="str">
        <f t="shared" si="85"/>
        <v/>
      </c>
      <c r="O725" s="112" t="str">
        <f t="shared" si="86"/>
        <v xml:space="preserve"> </v>
      </c>
      <c r="P725" s="113" t="str">
        <f t="shared" si="87"/>
        <v/>
      </c>
      <c r="Q725" s="114" t="str">
        <f t="shared" si="88"/>
        <v/>
      </c>
      <c r="R725" s="115" t="str">
        <f t="shared" si="89"/>
        <v/>
      </c>
      <c r="S725" s="115" t="str">
        <f t="shared" si="90"/>
        <v/>
      </c>
      <c r="T725" s="116" t="str">
        <f t="shared" si="91"/>
        <v/>
      </c>
      <c r="U725" s="120"/>
      <c r="V725" s="118"/>
    </row>
    <row r="726" spans="1:22" ht="13.2">
      <c r="A726" s="102"/>
      <c r="B726" s="102"/>
      <c r="C726" s="104"/>
      <c r="D726" s="105"/>
      <c r="E726" s="106"/>
      <c r="F726" s="107"/>
      <c r="G726" s="108"/>
      <c r="H726" s="109"/>
      <c r="I726" s="110"/>
      <c r="J726" s="110"/>
      <c r="K726" s="119"/>
      <c r="L726" s="111" t="str">
        <f t="shared" si="85"/>
        <v/>
      </c>
      <c r="M726" s="112" t="str">
        <f t="shared" si="85"/>
        <v/>
      </c>
      <c r="N726" s="112" t="str">
        <f t="shared" si="85"/>
        <v/>
      </c>
      <c r="O726" s="112" t="str">
        <f t="shared" si="86"/>
        <v xml:space="preserve"> </v>
      </c>
      <c r="P726" s="113" t="str">
        <f t="shared" si="87"/>
        <v/>
      </c>
      <c r="Q726" s="114" t="str">
        <f t="shared" si="88"/>
        <v/>
      </c>
      <c r="R726" s="115" t="str">
        <f t="shared" si="89"/>
        <v/>
      </c>
      <c r="S726" s="115" t="str">
        <f t="shared" si="90"/>
        <v/>
      </c>
      <c r="T726" s="116" t="str">
        <f t="shared" si="91"/>
        <v/>
      </c>
      <c r="U726" s="120"/>
      <c r="V726" s="118"/>
    </row>
    <row r="727" spans="1:22" ht="13.2">
      <c r="A727" s="102"/>
      <c r="B727" s="102"/>
      <c r="C727" s="104"/>
      <c r="D727" s="105"/>
      <c r="E727" s="106"/>
      <c r="F727" s="107"/>
      <c r="G727" s="108"/>
      <c r="H727" s="109"/>
      <c r="I727" s="110"/>
      <c r="J727" s="110"/>
      <c r="K727" s="119"/>
      <c r="L727" s="111" t="str">
        <f t="shared" si="85"/>
        <v/>
      </c>
      <c r="M727" s="112" t="str">
        <f t="shared" si="85"/>
        <v/>
      </c>
      <c r="N727" s="112" t="str">
        <f t="shared" si="85"/>
        <v/>
      </c>
      <c r="O727" s="112" t="str">
        <f t="shared" si="86"/>
        <v xml:space="preserve"> </v>
      </c>
      <c r="P727" s="113" t="str">
        <f t="shared" si="87"/>
        <v/>
      </c>
      <c r="Q727" s="114" t="str">
        <f t="shared" si="88"/>
        <v/>
      </c>
      <c r="R727" s="115" t="str">
        <f t="shared" si="89"/>
        <v/>
      </c>
      <c r="S727" s="115" t="str">
        <f t="shared" si="90"/>
        <v/>
      </c>
      <c r="T727" s="116" t="str">
        <f t="shared" si="91"/>
        <v/>
      </c>
      <c r="U727" s="120"/>
      <c r="V727" s="118"/>
    </row>
    <row r="728" spans="1:22" ht="13.2">
      <c r="A728" s="102"/>
      <c r="B728" s="102"/>
      <c r="C728" s="104"/>
      <c r="D728" s="105"/>
      <c r="E728" s="106"/>
      <c r="F728" s="107"/>
      <c r="G728" s="108"/>
      <c r="H728" s="109"/>
      <c r="I728" s="110"/>
      <c r="J728" s="110"/>
      <c r="K728" s="119"/>
      <c r="L728" s="111" t="str">
        <f t="shared" si="85"/>
        <v/>
      </c>
      <c r="M728" s="112" t="str">
        <f t="shared" si="85"/>
        <v/>
      </c>
      <c r="N728" s="112" t="str">
        <f t="shared" si="85"/>
        <v/>
      </c>
      <c r="O728" s="112" t="str">
        <f t="shared" si="86"/>
        <v xml:space="preserve"> </v>
      </c>
      <c r="P728" s="113" t="str">
        <f t="shared" si="87"/>
        <v/>
      </c>
      <c r="Q728" s="114" t="str">
        <f t="shared" si="88"/>
        <v/>
      </c>
      <c r="R728" s="115" t="str">
        <f t="shared" si="89"/>
        <v/>
      </c>
      <c r="S728" s="115" t="str">
        <f t="shared" si="90"/>
        <v/>
      </c>
      <c r="T728" s="116" t="str">
        <f t="shared" si="91"/>
        <v/>
      </c>
      <c r="U728" s="120"/>
      <c r="V728" s="118"/>
    </row>
    <row r="729" spans="1:22" ht="13.2">
      <c r="A729" s="102"/>
      <c r="B729" s="102"/>
      <c r="C729" s="104"/>
      <c r="D729" s="105"/>
      <c r="E729" s="106"/>
      <c r="F729" s="107"/>
      <c r="G729" s="108"/>
      <c r="H729" s="109"/>
      <c r="I729" s="110"/>
      <c r="J729" s="110"/>
      <c r="K729" s="110"/>
      <c r="L729" s="111" t="str">
        <f t="shared" si="85"/>
        <v/>
      </c>
      <c r="M729" s="112" t="str">
        <f t="shared" si="85"/>
        <v/>
      </c>
      <c r="N729" s="112" t="str">
        <f t="shared" si="85"/>
        <v/>
      </c>
      <c r="O729" s="112" t="str">
        <f t="shared" si="86"/>
        <v xml:space="preserve"> </v>
      </c>
      <c r="P729" s="113" t="str">
        <f t="shared" si="87"/>
        <v/>
      </c>
      <c r="Q729" s="114" t="str">
        <f t="shared" si="88"/>
        <v/>
      </c>
      <c r="R729" s="115" t="str">
        <f t="shared" si="89"/>
        <v/>
      </c>
      <c r="S729" s="115" t="str">
        <f t="shared" si="90"/>
        <v/>
      </c>
      <c r="T729" s="116" t="str">
        <f t="shared" si="91"/>
        <v/>
      </c>
      <c r="U729" s="120"/>
      <c r="V729" s="118"/>
    </row>
    <row r="730" spans="1:22" ht="13.2">
      <c r="A730" s="102"/>
      <c r="B730" s="102"/>
      <c r="C730" s="104"/>
      <c r="D730" s="105"/>
      <c r="E730" s="106"/>
      <c r="F730" s="107"/>
      <c r="G730" s="108"/>
      <c r="H730" s="109"/>
      <c r="I730" s="110"/>
      <c r="J730" s="110"/>
      <c r="K730" s="119"/>
      <c r="L730" s="111" t="str">
        <f t="shared" si="85"/>
        <v/>
      </c>
      <c r="M730" s="112" t="str">
        <f t="shared" si="85"/>
        <v/>
      </c>
      <c r="N730" s="112" t="str">
        <f t="shared" si="85"/>
        <v/>
      </c>
      <c r="O730" s="112" t="str">
        <f t="shared" si="86"/>
        <v xml:space="preserve"> </v>
      </c>
      <c r="P730" s="113" t="str">
        <f t="shared" si="87"/>
        <v/>
      </c>
      <c r="Q730" s="114" t="str">
        <f t="shared" si="88"/>
        <v/>
      </c>
      <c r="R730" s="115" t="str">
        <f t="shared" si="89"/>
        <v/>
      </c>
      <c r="S730" s="115" t="str">
        <f t="shared" si="90"/>
        <v/>
      </c>
      <c r="T730" s="116" t="str">
        <f t="shared" si="91"/>
        <v/>
      </c>
      <c r="U730" s="120"/>
      <c r="V730" s="118"/>
    </row>
    <row r="731" spans="1:22" ht="13.2">
      <c r="A731" s="102"/>
      <c r="B731" s="102"/>
      <c r="C731" s="104"/>
      <c r="D731" s="105"/>
      <c r="E731" s="106"/>
      <c r="F731" s="107"/>
      <c r="G731" s="108"/>
      <c r="H731" s="109"/>
      <c r="I731" s="110"/>
      <c r="J731" s="110"/>
      <c r="K731" s="119"/>
      <c r="L731" s="111" t="str">
        <f t="shared" si="85"/>
        <v/>
      </c>
      <c r="M731" s="112" t="str">
        <f t="shared" si="85"/>
        <v/>
      </c>
      <c r="N731" s="112" t="str">
        <f t="shared" si="85"/>
        <v/>
      </c>
      <c r="O731" s="112" t="str">
        <f t="shared" si="86"/>
        <v xml:space="preserve"> </v>
      </c>
      <c r="P731" s="113" t="str">
        <f t="shared" si="87"/>
        <v/>
      </c>
      <c r="Q731" s="114" t="str">
        <f t="shared" si="88"/>
        <v/>
      </c>
      <c r="R731" s="115" t="str">
        <f t="shared" si="89"/>
        <v/>
      </c>
      <c r="S731" s="115" t="str">
        <f t="shared" si="90"/>
        <v/>
      </c>
      <c r="T731" s="116" t="str">
        <f t="shared" si="91"/>
        <v/>
      </c>
      <c r="U731" s="120"/>
      <c r="V731" s="118"/>
    </row>
    <row r="732" spans="1:22" ht="13.2">
      <c r="A732" s="102"/>
      <c r="B732" s="102"/>
      <c r="C732" s="104"/>
      <c r="D732" s="105"/>
      <c r="E732" s="106"/>
      <c r="F732" s="107"/>
      <c r="G732" s="108"/>
      <c r="H732" s="109"/>
      <c r="I732" s="110"/>
      <c r="J732" s="110"/>
      <c r="K732" s="119"/>
      <c r="L732" s="111" t="str">
        <f t="shared" si="85"/>
        <v/>
      </c>
      <c r="M732" s="112" t="str">
        <f t="shared" si="85"/>
        <v/>
      </c>
      <c r="N732" s="112" t="str">
        <f t="shared" si="85"/>
        <v/>
      </c>
      <c r="O732" s="112" t="str">
        <f t="shared" si="86"/>
        <v xml:space="preserve"> </v>
      </c>
      <c r="P732" s="113" t="str">
        <f t="shared" si="87"/>
        <v/>
      </c>
      <c r="Q732" s="114" t="str">
        <f t="shared" si="88"/>
        <v/>
      </c>
      <c r="R732" s="115" t="str">
        <f t="shared" si="89"/>
        <v/>
      </c>
      <c r="S732" s="115" t="str">
        <f t="shared" si="90"/>
        <v/>
      </c>
      <c r="T732" s="116" t="str">
        <f t="shared" si="91"/>
        <v/>
      </c>
      <c r="U732" s="120"/>
      <c r="V732" s="118"/>
    </row>
    <row r="733" spans="1:22" ht="13.2">
      <c r="A733" s="102"/>
      <c r="B733" s="102"/>
      <c r="C733" s="104"/>
      <c r="D733" s="105"/>
      <c r="E733" s="106"/>
      <c r="F733" s="107"/>
      <c r="G733" s="108"/>
      <c r="H733" s="109"/>
      <c r="I733" s="110"/>
      <c r="J733" s="110"/>
      <c r="K733" s="119"/>
      <c r="L733" s="111" t="str">
        <f t="shared" ref="L733:N796" si="92">IF(ISBLANK($E733),"",IF(ISERR(I733/I733)=TRUE,"BAD INSP",I733-$E733))</f>
        <v/>
      </c>
      <c r="M733" s="112" t="str">
        <f t="shared" si="92"/>
        <v/>
      </c>
      <c r="N733" s="112" t="str">
        <f t="shared" si="92"/>
        <v/>
      </c>
      <c r="O733" s="112" t="str">
        <f t="shared" si="86"/>
        <v xml:space="preserve"> </v>
      </c>
      <c r="P733" s="113" t="str">
        <f t="shared" si="87"/>
        <v/>
      </c>
      <c r="Q733" s="114" t="str">
        <f t="shared" si="88"/>
        <v/>
      </c>
      <c r="R733" s="115" t="str">
        <f t="shared" si="89"/>
        <v/>
      </c>
      <c r="S733" s="115" t="str">
        <f t="shared" si="90"/>
        <v/>
      </c>
      <c r="T733" s="116" t="str">
        <f t="shared" si="91"/>
        <v/>
      </c>
      <c r="U733" s="120"/>
      <c r="V733" s="118"/>
    </row>
    <row r="734" spans="1:22" ht="13.2">
      <c r="A734" s="102"/>
      <c r="B734" s="103"/>
      <c r="C734" s="104"/>
      <c r="D734" s="105"/>
      <c r="E734" s="106"/>
      <c r="F734" s="107"/>
      <c r="G734" s="108"/>
      <c r="H734" s="121"/>
      <c r="I734" s="122"/>
      <c r="J734" s="122"/>
      <c r="K734" s="123"/>
      <c r="L734" s="111" t="str">
        <f t="shared" si="92"/>
        <v/>
      </c>
      <c r="M734" s="112" t="str">
        <f t="shared" si="92"/>
        <v/>
      </c>
      <c r="N734" s="112" t="str">
        <f t="shared" si="92"/>
        <v/>
      </c>
      <c r="O734" s="112" t="str">
        <f t="shared" si="86"/>
        <v xml:space="preserve"> </v>
      </c>
      <c r="P734" s="113" t="str">
        <f t="shared" si="87"/>
        <v/>
      </c>
      <c r="Q734" s="114" t="str">
        <f t="shared" si="88"/>
        <v/>
      </c>
      <c r="R734" s="115" t="str">
        <f t="shared" si="89"/>
        <v/>
      </c>
      <c r="S734" s="115" t="str">
        <f t="shared" si="90"/>
        <v/>
      </c>
      <c r="T734" s="116" t="str">
        <f t="shared" si="91"/>
        <v/>
      </c>
      <c r="U734" s="120"/>
      <c r="V734" s="118"/>
    </row>
    <row r="735" spans="1:22" ht="13.2">
      <c r="A735" s="102"/>
      <c r="B735" s="103"/>
      <c r="C735" s="104"/>
      <c r="D735" s="105"/>
      <c r="E735" s="106"/>
      <c r="F735" s="107"/>
      <c r="G735" s="108"/>
      <c r="H735" s="121"/>
      <c r="I735" s="122"/>
      <c r="J735" s="122"/>
      <c r="K735" s="123"/>
      <c r="L735" s="111" t="str">
        <f t="shared" si="92"/>
        <v/>
      </c>
      <c r="M735" s="112" t="str">
        <f t="shared" si="92"/>
        <v/>
      </c>
      <c r="N735" s="112" t="str">
        <f t="shared" si="92"/>
        <v/>
      </c>
      <c r="O735" s="112" t="str">
        <f t="shared" si="86"/>
        <v xml:space="preserve"> </v>
      </c>
      <c r="P735" s="113" t="str">
        <f t="shared" si="87"/>
        <v/>
      </c>
      <c r="Q735" s="114" t="str">
        <f t="shared" si="88"/>
        <v/>
      </c>
      <c r="R735" s="115" t="str">
        <f t="shared" si="89"/>
        <v/>
      </c>
      <c r="S735" s="115" t="str">
        <f t="shared" si="90"/>
        <v/>
      </c>
      <c r="T735" s="116" t="str">
        <f t="shared" si="91"/>
        <v/>
      </c>
      <c r="U735" s="120"/>
      <c r="V735" s="118"/>
    </row>
    <row r="736" spans="1:22" ht="13.2">
      <c r="A736" s="102"/>
      <c r="B736" s="103"/>
      <c r="C736" s="104"/>
      <c r="D736" s="105"/>
      <c r="E736" s="106"/>
      <c r="F736" s="107"/>
      <c r="G736" s="108"/>
      <c r="H736" s="121"/>
      <c r="I736" s="122"/>
      <c r="J736" s="122"/>
      <c r="K736" s="123"/>
      <c r="L736" s="111" t="str">
        <f t="shared" si="92"/>
        <v/>
      </c>
      <c r="M736" s="112" t="str">
        <f t="shared" si="92"/>
        <v/>
      </c>
      <c r="N736" s="112" t="str">
        <f t="shared" si="92"/>
        <v/>
      </c>
      <c r="O736" s="112" t="str">
        <f t="shared" si="86"/>
        <v xml:space="preserve"> </v>
      </c>
      <c r="P736" s="113" t="str">
        <f t="shared" si="87"/>
        <v/>
      </c>
      <c r="Q736" s="114" t="str">
        <f t="shared" si="88"/>
        <v/>
      </c>
      <c r="R736" s="115" t="str">
        <f t="shared" si="89"/>
        <v/>
      </c>
      <c r="S736" s="115" t="str">
        <f t="shared" si="90"/>
        <v/>
      </c>
      <c r="T736" s="116" t="str">
        <f t="shared" si="91"/>
        <v/>
      </c>
      <c r="U736" s="120"/>
      <c r="V736" s="118"/>
    </row>
    <row r="737" spans="1:22" ht="13.2">
      <c r="A737" s="102"/>
      <c r="B737" s="102"/>
      <c r="C737" s="103"/>
      <c r="D737" s="105"/>
      <c r="E737" s="106"/>
      <c r="F737" s="107"/>
      <c r="G737" s="108"/>
      <c r="H737" s="109"/>
      <c r="I737" s="110"/>
      <c r="J737" s="110"/>
      <c r="K737" s="119"/>
      <c r="L737" s="111" t="str">
        <f t="shared" si="92"/>
        <v/>
      </c>
      <c r="M737" s="112" t="str">
        <f t="shared" si="92"/>
        <v/>
      </c>
      <c r="N737" s="112" t="str">
        <f t="shared" si="92"/>
        <v/>
      </c>
      <c r="O737" s="112" t="str">
        <f t="shared" si="86"/>
        <v xml:space="preserve"> </v>
      </c>
      <c r="P737" s="113" t="str">
        <f t="shared" si="87"/>
        <v/>
      </c>
      <c r="Q737" s="114" t="str">
        <f t="shared" si="88"/>
        <v/>
      </c>
      <c r="R737" s="115" t="str">
        <f t="shared" si="89"/>
        <v/>
      </c>
      <c r="S737" s="115" t="str">
        <f t="shared" si="90"/>
        <v/>
      </c>
      <c r="T737" s="116" t="str">
        <f t="shared" si="91"/>
        <v/>
      </c>
      <c r="U737" s="120"/>
      <c r="V737" s="118"/>
    </row>
    <row r="738" spans="1:22" ht="13.2">
      <c r="A738" s="102"/>
      <c r="B738" s="102"/>
      <c r="C738" s="103"/>
      <c r="D738" s="105"/>
      <c r="E738" s="106"/>
      <c r="F738" s="107"/>
      <c r="G738" s="108"/>
      <c r="H738" s="109"/>
      <c r="I738" s="110"/>
      <c r="J738" s="110"/>
      <c r="K738" s="119"/>
      <c r="L738" s="111" t="str">
        <f t="shared" si="92"/>
        <v/>
      </c>
      <c r="M738" s="112" t="str">
        <f t="shared" si="92"/>
        <v/>
      </c>
      <c r="N738" s="112" t="str">
        <f t="shared" si="92"/>
        <v/>
      </c>
      <c r="O738" s="112" t="str">
        <f t="shared" si="86"/>
        <v xml:space="preserve"> </v>
      </c>
      <c r="P738" s="113" t="str">
        <f t="shared" si="87"/>
        <v/>
      </c>
      <c r="Q738" s="114" t="str">
        <f t="shared" si="88"/>
        <v/>
      </c>
      <c r="R738" s="115" t="str">
        <f t="shared" si="89"/>
        <v/>
      </c>
      <c r="S738" s="115" t="str">
        <f t="shared" si="90"/>
        <v/>
      </c>
      <c r="T738" s="116" t="str">
        <f t="shared" si="91"/>
        <v/>
      </c>
      <c r="U738" s="120"/>
      <c r="V738" s="118"/>
    </row>
    <row r="739" spans="1:22" ht="13.2">
      <c r="A739" s="102"/>
      <c r="B739" s="102"/>
      <c r="C739" s="104"/>
      <c r="D739" s="105"/>
      <c r="E739" s="106"/>
      <c r="F739" s="107"/>
      <c r="G739" s="108"/>
      <c r="H739" s="109"/>
      <c r="I739" s="110"/>
      <c r="J739" s="110"/>
      <c r="K739" s="119"/>
      <c r="L739" s="111" t="str">
        <f t="shared" si="92"/>
        <v/>
      </c>
      <c r="M739" s="112" t="str">
        <f t="shared" si="92"/>
        <v/>
      </c>
      <c r="N739" s="112" t="str">
        <f t="shared" si="92"/>
        <v/>
      </c>
      <c r="O739" s="112" t="str">
        <f t="shared" si="86"/>
        <v xml:space="preserve"> </v>
      </c>
      <c r="P739" s="113" t="str">
        <f t="shared" si="87"/>
        <v/>
      </c>
      <c r="Q739" s="114" t="str">
        <f t="shared" si="88"/>
        <v/>
      </c>
      <c r="R739" s="115" t="str">
        <f t="shared" si="89"/>
        <v/>
      </c>
      <c r="S739" s="115" t="str">
        <f t="shared" si="90"/>
        <v/>
      </c>
      <c r="T739" s="116" t="str">
        <f t="shared" si="91"/>
        <v/>
      </c>
      <c r="U739" s="120"/>
      <c r="V739" s="118"/>
    </row>
    <row r="740" spans="1:22" ht="13.2">
      <c r="A740" s="102"/>
      <c r="B740" s="102"/>
      <c r="C740" s="104"/>
      <c r="D740" s="105"/>
      <c r="E740" s="106"/>
      <c r="F740" s="107"/>
      <c r="G740" s="108"/>
      <c r="H740" s="109"/>
      <c r="I740" s="110"/>
      <c r="J740" s="110"/>
      <c r="K740" s="119"/>
      <c r="L740" s="111" t="str">
        <f t="shared" si="92"/>
        <v/>
      </c>
      <c r="M740" s="112" t="str">
        <f t="shared" si="92"/>
        <v/>
      </c>
      <c r="N740" s="112" t="str">
        <f t="shared" si="92"/>
        <v/>
      </c>
      <c r="O740" s="112" t="str">
        <f t="shared" si="86"/>
        <v xml:space="preserve"> </v>
      </c>
      <c r="P740" s="113" t="str">
        <f t="shared" si="87"/>
        <v/>
      </c>
      <c r="Q740" s="114" t="str">
        <f t="shared" si="88"/>
        <v/>
      </c>
      <c r="R740" s="115" t="str">
        <f t="shared" si="89"/>
        <v/>
      </c>
      <c r="S740" s="115" t="str">
        <f t="shared" si="90"/>
        <v/>
      </c>
      <c r="T740" s="116" t="str">
        <f t="shared" si="91"/>
        <v/>
      </c>
      <c r="U740" s="120"/>
      <c r="V740" s="118"/>
    </row>
    <row r="741" spans="1:22" ht="13.2">
      <c r="A741" s="102"/>
      <c r="B741" s="102"/>
      <c r="C741" s="104"/>
      <c r="D741" s="105"/>
      <c r="E741" s="106"/>
      <c r="F741" s="107"/>
      <c r="G741" s="108"/>
      <c r="H741" s="109"/>
      <c r="I741" s="110"/>
      <c r="J741" s="110"/>
      <c r="K741" s="119"/>
      <c r="L741" s="111" t="str">
        <f t="shared" si="92"/>
        <v/>
      </c>
      <c r="M741" s="112" t="str">
        <f t="shared" si="92"/>
        <v/>
      </c>
      <c r="N741" s="112" t="str">
        <f t="shared" si="92"/>
        <v/>
      </c>
      <c r="O741" s="112" t="str">
        <f t="shared" si="86"/>
        <v xml:space="preserve"> </v>
      </c>
      <c r="P741" s="113" t="str">
        <f t="shared" si="87"/>
        <v/>
      </c>
      <c r="Q741" s="114" t="str">
        <f t="shared" si="88"/>
        <v/>
      </c>
      <c r="R741" s="115" t="str">
        <f t="shared" si="89"/>
        <v/>
      </c>
      <c r="S741" s="115" t="str">
        <f t="shared" si="90"/>
        <v/>
      </c>
      <c r="T741" s="116" t="str">
        <f t="shared" si="91"/>
        <v/>
      </c>
      <c r="U741" s="120"/>
      <c r="V741" s="118"/>
    </row>
    <row r="742" spans="1:22" ht="13.2">
      <c r="A742" s="102"/>
      <c r="B742" s="102"/>
      <c r="C742" s="104"/>
      <c r="D742" s="105"/>
      <c r="E742" s="106"/>
      <c r="F742" s="107"/>
      <c r="G742" s="108"/>
      <c r="H742" s="109"/>
      <c r="I742" s="110"/>
      <c r="J742" s="110"/>
      <c r="K742" s="119"/>
      <c r="L742" s="111" t="str">
        <f t="shared" si="92"/>
        <v/>
      </c>
      <c r="M742" s="112" t="str">
        <f t="shared" si="92"/>
        <v/>
      </c>
      <c r="N742" s="112" t="str">
        <f t="shared" si="92"/>
        <v/>
      </c>
      <c r="O742" s="112" t="str">
        <f t="shared" si="86"/>
        <v xml:space="preserve"> </v>
      </c>
      <c r="P742" s="113" t="str">
        <f t="shared" si="87"/>
        <v/>
      </c>
      <c r="Q742" s="114" t="str">
        <f t="shared" si="88"/>
        <v/>
      </c>
      <c r="R742" s="115" t="str">
        <f t="shared" si="89"/>
        <v/>
      </c>
      <c r="S742" s="115" t="str">
        <f t="shared" si="90"/>
        <v/>
      </c>
      <c r="T742" s="116" t="str">
        <f t="shared" si="91"/>
        <v/>
      </c>
      <c r="U742" s="120"/>
      <c r="V742" s="118"/>
    </row>
    <row r="743" spans="1:22" ht="13.2">
      <c r="A743" s="102"/>
      <c r="B743" s="102"/>
      <c r="C743" s="104"/>
      <c r="D743" s="105"/>
      <c r="E743" s="106"/>
      <c r="F743" s="107"/>
      <c r="G743" s="108"/>
      <c r="H743" s="109"/>
      <c r="I743" s="110"/>
      <c r="J743" s="110"/>
      <c r="K743" s="119"/>
      <c r="L743" s="111" t="str">
        <f t="shared" si="92"/>
        <v/>
      </c>
      <c r="M743" s="112" t="str">
        <f t="shared" si="92"/>
        <v/>
      </c>
      <c r="N743" s="112" t="str">
        <f t="shared" si="92"/>
        <v/>
      </c>
      <c r="O743" s="112" t="str">
        <f t="shared" si="86"/>
        <v xml:space="preserve"> </v>
      </c>
      <c r="P743" s="113" t="str">
        <f t="shared" si="87"/>
        <v/>
      </c>
      <c r="Q743" s="114" t="str">
        <f t="shared" si="88"/>
        <v/>
      </c>
      <c r="R743" s="115" t="str">
        <f t="shared" si="89"/>
        <v/>
      </c>
      <c r="S743" s="115" t="str">
        <f t="shared" si="90"/>
        <v/>
      </c>
      <c r="T743" s="116" t="str">
        <f t="shared" si="91"/>
        <v/>
      </c>
      <c r="U743" s="120"/>
      <c r="V743" s="118"/>
    </row>
    <row r="744" spans="1:22" ht="13.2">
      <c r="A744" s="102"/>
      <c r="B744" s="102"/>
      <c r="C744" s="104"/>
      <c r="D744" s="105"/>
      <c r="E744" s="106"/>
      <c r="F744" s="107"/>
      <c r="G744" s="108"/>
      <c r="H744" s="109"/>
      <c r="I744" s="110"/>
      <c r="J744" s="110"/>
      <c r="K744" s="110"/>
      <c r="L744" s="111" t="str">
        <f t="shared" si="92"/>
        <v/>
      </c>
      <c r="M744" s="112" t="str">
        <f t="shared" si="92"/>
        <v/>
      </c>
      <c r="N744" s="112" t="str">
        <f t="shared" si="92"/>
        <v/>
      </c>
      <c r="O744" s="112" t="str">
        <f t="shared" si="86"/>
        <v xml:space="preserve"> </v>
      </c>
      <c r="P744" s="113" t="str">
        <f t="shared" si="87"/>
        <v/>
      </c>
      <c r="Q744" s="114" t="str">
        <f t="shared" si="88"/>
        <v/>
      </c>
      <c r="R744" s="115" t="str">
        <f t="shared" si="89"/>
        <v/>
      </c>
      <c r="S744" s="115" t="str">
        <f t="shared" si="90"/>
        <v/>
      </c>
      <c r="T744" s="116" t="str">
        <f t="shared" si="91"/>
        <v/>
      </c>
      <c r="U744" s="120"/>
      <c r="V744" s="118"/>
    </row>
    <row r="745" spans="1:22" ht="13.2">
      <c r="A745" s="102"/>
      <c r="B745" s="102"/>
      <c r="C745" s="104"/>
      <c r="D745" s="105"/>
      <c r="E745" s="106"/>
      <c r="F745" s="107"/>
      <c r="G745" s="108"/>
      <c r="H745" s="109"/>
      <c r="I745" s="110"/>
      <c r="J745" s="110"/>
      <c r="K745" s="119"/>
      <c r="L745" s="111" t="str">
        <f t="shared" si="92"/>
        <v/>
      </c>
      <c r="M745" s="112" t="str">
        <f t="shared" si="92"/>
        <v/>
      </c>
      <c r="N745" s="112" t="str">
        <f t="shared" si="92"/>
        <v/>
      </c>
      <c r="O745" s="112" t="str">
        <f t="shared" si="86"/>
        <v xml:space="preserve"> </v>
      </c>
      <c r="P745" s="113" t="str">
        <f t="shared" si="87"/>
        <v/>
      </c>
      <c r="Q745" s="114" t="str">
        <f t="shared" si="88"/>
        <v/>
      </c>
      <c r="R745" s="115" t="str">
        <f t="shared" si="89"/>
        <v/>
      </c>
      <c r="S745" s="115" t="str">
        <f t="shared" si="90"/>
        <v/>
      </c>
      <c r="T745" s="116" t="str">
        <f t="shared" si="91"/>
        <v/>
      </c>
      <c r="U745" s="120"/>
      <c r="V745" s="118"/>
    </row>
    <row r="746" spans="1:22" ht="13.2">
      <c r="A746" s="102"/>
      <c r="B746" s="102"/>
      <c r="C746" s="104"/>
      <c r="D746" s="105"/>
      <c r="E746" s="106"/>
      <c r="F746" s="107"/>
      <c r="G746" s="108"/>
      <c r="H746" s="109"/>
      <c r="I746" s="110"/>
      <c r="J746" s="110"/>
      <c r="K746" s="119"/>
      <c r="L746" s="111" t="str">
        <f t="shared" si="92"/>
        <v/>
      </c>
      <c r="M746" s="112" t="str">
        <f t="shared" si="92"/>
        <v/>
      </c>
      <c r="N746" s="112" t="str">
        <f t="shared" si="92"/>
        <v/>
      </c>
      <c r="O746" s="112" t="str">
        <f t="shared" si="86"/>
        <v xml:space="preserve"> </v>
      </c>
      <c r="P746" s="113" t="str">
        <f t="shared" si="87"/>
        <v/>
      </c>
      <c r="Q746" s="114" t="str">
        <f t="shared" si="88"/>
        <v/>
      </c>
      <c r="R746" s="115" t="str">
        <f t="shared" si="89"/>
        <v/>
      </c>
      <c r="S746" s="115" t="str">
        <f t="shared" si="90"/>
        <v/>
      </c>
      <c r="T746" s="116" t="str">
        <f t="shared" si="91"/>
        <v/>
      </c>
      <c r="U746" s="120"/>
      <c r="V746" s="118"/>
    </row>
    <row r="747" spans="1:22" ht="13.2">
      <c r="A747" s="102"/>
      <c r="B747" s="102"/>
      <c r="C747" s="104"/>
      <c r="D747" s="105"/>
      <c r="E747" s="106"/>
      <c r="F747" s="107"/>
      <c r="G747" s="108"/>
      <c r="H747" s="109"/>
      <c r="I747" s="110"/>
      <c r="J747" s="110"/>
      <c r="K747" s="119"/>
      <c r="L747" s="111" t="str">
        <f t="shared" si="92"/>
        <v/>
      </c>
      <c r="M747" s="112" t="str">
        <f t="shared" si="92"/>
        <v/>
      </c>
      <c r="N747" s="112" t="str">
        <f t="shared" si="92"/>
        <v/>
      </c>
      <c r="O747" s="112" t="str">
        <f t="shared" si="86"/>
        <v xml:space="preserve"> </v>
      </c>
      <c r="P747" s="113" t="str">
        <f t="shared" si="87"/>
        <v/>
      </c>
      <c r="Q747" s="114" t="str">
        <f t="shared" si="88"/>
        <v/>
      </c>
      <c r="R747" s="115" t="str">
        <f t="shared" si="89"/>
        <v/>
      </c>
      <c r="S747" s="115" t="str">
        <f t="shared" si="90"/>
        <v/>
      </c>
      <c r="T747" s="116" t="str">
        <f t="shared" si="91"/>
        <v/>
      </c>
      <c r="U747" s="120"/>
      <c r="V747" s="118"/>
    </row>
    <row r="748" spans="1:22" ht="13.2">
      <c r="A748" s="102"/>
      <c r="B748" s="102"/>
      <c r="C748" s="104"/>
      <c r="D748" s="105"/>
      <c r="E748" s="106"/>
      <c r="F748" s="107"/>
      <c r="G748" s="108"/>
      <c r="H748" s="109"/>
      <c r="I748" s="110"/>
      <c r="J748" s="110"/>
      <c r="K748" s="119"/>
      <c r="L748" s="111" t="str">
        <f t="shared" si="92"/>
        <v/>
      </c>
      <c r="M748" s="112" t="str">
        <f t="shared" si="92"/>
        <v/>
      </c>
      <c r="N748" s="112" t="str">
        <f t="shared" si="92"/>
        <v/>
      </c>
      <c r="O748" s="112" t="str">
        <f t="shared" si="86"/>
        <v xml:space="preserve"> </v>
      </c>
      <c r="P748" s="113" t="str">
        <f t="shared" si="87"/>
        <v/>
      </c>
      <c r="Q748" s="114" t="str">
        <f t="shared" si="88"/>
        <v/>
      </c>
      <c r="R748" s="115" t="str">
        <f t="shared" si="89"/>
        <v/>
      </c>
      <c r="S748" s="115" t="str">
        <f t="shared" si="90"/>
        <v/>
      </c>
      <c r="T748" s="116" t="str">
        <f t="shared" si="91"/>
        <v/>
      </c>
      <c r="U748" s="120"/>
      <c r="V748" s="118"/>
    </row>
    <row r="749" spans="1:22" ht="13.2">
      <c r="A749" s="102"/>
      <c r="B749" s="103"/>
      <c r="C749" s="104"/>
      <c r="D749" s="105"/>
      <c r="E749" s="106"/>
      <c r="F749" s="107"/>
      <c r="G749" s="108"/>
      <c r="H749" s="121"/>
      <c r="I749" s="122"/>
      <c r="J749" s="122"/>
      <c r="K749" s="123"/>
      <c r="L749" s="111" t="str">
        <f t="shared" si="92"/>
        <v/>
      </c>
      <c r="M749" s="112" t="str">
        <f t="shared" si="92"/>
        <v/>
      </c>
      <c r="N749" s="112" t="str">
        <f t="shared" si="92"/>
        <v/>
      </c>
      <c r="O749" s="112" t="str">
        <f t="shared" si="86"/>
        <v xml:space="preserve"> </v>
      </c>
      <c r="P749" s="113" t="str">
        <f t="shared" si="87"/>
        <v/>
      </c>
      <c r="Q749" s="114" t="str">
        <f t="shared" si="88"/>
        <v/>
      </c>
      <c r="R749" s="115" t="str">
        <f t="shared" si="89"/>
        <v/>
      </c>
      <c r="S749" s="115" t="str">
        <f t="shared" si="90"/>
        <v/>
      </c>
      <c r="T749" s="116" t="str">
        <f t="shared" si="91"/>
        <v/>
      </c>
      <c r="U749" s="120"/>
      <c r="V749" s="118"/>
    </row>
    <row r="750" spans="1:22" ht="13.2">
      <c r="A750" s="102"/>
      <c r="B750" s="103"/>
      <c r="C750" s="104"/>
      <c r="D750" s="105"/>
      <c r="E750" s="106"/>
      <c r="F750" s="107"/>
      <c r="G750" s="108"/>
      <c r="H750" s="121"/>
      <c r="I750" s="122"/>
      <c r="J750" s="122"/>
      <c r="K750" s="123"/>
      <c r="L750" s="111" t="str">
        <f t="shared" si="92"/>
        <v/>
      </c>
      <c r="M750" s="112" t="str">
        <f t="shared" si="92"/>
        <v/>
      </c>
      <c r="N750" s="112" t="str">
        <f t="shared" si="92"/>
        <v/>
      </c>
      <c r="O750" s="112" t="str">
        <f t="shared" si="86"/>
        <v xml:space="preserve"> </v>
      </c>
      <c r="P750" s="113" t="str">
        <f t="shared" si="87"/>
        <v/>
      </c>
      <c r="Q750" s="114" t="str">
        <f t="shared" si="88"/>
        <v/>
      </c>
      <c r="R750" s="115" t="str">
        <f t="shared" si="89"/>
        <v/>
      </c>
      <c r="S750" s="115" t="str">
        <f t="shared" si="90"/>
        <v/>
      </c>
      <c r="T750" s="116" t="str">
        <f t="shared" si="91"/>
        <v/>
      </c>
      <c r="U750" s="120"/>
      <c r="V750" s="118"/>
    </row>
    <row r="751" spans="1:22" ht="13.2">
      <c r="A751" s="102"/>
      <c r="B751" s="103"/>
      <c r="C751" s="104"/>
      <c r="D751" s="105"/>
      <c r="E751" s="106"/>
      <c r="F751" s="107"/>
      <c r="G751" s="108"/>
      <c r="H751" s="121"/>
      <c r="I751" s="122"/>
      <c r="J751" s="122"/>
      <c r="K751" s="123"/>
      <c r="L751" s="111" t="str">
        <f t="shared" si="92"/>
        <v/>
      </c>
      <c r="M751" s="112" t="str">
        <f t="shared" si="92"/>
        <v/>
      </c>
      <c r="N751" s="112" t="str">
        <f t="shared" si="92"/>
        <v/>
      </c>
      <c r="O751" s="112" t="str">
        <f t="shared" si="86"/>
        <v xml:space="preserve"> </v>
      </c>
      <c r="P751" s="113" t="str">
        <f t="shared" si="87"/>
        <v/>
      </c>
      <c r="Q751" s="114" t="str">
        <f t="shared" si="88"/>
        <v/>
      </c>
      <c r="R751" s="115" t="str">
        <f t="shared" si="89"/>
        <v/>
      </c>
      <c r="S751" s="115" t="str">
        <f t="shared" si="90"/>
        <v/>
      </c>
      <c r="T751" s="116" t="str">
        <f t="shared" si="91"/>
        <v/>
      </c>
      <c r="U751" s="120"/>
      <c r="V751" s="118"/>
    </row>
    <row r="752" spans="1:22" ht="13.2">
      <c r="A752" s="102"/>
      <c r="B752" s="102"/>
      <c r="C752" s="103"/>
      <c r="D752" s="105"/>
      <c r="E752" s="106"/>
      <c r="F752" s="107"/>
      <c r="G752" s="108"/>
      <c r="H752" s="109"/>
      <c r="I752" s="110"/>
      <c r="J752" s="110"/>
      <c r="K752" s="119"/>
      <c r="L752" s="111" t="str">
        <f t="shared" si="92"/>
        <v/>
      </c>
      <c r="M752" s="112" t="str">
        <f t="shared" si="92"/>
        <v/>
      </c>
      <c r="N752" s="112" t="str">
        <f t="shared" si="92"/>
        <v/>
      </c>
      <c r="O752" s="112" t="str">
        <f t="shared" si="86"/>
        <v xml:space="preserve"> </v>
      </c>
      <c r="P752" s="113" t="str">
        <f t="shared" si="87"/>
        <v/>
      </c>
      <c r="Q752" s="114" t="str">
        <f t="shared" si="88"/>
        <v/>
      </c>
      <c r="R752" s="115" t="str">
        <f t="shared" si="89"/>
        <v/>
      </c>
      <c r="S752" s="115" t="str">
        <f t="shared" si="90"/>
        <v/>
      </c>
      <c r="T752" s="116" t="str">
        <f t="shared" si="91"/>
        <v/>
      </c>
      <c r="U752" s="120"/>
      <c r="V752" s="118"/>
    </row>
    <row r="753" spans="1:22" ht="13.2">
      <c r="A753" s="102"/>
      <c r="B753" s="102"/>
      <c r="C753" s="103"/>
      <c r="D753" s="105"/>
      <c r="E753" s="106"/>
      <c r="F753" s="107"/>
      <c r="G753" s="108"/>
      <c r="H753" s="109"/>
      <c r="I753" s="110"/>
      <c r="J753" s="110"/>
      <c r="K753" s="119"/>
      <c r="L753" s="111" t="str">
        <f t="shared" si="92"/>
        <v/>
      </c>
      <c r="M753" s="112" t="str">
        <f t="shared" si="92"/>
        <v/>
      </c>
      <c r="N753" s="112" t="str">
        <f t="shared" si="92"/>
        <v/>
      </c>
      <c r="O753" s="112" t="str">
        <f t="shared" si="86"/>
        <v xml:space="preserve"> </v>
      </c>
      <c r="P753" s="113" t="str">
        <f t="shared" si="87"/>
        <v/>
      </c>
      <c r="Q753" s="114" t="str">
        <f t="shared" si="88"/>
        <v/>
      </c>
      <c r="R753" s="115" t="str">
        <f t="shared" si="89"/>
        <v/>
      </c>
      <c r="S753" s="115" t="str">
        <f t="shared" si="90"/>
        <v/>
      </c>
      <c r="T753" s="116" t="str">
        <f t="shared" si="91"/>
        <v/>
      </c>
      <c r="U753" s="120"/>
      <c r="V753" s="118"/>
    </row>
    <row r="754" spans="1:22" ht="13.2">
      <c r="A754" s="102"/>
      <c r="B754" s="102"/>
      <c r="C754" s="104"/>
      <c r="D754" s="105"/>
      <c r="E754" s="106"/>
      <c r="F754" s="107"/>
      <c r="G754" s="108"/>
      <c r="H754" s="109"/>
      <c r="I754" s="110"/>
      <c r="J754" s="110"/>
      <c r="K754" s="119"/>
      <c r="L754" s="111" t="str">
        <f t="shared" si="92"/>
        <v/>
      </c>
      <c r="M754" s="112" t="str">
        <f t="shared" si="92"/>
        <v/>
      </c>
      <c r="N754" s="112" t="str">
        <f t="shared" si="92"/>
        <v/>
      </c>
      <c r="O754" s="112" t="str">
        <f t="shared" si="86"/>
        <v xml:space="preserve"> </v>
      </c>
      <c r="P754" s="113" t="str">
        <f t="shared" si="87"/>
        <v/>
      </c>
      <c r="Q754" s="114" t="str">
        <f t="shared" si="88"/>
        <v/>
      </c>
      <c r="R754" s="115" t="str">
        <f t="shared" si="89"/>
        <v/>
      </c>
      <c r="S754" s="115" t="str">
        <f t="shared" si="90"/>
        <v/>
      </c>
      <c r="T754" s="116" t="str">
        <f t="shared" si="91"/>
        <v/>
      </c>
      <c r="U754" s="120"/>
      <c r="V754" s="118"/>
    </row>
    <row r="755" spans="1:22" ht="13.2">
      <c r="A755" s="102"/>
      <c r="B755" s="102"/>
      <c r="C755" s="104"/>
      <c r="D755" s="105"/>
      <c r="E755" s="106"/>
      <c r="F755" s="107"/>
      <c r="G755" s="108"/>
      <c r="H755" s="109"/>
      <c r="I755" s="110"/>
      <c r="J755" s="110"/>
      <c r="K755" s="119"/>
      <c r="L755" s="111" t="str">
        <f t="shared" si="92"/>
        <v/>
      </c>
      <c r="M755" s="112" t="str">
        <f t="shared" si="92"/>
        <v/>
      </c>
      <c r="N755" s="112" t="str">
        <f t="shared" si="92"/>
        <v/>
      </c>
      <c r="O755" s="112" t="str">
        <f t="shared" si="86"/>
        <v xml:space="preserve"> </v>
      </c>
      <c r="P755" s="113" t="str">
        <f t="shared" si="87"/>
        <v/>
      </c>
      <c r="Q755" s="114" t="str">
        <f t="shared" si="88"/>
        <v/>
      </c>
      <c r="R755" s="115" t="str">
        <f t="shared" si="89"/>
        <v/>
      </c>
      <c r="S755" s="115" t="str">
        <f t="shared" si="90"/>
        <v/>
      </c>
      <c r="T755" s="116" t="str">
        <f t="shared" si="91"/>
        <v/>
      </c>
      <c r="U755" s="120"/>
      <c r="V755" s="118"/>
    </row>
    <row r="756" spans="1:22" ht="13.2">
      <c r="A756" s="102"/>
      <c r="B756" s="102"/>
      <c r="C756" s="104"/>
      <c r="D756" s="105"/>
      <c r="E756" s="106"/>
      <c r="F756" s="107"/>
      <c r="G756" s="108"/>
      <c r="H756" s="109"/>
      <c r="I756" s="110"/>
      <c r="J756" s="110"/>
      <c r="K756" s="119"/>
      <c r="L756" s="111" t="str">
        <f t="shared" si="92"/>
        <v/>
      </c>
      <c r="M756" s="112" t="str">
        <f t="shared" si="92"/>
        <v/>
      </c>
      <c r="N756" s="112" t="str">
        <f t="shared" si="92"/>
        <v/>
      </c>
      <c r="O756" s="112" t="str">
        <f t="shared" si="86"/>
        <v xml:space="preserve"> </v>
      </c>
      <c r="P756" s="113" t="str">
        <f t="shared" si="87"/>
        <v/>
      </c>
      <c r="Q756" s="114" t="str">
        <f t="shared" si="88"/>
        <v/>
      </c>
      <c r="R756" s="115" t="str">
        <f t="shared" si="89"/>
        <v/>
      </c>
      <c r="S756" s="115" t="str">
        <f t="shared" si="90"/>
        <v/>
      </c>
      <c r="T756" s="116" t="str">
        <f t="shared" si="91"/>
        <v/>
      </c>
      <c r="U756" s="120"/>
      <c r="V756" s="118"/>
    </row>
    <row r="757" spans="1:22" ht="13.2">
      <c r="A757" s="102"/>
      <c r="B757" s="102"/>
      <c r="C757" s="104"/>
      <c r="D757" s="105"/>
      <c r="E757" s="106"/>
      <c r="F757" s="107"/>
      <c r="G757" s="108"/>
      <c r="H757" s="109"/>
      <c r="I757" s="110"/>
      <c r="J757" s="110"/>
      <c r="K757" s="119"/>
      <c r="L757" s="111" t="str">
        <f t="shared" si="92"/>
        <v/>
      </c>
      <c r="M757" s="112" t="str">
        <f t="shared" si="92"/>
        <v/>
      </c>
      <c r="N757" s="112" t="str">
        <f t="shared" si="92"/>
        <v/>
      </c>
      <c r="O757" s="112" t="str">
        <f t="shared" si="86"/>
        <v xml:space="preserve"> </v>
      </c>
      <c r="P757" s="113" t="str">
        <f t="shared" si="87"/>
        <v/>
      </c>
      <c r="Q757" s="114" t="str">
        <f t="shared" si="88"/>
        <v/>
      </c>
      <c r="R757" s="115" t="str">
        <f t="shared" si="89"/>
        <v/>
      </c>
      <c r="S757" s="115" t="str">
        <f t="shared" si="90"/>
        <v/>
      </c>
      <c r="T757" s="116" t="str">
        <f t="shared" si="91"/>
        <v/>
      </c>
      <c r="U757" s="120"/>
      <c r="V757" s="118"/>
    </row>
    <row r="758" spans="1:22" ht="13.2">
      <c r="A758" s="102"/>
      <c r="B758" s="102"/>
      <c r="C758" s="104"/>
      <c r="D758" s="105"/>
      <c r="E758" s="106"/>
      <c r="F758" s="107"/>
      <c r="G758" s="108"/>
      <c r="H758" s="109"/>
      <c r="I758" s="110"/>
      <c r="J758" s="110"/>
      <c r="K758" s="119"/>
      <c r="L758" s="111" t="str">
        <f t="shared" si="92"/>
        <v/>
      </c>
      <c r="M758" s="112" t="str">
        <f t="shared" si="92"/>
        <v/>
      </c>
      <c r="N758" s="112" t="str">
        <f t="shared" si="92"/>
        <v/>
      </c>
      <c r="O758" s="112" t="str">
        <f t="shared" si="86"/>
        <v xml:space="preserve"> </v>
      </c>
      <c r="P758" s="113" t="str">
        <f t="shared" si="87"/>
        <v/>
      </c>
      <c r="Q758" s="114" t="str">
        <f t="shared" si="88"/>
        <v/>
      </c>
      <c r="R758" s="115" t="str">
        <f t="shared" si="89"/>
        <v/>
      </c>
      <c r="S758" s="115" t="str">
        <f t="shared" si="90"/>
        <v/>
      </c>
      <c r="T758" s="116" t="str">
        <f t="shared" si="91"/>
        <v/>
      </c>
      <c r="U758" s="120"/>
      <c r="V758" s="118"/>
    </row>
    <row r="759" spans="1:22" ht="13.2">
      <c r="A759" s="102"/>
      <c r="B759" s="102"/>
      <c r="C759" s="104"/>
      <c r="D759" s="105"/>
      <c r="E759" s="106"/>
      <c r="F759" s="107"/>
      <c r="G759" s="108"/>
      <c r="H759" s="109"/>
      <c r="I759" s="110"/>
      <c r="J759" s="110"/>
      <c r="K759" s="110"/>
      <c r="L759" s="111" t="str">
        <f t="shared" si="92"/>
        <v/>
      </c>
      <c r="M759" s="112" t="str">
        <f t="shared" si="92"/>
        <v/>
      </c>
      <c r="N759" s="112" t="str">
        <f t="shared" si="92"/>
        <v/>
      </c>
      <c r="O759" s="112" t="str">
        <f t="shared" si="86"/>
        <v xml:space="preserve"> </v>
      </c>
      <c r="P759" s="113" t="str">
        <f t="shared" si="87"/>
        <v/>
      </c>
      <c r="Q759" s="114" t="str">
        <f t="shared" si="88"/>
        <v/>
      </c>
      <c r="R759" s="115" t="str">
        <f t="shared" si="89"/>
        <v/>
      </c>
      <c r="S759" s="115" t="str">
        <f t="shared" si="90"/>
        <v/>
      </c>
      <c r="T759" s="116" t="str">
        <f t="shared" si="91"/>
        <v/>
      </c>
      <c r="U759" s="120"/>
      <c r="V759" s="118"/>
    </row>
    <row r="760" spans="1:22" ht="13.2">
      <c r="A760" s="102"/>
      <c r="B760" s="102"/>
      <c r="C760" s="104"/>
      <c r="D760" s="105"/>
      <c r="E760" s="106"/>
      <c r="F760" s="107"/>
      <c r="G760" s="108"/>
      <c r="H760" s="109"/>
      <c r="I760" s="110"/>
      <c r="J760" s="110"/>
      <c r="K760" s="119"/>
      <c r="L760" s="111" t="str">
        <f t="shared" si="92"/>
        <v/>
      </c>
      <c r="M760" s="112" t="str">
        <f t="shared" si="92"/>
        <v/>
      </c>
      <c r="N760" s="112" t="str">
        <f t="shared" si="92"/>
        <v/>
      </c>
      <c r="O760" s="112" t="str">
        <f t="shared" si="86"/>
        <v xml:space="preserve"> </v>
      </c>
      <c r="P760" s="113" t="str">
        <f t="shared" si="87"/>
        <v/>
      </c>
      <c r="Q760" s="114" t="str">
        <f t="shared" si="88"/>
        <v/>
      </c>
      <c r="R760" s="115" t="str">
        <f t="shared" si="89"/>
        <v/>
      </c>
      <c r="S760" s="115" t="str">
        <f t="shared" si="90"/>
        <v/>
      </c>
      <c r="T760" s="116" t="str">
        <f t="shared" si="91"/>
        <v/>
      </c>
      <c r="U760" s="120"/>
      <c r="V760" s="118"/>
    </row>
    <row r="761" spans="1:22" ht="13.2">
      <c r="A761" s="102"/>
      <c r="B761" s="102"/>
      <c r="C761" s="104"/>
      <c r="D761" s="105"/>
      <c r="E761" s="106"/>
      <c r="F761" s="107"/>
      <c r="G761" s="108"/>
      <c r="H761" s="109"/>
      <c r="I761" s="110"/>
      <c r="J761" s="110"/>
      <c r="K761" s="119"/>
      <c r="L761" s="111" t="str">
        <f t="shared" si="92"/>
        <v/>
      </c>
      <c r="M761" s="112" t="str">
        <f t="shared" si="92"/>
        <v/>
      </c>
      <c r="N761" s="112" t="str">
        <f t="shared" si="92"/>
        <v/>
      </c>
      <c r="O761" s="112" t="str">
        <f t="shared" si="86"/>
        <v xml:space="preserve"> </v>
      </c>
      <c r="P761" s="113" t="str">
        <f t="shared" si="87"/>
        <v/>
      </c>
      <c r="Q761" s="114" t="str">
        <f t="shared" si="88"/>
        <v/>
      </c>
      <c r="R761" s="115" t="str">
        <f t="shared" si="89"/>
        <v/>
      </c>
      <c r="S761" s="115" t="str">
        <f t="shared" si="90"/>
        <v/>
      </c>
      <c r="T761" s="116" t="str">
        <f t="shared" si="91"/>
        <v/>
      </c>
      <c r="U761" s="120"/>
      <c r="V761" s="118"/>
    </row>
    <row r="762" spans="1:22" ht="13.2">
      <c r="A762" s="102"/>
      <c r="B762" s="102"/>
      <c r="C762" s="104"/>
      <c r="D762" s="105"/>
      <c r="E762" s="106"/>
      <c r="F762" s="107"/>
      <c r="G762" s="108"/>
      <c r="H762" s="109"/>
      <c r="I762" s="110"/>
      <c r="J762" s="110"/>
      <c r="K762" s="119"/>
      <c r="L762" s="111" t="str">
        <f t="shared" si="92"/>
        <v/>
      </c>
      <c r="M762" s="112" t="str">
        <f t="shared" si="92"/>
        <v/>
      </c>
      <c r="N762" s="112" t="str">
        <f t="shared" si="92"/>
        <v/>
      </c>
      <c r="O762" s="112" t="str">
        <f t="shared" si="86"/>
        <v xml:space="preserve"> </v>
      </c>
      <c r="P762" s="113" t="str">
        <f t="shared" si="87"/>
        <v/>
      </c>
      <c r="Q762" s="114" t="str">
        <f t="shared" si="88"/>
        <v/>
      </c>
      <c r="R762" s="115" t="str">
        <f t="shared" si="89"/>
        <v/>
      </c>
      <c r="S762" s="115" t="str">
        <f t="shared" si="90"/>
        <v/>
      </c>
      <c r="T762" s="116" t="str">
        <f t="shared" si="91"/>
        <v/>
      </c>
      <c r="U762" s="120"/>
      <c r="V762" s="118"/>
    </row>
    <row r="763" spans="1:22" ht="13.2">
      <c r="A763" s="102"/>
      <c r="B763" s="102"/>
      <c r="C763" s="104"/>
      <c r="D763" s="105"/>
      <c r="E763" s="106"/>
      <c r="F763" s="107"/>
      <c r="G763" s="108"/>
      <c r="H763" s="109"/>
      <c r="I763" s="110"/>
      <c r="J763" s="110"/>
      <c r="K763" s="119"/>
      <c r="L763" s="111" t="str">
        <f t="shared" si="92"/>
        <v/>
      </c>
      <c r="M763" s="112" t="str">
        <f t="shared" si="92"/>
        <v/>
      </c>
      <c r="N763" s="112" t="str">
        <f t="shared" si="92"/>
        <v/>
      </c>
      <c r="O763" s="112" t="str">
        <f t="shared" si="86"/>
        <v xml:space="preserve"> </v>
      </c>
      <c r="P763" s="113" t="str">
        <f t="shared" si="87"/>
        <v/>
      </c>
      <c r="Q763" s="114" t="str">
        <f t="shared" si="88"/>
        <v/>
      </c>
      <c r="R763" s="115" t="str">
        <f t="shared" si="89"/>
        <v/>
      </c>
      <c r="S763" s="115" t="str">
        <f t="shared" si="90"/>
        <v/>
      </c>
      <c r="T763" s="116" t="str">
        <f t="shared" si="91"/>
        <v/>
      </c>
      <c r="U763" s="120"/>
      <c r="V763" s="118"/>
    </row>
    <row r="764" spans="1:22" ht="13.2">
      <c r="A764" s="102"/>
      <c r="B764" s="103"/>
      <c r="C764" s="104"/>
      <c r="D764" s="105"/>
      <c r="E764" s="106"/>
      <c r="F764" s="107"/>
      <c r="G764" s="108"/>
      <c r="H764" s="121"/>
      <c r="I764" s="122"/>
      <c r="J764" s="122"/>
      <c r="K764" s="123"/>
      <c r="L764" s="111" t="str">
        <f t="shared" si="92"/>
        <v/>
      </c>
      <c r="M764" s="112" t="str">
        <f t="shared" si="92"/>
        <v/>
      </c>
      <c r="N764" s="112" t="str">
        <f t="shared" si="92"/>
        <v/>
      </c>
      <c r="O764" s="112" t="str">
        <f t="shared" si="86"/>
        <v xml:space="preserve"> </v>
      </c>
      <c r="P764" s="113" t="str">
        <f t="shared" si="87"/>
        <v/>
      </c>
      <c r="Q764" s="114" t="str">
        <f t="shared" si="88"/>
        <v/>
      </c>
      <c r="R764" s="115" t="str">
        <f t="shared" si="89"/>
        <v/>
      </c>
      <c r="S764" s="115" t="str">
        <f t="shared" si="90"/>
        <v/>
      </c>
      <c r="T764" s="116" t="str">
        <f t="shared" si="91"/>
        <v/>
      </c>
      <c r="U764" s="120"/>
      <c r="V764" s="118"/>
    </row>
    <row r="765" spans="1:22" ht="13.2">
      <c r="A765" s="102"/>
      <c r="B765" s="103"/>
      <c r="C765" s="104"/>
      <c r="D765" s="105"/>
      <c r="E765" s="106"/>
      <c r="F765" s="107"/>
      <c r="G765" s="108"/>
      <c r="H765" s="121"/>
      <c r="I765" s="122"/>
      <c r="J765" s="122"/>
      <c r="K765" s="123"/>
      <c r="L765" s="111" t="str">
        <f t="shared" si="92"/>
        <v/>
      </c>
      <c r="M765" s="112" t="str">
        <f t="shared" si="92"/>
        <v/>
      </c>
      <c r="N765" s="112" t="str">
        <f t="shared" si="92"/>
        <v/>
      </c>
      <c r="O765" s="112" t="str">
        <f t="shared" si="86"/>
        <v xml:space="preserve"> </v>
      </c>
      <c r="P765" s="113" t="str">
        <f t="shared" si="87"/>
        <v/>
      </c>
      <c r="Q765" s="114" t="str">
        <f t="shared" si="88"/>
        <v/>
      </c>
      <c r="R765" s="115" t="str">
        <f t="shared" si="89"/>
        <v/>
      </c>
      <c r="S765" s="115" t="str">
        <f t="shared" si="90"/>
        <v/>
      </c>
      <c r="T765" s="116" t="str">
        <f t="shared" si="91"/>
        <v/>
      </c>
      <c r="U765" s="120"/>
      <c r="V765" s="118"/>
    </row>
    <row r="766" spans="1:22" ht="13.2">
      <c r="A766" s="102"/>
      <c r="B766" s="103"/>
      <c r="C766" s="104"/>
      <c r="D766" s="105"/>
      <c r="E766" s="106"/>
      <c r="F766" s="107"/>
      <c r="G766" s="108"/>
      <c r="H766" s="121"/>
      <c r="I766" s="122"/>
      <c r="J766" s="122"/>
      <c r="K766" s="123"/>
      <c r="L766" s="111" t="str">
        <f t="shared" si="92"/>
        <v/>
      </c>
      <c r="M766" s="112" t="str">
        <f t="shared" si="92"/>
        <v/>
      </c>
      <c r="N766" s="112" t="str">
        <f t="shared" si="92"/>
        <v/>
      </c>
      <c r="O766" s="112" t="str">
        <f t="shared" ref="O766:O829" si="93">IF(ISERR(I766/I766)=TRUE," ",AVERAGE(I766:K766))</f>
        <v xml:space="preserve"> </v>
      </c>
      <c r="P766" s="113" t="str">
        <f t="shared" ref="P766:P829" si="94">IF(ISBLANK($E766),"",IF(ISNUMBER(F766)=FALSE,"BAD TOL", IF(F766=0,"N/A",IF(ISERR(I766/I766)=TRUE,"BAD INSP",IF(AND(ISNUMBER($I766),ISNUMBER($J766),ISNUMBER($K766))=FALSE,"BAD INSP",IF(MAX($I766:$K766)&lt;$E766,0,(MAX($I766:$K766)-$E766)/$F766))))))</f>
        <v/>
      </c>
      <c r="Q766" s="114" t="str">
        <f t="shared" ref="Q766:Q829" si="95">IF(ISBLANK($E766),"",IF(ISNUMBER(G766)=FALSE,"BAD TOL",IF(G766=0,"N/A",IF(ISERR(I766/I766)=TRUE,"BAD INSP",IF(AND(ISNUMBER($I766),ISNUMBER($J766),ISNUMBER($K766))=FALSE,"BAD INSP",IF(MIN(I766:K766)&gt;$E766,0,($E766-MIN(I766:K766))/G766))))))</f>
        <v/>
      </c>
      <c r="R766" s="115" t="str">
        <f t="shared" ref="R766:R829" si="96">IF(ISBLANK($E766),"",IF(ISNUMBER($P766)=TRUE,IF($P766&gt;0.651,IF($P766&gt;1.001,"Reject","Alert")," "),IF(AND(F766=0, ISNUMBER(F766)),IF(MAX(I766:K766)&gt;(E766+F766),"Reject",IF(MAX(I766:K766)=(E766+F766),"Alert","")),"Reject")))</f>
        <v/>
      </c>
      <c r="S766" s="115" t="str">
        <f t="shared" ref="S766:S829" si="97">IF(ISBLANK($E766),"",IF(ISNUMBER($Q766)=TRUE,IF($Q766&gt;0.651,IF($Q766&gt;1.001,"Reject","Alert")," "),IF(AND(G766=0, ISNUMBER(G766)),IF(MIN(I766:K766)&lt;(E766-G766),"Reject",IF(MIN(I766:K766)=(E766-G766),"Alert","")),"Reject")))</f>
        <v/>
      </c>
      <c r="T766" s="116" t="str">
        <f t="shared" ref="T766:T829" si="98">IF(OR(R766="Reject",S766="Reject"),"Reject",IF(OR(R766="Alert",S766="Alert"),"Alert", ""))</f>
        <v/>
      </c>
      <c r="U766" s="120"/>
      <c r="V766" s="118"/>
    </row>
    <row r="767" spans="1:22" ht="13.2">
      <c r="A767" s="102"/>
      <c r="B767" s="102"/>
      <c r="C767" s="103"/>
      <c r="D767" s="105"/>
      <c r="E767" s="106"/>
      <c r="F767" s="107"/>
      <c r="G767" s="108"/>
      <c r="H767" s="109"/>
      <c r="I767" s="110"/>
      <c r="J767" s="110"/>
      <c r="K767" s="119"/>
      <c r="L767" s="111" t="str">
        <f t="shared" si="92"/>
        <v/>
      </c>
      <c r="M767" s="112" t="str">
        <f t="shared" si="92"/>
        <v/>
      </c>
      <c r="N767" s="112" t="str">
        <f t="shared" si="92"/>
        <v/>
      </c>
      <c r="O767" s="112" t="str">
        <f t="shared" si="93"/>
        <v xml:space="preserve"> </v>
      </c>
      <c r="P767" s="113" t="str">
        <f t="shared" si="94"/>
        <v/>
      </c>
      <c r="Q767" s="114" t="str">
        <f t="shared" si="95"/>
        <v/>
      </c>
      <c r="R767" s="115" t="str">
        <f t="shared" si="96"/>
        <v/>
      </c>
      <c r="S767" s="115" t="str">
        <f t="shared" si="97"/>
        <v/>
      </c>
      <c r="T767" s="116" t="str">
        <f t="shared" si="98"/>
        <v/>
      </c>
      <c r="U767" s="120"/>
      <c r="V767" s="118"/>
    </row>
    <row r="768" spans="1:22" ht="13.2">
      <c r="A768" s="102"/>
      <c r="B768" s="102"/>
      <c r="C768" s="103"/>
      <c r="D768" s="105"/>
      <c r="E768" s="106"/>
      <c r="F768" s="107"/>
      <c r="G768" s="108"/>
      <c r="H768" s="109"/>
      <c r="I768" s="110"/>
      <c r="J768" s="110"/>
      <c r="K768" s="119"/>
      <c r="L768" s="111" t="str">
        <f t="shared" si="92"/>
        <v/>
      </c>
      <c r="M768" s="112" t="str">
        <f t="shared" si="92"/>
        <v/>
      </c>
      <c r="N768" s="112" t="str">
        <f t="shared" si="92"/>
        <v/>
      </c>
      <c r="O768" s="112" t="str">
        <f t="shared" si="93"/>
        <v xml:space="preserve"> </v>
      </c>
      <c r="P768" s="113" t="str">
        <f t="shared" si="94"/>
        <v/>
      </c>
      <c r="Q768" s="114" t="str">
        <f t="shared" si="95"/>
        <v/>
      </c>
      <c r="R768" s="115" t="str">
        <f t="shared" si="96"/>
        <v/>
      </c>
      <c r="S768" s="115" t="str">
        <f t="shared" si="97"/>
        <v/>
      </c>
      <c r="T768" s="116" t="str">
        <f t="shared" si="98"/>
        <v/>
      </c>
      <c r="U768" s="120"/>
      <c r="V768" s="118"/>
    </row>
    <row r="769" spans="1:22" ht="13.2">
      <c r="A769" s="102"/>
      <c r="B769" s="102"/>
      <c r="C769" s="104"/>
      <c r="D769" s="105"/>
      <c r="E769" s="106"/>
      <c r="F769" s="107"/>
      <c r="G769" s="108"/>
      <c r="H769" s="109"/>
      <c r="I769" s="110"/>
      <c r="J769" s="110"/>
      <c r="K769" s="119"/>
      <c r="L769" s="111" t="str">
        <f t="shared" si="92"/>
        <v/>
      </c>
      <c r="M769" s="112" t="str">
        <f t="shared" si="92"/>
        <v/>
      </c>
      <c r="N769" s="112" t="str">
        <f t="shared" si="92"/>
        <v/>
      </c>
      <c r="O769" s="112" t="str">
        <f t="shared" si="93"/>
        <v xml:space="preserve"> </v>
      </c>
      <c r="P769" s="113" t="str">
        <f t="shared" si="94"/>
        <v/>
      </c>
      <c r="Q769" s="114" t="str">
        <f t="shared" si="95"/>
        <v/>
      </c>
      <c r="R769" s="115" t="str">
        <f t="shared" si="96"/>
        <v/>
      </c>
      <c r="S769" s="115" t="str">
        <f t="shared" si="97"/>
        <v/>
      </c>
      <c r="T769" s="116" t="str">
        <f t="shared" si="98"/>
        <v/>
      </c>
      <c r="U769" s="120"/>
      <c r="V769" s="118"/>
    </row>
    <row r="770" spans="1:22" ht="13.2">
      <c r="A770" s="102"/>
      <c r="B770" s="102"/>
      <c r="C770" s="104"/>
      <c r="D770" s="105"/>
      <c r="E770" s="106"/>
      <c r="F770" s="107"/>
      <c r="G770" s="108"/>
      <c r="H770" s="109"/>
      <c r="I770" s="110"/>
      <c r="J770" s="110"/>
      <c r="K770" s="119"/>
      <c r="L770" s="111" t="str">
        <f t="shared" si="92"/>
        <v/>
      </c>
      <c r="M770" s="112" t="str">
        <f t="shared" si="92"/>
        <v/>
      </c>
      <c r="N770" s="112" t="str">
        <f t="shared" si="92"/>
        <v/>
      </c>
      <c r="O770" s="112" t="str">
        <f t="shared" si="93"/>
        <v xml:space="preserve"> </v>
      </c>
      <c r="P770" s="113" t="str">
        <f t="shared" si="94"/>
        <v/>
      </c>
      <c r="Q770" s="114" t="str">
        <f t="shared" si="95"/>
        <v/>
      </c>
      <c r="R770" s="115" t="str">
        <f t="shared" si="96"/>
        <v/>
      </c>
      <c r="S770" s="115" t="str">
        <f t="shared" si="97"/>
        <v/>
      </c>
      <c r="T770" s="116" t="str">
        <f t="shared" si="98"/>
        <v/>
      </c>
      <c r="U770" s="120"/>
      <c r="V770" s="118"/>
    </row>
    <row r="771" spans="1:22" ht="13.2">
      <c r="A771" s="102"/>
      <c r="B771" s="102"/>
      <c r="C771" s="104"/>
      <c r="D771" s="105"/>
      <c r="E771" s="106"/>
      <c r="F771" s="107"/>
      <c r="G771" s="108"/>
      <c r="H771" s="109"/>
      <c r="I771" s="110"/>
      <c r="J771" s="110"/>
      <c r="K771" s="119"/>
      <c r="L771" s="111" t="str">
        <f t="shared" si="92"/>
        <v/>
      </c>
      <c r="M771" s="112" t="str">
        <f t="shared" si="92"/>
        <v/>
      </c>
      <c r="N771" s="112" t="str">
        <f t="shared" si="92"/>
        <v/>
      </c>
      <c r="O771" s="112" t="str">
        <f t="shared" si="93"/>
        <v xml:space="preserve"> </v>
      </c>
      <c r="P771" s="113" t="str">
        <f t="shared" si="94"/>
        <v/>
      </c>
      <c r="Q771" s="114" t="str">
        <f t="shared" si="95"/>
        <v/>
      </c>
      <c r="R771" s="115" t="str">
        <f t="shared" si="96"/>
        <v/>
      </c>
      <c r="S771" s="115" t="str">
        <f t="shared" si="97"/>
        <v/>
      </c>
      <c r="T771" s="116" t="str">
        <f t="shared" si="98"/>
        <v/>
      </c>
      <c r="U771" s="120"/>
      <c r="V771" s="118"/>
    </row>
    <row r="772" spans="1:22" ht="13.2">
      <c r="A772" s="102"/>
      <c r="B772" s="102"/>
      <c r="C772" s="104"/>
      <c r="D772" s="105"/>
      <c r="E772" s="106"/>
      <c r="F772" s="107"/>
      <c r="G772" s="108"/>
      <c r="H772" s="109"/>
      <c r="I772" s="110"/>
      <c r="J772" s="110"/>
      <c r="K772" s="119"/>
      <c r="L772" s="111" t="str">
        <f t="shared" si="92"/>
        <v/>
      </c>
      <c r="M772" s="112" t="str">
        <f t="shared" si="92"/>
        <v/>
      </c>
      <c r="N772" s="112" t="str">
        <f t="shared" si="92"/>
        <v/>
      </c>
      <c r="O772" s="112" t="str">
        <f t="shared" si="93"/>
        <v xml:space="preserve"> </v>
      </c>
      <c r="P772" s="113" t="str">
        <f t="shared" si="94"/>
        <v/>
      </c>
      <c r="Q772" s="114" t="str">
        <f t="shared" si="95"/>
        <v/>
      </c>
      <c r="R772" s="115" t="str">
        <f t="shared" si="96"/>
        <v/>
      </c>
      <c r="S772" s="115" t="str">
        <f t="shared" si="97"/>
        <v/>
      </c>
      <c r="T772" s="116" t="str">
        <f t="shared" si="98"/>
        <v/>
      </c>
      <c r="U772" s="120"/>
      <c r="V772" s="118"/>
    </row>
    <row r="773" spans="1:22" ht="13.2">
      <c r="A773" s="102"/>
      <c r="B773" s="102"/>
      <c r="C773" s="104"/>
      <c r="D773" s="105"/>
      <c r="E773" s="106"/>
      <c r="F773" s="107"/>
      <c r="G773" s="108"/>
      <c r="H773" s="109"/>
      <c r="I773" s="110"/>
      <c r="J773" s="110"/>
      <c r="K773" s="119"/>
      <c r="L773" s="111" t="str">
        <f t="shared" si="92"/>
        <v/>
      </c>
      <c r="M773" s="112" t="str">
        <f t="shared" si="92"/>
        <v/>
      </c>
      <c r="N773" s="112" t="str">
        <f t="shared" si="92"/>
        <v/>
      </c>
      <c r="O773" s="112" t="str">
        <f t="shared" si="93"/>
        <v xml:space="preserve"> </v>
      </c>
      <c r="P773" s="113" t="str">
        <f t="shared" si="94"/>
        <v/>
      </c>
      <c r="Q773" s="114" t="str">
        <f t="shared" si="95"/>
        <v/>
      </c>
      <c r="R773" s="115" t="str">
        <f t="shared" si="96"/>
        <v/>
      </c>
      <c r="S773" s="115" t="str">
        <f t="shared" si="97"/>
        <v/>
      </c>
      <c r="T773" s="116" t="str">
        <f t="shared" si="98"/>
        <v/>
      </c>
      <c r="U773" s="120"/>
      <c r="V773" s="118"/>
    </row>
    <row r="774" spans="1:22" ht="13.2">
      <c r="A774" s="102"/>
      <c r="B774" s="102"/>
      <c r="C774" s="104"/>
      <c r="D774" s="105"/>
      <c r="E774" s="106"/>
      <c r="F774" s="107"/>
      <c r="G774" s="108"/>
      <c r="H774" s="109"/>
      <c r="I774" s="110"/>
      <c r="J774" s="110"/>
      <c r="K774" s="110"/>
      <c r="L774" s="111" t="str">
        <f t="shared" si="92"/>
        <v/>
      </c>
      <c r="M774" s="112" t="str">
        <f t="shared" si="92"/>
        <v/>
      </c>
      <c r="N774" s="112" t="str">
        <f t="shared" si="92"/>
        <v/>
      </c>
      <c r="O774" s="112" t="str">
        <f t="shared" si="93"/>
        <v xml:space="preserve"> </v>
      </c>
      <c r="P774" s="113" t="str">
        <f t="shared" si="94"/>
        <v/>
      </c>
      <c r="Q774" s="114" t="str">
        <f t="shared" si="95"/>
        <v/>
      </c>
      <c r="R774" s="115" t="str">
        <f t="shared" si="96"/>
        <v/>
      </c>
      <c r="S774" s="115" t="str">
        <f t="shared" si="97"/>
        <v/>
      </c>
      <c r="T774" s="116" t="str">
        <f t="shared" si="98"/>
        <v/>
      </c>
      <c r="U774" s="120"/>
      <c r="V774" s="118"/>
    </row>
    <row r="775" spans="1:22" ht="13.2">
      <c r="A775" s="102"/>
      <c r="B775" s="102"/>
      <c r="C775" s="104"/>
      <c r="D775" s="105"/>
      <c r="E775" s="106"/>
      <c r="F775" s="107"/>
      <c r="G775" s="108"/>
      <c r="H775" s="109"/>
      <c r="I775" s="110"/>
      <c r="J775" s="110"/>
      <c r="K775" s="119"/>
      <c r="L775" s="111" t="str">
        <f t="shared" si="92"/>
        <v/>
      </c>
      <c r="M775" s="112" t="str">
        <f t="shared" si="92"/>
        <v/>
      </c>
      <c r="N775" s="112" t="str">
        <f t="shared" si="92"/>
        <v/>
      </c>
      <c r="O775" s="112" t="str">
        <f t="shared" si="93"/>
        <v xml:space="preserve"> </v>
      </c>
      <c r="P775" s="113" t="str">
        <f t="shared" si="94"/>
        <v/>
      </c>
      <c r="Q775" s="114" t="str">
        <f t="shared" si="95"/>
        <v/>
      </c>
      <c r="R775" s="115" t="str">
        <f t="shared" si="96"/>
        <v/>
      </c>
      <c r="S775" s="115" t="str">
        <f t="shared" si="97"/>
        <v/>
      </c>
      <c r="T775" s="116" t="str">
        <f t="shared" si="98"/>
        <v/>
      </c>
      <c r="U775" s="120"/>
      <c r="V775" s="118"/>
    </row>
    <row r="776" spans="1:22" ht="13.2">
      <c r="A776" s="102"/>
      <c r="B776" s="102"/>
      <c r="C776" s="104"/>
      <c r="D776" s="105"/>
      <c r="E776" s="106"/>
      <c r="F776" s="107"/>
      <c r="G776" s="108"/>
      <c r="H776" s="109"/>
      <c r="I776" s="110"/>
      <c r="J776" s="110"/>
      <c r="K776" s="119"/>
      <c r="L776" s="111" t="str">
        <f t="shared" si="92"/>
        <v/>
      </c>
      <c r="M776" s="112" t="str">
        <f t="shared" si="92"/>
        <v/>
      </c>
      <c r="N776" s="112" t="str">
        <f t="shared" si="92"/>
        <v/>
      </c>
      <c r="O776" s="112" t="str">
        <f t="shared" si="93"/>
        <v xml:space="preserve"> </v>
      </c>
      <c r="P776" s="113" t="str">
        <f t="shared" si="94"/>
        <v/>
      </c>
      <c r="Q776" s="114" t="str">
        <f t="shared" si="95"/>
        <v/>
      </c>
      <c r="R776" s="115" t="str">
        <f t="shared" si="96"/>
        <v/>
      </c>
      <c r="S776" s="115" t="str">
        <f t="shared" si="97"/>
        <v/>
      </c>
      <c r="T776" s="116" t="str">
        <f t="shared" si="98"/>
        <v/>
      </c>
      <c r="U776" s="120"/>
      <c r="V776" s="118"/>
    </row>
    <row r="777" spans="1:22" ht="13.2">
      <c r="A777" s="102"/>
      <c r="B777" s="102"/>
      <c r="C777" s="104"/>
      <c r="D777" s="105"/>
      <c r="E777" s="106"/>
      <c r="F777" s="107"/>
      <c r="G777" s="108"/>
      <c r="H777" s="109"/>
      <c r="I777" s="110"/>
      <c r="J777" s="110"/>
      <c r="K777" s="119"/>
      <c r="L777" s="111" t="str">
        <f t="shared" si="92"/>
        <v/>
      </c>
      <c r="M777" s="112" t="str">
        <f t="shared" si="92"/>
        <v/>
      </c>
      <c r="N777" s="112" t="str">
        <f t="shared" si="92"/>
        <v/>
      </c>
      <c r="O777" s="112" t="str">
        <f t="shared" si="93"/>
        <v xml:space="preserve"> </v>
      </c>
      <c r="P777" s="113" t="str">
        <f t="shared" si="94"/>
        <v/>
      </c>
      <c r="Q777" s="114" t="str">
        <f t="shared" si="95"/>
        <v/>
      </c>
      <c r="R777" s="115" t="str">
        <f t="shared" si="96"/>
        <v/>
      </c>
      <c r="S777" s="115" t="str">
        <f t="shared" si="97"/>
        <v/>
      </c>
      <c r="T777" s="116" t="str">
        <f t="shared" si="98"/>
        <v/>
      </c>
      <c r="U777" s="120"/>
      <c r="V777" s="118"/>
    </row>
    <row r="778" spans="1:22" ht="13.2">
      <c r="A778" s="102"/>
      <c r="B778" s="102"/>
      <c r="C778" s="104"/>
      <c r="D778" s="105"/>
      <c r="E778" s="106"/>
      <c r="F778" s="107"/>
      <c r="G778" s="108"/>
      <c r="H778" s="109"/>
      <c r="I778" s="110"/>
      <c r="J778" s="110"/>
      <c r="K778" s="119"/>
      <c r="L778" s="111" t="str">
        <f t="shared" si="92"/>
        <v/>
      </c>
      <c r="M778" s="112" t="str">
        <f t="shared" si="92"/>
        <v/>
      </c>
      <c r="N778" s="112" t="str">
        <f t="shared" si="92"/>
        <v/>
      </c>
      <c r="O778" s="112" t="str">
        <f t="shared" si="93"/>
        <v xml:space="preserve"> </v>
      </c>
      <c r="P778" s="113" t="str">
        <f t="shared" si="94"/>
        <v/>
      </c>
      <c r="Q778" s="114" t="str">
        <f t="shared" si="95"/>
        <v/>
      </c>
      <c r="R778" s="115" t="str">
        <f t="shared" si="96"/>
        <v/>
      </c>
      <c r="S778" s="115" t="str">
        <f t="shared" si="97"/>
        <v/>
      </c>
      <c r="T778" s="116" t="str">
        <f t="shared" si="98"/>
        <v/>
      </c>
      <c r="U778" s="120"/>
      <c r="V778" s="118"/>
    </row>
    <row r="779" spans="1:22" ht="13.2">
      <c r="A779" s="102"/>
      <c r="B779" s="103"/>
      <c r="C779" s="104"/>
      <c r="D779" s="105"/>
      <c r="E779" s="106"/>
      <c r="F779" s="107"/>
      <c r="G779" s="108"/>
      <c r="H779" s="121"/>
      <c r="I779" s="122"/>
      <c r="J779" s="122"/>
      <c r="K779" s="123"/>
      <c r="L779" s="111" t="str">
        <f t="shared" si="92"/>
        <v/>
      </c>
      <c r="M779" s="112" t="str">
        <f t="shared" si="92"/>
        <v/>
      </c>
      <c r="N779" s="112" t="str">
        <f t="shared" si="92"/>
        <v/>
      </c>
      <c r="O779" s="112" t="str">
        <f t="shared" si="93"/>
        <v xml:space="preserve"> </v>
      </c>
      <c r="P779" s="113" t="str">
        <f t="shared" si="94"/>
        <v/>
      </c>
      <c r="Q779" s="114" t="str">
        <f t="shared" si="95"/>
        <v/>
      </c>
      <c r="R779" s="115" t="str">
        <f t="shared" si="96"/>
        <v/>
      </c>
      <c r="S779" s="115" t="str">
        <f t="shared" si="97"/>
        <v/>
      </c>
      <c r="T779" s="116" t="str">
        <f t="shared" si="98"/>
        <v/>
      </c>
      <c r="U779" s="120"/>
      <c r="V779" s="118"/>
    </row>
    <row r="780" spans="1:22" ht="13.2">
      <c r="A780" s="102"/>
      <c r="B780" s="103"/>
      <c r="C780" s="104"/>
      <c r="D780" s="105"/>
      <c r="E780" s="106"/>
      <c r="F780" s="107"/>
      <c r="G780" s="108"/>
      <c r="H780" s="121"/>
      <c r="I780" s="122"/>
      <c r="J780" s="122"/>
      <c r="K780" s="123"/>
      <c r="L780" s="111" t="str">
        <f t="shared" si="92"/>
        <v/>
      </c>
      <c r="M780" s="112" t="str">
        <f t="shared" si="92"/>
        <v/>
      </c>
      <c r="N780" s="112" t="str">
        <f t="shared" si="92"/>
        <v/>
      </c>
      <c r="O780" s="112" t="str">
        <f t="shared" si="93"/>
        <v xml:space="preserve"> </v>
      </c>
      <c r="P780" s="113" t="str">
        <f t="shared" si="94"/>
        <v/>
      </c>
      <c r="Q780" s="114" t="str">
        <f t="shared" si="95"/>
        <v/>
      </c>
      <c r="R780" s="115" t="str">
        <f t="shared" si="96"/>
        <v/>
      </c>
      <c r="S780" s="115" t="str">
        <f t="shared" si="97"/>
        <v/>
      </c>
      <c r="T780" s="116" t="str">
        <f t="shared" si="98"/>
        <v/>
      </c>
      <c r="U780" s="120"/>
      <c r="V780" s="118"/>
    </row>
    <row r="781" spans="1:22" ht="13.2">
      <c r="A781" s="102"/>
      <c r="B781" s="103"/>
      <c r="C781" s="104"/>
      <c r="D781" s="105"/>
      <c r="E781" s="106"/>
      <c r="F781" s="107"/>
      <c r="G781" s="108"/>
      <c r="H781" s="121"/>
      <c r="I781" s="122"/>
      <c r="J781" s="122"/>
      <c r="K781" s="123"/>
      <c r="L781" s="111" t="str">
        <f t="shared" si="92"/>
        <v/>
      </c>
      <c r="M781" s="112" t="str">
        <f t="shared" si="92"/>
        <v/>
      </c>
      <c r="N781" s="112" t="str">
        <f t="shared" si="92"/>
        <v/>
      </c>
      <c r="O781" s="112" t="str">
        <f t="shared" si="93"/>
        <v xml:space="preserve"> </v>
      </c>
      <c r="P781" s="113" t="str">
        <f t="shared" si="94"/>
        <v/>
      </c>
      <c r="Q781" s="114" t="str">
        <f t="shared" si="95"/>
        <v/>
      </c>
      <c r="R781" s="115" t="str">
        <f t="shared" si="96"/>
        <v/>
      </c>
      <c r="S781" s="115" t="str">
        <f t="shared" si="97"/>
        <v/>
      </c>
      <c r="T781" s="116" t="str">
        <f t="shared" si="98"/>
        <v/>
      </c>
      <c r="U781" s="120"/>
      <c r="V781" s="118"/>
    </row>
    <row r="782" spans="1:22" ht="13.2">
      <c r="A782" s="102"/>
      <c r="B782" s="102"/>
      <c r="C782" s="103"/>
      <c r="D782" s="105"/>
      <c r="E782" s="106"/>
      <c r="F782" s="107"/>
      <c r="G782" s="108"/>
      <c r="H782" s="109"/>
      <c r="I782" s="110"/>
      <c r="J782" s="110"/>
      <c r="K782" s="119"/>
      <c r="L782" s="111" t="str">
        <f t="shared" si="92"/>
        <v/>
      </c>
      <c r="M782" s="112" t="str">
        <f t="shared" si="92"/>
        <v/>
      </c>
      <c r="N782" s="112" t="str">
        <f t="shared" si="92"/>
        <v/>
      </c>
      <c r="O782" s="112" t="str">
        <f t="shared" si="93"/>
        <v xml:space="preserve"> </v>
      </c>
      <c r="P782" s="113" t="str">
        <f t="shared" si="94"/>
        <v/>
      </c>
      <c r="Q782" s="114" t="str">
        <f t="shared" si="95"/>
        <v/>
      </c>
      <c r="R782" s="115" t="str">
        <f t="shared" si="96"/>
        <v/>
      </c>
      <c r="S782" s="115" t="str">
        <f t="shared" si="97"/>
        <v/>
      </c>
      <c r="T782" s="116" t="str">
        <f t="shared" si="98"/>
        <v/>
      </c>
      <c r="U782" s="120"/>
      <c r="V782" s="118"/>
    </row>
    <row r="783" spans="1:22" ht="13.2">
      <c r="A783" s="102"/>
      <c r="B783" s="102"/>
      <c r="C783" s="103"/>
      <c r="D783" s="105"/>
      <c r="E783" s="106"/>
      <c r="F783" s="107"/>
      <c r="G783" s="108"/>
      <c r="H783" s="109"/>
      <c r="I783" s="110"/>
      <c r="J783" s="110"/>
      <c r="K783" s="119"/>
      <c r="L783" s="111" t="str">
        <f t="shared" si="92"/>
        <v/>
      </c>
      <c r="M783" s="112" t="str">
        <f t="shared" si="92"/>
        <v/>
      </c>
      <c r="N783" s="112" t="str">
        <f t="shared" si="92"/>
        <v/>
      </c>
      <c r="O783" s="112" t="str">
        <f t="shared" si="93"/>
        <v xml:space="preserve"> </v>
      </c>
      <c r="P783" s="113" t="str">
        <f t="shared" si="94"/>
        <v/>
      </c>
      <c r="Q783" s="114" t="str">
        <f t="shared" si="95"/>
        <v/>
      </c>
      <c r="R783" s="115" t="str">
        <f t="shared" si="96"/>
        <v/>
      </c>
      <c r="S783" s="115" t="str">
        <f t="shared" si="97"/>
        <v/>
      </c>
      <c r="T783" s="116" t="str">
        <f t="shared" si="98"/>
        <v/>
      </c>
      <c r="U783" s="120"/>
      <c r="V783" s="118"/>
    </row>
    <row r="784" spans="1:22" ht="13.2">
      <c r="A784" s="102"/>
      <c r="B784" s="102"/>
      <c r="C784" s="104"/>
      <c r="D784" s="105"/>
      <c r="E784" s="106"/>
      <c r="F784" s="107"/>
      <c r="G784" s="108"/>
      <c r="H784" s="109"/>
      <c r="I784" s="110"/>
      <c r="J784" s="110"/>
      <c r="K784" s="119"/>
      <c r="L784" s="111" t="str">
        <f t="shared" si="92"/>
        <v/>
      </c>
      <c r="M784" s="112" t="str">
        <f t="shared" si="92"/>
        <v/>
      </c>
      <c r="N784" s="112" t="str">
        <f t="shared" si="92"/>
        <v/>
      </c>
      <c r="O784" s="112" t="str">
        <f t="shared" si="93"/>
        <v xml:space="preserve"> </v>
      </c>
      <c r="P784" s="113" t="str">
        <f t="shared" si="94"/>
        <v/>
      </c>
      <c r="Q784" s="114" t="str">
        <f t="shared" si="95"/>
        <v/>
      </c>
      <c r="R784" s="115" t="str">
        <f t="shared" si="96"/>
        <v/>
      </c>
      <c r="S784" s="115" t="str">
        <f t="shared" si="97"/>
        <v/>
      </c>
      <c r="T784" s="116" t="str">
        <f t="shared" si="98"/>
        <v/>
      </c>
      <c r="U784" s="120"/>
      <c r="V784" s="118"/>
    </row>
    <row r="785" spans="1:22" ht="13.2">
      <c r="A785" s="102"/>
      <c r="B785" s="102"/>
      <c r="C785" s="104"/>
      <c r="D785" s="105"/>
      <c r="E785" s="106"/>
      <c r="F785" s="107"/>
      <c r="G785" s="108"/>
      <c r="H785" s="109"/>
      <c r="I785" s="110"/>
      <c r="J785" s="110"/>
      <c r="K785" s="119"/>
      <c r="L785" s="111" t="str">
        <f t="shared" si="92"/>
        <v/>
      </c>
      <c r="M785" s="112" t="str">
        <f t="shared" si="92"/>
        <v/>
      </c>
      <c r="N785" s="112" t="str">
        <f t="shared" si="92"/>
        <v/>
      </c>
      <c r="O785" s="112" t="str">
        <f t="shared" si="93"/>
        <v xml:space="preserve"> </v>
      </c>
      <c r="P785" s="113" t="str">
        <f t="shared" si="94"/>
        <v/>
      </c>
      <c r="Q785" s="114" t="str">
        <f t="shared" si="95"/>
        <v/>
      </c>
      <c r="R785" s="115" t="str">
        <f t="shared" si="96"/>
        <v/>
      </c>
      <c r="S785" s="115" t="str">
        <f t="shared" si="97"/>
        <v/>
      </c>
      <c r="T785" s="116" t="str">
        <f t="shared" si="98"/>
        <v/>
      </c>
      <c r="U785" s="120"/>
      <c r="V785" s="118"/>
    </row>
    <row r="786" spans="1:22" ht="13.2">
      <c r="A786" s="102"/>
      <c r="B786" s="102"/>
      <c r="C786" s="104"/>
      <c r="D786" s="105"/>
      <c r="E786" s="106"/>
      <c r="F786" s="107"/>
      <c r="G786" s="108"/>
      <c r="H786" s="109"/>
      <c r="I786" s="110"/>
      <c r="J786" s="110"/>
      <c r="K786" s="119"/>
      <c r="L786" s="111" t="str">
        <f t="shared" si="92"/>
        <v/>
      </c>
      <c r="M786" s="112" t="str">
        <f t="shared" si="92"/>
        <v/>
      </c>
      <c r="N786" s="112" t="str">
        <f t="shared" si="92"/>
        <v/>
      </c>
      <c r="O786" s="112" t="str">
        <f t="shared" si="93"/>
        <v xml:space="preserve"> </v>
      </c>
      <c r="P786" s="113" t="str">
        <f t="shared" si="94"/>
        <v/>
      </c>
      <c r="Q786" s="114" t="str">
        <f t="shared" si="95"/>
        <v/>
      </c>
      <c r="R786" s="115" t="str">
        <f t="shared" si="96"/>
        <v/>
      </c>
      <c r="S786" s="115" t="str">
        <f t="shared" si="97"/>
        <v/>
      </c>
      <c r="T786" s="116" t="str">
        <f t="shared" si="98"/>
        <v/>
      </c>
      <c r="U786" s="120"/>
      <c r="V786" s="118"/>
    </row>
    <row r="787" spans="1:22" ht="13.2">
      <c r="A787" s="102"/>
      <c r="B787" s="102"/>
      <c r="C787" s="104"/>
      <c r="D787" s="105"/>
      <c r="E787" s="106"/>
      <c r="F787" s="107"/>
      <c r="G787" s="108"/>
      <c r="H787" s="109"/>
      <c r="I787" s="110"/>
      <c r="J787" s="110"/>
      <c r="K787" s="119"/>
      <c r="L787" s="111" t="str">
        <f t="shared" si="92"/>
        <v/>
      </c>
      <c r="M787" s="112" t="str">
        <f t="shared" si="92"/>
        <v/>
      </c>
      <c r="N787" s="112" t="str">
        <f t="shared" si="92"/>
        <v/>
      </c>
      <c r="O787" s="112" t="str">
        <f t="shared" si="93"/>
        <v xml:space="preserve"> </v>
      </c>
      <c r="P787" s="113" t="str">
        <f t="shared" si="94"/>
        <v/>
      </c>
      <c r="Q787" s="114" t="str">
        <f t="shared" si="95"/>
        <v/>
      </c>
      <c r="R787" s="115" t="str">
        <f t="shared" si="96"/>
        <v/>
      </c>
      <c r="S787" s="115" t="str">
        <f t="shared" si="97"/>
        <v/>
      </c>
      <c r="T787" s="116" t="str">
        <f t="shared" si="98"/>
        <v/>
      </c>
      <c r="U787" s="120"/>
      <c r="V787" s="118"/>
    </row>
    <row r="788" spans="1:22" ht="13.2">
      <c r="A788" s="102"/>
      <c r="B788" s="102"/>
      <c r="C788" s="104"/>
      <c r="D788" s="105"/>
      <c r="E788" s="106"/>
      <c r="F788" s="107"/>
      <c r="G788" s="108"/>
      <c r="H788" s="109"/>
      <c r="I788" s="110"/>
      <c r="J788" s="110"/>
      <c r="K788" s="119"/>
      <c r="L788" s="111" t="str">
        <f t="shared" si="92"/>
        <v/>
      </c>
      <c r="M788" s="112" t="str">
        <f t="shared" si="92"/>
        <v/>
      </c>
      <c r="N788" s="112" t="str">
        <f t="shared" si="92"/>
        <v/>
      </c>
      <c r="O788" s="112" t="str">
        <f t="shared" si="93"/>
        <v xml:space="preserve"> </v>
      </c>
      <c r="P788" s="113" t="str">
        <f t="shared" si="94"/>
        <v/>
      </c>
      <c r="Q788" s="114" t="str">
        <f t="shared" si="95"/>
        <v/>
      </c>
      <c r="R788" s="115" t="str">
        <f t="shared" si="96"/>
        <v/>
      </c>
      <c r="S788" s="115" t="str">
        <f t="shared" si="97"/>
        <v/>
      </c>
      <c r="T788" s="116" t="str">
        <f t="shared" si="98"/>
        <v/>
      </c>
      <c r="U788" s="120"/>
      <c r="V788" s="118"/>
    </row>
    <row r="789" spans="1:22" ht="13.2">
      <c r="A789" s="102"/>
      <c r="B789" s="102"/>
      <c r="C789" s="104"/>
      <c r="D789" s="105"/>
      <c r="E789" s="106"/>
      <c r="F789" s="107"/>
      <c r="G789" s="108"/>
      <c r="H789" s="109"/>
      <c r="I789" s="110"/>
      <c r="J789" s="110"/>
      <c r="K789" s="110"/>
      <c r="L789" s="111" t="str">
        <f t="shared" si="92"/>
        <v/>
      </c>
      <c r="M789" s="112" t="str">
        <f t="shared" si="92"/>
        <v/>
      </c>
      <c r="N789" s="112" t="str">
        <f t="shared" si="92"/>
        <v/>
      </c>
      <c r="O789" s="112" t="str">
        <f t="shared" si="93"/>
        <v xml:space="preserve"> </v>
      </c>
      <c r="P789" s="113" t="str">
        <f t="shared" si="94"/>
        <v/>
      </c>
      <c r="Q789" s="114" t="str">
        <f t="shared" si="95"/>
        <v/>
      </c>
      <c r="R789" s="115" t="str">
        <f t="shared" si="96"/>
        <v/>
      </c>
      <c r="S789" s="115" t="str">
        <f t="shared" si="97"/>
        <v/>
      </c>
      <c r="T789" s="116" t="str">
        <f t="shared" si="98"/>
        <v/>
      </c>
      <c r="U789" s="120"/>
      <c r="V789" s="118"/>
    </row>
    <row r="790" spans="1:22" ht="13.2">
      <c r="A790" s="102"/>
      <c r="B790" s="102"/>
      <c r="C790" s="104"/>
      <c r="D790" s="105"/>
      <c r="E790" s="106"/>
      <c r="F790" s="107"/>
      <c r="G790" s="108"/>
      <c r="H790" s="109"/>
      <c r="I790" s="110"/>
      <c r="J790" s="110"/>
      <c r="K790" s="119"/>
      <c r="L790" s="111" t="str">
        <f t="shared" si="92"/>
        <v/>
      </c>
      <c r="M790" s="112" t="str">
        <f t="shared" si="92"/>
        <v/>
      </c>
      <c r="N790" s="112" t="str">
        <f t="shared" si="92"/>
        <v/>
      </c>
      <c r="O790" s="112" t="str">
        <f t="shared" si="93"/>
        <v xml:space="preserve"> </v>
      </c>
      <c r="P790" s="113" t="str">
        <f t="shared" si="94"/>
        <v/>
      </c>
      <c r="Q790" s="114" t="str">
        <f t="shared" si="95"/>
        <v/>
      </c>
      <c r="R790" s="115" t="str">
        <f t="shared" si="96"/>
        <v/>
      </c>
      <c r="S790" s="115" t="str">
        <f t="shared" si="97"/>
        <v/>
      </c>
      <c r="T790" s="116" t="str">
        <f t="shared" si="98"/>
        <v/>
      </c>
      <c r="U790" s="120"/>
      <c r="V790" s="118"/>
    </row>
    <row r="791" spans="1:22" ht="13.2">
      <c r="A791" s="102"/>
      <c r="B791" s="102"/>
      <c r="C791" s="104"/>
      <c r="D791" s="105"/>
      <c r="E791" s="106"/>
      <c r="F791" s="107"/>
      <c r="G791" s="108"/>
      <c r="H791" s="109"/>
      <c r="I791" s="110"/>
      <c r="J791" s="110"/>
      <c r="K791" s="119"/>
      <c r="L791" s="111" t="str">
        <f t="shared" si="92"/>
        <v/>
      </c>
      <c r="M791" s="112" t="str">
        <f t="shared" si="92"/>
        <v/>
      </c>
      <c r="N791" s="112" t="str">
        <f t="shared" si="92"/>
        <v/>
      </c>
      <c r="O791" s="112" t="str">
        <f t="shared" si="93"/>
        <v xml:space="preserve"> </v>
      </c>
      <c r="P791" s="113" t="str">
        <f t="shared" si="94"/>
        <v/>
      </c>
      <c r="Q791" s="114" t="str">
        <f t="shared" si="95"/>
        <v/>
      </c>
      <c r="R791" s="115" t="str">
        <f t="shared" si="96"/>
        <v/>
      </c>
      <c r="S791" s="115" t="str">
        <f t="shared" si="97"/>
        <v/>
      </c>
      <c r="T791" s="116" t="str">
        <f t="shared" si="98"/>
        <v/>
      </c>
      <c r="U791" s="120"/>
      <c r="V791" s="118"/>
    </row>
    <row r="792" spans="1:22" ht="13.2">
      <c r="A792" s="102"/>
      <c r="B792" s="102"/>
      <c r="C792" s="104"/>
      <c r="D792" s="105"/>
      <c r="E792" s="106"/>
      <c r="F792" s="107"/>
      <c r="G792" s="108"/>
      <c r="H792" s="109"/>
      <c r="I792" s="110"/>
      <c r="J792" s="110"/>
      <c r="K792" s="119"/>
      <c r="L792" s="111" t="str">
        <f t="shared" si="92"/>
        <v/>
      </c>
      <c r="M792" s="112" t="str">
        <f t="shared" si="92"/>
        <v/>
      </c>
      <c r="N792" s="112" t="str">
        <f t="shared" si="92"/>
        <v/>
      </c>
      <c r="O792" s="112" t="str">
        <f t="shared" si="93"/>
        <v xml:space="preserve"> </v>
      </c>
      <c r="P792" s="113" t="str">
        <f t="shared" si="94"/>
        <v/>
      </c>
      <c r="Q792" s="114" t="str">
        <f t="shared" si="95"/>
        <v/>
      </c>
      <c r="R792" s="115" t="str">
        <f t="shared" si="96"/>
        <v/>
      </c>
      <c r="S792" s="115" t="str">
        <f t="shared" si="97"/>
        <v/>
      </c>
      <c r="T792" s="116" t="str">
        <f t="shared" si="98"/>
        <v/>
      </c>
      <c r="U792" s="120"/>
      <c r="V792" s="118"/>
    </row>
    <row r="793" spans="1:22" ht="13.2">
      <c r="A793" s="102"/>
      <c r="B793" s="102"/>
      <c r="C793" s="104"/>
      <c r="D793" s="105"/>
      <c r="E793" s="106"/>
      <c r="F793" s="107"/>
      <c r="G793" s="108"/>
      <c r="H793" s="109"/>
      <c r="I793" s="110"/>
      <c r="J793" s="110"/>
      <c r="K793" s="119"/>
      <c r="L793" s="111" t="str">
        <f t="shared" si="92"/>
        <v/>
      </c>
      <c r="M793" s="112" t="str">
        <f t="shared" si="92"/>
        <v/>
      </c>
      <c r="N793" s="112" t="str">
        <f t="shared" si="92"/>
        <v/>
      </c>
      <c r="O793" s="112" t="str">
        <f t="shared" si="93"/>
        <v xml:space="preserve"> </v>
      </c>
      <c r="P793" s="113" t="str">
        <f t="shared" si="94"/>
        <v/>
      </c>
      <c r="Q793" s="114" t="str">
        <f t="shared" si="95"/>
        <v/>
      </c>
      <c r="R793" s="115" t="str">
        <f t="shared" si="96"/>
        <v/>
      </c>
      <c r="S793" s="115" t="str">
        <f t="shared" si="97"/>
        <v/>
      </c>
      <c r="T793" s="116" t="str">
        <f t="shared" si="98"/>
        <v/>
      </c>
      <c r="U793" s="120"/>
      <c r="V793" s="118"/>
    </row>
    <row r="794" spans="1:22" ht="13.2">
      <c r="A794" s="102"/>
      <c r="B794" s="103"/>
      <c r="C794" s="104"/>
      <c r="D794" s="105"/>
      <c r="E794" s="106"/>
      <c r="F794" s="107"/>
      <c r="G794" s="108"/>
      <c r="H794" s="121"/>
      <c r="I794" s="122"/>
      <c r="J794" s="122"/>
      <c r="K794" s="123"/>
      <c r="L794" s="111" t="str">
        <f t="shared" si="92"/>
        <v/>
      </c>
      <c r="M794" s="112" t="str">
        <f t="shared" si="92"/>
        <v/>
      </c>
      <c r="N794" s="112" t="str">
        <f t="shared" si="92"/>
        <v/>
      </c>
      <c r="O794" s="112" t="str">
        <f t="shared" si="93"/>
        <v xml:space="preserve"> </v>
      </c>
      <c r="P794" s="113" t="str">
        <f t="shared" si="94"/>
        <v/>
      </c>
      <c r="Q794" s="114" t="str">
        <f t="shared" si="95"/>
        <v/>
      </c>
      <c r="R794" s="115" t="str">
        <f t="shared" si="96"/>
        <v/>
      </c>
      <c r="S794" s="115" t="str">
        <f t="shared" si="97"/>
        <v/>
      </c>
      <c r="T794" s="116" t="str">
        <f t="shared" si="98"/>
        <v/>
      </c>
      <c r="U794" s="120"/>
      <c r="V794" s="118"/>
    </row>
    <row r="795" spans="1:22" ht="13.2">
      <c r="A795" s="102"/>
      <c r="B795" s="103"/>
      <c r="C795" s="104"/>
      <c r="D795" s="105"/>
      <c r="E795" s="106"/>
      <c r="F795" s="107"/>
      <c r="G795" s="108"/>
      <c r="H795" s="121"/>
      <c r="I795" s="122"/>
      <c r="J795" s="122"/>
      <c r="K795" s="123"/>
      <c r="L795" s="111" t="str">
        <f t="shared" si="92"/>
        <v/>
      </c>
      <c r="M795" s="112" t="str">
        <f t="shared" si="92"/>
        <v/>
      </c>
      <c r="N795" s="112" t="str">
        <f t="shared" si="92"/>
        <v/>
      </c>
      <c r="O795" s="112" t="str">
        <f t="shared" si="93"/>
        <v xml:space="preserve"> </v>
      </c>
      <c r="P795" s="113" t="str">
        <f t="shared" si="94"/>
        <v/>
      </c>
      <c r="Q795" s="114" t="str">
        <f t="shared" si="95"/>
        <v/>
      </c>
      <c r="R795" s="115" t="str">
        <f t="shared" si="96"/>
        <v/>
      </c>
      <c r="S795" s="115" t="str">
        <f t="shared" si="97"/>
        <v/>
      </c>
      <c r="T795" s="116" t="str">
        <f t="shared" si="98"/>
        <v/>
      </c>
      <c r="U795" s="120"/>
      <c r="V795" s="118"/>
    </row>
    <row r="796" spans="1:22" ht="13.2">
      <c r="A796" s="102"/>
      <c r="B796" s="103"/>
      <c r="C796" s="104"/>
      <c r="D796" s="105"/>
      <c r="E796" s="106"/>
      <c r="F796" s="107"/>
      <c r="G796" s="108"/>
      <c r="H796" s="121"/>
      <c r="I796" s="122"/>
      <c r="J796" s="122"/>
      <c r="K796" s="123"/>
      <c r="L796" s="111" t="str">
        <f t="shared" si="92"/>
        <v/>
      </c>
      <c r="M796" s="112" t="str">
        <f t="shared" si="92"/>
        <v/>
      </c>
      <c r="N796" s="112" t="str">
        <f t="shared" si="92"/>
        <v/>
      </c>
      <c r="O796" s="112" t="str">
        <f t="shared" si="93"/>
        <v xml:space="preserve"> </v>
      </c>
      <c r="P796" s="113" t="str">
        <f t="shared" si="94"/>
        <v/>
      </c>
      <c r="Q796" s="114" t="str">
        <f t="shared" si="95"/>
        <v/>
      </c>
      <c r="R796" s="115" t="str">
        <f t="shared" si="96"/>
        <v/>
      </c>
      <c r="S796" s="115" t="str">
        <f t="shared" si="97"/>
        <v/>
      </c>
      <c r="T796" s="116" t="str">
        <f t="shared" si="98"/>
        <v/>
      </c>
      <c r="U796" s="120"/>
      <c r="V796" s="118"/>
    </row>
    <row r="797" spans="1:22" ht="13.2">
      <c r="A797" s="102"/>
      <c r="B797" s="102"/>
      <c r="C797" s="103"/>
      <c r="D797" s="105"/>
      <c r="E797" s="106"/>
      <c r="F797" s="107"/>
      <c r="G797" s="108"/>
      <c r="H797" s="109"/>
      <c r="I797" s="110"/>
      <c r="J797" s="110"/>
      <c r="K797" s="119"/>
      <c r="L797" s="111" t="str">
        <f t="shared" ref="L797:N860" si="99">IF(ISBLANK($E797),"",IF(ISERR(I797/I797)=TRUE,"BAD INSP",I797-$E797))</f>
        <v/>
      </c>
      <c r="M797" s="112" t="str">
        <f t="shared" si="99"/>
        <v/>
      </c>
      <c r="N797" s="112" t="str">
        <f t="shared" si="99"/>
        <v/>
      </c>
      <c r="O797" s="112" t="str">
        <f t="shared" si="93"/>
        <v xml:space="preserve"> </v>
      </c>
      <c r="P797" s="113" t="str">
        <f t="shared" si="94"/>
        <v/>
      </c>
      <c r="Q797" s="114" t="str">
        <f t="shared" si="95"/>
        <v/>
      </c>
      <c r="R797" s="115" t="str">
        <f t="shared" si="96"/>
        <v/>
      </c>
      <c r="S797" s="115" t="str">
        <f t="shared" si="97"/>
        <v/>
      </c>
      <c r="T797" s="116" t="str">
        <f t="shared" si="98"/>
        <v/>
      </c>
      <c r="U797" s="120"/>
      <c r="V797" s="118"/>
    </row>
    <row r="798" spans="1:22" ht="13.2">
      <c r="A798" s="102"/>
      <c r="B798" s="102"/>
      <c r="C798" s="103"/>
      <c r="D798" s="105"/>
      <c r="E798" s="106"/>
      <c r="F798" s="107"/>
      <c r="G798" s="108"/>
      <c r="H798" s="109"/>
      <c r="I798" s="110"/>
      <c r="J798" s="110"/>
      <c r="K798" s="119"/>
      <c r="L798" s="111" t="str">
        <f t="shared" si="99"/>
        <v/>
      </c>
      <c r="M798" s="112" t="str">
        <f t="shared" si="99"/>
        <v/>
      </c>
      <c r="N798" s="112" t="str">
        <f t="shared" si="99"/>
        <v/>
      </c>
      <c r="O798" s="112" t="str">
        <f t="shared" si="93"/>
        <v xml:space="preserve"> </v>
      </c>
      <c r="P798" s="113" t="str">
        <f t="shared" si="94"/>
        <v/>
      </c>
      <c r="Q798" s="114" t="str">
        <f t="shared" si="95"/>
        <v/>
      </c>
      <c r="R798" s="115" t="str">
        <f t="shared" si="96"/>
        <v/>
      </c>
      <c r="S798" s="115" t="str">
        <f t="shared" si="97"/>
        <v/>
      </c>
      <c r="T798" s="116" t="str">
        <f t="shared" si="98"/>
        <v/>
      </c>
      <c r="U798" s="120"/>
      <c r="V798" s="118"/>
    </row>
    <row r="799" spans="1:22" ht="13.2">
      <c r="A799" s="102"/>
      <c r="B799" s="102"/>
      <c r="C799" s="104"/>
      <c r="D799" s="105"/>
      <c r="E799" s="106"/>
      <c r="F799" s="107"/>
      <c r="G799" s="108"/>
      <c r="H799" s="109"/>
      <c r="I799" s="110"/>
      <c r="J799" s="110"/>
      <c r="K799" s="119"/>
      <c r="L799" s="111" t="str">
        <f t="shared" si="99"/>
        <v/>
      </c>
      <c r="M799" s="112" t="str">
        <f t="shared" si="99"/>
        <v/>
      </c>
      <c r="N799" s="112" t="str">
        <f t="shared" si="99"/>
        <v/>
      </c>
      <c r="O799" s="112" t="str">
        <f t="shared" si="93"/>
        <v xml:space="preserve"> </v>
      </c>
      <c r="P799" s="113" t="str">
        <f t="shared" si="94"/>
        <v/>
      </c>
      <c r="Q799" s="114" t="str">
        <f t="shared" si="95"/>
        <v/>
      </c>
      <c r="R799" s="115" t="str">
        <f t="shared" si="96"/>
        <v/>
      </c>
      <c r="S799" s="115" t="str">
        <f t="shared" si="97"/>
        <v/>
      </c>
      <c r="T799" s="116" t="str">
        <f t="shared" si="98"/>
        <v/>
      </c>
      <c r="U799" s="120"/>
      <c r="V799" s="118"/>
    </row>
    <row r="800" spans="1:22" ht="13.2">
      <c r="A800" s="102"/>
      <c r="B800" s="102"/>
      <c r="C800" s="104"/>
      <c r="D800" s="105"/>
      <c r="E800" s="106"/>
      <c r="F800" s="107"/>
      <c r="G800" s="108"/>
      <c r="H800" s="109"/>
      <c r="I800" s="110"/>
      <c r="J800" s="110"/>
      <c r="K800" s="119"/>
      <c r="L800" s="111" t="str">
        <f t="shared" si="99"/>
        <v/>
      </c>
      <c r="M800" s="112" t="str">
        <f t="shared" si="99"/>
        <v/>
      </c>
      <c r="N800" s="112" t="str">
        <f t="shared" si="99"/>
        <v/>
      </c>
      <c r="O800" s="112" t="str">
        <f t="shared" si="93"/>
        <v xml:space="preserve"> </v>
      </c>
      <c r="P800" s="113" t="str">
        <f t="shared" si="94"/>
        <v/>
      </c>
      <c r="Q800" s="114" t="str">
        <f t="shared" si="95"/>
        <v/>
      </c>
      <c r="R800" s="115" t="str">
        <f t="shared" si="96"/>
        <v/>
      </c>
      <c r="S800" s="115" t="str">
        <f t="shared" si="97"/>
        <v/>
      </c>
      <c r="T800" s="116" t="str">
        <f t="shared" si="98"/>
        <v/>
      </c>
      <c r="U800" s="120"/>
      <c r="V800" s="118"/>
    </row>
    <row r="801" spans="1:22" ht="13.2">
      <c r="A801" s="102"/>
      <c r="B801" s="102"/>
      <c r="C801" s="104"/>
      <c r="D801" s="105"/>
      <c r="E801" s="106"/>
      <c r="F801" s="107"/>
      <c r="G801" s="108"/>
      <c r="H801" s="109"/>
      <c r="I801" s="110"/>
      <c r="J801" s="110"/>
      <c r="K801" s="119"/>
      <c r="L801" s="111" t="str">
        <f t="shared" si="99"/>
        <v/>
      </c>
      <c r="M801" s="112" t="str">
        <f t="shared" si="99"/>
        <v/>
      </c>
      <c r="N801" s="112" t="str">
        <f t="shared" si="99"/>
        <v/>
      </c>
      <c r="O801" s="112" t="str">
        <f t="shared" si="93"/>
        <v xml:space="preserve"> </v>
      </c>
      <c r="P801" s="113" t="str">
        <f t="shared" si="94"/>
        <v/>
      </c>
      <c r="Q801" s="114" t="str">
        <f t="shared" si="95"/>
        <v/>
      </c>
      <c r="R801" s="115" t="str">
        <f t="shared" si="96"/>
        <v/>
      </c>
      <c r="S801" s="115" t="str">
        <f t="shared" si="97"/>
        <v/>
      </c>
      <c r="T801" s="116" t="str">
        <f t="shared" si="98"/>
        <v/>
      </c>
      <c r="U801" s="120"/>
      <c r="V801" s="118"/>
    </row>
    <row r="802" spans="1:22" ht="13.2">
      <c r="A802" s="102"/>
      <c r="B802" s="102"/>
      <c r="C802" s="104"/>
      <c r="D802" s="105"/>
      <c r="E802" s="106"/>
      <c r="F802" s="107"/>
      <c r="G802" s="108"/>
      <c r="H802" s="109"/>
      <c r="I802" s="110"/>
      <c r="J802" s="110"/>
      <c r="K802" s="119"/>
      <c r="L802" s="111" t="str">
        <f t="shared" si="99"/>
        <v/>
      </c>
      <c r="M802" s="112" t="str">
        <f t="shared" si="99"/>
        <v/>
      </c>
      <c r="N802" s="112" t="str">
        <f t="shared" si="99"/>
        <v/>
      </c>
      <c r="O802" s="112" t="str">
        <f t="shared" si="93"/>
        <v xml:space="preserve"> </v>
      </c>
      <c r="P802" s="113" t="str">
        <f t="shared" si="94"/>
        <v/>
      </c>
      <c r="Q802" s="114" t="str">
        <f t="shared" si="95"/>
        <v/>
      </c>
      <c r="R802" s="115" t="str">
        <f t="shared" si="96"/>
        <v/>
      </c>
      <c r="S802" s="115" t="str">
        <f t="shared" si="97"/>
        <v/>
      </c>
      <c r="T802" s="116" t="str">
        <f t="shared" si="98"/>
        <v/>
      </c>
      <c r="U802" s="120"/>
      <c r="V802" s="118"/>
    </row>
    <row r="803" spans="1:22" ht="13.2">
      <c r="A803" s="102"/>
      <c r="B803" s="102"/>
      <c r="C803" s="104"/>
      <c r="D803" s="105"/>
      <c r="E803" s="106"/>
      <c r="F803" s="107"/>
      <c r="G803" s="108"/>
      <c r="H803" s="109"/>
      <c r="I803" s="110"/>
      <c r="J803" s="110"/>
      <c r="K803" s="119"/>
      <c r="L803" s="111" t="str">
        <f t="shared" si="99"/>
        <v/>
      </c>
      <c r="M803" s="112" t="str">
        <f t="shared" si="99"/>
        <v/>
      </c>
      <c r="N803" s="112" t="str">
        <f t="shared" si="99"/>
        <v/>
      </c>
      <c r="O803" s="112" t="str">
        <f t="shared" si="93"/>
        <v xml:space="preserve"> </v>
      </c>
      <c r="P803" s="113" t="str">
        <f t="shared" si="94"/>
        <v/>
      </c>
      <c r="Q803" s="114" t="str">
        <f t="shared" si="95"/>
        <v/>
      </c>
      <c r="R803" s="115" t="str">
        <f t="shared" si="96"/>
        <v/>
      </c>
      <c r="S803" s="115" t="str">
        <f t="shared" si="97"/>
        <v/>
      </c>
      <c r="T803" s="116" t="str">
        <f t="shared" si="98"/>
        <v/>
      </c>
      <c r="U803" s="120"/>
      <c r="V803" s="118"/>
    </row>
    <row r="804" spans="1:22" ht="13.2">
      <c r="A804" s="102"/>
      <c r="B804" s="102"/>
      <c r="C804" s="104"/>
      <c r="D804" s="105"/>
      <c r="E804" s="106"/>
      <c r="F804" s="107"/>
      <c r="G804" s="108"/>
      <c r="H804" s="109"/>
      <c r="I804" s="110"/>
      <c r="J804" s="110"/>
      <c r="K804" s="110"/>
      <c r="L804" s="111" t="str">
        <f t="shared" si="99"/>
        <v/>
      </c>
      <c r="M804" s="112" t="str">
        <f t="shared" si="99"/>
        <v/>
      </c>
      <c r="N804" s="112" t="str">
        <f t="shared" si="99"/>
        <v/>
      </c>
      <c r="O804" s="112" t="str">
        <f t="shared" si="93"/>
        <v xml:space="preserve"> </v>
      </c>
      <c r="P804" s="113" t="str">
        <f t="shared" si="94"/>
        <v/>
      </c>
      <c r="Q804" s="114" t="str">
        <f t="shared" si="95"/>
        <v/>
      </c>
      <c r="R804" s="115" t="str">
        <f t="shared" si="96"/>
        <v/>
      </c>
      <c r="S804" s="115" t="str">
        <f t="shared" si="97"/>
        <v/>
      </c>
      <c r="T804" s="116" t="str">
        <f t="shared" si="98"/>
        <v/>
      </c>
      <c r="U804" s="120"/>
      <c r="V804" s="118"/>
    </row>
    <row r="805" spans="1:22" ht="13.2">
      <c r="A805" s="102"/>
      <c r="B805" s="102"/>
      <c r="C805" s="104"/>
      <c r="D805" s="105"/>
      <c r="E805" s="106"/>
      <c r="F805" s="107"/>
      <c r="G805" s="108"/>
      <c r="H805" s="109"/>
      <c r="I805" s="110"/>
      <c r="J805" s="110"/>
      <c r="K805" s="119"/>
      <c r="L805" s="111" t="str">
        <f t="shared" si="99"/>
        <v/>
      </c>
      <c r="M805" s="112" t="str">
        <f t="shared" si="99"/>
        <v/>
      </c>
      <c r="N805" s="112" t="str">
        <f t="shared" si="99"/>
        <v/>
      </c>
      <c r="O805" s="112" t="str">
        <f t="shared" si="93"/>
        <v xml:space="preserve"> </v>
      </c>
      <c r="P805" s="113" t="str">
        <f t="shared" si="94"/>
        <v/>
      </c>
      <c r="Q805" s="114" t="str">
        <f t="shared" si="95"/>
        <v/>
      </c>
      <c r="R805" s="115" t="str">
        <f t="shared" si="96"/>
        <v/>
      </c>
      <c r="S805" s="115" t="str">
        <f t="shared" si="97"/>
        <v/>
      </c>
      <c r="T805" s="116" t="str">
        <f t="shared" si="98"/>
        <v/>
      </c>
      <c r="U805" s="120"/>
      <c r="V805" s="118"/>
    </row>
    <row r="806" spans="1:22" ht="13.2">
      <c r="A806" s="102"/>
      <c r="B806" s="102"/>
      <c r="C806" s="104"/>
      <c r="D806" s="105"/>
      <c r="E806" s="106"/>
      <c r="F806" s="107"/>
      <c r="G806" s="108"/>
      <c r="H806" s="109"/>
      <c r="I806" s="110"/>
      <c r="J806" s="110"/>
      <c r="K806" s="119"/>
      <c r="L806" s="111" t="str">
        <f t="shared" si="99"/>
        <v/>
      </c>
      <c r="M806" s="112" t="str">
        <f t="shared" si="99"/>
        <v/>
      </c>
      <c r="N806" s="112" t="str">
        <f t="shared" si="99"/>
        <v/>
      </c>
      <c r="O806" s="112" t="str">
        <f t="shared" si="93"/>
        <v xml:space="preserve"> </v>
      </c>
      <c r="P806" s="113" t="str">
        <f t="shared" si="94"/>
        <v/>
      </c>
      <c r="Q806" s="114" t="str">
        <f t="shared" si="95"/>
        <v/>
      </c>
      <c r="R806" s="115" t="str">
        <f t="shared" si="96"/>
        <v/>
      </c>
      <c r="S806" s="115" t="str">
        <f t="shared" si="97"/>
        <v/>
      </c>
      <c r="T806" s="116" t="str">
        <f t="shared" si="98"/>
        <v/>
      </c>
      <c r="U806" s="120"/>
      <c r="V806" s="118"/>
    </row>
    <row r="807" spans="1:22" ht="13.2">
      <c r="A807" s="102"/>
      <c r="B807" s="102"/>
      <c r="C807" s="104"/>
      <c r="D807" s="105"/>
      <c r="E807" s="106"/>
      <c r="F807" s="107"/>
      <c r="G807" s="108"/>
      <c r="H807" s="109"/>
      <c r="I807" s="110"/>
      <c r="J807" s="110"/>
      <c r="K807" s="119"/>
      <c r="L807" s="111" t="str">
        <f t="shared" si="99"/>
        <v/>
      </c>
      <c r="M807" s="112" t="str">
        <f t="shared" si="99"/>
        <v/>
      </c>
      <c r="N807" s="112" t="str">
        <f t="shared" si="99"/>
        <v/>
      </c>
      <c r="O807" s="112" t="str">
        <f t="shared" si="93"/>
        <v xml:space="preserve"> </v>
      </c>
      <c r="P807" s="113" t="str">
        <f t="shared" si="94"/>
        <v/>
      </c>
      <c r="Q807" s="114" t="str">
        <f t="shared" si="95"/>
        <v/>
      </c>
      <c r="R807" s="115" t="str">
        <f t="shared" si="96"/>
        <v/>
      </c>
      <c r="S807" s="115" t="str">
        <f t="shared" si="97"/>
        <v/>
      </c>
      <c r="T807" s="116" t="str">
        <f t="shared" si="98"/>
        <v/>
      </c>
      <c r="U807" s="120"/>
      <c r="V807" s="118"/>
    </row>
    <row r="808" spans="1:22" ht="13.2">
      <c r="A808" s="102"/>
      <c r="B808" s="102"/>
      <c r="C808" s="104"/>
      <c r="D808" s="105"/>
      <c r="E808" s="106"/>
      <c r="F808" s="107"/>
      <c r="G808" s="108"/>
      <c r="H808" s="109"/>
      <c r="I808" s="110"/>
      <c r="J808" s="110"/>
      <c r="K808" s="119"/>
      <c r="L808" s="111" t="str">
        <f t="shared" si="99"/>
        <v/>
      </c>
      <c r="M808" s="112" t="str">
        <f t="shared" si="99"/>
        <v/>
      </c>
      <c r="N808" s="112" t="str">
        <f t="shared" si="99"/>
        <v/>
      </c>
      <c r="O808" s="112" t="str">
        <f t="shared" si="93"/>
        <v xml:space="preserve"> </v>
      </c>
      <c r="P808" s="113" t="str">
        <f t="shared" si="94"/>
        <v/>
      </c>
      <c r="Q808" s="114" t="str">
        <f t="shared" si="95"/>
        <v/>
      </c>
      <c r="R808" s="115" t="str">
        <f t="shared" si="96"/>
        <v/>
      </c>
      <c r="S808" s="115" t="str">
        <f t="shared" si="97"/>
        <v/>
      </c>
      <c r="T808" s="116" t="str">
        <f t="shared" si="98"/>
        <v/>
      </c>
      <c r="U808" s="120"/>
      <c r="V808" s="118"/>
    </row>
    <row r="809" spans="1:22" ht="13.2">
      <c r="A809" s="102"/>
      <c r="B809" s="103"/>
      <c r="C809" s="104"/>
      <c r="D809" s="105"/>
      <c r="E809" s="106"/>
      <c r="F809" s="107"/>
      <c r="G809" s="108"/>
      <c r="H809" s="121"/>
      <c r="I809" s="122"/>
      <c r="J809" s="122"/>
      <c r="K809" s="123"/>
      <c r="L809" s="111" t="str">
        <f t="shared" si="99"/>
        <v/>
      </c>
      <c r="M809" s="112" t="str">
        <f t="shared" si="99"/>
        <v/>
      </c>
      <c r="N809" s="112" t="str">
        <f t="shared" si="99"/>
        <v/>
      </c>
      <c r="O809" s="112" t="str">
        <f t="shared" si="93"/>
        <v xml:space="preserve"> </v>
      </c>
      <c r="P809" s="113" t="str">
        <f t="shared" si="94"/>
        <v/>
      </c>
      <c r="Q809" s="114" t="str">
        <f t="shared" si="95"/>
        <v/>
      </c>
      <c r="R809" s="115" t="str">
        <f t="shared" si="96"/>
        <v/>
      </c>
      <c r="S809" s="115" t="str">
        <f t="shared" si="97"/>
        <v/>
      </c>
      <c r="T809" s="116" t="str">
        <f t="shared" si="98"/>
        <v/>
      </c>
      <c r="U809" s="120"/>
      <c r="V809" s="118"/>
    </row>
    <row r="810" spans="1:22" ht="13.2">
      <c r="A810" s="102"/>
      <c r="B810" s="103"/>
      <c r="C810" s="104"/>
      <c r="D810" s="105"/>
      <c r="E810" s="106"/>
      <c r="F810" s="107"/>
      <c r="G810" s="108"/>
      <c r="H810" s="121"/>
      <c r="I810" s="122"/>
      <c r="J810" s="122"/>
      <c r="K810" s="123"/>
      <c r="L810" s="111" t="str">
        <f t="shared" si="99"/>
        <v/>
      </c>
      <c r="M810" s="112" t="str">
        <f t="shared" si="99"/>
        <v/>
      </c>
      <c r="N810" s="112" t="str">
        <f t="shared" si="99"/>
        <v/>
      </c>
      <c r="O810" s="112" t="str">
        <f t="shared" si="93"/>
        <v xml:space="preserve"> </v>
      </c>
      <c r="P810" s="113" t="str">
        <f t="shared" si="94"/>
        <v/>
      </c>
      <c r="Q810" s="114" t="str">
        <f t="shared" si="95"/>
        <v/>
      </c>
      <c r="R810" s="115" t="str">
        <f t="shared" si="96"/>
        <v/>
      </c>
      <c r="S810" s="115" t="str">
        <f t="shared" si="97"/>
        <v/>
      </c>
      <c r="T810" s="116" t="str">
        <f t="shared" si="98"/>
        <v/>
      </c>
      <c r="U810" s="120"/>
      <c r="V810" s="118"/>
    </row>
    <row r="811" spans="1:22" ht="13.2">
      <c r="A811" s="102"/>
      <c r="B811" s="103"/>
      <c r="C811" s="104"/>
      <c r="D811" s="105"/>
      <c r="E811" s="106"/>
      <c r="F811" s="107"/>
      <c r="G811" s="108"/>
      <c r="H811" s="121"/>
      <c r="I811" s="122"/>
      <c r="J811" s="122"/>
      <c r="K811" s="123"/>
      <c r="L811" s="111" t="str">
        <f t="shared" si="99"/>
        <v/>
      </c>
      <c r="M811" s="112" t="str">
        <f t="shared" si="99"/>
        <v/>
      </c>
      <c r="N811" s="112" t="str">
        <f t="shared" si="99"/>
        <v/>
      </c>
      <c r="O811" s="112" t="str">
        <f t="shared" si="93"/>
        <v xml:space="preserve"> </v>
      </c>
      <c r="P811" s="113" t="str">
        <f t="shared" si="94"/>
        <v/>
      </c>
      <c r="Q811" s="114" t="str">
        <f t="shared" si="95"/>
        <v/>
      </c>
      <c r="R811" s="115" t="str">
        <f t="shared" si="96"/>
        <v/>
      </c>
      <c r="S811" s="115" t="str">
        <f t="shared" si="97"/>
        <v/>
      </c>
      <c r="T811" s="116" t="str">
        <f t="shared" si="98"/>
        <v/>
      </c>
      <c r="U811" s="120"/>
      <c r="V811" s="118"/>
    </row>
    <row r="812" spans="1:22" ht="13.2">
      <c r="A812" s="102"/>
      <c r="B812" s="102"/>
      <c r="C812" s="103"/>
      <c r="D812" s="105"/>
      <c r="E812" s="106"/>
      <c r="F812" s="107"/>
      <c r="G812" s="108"/>
      <c r="H812" s="109"/>
      <c r="I812" s="110"/>
      <c r="J812" s="110"/>
      <c r="K812" s="119"/>
      <c r="L812" s="111" t="str">
        <f t="shared" si="99"/>
        <v/>
      </c>
      <c r="M812" s="112" t="str">
        <f t="shared" si="99"/>
        <v/>
      </c>
      <c r="N812" s="112" t="str">
        <f t="shared" si="99"/>
        <v/>
      </c>
      <c r="O812" s="112" t="str">
        <f t="shared" si="93"/>
        <v xml:space="preserve"> </v>
      </c>
      <c r="P812" s="113" t="str">
        <f t="shared" si="94"/>
        <v/>
      </c>
      <c r="Q812" s="114" t="str">
        <f t="shared" si="95"/>
        <v/>
      </c>
      <c r="R812" s="115" t="str">
        <f t="shared" si="96"/>
        <v/>
      </c>
      <c r="S812" s="115" t="str">
        <f t="shared" si="97"/>
        <v/>
      </c>
      <c r="T812" s="116" t="str">
        <f t="shared" si="98"/>
        <v/>
      </c>
      <c r="U812" s="120"/>
      <c r="V812" s="118"/>
    </row>
    <row r="813" spans="1:22" ht="13.2">
      <c r="A813" s="102"/>
      <c r="B813" s="102"/>
      <c r="C813" s="103"/>
      <c r="D813" s="105"/>
      <c r="E813" s="106"/>
      <c r="F813" s="107"/>
      <c r="G813" s="108"/>
      <c r="H813" s="109"/>
      <c r="I813" s="110"/>
      <c r="J813" s="110"/>
      <c r="K813" s="119"/>
      <c r="L813" s="111" t="str">
        <f t="shared" si="99"/>
        <v/>
      </c>
      <c r="M813" s="112" t="str">
        <f t="shared" si="99"/>
        <v/>
      </c>
      <c r="N813" s="112" t="str">
        <f t="shared" si="99"/>
        <v/>
      </c>
      <c r="O813" s="112" t="str">
        <f t="shared" si="93"/>
        <v xml:space="preserve"> </v>
      </c>
      <c r="P813" s="113" t="str">
        <f t="shared" si="94"/>
        <v/>
      </c>
      <c r="Q813" s="114" t="str">
        <f t="shared" si="95"/>
        <v/>
      </c>
      <c r="R813" s="115" t="str">
        <f t="shared" si="96"/>
        <v/>
      </c>
      <c r="S813" s="115" t="str">
        <f t="shared" si="97"/>
        <v/>
      </c>
      <c r="T813" s="116" t="str">
        <f t="shared" si="98"/>
        <v/>
      </c>
      <c r="U813" s="120"/>
      <c r="V813" s="118"/>
    </row>
    <row r="814" spans="1:22" ht="13.2">
      <c r="A814" s="102"/>
      <c r="B814" s="102"/>
      <c r="C814" s="104"/>
      <c r="D814" s="105"/>
      <c r="E814" s="106"/>
      <c r="F814" s="107"/>
      <c r="G814" s="108"/>
      <c r="H814" s="109"/>
      <c r="I814" s="110"/>
      <c r="J814" s="110"/>
      <c r="K814" s="119"/>
      <c r="L814" s="111" t="str">
        <f t="shared" si="99"/>
        <v/>
      </c>
      <c r="M814" s="112" t="str">
        <f t="shared" si="99"/>
        <v/>
      </c>
      <c r="N814" s="112" t="str">
        <f t="shared" si="99"/>
        <v/>
      </c>
      <c r="O814" s="112" t="str">
        <f t="shared" si="93"/>
        <v xml:space="preserve"> </v>
      </c>
      <c r="P814" s="113" t="str">
        <f t="shared" si="94"/>
        <v/>
      </c>
      <c r="Q814" s="114" t="str">
        <f t="shared" si="95"/>
        <v/>
      </c>
      <c r="R814" s="115" t="str">
        <f t="shared" si="96"/>
        <v/>
      </c>
      <c r="S814" s="115" t="str">
        <f t="shared" si="97"/>
        <v/>
      </c>
      <c r="T814" s="116" t="str">
        <f t="shared" si="98"/>
        <v/>
      </c>
      <c r="U814" s="120"/>
      <c r="V814" s="118"/>
    </row>
    <row r="815" spans="1:22" ht="13.2">
      <c r="A815" s="102"/>
      <c r="B815" s="102"/>
      <c r="C815" s="104"/>
      <c r="D815" s="105"/>
      <c r="E815" s="106"/>
      <c r="F815" s="107"/>
      <c r="G815" s="108"/>
      <c r="H815" s="109"/>
      <c r="I815" s="110"/>
      <c r="J815" s="110"/>
      <c r="K815" s="119"/>
      <c r="L815" s="111" t="str">
        <f t="shared" si="99"/>
        <v/>
      </c>
      <c r="M815" s="112" t="str">
        <f t="shared" si="99"/>
        <v/>
      </c>
      <c r="N815" s="112" t="str">
        <f t="shared" si="99"/>
        <v/>
      </c>
      <c r="O815" s="112" t="str">
        <f t="shared" si="93"/>
        <v xml:space="preserve"> </v>
      </c>
      <c r="P815" s="113" t="str">
        <f t="shared" si="94"/>
        <v/>
      </c>
      <c r="Q815" s="114" t="str">
        <f t="shared" si="95"/>
        <v/>
      </c>
      <c r="R815" s="115" t="str">
        <f t="shared" si="96"/>
        <v/>
      </c>
      <c r="S815" s="115" t="str">
        <f t="shared" si="97"/>
        <v/>
      </c>
      <c r="T815" s="116" t="str">
        <f t="shared" si="98"/>
        <v/>
      </c>
      <c r="U815" s="120"/>
      <c r="V815" s="118"/>
    </row>
    <row r="816" spans="1:22" ht="13.2">
      <c r="A816" s="102"/>
      <c r="B816" s="102"/>
      <c r="C816" s="104"/>
      <c r="D816" s="105"/>
      <c r="E816" s="106"/>
      <c r="F816" s="107"/>
      <c r="G816" s="108"/>
      <c r="H816" s="109"/>
      <c r="I816" s="110"/>
      <c r="J816" s="110"/>
      <c r="K816" s="119"/>
      <c r="L816" s="111" t="str">
        <f t="shared" si="99"/>
        <v/>
      </c>
      <c r="M816" s="112" t="str">
        <f t="shared" si="99"/>
        <v/>
      </c>
      <c r="N816" s="112" t="str">
        <f t="shared" si="99"/>
        <v/>
      </c>
      <c r="O816" s="112" t="str">
        <f t="shared" si="93"/>
        <v xml:space="preserve"> </v>
      </c>
      <c r="P816" s="113" t="str">
        <f t="shared" si="94"/>
        <v/>
      </c>
      <c r="Q816" s="114" t="str">
        <f t="shared" si="95"/>
        <v/>
      </c>
      <c r="R816" s="115" t="str">
        <f t="shared" si="96"/>
        <v/>
      </c>
      <c r="S816" s="115" t="str">
        <f t="shared" si="97"/>
        <v/>
      </c>
      <c r="T816" s="116" t="str">
        <f t="shared" si="98"/>
        <v/>
      </c>
      <c r="U816" s="120"/>
      <c r="V816" s="118"/>
    </row>
    <row r="817" spans="1:22" ht="13.2">
      <c r="A817" s="102"/>
      <c r="B817" s="102"/>
      <c r="C817" s="104"/>
      <c r="D817" s="105"/>
      <c r="E817" s="106"/>
      <c r="F817" s="107"/>
      <c r="G817" s="108"/>
      <c r="H817" s="109"/>
      <c r="I817" s="110"/>
      <c r="J817" s="110"/>
      <c r="K817" s="119"/>
      <c r="L817" s="111" t="str">
        <f t="shared" si="99"/>
        <v/>
      </c>
      <c r="M817" s="112" t="str">
        <f t="shared" si="99"/>
        <v/>
      </c>
      <c r="N817" s="112" t="str">
        <f t="shared" si="99"/>
        <v/>
      </c>
      <c r="O817" s="112" t="str">
        <f t="shared" si="93"/>
        <v xml:space="preserve"> </v>
      </c>
      <c r="P817" s="113" t="str">
        <f t="shared" si="94"/>
        <v/>
      </c>
      <c r="Q817" s="114" t="str">
        <f t="shared" si="95"/>
        <v/>
      </c>
      <c r="R817" s="115" t="str">
        <f t="shared" si="96"/>
        <v/>
      </c>
      <c r="S817" s="115" t="str">
        <f t="shared" si="97"/>
        <v/>
      </c>
      <c r="T817" s="116" t="str">
        <f t="shared" si="98"/>
        <v/>
      </c>
      <c r="U817" s="120"/>
      <c r="V817" s="118"/>
    </row>
    <row r="818" spans="1:22" ht="13.2">
      <c r="A818" s="102"/>
      <c r="B818" s="102"/>
      <c r="C818" s="104"/>
      <c r="D818" s="105"/>
      <c r="E818" s="106"/>
      <c r="F818" s="107"/>
      <c r="G818" s="108"/>
      <c r="H818" s="109"/>
      <c r="I818" s="110"/>
      <c r="J818" s="110"/>
      <c r="K818" s="119"/>
      <c r="L818" s="111" t="str">
        <f t="shared" si="99"/>
        <v/>
      </c>
      <c r="M818" s="112" t="str">
        <f t="shared" si="99"/>
        <v/>
      </c>
      <c r="N818" s="112" t="str">
        <f t="shared" si="99"/>
        <v/>
      </c>
      <c r="O818" s="112" t="str">
        <f t="shared" si="93"/>
        <v xml:space="preserve"> </v>
      </c>
      <c r="P818" s="113" t="str">
        <f t="shared" si="94"/>
        <v/>
      </c>
      <c r="Q818" s="114" t="str">
        <f t="shared" si="95"/>
        <v/>
      </c>
      <c r="R818" s="115" t="str">
        <f t="shared" si="96"/>
        <v/>
      </c>
      <c r="S818" s="115" t="str">
        <f t="shared" si="97"/>
        <v/>
      </c>
      <c r="T818" s="116" t="str">
        <f t="shared" si="98"/>
        <v/>
      </c>
      <c r="U818" s="120"/>
      <c r="V818" s="118"/>
    </row>
    <row r="819" spans="1:22" ht="13.2">
      <c r="A819" s="102"/>
      <c r="B819" s="102"/>
      <c r="C819" s="104"/>
      <c r="D819" s="105"/>
      <c r="E819" s="106"/>
      <c r="F819" s="107"/>
      <c r="G819" s="108"/>
      <c r="H819" s="109"/>
      <c r="I819" s="110"/>
      <c r="J819" s="110"/>
      <c r="K819" s="110"/>
      <c r="L819" s="111" t="str">
        <f t="shared" si="99"/>
        <v/>
      </c>
      <c r="M819" s="112" t="str">
        <f t="shared" si="99"/>
        <v/>
      </c>
      <c r="N819" s="112" t="str">
        <f t="shared" si="99"/>
        <v/>
      </c>
      <c r="O819" s="112" t="str">
        <f t="shared" si="93"/>
        <v xml:space="preserve"> </v>
      </c>
      <c r="P819" s="113" t="str">
        <f t="shared" si="94"/>
        <v/>
      </c>
      <c r="Q819" s="114" t="str">
        <f t="shared" si="95"/>
        <v/>
      </c>
      <c r="R819" s="115" t="str">
        <f t="shared" si="96"/>
        <v/>
      </c>
      <c r="S819" s="115" t="str">
        <f t="shared" si="97"/>
        <v/>
      </c>
      <c r="T819" s="116" t="str">
        <f t="shared" si="98"/>
        <v/>
      </c>
      <c r="U819" s="120"/>
      <c r="V819" s="118"/>
    </row>
    <row r="820" spans="1:22" ht="13.2">
      <c r="A820" s="102"/>
      <c r="B820" s="102"/>
      <c r="C820" s="104"/>
      <c r="D820" s="105"/>
      <c r="E820" s="106"/>
      <c r="F820" s="107"/>
      <c r="G820" s="108"/>
      <c r="H820" s="109"/>
      <c r="I820" s="110"/>
      <c r="J820" s="110"/>
      <c r="K820" s="119"/>
      <c r="L820" s="111" t="str">
        <f t="shared" si="99"/>
        <v/>
      </c>
      <c r="M820" s="112" t="str">
        <f t="shared" si="99"/>
        <v/>
      </c>
      <c r="N820" s="112" t="str">
        <f t="shared" si="99"/>
        <v/>
      </c>
      <c r="O820" s="112" t="str">
        <f t="shared" si="93"/>
        <v xml:space="preserve"> </v>
      </c>
      <c r="P820" s="113" t="str">
        <f t="shared" si="94"/>
        <v/>
      </c>
      <c r="Q820" s="114" t="str">
        <f t="shared" si="95"/>
        <v/>
      </c>
      <c r="R820" s="115" t="str">
        <f t="shared" si="96"/>
        <v/>
      </c>
      <c r="S820" s="115" t="str">
        <f t="shared" si="97"/>
        <v/>
      </c>
      <c r="T820" s="116" t="str">
        <f t="shared" si="98"/>
        <v/>
      </c>
      <c r="U820" s="120"/>
      <c r="V820" s="118"/>
    </row>
    <row r="821" spans="1:22" ht="13.2">
      <c r="A821" s="102"/>
      <c r="B821" s="102"/>
      <c r="C821" s="104"/>
      <c r="D821" s="105"/>
      <c r="E821" s="106"/>
      <c r="F821" s="107"/>
      <c r="G821" s="108"/>
      <c r="H821" s="109"/>
      <c r="I821" s="110"/>
      <c r="J821" s="110"/>
      <c r="K821" s="119"/>
      <c r="L821" s="111" t="str">
        <f t="shared" si="99"/>
        <v/>
      </c>
      <c r="M821" s="112" t="str">
        <f t="shared" si="99"/>
        <v/>
      </c>
      <c r="N821" s="112" t="str">
        <f t="shared" si="99"/>
        <v/>
      </c>
      <c r="O821" s="112" t="str">
        <f t="shared" si="93"/>
        <v xml:space="preserve"> </v>
      </c>
      <c r="P821" s="113" t="str">
        <f t="shared" si="94"/>
        <v/>
      </c>
      <c r="Q821" s="114" t="str">
        <f t="shared" si="95"/>
        <v/>
      </c>
      <c r="R821" s="115" t="str">
        <f t="shared" si="96"/>
        <v/>
      </c>
      <c r="S821" s="115" t="str">
        <f t="shared" si="97"/>
        <v/>
      </c>
      <c r="T821" s="116" t="str">
        <f t="shared" si="98"/>
        <v/>
      </c>
      <c r="U821" s="120"/>
      <c r="V821" s="118"/>
    </row>
    <row r="822" spans="1:22" ht="13.2">
      <c r="A822" s="102"/>
      <c r="B822" s="102"/>
      <c r="C822" s="104"/>
      <c r="D822" s="105"/>
      <c r="E822" s="106"/>
      <c r="F822" s="107"/>
      <c r="G822" s="108"/>
      <c r="H822" s="109"/>
      <c r="I822" s="110"/>
      <c r="J822" s="110"/>
      <c r="K822" s="119"/>
      <c r="L822" s="111" t="str">
        <f t="shared" si="99"/>
        <v/>
      </c>
      <c r="M822" s="112" t="str">
        <f t="shared" si="99"/>
        <v/>
      </c>
      <c r="N822" s="112" t="str">
        <f t="shared" si="99"/>
        <v/>
      </c>
      <c r="O822" s="112" t="str">
        <f t="shared" si="93"/>
        <v xml:space="preserve"> </v>
      </c>
      <c r="P822" s="113" t="str">
        <f t="shared" si="94"/>
        <v/>
      </c>
      <c r="Q822" s="114" t="str">
        <f t="shared" si="95"/>
        <v/>
      </c>
      <c r="R822" s="115" t="str">
        <f t="shared" si="96"/>
        <v/>
      </c>
      <c r="S822" s="115" t="str">
        <f t="shared" si="97"/>
        <v/>
      </c>
      <c r="T822" s="116" t="str">
        <f t="shared" si="98"/>
        <v/>
      </c>
      <c r="U822" s="120"/>
      <c r="V822" s="118"/>
    </row>
    <row r="823" spans="1:22" ht="13.2">
      <c r="A823" s="102"/>
      <c r="B823" s="102"/>
      <c r="C823" s="104"/>
      <c r="D823" s="105"/>
      <c r="E823" s="106"/>
      <c r="F823" s="107"/>
      <c r="G823" s="108"/>
      <c r="H823" s="109"/>
      <c r="I823" s="110"/>
      <c r="J823" s="110"/>
      <c r="K823" s="119"/>
      <c r="L823" s="111" t="str">
        <f t="shared" si="99"/>
        <v/>
      </c>
      <c r="M823" s="112" t="str">
        <f t="shared" si="99"/>
        <v/>
      </c>
      <c r="N823" s="112" t="str">
        <f t="shared" si="99"/>
        <v/>
      </c>
      <c r="O823" s="112" t="str">
        <f t="shared" si="93"/>
        <v xml:space="preserve"> </v>
      </c>
      <c r="P823" s="113" t="str">
        <f t="shared" si="94"/>
        <v/>
      </c>
      <c r="Q823" s="114" t="str">
        <f t="shared" si="95"/>
        <v/>
      </c>
      <c r="R823" s="115" t="str">
        <f t="shared" si="96"/>
        <v/>
      </c>
      <c r="S823" s="115" t="str">
        <f t="shared" si="97"/>
        <v/>
      </c>
      <c r="T823" s="116" t="str">
        <f t="shared" si="98"/>
        <v/>
      </c>
      <c r="U823" s="120"/>
      <c r="V823" s="118"/>
    </row>
    <row r="824" spans="1:22" ht="13.2">
      <c r="A824" s="102"/>
      <c r="B824" s="103"/>
      <c r="C824" s="104"/>
      <c r="D824" s="105"/>
      <c r="E824" s="106"/>
      <c r="F824" s="107"/>
      <c r="G824" s="108"/>
      <c r="H824" s="121"/>
      <c r="I824" s="122"/>
      <c r="J824" s="122"/>
      <c r="K824" s="123"/>
      <c r="L824" s="111" t="str">
        <f t="shared" si="99"/>
        <v/>
      </c>
      <c r="M824" s="112" t="str">
        <f t="shared" si="99"/>
        <v/>
      </c>
      <c r="N824" s="112" t="str">
        <f t="shared" si="99"/>
        <v/>
      </c>
      <c r="O824" s="112" t="str">
        <f t="shared" si="93"/>
        <v xml:space="preserve"> </v>
      </c>
      <c r="P824" s="113" t="str">
        <f t="shared" si="94"/>
        <v/>
      </c>
      <c r="Q824" s="114" t="str">
        <f t="shared" si="95"/>
        <v/>
      </c>
      <c r="R824" s="115" t="str">
        <f t="shared" si="96"/>
        <v/>
      </c>
      <c r="S824" s="115" t="str">
        <f t="shared" si="97"/>
        <v/>
      </c>
      <c r="T824" s="116" t="str">
        <f t="shared" si="98"/>
        <v/>
      </c>
      <c r="U824" s="120"/>
      <c r="V824" s="118"/>
    </row>
    <row r="825" spans="1:22" ht="13.2">
      <c r="A825" s="102"/>
      <c r="B825" s="103"/>
      <c r="C825" s="104"/>
      <c r="D825" s="105"/>
      <c r="E825" s="106"/>
      <c r="F825" s="107"/>
      <c r="G825" s="108"/>
      <c r="H825" s="121"/>
      <c r="I825" s="122"/>
      <c r="J825" s="122"/>
      <c r="K825" s="123"/>
      <c r="L825" s="111" t="str">
        <f t="shared" si="99"/>
        <v/>
      </c>
      <c r="M825" s="112" t="str">
        <f t="shared" si="99"/>
        <v/>
      </c>
      <c r="N825" s="112" t="str">
        <f t="shared" si="99"/>
        <v/>
      </c>
      <c r="O825" s="112" t="str">
        <f t="shared" si="93"/>
        <v xml:space="preserve"> </v>
      </c>
      <c r="P825" s="113" t="str">
        <f t="shared" si="94"/>
        <v/>
      </c>
      <c r="Q825" s="114" t="str">
        <f t="shared" si="95"/>
        <v/>
      </c>
      <c r="R825" s="115" t="str">
        <f t="shared" si="96"/>
        <v/>
      </c>
      <c r="S825" s="115" t="str">
        <f t="shared" si="97"/>
        <v/>
      </c>
      <c r="T825" s="116" t="str">
        <f t="shared" si="98"/>
        <v/>
      </c>
      <c r="U825" s="120"/>
      <c r="V825" s="118"/>
    </row>
    <row r="826" spans="1:22" ht="13.2">
      <c r="A826" s="102"/>
      <c r="B826" s="103"/>
      <c r="C826" s="104"/>
      <c r="D826" s="105"/>
      <c r="E826" s="106"/>
      <c r="F826" s="107"/>
      <c r="G826" s="108"/>
      <c r="H826" s="121"/>
      <c r="I826" s="122"/>
      <c r="J826" s="122"/>
      <c r="K826" s="123"/>
      <c r="L826" s="111" t="str">
        <f t="shared" si="99"/>
        <v/>
      </c>
      <c r="M826" s="112" t="str">
        <f t="shared" si="99"/>
        <v/>
      </c>
      <c r="N826" s="112" t="str">
        <f t="shared" si="99"/>
        <v/>
      </c>
      <c r="O826" s="112" t="str">
        <f t="shared" si="93"/>
        <v xml:space="preserve"> </v>
      </c>
      <c r="P826" s="113" t="str">
        <f t="shared" si="94"/>
        <v/>
      </c>
      <c r="Q826" s="114" t="str">
        <f t="shared" si="95"/>
        <v/>
      </c>
      <c r="R826" s="115" t="str">
        <f t="shared" si="96"/>
        <v/>
      </c>
      <c r="S826" s="115" t="str">
        <f t="shared" si="97"/>
        <v/>
      </c>
      <c r="T826" s="116" t="str">
        <f t="shared" si="98"/>
        <v/>
      </c>
      <c r="U826" s="120"/>
      <c r="V826" s="118"/>
    </row>
    <row r="827" spans="1:22" ht="13.2">
      <c r="A827" s="102"/>
      <c r="B827" s="102"/>
      <c r="C827" s="103"/>
      <c r="D827" s="105"/>
      <c r="E827" s="106"/>
      <c r="F827" s="107"/>
      <c r="G827" s="108"/>
      <c r="H827" s="109"/>
      <c r="I827" s="110"/>
      <c r="J827" s="110"/>
      <c r="K827" s="119"/>
      <c r="L827" s="111" t="str">
        <f t="shared" si="99"/>
        <v/>
      </c>
      <c r="M827" s="112" t="str">
        <f t="shared" si="99"/>
        <v/>
      </c>
      <c r="N827" s="112" t="str">
        <f t="shared" si="99"/>
        <v/>
      </c>
      <c r="O827" s="112" t="str">
        <f t="shared" si="93"/>
        <v xml:space="preserve"> </v>
      </c>
      <c r="P827" s="113" t="str">
        <f t="shared" si="94"/>
        <v/>
      </c>
      <c r="Q827" s="114" t="str">
        <f t="shared" si="95"/>
        <v/>
      </c>
      <c r="R827" s="115" t="str">
        <f t="shared" si="96"/>
        <v/>
      </c>
      <c r="S827" s="115" t="str">
        <f t="shared" si="97"/>
        <v/>
      </c>
      <c r="T827" s="116" t="str">
        <f t="shared" si="98"/>
        <v/>
      </c>
      <c r="U827" s="120"/>
      <c r="V827" s="118"/>
    </row>
    <row r="828" spans="1:22" ht="13.2">
      <c r="A828" s="102"/>
      <c r="B828" s="102"/>
      <c r="C828" s="103"/>
      <c r="D828" s="105"/>
      <c r="E828" s="106"/>
      <c r="F828" s="107"/>
      <c r="G828" s="108"/>
      <c r="H828" s="109"/>
      <c r="I828" s="110"/>
      <c r="J828" s="110"/>
      <c r="K828" s="119"/>
      <c r="L828" s="111" t="str">
        <f t="shared" si="99"/>
        <v/>
      </c>
      <c r="M828" s="112" t="str">
        <f t="shared" si="99"/>
        <v/>
      </c>
      <c r="N828" s="112" t="str">
        <f t="shared" si="99"/>
        <v/>
      </c>
      <c r="O828" s="112" t="str">
        <f t="shared" si="93"/>
        <v xml:space="preserve"> </v>
      </c>
      <c r="P828" s="113" t="str">
        <f t="shared" si="94"/>
        <v/>
      </c>
      <c r="Q828" s="114" t="str">
        <f t="shared" si="95"/>
        <v/>
      </c>
      <c r="R828" s="115" t="str">
        <f t="shared" si="96"/>
        <v/>
      </c>
      <c r="S828" s="115" t="str">
        <f t="shared" si="97"/>
        <v/>
      </c>
      <c r="T828" s="116" t="str">
        <f t="shared" si="98"/>
        <v/>
      </c>
      <c r="U828" s="120"/>
      <c r="V828" s="118"/>
    </row>
    <row r="829" spans="1:22" ht="13.2">
      <c r="A829" s="102"/>
      <c r="B829" s="102"/>
      <c r="C829" s="104"/>
      <c r="D829" s="105"/>
      <c r="E829" s="106"/>
      <c r="F829" s="107"/>
      <c r="G829" s="108"/>
      <c r="H829" s="109"/>
      <c r="I829" s="110"/>
      <c r="J829" s="110"/>
      <c r="K829" s="119"/>
      <c r="L829" s="111" t="str">
        <f t="shared" si="99"/>
        <v/>
      </c>
      <c r="M829" s="112" t="str">
        <f t="shared" si="99"/>
        <v/>
      </c>
      <c r="N829" s="112" t="str">
        <f t="shared" si="99"/>
        <v/>
      </c>
      <c r="O829" s="112" t="str">
        <f t="shared" si="93"/>
        <v xml:space="preserve"> </v>
      </c>
      <c r="P829" s="113" t="str">
        <f t="shared" si="94"/>
        <v/>
      </c>
      <c r="Q829" s="114" t="str">
        <f t="shared" si="95"/>
        <v/>
      </c>
      <c r="R829" s="115" t="str">
        <f t="shared" si="96"/>
        <v/>
      </c>
      <c r="S829" s="115" t="str">
        <f t="shared" si="97"/>
        <v/>
      </c>
      <c r="T829" s="116" t="str">
        <f t="shared" si="98"/>
        <v/>
      </c>
      <c r="U829" s="120"/>
      <c r="V829" s="118"/>
    </row>
    <row r="830" spans="1:22" ht="13.2">
      <c r="A830" s="102"/>
      <c r="B830" s="102"/>
      <c r="C830" s="104"/>
      <c r="D830" s="105"/>
      <c r="E830" s="106"/>
      <c r="F830" s="107"/>
      <c r="G830" s="108"/>
      <c r="H830" s="109"/>
      <c r="I830" s="110"/>
      <c r="J830" s="110"/>
      <c r="K830" s="119"/>
      <c r="L830" s="111" t="str">
        <f t="shared" si="99"/>
        <v/>
      </c>
      <c r="M830" s="112" t="str">
        <f t="shared" si="99"/>
        <v/>
      </c>
      <c r="N830" s="112" t="str">
        <f t="shared" si="99"/>
        <v/>
      </c>
      <c r="O830" s="112" t="str">
        <f t="shared" ref="O830:O893" si="100">IF(ISERR(I830/I830)=TRUE," ",AVERAGE(I830:K830))</f>
        <v xml:space="preserve"> </v>
      </c>
      <c r="P830" s="113" t="str">
        <f t="shared" ref="P830:P893" si="101">IF(ISBLANK($E830),"",IF(ISNUMBER(F830)=FALSE,"BAD TOL", IF(F830=0,"N/A",IF(ISERR(I830/I830)=TRUE,"BAD INSP",IF(AND(ISNUMBER($I830),ISNUMBER($J830),ISNUMBER($K830))=FALSE,"BAD INSP",IF(MAX($I830:$K830)&lt;$E830,0,(MAX($I830:$K830)-$E830)/$F830))))))</f>
        <v/>
      </c>
      <c r="Q830" s="114" t="str">
        <f t="shared" ref="Q830:Q893" si="102">IF(ISBLANK($E830),"",IF(ISNUMBER(G830)=FALSE,"BAD TOL",IF(G830=0,"N/A",IF(ISERR(I830/I830)=TRUE,"BAD INSP",IF(AND(ISNUMBER($I830),ISNUMBER($J830),ISNUMBER($K830))=FALSE,"BAD INSP",IF(MIN(I830:K830)&gt;$E830,0,($E830-MIN(I830:K830))/G830))))))</f>
        <v/>
      </c>
      <c r="R830" s="115" t="str">
        <f t="shared" ref="R830:R893" si="103">IF(ISBLANK($E830),"",IF(ISNUMBER($P830)=TRUE,IF($P830&gt;0.651,IF($P830&gt;1.001,"Reject","Alert")," "),IF(AND(F830=0, ISNUMBER(F830)),IF(MAX(I830:K830)&gt;(E830+F830),"Reject",IF(MAX(I830:K830)=(E830+F830),"Alert","")),"Reject")))</f>
        <v/>
      </c>
      <c r="S830" s="115" t="str">
        <f t="shared" ref="S830:S893" si="104">IF(ISBLANK($E830),"",IF(ISNUMBER($Q830)=TRUE,IF($Q830&gt;0.651,IF($Q830&gt;1.001,"Reject","Alert")," "),IF(AND(G830=0, ISNUMBER(G830)),IF(MIN(I830:K830)&lt;(E830-G830),"Reject",IF(MIN(I830:K830)=(E830-G830),"Alert","")),"Reject")))</f>
        <v/>
      </c>
      <c r="T830" s="116" t="str">
        <f t="shared" ref="T830:T893" si="105">IF(OR(R830="Reject",S830="Reject"),"Reject",IF(OR(R830="Alert",S830="Alert"),"Alert", ""))</f>
        <v/>
      </c>
      <c r="U830" s="120"/>
      <c r="V830" s="118"/>
    </row>
    <row r="831" spans="1:22" ht="13.2">
      <c r="A831" s="102"/>
      <c r="B831" s="102"/>
      <c r="C831" s="104"/>
      <c r="D831" s="105"/>
      <c r="E831" s="106"/>
      <c r="F831" s="107"/>
      <c r="G831" s="108"/>
      <c r="H831" s="109"/>
      <c r="I831" s="110"/>
      <c r="J831" s="110"/>
      <c r="K831" s="119"/>
      <c r="L831" s="111" t="str">
        <f t="shared" si="99"/>
        <v/>
      </c>
      <c r="M831" s="112" t="str">
        <f t="shared" si="99"/>
        <v/>
      </c>
      <c r="N831" s="112" t="str">
        <f t="shared" si="99"/>
        <v/>
      </c>
      <c r="O831" s="112" t="str">
        <f t="shared" si="100"/>
        <v xml:space="preserve"> </v>
      </c>
      <c r="P831" s="113" t="str">
        <f t="shared" si="101"/>
        <v/>
      </c>
      <c r="Q831" s="114" t="str">
        <f t="shared" si="102"/>
        <v/>
      </c>
      <c r="R831" s="115" t="str">
        <f t="shared" si="103"/>
        <v/>
      </c>
      <c r="S831" s="115" t="str">
        <f t="shared" si="104"/>
        <v/>
      </c>
      <c r="T831" s="116" t="str">
        <f t="shared" si="105"/>
        <v/>
      </c>
      <c r="U831" s="120"/>
      <c r="V831" s="118"/>
    </row>
    <row r="832" spans="1:22" ht="13.2">
      <c r="A832" s="102"/>
      <c r="B832" s="102"/>
      <c r="C832" s="104"/>
      <c r="D832" s="105"/>
      <c r="E832" s="106"/>
      <c r="F832" s="107"/>
      <c r="G832" s="108"/>
      <c r="H832" s="109"/>
      <c r="I832" s="110"/>
      <c r="J832" s="110"/>
      <c r="K832" s="119"/>
      <c r="L832" s="111" t="str">
        <f t="shared" si="99"/>
        <v/>
      </c>
      <c r="M832" s="112" t="str">
        <f t="shared" si="99"/>
        <v/>
      </c>
      <c r="N832" s="112" t="str">
        <f t="shared" si="99"/>
        <v/>
      </c>
      <c r="O832" s="112" t="str">
        <f t="shared" si="100"/>
        <v xml:space="preserve"> </v>
      </c>
      <c r="P832" s="113" t="str">
        <f t="shared" si="101"/>
        <v/>
      </c>
      <c r="Q832" s="114" t="str">
        <f t="shared" si="102"/>
        <v/>
      </c>
      <c r="R832" s="115" t="str">
        <f t="shared" si="103"/>
        <v/>
      </c>
      <c r="S832" s="115" t="str">
        <f t="shared" si="104"/>
        <v/>
      </c>
      <c r="T832" s="116" t="str">
        <f t="shared" si="105"/>
        <v/>
      </c>
      <c r="U832" s="120"/>
      <c r="V832" s="118"/>
    </row>
    <row r="833" spans="1:22" ht="13.2">
      <c r="A833" s="102"/>
      <c r="B833" s="102"/>
      <c r="C833" s="104"/>
      <c r="D833" s="105"/>
      <c r="E833" s="106"/>
      <c r="F833" s="107"/>
      <c r="G833" s="108"/>
      <c r="H833" s="109"/>
      <c r="I833" s="110"/>
      <c r="J833" s="110"/>
      <c r="K833" s="119"/>
      <c r="L833" s="111" t="str">
        <f t="shared" si="99"/>
        <v/>
      </c>
      <c r="M833" s="112" t="str">
        <f t="shared" si="99"/>
        <v/>
      </c>
      <c r="N833" s="112" t="str">
        <f t="shared" si="99"/>
        <v/>
      </c>
      <c r="O833" s="112" t="str">
        <f t="shared" si="100"/>
        <v xml:space="preserve"> </v>
      </c>
      <c r="P833" s="113" t="str">
        <f t="shared" si="101"/>
        <v/>
      </c>
      <c r="Q833" s="114" t="str">
        <f t="shared" si="102"/>
        <v/>
      </c>
      <c r="R833" s="115" t="str">
        <f t="shared" si="103"/>
        <v/>
      </c>
      <c r="S833" s="115" t="str">
        <f t="shared" si="104"/>
        <v/>
      </c>
      <c r="T833" s="116" t="str">
        <f t="shared" si="105"/>
        <v/>
      </c>
      <c r="U833" s="120"/>
      <c r="V833" s="118"/>
    </row>
    <row r="834" spans="1:22" ht="13.2">
      <c r="A834" s="102"/>
      <c r="B834" s="102"/>
      <c r="C834" s="104"/>
      <c r="D834" s="105"/>
      <c r="E834" s="106"/>
      <c r="F834" s="107"/>
      <c r="G834" s="108"/>
      <c r="H834" s="109"/>
      <c r="I834" s="110"/>
      <c r="J834" s="110"/>
      <c r="K834" s="110"/>
      <c r="L834" s="111" t="str">
        <f t="shared" si="99"/>
        <v/>
      </c>
      <c r="M834" s="112" t="str">
        <f t="shared" si="99"/>
        <v/>
      </c>
      <c r="N834" s="112" t="str">
        <f t="shared" si="99"/>
        <v/>
      </c>
      <c r="O834" s="112" t="str">
        <f t="shared" si="100"/>
        <v xml:space="preserve"> </v>
      </c>
      <c r="P834" s="113" t="str">
        <f t="shared" si="101"/>
        <v/>
      </c>
      <c r="Q834" s="114" t="str">
        <f t="shared" si="102"/>
        <v/>
      </c>
      <c r="R834" s="115" t="str">
        <f t="shared" si="103"/>
        <v/>
      </c>
      <c r="S834" s="115" t="str">
        <f t="shared" si="104"/>
        <v/>
      </c>
      <c r="T834" s="116" t="str">
        <f t="shared" si="105"/>
        <v/>
      </c>
      <c r="U834" s="120"/>
      <c r="V834" s="118"/>
    </row>
    <row r="835" spans="1:22" ht="13.2">
      <c r="A835" s="102"/>
      <c r="B835" s="102"/>
      <c r="C835" s="104"/>
      <c r="D835" s="105"/>
      <c r="E835" s="106"/>
      <c r="F835" s="107"/>
      <c r="G835" s="108"/>
      <c r="H835" s="109"/>
      <c r="I835" s="110"/>
      <c r="J835" s="110"/>
      <c r="K835" s="119"/>
      <c r="L835" s="111" t="str">
        <f t="shared" si="99"/>
        <v/>
      </c>
      <c r="M835" s="112" t="str">
        <f t="shared" si="99"/>
        <v/>
      </c>
      <c r="N835" s="112" t="str">
        <f t="shared" si="99"/>
        <v/>
      </c>
      <c r="O835" s="112" t="str">
        <f t="shared" si="100"/>
        <v xml:space="preserve"> </v>
      </c>
      <c r="P835" s="113" t="str">
        <f t="shared" si="101"/>
        <v/>
      </c>
      <c r="Q835" s="114" t="str">
        <f t="shared" si="102"/>
        <v/>
      </c>
      <c r="R835" s="115" t="str">
        <f t="shared" si="103"/>
        <v/>
      </c>
      <c r="S835" s="115" t="str">
        <f t="shared" si="104"/>
        <v/>
      </c>
      <c r="T835" s="116" t="str">
        <f t="shared" si="105"/>
        <v/>
      </c>
      <c r="U835" s="120"/>
      <c r="V835" s="118"/>
    </row>
    <row r="836" spans="1:22" ht="13.2">
      <c r="A836" s="102"/>
      <c r="B836" s="102"/>
      <c r="C836" s="104"/>
      <c r="D836" s="105"/>
      <c r="E836" s="106"/>
      <c r="F836" s="107"/>
      <c r="G836" s="108"/>
      <c r="H836" s="109"/>
      <c r="I836" s="110"/>
      <c r="J836" s="110"/>
      <c r="K836" s="119"/>
      <c r="L836" s="111" t="str">
        <f t="shared" si="99"/>
        <v/>
      </c>
      <c r="M836" s="112" t="str">
        <f t="shared" si="99"/>
        <v/>
      </c>
      <c r="N836" s="112" t="str">
        <f t="shared" si="99"/>
        <v/>
      </c>
      <c r="O836" s="112" t="str">
        <f t="shared" si="100"/>
        <v xml:space="preserve"> </v>
      </c>
      <c r="P836" s="113" t="str">
        <f t="shared" si="101"/>
        <v/>
      </c>
      <c r="Q836" s="114" t="str">
        <f t="shared" si="102"/>
        <v/>
      </c>
      <c r="R836" s="115" t="str">
        <f t="shared" si="103"/>
        <v/>
      </c>
      <c r="S836" s="115" t="str">
        <f t="shared" si="104"/>
        <v/>
      </c>
      <c r="T836" s="116" t="str">
        <f t="shared" si="105"/>
        <v/>
      </c>
      <c r="U836" s="120"/>
      <c r="V836" s="118"/>
    </row>
    <row r="837" spans="1:22" ht="13.2">
      <c r="A837" s="102"/>
      <c r="B837" s="102"/>
      <c r="C837" s="104"/>
      <c r="D837" s="105"/>
      <c r="E837" s="106"/>
      <c r="F837" s="107"/>
      <c r="G837" s="108"/>
      <c r="H837" s="109"/>
      <c r="I837" s="110"/>
      <c r="J837" s="110"/>
      <c r="K837" s="119"/>
      <c r="L837" s="111" t="str">
        <f t="shared" si="99"/>
        <v/>
      </c>
      <c r="M837" s="112" t="str">
        <f t="shared" si="99"/>
        <v/>
      </c>
      <c r="N837" s="112" t="str">
        <f t="shared" si="99"/>
        <v/>
      </c>
      <c r="O837" s="112" t="str">
        <f t="shared" si="100"/>
        <v xml:space="preserve"> </v>
      </c>
      <c r="P837" s="113" t="str">
        <f t="shared" si="101"/>
        <v/>
      </c>
      <c r="Q837" s="114" t="str">
        <f t="shared" si="102"/>
        <v/>
      </c>
      <c r="R837" s="115" t="str">
        <f t="shared" si="103"/>
        <v/>
      </c>
      <c r="S837" s="115" t="str">
        <f t="shared" si="104"/>
        <v/>
      </c>
      <c r="T837" s="116" t="str">
        <f t="shared" si="105"/>
        <v/>
      </c>
      <c r="U837" s="120"/>
      <c r="V837" s="118"/>
    </row>
    <row r="838" spans="1:22" ht="13.2">
      <c r="A838" s="102"/>
      <c r="B838" s="102"/>
      <c r="C838" s="104"/>
      <c r="D838" s="105"/>
      <c r="E838" s="106"/>
      <c r="F838" s="107"/>
      <c r="G838" s="108"/>
      <c r="H838" s="109"/>
      <c r="I838" s="110"/>
      <c r="J838" s="110"/>
      <c r="K838" s="119"/>
      <c r="L838" s="111" t="str">
        <f t="shared" si="99"/>
        <v/>
      </c>
      <c r="M838" s="112" t="str">
        <f t="shared" si="99"/>
        <v/>
      </c>
      <c r="N838" s="112" t="str">
        <f t="shared" si="99"/>
        <v/>
      </c>
      <c r="O838" s="112" t="str">
        <f t="shared" si="100"/>
        <v xml:space="preserve"> </v>
      </c>
      <c r="P838" s="113" t="str">
        <f t="shared" si="101"/>
        <v/>
      </c>
      <c r="Q838" s="114" t="str">
        <f t="shared" si="102"/>
        <v/>
      </c>
      <c r="R838" s="115" t="str">
        <f t="shared" si="103"/>
        <v/>
      </c>
      <c r="S838" s="115" t="str">
        <f t="shared" si="104"/>
        <v/>
      </c>
      <c r="T838" s="116" t="str">
        <f t="shared" si="105"/>
        <v/>
      </c>
      <c r="U838" s="120"/>
      <c r="V838" s="118"/>
    </row>
    <row r="839" spans="1:22" ht="13.2">
      <c r="A839" s="102"/>
      <c r="B839" s="103"/>
      <c r="C839" s="104"/>
      <c r="D839" s="105"/>
      <c r="E839" s="106"/>
      <c r="F839" s="107"/>
      <c r="G839" s="108"/>
      <c r="H839" s="121"/>
      <c r="I839" s="122"/>
      <c r="J839" s="122"/>
      <c r="K839" s="123"/>
      <c r="L839" s="111" t="str">
        <f t="shared" si="99"/>
        <v/>
      </c>
      <c r="M839" s="112" t="str">
        <f t="shared" si="99"/>
        <v/>
      </c>
      <c r="N839" s="112" t="str">
        <f t="shared" si="99"/>
        <v/>
      </c>
      <c r="O839" s="112" t="str">
        <f t="shared" si="100"/>
        <v xml:space="preserve"> </v>
      </c>
      <c r="P839" s="113" t="str">
        <f t="shared" si="101"/>
        <v/>
      </c>
      <c r="Q839" s="114" t="str">
        <f t="shared" si="102"/>
        <v/>
      </c>
      <c r="R839" s="115" t="str">
        <f t="shared" si="103"/>
        <v/>
      </c>
      <c r="S839" s="115" t="str">
        <f t="shared" si="104"/>
        <v/>
      </c>
      <c r="T839" s="116" t="str">
        <f t="shared" si="105"/>
        <v/>
      </c>
      <c r="U839" s="120"/>
      <c r="V839" s="118"/>
    </row>
    <row r="840" spans="1:22" ht="13.2">
      <c r="A840" s="102"/>
      <c r="B840" s="103"/>
      <c r="C840" s="104"/>
      <c r="D840" s="105"/>
      <c r="E840" s="106"/>
      <c r="F840" s="107"/>
      <c r="G840" s="108"/>
      <c r="H840" s="121"/>
      <c r="I840" s="122"/>
      <c r="J840" s="122"/>
      <c r="K840" s="123"/>
      <c r="L840" s="111" t="str">
        <f t="shared" si="99"/>
        <v/>
      </c>
      <c r="M840" s="112" t="str">
        <f t="shared" si="99"/>
        <v/>
      </c>
      <c r="N840" s="112" t="str">
        <f t="shared" si="99"/>
        <v/>
      </c>
      <c r="O840" s="112" t="str">
        <f t="shared" si="100"/>
        <v xml:space="preserve"> </v>
      </c>
      <c r="P840" s="113" t="str">
        <f t="shared" si="101"/>
        <v/>
      </c>
      <c r="Q840" s="114" t="str">
        <f t="shared" si="102"/>
        <v/>
      </c>
      <c r="R840" s="115" t="str">
        <f t="shared" si="103"/>
        <v/>
      </c>
      <c r="S840" s="115" t="str">
        <f t="shared" si="104"/>
        <v/>
      </c>
      <c r="T840" s="116" t="str">
        <f t="shared" si="105"/>
        <v/>
      </c>
      <c r="U840" s="120"/>
      <c r="V840" s="118"/>
    </row>
    <row r="841" spans="1:22" ht="13.2">
      <c r="A841" s="102"/>
      <c r="B841" s="103"/>
      <c r="C841" s="104"/>
      <c r="D841" s="105"/>
      <c r="E841" s="106"/>
      <c r="F841" s="107"/>
      <c r="G841" s="108"/>
      <c r="H841" s="121"/>
      <c r="I841" s="122"/>
      <c r="J841" s="122"/>
      <c r="K841" s="123"/>
      <c r="L841" s="111" t="str">
        <f t="shared" si="99"/>
        <v/>
      </c>
      <c r="M841" s="112" t="str">
        <f t="shared" si="99"/>
        <v/>
      </c>
      <c r="N841" s="112" t="str">
        <f t="shared" si="99"/>
        <v/>
      </c>
      <c r="O841" s="112" t="str">
        <f t="shared" si="100"/>
        <v xml:space="preserve"> </v>
      </c>
      <c r="P841" s="113" t="str">
        <f t="shared" si="101"/>
        <v/>
      </c>
      <c r="Q841" s="114" t="str">
        <f t="shared" si="102"/>
        <v/>
      </c>
      <c r="R841" s="115" t="str">
        <f t="shared" si="103"/>
        <v/>
      </c>
      <c r="S841" s="115" t="str">
        <f t="shared" si="104"/>
        <v/>
      </c>
      <c r="T841" s="116" t="str">
        <f t="shared" si="105"/>
        <v/>
      </c>
      <c r="U841" s="120"/>
      <c r="V841" s="118"/>
    </row>
    <row r="842" spans="1:22" ht="13.2">
      <c r="A842" s="102"/>
      <c r="B842" s="102"/>
      <c r="C842" s="103"/>
      <c r="D842" s="105"/>
      <c r="E842" s="106"/>
      <c r="F842" s="107"/>
      <c r="G842" s="108"/>
      <c r="H842" s="109"/>
      <c r="I842" s="110"/>
      <c r="J842" s="110"/>
      <c r="K842" s="119"/>
      <c r="L842" s="111" t="str">
        <f t="shared" si="99"/>
        <v/>
      </c>
      <c r="M842" s="112" t="str">
        <f t="shared" si="99"/>
        <v/>
      </c>
      <c r="N842" s="112" t="str">
        <f t="shared" si="99"/>
        <v/>
      </c>
      <c r="O842" s="112" t="str">
        <f t="shared" si="100"/>
        <v xml:space="preserve"> </v>
      </c>
      <c r="P842" s="113" t="str">
        <f t="shared" si="101"/>
        <v/>
      </c>
      <c r="Q842" s="114" t="str">
        <f t="shared" si="102"/>
        <v/>
      </c>
      <c r="R842" s="115" t="str">
        <f t="shared" si="103"/>
        <v/>
      </c>
      <c r="S842" s="115" t="str">
        <f t="shared" si="104"/>
        <v/>
      </c>
      <c r="T842" s="116" t="str">
        <f t="shared" si="105"/>
        <v/>
      </c>
      <c r="U842" s="120"/>
      <c r="V842" s="118"/>
    </row>
    <row r="843" spans="1:22" ht="13.2">
      <c r="A843" s="102"/>
      <c r="B843" s="102"/>
      <c r="C843" s="103"/>
      <c r="D843" s="105"/>
      <c r="E843" s="106"/>
      <c r="F843" s="107"/>
      <c r="G843" s="108"/>
      <c r="H843" s="109"/>
      <c r="I843" s="110"/>
      <c r="J843" s="110"/>
      <c r="K843" s="119"/>
      <c r="L843" s="111" t="str">
        <f t="shared" si="99"/>
        <v/>
      </c>
      <c r="M843" s="112" t="str">
        <f t="shared" si="99"/>
        <v/>
      </c>
      <c r="N843" s="112" t="str">
        <f t="shared" si="99"/>
        <v/>
      </c>
      <c r="O843" s="112" t="str">
        <f t="shared" si="100"/>
        <v xml:space="preserve"> </v>
      </c>
      <c r="P843" s="113" t="str">
        <f t="shared" si="101"/>
        <v/>
      </c>
      <c r="Q843" s="114" t="str">
        <f t="shared" si="102"/>
        <v/>
      </c>
      <c r="R843" s="115" t="str">
        <f t="shared" si="103"/>
        <v/>
      </c>
      <c r="S843" s="115" t="str">
        <f t="shared" si="104"/>
        <v/>
      </c>
      <c r="T843" s="116" t="str">
        <f t="shared" si="105"/>
        <v/>
      </c>
      <c r="U843" s="120"/>
      <c r="V843" s="118"/>
    </row>
    <row r="844" spans="1:22" ht="13.2">
      <c r="A844" s="102"/>
      <c r="B844" s="102"/>
      <c r="C844" s="104"/>
      <c r="D844" s="105"/>
      <c r="E844" s="106"/>
      <c r="F844" s="107"/>
      <c r="G844" s="108"/>
      <c r="H844" s="109"/>
      <c r="I844" s="110"/>
      <c r="J844" s="110"/>
      <c r="K844" s="119"/>
      <c r="L844" s="111" t="str">
        <f t="shared" si="99"/>
        <v/>
      </c>
      <c r="M844" s="112" t="str">
        <f t="shared" si="99"/>
        <v/>
      </c>
      <c r="N844" s="112" t="str">
        <f t="shared" si="99"/>
        <v/>
      </c>
      <c r="O844" s="112" t="str">
        <f t="shared" si="100"/>
        <v xml:space="preserve"> </v>
      </c>
      <c r="P844" s="113" t="str">
        <f t="shared" si="101"/>
        <v/>
      </c>
      <c r="Q844" s="114" t="str">
        <f t="shared" si="102"/>
        <v/>
      </c>
      <c r="R844" s="115" t="str">
        <f t="shared" si="103"/>
        <v/>
      </c>
      <c r="S844" s="115" t="str">
        <f t="shared" si="104"/>
        <v/>
      </c>
      <c r="T844" s="116" t="str">
        <f t="shared" si="105"/>
        <v/>
      </c>
      <c r="U844" s="120"/>
      <c r="V844" s="118"/>
    </row>
    <row r="845" spans="1:22" ht="13.2">
      <c r="A845" s="102"/>
      <c r="B845" s="102"/>
      <c r="C845" s="104"/>
      <c r="D845" s="105"/>
      <c r="E845" s="106"/>
      <c r="F845" s="107"/>
      <c r="G845" s="108"/>
      <c r="H845" s="109"/>
      <c r="I845" s="110"/>
      <c r="J845" s="110"/>
      <c r="K845" s="119"/>
      <c r="L845" s="111" t="str">
        <f t="shared" si="99"/>
        <v/>
      </c>
      <c r="M845" s="112" t="str">
        <f t="shared" si="99"/>
        <v/>
      </c>
      <c r="N845" s="112" t="str">
        <f t="shared" si="99"/>
        <v/>
      </c>
      <c r="O845" s="112" t="str">
        <f t="shared" si="100"/>
        <v xml:space="preserve"> </v>
      </c>
      <c r="P845" s="113" t="str">
        <f t="shared" si="101"/>
        <v/>
      </c>
      <c r="Q845" s="114" t="str">
        <f t="shared" si="102"/>
        <v/>
      </c>
      <c r="R845" s="115" t="str">
        <f t="shared" si="103"/>
        <v/>
      </c>
      <c r="S845" s="115" t="str">
        <f t="shared" si="104"/>
        <v/>
      </c>
      <c r="T845" s="116" t="str">
        <f t="shared" si="105"/>
        <v/>
      </c>
      <c r="U845" s="120"/>
      <c r="V845" s="118"/>
    </row>
    <row r="846" spans="1:22" ht="13.2">
      <c r="A846" s="102"/>
      <c r="B846" s="102"/>
      <c r="C846" s="104"/>
      <c r="D846" s="105"/>
      <c r="E846" s="106"/>
      <c r="F846" s="107"/>
      <c r="G846" s="108"/>
      <c r="H846" s="109"/>
      <c r="I846" s="110"/>
      <c r="J846" s="110"/>
      <c r="K846" s="119"/>
      <c r="L846" s="111" t="str">
        <f t="shared" si="99"/>
        <v/>
      </c>
      <c r="M846" s="112" t="str">
        <f t="shared" si="99"/>
        <v/>
      </c>
      <c r="N846" s="112" t="str">
        <f t="shared" si="99"/>
        <v/>
      </c>
      <c r="O846" s="112" t="str">
        <f t="shared" si="100"/>
        <v xml:space="preserve"> </v>
      </c>
      <c r="P846" s="113" t="str">
        <f t="shared" si="101"/>
        <v/>
      </c>
      <c r="Q846" s="114" t="str">
        <f t="shared" si="102"/>
        <v/>
      </c>
      <c r="R846" s="115" t="str">
        <f t="shared" si="103"/>
        <v/>
      </c>
      <c r="S846" s="115" t="str">
        <f t="shared" si="104"/>
        <v/>
      </c>
      <c r="T846" s="116" t="str">
        <f t="shared" si="105"/>
        <v/>
      </c>
      <c r="U846" s="120"/>
      <c r="V846" s="118"/>
    </row>
    <row r="847" spans="1:22" ht="13.2">
      <c r="A847" s="102"/>
      <c r="B847" s="102"/>
      <c r="C847" s="104"/>
      <c r="D847" s="105"/>
      <c r="E847" s="106"/>
      <c r="F847" s="107"/>
      <c r="G847" s="108"/>
      <c r="H847" s="109"/>
      <c r="I847" s="110"/>
      <c r="J847" s="110"/>
      <c r="K847" s="119"/>
      <c r="L847" s="111" t="str">
        <f t="shared" si="99"/>
        <v/>
      </c>
      <c r="M847" s="112" t="str">
        <f t="shared" si="99"/>
        <v/>
      </c>
      <c r="N847" s="112" t="str">
        <f t="shared" si="99"/>
        <v/>
      </c>
      <c r="O847" s="112" t="str">
        <f t="shared" si="100"/>
        <v xml:space="preserve"> </v>
      </c>
      <c r="P847" s="113" t="str">
        <f t="shared" si="101"/>
        <v/>
      </c>
      <c r="Q847" s="114" t="str">
        <f t="shared" si="102"/>
        <v/>
      </c>
      <c r="R847" s="115" t="str">
        <f t="shared" si="103"/>
        <v/>
      </c>
      <c r="S847" s="115" t="str">
        <f t="shared" si="104"/>
        <v/>
      </c>
      <c r="T847" s="116" t="str">
        <f t="shared" si="105"/>
        <v/>
      </c>
      <c r="U847" s="120"/>
      <c r="V847" s="118"/>
    </row>
    <row r="848" spans="1:22" ht="13.2">
      <c r="A848" s="102"/>
      <c r="B848" s="102"/>
      <c r="C848" s="104"/>
      <c r="D848" s="105"/>
      <c r="E848" s="106"/>
      <c r="F848" s="107"/>
      <c r="G848" s="108"/>
      <c r="H848" s="109"/>
      <c r="I848" s="110"/>
      <c r="J848" s="110"/>
      <c r="K848" s="119"/>
      <c r="L848" s="111" t="str">
        <f t="shared" si="99"/>
        <v/>
      </c>
      <c r="M848" s="112" t="str">
        <f t="shared" si="99"/>
        <v/>
      </c>
      <c r="N848" s="112" t="str">
        <f t="shared" si="99"/>
        <v/>
      </c>
      <c r="O848" s="112" t="str">
        <f t="shared" si="100"/>
        <v xml:space="preserve"> </v>
      </c>
      <c r="P848" s="113" t="str">
        <f t="shared" si="101"/>
        <v/>
      </c>
      <c r="Q848" s="114" t="str">
        <f t="shared" si="102"/>
        <v/>
      </c>
      <c r="R848" s="115" t="str">
        <f t="shared" si="103"/>
        <v/>
      </c>
      <c r="S848" s="115" t="str">
        <f t="shared" si="104"/>
        <v/>
      </c>
      <c r="T848" s="116" t="str">
        <f t="shared" si="105"/>
        <v/>
      </c>
      <c r="U848" s="120"/>
      <c r="V848" s="118"/>
    </row>
    <row r="849" spans="1:22" ht="13.2">
      <c r="A849" s="102"/>
      <c r="B849" s="102"/>
      <c r="C849" s="104"/>
      <c r="D849" s="105"/>
      <c r="E849" s="106"/>
      <c r="F849" s="107"/>
      <c r="G849" s="108"/>
      <c r="H849" s="109"/>
      <c r="I849" s="110"/>
      <c r="J849" s="110"/>
      <c r="K849" s="110"/>
      <c r="L849" s="111" t="str">
        <f t="shared" si="99"/>
        <v/>
      </c>
      <c r="M849" s="112" t="str">
        <f t="shared" si="99"/>
        <v/>
      </c>
      <c r="N849" s="112" t="str">
        <f t="shared" si="99"/>
        <v/>
      </c>
      <c r="O849" s="112" t="str">
        <f t="shared" si="100"/>
        <v xml:space="preserve"> </v>
      </c>
      <c r="P849" s="113" t="str">
        <f t="shared" si="101"/>
        <v/>
      </c>
      <c r="Q849" s="114" t="str">
        <f t="shared" si="102"/>
        <v/>
      </c>
      <c r="R849" s="115" t="str">
        <f t="shared" si="103"/>
        <v/>
      </c>
      <c r="S849" s="115" t="str">
        <f t="shared" si="104"/>
        <v/>
      </c>
      <c r="T849" s="116" t="str">
        <f t="shared" si="105"/>
        <v/>
      </c>
      <c r="U849" s="120"/>
      <c r="V849" s="118"/>
    </row>
    <row r="850" spans="1:22" ht="13.2">
      <c r="A850" s="102"/>
      <c r="B850" s="102"/>
      <c r="C850" s="104"/>
      <c r="D850" s="105"/>
      <c r="E850" s="106"/>
      <c r="F850" s="107"/>
      <c r="G850" s="108"/>
      <c r="H850" s="109"/>
      <c r="I850" s="110"/>
      <c r="J850" s="110"/>
      <c r="K850" s="119"/>
      <c r="L850" s="111" t="str">
        <f t="shared" si="99"/>
        <v/>
      </c>
      <c r="M850" s="112" t="str">
        <f t="shared" si="99"/>
        <v/>
      </c>
      <c r="N850" s="112" t="str">
        <f t="shared" si="99"/>
        <v/>
      </c>
      <c r="O850" s="112" t="str">
        <f t="shared" si="100"/>
        <v xml:space="preserve"> </v>
      </c>
      <c r="P850" s="113" t="str">
        <f t="shared" si="101"/>
        <v/>
      </c>
      <c r="Q850" s="114" t="str">
        <f t="shared" si="102"/>
        <v/>
      </c>
      <c r="R850" s="115" t="str">
        <f t="shared" si="103"/>
        <v/>
      </c>
      <c r="S850" s="115" t="str">
        <f t="shared" si="104"/>
        <v/>
      </c>
      <c r="T850" s="116" t="str">
        <f t="shared" si="105"/>
        <v/>
      </c>
      <c r="U850" s="120"/>
      <c r="V850" s="118"/>
    </row>
    <row r="851" spans="1:22" ht="13.2">
      <c r="A851" s="102"/>
      <c r="B851" s="102"/>
      <c r="C851" s="104"/>
      <c r="D851" s="105"/>
      <c r="E851" s="106"/>
      <c r="F851" s="107"/>
      <c r="G851" s="108"/>
      <c r="H851" s="109"/>
      <c r="I851" s="110"/>
      <c r="J851" s="110"/>
      <c r="K851" s="119"/>
      <c r="L851" s="111" t="str">
        <f t="shared" si="99"/>
        <v/>
      </c>
      <c r="M851" s="112" t="str">
        <f t="shared" si="99"/>
        <v/>
      </c>
      <c r="N851" s="112" t="str">
        <f t="shared" si="99"/>
        <v/>
      </c>
      <c r="O851" s="112" t="str">
        <f t="shared" si="100"/>
        <v xml:space="preserve"> </v>
      </c>
      <c r="P851" s="113" t="str">
        <f t="shared" si="101"/>
        <v/>
      </c>
      <c r="Q851" s="114" t="str">
        <f t="shared" si="102"/>
        <v/>
      </c>
      <c r="R851" s="115" t="str">
        <f t="shared" si="103"/>
        <v/>
      </c>
      <c r="S851" s="115" t="str">
        <f t="shared" si="104"/>
        <v/>
      </c>
      <c r="T851" s="116" t="str">
        <f t="shared" si="105"/>
        <v/>
      </c>
      <c r="U851" s="120"/>
      <c r="V851" s="118"/>
    </row>
    <row r="852" spans="1:22" ht="13.2">
      <c r="A852" s="102"/>
      <c r="B852" s="102"/>
      <c r="C852" s="104"/>
      <c r="D852" s="105"/>
      <c r="E852" s="106"/>
      <c r="F852" s="107"/>
      <c r="G852" s="108"/>
      <c r="H852" s="109"/>
      <c r="I852" s="110"/>
      <c r="J852" s="110"/>
      <c r="K852" s="119"/>
      <c r="L852" s="111" t="str">
        <f t="shared" si="99"/>
        <v/>
      </c>
      <c r="M852" s="112" t="str">
        <f t="shared" si="99"/>
        <v/>
      </c>
      <c r="N852" s="112" t="str">
        <f t="shared" si="99"/>
        <v/>
      </c>
      <c r="O852" s="112" t="str">
        <f t="shared" si="100"/>
        <v xml:space="preserve"> </v>
      </c>
      <c r="P852" s="113" t="str">
        <f t="shared" si="101"/>
        <v/>
      </c>
      <c r="Q852" s="114" t="str">
        <f t="shared" si="102"/>
        <v/>
      </c>
      <c r="R852" s="115" t="str">
        <f t="shared" si="103"/>
        <v/>
      </c>
      <c r="S852" s="115" t="str">
        <f t="shared" si="104"/>
        <v/>
      </c>
      <c r="T852" s="116" t="str">
        <f t="shared" si="105"/>
        <v/>
      </c>
      <c r="U852" s="120"/>
      <c r="V852" s="118"/>
    </row>
    <row r="853" spans="1:22" ht="13.2">
      <c r="A853" s="102"/>
      <c r="B853" s="102"/>
      <c r="C853" s="104"/>
      <c r="D853" s="105"/>
      <c r="E853" s="106"/>
      <c r="F853" s="107"/>
      <c r="G853" s="108"/>
      <c r="H853" s="109"/>
      <c r="I853" s="110"/>
      <c r="J853" s="110"/>
      <c r="K853" s="119"/>
      <c r="L853" s="111" t="str">
        <f t="shared" si="99"/>
        <v/>
      </c>
      <c r="M853" s="112" t="str">
        <f t="shared" si="99"/>
        <v/>
      </c>
      <c r="N853" s="112" t="str">
        <f t="shared" si="99"/>
        <v/>
      </c>
      <c r="O853" s="112" t="str">
        <f t="shared" si="100"/>
        <v xml:space="preserve"> </v>
      </c>
      <c r="P853" s="113" t="str">
        <f t="shared" si="101"/>
        <v/>
      </c>
      <c r="Q853" s="114" t="str">
        <f t="shared" si="102"/>
        <v/>
      </c>
      <c r="R853" s="115" t="str">
        <f t="shared" si="103"/>
        <v/>
      </c>
      <c r="S853" s="115" t="str">
        <f t="shared" si="104"/>
        <v/>
      </c>
      <c r="T853" s="116" t="str">
        <f t="shared" si="105"/>
        <v/>
      </c>
      <c r="U853" s="120"/>
      <c r="V853" s="118"/>
    </row>
    <row r="854" spans="1:22" ht="13.2">
      <c r="A854" s="102"/>
      <c r="B854" s="103"/>
      <c r="C854" s="104"/>
      <c r="D854" s="105"/>
      <c r="E854" s="106"/>
      <c r="F854" s="107"/>
      <c r="G854" s="108"/>
      <c r="H854" s="121"/>
      <c r="I854" s="122"/>
      <c r="J854" s="122"/>
      <c r="K854" s="123"/>
      <c r="L854" s="111" t="str">
        <f t="shared" si="99"/>
        <v/>
      </c>
      <c r="M854" s="112" t="str">
        <f t="shared" si="99"/>
        <v/>
      </c>
      <c r="N854" s="112" t="str">
        <f t="shared" si="99"/>
        <v/>
      </c>
      <c r="O854" s="112" t="str">
        <f t="shared" si="100"/>
        <v xml:space="preserve"> </v>
      </c>
      <c r="P854" s="113" t="str">
        <f t="shared" si="101"/>
        <v/>
      </c>
      <c r="Q854" s="114" t="str">
        <f t="shared" si="102"/>
        <v/>
      </c>
      <c r="R854" s="115" t="str">
        <f t="shared" si="103"/>
        <v/>
      </c>
      <c r="S854" s="115" t="str">
        <f t="shared" si="104"/>
        <v/>
      </c>
      <c r="T854" s="116" t="str">
        <f t="shared" si="105"/>
        <v/>
      </c>
      <c r="U854" s="120"/>
      <c r="V854" s="118"/>
    </row>
    <row r="855" spans="1:22" ht="13.2">
      <c r="A855" s="102"/>
      <c r="B855" s="103"/>
      <c r="C855" s="104"/>
      <c r="D855" s="105"/>
      <c r="E855" s="106"/>
      <c r="F855" s="107"/>
      <c r="G855" s="108"/>
      <c r="H855" s="121"/>
      <c r="I855" s="122"/>
      <c r="J855" s="122"/>
      <c r="K855" s="123"/>
      <c r="L855" s="111" t="str">
        <f t="shared" si="99"/>
        <v/>
      </c>
      <c r="M855" s="112" t="str">
        <f t="shared" si="99"/>
        <v/>
      </c>
      <c r="N855" s="112" t="str">
        <f t="shared" si="99"/>
        <v/>
      </c>
      <c r="O855" s="112" t="str">
        <f t="shared" si="100"/>
        <v xml:space="preserve"> </v>
      </c>
      <c r="P855" s="113" t="str">
        <f t="shared" si="101"/>
        <v/>
      </c>
      <c r="Q855" s="114" t="str">
        <f t="shared" si="102"/>
        <v/>
      </c>
      <c r="R855" s="115" t="str">
        <f t="shared" si="103"/>
        <v/>
      </c>
      <c r="S855" s="115" t="str">
        <f t="shared" si="104"/>
        <v/>
      </c>
      <c r="T855" s="116" t="str">
        <f t="shared" si="105"/>
        <v/>
      </c>
      <c r="U855" s="120"/>
      <c r="V855" s="118"/>
    </row>
    <row r="856" spans="1:22" ht="13.2">
      <c r="A856" s="102"/>
      <c r="B856" s="103"/>
      <c r="C856" s="104"/>
      <c r="D856" s="105"/>
      <c r="E856" s="106"/>
      <c r="F856" s="107"/>
      <c r="G856" s="108"/>
      <c r="H856" s="121"/>
      <c r="I856" s="122"/>
      <c r="J856" s="122"/>
      <c r="K856" s="123"/>
      <c r="L856" s="111" t="str">
        <f t="shared" si="99"/>
        <v/>
      </c>
      <c r="M856" s="112" t="str">
        <f t="shared" si="99"/>
        <v/>
      </c>
      <c r="N856" s="112" t="str">
        <f t="shared" si="99"/>
        <v/>
      </c>
      <c r="O856" s="112" t="str">
        <f t="shared" si="100"/>
        <v xml:space="preserve"> </v>
      </c>
      <c r="P856" s="113" t="str">
        <f t="shared" si="101"/>
        <v/>
      </c>
      <c r="Q856" s="114" t="str">
        <f t="shared" si="102"/>
        <v/>
      </c>
      <c r="R856" s="115" t="str">
        <f t="shared" si="103"/>
        <v/>
      </c>
      <c r="S856" s="115" t="str">
        <f t="shared" si="104"/>
        <v/>
      </c>
      <c r="T856" s="116" t="str">
        <f t="shared" si="105"/>
        <v/>
      </c>
      <c r="U856" s="120"/>
      <c r="V856" s="118"/>
    </row>
    <row r="857" spans="1:22" ht="13.2">
      <c r="A857" s="102"/>
      <c r="B857" s="102"/>
      <c r="C857" s="103"/>
      <c r="D857" s="105"/>
      <c r="E857" s="106"/>
      <c r="F857" s="107"/>
      <c r="G857" s="108"/>
      <c r="H857" s="109"/>
      <c r="I857" s="110"/>
      <c r="J857" s="110"/>
      <c r="K857" s="119"/>
      <c r="L857" s="111" t="str">
        <f t="shared" si="99"/>
        <v/>
      </c>
      <c r="M857" s="112" t="str">
        <f t="shared" si="99"/>
        <v/>
      </c>
      <c r="N857" s="112" t="str">
        <f t="shared" si="99"/>
        <v/>
      </c>
      <c r="O857" s="112" t="str">
        <f t="shared" si="100"/>
        <v xml:space="preserve"> </v>
      </c>
      <c r="P857" s="113" t="str">
        <f t="shared" si="101"/>
        <v/>
      </c>
      <c r="Q857" s="114" t="str">
        <f t="shared" si="102"/>
        <v/>
      </c>
      <c r="R857" s="115" t="str">
        <f t="shared" si="103"/>
        <v/>
      </c>
      <c r="S857" s="115" t="str">
        <f t="shared" si="104"/>
        <v/>
      </c>
      <c r="T857" s="116" t="str">
        <f t="shared" si="105"/>
        <v/>
      </c>
      <c r="U857" s="120"/>
      <c r="V857" s="118"/>
    </row>
    <row r="858" spans="1:22" ht="13.2">
      <c r="A858" s="102"/>
      <c r="B858" s="102"/>
      <c r="C858" s="103"/>
      <c r="D858" s="105"/>
      <c r="E858" s="106"/>
      <c r="F858" s="107"/>
      <c r="G858" s="108"/>
      <c r="H858" s="109"/>
      <c r="I858" s="110"/>
      <c r="J858" s="110"/>
      <c r="K858" s="119"/>
      <c r="L858" s="111" t="str">
        <f t="shared" si="99"/>
        <v/>
      </c>
      <c r="M858" s="112" t="str">
        <f t="shared" si="99"/>
        <v/>
      </c>
      <c r="N858" s="112" t="str">
        <f t="shared" si="99"/>
        <v/>
      </c>
      <c r="O858" s="112" t="str">
        <f t="shared" si="100"/>
        <v xml:space="preserve"> </v>
      </c>
      <c r="P858" s="113" t="str">
        <f t="shared" si="101"/>
        <v/>
      </c>
      <c r="Q858" s="114" t="str">
        <f t="shared" si="102"/>
        <v/>
      </c>
      <c r="R858" s="115" t="str">
        <f t="shared" si="103"/>
        <v/>
      </c>
      <c r="S858" s="115" t="str">
        <f t="shared" si="104"/>
        <v/>
      </c>
      <c r="T858" s="116" t="str">
        <f t="shared" si="105"/>
        <v/>
      </c>
      <c r="U858" s="120"/>
      <c r="V858" s="118"/>
    </row>
    <row r="859" spans="1:22" ht="13.2">
      <c r="A859" s="102"/>
      <c r="B859" s="102"/>
      <c r="C859" s="104"/>
      <c r="D859" s="105"/>
      <c r="E859" s="106"/>
      <c r="F859" s="107"/>
      <c r="G859" s="108"/>
      <c r="H859" s="109"/>
      <c r="I859" s="110"/>
      <c r="J859" s="110"/>
      <c r="K859" s="119"/>
      <c r="L859" s="111" t="str">
        <f t="shared" si="99"/>
        <v/>
      </c>
      <c r="M859" s="112" t="str">
        <f t="shared" si="99"/>
        <v/>
      </c>
      <c r="N859" s="112" t="str">
        <f t="shared" si="99"/>
        <v/>
      </c>
      <c r="O859" s="112" t="str">
        <f t="shared" si="100"/>
        <v xml:space="preserve"> </v>
      </c>
      <c r="P859" s="113" t="str">
        <f t="shared" si="101"/>
        <v/>
      </c>
      <c r="Q859" s="114" t="str">
        <f t="shared" si="102"/>
        <v/>
      </c>
      <c r="R859" s="115" t="str">
        <f t="shared" si="103"/>
        <v/>
      </c>
      <c r="S859" s="115" t="str">
        <f t="shared" si="104"/>
        <v/>
      </c>
      <c r="T859" s="116" t="str">
        <f t="shared" si="105"/>
        <v/>
      </c>
      <c r="U859" s="120"/>
      <c r="V859" s="118"/>
    </row>
    <row r="860" spans="1:22" ht="13.2">
      <c r="A860" s="102"/>
      <c r="B860" s="102"/>
      <c r="C860" s="104"/>
      <c r="D860" s="105"/>
      <c r="E860" s="106"/>
      <c r="F860" s="107"/>
      <c r="G860" s="108"/>
      <c r="H860" s="109"/>
      <c r="I860" s="110"/>
      <c r="J860" s="110"/>
      <c r="K860" s="119"/>
      <c r="L860" s="111" t="str">
        <f t="shared" si="99"/>
        <v/>
      </c>
      <c r="M860" s="112" t="str">
        <f t="shared" si="99"/>
        <v/>
      </c>
      <c r="N860" s="112" t="str">
        <f t="shared" si="99"/>
        <v/>
      </c>
      <c r="O860" s="112" t="str">
        <f t="shared" si="100"/>
        <v xml:space="preserve"> </v>
      </c>
      <c r="P860" s="113" t="str">
        <f t="shared" si="101"/>
        <v/>
      </c>
      <c r="Q860" s="114" t="str">
        <f t="shared" si="102"/>
        <v/>
      </c>
      <c r="R860" s="115" t="str">
        <f t="shared" si="103"/>
        <v/>
      </c>
      <c r="S860" s="115" t="str">
        <f t="shared" si="104"/>
        <v/>
      </c>
      <c r="T860" s="116" t="str">
        <f t="shared" si="105"/>
        <v/>
      </c>
      <c r="U860" s="120"/>
      <c r="V860" s="118"/>
    </row>
    <row r="861" spans="1:22" ht="13.2">
      <c r="A861" s="102"/>
      <c r="B861" s="102"/>
      <c r="C861" s="104"/>
      <c r="D861" s="105"/>
      <c r="E861" s="106"/>
      <c r="F861" s="107"/>
      <c r="G861" s="108"/>
      <c r="H861" s="109"/>
      <c r="I861" s="110"/>
      <c r="J861" s="110"/>
      <c r="K861" s="119"/>
      <c r="L861" s="111" t="str">
        <f t="shared" ref="L861:N924" si="106">IF(ISBLANK($E861),"",IF(ISERR(I861/I861)=TRUE,"BAD INSP",I861-$E861))</f>
        <v/>
      </c>
      <c r="M861" s="112" t="str">
        <f t="shared" si="106"/>
        <v/>
      </c>
      <c r="N861" s="112" t="str">
        <f t="shared" si="106"/>
        <v/>
      </c>
      <c r="O861" s="112" t="str">
        <f t="shared" si="100"/>
        <v xml:space="preserve"> </v>
      </c>
      <c r="P861" s="113" t="str">
        <f t="shared" si="101"/>
        <v/>
      </c>
      <c r="Q861" s="114" t="str">
        <f t="shared" si="102"/>
        <v/>
      </c>
      <c r="R861" s="115" t="str">
        <f t="shared" si="103"/>
        <v/>
      </c>
      <c r="S861" s="115" t="str">
        <f t="shared" si="104"/>
        <v/>
      </c>
      <c r="T861" s="116" t="str">
        <f t="shared" si="105"/>
        <v/>
      </c>
      <c r="U861" s="120"/>
      <c r="V861" s="118"/>
    </row>
    <row r="862" spans="1:22" ht="13.2">
      <c r="A862" s="102"/>
      <c r="B862" s="102"/>
      <c r="C862" s="104"/>
      <c r="D862" s="105"/>
      <c r="E862" s="106"/>
      <c r="F862" s="107"/>
      <c r="G862" s="108"/>
      <c r="H862" s="109"/>
      <c r="I862" s="110"/>
      <c r="J862" s="110"/>
      <c r="K862" s="119"/>
      <c r="L862" s="111" t="str">
        <f t="shared" si="106"/>
        <v/>
      </c>
      <c r="M862" s="112" t="str">
        <f t="shared" si="106"/>
        <v/>
      </c>
      <c r="N862" s="112" t="str">
        <f t="shared" si="106"/>
        <v/>
      </c>
      <c r="O862" s="112" t="str">
        <f t="shared" si="100"/>
        <v xml:space="preserve"> </v>
      </c>
      <c r="P862" s="113" t="str">
        <f t="shared" si="101"/>
        <v/>
      </c>
      <c r="Q862" s="114" t="str">
        <f t="shared" si="102"/>
        <v/>
      </c>
      <c r="R862" s="115" t="str">
        <f t="shared" si="103"/>
        <v/>
      </c>
      <c r="S862" s="115" t="str">
        <f t="shared" si="104"/>
        <v/>
      </c>
      <c r="T862" s="116" t="str">
        <f t="shared" si="105"/>
        <v/>
      </c>
      <c r="U862" s="120"/>
      <c r="V862" s="118"/>
    </row>
    <row r="863" spans="1:22" ht="13.2">
      <c r="A863" s="102"/>
      <c r="B863" s="102"/>
      <c r="C863" s="104"/>
      <c r="D863" s="105"/>
      <c r="E863" s="106"/>
      <c r="F863" s="107"/>
      <c r="G863" s="108"/>
      <c r="H863" s="109"/>
      <c r="I863" s="110"/>
      <c r="J863" s="110"/>
      <c r="K863" s="119"/>
      <c r="L863" s="111" t="str">
        <f t="shared" si="106"/>
        <v/>
      </c>
      <c r="M863" s="112" t="str">
        <f t="shared" si="106"/>
        <v/>
      </c>
      <c r="N863" s="112" t="str">
        <f t="shared" si="106"/>
        <v/>
      </c>
      <c r="O863" s="112" t="str">
        <f t="shared" si="100"/>
        <v xml:space="preserve"> </v>
      </c>
      <c r="P863" s="113" t="str">
        <f t="shared" si="101"/>
        <v/>
      </c>
      <c r="Q863" s="114" t="str">
        <f t="shared" si="102"/>
        <v/>
      </c>
      <c r="R863" s="115" t="str">
        <f t="shared" si="103"/>
        <v/>
      </c>
      <c r="S863" s="115" t="str">
        <f t="shared" si="104"/>
        <v/>
      </c>
      <c r="T863" s="116" t="str">
        <f t="shared" si="105"/>
        <v/>
      </c>
      <c r="U863" s="120"/>
      <c r="V863" s="118"/>
    </row>
    <row r="864" spans="1:22" ht="13.2">
      <c r="A864" s="102"/>
      <c r="B864" s="102"/>
      <c r="C864" s="104"/>
      <c r="D864" s="105"/>
      <c r="E864" s="106"/>
      <c r="F864" s="107"/>
      <c r="G864" s="108"/>
      <c r="H864" s="109"/>
      <c r="I864" s="110"/>
      <c r="J864" s="110"/>
      <c r="K864" s="110"/>
      <c r="L864" s="111" t="str">
        <f t="shared" si="106"/>
        <v/>
      </c>
      <c r="M864" s="112" t="str">
        <f t="shared" si="106"/>
        <v/>
      </c>
      <c r="N864" s="112" t="str">
        <f t="shared" si="106"/>
        <v/>
      </c>
      <c r="O864" s="112" t="str">
        <f t="shared" si="100"/>
        <v xml:space="preserve"> </v>
      </c>
      <c r="P864" s="113" t="str">
        <f t="shared" si="101"/>
        <v/>
      </c>
      <c r="Q864" s="114" t="str">
        <f t="shared" si="102"/>
        <v/>
      </c>
      <c r="R864" s="115" t="str">
        <f t="shared" si="103"/>
        <v/>
      </c>
      <c r="S864" s="115" t="str">
        <f t="shared" si="104"/>
        <v/>
      </c>
      <c r="T864" s="116" t="str">
        <f t="shared" si="105"/>
        <v/>
      </c>
      <c r="U864" s="120"/>
      <c r="V864" s="118"/>
    </row>
    <row r="865" spans="1:22" ht="13.2">
      <c r="A865" s="102"/>
      <c r="B865" s="102"/>
      <c r="C865" s="104"/>
      <c r="D865" s="105"/>
      <c r="E865" s="106"/>
      <c r="F865" s="107"/>
      <c r="G865" s="108"/>
      <c r="H865" s="109"/>
      <c r="I865" s="110"/>
      <c r="J865" s="110"/>
      <c r="K865" s="119"/>
      <c r="L865" s="111" t="str">
        <f t="shared" si="106"/>
        <v/>
      </c>
      <c r="M865" s="112" t="str">
        <f t="shared" si="106"/>
        <v/>
      </c>
      <c r="N865" s="112" t="str">
        <f t="shared" si="106"/>
        <v/>
      </c>
      <c r="O865" s="112" t="str">
        <f t="shared" si="100"/>
        <v xml:space="preserve"> </v>
      </c>
      <c r="P865" s="113" t="str">
        <f t="shared" si="101"/>
        <v/>
      </c>
      <c r="Q865" s="114" t="str">
        <f t="shared" si="102"/>
        <v/>
      </c>
      <c r="R865" s="115" t="str">
        <f t="shared" si="103"/>
        <v/>
      </c>
      <c r="S865" s="115" t="str">
        <f t="shared" si="104"/>
        <v/>
      </c>
      <c r="T865" s="116" t="str">
        <f t="shared" si="105"/>
        <v/>
      </c>
      <c r="U865" s="120"/>
      <c r="V865" s="118"/>
    </row>
    <row r="866" spans="1:22" ht="13.2">
      <c r="A866" s="102"/>
      <c r="B866" s="102"/>
      <c r="C866" s="104"/>
      <c r="D866" s="105"/>
      <c r="E866" s="106"/>
      <c r="F866" s="107"/>
      <c r="G866" s="108"/>
      <c r="H866" s="109"/>
      <c r="I866" s="110"/>
      <c r="J866" s="110"/>
      <c r="K866" s="119"/>
      <c r="L866" s="111" t="str">
        <f t="shared" si="106"/>
        <v/>
      </c>
      <c r="M866" s="112" t="str">
        <f t="shared" si="106"/>
        <v/>
      </c>
      <c r="N866" s="112" t="str">
        <f t="shared" si="106"/>
        <v/>
      </c>
      <c r="O866" s="112" t="str">
        <f t="shared" si="100"/>
        <v xml:space="preserve"> </v>
      </c>
      <c r="P866" s="113" t="str">
        <f t="shared" si="101"/>
        <v/>
      </c>
      <c r="Q866" s="114" t="str">
        <f t="shared" si="102"/>
        <v/>
      </c>
      <c r="R866" s="115" t="str">
        <f t="shared" si="103"/>
        <v/>
      </c>
      <c r="S866" s="115" t="str">
        <f t="shared" si="104"/>
        <v/>
      </c>
      <c r="T866" s="116" t="str">
        <f t="shared" si="105"/>
        <v/>
      </c>
      <c r="U866" s="120"/>
      <c r="V866" s="118"/>
    </row>
    <row r="867" spans="1:22" ht="13.2">
      <c r="A867" s="102"/>
      <c r="B867" s="102"/>
      <c r="C867" s="104"/>
      <c r="D867" s="105"/>
      <c r="E867" s="106"/>
      <c r="F867" s="107"/>
      <c r="G867" s="108"/>
      <c r="H867" s="109"/>
      <c r="I867" s="110"/>
      <c r="J867" s="110"/>
      <c r="K867" s="119"/>
      <c r="L867" s="111" t="str">
        <f t="shared" si="106"/>
        <v/>
      </c>
      <c r="M867" s="112" t="str">
        <f t="shared" si="106"/>
        <v/>
      </c>
      <c r="N867" s="112" t="str">
        <f t="shared" si="106"/>
        <v/>
      </c>
      <c r="O867" s="112" t="str">
        <f t="shared" si="100"/>
        <v xml:space="preserve"> </v>
      </c>
      <c r="P867" s="113" t="str">
        <f t="shared" si="101"/>
        <v/>
      </c>
      <c r="Q867" s="114" t="str">
        <f t="shared" si="102"/>
        <v/>
      </c>
      <c r="R867" s="115" t="str">
        <f t="shared" si="103"/>
        <v/>
      </c>
      <c r="S867" s="115" t="str">
        <f t="shared" si="104"/>
        <v/>
      </c>
      <c r="T867" s="116" t="str">
        <f t="shared" si="105"/>
        <v/>
      </c>
      <c r="U867" s="120"/>
      <c r="V867" s="118"/>
    </row>
    <row r="868" spans="1:22" ht="13.2">
      <c r="A868" s="102"/>
      <c r="B868" s="102"/>
      <c r="C868" s="104"/>
      <c r="D868" s="105"/>
      <c r="E868" s="106"/>
      <c r="F868" s="107"/>
      <c r="G868" s="108"/>
      <c r="H868" s="109"/>
      <c r="I868" s="110"/>
      <c r="J868" s="110"/>
      <c r="K868" s="119"/>
      <c r="L868" s="111" t="str">
        <f t="shared" si="106"/>
        <v/>
      </c>
      <c r="M868" s="112" t="str">
        <f t="shared" si="106"/>
        <v/>
      </c>
      <c r="N868" s="112" t="str">
        <f t="shared" si="106"/>
        <v/>
      </c>
      <c r="O868" s="112" t="str">
        <f t="shared" si="100"/>
        <v xml:space="preserve"> </v>
      </c>
      <c r="P868" s="113" t="str">
        <f t="shared" si="101"/>
        <v/>
      </c>
      <c r="Q868" s="114" t="str">
        <f t="shared" si="102"/>
        <v/>
      </c>
      <c r="R868" s="115" t="str">
        <f t="shared" si="103"/>
        <v/>
      </c>
      <c r="S868" s="115" t="str">
        <f t="shared" si="104"/>
        <v/>
      </c>
      <c r="T868" s="116" t="str">
        <f t="shared" si="105"/>
        <v/>
      </c>
      <c r="U868" s="120"/>
      <c r="V868" s="118"/>
    </row>
    <row r="869" spans="1:22" ht="13.2">
      <c r="A869" s="102"/>
      <c r="B869" s="103"/>
      <c r="C869" s="104"/>
      <c r="D869" s="105"/>
      <c r="E869" s="106"/>
      <c r="F869" s="107"/>
      <c r="G869" s="108"/>
      <c r="H869" s="121"/>
      <c r="I869" s="122"/>
      <c r="J869" s="122"/>
      <c r="K869" s="123"/>
      <c r="L869" s="111" t="str">
        <f t="shared" si="106"/>
        <v/>
      </c>
      <c r="M869" s="112" t="str">
        <f t="shared" si="106"/>
        <v/>
      </c>
      <c r="N869" s="112" t="str">
        <f t="shared" si="106"/>
        <v/>
      </c>
      <c r="O869" s="112" t="str">
        <f t="shared" si="100"/>
        <v xml:space="preserve"> </v>
      </c>
      <c r="P869" s="113" t="str">
        <f t="shared" si="101"/>
        <v/>
      </c>
      <c r="Q869" s="114" t="str">
        <f t="shared" si="102"/>
        <v/>
      </c>
      <c r="R869" s="115" t="str">
        <f t="shared" si="103"/>
        <v/>
      </c>
      <c r="S869" s="115" t="str">
        <f t="shared" si="104"/>
        <v/>
      </c>
      <c r="T869" s="116" t="str">
        <f t="shared" si="105"/>
        <v/>
      </c>
      <c r="U869" s="120"/>
      <c r="V869" s="118"/>
    </row>
    <row r="870" spans="1:22" ht="13.2">
      <c r="A870" s="102"/>
      <c r="B870" s="103"/>
      <c r="C870" s="104"/>
      <c r="D870" s="105"/>
      <c r="E870" s="106"/>
      <c r="F870" s="107"/>
      <c r="G870" s="108"/>
      <c r="H870" s="121"/>
      <c r="I870" s="122"/>
      <c r="J870" s="122"/>
      <c r="K870" s="123"/>
      <c r="L870" s="111" t="str">
        <f t="shared" si="106"/>
        <v/>
      </c>
      <c r="M870" s="112" t="str">
        <f t="shared" si="106"/>
        <v/>
      </c>
      <c r="N870" s="112" t="str">
        <f t="shared" si="106"/>
        <v/>
      </c>
      <c r="O870" s="112" t="str">
        <f t="shared" si="100"/>
        <v xml:space="preserve"> </v>
      </c>
      <c r="P870" s="113" t="str">
        <f t="shared" si="101"/>
        <v/>
      </c>
      <c r="Q870" s="114" t="str">
        <f t="shared" si="102"/>
        <v/>
      </c>
      <c r="R870" s="115" t="str">
        <f t="shared" si="103"/>
        <v/>
      </c>
      <c r="S870" s="115" t="str">
        <f t="shared" si="104"/>
        <v/>
      </c>
      <c r="T870" s="116" t="str">
        <f t="shared" si="105"/>
        <v/>
      </c>
      <c r="U870" s="120"/>
      <c r="V870" s="118"/>
    </row>
    <row r="871" spans="1:22" ht="13.2">
      <c r="A871" s="102"/>
      <c r="B871" s="103"/>
      <c r="C871" s="104"/>
      <c r="D871" s="105"/>
      <c r="E871" s="106"/>
      <c r="F871" s="107"/>
      <c r="G871" s="108"/>
      <c r="H871" s="121"/>
      <c r="I871" s="122"/>
      <c r="J871" s="122"/>
      <c r="K871" s="123"/>
      <c r="L871" s="111" t="str">
        <f t="shared" si="106"/>
        <v/>
      </c>
      <c r="M871" s="112" t="str">
        <f t="shared" si="106"/>
        <v/>
      </c>
      <c r="N871" s="112" t="str">
        <f t="shared" si="106"/>
        <v/>
      </c>
      <c r="O871" s="112" t="str">
        <f t="shared" si="100"/>
        <v xml:space="preserve"> </v>
      </c>
      <c r="P871" s="113" t="str">
        <f t="shared" si="101"/>
        <v/>
      </c>
      <c r="Q871" s="114" t="str">
        <f t="shared" si="102"/>
        <v/>
      </c>
      <c r="R871" s="115" t="str">
        <f t="shared" si="103"/>
        <v/>
      </c>
      <c r="S871" s="115" t="str">
        <f t="shared" si="104"/>
        <v/>
      </c>
      <c r="T871" s="116" t="str">
        <f t="shared" si="105"/>
        <v/>
      </c>
      <c r="U871" s="120"/>
      <c r="V871" s="118"/>
    </row>
    <row r="872" spans="1:22" ht="13.2">
      <c r="A872" s="102"/>
      <c r="B872" s="102"/>
      <c r="C872" s="103"/>
      <c r="D872" s="105"/>
      <c r="E872" s="106"/>
      <c r="F872" s="107"/>
      <c r="G872" s="108"/>
      <c r="H872" s="109"/>
      <c r="I872" s="110"/>
      <c r="J872" s="110"/>
      <c r="K872" s="119"/>
      <c r="L872" s="111" t="str">
        <f t="shared" si="106"/>
        <v/>
      </c>
      <c r="M872" s="112" t="str">
        <f t="shared" si="106"/>
        <v/>
      </c>
      <c r="N872" s="112" t="str">
        <f t="shared" si="106"/>
        <v/>
      </c>
      <c r="O872" s="112" t="str">
        <f t="shared" si="100"/>
        <v xml:space="preserve"> </v>
      </c>
      <c r="P872" s="113" t="str">
        <f t="shared" si="101"/>
        <v/>
      </c>
      <c r="Q872" s="114" t="str">
        <f t="shared" si="102"/>
        <v/>
      </c>
      <c r="R872" s="115" t="str">
        <f t="shared" si="103"/>
        <v/>
      </c>
      <c r="S872" s="115" t="str">
        <f t="shared" si="104"/>
        <v/>
      </c>
      <c r="T872" s="116" t="str">
        <f t="shared" si="105"/>
        <v/>
      </c>
      <c r="U872" s="120"/>
      <c r="V872" s="118"/>
    </row>
    <row r="873" spans="1:22" ht="13.2">
      <c r="A873" s="102"/>
      <c r="B873" s="102"/>
      <c r="C873" s="103"/>
      <c r="D873" s="105"/>
      <c r="E873" s="106"/>
      <c r="F873" s="107"/>
      <c r="G873" s="108"/>
      <c r="H873" s="109"/>
      <c r="I873" s="110"/>
      <c r="J873" s="110"/>
      <c r="K873" s="119"/>
      <c r="L873" s="111" t="str">
        <f t="shared" si="106"/>
        <v/>
      </c>
      <c r="M873" s="112" t="str">
        <f t="shared" si="106"/>
        <v/>
      </c>
      <c r="N873" s="112" t="str">
        <f t="shared" si="106"/>
        <v/>
      </c>
      <c r="O873" s="112" t="str">
        <f t="shared" si="100"/>
        <v xml:space="preserve"> </v>
      </c>
      <c r="P873" s="113" t="str">
        <f t="shared" si="101"/>
        <v/>
      </c>
      <c r="Q873" s="114" t="str">
        <f t="shared" si="102"/>
        <v/>
      </c>
      <c r="R873" s="115" t="str">
        <f t="shared" si="103"/>
        <v/>
      </c>
      <c r="S873" s="115" t="str">
        <f t="shared" si="104"/>
        <v/>
      </c>
      <c r="T873" s="116" t="str">
        <f t="shared" si="105"/>
        <v/>
      </c>
      <c r="U873" s="120"/>
      <c r="V873" s="118"/>
    </row>
    <row r="874" spans="1:22" ht="13.2">
      <c r="A874" s="102"/>
      <c r="B874" s="102"/>
      <c r="C874" s="104"/>
      <c r="D874" s="105"/>
      <c r="E874" s="106"/>
      <c r="F874" s="107"/>
      <c r="G874" s="108"/>
      <c r="H874" s="109"/>
      <c r="I874" s="110"/>
      <c r="J874" s="110"/>
      <c r="K874" s="119"/>
      <c r="L874" s="111" t="str">
        <f t="shared" si="106"/>
        <v/>
      </c>
      <c r="M874" s="112" t="str">
        <f t="shared" si="106"/>
        <v/>
      </c>
      <c r="N874" s="112" t="str">
        <f t="shared" si="106"/>
        <v/>
      </c>
      <c r="O874" s="112" t="str">
        <f t="shared" si="100"/>
        <v xml:space="preserve"> </v>
      </c>
      <c r="P874" s="113" t="str">
        <f t="shared" si="101"/>
        <v/>
      </c>
      <c r="Q874" s="114" t="str">
        <f t="shared" si="102"/>
        <v/>
      </c>
      <c r="R874" s="115" t="str">
        <f t="shared" si="103"/>
        <v/>
      </c>
      <c r="S874" s="115" t="str">
        <f t="shared" si="104"/>
        <v/>
      </c>
      <c r="T874" s="116" t="str">
        <f t="shared" si="105"/>
        <v/>
      </c>
      <c r="U874" s="120"/>
      <c r="V874" s="118"/>
    </row>
    <row r="875" spans="1:22" ht="13.2">
      <c r="A875" s="102"/>
      <c r="B875" s="102"/>
      <c r="C875" s="104"/>
      <c r="D875" s="105"/>
      <c r="E875" s="106"/>
      <c r="F875" s="107"/>
      <c r="G875" s="108"/>
      <c r="H875" s="109"/>
      <c r="I875" s="110"/>
      <c r="J875" s="110"/>
      <c r="K875" s="119"/>
      <c r="L875" s="111" t="str">
        <f t="shared" si="106"/>
        <v/>
      </c>
      <c r="M875" s="112" t="str">
        <f t="shared" si="106"/>
        <v/>
      </c>
      <c r="N875" s="112" t="str">
        <f t="shared" si="106"/>
        <v/>
      </c>
      <c r="O875" s="112" t="str">
        <f t="shared" si="100"/>
        <v xml:space="preserve"> </v>
      </c>
      <c r="P875" s="113" t="str">
        <f t="shared" si="101"/>
        <v/>
      </c>
      <c r="Q875" s="114" t="str">
        <f t="shared" si="102"/>
        <v/>
      </c>
      <c r="R875" s="115" t="str">
        <f t="shared" si="103"/>
        <v/>
      </c>
      <c r="S875" s="115" t="str">
        <f t="shared" si="104"/>
        <v/>
      </c>
      <c r="T875" s="116" t="str">
        <f t="shared" si="105"/>
        <v/>
      </c>
      <c r="U875" s="120"/>
      <c r="V875" s="118"/>
    </row>
    <row r="876" spans="1:22" ht="13.2">
      <c r="A876" s="102"/>
      <c r="B876" s="102"/>
      <c r="C876" s="104"/>
      <c r="D876" s="105"/>
      <c r="E876" s="106"/>
      <c r="F876" s="107"/>
      <c r="G876" s="108"/>
      <c r="H876" s="109"/>
      <c r="I876" s="110"/>
      <c r="J876" s="110"/>
      <c r="K876" s="119"/>
      <c r="L876" s="111" t="str">
        <f t="shared" si="106"/>
        <v/>
      </c>
      <c r="M876" s="112" t="str">
        <f t="shared" si="106"/>
        <v/>
      </c>
      <c r="N876" s="112" t="str">
        <f t="shared" si="106"/>
        <v/>
      </c>
      <c r="O876" s="112" t="str">
        <f t="shared" si="100"/>
        <v xml:space="preserve"> </v>
      </c>
      <c r="P876" s="113" t="str">
        <f t="shared" si="101"/>
        <v/>
      </c>
      <c r="Q876" s="114" t="str">
        <f t="shared" si="102"/>
        <v/>
      </c>
      <c r="R876" s="115" t="str">
        <f t="shared" si="103"/>
        <v/>
      </c>
      <c r="S876" s="115" t="str">
        <f t="shared" si="104"/>
        <v/>
      </c>
      <c r="T876" s="116" t="str">
        <f t="shared" si="105"/>
        <v/>
      </c>
      <c r="U876" s="120"/>
      <c r="V876" s="118"/>
    </row>
    <row r="877" spans="1:22" ht="13.2">
      <c r="A877" s="102"/>
      <c r="B877" s="102"/>
      <c r="C877" s="104"/>
      <c r="D877" s="105"/>
      <c r="E877" s="106"/>
      <c r="F877" s="107"/>
      <c r="G877" s="108"/>
      <c r="H877" s="109"/>
      <c r="I877" s="110"/>
      <c r="J877" s="110"/>
      <c r="K877" s="119"/>
      <c r="L877" s="111" t="str">
        <f t="shared" si="106"/>
        <v/>
      </c>
      <c r="M877" s="112" t="str">
        <f t="shared" si="106"/>
        <v/>
      </c>
      <c r="N877" s="112" t="str">
        <f t="shared" si="106"/>
        <v/>
      </c>
      <c r="O877" s="112" t="str">
        <f t="shared" si="100"/>
        <v xml:space="preserve"> </v>
      </c>
      <c r="P877" s="113" t="str">
        <f t="shared" si="101"/>
        <v/>
      </c>
      <c r="Q877" s="114" t="str">
        <f t="shared" si="102"/>
        <v/>
      </c>
      <c r="R877" s="115" t="str">
        <f t="shared" si="103"/>
        <v/>
      </c>
      <c r="S877" s="115" t="str">
        <f t="shared" si="104"/>
        <v/>
      </c>
      <c r="T877" s="116" t="str">
        <f t="shared" si="105"/>
        <v/>
      </c>
      <c r="U877" s="120"/>
      <c r="V877" s="118"/>
    </row>
    <row r="878" spans="1:22" ht="13.2">
      <c r="A878" s="102"/>
      <c r="B878" s="102"/>
      <c r="C878" s="104"/>
      <c r="D878" s="105"/>
      <c r="E878" s="106"/>
      <c r="F878" s="107"/>
      <c r="G878" s="108"/>
      <c r="H878" s="109"/>
      <c r="I878" s="110"/>
      <c r="J878" s="110"/>
      <c r="K878" s="119"/>
      <c r="L878" s="111" t="str">
        <f t="shared" si="106"/>
        <v/>
      </c>
      <c r="M878" s="112" t="str">
        <f t="shared" si="106"/>
        <v/>
      </c>
      <c r="N878" s="112" t="str">
        <f t="shared" si="106"/>
        <v/>
      </c>
      <c r="O878" s="112" t="str">
        <f t="shared" si="100"/>
        <v xml:space="preserve"> </v>
      </c>
      <c r="P878" s="113" t="str">
        <f t="shared" si="101"/>
        <v/>
      </c>
      <c r="Q878" s="114" t="str">
        <f t="shared" si="102"/>
        <v/>
      </c>
      <c r="R878" s="115" t="str">
        <f t="shared" si="103"/>
        <v/>
      </c>
      <c r="S878" s="115" t="str">
        <f t="shared" si="104"/>
        <v/>
      </c>
      <c r="T878" s="116" t="str">
        <f t="shared" si="105"/>
        <v/>
      </c>
      <c r="U878" s="120"/>
      <c r="V878" s="118"/>
    </row>
    <row r="879" spans="1:22" ht="13.2">
      <c r="A879" s="102"/>
      <c r="B879" s="102"/>
      <c r="C879" s="104"/>
      <c r="D879" s="105"/>
      <c r="E879" s="106"/>
      <c r="F879" s="107"/>
      <c r="G879" s="108"/>
      <c r="H879" s="109"/>
      <c r="I879" s="110"/>
      <c r="J879" s="110"/>
      <c r="K879" s="110"/>
      <c r="L879" s="111" t="str">
        <f t="shared" si="106"/>
        <v/>
      </c>
      <c r="M879" s="112" t="str">
        <f t="shared" si="106"/>
        <v/>
      </c>
      <c r="N879" s="112" t="str">
        <f t="shared" si="106"/>
        <v/>
      </c>
      <c r="O879" s="112" t="str">
        <f t="shared" si="100"/>
        <v xml:space="preserve"> </v>
      </c>
      <c r="P879" s="113" t="str">
        <f t="shared" si="101"/>
        <v/>
      </c>
      <c r="Q879" s="114" t="str">
        <f t="shared" si="102"/>
        <v/>
      </c>
      <c r="R879" s="115" t="str">
        <f t="shared" si="103"/>
        <v/>
      </c>
      <c r="S879" s="115" t="str">
        <f t="shared" si="104"/>
        <v/>
      </c>
      <c r="T879" s="116" t="str">
        <f t="shared" si="105"/>
        <v/>
      </c>
      <c r="U879" s="120"/>
      <c r="V879" s="118"/>
    </row>
    <row r="880" spans="1:22" ht="13.2">
      <c r="A880" s="102"/>
      <c r="B880" s="102"/>
      <c r="C880" s="104"/>
      <c r="D880" s="105"/>
      <c r="E880" s="106"/>
      <c r="F880" s="107"/>
      <c r="G880" s="108"/>
      <c r="H880" s="109"/>
      <c r="I880" s="110"/>
      <c r="J880" s="110"/>
      <c r="K880" s="119"/>
      <c r="L880" s="111" t="str">
        <f t="shared" si="106"/>
        <v/>
      </c>
      <c r="M880" s="112" t="str">
        <f t="shared" si="106"/>
        <v/>
      </c>
      <c r="N880" s="112" t="str">
        <f t="shared" si="106"/>
        <v/>
      </c>
      <c r="O880" s="112" t="str">
        <f t="shared" si="100"/>
        <v xml:space="preserve"> </v>
      </c>
      <c r="P880" s="113" t="str">
        <f t="shared" si="101"/>
        <v/>
      </c>
      <c r="Q880" s="114" t="str">
        <f t="shared" si="102"/>
        <v/>
      </c>
      <c r="R880" s="115" t="str">
        <f t="shared" si="103"/>
        <v/>
      </c>
      <c r="S880" s="115" t="str">
        <f t="shared" si="104"/>
        <v/>
      </c>
      <c r="T880" s="116" t="str">
        <f t="shared" si="105"/>
        <v/>
      </c>
      <c r="U880" s="120"/>
      <c r="V880" s="118"/>
    </row>
    <row r="881" spans="1:22" ht="13.2">
      <c r="A881" s="102"/>
      <c r="B881" s="102"/>
      <c r="C881" s="104"/>
      <c r="D881" s="105"/>
      <c r="E881" s="106"/>
      <c r="F881" s="107"/>
      <c r="G881" s="108"/>
      <c r="H881" s="109"/>
      <c r="I881" s="110"/>
      <c r="J881" s="110"/>
      <c r="K881" s="119"/>
      <c r="L881" s="111" t="str">
        <f t="shared" si="106"/>
        <v/>
      </c>
      <c r="M881" s="112" t="str">
        <f t="shared" si="106"/>
        <v/>
      </c>
      <c r="N881" s="112" t="str">
        <f t="shared" si="106"/>
        <v/>
      </c>
      <c r="O881" s="112" t="str">
        <f t="shared" si="100"/>
        <v xml:space="preserve"> </v>
      </c>
      <c r="P881" s="113" t="str">
        <f t="shared" si="101"/>
        <v/>
      </c>
      <c r="Q881" s="114" t="str">
        <f t="shared" si="102"/>
        <v/>
      </c>
      <c r="R881" s="115" t="str">
        <f t="shared" si="103"/>
        <v/>
      </c>
      <c r="S881" s="115" t="str">
        <f t="shared" si="104"/>
        <v/>
      </c>
      <c r="T881" s="116" t="str">
        <f t="shared" si="105"/>
        <v/>
      </c>
      <c r="U881" s="120"/>
      <c r="V881" s="118"/>
    </row>
    <row r="882" spans="1:22" ht="13.2">
      <c r="A882" s="102"/>
      <c r="B882" s="102"/>
      <c r="C882" s="104"/>
      <c r="D882" s="105"/>
      <c r="E882" s="106"/>
      <c r="F882" s="107"/>
      <c r="G882" s="108"/>
      <c r="H882" s="109"/>
      <c r="I882" s="110"/>
      <c r="J882" s="110"/>
      <c r="K882" s="119"/>
      <c r="L882" s="111" t="str">
        <f t="shared" si="106"/>
        <v/>
      </c>
      <c r="M882" s="112" t="str">
        <f t="shared" si="106"/>
        <v/>
      </c>
      <c r="N882" s="112" t="str">
        <f t="shared" si="106"/>
        <v/>
      </c>
      <c r="O882" s="112" t="str">
        <f t="shared" si="100"/>
        <v xml:space="preserve"> </v>
      </c>
      <c r="P882" s="113" t="str">
        <f t="shared" si="101"/>
        <v/>
      </c>
      <c r="Q882" s="114" t="str">
        <f t="shared" si="102"/>
        <v/>
      </c>
      <c r="R882" s="115" t="str">
        <f t="shared" si="103"/>
        <v/>
      </c>
      <c r="S882" s="115" t="str">
        <f t="shared" si="104"/>
        <v/>
      </c>
      <c r="T882" s="116" t="str">
        <f t="shared" si="105"/>
        <v/>
      </c>
      <c r="U882" s="120"/>
      <c r="V882" s="118"/>
    </row>
    <row r="883" spans="1:22" ht="13.2">
      <c r="A883" s="102"/>
      <c r="B883" s="102"/>
      <c r="C883" s="104"/>
      <c r="D883" s="105"/>
      <c r="E883" s="106"/>
      <c r="F883" s="107"/>
      <c r="G883" s="108"/>
      <c r="H883" s="109"/>
      <c r="I883" s="110"/>
      <c r="J883" s="110"/>
      <c r="K883" s="119"/>
      <c r="L883" s="111" t="str">
        <f t="shared" si="106"/>
        <v/>
      </c>
      <c r="M883" s="112" t="str">
        <f t="shared" si="106"/>
        <v/>
      </c>
      <c r="N883" s="112" t="str">
        <f t="shared" si="106"/>
        <v/>
      </c>
      <c r="O883" s="112" t="str">
        <f t="shared" si="100"/>
        <v xml:space="preserve"> </v>
      </c>
      <c r="P883" s="113" t="str">
        <f t="shared" si="101"/>
        <v/>
      </c>
      <c r="Q883" s="114" t="str">
        <f t="shared" si="102"/>
        <v/>
      </c>
      <c r="R883" s="115" t="str">
        <f t="shared" si="103"/>
        <v/>
      </c>
      <c r="S883" s="115" t="str">
        <f t="shared" si="104"/>
        <v/>
      </c>
      <c r="T883" s="116" t="str">
        <f t="shared" si="105"/>
        <v/>
      </c>
      <c r="U883" s="120"/>
      <c r="V883" s="118"/>
    </row>
    <row r="884" spans="1:22" ht="13.2">
      <c r="A884" s="102"/>
      <c r="B884" s="103"/>
      <c r="C884" s="104"/>
      <c r="D884" s="105"/>
      <c r="E884" s="106"/>
      <c r="F884" s="107"/>
      <c r="G884" s="108"/>
      <c r="H884" s="121"/>
      <c r="I884" s="122"/>
      <c r="J884" s="122"/>
      <c r="K884" s="123"/>
      <c r="L884" s="111" t="str">
        <f t="shared" si="106"/>
        <v/>
      </c>
      <c r="M884" s="112" t="str">
        <f t="shared" si="106"/>
        <v/>
      </c>
      <c r="N884" s="112" t="str">
        <f t="shared" si="106"/>
        <v/>
      </c>
      <c r="O884" s="112" t="str">
        <f t="shared" si="100"/>
        <v xml:space="preserve"> </v>
      </c>
      <c r="P884" s="113" t="str">
        <f t="shared" si="101"/>
        <v/>
      </c>
      <c r="Q884" s="114" t="str">
        <f t="shared" si="102"/>
        <v/>
      </c>
      <c r="R884" s="115" t="str">
        <f t="shared" si="103"/>
        <v/>
      </c>
      <c r="S884" s="115" t="str">
        <f t="shared" si="104"/>
        <v/>
      </c>
      <c r="T884" s="116" t="str">
        <f t="shared" si="105"/>
        <v/>
      </c>
      <c r="U884" s="120"/>
      <c r="V884" s="118"/>
    </row>
    <row r="885" spans="1:22" ht="13.2">
      <c r="A885" s="102"/>
      <c r="B885" s="103"/>
      <c r="C885" s="104"/>
      <c r="D885" s="105"/>
      <c r="E885" s="106"/>
      <c r="F885" s="107"/>
      <c r="G885" s="108"/>
      <c r="H885" s="121"/>
      <c r="I885" s="122"/>
      <c r="J885" s="122"/>
      <c r="K885" s="123"/>
      <c r="L885" s="111" t="str">
        <f t="shared" si="106"/>
        <v/>
      </c>
      <c r="M885" s="112" t="str">
        <f t="shared" si="106"/>
        <v/>
      </c>
      <c r="N885" s="112" t="str">
        <f t="shared" si="106"/>
        <v/>
      </c>
      <c r="O885" s="112" t="str">
        <f t="shared" si="100"/>
        <v xml:space="preserve"> </v>
      </c>
      <c r="P885" s="113" t="str">
        <f t="shared" si="101"/>
        <v/>
      </c>
      <c r="Q885" s="114" t="str">
        <f t="shared" si="102"/>
        <v/>
      </c>
      <c r="R885" s="115" t="str">
        <f t="shared" si="103"/>
        <v/>
      </c>
      <c r="S885" s="115" t="str">
        <f t="shared" si="104"/>
        <v/>
      </c>
      <c r="T885" s="116" t="str">
        <f t="shared" si="105"/>
        <v/>
      </c>
      <c r="U885" s="120"/>
      <c r="V885" s="118"/>
    </row>
    <row r="886" spans="1:22" ht="13.2">
      <c r="A886" s="102"/>
      <c r="B886" s="103"/>
      <c r="C886" s="104"/>
      <c r="D886" s="105"/>
      <c r="E886" s="106"/>
      <c r="F886" s="107"/>
      <c r="G886" s="108"/>
      <c r="H886" s="121"/>
      <c r="I886" s="122"/>
      <c r="J886" s="122"/>
      <c r="K886" s="123"/>
      <c r="L886" s="111" t="str">
        <f t="shared" si="106"/>
        <v/>
      </c>
      <c r="M886" s="112" t="str">
        <f t="shared" si="106"/>
        <v/>
      </c>
      <c r="N886" s="112" t="str">
        <f t="shared" si="106"/>
        <v/>
      </c>
      <c r="O886" s="112" t="str">
        <f t="shared" si="100"/>
        <v xml:space="preserve"> </v>
      </c>
      <c r="P886" s="113" t="str">
        <f t="shared" si="101"/>
        <v/>
      </c>
      <c r="Q886" s="114" t="str">
        <f t="shared" si="102"/>
        <v/>
      </c>
      <c r="R886" s="115" t="str">
        <f t="shared" si="103"/>
        <v/>
      </c>
      <c r="S886" s="115" t="str">
        <f t="shared" si="104"/>
        <v/>
      </c>
      <c r="T886" s="116" t="str">
        <f t="shared" si="105"/>
        <v/>
      </c>
      <c r="U886" s="120"/>
      <c r="V886" s="118"/>
    </row>
    <row r="887" spans="1:22" ht="13.2">
      <c r="A887" s="102"/>
      <c r="B887" s="102"/>
      <c r="C887" s="103"/>
      <c r="D887" s="105"/>
      <c r="E887" s="106"/>
      <c r="F887" s="107"/>
      <c r="G887" s="108"/>
      <c r="H887" s="109"/>
      <c r="I887" s="110"/>
      <c r="J887" s="110"/>
      <c r="K887" s="119"/>
      <c r="L887" s="111" t="str">
        <f t="shared" si="106"/>
        <v/>
      </c>
      <c r="M887" s="112" t="str">
        <f t="shared" si="106"/>
        <v/>
      </c>
      <c r="N887" s="112" t="str">
        <f t="shared" si="106"/>
        <v/>
      </c>
      <c r="O887" s="112" t="str">
        <f t="shared" si="100"/>
        <v xml:space="preserve"> </v>
      </c>
      <c r="P887" s="113" t="str">
        <f t="shared" si="101"/>
        <v/>
      </c>
      <c r="Q887" s="114" t="str">
        <f t="shared" si="102"/>
        <v/>
      </c>
      <c r="R887" s="115" t="str">
        <f t="shared" si="103"/>
        <v/>
      </c>
      <c r="S887" s="115" t="str">
        <f t="shared" si="104"/>
        <v/>
      </c>
      <c r="T887" s="116" t="str">
        <f t="shared" si="105"/>
        <v/>
      </c>
      <c r="U887" s="120"/>
      <c r="V887" s="118"/>
    </row>
    <row r="888" spans="1:22" ht="13.2">
      <c r="A888" s="102"/>
      <c r="B888" s="102"/>
      <c r="C888" s="103"/>
      <c r="D888" s="105"/>
      <c r="E888" s="106"/>
      <c r="F888" s="107"/>
      <c r="G888" s="108"/>
      <c r="H888" s="109"/>
      <c r="I888" s="110"/>
      <c r="J888" s="110"/>
      <c r="K888" s="119"/>
      <c r="L888" s="111" t="str">
        <f t="shared" si="106"/>
        <v/>
      </c>
      <c r="M888" s="112" t="str">
        <f t="shared" si="106"/>
        <v/>
      </c>
      <c r="N888" s="112" t="str">
        <f t="shared" si="106"/>
        <v/>
      </c>
      <c r="O888" s="112" t="str">
        <f t="shared" si="100"/>
        <v xml:space="preserve"> </v>
      </c>
      <c r="P888" s="113" t="str">
        <f t="shared" si="101"/>
        <v/>
      </c>
      <c r="Q888" s="114" t="str">
        <f t="shared" si="102"/>
        <v/>
      </c>
      <c r="R888" s="115" t="str">
        <f t="shared" si="103"/>
        <v/>
      </c>
      <c r="S888" s="115" t="str">
        <f t="shared" si="104"/>
        <v/>
      </c>
      <c r="T888" s="116" t="str">
        <f t="shared" si="105"/>
        <v/>
      </c>
      <c r="U888" s="120"/>
      <c r="V888" s="118"/>
    </row>
    <row r="889" spans="1:22" ht="13.2">
      <c r="A889" s="102"/>
      <c r="B889" s="102"/>
      <c r="C889" s="104"/>
      <c r="D889" s="105"/>
      <c r="E889" s="106"/>
      <c r="F889" s="107"/>
      <c r="G889" s="108"/>
      <c r="H889" s="109"/>
      <c r="I889" s="110"/>
      <c r="J889" s="110"/>
      <c r="K889" s="119"/>
      <c r="L889" s="111" t="str">
        <f t="shared" si="106"/>
        <v/>
      </c>
      <c r="M889" s="112" t="str">
        <f t="shared" si="106"/>
        <v/>
      </c>
      <c r="N889" s="112" t="str">
        <f t="shared" si="106"/>
        <v/>
      </c>
      <c r="O889" s="112" t="str">
        <f t="shared" si="100"/>
        <v xml:space="preserve"> </v>
      </c>
      <c r="P889" s="113" t="str">
        <f t="shared" si="101"/>
        <v/>
      </c>
      <c r="Q889" s="114" t="str">
        <f t="shared" si="102"/>
        <v/>
      </c>
      <c r="R889" s="115" t="str">
        <f t="shared" si="103"/>
        <v/>
      </c>
      <c r="S889" s="115" t="str">
        <f t="shared" si="104"/>
        <v/>
      </c>
      <c r="T889" s="116" t="str">
        <f t="shared" si="105"/>
        <v/>
      </c>
      <c r="U889" s="120"/>
      <c r="V889" s="118"/>
    </row>
    <row r="890" spans="1:22" ht="13.2">
      <c r="A890" s="102"/>
      <c r="B890" s="102"/>
      <c r="C890" s="104"/>
      <c r="D890" s="105"/>
      <c r="E890" s="106"/>
      <c r="F890" s="107"/>
      <c r="G890" s="108"/>
      <c r="H890" s="109"/>
      <c r="I890" s="110"/>
      <c r="J890" s="110"/>
      <c r="K890" s="119"/>
      <c r="L890" s="111" t="str">
        <f t="shared" si="106"/>
        <v/>
      </c>
      <c r="M890" s="112" t="str">
        <f t="shared" si="106"/>
        <v/>
      </c>
      <c r="N890" s="112" t="str">
        <f t="shared" si="106"/>
        <v/>
      </c>
      <c r="O890" s="112" t="str">
        <f t="shared" si="100"/>
        <v xml:space="preserve"> </v>
      </c>
      <c r="P890" s="113" t="str">
        <f t="shared" si="101"/>
        <v/>
      </c>
      <c r="Q890" s="114" t="str">
        <f t="shared" si="102"/>
        <v/>
      </c>
      <c r="R890" s="115" t="str">
        <f t="shared" si="103"/>
        <v/>
      </c>
      <c r="S890" s="115" t="str">
        <f t="shared" si="104"/>
        <v/>
      </c>
      <c r="T890" s="116" t="str">
        <f t="shared" si="105"/>
        <v/>
      </c>
      <c r="U890" s="120"/>
      <c r="V890" s="118"/>
    </row>
    <row r="891" spans="1:22" ht="13.2">
      <c r="A891" s="102"/>
      <c r="B891" s="102"/>
      <c r="C891" s="104"/>
      <c r="D891" s="105"/>
      <c r="E891" s="106"/>
      <c r="F891" s="107"/>
      <c r="G891" s="108"/>
      <c r="H891" s="109"/>
      <c r="I891" s="110"/>
      <c r="J891" s="110"/>
      <c r="K891" s="119"/>
      <c r="L891" s="111" t="str">
        <f t="shared" si="106"/>
        <v/>
      </c>
      <c r="M891" s="112" t="str">
        <f t="shared" si="106"/>
        <v/>
      </c>
      <c r="N891" s="112" t="str">
        <f t="shared" si="106"/>
        <v/>
      </c>
      <c r="O891" s="112" t="str">
        <f t="shared" si="100"/>
        <v xml:space="preserve"> </v>
      </c>
      <c r="P891" s="113" t="str">
        <f t="shared" si="101"/>
        <v/>
      </c>
      <c r="Q891" s="114" t="str">
        <f t="shared" si="102"/>
        <v/>
      </c>
      <c r="R891" s="115" t="str">
        <f t="shared" si="103"/>
        <v/>
      </c>
      <c r="S891" s="115" t="str">
        <f t="shared" si="104"/>
        <v/>
      </c>
      <c r="T891" s="116" t="str">
        <f t="shared" si="105"/>
        <v/>
      </c>
      <c r="U891" s="120"/>
      <c r="V891" s="118"/>
    </row>
    <row r="892" spans="1:22" ht="13.2">
      <c r="A892" s="102"/>
      <c r="B892" s="102"/>
      <c r="C892" s="104"/>
      <c r="D892" s="105"/>
      <c r="E892" s="106"/>
      <c r="F892" s="107"/>
      <c r="G892" s="108"/>
      <c r="H892" s="109"/>
      <c r="I892" s="110"/>
      <c r="J892" s="110"/>
      <c r="K892" s="119"/>
      <c r="L892" s="111" t="str">
        <f t="shared" si="106"/>
        <v/>
      </c>
      <c r="M892" s="112" t="str">
        <f t="shared" si="106"/>
        <v/>
      </c>
      <c r="N892" s="112" t="str">
        <f t="shared" si="106"/>
        <v/>
      </c>
      <c r="O892" s="112" t="str">
        <f t="shared" si="100"/>
        <v xml:space="preserve"> </v>
      </c>
      <c r="P892" s="113" t="str">
        <f t="shared" si="101"/>
        <v/>
      </c>
      <c r="Q892" s="114" t="str">
        <f t="shared" si="102"/>
        <v/>
      </c>
      <c r="R892" s="115" t="str">
        <f t="shared" si="103"/>
        <v/>
      </c>
      <c r="S892" s="115" t="str">
        <f t="shared" si="104"/>
        <v/>
      </c>
      <c r="T892" s="116" t="str">
        <f t="shared" si="105"/>
        <v/>
      </c>
      <c r="U892" s="120"/>
      <c r="V892" s="118"/>
    </row>
    <row r="893" spans="1:22" ht="13.2">
      <c r="A893" s="102"/>
      <c r="B893" s="102"/>
      <c r="C893" s="104"/>
      <c r="D893" s="105"/>
      <c r="E893" s="106"/>
      <c r="F893" s="107"/>
      <c r="G893" s="108"/>
      <c r="H893" s="109"/>
      <c r="I893" s="110"/>
      <c r="J893" s="110"/>
      <c r="K893" s="119"/>
      <c r="L893" s="111" t="str">
        <f t="shared" si="106"/>
        <v/>
      </c>
      <c r="M893" s="112" t="str">
        <f t="shared" si="106"/>
        <v/>
      </c>
      <c r="N893" s="112" t="str">
        <f t="shared" si="106"/>
        <v/>
      </c>
      <c r="O893" s="112" t="str">
        <f t="shared" si="100"/>
        <v xml:space="preserve"> </v>
      </c>
      <c r="P893" s="113" t="str">
        <f t="shared" si="101"/>
        <v/>
      </c>
      <c r="Q893" s="114" t="str">
        <f t="shared" si="102"/>
        <v/>
      </c>
      <c r="R893" s="115" t="str">
        <f t="shared" si="103"/>
        <v/>
      </c>
      <c r="S893" s="115" t="str">
        <f t="shared" si="104"/>
        <v/>
      </c>
      <c r="T893" s="116" t="str">
        <f t="shared" si="105"/>
        <v/>
      </c>
      <c r="U893" s="120"/>
      <c r="V893" s="118"/>
    </row>
    <row r="894" spans="1:22" ht="13.2">
      <c r="A894" s="102"/>
      <c r="B894" s="102"/>
      <c r="C894" s="104"/>
      <c r="D894" s="105"/>
      <c r="E894" s="106"/>
      <c r="F894" s="107"/>
      <c r="G894" s="108"/>
      <c r="H894" s="109"/>
      <c r="I894" s="110"/>
      <c r="J894" s="110"/>
      <c r="K894" s="110"/>
      <c r="L894" s="111" t="str">
        <f t="shared" si="106"/>
        <v/>
      </c>
      <c r="M894" s="112" t="str">
        <f t="shared" si="106"/>
        <v/>
      </c>
      <c r="N894" s="112" t="str">
        <f t="shared" si="106"/>
        <v/>
      </c>
      <c r="O894" s="112" t="str">
        <f t="shared" ref="O894:O957" si="107">IF(ISERR(I894/I894)=TRUE," ",AVERAGE(I894:K894))</f>
        <v xml:space="preserve"> </v>
      </c>
      <c r="P894" s="113" t="str">
        <f t="shared" ref="P894:P957" si="108">IF(ISBLANK($E894),"",IF(ISNUMBER(F894)=FALSE,"BAD TOL", IF(F894=0,"N/A",IF(ISERR(I894/I894)=TRUE,"BAD INSP",IF(AND(ISNUMBER($I894),ISNUMBER($J894),ISNUMBER($K894))=FALSE,"BAD INSP",IF(MAX($I894:$K894)&lt;$E894,0,(MAX($I894:$K894)-$E894)/$F894))))))</f>
        <v/>
      </c>
      <c r="Q894" s="114" t="str">
        <f t="shared" ref="Q894:Q957" si="109">IF(ISBLANK($E894),"",IF(ISNUMBER(G894)=FALSE,"BAD TOL",IF(G894=0,"N/A",IF(ISERR(I894/I894)=TRUE,"BAD INSP",IF(AND(ISNUMBER($I894),ISNUMBER($J894),ISNUMBER($K894))=FALSE,"BAD INSP",IF(MIN(I894:K894)&gt;$E894,0,($E894-MIN(I894:K894))/G894))))))</f>
        <v/>
      </c>
      <c r="R894" s="115" t="str">
        <f t="shared" ref="R894:R957" si="110">IF(ISBLANK($E894),"",IF(ISNUMBER($P894)=TRUE,IF($P894&gt;0.651,IF($P894&gt;1.001,"Reject","Alert")," "),IF(AND(F894=0, ISNUMBER(F894)),IF(MAX(I894:K894)&gt;(E894+F894),"Reject",IF(MAX(I894:K894)=(E894+F894),"Alert","")),"Reject")))</f>
        <v/>
      </c>
      <c r="S894" s="115" t="str">
        <f t="shared" ref="S894:S957" si="111">IF(ISBLANK($E894),"",IF(ISNUMBER($Q894)=TRUE,IF($Q894&gt;0.651,IF($Q894&gt;1.001,"Reject","Alert")," "),IF(AND(G894=0, ISNUMBER(G894)),IF(MIN(I894:K894)&lt;(E894-G894),"Reject",IF(MIN(I894:K894)=(E894-G894),"Alert","")),"Reject")))</f>
        <v/>
      </c>
      <c r="T894" s="116" t="str">
        <f t="shared" ref="T894:T957" si="112">IF(OR(R894="Reject",S894="Reject"),"Reject",IF(OR(R894="Alert",S894="Alert"),"Alert", ""))</f>
        <v/>
      </c>
      <c r="U894" s="120"/>
      <c r="V894" s="118"/>
    </row>
    <row r="895" spans="1:22" ht="13.2">
      <c r="A895" s="102"/>
      <c r="B895" s="102"/>
      <c r="C895" s="104"/>
      <c r="D895" s="105"/>
      <c r="E895" s="106"/>
      <c r="F895" s="107"/>
      <c r="G895" s="108"/>
      <c r="H895" s="109"/>
      <c r="I895" s="110"/>
      <c r="J895" s="110"/>
      <c r="K895" s="119"/>
      <c r="L895" s="111" t="str">
        <f t="shared" si="106"/>
        <v/>
      </c>
      <c r="M895" s="112" t="str">
        <f t="shared" si="106"/>
        <v/>
      </c>
      <c r="N895" s="112" t="str">
        <f t="shared" si="106"/>
        <v/>
      </c>
      <c r="O895" s="112" t="str">
        <f t="shared" si="107"/>
        <v xml:space="preserve"> </v>
      </c>
      <c r="P895" s="113" t="str">
        <f t="shared" si="108"/>
        <v/>
      </c>
      <c r="Q895" s="114" t="str">
        <f t="shared" si="109"/>
        <v/>
      </c>
      <c r="R895" s="115" t="str">
        <f t="shared" si="110"/>
        <v/>
      </c>
      <c r="S895" s="115" t="str">
        <f t="shared" si="111"/>
        <v/>
      </c>
      <c r="T895" s="116" t="str">
        <f t="shared" si="112"/>
        <v/>
      </c>
      <c r="U895" s="120"/>
      <c r="V895" s="118"/>
    </row>
    <row r="896" spans="1:22" ht="13.2">
      <c r="A896" s="102"/>
      <c r="B896" s="102"/>
      <c r="C896" s="104"/>
      <c r="D896" s="105"/>
      <c r="E896" s="106"/>
      <c r="F896" s="107"/>
      <c r="G896" s="108"/>
      <c r="H896" s="109"/>
      <c r="I896" s="110"/>
      <c r="J896" s="110"/>
      <c r="K896" s="119"/>
      <c r="L896" s="111" t="str">
        <f t="shared" si="106"/>
        <v/>
      </c>
      <c r="M896" s="112" t="str">
        <f t="shared" si="106"/>
        <v/>
      </c>
      <c r="N896" s="112" t="str">
        <f t="shared" si="106"/>
        <v/>
      </c>
      <c r="O896" s="112" t="str">
        <f t="shared" si="107"/>
        <v xml:space="preserve"> </v>
      </c>
      <c r="P896" s="113" t="str">
        <f t="shared" si="108"/>
        <v/>
      </c>
      <c r="Q896" s="114" t="str">
        <f t="shared" si="109"/>
        <v/>
      </c>
      <c r="R896" s="115" t="str">
        <f t="shared" si="110"/>
        <v/>
      </c>
      <c r="S896" s="115" t="str">
        <f t="shared" si="111"/>
        <v/>
      </c>
      <c r="T896" s="116" t="str">
        <f t="shared" si="112"/>
        <v/>
      </c>
      <c r="U896" s="120"/>
      <c r="V896" s="118"/>
    </row>
    <row r="897" spans="1:22" ht="13.2">
      <c r="A897" s="102"/>
      <c r="B897" s="102"/>
      <c r="C897" s="104"/>
      <c r="D897" s="105"/>
      <c r="E897" s="106"/>
      <c r="F897" s="107"/>
      <c r="G897" s="108"/>
      <c r="H897" s="109"/>
      <c r="I897" s="110"/>
      <c r="J897" s="110"/>
      <c r="K897" s="119"/>
      <c r="L897" s="111" t="str">
        <f t="shared" si="106"/>
        <v/>
      </c>
      <c r="M897" s="112" t="str">
        <f t="shared" si="106"/>
        <v/>
      </c>
      <c r="N897" s="112" t="str">
        <f t="shared" si="106"/>
        <v/>
      </c>
      <c r="O897" s="112" t="str">
        <f t="shared" si="107"/>
        <v xml:space="preserve"> </v>
      </c>
      <c r="P897" s="113" t="str">
        <f t="shared" si="108"/>
        <v/>
      </c>
      <c r="Q897" s="114" t="str">
        <f t="shared" si="109"/>
        <v/>
      </c>
      <c r="R897" s="115" t="str">
        <f t="shared" si="110"/>
        <v/>
      </c>
      <c r="S897" s="115" t="str">
        <f t="shared" si="111"/>
        <v/>
      </c>
      <c r="T897" s="116" t="str">
        <f t="shared" si="112"/>
        <v/>
      </c>
      <c r="U897" s="120"/>
      <c r="V897" s="118"/>
    </row>
    <row r="898" spans="1:22" ht="13.2">
      <c r="A898" s="102"/>
      <c r="B898" s="102"/>
      <c r="C898" s="104"/>
      <c r="D898" s="105"/>
      <c r="E898" s="106"/>
      <c r="F898" s="107"/>
      <c r="G898" s="108"/>
      <c r="H898" s="109"/>
      <c r="I898" s="110"/>
      <c r="J898" s="110"/>
      <c r="K898" s="119"/>
      <c r="L898" s="111" t="str">
        <f t="shared" si="106"/>
        <v/>
      </c>
      <c r="M898" s="112" t="str">
        <f t="shared" si="106"/>
        <v/>
      </c>
      <c r="N898" s="112" t="str">
        <f t="shared" si="106"/>
        <v/>
      </c>
      <c r="O898" s="112" t="str">
        <f t="shared" si="107"/>
        <v xml:space="preserve"> </v>
      </c>
      <c r="P898" s="113" t="str">
        <f t="shared" si="108"/>
        <v/>
      </c>
      <c r="Q898" s="114" t="str">
        <f t="shared" si="109"/>
        <v/>
      </c>
      <c r="R898" s="115" t="str">
        <f t="shared" si="110"/>
        <v/>
      </c>
      <c r="S898" s="115" t="str">
        <f t="shared" si="111"/>
        <v/>
      </c>
      <c r="T898" s="116" t="str">
        <f t="shared" si="112"/>
        <v/>
      </c>
      <c r="U898" s="120"/>
      <c r="V898" s="118"/>
    </row>
    <row r="899" spans="1:22" ht="13.2">
      <c r="A899" s="102"/>
      <c r="B899" s="103"/>
      <c r="C899" s="104"/>
      <c r="D899" s="105"/>
      <c r="E899" s="106"/>
      <c r="F899" s="107"/>
      <c r="G899" s="108"/>
      <c r="H899" s="121"/>
      <c r="I899" s="122"/>
      <c r="J899" s="122"/>
      <c r="K899" s="123"/>
      <c r="L899" s="111" t="str">
        <f t="shared" si="106"/>
        <v/>
      </c>
      <c r="M899" s="112" t="str">
        <f t="shared" si="106"/>
        <v/>
      </c>
      <c r="N899" s="112" t="str">
        <f t="shared" si="106"/>
        <v/>
      </c>
      <c r="O899" s="112" t="str">
        <f t="shared" si="107"/>
        <v xml:space="preserve"> </v>
      </c>
      <c r="P899" s="113" t="str">
        <f t="shared" si="108"/>
        <v/>
      </c>
      <c r="Q899" s="114" t="str">
        <f t="shared" si="109"/>
        <v/>
      </c>
      <c r="R899" s="115" t="str">
        <f t="shared" si="110"/>
        <v/>
      </c>
      <c r="S899" s="115" t="str">
        <f t="shared" si="111"/>
        <v/>
      </c>
      <c r="T899" s="116" t="str">
        <f t="shared" si="112"/>
        <v/>
      </c>
      <c r="U899" s="120"/>
      <c r="V899" s="118"/>
    </row>
    <row r="900" spans="1:22" ht="13.2">
      <c r="A900" s="102"/>
      <c r="B900" s="103"/>
      <c r="C900" s="104"/>
      <c r="D900" s="105"/>
      <c r="E900" s="106"/>
      <c r="F900" s="107"/>
      <c r="G900" s="108"/>
      <c r="H900" s="121"/>
      <c r="I900" s="122"/>
      <c r="J900" s="122"/>
      <c r="K900" s="123"/>
      <c r="L900" s="111" t="str">
        <f t="shared" si="106"/>
        <v/>
      </c>
      <c r="M900" s="112" t="str">
        <f t="shared" si="106"/>
        <v/>
      </c>
      <c r="N900" s="112" t="str">
        <f t="shared" si="106"/>
        <v/>
      </c>
      <c r="O900" s="112" t="str">
        <f t="shared" si="107"/>
        <v xml:space="preserve"> </v>
      </c>
      <c r="P900" s="113" t="str">
        <f t="shared" si="108"/>
        <v/>
      </c>
      <c r="Q900" s="114" t="str">
        <f t="shared" si="109"/>
        <v/>
      </c>
      <c r="R900" s="115" t="str">
        <f t="shared" si="110"/>
        <v/>
      </c>
      <c r="S900" s="115" t="str">
        <f t="shared" si="111"/>
        <v/>
      </c>
      <c r="T900" s="116" t="str">
        <f t="shared" si="112"/>
        <v/>
      </c>
      <c r="U900" s="120"/>
      <c r="V900" s="118"/>
    </row>
    <row r="901" spans="1:22" ht="13.2">
      <c r="A901" s="102"/>
      <c r="B901" s="103"/>
      <c r="C901" s="104"/>
      <c r="D901" s="105"/>
      <c r="E901" s="106"/>
      <c r="F901" s="107"/>
      <c r="G901" s="108"/>
      <c r="H901" s="121"/>
      <c r="I901" s="122"/>
      <c r="J901" s="122"/>
      <c r="K901" s="123"/>
      <c r="L901" s="111" t="str">
        <f t="shared" si="106"/>
        <v/>
      </c>
      <c r="M901" s="112" t="str">
        <f t="shared" si="106"/>
        <v/>
      </c>
      <c r="N901" s="112" t="str">
        <f t="shared" si="106"/>
        <v/>
      </c>
      <c r="O901" s="112" t="str">
        <f t="shared" si="107"/>
        <v xml:space="preserve"> </v>
      </c>
      <c r="P901" s="113" t="str">
        <f t="shared" si="108"/>
        <v/>
      </c>
      <c r="Q901" s="114" t="str">
        <f t="shared" si="109"/>
        <v/>
      </c>
      <c r="R901" s="115" t="str">
        <f t="shared" si="110"/>
        <v/>
      </c>
      <c r="S901" s="115" t="str">
        <f t="shared" si="111"/>
        <v/>
      </c>
      <c r="T901" s="116" t="str">
        <f t="shared" si="112"/>
        <v/>
      </c>
      <c r="U901" s="120"/>
      <c r="V901" s="118"/>
    </row>
    <row r="902" spans="1:22" ht="13.2">
      <c r="A902" s="102"/>
      <c r="B902" s="102"/>
      <c r="C902" s="103"/>
      <c r="D902" s="105"/>
      <c r="E902" s="106"/>
      <c r="F902" s="107"/>
      <c r="G902" s="108"/>
      <c r="H902" s="109"/>
      <c r="I902" s="110"/>
      <c r="J902" s="110"/>
      <c r="K902" s="119"/>
      <c r="L902" s="111" t="str">
        <f t="shared" si="106"/>
        <v/>
      </c>
      <c r="M902" s="112" t="str">
        <f t="shared" si="106"/>
        <v/>
      </c>
      <c r="N902" s="112" t="str">
        <f t="shared" si="106"/>
        <v/>
      </c>
      <c r="O902" s="112" t="str">
        <f t="shared" si="107"/>
        <v xml:space="preserve"> </v>
      </c>
      <c r="P902" s="113" t="str">
        <f t="shared" si="108"/>
        <v/>
      </c>
      <c r="Q902" s="114" t="str">
        <f t="shared" si="109"/>
        <v/>
      </c>
      <c r="R902" s="115" t="str">
        <f t="shared" si="110"/>
        <v/>
      </c>
      <c r="S902" s="115" t="str">
        <f t="shared" si="111"/>
        <v/>
      </c>
      <c r="T902" s="116" t="str">
        <f t="shared" si="112"/>
        <v/>
      </c>
      <c r="U902" s="120"/>
      <c r="V902" s="118"/>
    </row>
    <row r="903" spans="1:22" ht="13.2">
      <c r="A903" s="102"/>
      <c r="B903" s="102"/>
      <c r="C903" s="103"/>
      <c r="D903" s="105"/>
      <c r="E903" s="106"/>
      <c r="F903" s="107"/>
      <c r="G903" s="108"/>
      <c r="H903" s="109"/>
      <c r="I903" s="110"/>
      <c r="J903" s="110"/>
      <c r="K903" s="119"/>
      <c r="L903" s="111" t="str">
        <f t="shared" si="106"/>
        <v/>
      </c>
      <c r="M903" s="112" t="str">
        <f t="shared" si="106"/>
        <v/>
      </c>
      <c r="N903" s="112" t="str">
        <f t="shared" si="106"/>
        <v/>
      </c>
      <c r="O903" s="112" t="str">
        <f t="shared" si="107"/>
        <v xml:space="preserve"> </v>
      </c>
      <c r="P903" s="113" t="str">
        <f t="shared" si="108"/>
        <v/>
      </c>
      <c r="Q903" s="114" t="str">
        <f t="shared" si="109"/>
        <v/>
      </c>
      <c r="R903" s="115" t="str">
        <f t="shared" si="110"/>
        <v/>
      </c>
      <c r="S903" s="115" t="str">
        <f t="shared" si="111"/>
        <v/>
      </c>
      <c r="T903" s="116" t="str">
        <f t="shared" si="112"/>
        <v/>
      </c>
      <c r="U903" s="120"/>
      <c r="V903" s="118"/>
    </row>
    <row r="904" spans="1:22" ht="13.2">
      <c r="A904" s="102"/>
      <c r="B904" s="102"/>
      <c r="C904" s="104"/>
      <c r="D904" s="105"/>
      <c r="E904" s="106"/>
      <c r="F904" s="107"/>
      <c r="G904" s="108"/>
      <c r="H904" s="109"/>
      <c r="I904" s="110"/>
      <c r="J904" s="110"/>
      <c r="K904" s="119"/>
      <c r="L904" s="111" t="str">
        <f t="shared" si="106"/>
        <v/>
      </c>
      <c r="M904" s="112" t="str">
        <f t="shared" si="106"/>
        <v/>
      </c>
      <c r="N904" s="112" t="str">
        <f t="shared" si="106"/>
        <v/>
      </c>
      <c r="O904" s="112" t="str">
        <f t="shared" si="107"/>
        <v xml:space="preserve"> </v>
      </c>
      <c r="P904" s="113" t="str">
        <f t="shared" si="108"/>
        <v/>
      </c>
      <c r="Q904" s="114" t="str">
        <f t="shared" si="109"/>
        <v/>
      </c>
      <c r="R904" s="115" t="str">
        <f t="shared" si="110"/>
        <v/>
      </c>
      <c r="S904" s="115" t="str">
        <f t="shared" si="111"/>
        <v/>
      </c>
      <c r="T904" s="116" t="str">
        <f t="shared" si="112"/>
        <v/>
      </c>
      <c r="U904" s="120"/>
      <c r="V904" s="118"/>
    </row>
    <row r="905" spans="1:22" ht="13.2">
      <c r="A905" s="102"/>
      <c r="B905" s="102"/>
      <c r="C905" s="104"/>
      <c r="D905" s="105"/>
      <c r="E905" s="106"/>
      <c r="F905" s="107"/>
      <c r="G905" s="108"/>
      <c r="H905" s="109"/>
      <c r="I905" s="110"/>
      <c r="J905" s="110"/>
      <c r="K905" s="119"/>
      <c r="L905" s="111" t="str">
        <f t="shared" si="106"/>
        <v/>
      </c>
      <c r="M905" s="112" t="str">
        <f t="shared" si="106"/>
        <v/>
      </c>
      <c r="N905" s="112" t="str">
        <f t="shared" si="106"/>
        <v/>
      </c>
      <c r="O905" s="112" t="str">
        <f t="shared" si="107"/>
        <v xml:space="preserve"> </v>
      </c>
      <c r="P905" s="113" t="str">
        <f t="shared" si="108"/>
        <v/>
      </c>
      <c r="Q905" s="114" t="str">
        <f t="shared" si="109"/>
        <v/>
      </c>
      <c r="R905" s="115" t="str">
        <f t="shared" si="110"/>
        <v/>
      </c>
      <c r="S905" s="115" t="str">
        <f t="shared" si="111"/>
        <v/>
      </c>
      <c r="T905" s="116" t="str">
        <f t="shared" si="112"/>
        <v/>
      </c>
      <c r="U905" s="120"/>
      <c r="V905" s="118"/>
    </row>
    <row r="906" spans="1:22" ht="13.2">
      <c r="A906" s="102"/>
      <c r="B906" s="102"/>
      <c r="C906" s="104"/>
      <c r="D906" s="105"/>
      <c r="E906" s="106"/>
      <c r="F906" s="107"/>
      <c r="G906" s="108"/>
      <c r="H906" s="109"/>
      <c r="I906" s="110"/>
      <c r="J906" s="110"/>
      <c r="K906" s="119"/>
      <c r="L906" s="111" t="str">
        <f t="shared" si="106"/>
        <v/>
      </c>
      <c r="M906" s="112" t="str">
        <f t="shared" si="106"/>
        <v/>
      </c>
      <c r="N906" s="112" t="str">
        <f t="shared" si="106"/>
        <v/>
      </c>
      <c r="O906" s="112" t="str">
        <f t="shared" si="107"/>
        <v xml:space="preserve"> </v>
      </c>
      <c r="P906" s="113" t="str">
        <f t="shared" si="108"/>
        <v/>
      </c>
      <c r="Q906" s="114" t="str">
        <f t="shared" si="109"/>
        <v/>
      </c>
      <c r="R906" s="115" t="str">
        <f t="shared" si="110"/>
        <v/>
      </c>
      <c r="S906" s="115" t="str">
        <f t="shared" si="111"/>
        <v/>
      </c>
      <c r="T906" s="116" t="str">
        <f t="shared" si="112"/>
        <v/>
      </c>
      <c r="U906" s="120"/>
      <c r="V906" s="118"/>
    </row>
    <row r="907" spans="1:22" ht="13.2">
      <c r="A907" s="102"/>
      <c r="B907" s="102"/>
      <c r="C907" s="104"/>
      <c r="D907" s="105"/>
      <c r="E907" s="106"/>
      <c r="F907" s="107"/>
      <c r="G907" s="108"/>
      <c r="H907" s="109"/>
      <c r="I907" s="110"/>
      <c r="J907" s="110"/>
      <c r="K907" s="119"/>
      <c r="L907" s="111" t="str">
        <f t="shared" si="106"/>
        <v/>
      </c>
      <c r="M907" s="112" t="str">
        <f t="shared" si="106"/>
        <v/>
      </c>
      <c r="N907" s="112" t="str">
        <f t="shared" si="106"/>
        <v/>
      </c>
      <c r="O907" s="112" t="str">
        <f t="shared" si="107"/>
        <v xml:space="preserve"> </v>
      </c>
      <c r="P907" s="113" t="str">
        <f t="shared" si="108"/>
        <v/>
      </c>
      <c r="Q907" s="114" t="str">
        <f t="shared" si="109"/>
        <v/>
      </c>
      <c r="R907" s="115" t="str">
        <f t="shared" si="110"/>
        <v/>
      </c>
      <c r="S907" s="115" t="str">
        <f t="shared" si="111"/>
        <v/>
      </c>
      <c r="T907" s="116" t="str">
        <f t="shared" si="112"/>
        <v/>
      </c>
      <c r="U907" s="120"/>
      <c r="V907" s="118"/>
    </row>
    <row r="908" spans="1:22" ht="13.2">
      <c r="A908" s="102"/>
      <c r="B908" s="102"/>
      <c r="C908" s="104"/>
      <c r="D908" s="105"/>
      <c r="E908" s="106"/>
      <c r="F908" s="107"/>
      <c r="G908" s="108"/>
      <c r="H908" s="109"/>
      <c r="I908" s="110"/>
      <c r="J908" s="110"/>
      <c r="K908" s="119"/>
      <c r="L908" s="111" t="str">
        <f t="shared" si="106"/>
        <v/>
      </c>
      <c r="M908" s="112" t="str">
        <f t="shared" si="106"/>
        <v/>
      </c>
      <c r="N908" s="112" t="str">
        <f t="shared" si="106"/>
        <v/>
      </c>
      <c r="O908" s="112" t="str">
        <f t="shared" si="107"/>
        <v xml:space="preserve"> </v>
      </c>
      <c r="P908" s="113" t="str">
        <f t="shared" si="108"/>
        <v/>
      </c>
      <c r="Q908" s="114" t="str">
        <f t="shared" si="109"/>
        <v/>
      </c>
      <c r="R908" s="115" t="str">
        <f t="shared" si="110"/>
        <v/>
      </c>
      <c r="S908" s="115" t="str">
        <f t="shared" si="111"/>
        <v/>
      </c>
      <c r="T908" s="116" t="str">
        <f t="shared" si="112"/>
        <v/>
      </c>
      <c r="U908" s="120"/>
      <c r="V908" s="118"/>
    </row>
    <row r="909" spans="1:22" ht="13.2">
      <c r="A909" s="102"/>
      <c r="B909" s="102"/>
      <c r="C909" s="104"/>
      <c r="D909" s="105"/>
      <c r="E909" s="106"/>
      <c r="F909" s="107"/>
      <c r="G909" s="108"/>
      <c r="H909" s="109"/>
      <c r="I909" s="110"/>
      <c r="J909" s="110"/>
      <c r="K909" s="110"/>
      <c r="L909" s="111" t="str">
        <f t="shared" si="106"/>
        <v/>
      </c>
      <c r="M909" s="112" t="str">
        <f t="shared" si="106"/>
        <v/>
      </c>
      <c r="N909" s="112" t="str">
        <f t="shared" si="106"/>
        <v/>
      </c>
      <c r="O909" s="112" t="str">
        <f t="shared" si="107"/>
        <v xml:space="preserve"> </v>
      </c>
      <c r="P909" s="113" t="str">
        <f t="shared" si="108"/>
        <v/>
      </c>
      <c r="Q909" s="114" t="str">
        <f t="shared" si="109"/>
        <v/>
      </c>
      <c r="R909" s="115" t="str">
        <f t="shared" si="110"/>
        <v/>
      </c>
      <c r="S909" s="115" t="str">
        <f t="shared" si="111"/>
        <v/>
      </c>
      <c r="T909" s="116" t="str">
        <f t="shared" si="112"/>
        <v/>
      </c>
      <c r="U909" s="120"/>
      <c r="V909" s="118"/>
    </row>
    <row r="910" spans="1:22" ht="13.2">
      <c r="A910" s="102"/>
      <c r="B910" s="102"/>
      <c r="C910" s="104"/>
      <c r="D910" s="105"/>
      <c r="E910" s="106"/>
      <c r="F910" s="107"/>
      <c r="G910" s="108"/>
      <c r="H910" s="109"/>
      <c r="I910" s="110"/>
      <c r="J910" s="110"/>
      <c r="K910" s="119"/>
      <c r="L910" s="111" t="str">
        <f t="shared" si="106"/>
        <v/>
      </c>
      <c r="M910" s="112" t="str">
        <f t="shared" si="106"/>
        <v/>
      </c>
      <c r="N910" s="112" t="str">
        <f t="shared" si="106"/>
        <v/>
      </c>
      <c r="O910" s="112" t="str">
        <f t="shared" si="107"/>
        <v xml:space="preserve"> </v>
      </c>
      <c r="P910" s="113" t="str">
        <f t="shared" si="108"/>
        <v/>
      </c>
      <c r="Q910" s="114" t="str">
        <f t="shared" si="109"/>
        <v/>
      </c>
      <c r="R910" s="115" t="str">
        <f t="shared" si="110"/>
        <v/>
      </c>
      <c r="S910" s="115" t="str">
        <f t="shared" si="111"/>
        <v/>
      </c>
      <c r="T910" s="116" t="str">
        <f t="shared" si="112"/>
        <v/>
      </c>
      <c r="U910" s="120"/>
      <c r="V910" s="118"/>
    </row>
    <row r="911" spans="1:22" ht="13.2">
      <c r="A911" s="102"/>
      <c r="B911" s="102"/>
      <c r="C911" s="104"/>
      <c r="D911" s="105"/>
      <c r="E911" s="106"/>
      <c r="F911" s="107"/>
      <c r="G911" s="108"/>
      <c r="H911" s="109"/>
      <c r="I911" s="110"/>
      <c r="J911" s="110"/>
      <c r="K911" s="119"/>
      <c r="L911" s="111" t="str">
        <f t="shared" si="106"/>
        <v/>
      </c>
      <c r="M911" s="112" t="str">
        <f t="shared" si="106"/>
        <v/>
      </c>
      <c r="N911" s="112" t="str">
        <f t="shared" si="106"/>
        <v/>
      </c>
      <c r="O911" s="112" t="str">
        <f t="shared" si="107"/>
        <v xml:space="preserve"> </v>
      </c>
      <c r="P911" s="113" t="str">
        <f t="shared" si="108"/>
        <v/>
      </c>
      <c r="Q911" s="114" t="str">
        <f t="shared" si="109"/>
        <v/>
      </c>
      <c r="R911" s="115" t="str">
        <f t="shared" si="110"/>
        <v/>
      </c>
      <c r="S911" s="115" t="str">
        <f t="shared" si="111"/>
        <v/>
      </c>
      <c r="T911" s="116" t="str">
        <f t="shared" si="112"/>
        <v/>
      </c>
      <c r="U911" s="120"/>
      <c r="V911" s="118"/>
    </row>
    <row r="912" spans="1:22" ht="13.2">
      <c r="A912" s="102"/>
      <c r="B912" s="102"/>
      <c r="C912" s="104"/>
      <c r="D912" s="105"/>
      <c r="E912" s="106"/>
      <c r="F912" s="107"/>
      <c r="G912" s="108"/>
      <c r="H912" s="109"/>
      <c r="I912" s="110"/>
      <c r="J912" s="110"/>
      <c r="K912" s="119"/>
      <c r="L912" s="111" t="str">
        <f t="shared" si="106"/>
        <v/>
      </c>
      <c r="M912" s="112" t="str">
        <f t="shared" si="106"/>
        <v/>
      </c>
      <c r="N912" s="112" t="str">
        <f t="shared" si="106"/>
        <v/>
      </c>
      <c r="O912" s="112" t="str">
        <f t="shared" si="107"/>
        <v xml:space="preserve"> </v>
      </c>
      <c r="P912" s="113" t="str">
        <f t="shared" si="108"/>
        <v/>
      </c>
      <c r="Q912" s="114" t="str">
        <f t="shared" si="109"/>
        <v/>
      </c>
      <c r="R912" s="115" t="str">
        <f t="shared" si="110"/>
        <v/>
      </c>
      <c r="S912" s="115" t="str">
        <f t="shared" si="111"/>
        <v/>
      </c>
      <c r="T912" s="116" t="str">
        <f t="shared" si="112"/>
        <v/>
      </c>
      <c r="U912" s="120"/>
      <c r="V912" s="118"/>
    </row>
    <row r="913" spans="1:22" ht="13.2">
      <c r="A913" s="102"/>
      <c r="B913" s="102"/>
      <c r="C913" s="104"/>
      <c r="D913" s="105"/>
      <c r="E913" s="106"/>
      <c r="F913" s="107"/>
      <c r="G913" s="108"/>
      <c r="H913" s="109"/>
      <c r="I913" s="110"/>
      <c r="J913" s="110"/>
      <c r="K913" s="119"/>
      <c r="L913" s="111" t="str">
        <f t="shared" si="106"/>
        <v/>
      </c>
      <c r="M913" s="112" t="str">
        <f t="shared" si="106"/>
        <v/>
      </c>
      <c r="N913" s="112" t="str">
        <f t="shared" si="106"/>
        <v/>
      </c>
      <c r="O913" s="112" t="str">
        <f t="shared" si="107"/>
        <v xml:space="preserve"> </v>
      </c>
      <c r="P913" s="113" t="str">
        <f t="shared" si="108"/>
        <v/>
      </c>
      <c r="Q913" s="114" t="str">
        <f t="shared" si="109"/>
        <v/>
      </c>
      <c r="R913" s="115" t="str">
        <f t="shared" si="110"/>
        <v/>
      </c>
      <c r="S913" s="115" t="str">
        <f t="shared" si="111"/>
        <v/>
      </c>
      <c r="T913" s="116" t="str">
        <f t="shared" si="112"/>
        <v/>
      </c>
      <c r="U913" s="120"/>
      <c r="V913" s="118"/>
    </row>
    <row r="914" spans="1:22" ht="13.2">
      <c r="A914" s="102"/>
      <c r="B914" s="103"/>
      <c r="C914" s="104"/>
      <c r="D914" s="105"/>
      <c r="E914" s="106"/>
      <c r="F914" s="107"/>
      <c r="G914" s="108"/>
      <c r="H914" s="121"/>
      <c r="I914" s="122"/>
      <c r="J914" s="122"/>
      <c r="K914" s="123"/>
      <c r="L914" s="111" t="str">
        <f t="shared" si="106"/>
        <v/>
      </c>
      <c r="M914" s="112" t="str">
        <f t="shared" si="106"/>
        <v/>
      </c>
      <c r="N914" s="112" t="str">
        <f t="shared" si="106"/>
        <v/>
      </c>
      <c r="O914" s="112" t="str">
        <f t="shared" si="107"/>
        <v xml:space="preserve"> </v>
      </c>
      <c r="P914" s="113" t="str">
        <f t="shared" si="108"/>
        <v/>
      </c>
      <c r="Q914" s="114" t="str">
        <f t="shared" si="109"/>
        <v/>
      </c>
      <c r="R914" s="115" t="str">
        <f t="shared" si="110"/>
        <v/>
      </c>
      <c r="S914" s="115" t="str">
        <f t="shared" si="111"/>
        <v/>
      </c>
      <c r="T914" s="116" t="str">
        <f t="shared" si="112"/>
        <v/>
      </c>
      <c r="U914" s="120"/>
      <c r="V914" s="118"/>
    </row>
    <row r="915" spans="1:22" ht="13.2">
      <c r="A915" s="102"/>
      <c r="B915" s="103"/>
      <c r="C915" s="104"/>
      <c r="D915" s="105"/>
      <c r="E915" s="106"/>
      <c r="F915" s="107"/>
      <c r="G915" s="108"/>
      <c r="H915" s="121"/>
      <c r="I915" s="122"/>
      <c r="J915" s="122"/>
      <c r="K915" s="123"/>
      <c r="L915" s="111" t="str">
        <f t="shared" si="106"/>
        <v/>
      </c>
      <c r="M915" s="112" t="str">
        <f t="shared" si="106"/>
        <v/>
      </c>
      <c r="N915" s="112" t="str">
        <f t="shared" si="106"/>
        <v/>
      </c>
      <c r="O915" s="112" t="str">
        <f t="shared" si="107"/>
        <v xml:space="preserve"> </v>
      </c>
      <c r="P915" s="113" t="str">
        <f t="shared" si="108"/>
        <v/>
      </c>
      <c r="Q915" s="114" t="str">
        <f t="shared" si="109"/>
        <v/>
      </c>
      <c r="R915" s="115" t="str">
        <f t="shared" si="110"/>
        <v/>
      </c>
      <c r="S915" s="115" t="str">
        <f t="shared" si="111"/>
        <v/>
      </c>
      <c r="T915" s="116" t="str">
        <f t="shared" si="112"/>
        <v/>
      </c>
      <c r="U915" s="120"/>
      <c r="V915" s="118"/>
    </row>
    <row r="916" spans="1:22" ht="13.2">
      <c r="A916" s="102"/>
      <c r="B916" s="103"/>
      <c r="C916" s="104"/>
      <c r="D916" s="105"/>
      <c r="E916" s="106"/>
      <c r="F916" s="107"/>
      <c r="G916" s="108"/>
      <c r="H916" s="121"/>
      <c r="I916" s="122"/>
      <c r="J916" s="122"/>
      <c r="K916" s="123"/>
      <c r="L916" s="111" t="str">
        <f t="shared" si="106"/>
        <v/>
      </c>
      <c r="M916" s="112" t="str">
        <f t="shared" si="106"/>
        <v/>
      </c>
      <c r="N916" s="112" t="str">
        <f t="shared" si="106"/>
        <v/>
      </c>
      <c r="O916" s="112" t="str">
        <f t="shared" si="107"/>
        <v xml:space="preserve"> </v>
      </c>
      <c r="P916" s="113" t="str">
        <f t="shared" si="108"/>
        <v/>
      </c>
      <c r="Q916" s="114" t="str">
        <f t="shared" si="109"/>
        <v/>
      </c>
      <c r="R916" s="115" t="str">
        <f t="shared" si="110"/>
        <v/>
      </c>
      <c r="S916" s="115" t="str">
        <f t="shared" si="111"/>
        <v/>
      </c>
      <c r="T916" s="116" t="str">
        <f t="shared" si="112"/>
        <v/>
      </c>
      <c r="U916" s="120"/>
      <c r="V916" s="118"/>
    </row>
    <row r="917" spans="1:22" ht="13.2">
      <c r="A917" s="102"/>
      <c r="B917" s="102"/>
      <c r="C917" s="103"/>
      <c r="D917" s="105"/>
      <c r="E917" s="106"/>
      <c r="F917" s="107"/>
      <c r="G917" s="108"/>
      <c r="H917" s="109"/>
      <c r="I917" s="110"/>
      <c r="J917" s="110"/>
      <c r="K917" s="119"/>
      <c r="L917" s="111" t="str">
        <f t="shared" si="106"/>
        <v/>
      </c>
      <c r="M917" s="112" t="str">
        <f t="shared" si="106"/>
        <v/>
      </c>
      <c r="N917" s="112" t="str">
        <f t="shared" si="106"/>
        <v/>
      </c>
      <c r="O917" s="112" t="str">
        <f t="shared" si="107"/>
        <v xml:space="preserve"> </v>
      </c>
      <c r="P917" s="113" t="str">
        <f t="shared" si="108"/>
        <v/>
      </c>
      <c r="Q917" s="114" t="str">
        <f t="shared" si="109"/>
        <v/>
      </c>
      <c r="R917" s="115" t="str">
        <f t="shared" si="110"/>
        <v/>
      </c>
      <c r="S917" s="115" t="str">
        <f t="shared" si="111"/>
        <v/>
      </c>
      <c r="T917" s="116" t="str">
        <f t="shared" si="112"/>
        <v/>
      </c>
      <c r="U917" s="120"/>
      <c r="V917" s="118"/>
    </row>
    <row r="918" spans="1:22" ht="13.2">
      <c r="A918" s="102"/>
      <c r="B918" s="102"/>
      <c r="C918" s="103"/>
      <c r="D918" s="105"/>
      <c r="E918" s="106"/>
      <c r="F918" s="107"/>
      <c r="G918" s="108"/>
      <c r="H918" s="109"/>
      <c r="I918" s="110"/>
      <c r="J918" s="110"/>
      <c r="K918" s="119"/>
      <c r="L918" s="111" t="str">
        <f t="shared" si="106"/>
        <v/>
      </c>
      <c r="M918" s="112" t="str">
        <f t="shared" si="106"/>
        <v/>
      </c>
      <c r="N918" s="112" t="str">
        <f t="shared" si="106"/>
        <v/>
      </c>
      <c r="O918" s="112" t="str">
        <f t="shared" si="107"/>
        <v xml:space="preserve"> </v>
      </c>
      <c r="P918" s="113" t="str">
        <f t="shared" si="108"/>
        <v/>
      </c>
      <c r="Q918" s="114" t="str">
        <f t="shared" si="109"/>
        <v/>
      </c>
      <c r="R918" s="115" t="str">
        <f t="shared" si="110"/>
        <v/>
      </c>
      <c r="S918" s="115" t="str">
        <f t="shared" si="111"/>
        <v/>
      </c>
      <c r="T918" s="116" t="str">
        <f t="shared" si="112"/>
        <v/>
      </c>
      <c r="U918" s="120"/>
      <c r="V918" s="118"/>
    </row>
    <row r="919" spans="1:22" ht="13.2">
      <c r="A919" s="102"/>
      <c r="B919" s="102"/>
      <c r="C919" s="104"/>
      <c r="D919" s="105"/>
      <c r="E919" s="106"/>
      <c r="F919" s="107"/>
      <c r="G919" s="108"/>
      <c r="H919" s="109"/>
      <c r="I919" s="110"/>
      <c r="J919" s="110"/>
      <c r="K919" s="119"/>
      <c r="L919" s="111" t="str">
        <f t="shared" si="106"/>
        <v/>
      </c>
      <c r="M919" s="112" t="str">
        <f t="shared" si="106"/>
        <v/>
      </c>
      <c r="N919" s="112" t="str">
        <f t="shared" si="106"/>
        <v/>
      </c>
      <c r="O919" s="112" t="str">
        <f t="shared" si="107"/>
        <v xml:space="preserve"> </v>
      </c>
      <c r="P919" s="113" t="str">
        <f t="shared" si="108"/>
        <v/>
      </c>
      <c r="Q919" s="114" t="str">
        <f t="shared" si="109"/>
        <v/>
      </c>
      <c r="R919" s="115" t="str">
        <f t="shared" si="110"/>
        <v/>
      </c>
      <c r="S919" s="115" t="str">
        <f t="shared" si="111"/>
        <v/>
      </c>
      <c r="T919" s="116" t="str">
        <f t="shared" si="112"/>
        <v/>
      </c>
      <c r="U919" s="120"/>
      <c r="V919" s="118"/>
    </row>
    <row r="920" spans="1:22" ht="13.2">
      <c r="A920" s="102"/>
      <c r="B920" s="102"/>
      <c r="C920" s="104"/>
      <c r="D920" s="105"/>
      <c r="E920" s="106"/>
      <c r="F920" s="107"/>
      <c r="G920" s="108"/>
      <c r="H920" s="109"/>
      <c r="I920" s="110"/>
      <c r="J920" s="110"/>
      <c r="K920" s="119"/>
      <c r="L920" s="111" t="str">
        <f t="shared" si="106"/>
        <v/>
      </c>
      <c r="M920" s="112" t="str">
        <f t="shared" si="106"/>
        <v/>
      </c>
      <c r="N920" s="112" t="str">
        <f t="shared" si="106"/>
        <v/>
      </c>
      <c r="O920" s="112" t="str">
        <f t="shared" si="107"/>
        <v xml:space="preserve"> </v>
      </c>
      <c r="P920" s="113" t="str">
        <f t="shared" si="108"/>
        <v/>
      </c>
      <c r="Q920" s="114" t="str">
        <f t="shared" si="109"/>
        <v/>
      </c>
      <c r="R920" s="115" t="str">
        <f t="shared" si="110"/>
        <v/>
      </c>
      <c r="S920" s="115" t="str">
        <f t="shared" si="111"/>
        <v/>
      </c>
      <c r="T920" s="116" t="str">
        <f t="shared" si="112"/>
        <v/>
      </c>
      <c r="U920" s="120"/>
      <c r="V920" s="118"/>
    </row>
    <row r="921" spans="1:22" ht="13.2">
      <c r="A921" s="102"/>
      <c r="B921" s="102"/>
      <c r="C921" s="104"/>
      <c r="D921" s="105"/>
      <c r="E921" s="106"/>
      <c r="F921" s="107"/>
      <c r="G921" s="108"/>
      <c r="H921" s="109"/>
      <c r="I921" s="110"/>
      <c r="J921" s="110"/>
      <c r="K921" s="119"/>
      <c r="L921" s="111" t="str">
        <f t="shared" si="106"/>
        <v/>
      </c>
      <c r="M921" s="112" t="str">
        <f t="shared" si="106"/>
        <v/>
      </c>
      <c r="N921" s="112" t="str">
        <f t="shared" si="106"/>
        <v/>
      </c>
      <c r="O921" s="112" t="str">
        <f t="shared" si="107"/>
        <v xml:space="preserve"> </v>
      </c>
      <c r="P921" s="113" t="str">
        <f t="shared" si="108"/>
        <v/>
      </c>
      <c r="Q921" s="114" t="str">
        <f t="shared" si="109"/>
        <v/>
      </c>
      <c r="R921" s="115" t="str">
        <f t="shared" si="110"/>
        <v/>
      </c>
      <c r="S921" s="115" t="str">
        <f t="shared" si="111"/>
        <v/>
      </c>
      <c r="T921" s="116" t="str">
        <f t="shared" si="112"/>
        <v/>
      </c>
      <c r="U921" s="120"/>
      <c r="V921" s="118"/>
    </row>
    <row r="922" spans="1:22" ht="13.2">
      <c r="A922" s="102"/>
      <c r="B922" s="102"/>
      <c r="C922" s="104"/>
      <c r="D922" s="105"/>
      <c r="E922" s="106"/>
      <c r="F922" s="107"/>
      <c r="G922" s="108"/>
      <c r="H922" s="109"/>
      <c r="I922" s="110"/>
      <c r="J922" s="110"/>
      <c r="K922" s="119"/>
      <c r="L922" s="111" t="str">
        <f t="shared" si="106"/>
        <v/>
      </c>
      <c r="M922" s="112" t="str">
        <f t="shared" si="106"/>
        <v/>
      </c>
      <c r="N922" s="112" t="str">
        <f t="shared" si="106"/>
        <v/>
      </c>
      <c r="O922" s="112" t="str">
        <f t="shared" si="107"/>
        <v xml:space="preserve"> </v>
      </c>
      <c r="P922" s="113" t="str">
        <f t="shared" si="108"/>
        <v/>
      </c>
      <c r="Q922" s="114" t="str">
        <f t="shared" si="109"/>
        <v/>
      </c>
      <c r="R922" s="115" t="str">
        <f t="shared" si="110"/>
        <v/>
      </c>
      <c r="S922" s="115" t="str">
        <f t="shared" si="111"/>
        <v/>
      </c>
      <c r="T922" s="116" t="str">
        <f t="shared" si="112"/>
        <v/>
      </c>
      <c r="U922" s="120"/>
      <c r="V922" s="118"/>
    </row>
    <row r="923" spans="1:22" ht="13.2">
      <c r="A923" s="102"/>
      <c r="B923" s="102"/>
      <c r="C923" s="104"/>
      <c r="D923" s="105"/>
      <c r="E923" s="106"/>
      <c r="F923" s="107"/>
      <c r="G923" s="108"/>
      <c r="H923" s="109"/>
      <c r="I923" s="110"/>
      <c r="J923" s="110"/>
      <c r="K923" s="119"/>
      <c r="L923" s="111" t="str">
        <f t="shared" si="106"/>
        <v/>
      </c>
      <c r="M923" s="112" t="str">
        <f t="shared" si="106"/>
        <v/>
      </c>
      <c r="N923" s="112" t="str">
        <f t="shared" si="106"/>
        <v/>
      </c>
      <c r="O923" s="112" t="str">
        <f t="shared" si="107"/>
        <v xml:space="preserve"> </v>
      </c>
      <c r="P923" s="113" t="str">
        <f t="shared" si="108"/>
        <v/>
      </c>
      <c r="Q923" s="114" t="str">
        <f t="shared" si="109"/>
        <v/>
      </c>
      <c r="R923" s="115" t="str">
        <f t="shared" si="110"/>
        <v/>
      </c>
      <c r="S923" s="115" t="str">
        <f t="shared" si="111"/>
        <v/>
      </c>
      <c r="T923" s="116" t="str">
        <f t="shared" si="112"/>
        <v/>
      </c>
      <c r="U923" s="120"/>
      <c r="V923" s="118"/>
    </row>
    <row r="924" spans="1:22" ht="13.2">
      <c r="A924" s="102"/>
      <c r="B924" s="102"/>
      <c r="C924" s="104"/>
      <c r="D924" s="105"/>
      <c r="E924" s="106"/>
      <c r="F924" s="107"/>
      <c r="G924" s="108"/>
      <c r="H924" s="109"/>
      <c r="I924" s="110"/>
      <c r="J924" s="110"/>
      <c r="K924" s="110"/>
      <c r="L924" s="111" t="str">
        <f t="shared" si="106"/>
        <v/>
      </c>
      <c r="M924" s="112" t="str">
        <f t="shared" si="106"/>
        <v/>
      </c>
      <c r="N924" s="112" t="str">
        <f t="shared" si="106"/>
        <v/>
      </c>
      <c r="O924" s="112" t="str">
        <f t="shared" si="107"/>
        <v xml:space="preserve"> </v>
      </c>
      <c r="P924" s="113" t="str">
        <f t="shared" si="108"/>
        <v/>
      </c>
      <c r="Q924" s="114" t="str">
        <f t="shared" si="109"/>
        <v/>
      </c>
      <c r="R924" s="115" t="str">
        <f t="shared" si="110"/>
        <v/>
      </c>
      <c r="S924" s="115" t="str">
        <f t="shared" si="111"/>
        <v/>
      </c>
      <c r="T924" s="116" t="str">
        <f t="shared" si="112"/>
        <v/>
      </c>
      <c r="U924" s="120"/>
      <c r="V924" s="118"/>
    </row>
    <row r="925" spans="1:22" ht="13.2">
      <c r="A925" s="102"/>
      <c r="B925" s="102"/>
      <c r="C925" s="104"/>
      <c r="D925" s="105"/>
      <c r="E925" s="106"/>
      <c r="F925" s="107"/>
      <c r="G925" s="108"/>
      <c r="H925" s="109"/>
      <c r="I925" s="110"/>
      <c r="J925" s="110"/>
      <c r="K925" s="119"/>
      <c r="L925" s="111" t="str">
        <f t="shared" ref="L925:N973" si="113">IF(ISBLANK($E925),"",IF(ISERR(I925/I925)=TRUE,"BAD INSP",I925-$E925))</f>
        <v/>
      </c>
      <c r="M925" s="112" t="str">
        <f t="shared" si="113"/>
        <v/>
      </c>
      <c r="N925" s="112" t="str">
        <f t="shared" si="113"/>
        <v/>
      </c>
      <c r="O925" s="112" t="str">
        <f t="shared" si="107"/>
        <v xml:space="preserve"> </v>
      </c>
      <c r="P925" s="113" t="str">
        <f t="shared" si="108"/>
        <v/>
      </c>
      <c r="Q925" s="114" t="str">
        <f t="shared" si="109"/>
        <v/>
      </c>
      <c r="R925" s="115" t="str">
        <f t="shared" si="110"/>
        <v/>
      </c>
      <c r="S925" s="115" t="str">
        <f t="shared" si="111"/>
        <v/>
      </c>
      <c r="T925" s="116" t="str">
        <f t="shared" si="112"/>
        <v/>
      </c>
      <c r="U925" s="120"/>
      <c r="V925" s="118"/>
    </row>
    <row r="926" spans="1:22" ht="13.2">
      <c r="A926" s="102"/>
      <c r="B926" s="102"/>
      <c r="C926" s="104"/>
      <c r="D926" s="105"/>
      <c r="E926" s="106"/>
      <c r="F926" s="107"/>
      <c r="G926" s="108"/>
      <c r="H926" s="109"/>
      <c r="I926" s="110"/>
      <c r="J926" s="110"/>
      <c r="K926" s="119"/>
      <c r="L926" s="111" t="str">
        <f t="shared" si="113"/>
        <v/>
      </c>
      <c r="M926" s="112" t="str">
        <f t="shared" si="113"/>
        <v/>
      </c>
      <c r="N926" s="112" t="str">
        <f t="shared" si="113"/>
        <v/>
      </c>
      <c r="O926" s="112" t="str">
        <f t="shared" si="107"/>
        <v xml:space="preserve"> </v>
      </c>
      <c r="P926" s="113" t="str">
        <f t="shared" si="108"/>
        <v/>
      </c>
      <c r="Q926" s="114" t="str">
        <f t="shared" si="109"/>
        <v/>
      </c>
      <c r="R926" s="115" t="str">
        <f t="shared" si="110"/>
        <v/>
      </c>
      <c r="S926" s="115" t="str">
        <f t="shared" si="111"/>
        <v/>
      </c>
      <c r="T926" s="116" t="str">
        <f t="shared" si="112"/>
        <v/>
      </c>
      <c r="U926" s="120"/>
      <c r="V926" s="118"/>
    </row>
    <row r="927" spans="1:22" ht="13.2">
      <c r="A927" s="102"/>
      <c r="B927" s="102"/>
      <c r="C927" s="104"/>
      <c r="D927" s="105"/>
      <c r="E927" s="106"/>
      <c r="F927" s="107"/>
      <c r="G927" s="108"/>
      <c r="H927" s="109"/>
      <c r="I927" s="110"/>
      <c r="J927" s="110"/>
      <c r="K927" s="119"/>
      <c r="L927" s="111" t="str">
        <f t="shared" si="113"/>
        <v/>
      </c>
      <c r="M927" s="112" t="str">
        <f t="shared" si="113"/>
        <v/>
      </c>
      <c r="N927" s="112" t="str">
        <f t="shared" si="113"/>
        <v/>
      </c>
      <c r="O927" s="112" t="str">
        <f t="shared" si="107"/>
        <v xml:space="preserve"> </v>
      </c>
      <c r="P927" s="113" t="str">
        <f t="shared" si="108"/>
        <v/>
      </c>
      <c r="Q927" s="114" t="str">
        <f t="shared" si="109"/>
        <v/>
      </c>
      <c r="R927" s="115" t="str">
        <f t="shared" si="110"/>
        <v/>
      </c>
      <c r="S927" s="115" t="str">
        <f t="shared" si="111"/>
        <v/>
      </c>
      <c r="T927" s="116" t="str">
        <f t="shared" si="112"/>
        <v/>
      </c>
      <c r="U927" s="120"/>
      <c r="V927" s="118"/>
    </row>
    <row r="928" spans="1:22" ht="13.2">
      <c r="A928" s="102"/>
      <c r="B928" s="102"/>
      <c r="C928" s="104"/>
      <c r="D928" s="105"/>
      <c r="E928" s="106"/>
      <c r="F928" s="107"/>
      <c r="G928" s="108"/>
      <c r="H928" s="109"/>
      <c r="I928" s="110"/>
      <c r="J928" s="110"/>
      <c r="K928" s="119"/>
      <c r="L928" s="111" t="str">
        <f t="shared" si="113"/>
        <v/>
      </c>
      <c r="M928" s="112" t="str">
        <f t="shared" si="113"/>
        <v/>
      </c>
      <c r="N928" s="112" t="str">
        <f t="shared" si="113"/>
        <v/>
      </c>
      <c r="O928" s="112" t="str">
        <f t="shared" si="107"/>
        <v xml:space="preserve"> </v>
      </c>
      <c r="P928" s="113" t="str">
        <f t="shared" si="108"/>
        <v/>
      </c>
      <c r="Q928" s="114" t="str">
        <f t="shared" si="109"/>
        <v/>
      </c>
      <c r="R928" s="115" t="str">
        <f t="shared" si="110"/>
        <v/>
      </c>
      <c r="S928" s="115" t="str">
        <f t="shared" si="111"/>
        <v/>
      </c>
      <c r="T928" s="116" t="str">
        <f t="shared" si="112"/>
        <v/>
      </c>
      <c r="U928" s="120"/>
      <c r="V928" s="118"/>
    </row>
    <row r="929" spans="1:22" ht="13.2">
      <c r="A929" s="102"/>
      <c r="B929" s="103"/>
      <c r="C929" s="104"/>
      <c r="D929" s="105"/>
      <c r="E929" s="106"/>
      <c r="F929" s="107"/>
      <c r="G929" s="108"/>
      <c r="H929" s="121"/>
      <c r="I929" s="122"/>
      <c r="J929" s="122"/>
      <c r="K929" s="123"/>
      <c r="L929" s="111" t="str">
        <f t="shared" si="113"/>
        <v/>
      </c>
      <c r="M929" s="112" t="str">
        <f t="shared" si="113"/>
        <v/>
      </c>
      <c r="N929" s="112" t="str">
        <f t="shared" si="113"/>
        <v/>
      </c>
      <c r="O929" s="112" t="str">
        <f t="shared" si="107"/>
        <v xml:space="preserve"> </v>
      </c>
      <c r="P929" s="113" t="str">
        <f t="shared" si="108"/>
        <v/>
      </c>
      <c r="Q929" s="114" t="str">
        <f t="shared" si="109"/>
        <v/>
      </c>
      <c r="R929" s="115" t="str">
        <f t="shared" si="110"/>
        <v/>
      </c>
      <c r="S929" s="115" t="str">
        <f t="shared" si="111"/>
        <v/>
      </c>
      <c r="T929" s="116" t="str">
        <f t="shared" si="112"/>
        <v/>
      </c>
      <c r="U929" s="120"/>
      <c r="V929" s="118"/>
    </row>
    <row r="930" spans="1:22" ht="13.2">
      <c r="A930" s="102"/>
      <c r="B930" s="103"/>
      <c r="C930" s="104"/>
      <c r="D930" s="105"/>
      <c r="E930" s="106"/>
      <c r="F930" s="107"/>
      <c r="G930" s="108"/>
      <c r="H930" s="121"/>
      <c r="I930" s="122"/>
      <c r="J930" s="122"/>
      <c r="K930" s="123"/>
      <c r="L930" s="111" t="str">
        <f t="shared" si="113"/>
        <v/>
      </c>
      <c r="M930" s="112" t="str">
        <f t="shared" si="113"/>
        <v/>
      </c>
      <c r="N930" s="112" t="str">
        <f t="shared" si="113"/>
        <v/>
      </c>
      <c r="O930" s="112" t="str">
        <f t="shared" si="107"/>
        <v xml:space="preserve"> </v>
      </c>
      <c r="P930" s="113" t="str">
        <f t="shared" si="108"/>
        <v/>
      </c>
      <c r="Q930" s="114" t="str">
        <f t="shared" si="109"/>
        <v/>
      </c>
      <c r="R930" s="115" t="str">
        <f t="shared" si="110"/>
        <v/>
      </c>
      <c r="S930" s="115" t="str">
        <f t="shared" si="111"/>
        <v/>
      </c>
      <c r="T930" s="116" t="str">
        <f t="shared" si="112"/>
        <v/>
      </c>
      <c r="U930" s="120"/>
      <c r="V930" s="118"/>
    </row>
    <row r="931" spans="1:22" ht="13.2">
      <c r="A931" s="102"/>
      <c r="B931" s="103"/>
      <c r="C931" s="104"/>
      <c r="D931" s="105"/>
      <c r="E931" s="106"/>
      <c r="F931" s="107"/>
      <c r="G931" s="108"/>
      <c r="H931" s="121"/>
      <c r="I931" s="122"/>
      <c r="J931" s="122"/>
      <c r="K931" s="123"/>
      <c r="L931" s="111" t="str">
        <f t="shared" si="113"/>
        <v/>
      </c>
      <c r="M931" s="112" t="str">
        <f t="shared" si="113"/>
        <v/>
      </c>
      <c r="N931" s="112" t="str">
        <f t="shared" si="113"/>
        <v/>
      </c>
      <c r="O931" s="112" t="str">
        <f t="shared" si="107"/>
        <v xml:space="preserve"> </v>
      </c>
      <c r="P931" s="113" t="str">
        <f t="shared" si="108"/>
        <v/>
      </c>
      <c r="Q931" s="114" t="str">
        <f t="shared" si="109"/>
        <v/>
      </c>
      <c r="R931" s="115" t="str">
        <f t="shared" si="110"/>
        <v/>
      </c>
      <c r="S931" s="115" t="str">
        <f t="shared" si="111"/>
        <v/>
      </c>
      <c r="T931" s="116" t="str">
        <f t="shared" si="112"/>
        <v/>
      </c>
      <c r="U931" s="120"/>
      <c r="V931" s="118"/>
    </row>
    <row r="932" spans="1:22" ht="13.2">
      <c r="A932" s="102"/>
      <c r="B932" s="102"/>
      <c r="C932" s="103"/>
      <c r="D932" s="105"/>
      <c r="E932" s="106"/>
      <c r="F932" s="107"/>
      <c r="G932" s="108"/>
      <c r="H932" s="109"/>
      <c r="I932" s="110"/>
      <c r="J932" s="110"/>
      <c r="K932" s="119"/>
      <c r="L932" s="111" t="str">
        <f t="shared" si="113"/>
        <v/>
      </c>
      <c r="M932" s="112" t="str">
        <f t="shared" si="113"/>
        <v/>
      </c>
      <c r="N932" s="112" t="str">
        <f t="shared" si="113"/>
        <v/>
      </c>
      <c r="O932" s="112" t="str">
        <f t="shared" si="107"/>
        <v xml:space="preserve"> </v>
      </c>
      <c r="P932" s="113" t="str">
        <f t="shared" si="108"/>
        <v/>
      </c>
      <c r="Q932" s="114" t="str">
        <f t="shared" si="109"/>
        <v/>
      </c>
      <c r="R932" s="115" t="str">
        <f t="shared" si="110"/>
        <v/>
      </c>
      <c r="S932" s="115" t="str">
        <f t="shared" si="111"/>
        <v/>
      </c>
      <c r="T932" s="116" t="str">
        <f t="shared" si="112"/>
        <v/>
      </c>
      <c r="U932" s="120"/>
      <c r="V932" s="118"/>
    </row>
    <row r="933" spans="1:22" ht="13.2">
      <c r="A933" s="102"/>
      <c r="B933" s="102"/>
      <c r="C933" s="103"/>
      <c r="D933" s="105"/>
      <c r="E933" s="106"/>
      <c r="F933" s="107"/>
      <c r="G933" s="108"/>
      <c r="H933" s="109"/>
      <c r="I933" s="110"/>
      <c r="J933" s="110"/>
      <c r="K933" s="119"/>
      <c r="L933" s="111" t="str">
        <f t="shared" si="113"/>
        <v/>
      </c>
      <c r="M933" s="112" t="str">
        <f t="shared" si="113"/>
        <v/>
      </c>
      <c r="N933" s="112" t="str">
        <f t="shared" si="113"/>
        <v/>
      </c>
      <c r="O933" s="112" t="str">
        <f t="shared" si="107"/>
        <v xml:space="preserve"> </v>
      </c>
      <c r="P933" s="113" t="str">
        <f t="shared" si="108"/>
        <v/>
      </c>
      <c r="Q933" s="114" t="str">
        <f t="shared" si="109"/>
        <v/>
      </c>
      <c r="R933" s="115" t="str">
        <f t="shared" si="110"/>
        <v/>
      </c>
      <c r="S933" s="115" t="str">
        <f t="shared" si="111"/>
        <v/>
      </c>
      <c r="T933" s="116" t="str">
        <f t="shared" si="112"/>
        <v/>
      </c>
      <c r="U933" s="120"/>
      <c r="V933" s="118"/>
    </row>
    <row r="934" spans="1:22" ht="13.2">
      <c r="A934" s="102"/>
      <c r="B934" s="102"/>
      <c r="C934" s="104"/>
      <c r="D934" s="105"/>
      <c r="E934" s="106"/>
      <c r="F934" s="107"/>
      <c r="G934" s="108"/>
      <c r="H934" s="109"/>
      <c r="I934" s="110"/>
      <c r="J934" s="110"/>
      <c r="K934" s="119"/>
      <c r="L934" s="111" t="str">
        <f t="shared" si="113"/>
        <v/>
      </c>
      <c r="M934" s="112" t="str">
        <f t="shared" si="113"/>
        <v/>
      </c>
      <c r="N934" s="112" t="str">
        <f t="shared" si="113"/>
        <v/>
      </c>
      <c r="O934" s="112" t="str">
        <f t="shared" si="107"/>
        <v xml:space="preserve"> </v>
      </c>
      <c r="P934" s="113" t="str">
        <f t="shared" si="108"/>
        <v/>
      </c>
      <c r="Q934" s="114" t="str">
        <f t="shared" si="109"/>
        <v/>
      </c>
      <c r="R934" s="115" t="str">
        <f t="shared" si="110"/>
        <v/>
      </c>
      <c r="S934" s="115" t="str">
        <f t="shared" si="111"/>
        <v/>
      </c>
      <c r="T934" s="116" t="str">
        <f t="shared" si="112"/>
        <v/>
      </c>
      <c r="U934" s="120"/>
      <c r="V934" s="118"/>
    </row>
    <row r="935" spans="1:22" ht="13.2">
      <c r="A935" s="102"/>
      <c r="B935" s="102"/>
      <c r="C935" s="104"/>
      <c r="D935" s="105"/>
      <c r="E935" s="106"/>
      <c r="F935" s="107"/>
      <c r="G935" s="108"/>
      <c r="H935" s="109"/>
      <c r="I935" s="110"/>
      <c r="J935" s="110"/>
      <c r="K935" s="119"/>
      <c r="L935" s="111" t="str">
        <f t="shared" si="113"/>
        <v/>
      </c>
      <c r="M935" s="112" t="str">
        <f t="shared" si="113"/>
        <v/>
      </c>
      <c r="N935" s="112" t="str">
        <f t="shared" si="113"/>
        <v/>
      </c>
      <c r="O935" s="112" t="str">
        <f t="shared" si="107"/>
        <v xml:space="preserve"> </v>
      </c>
      <c r="P935" s="113" t="str">
        <f t="shared" si="108"/>
        <v/>
      </c>
      <c r="Q935" s="114" t="str">
        <f t="shared" si="109"/>
        <v/>
      </c>
      <c r="R935" s="115" t="str">
        <f t="shared" si="110"/>
        <v/>
      </c>
      <c r="S935" s="115" t="str">
        <f t="shared" si="111"/>
        <v/>
      </c>
      <c r="T935" s="116" t="str">
        <f t="shared" si="112"/>
        <v/>
      </c>
      <c r="U935" s="120"/>
      <c r="V935" s="118"/>
    </row>
    <row r="936" spans="1:22" ht="13.2">
      <c r="A936" s="102"/>
      <c r="B936" s="102"/>
      <c r="C936" s="104"/>
      <c r="D936" s="105"/>
      <c r="E936" s="106"/>
      <c r="F936" s="107"/>
      <c r="G936" s="108"/>
      <c r="H936" s="109"/>
      <c r="I936" s="110"/>
      <c r="J936" s="110"/>
      <c r="K936" s="119"/>
      <c r="L936" s="111" t="str">
        <f t="shared" si="113"/>
        <v/>
      </c>
      <c r="M936" s="112" t="str">
        <f t="shared" si="113"/>
        <v/>
      </c>
      <c r="N936" s="112" t="str">
        <f t="shared" si="113"/>
        <v/>
      </c>
      <c r="O936" s="112" t="str">
        <f t="shared" si="107"/>
        <v xml:space="preserve"> </v>
      </c>
      <c r="P936" s="113" t="str">
        <f t="shared" si="108"/>
        <v/>
      </c>
      <c r="Q936" s="114" t="str">
        <f t="shared" si="109"/>
        <v/>
      </c>
      <c r="R936" s="115" t="str">
        <f t="shared" si="110"/>
        <v/>
      </c>
      <c r="S936" s="115" t="str">
        <f t="shared" si="111"/>
        <v/>
      </c>
      <c r="T936" s="116" t="str">
        <f t="shared" si="112"/>
        <v/>
      </c>
      <c r="U936" s="120"/>
      <c r="V936" s="118"/>
    </row>
    <row r="937" spans="1:22" ht="13.2">
      <c r="A937" s="102"/>
      <c r="B937" s="102"/>
      <c r="C937" s="104"/>
      <c r="D937" s="105"/>
      <c r="E937" s="106"/>
      <c r="F937" s="107"/>
      <c r="G937" s="108"/>
      <c r="H937" s="109"/>
      <c r="I937" s="110"/>
      <c r="J937" s="110"/>
      <c r="K937" s="119"/>
      <c r="L937" s="111" t="str">
        <f t="shared" si="113"/>
        <v/>
      </c>
      <c r="M937" s="112" t="str">
        <f t="shared" si="113"/>
        <v/>
      </c>
      <c r="N937" s="112" t="str">
        <f t="shared" si="113"/>
        <v/>
      </c>
      <c r="O937" s="112" t="str">
        <f t="shared" si="107"/>
        <v xml:space="preserve"> </v>
      </c>
      <c r="P937" s="113" t="str">
        <f t="shared" si="108"/>
        <v/>
      </c>
      <c r="Q937" s="114" t="str">
        <f t="shared" si="109"/>
        <v/>
      </c>
      <c r="R937" s="115" t="str">
        <f t="shared" si="110"/>
        <v/>
      </c>
      <c r="S937" s="115" t="str">
        <f t="shared" si="111"/>
        <v/>
      </c>
      <c r="T937" s="116" t="str">
        <f t="shared" si="112"/>
        <v/>
      </c>
      <c r="U937" s="120"/>
      <c r="V937" s="118"/>
    </row>
    <row r="938" spans="1:22" ht="13.2">
      <c r="A938" s="102"/>
      <c r="B938" s="102"/>
      <c r="C938" s="104"/>
      <c r="D938" s="105"/>
      <c r="E938" s="106"/>
      <c r="F938" s="107"/>
      <c r="G938" s="108"/>
      <c r="H938" s="109"/>
      <c r="I938" s="110"/>
      <c r="J938" s="110"/>
      <c r="K938" s="119"/>
      <c r="L938" s="111" t="str">
        <f t="shared" si="113"/>
        <v/>
      </c>
      <c r="M938" s="112" t="str">
        <f t="shared" si="113"/>
        <v/>
      </c>
      <c r="N938" s="112" t="str">
        <f t="shared" si="113"/>
        <v/>
      </c>
      <c r="O938" s="112" t="str">
        <f t="shared" si="107"/>
        <v xml:space="preserve"> </v>
      </c>
      <c r="P938" s="113" t="str">
        <f t="shared" si="108"/>
        <v/>
      </c>
      <c r="Q938" s="114" t="str">
        <f t="shared" si="109"/>
        <v/>
      </c>
      <c r="R938" s="115" t="str">
        <f t="shared" si="110"/>
        <v/>
      </c>
      <c r="S938" s="115" t="str">
        <f t="shared" si="111"/>
        <v/>
      </c>
      <c r="T938" s="116" t="str">
        <f t="shared" si="112"/>
        <v/>
      </c>
      <c r="U938" s="120"/>
      <c r="V938" s="118"/>
    </row>
    <row r="939" spans="1:22" ht="13.2">
      <c r="A939" s="102"/>
      <c r="B939" s="102"/>
      <c r="C939" s="104"/>
      <c r="D939" s="105"/>
      <c r="E939" s="106"/>
      <c r="F939" s="107"/>
      <c r="G939" s="108"/>
      <c r="H939" s="109"/>
      <c r="I939" s="110"/>
      <c r="J939" s="110"/>
      <c r="K939" s="110"/>
      <c r="L939" s="111" t="str">
        <f t="shared" si="113"/>
        <v/>
      </c>
      <c r="M939" s="112" t="str">
        <f t="shared" si="113"/>
        <v/>
      </c>
      <c r="N939" s="112" t="str">
        <f t="shared" si="113"/>
        <v/>
      </c>
      <c r="O939" s="112" t="str">
        <f t="shared" si="107"/>
        <v xml:space="preserve"> </v>
      </c>
      <c r="P939" s="113" t="str">
        <f t="shared" si="108"/>
        <v/>
      </c>
      <c r="Q939" s="114" t="str">
        <f t="shared" si="109"/>
        <v/>
      </c>
      <c r="R939" s="115" t="str">
        <f t="shared" si="110"/>
        <v/>
      </c>
      <c r="S939" s="115" t="str">
        <f t="shared" si="111"/>
        <v/>
      </c>
      <c r="T939" s="116" t="str">
        <f t="shared" si="112"/>
        <v/>
      </c>
      <c r="U939" s="120"/>
      <c r="V939" s="118"/>
    </row>
    <row r="940" spans="1:22" ht="13.2">
      <c r="A940" s="102"/>
      <c r="B940" s="102"/>
      <c r="C940" s="104"/>
      <c r="D940" s="105"/>
      <c r="E940" s="106"/>
      <c r="F940" s="107"/>
      <c r="G940" s="108"/>
      <c r="H940" s="109"/>
      <c r="I940" s="110"/>
      <c r="J940" s="110"/>
      <c r="K940" s="119"/>
      <c r="L940" s="111" t="str">
        <f t="shared" si="113"/>
        <v/>
      </c>
      <c r="M940" s="112" t="str">
        <f t="shared" si="113"/>
        <v/>
      </c>
      <c r="N940" s="112" t="str">
        <f t="shared" si="113"/>
        <v/>
      </c>
      <c r="O940" s="112" t="str">
        <f t="shared" si="107"/>
        <v xml:space="preserve"> </v>
      </c>
      <c r="P940" s="113" t="str">
        <f t="shared" si="108"/>
        <v/>
      </c>
      <c r="Q940" s="114" t="str">
        <f t="shared" si="109"/>
        <v/>
      </c>
      <c r="R940" s="115" t="str">
        <f t="shared" si="110"/>
        <v/>
      </c>
      <c r="S940" s="115" t="str">
        <f t="shared" si="111"/>
        <v/>
      </c>
      <c r="T940" s="116" t="str">
        <f t="shared" si="112"/>
        <v/>
      </c>
      <c r="U940" s="120"/>
      <c r="V940" s="118"/>
    </row>
    <row r="941" spans="1:22" ht="13.2">
      <c r="A941" s="102"/>
      <c r="B941" s="102"/>
      <c r="C941" s="104"/>
      <c r="D941" s="105"/>
      <c r="E941" s="106"/>
      <c r="F941" s="107"/>
      <c r="G941" s="108"/>
      <c r="H941" s="109"/>
      <c r="I941" s="110"/>
      <c r="J941" s="110"/>
      <c r="K941" s="119"/>
      <c r="L941" s="111" t="str">
        <f t="shared" si="113"/>
        <v/>
      </c>
      <c r="M941" s="112" t="str">
        <f t="shared" si="113"/>
        <v/>
      </c>
      <c r="N941" s="112" t="str">
        <f t="shared" si="113"/>
        <v/>
      </c>
      <c r="O941" s="112" t="str">
        <f t="shared" si="107"/>
        <v xml:space="preserve"> </v>
      </c>
      <c r="P941" s="113" t="str">
        <f t="shared" si="108"/>
        <v/>
      </c>
      <c r="Q941" s="114" t="str">
        <f t="shared" si="109"/>
        <v/>
      </c>
      <c r="R941" s="115" t="str">
        <f t="shared" si="110"/>
        <v/>
      </c>
      <c r="S941" s="115" t="str">
        <f t="shared" si="111"/>
        <v/>
      </c>
      <c r="T941" s="116" t="str">
        <f t="shared" si="112"/>
        <v/>
      </c>
      <c r="U941" s="120"/>
      <c r="V941" s="118"/>
    </row>
    <row r="942" spans="1:22" ht="13.2">
      <c r="A942" s="102"/>
      <c r="B942" s="102"/>
      <c r="C942" s="104"/>
      <c r="D942" s="105"/>
      <c r="E942" s="106"/>
      <c r="F942" s="107"/>
      <c r="G942" s="108"/>
      <c r="H942" s="109"/>
      <c r="I942" s="110"/>
      <c r="J942" s="110"/>
      <c r="K942" s="119"/>
      <c r="L942" s="111" t="str">
        <f t="shared" si="113"/>
        <v/>
      </c>
      <c r="M942" s="112" t="str">
        <f t="shared" si="113"/>
        <v/>
      </c>
      <c r="N942" s="112" t="str">
        <f t="shared" si="113"/>
        <v/>
      </c>
      <c r="O942" s="112" t="str">
        <f t="shared" si="107"/>
        <v xml:space="preserve"> </v>
      </c>
      <c r="P942" s="113" t="str">
        <f t="shared" si="108"/>
        <v/>
      </c>
      <c r="Q942" s="114" t="str">
        <f t="shared" si="109"/>
        <v/>
      </c>
      <c r="R942" s="115" t="str">
        <f t="shared" si="110"/>
        <v/>
      </c>
      <c r="S942" s="115" t="str">
        <f t="shared" si="111"/>
        <v/>
      </c>
      <c r="T942" s="116" t="str">
        <f t="shared" si="112"/>
        <v/>
      </c>
      <c r="U942" s="120"/>
      <c r="V942" s="118"/>
    </row>
    <row r="943" spans="1:22" ht="13.2">
      <c r="A943" s="102"/>
      <c r="B943" s="102"/>
      <c r="C943" s="104"/>
      <c r="D943" s="105"/>
      <c r="E943" s="106"/>
      <c r="F943" s="107"/>
      <c r="G943" s="108"/>
      <c r="H943" s="109"/>
      <c r="I943" s="110"/>
      <c r="J943" s="110"/>
      <c r="K943" s="119"/>
      <c r="L943" s="111" t="str">
        <f t="shared" si="113"/>
        <v/>
      </c>
      <c r="M943" s="112" t="str">
        <f t="shared" si="113"/>
        <v/>
      </c>
      <c r="N943" s="112" t="str">
        <f t="shared" si="113"/>
        <v/>
      </c>
      <c r="O943" s="112" t="str">
        <f t="shared" si="107"/>
        <v xml:space="preserve"> </v>
      </c>
      <c r="P943" s="113" t="str">
        <f t="shared" si="108"/>
        <v/>
      </c>
      <c r="Q943" s="114" t="str">
        <f t="shared" si="109"/>
        <v/>
      </c>
      <c r="R943" s="115" t="str">
        <f t="shared" si="110"/>
        <v/>
      </c>
      <c r="S943" s="115" t="str">
        <f t="shared" si="111"/>
        <v/>
      </c>
      <c r="T943" s="116" t="str">
        <f t="shared" si="112"/>
        <v/>
      </c>
      <c r="U943" s="120"/>
      <c r="V943" s="118"/>
    </row>
    <row r="944" spans="1:22" ht="13.2">
      <c r="A944" s="102"/>
      <c r="B944" s="103"/>
      <c r="C944" s="104"/>
      <c r="D944" s="105"/>
      <c r="E944" s="106"/>
      <c r="F944" s="107"/>
      <c r="G944" s="108"/>
      <c r="H944" s="121"/>
      <c r="I944" s="122"/>
      <c r="J944" s="122"/>
      <c r="K944" s="123"/>
      <c r="L944" s="111" t="str">
        <f t="shared" si="113"/>
        <v/>
      </c>
      <c r="M944" s="112" t="str">
        <f t="shared" si="113"/>
        <v/>
      </c>
      <c r="N944" s="112" t="str">
        <f t="shared" si="113"/>
        <v/>
      </c>
      <c r="O944" s="112" t="str">
        <f t="shared" si="107"/>
        <v xml:space="preserve"> </v>
      </c>
      <c r="P944" s="113" t="str">
        <f t="shared" si="108"/>
        <v/>
      </c>
      <c r="Q944" s="114" t="str">
        <f t="shared" si="109"/>
        <v/>
      </c>
      <c r="R944" s="115" t="str">
        <f t="shared" si="110"/>
        <v/>
      </c>
      <c r="S944" s="115" t="str">
        <f t="shared" si="111"/>
        <v/>
      </c>
      <c r="T944" s="116" t="str">
        <f t="shared" si="112"/>
        <v/>
      </c>
      <c r="U944" s="120"/>
      <c r="V944" s="118"/>
    </row>
    <row r="945" spans="1:22" ht="13.2">
      <c r="A945" s="102"/>
      <c r="B945" s="103"/>
      <c r="C945" s="104"/>
      <c r="D945" s="105"/>
      <c r="E945" s="106"/>
      <c r="F945" s="107"/>
      <c r="G945" s="108"/>
      <c r="H945" s="121"/>
      <c r="I945" s="122"/>
      <c r="J945" s="122"/>
      <c r="K945" s="123"/>
      <c r="L945" s="111" t="str">
        <f t="shared" si="113"/>
        <v/>
      </c>
      <c r="M945" s="112" t="str">
        <f t="shared" si="113"/>
        <v/>
      </c>
      <c r="N945" s="112" t="str">
        <f t="shared" si="113"/>
        <v/>
      </c>
      <c r="O945" s="112" t="str">
        <f t="shared" si="107"/>
        <v xml:space="preserve"> </v>
      </c>
      <c r="P945" s="113" t="str">
        <f t="shared" si="108"/>
        <v/>
      </c>
      <c r="Q945" s="114" t="str">
        <f t="shared" si="109"/>
        <v/>
      </c>
      <c r="R945" s="115" t="str">
        <f t="shared" si="110"/>
        <v/>
      </c>
      <c r="S945" s="115" t="str">
        <f t="shared" si="111"/>
        <v/>
      </c>
      <c r="T945" s="116" t="str">
        <f t="shared" si="112"/>
        <v/>
      </c>
      <c r="U945" s="120"/>
      <c r="V945" s="118"/>
    </row>
    <row r="946" spans="1:22" ht="13.2">
      <c r="A946" s="102"/>
      <c r="B946" s="103"/>
      <c r="C946" s="104"/>
      <c r="D946" s="105"/>
      <c r="E946" s="106"/>
      <c r="F946" s="107"/>
      <c r="G946" s="108"/>
      <c r="H946" s="121"/>
      <c r="I946" s="122"/>
      <c r="J946" s="122"/>
      <c r="K946" s="123"/>
      <c r="L946" s="111" t="str">
        <f t="shared" si="113"/>
        <v/>
      </c>
      <c r="M946" s="112" t="str">
        <f t="shared" si="113"/>
        <v/>
      </c>
      <c r="N946" s="112" t="str">
        <f t="shared" si="113"/>
        <v/>
      </c>
      <c r="O946" s="112" t="str">
        <f t="shared" si="107"/>
        <v xml:space="preserve"> </v>
      </c>
      <c r="P946" s="113" t="str">
        <f t="shared" si="108"/>
        <v/>
      </c>
      <c r="Q946" s="114" t="str">
        <f t="shared" si="109"/>
        <v/>
      </c>
      <c r="R946" s="115" t="str">
        <f t="shared" si="110"/>
        <v/>
      </c>
      <c r="S946" s="115" t="str">
        <f t="shared" si="111"/>
        <v/>
      </c>
      <c r="T946" s="116" t="str">
        <f t="shared" si="112"/>
        <v/>
      </c>
      <c r="U946" s="120"/>
      <c r="V946" s="118"/>
    </row>
    <row r="947" spans="1:22" ht="13.2">
      <c r="A947" s="102"/>
      <c r="B947" s="102"/>
      <c r="C947" s="103"/>
      <c r="D947" s="105"/>
      <c r="E947" s="106"/>
      <c r="F947" s="107"/>
      <c r="G947" s="108"/>
      <c r="H947" s="109"/>
      <c r="I947" s="110"/>
      <c r="J947" s="110"/>
      <c r="K947" s="119"/>
      <c r="L947" s="111" t="str">
        <f t="shared" si="113"/>
        <v/>
      </c>
      <c r="M947" s="112" t="str">
        <f t="shared" si="113"/>
        <v/>
      </c>
      <c r="N947" s="112" t="str">
        <f t="shared" si="113"/>
        <v/>
      </c>
      <c r="O947" s="112" t="str">
        <f t="shared" si="107"/>
        <v xml:space="preserve"> </v>
      </c>
      <c r="P947" s="113" t="str">
        <f t="shared" si="108"/>
        <v/>
      </c>
      <c r="Q947" s="114" t="str">
        <f t="shared" si="109"/>
        <v/>
      </c>
      <c r="R947" s="115" t="str">
        <f t="shared" si="110"/>
        <v/>
      </c>
      <c r="S947" s="115" t="str">
        <f t="shared" si="111"/>
        <v/>
      </c>
      <c r="T947" s="116" t="str">
        <f t="shared" si="112"/>
        <v/>
      </c>
      <c r="U947" s="120"/>
      <c r="V947" s="118"/>
    </row>
    <row r="948" spans="1:22" ht="13.2">
      <c r="A948" s="102"/>
      <c r="B948" s="102"/>
      <c r="C948" s="103"/>
      <c r="D948" s="105"/>
      <c r="E948" s="106"/>
      <c r="F948" s="107"/>
      <c r="G948" s="108"/>
      <c r="H948" s="109"/>
      <c r="I948" s="110"/>
      <c r="J948" s="110"/>
      <c r="K948" s="119"/>
      <c r="L948" s="111" t="str">
        <f t="shared" si="113"/>
        <v/>
      </c>
      <c r="M948" s="112" t="str">
        <f t="shared" si="113"/>
        <v/>
      </c>
      <c r="N948" s="112" t="str">
        <f t="shared" si="113"/>
        <v/>
      </c>
      <c r="O948" s="112" t="str">
        <f t="shared" si="107"/>
        <v xml:space="preserve"> </v>
      </c>
      <c r="P948" s="113" t="str">
        <f t="shared" si="108"/>
        <v/>
      </c>
      <c r="Q948" s="114" t="str">
        <f t="shared" si="109"/>
        <v/>
      </c>
      <c r="R948" s="115" t="str">
        <f t="shared" si="110"/>
        <v/>
      </c>
      <c r="S948" s="115" t="str">
        <f t="shared" si="111"/>
        <v/>
      </c>
      <c r="T948" s="116" t="str">
        <f t="shared" si="112"/>
        <v/>
      </c>
      <c r="U948" s="120"/>
      <c r="V948" s="118"/>
    </row>
    <row r="949" spans="1:22" ht="13.2">
      <c r="A949" s="102"/>
      <c r="B949" s="102"/>
      <c r="C949" s="104"/>
      <c r="D949" s="105"/>
      <c r="E949" s="106"/>
      <c r="F949" s="107"/>
      <c r="G949" s="108"/>
      <c r="H949" s="109"/>
      <c r="I949" s="110"/>
      <c r="J949" s="110"/>
      <c r="K949" s="119"/>
      <c r="L949" s="111" t="str">
        <f t="shared" si="113"/>
        <v/>
      </c>
      <c r="M949" s="112" t="str">
        <f t="shared" si="113"/>
        <v/>
      </c>
      <c r="N949" s="112" t="str">
        <f t="shared" si="113"/>
        <v/>
      </c>
      <c r="O949" s="112" t="str">
        <f t="shared" si="107"/>
        <v xml:space="preserve"> </v>
      </c>
      <c r="P949" s="113" t="str">
        <f t="shared" si="108"/>
        <v/>
      </c>
      <c r="Q949" s="114" t="str">
        <f t="shared" si="109"/>
        <v/>
      </c>
      <c r="R949" s="115" t="str">
        <f t="shared" si="110"/>
        <v/>
      </c>
      <c r="S949" s="115" t="str">
        <f t="shared" si="111"/>
        <v/>
      </c>
      <c r="T949" s="116" t="str">
        <f t="shared" si="112"/>
        <v/>
      </c>
      <c r="U949" s="120"/>
      <c r="V949" s="118"/>
    </row>
    <row r="950" spans="1:22" ht="13.2">
      <c r="A950" s="102"/>
      <c r="B950" s="102"/>
      <c r="C950" s="104"/>
      <c r="D950" s="105"/>
      <c r="E950" s="106"/>
      <c r="F950" s="107"/>
      <c r="G950" s="108"/>
      <c r="H950" s="109"/>
      <c r="I950" s="110"/>
      <c r="J950" s="110"/>
      <c r="K950" s="119"/>
      <c r="L950" s="111" t="str">
        <f t="shared" si="113"/>
        <v/>
      </c>
      <c r="M950" s="112" t="str">
        <f t="shared" si="113"/>
        <v/>
      </c>
      <c r="N950" s="112" t="str">
        <f t="shared" si="113"/>
        <v/>
      </c>
      <c r="O950" s="112" t="str">
        <f t="shared" si="107"/>
        <v xml:space="preserve"> </v>
      </c>
      <c r="P950" s="113" t="str">
        <f t="shared" si="108"/>
        <v/>
      </c>
      <c r="Q950" s="114" t="str">
        <f t="shared" si="109"/>
        <v/>
      </c>
      <c r="R950" s="115" t="str">
        <f t="shared" si="110"/>
        <v/>
      </c>
      <c r="S950" s="115" t="str">
        <f t="shared" si="111"/>
        <v/>
      </c>
      <c r="T950" s="116" t="str">
        <f t="shared" si="112"/>
        <v/>
      </c>
      <c r="U950" s="120"/>
      <c r="V950" s="118"/>
    </row>
    <row r="951" spans="1:22" ht="13.2">
      <c r="A951" s="102"/>
      <c r="B951" s="102"/>
      <c r="C951" s="104"/>
      <c r="D951" s="105"/>
      <c r="E951" s="106"/>
      <c r="F951" s="107"/>
      <c r="G951" s="108"/>
      <c r="H951" s="109"/>
      <c r="I951" s="110"/>
      <c r="J951" s="110"/>
      <c r="K951" s="119"/>
      <c r="L951" s="111" t="str">
        <f t="shared" si="113"/>
        <v/>
      </c>
      <c r="M951" s="112" t="str">
        <f t="shared" si="113"/>
        <v/>
      </c>
      <c r="N951" s="112" t="str">
        <f t="shared" si="113"/>
        <v/>
      </c>
      <c r="O951" s="112" t="str">
        <f t="shared" si="107"/>
        <v xml:space="preserve"> </v>
      </c>
      <c r="P951" s="113" t="str">
        <f t="shared" si="108"/>
        <v/>
      </c>
      <c r="Q951" s="114" t="str">
        <f t="shared" si="109"/>
        <v/>
      </c>
      <c r="R951" s="115" t="str">
        <f t="shared" si="110"/>
        <v/>
      </c>
      <c r="S951" s="115" t="str">
        <f t="shared" si="111"/>
        <v/>
      </c>
      <c r="T951" s="116" t="str">
        <f t="shared" si="112"/>
        <v/>
      </c>
      <c r="U951" s="120"/>
      <c r="V951" s="118"/>
    </row>
    <row r="952" spans="1:22" ht="13.2">
      <c r="A952" s="102"/>
      <c r="B952" s="102"/>
      <c r="C952" s="104"/>
      <c r="D952" s="105"/>
      <c r="E952" s="106"/>
      <c r="F952" s="107"/>
      <c r="G952" s="108"/>
      <c r="H952" s="109"/>
      <c r="I952" s="110"/>
      <c r="J952" s="110"/>
      <c r="K952" s="119"/>
      <c r="L952" s="111" t="str">
        <f t="shared" si="113"/>
        <v/>
      </c>
      <c r="M952" s="112" t="str">
        <f t="shared" si="113"/>
        <v/>
      </c>
      <c r="N952" s="112" t="str">
        <f t="shared" si="113"/>
        <v/>
      </c>
      <c r="O952" s="112" t="str">
        <f t="shared" si="107"/>
        <v xml:space="preserve"> </v>
      </c>
      <c r="P952" s="113" t="str">
        <f t="shared" si="108"/>
        <v/>
      </c>
      <c r="Q952" s="114" t="str">
        <f t="shared" si="109"/>
        <v/>
      </c>
      <c r="R952" s="115" t="str">
        <f t="shared" si="110"/>
        <v/>
      </c>
      <c r="S952" s="115" t="str">
        <f t="shared" si="111"/>
        <v/>
      </c>
      <c r="T952" s="116" t="str">
        <f t="shared" si="112"/>
        <v/>
      </c>
      <c r="U952" s="120"/>
      <c r="V952" s="118"/>
    </row>
    <row r="953" spans="1:22" ht="13.2">
      <c r="A953" s="102"/>
      <c r="B953" s="102"/>
      <c r="C953" s="104"/>
      <c r="D953" s="105"/>
      <c r="E953" s="106"/>
      <c r="F953" s="107"/>
      <c r="G953" s="108"/>
      <c r="H953" s="109"/>
      <c r="I953" s="110"/>
      <c r="J953" s="110"/>
      <c r="K953" s="119"/>
      <c r="L953" s="111" t="str">
        <f t="shared" si="113"/>
        <v/>
      </c>
      <c r="M953" s="112" t="str">
        <f t="shared" si="113"/>
        <v/>
      </c>
      <c r="N953" s="112" t="str">
        <f t="shared" si="113"/>
        <v/>
      </c>
      <c r="O953" s="112" t="str">
        <f t="shared" si="107"/>
        <v xml:space="preserve"> </v>
      </c>
      <c r="P953" s="113" t="str">
        <f t="shared" si="108"/>
        <v/>
      </c>
      <c r="Q953" s="114" t="str">
        <f t="shared" si="109"/>
        <v/>
      </c>
      <c r="R953" s="115" t="str">
        <f t="shared" si="110"/>
        <v/>
      </c>
      <c r="S953" s="115" t="str">
        <f t="shared" si="111"/>
        <v/>
      </c>
      <c r="T953" s="116" t="str">
        <f t="shared" si="112"/>
        <v/>
      </c>
      <c r="U953" s="120"/>
      <c r="V953" s="118"/>
    </row>
    <row r="954" spans="1:22" ht="13.2">
      <c r="A954" s="102"/>
      <c r="B954" s="102"/>
      <c r="C954" s="104"/>
      <c r="D954" s="105"/>
      <c r="E954" s="106"/>
      <c r="F954" s="107"/>
      <c r="G954" s="108"/>
      <c r="H954" s="109"/>
      <c r="I954" s="110"/>
      <c r="J954" s="110"/>
      <c r="K954" s="110"/>
      <c r="L954" s="111" t="str">
        <f t="shared" si="113"/>
        <v/>
      </c>
      <c r="M954" s="112" t="str">
        <f t="shared" si="113"/>
        <v/>
      </c>
      <c r="N954" s="112" t="str">
        <f t="shared" si="113"/>
        <v/>
      </c>
      <c r="O954" s="112" t="str">
        <f t="shared" si="107"/>
        <v xml:space="preserve"> </v>
      </c>
      <c r="P954" s="113" t="str">
        <f t="shared" si="108"/>
        <v/>
      </c>
      <c r="Q954" s="114" t="str">
        <f t="shared" si="109"/>
        <v/>
      </c>
      <c r="R954" s="115" t="str">
        <f t="shared" si="110"/>
        <v/>
      </c>
      <c r="S954" s="115" t="str">
        <f t="shared" si="111"/>
        <v/>
      </c>
      <c r="T954" s="116" t="str">
        <f t="shared" si="112"/>
        <v/>
      </c>
      <c r="U954" s="120"/>
      <c r="V954" s="118"/>
    </row>
    <row r="955" spans="1:22" ht="13.2">
      <c r="A955" s="102"/>
      <c r="B955" s="102"/>
      <c r="C955" s="104"/>
      <c r="D955" s="105"/>
      <c r="E955" s="106"/>
      <c r="F955" s="107"/>
      <c r="G955" s="108"/>
      <c r="H955" s="109"/>
      <c r="I955" s="110"/>
      <c r="J955" s="110"/>
      <c r="K955" s="119"/>
      <c r="L955" s="111" t="str">
        <f t="shared" si="113"/>
        <v/>
      </c>
      <c r="M955" s="112" t="str">
        <f t="shared" si="113"/>
        <v/>
      </c>
      <c r="N955" s="112" t="str">
        <f t="shared" si="113"/>
        <v/>
      </c>
      <c r="O955" s="112" t="str">
        <f t="shared" si="107"/>
        <v xml:space="preserve"> </v>
      </c>
      <c r="P955" s="113" t="str">
        <f t="shared" si="108"/>
        <v/>
      </c>
      <c r="Q955" s="114" t="str">
        <f t="shared" si="109"/>
        <v/>
      </c>
      <c r="R955" s="115" t="str">
        <f t="shared" si="110"/>
        <v/>
      </c>
      <c r="S955" s="115" t="str">
        <f t="shared" si="111"/>
        <v/>
      </c>
      <c r="T955" s="116" t="str">
        <f t="shared" si="112"/>
        <v/>
      </c>
      <c r="U955" s="120"/>
      <c r="V955" s="118"/>
    </row>
    <row r="956" spans="1:22" ht="13.2">
      <c r="A956" s="102"/>
      <c r="B956" s="102"/>
      <c r="C956" s="104"/>
      <c r="D956" s="105"/>
      <c r="E956" s="106"/>
      <c r="F956" s="107"/>
      <c r="G956" s="108"/>
      <c r="H956" s="109"/>
      <c r="I956" s="110"/>
      <c r="J956" s="110"/>
      <c r="K956" s="119"/>
      <c r="L956" s="111" t="str">
        <f t="shared" si="113"/>
        <v/>
      </c>
      <c r="M956" s="112" t="str">
        <f t="shared" si="113"/>
        <v/>
      </c>
      <c r="N956" s="112" t="str">
        <f t="shared" si="113"/>
        <v/>
      </c>
      <c r="O956" s="112" t="str">
        <f t="shared" si="107"/>
        <v xml:space="preserve"> </v>
      </c>
      <c r="P956" s="113" t="str">
        <f t="shared" si="108"/>
        <v/>
      </c>
      <c r="Q956" s="114" t="str">
        <f t="shared" si="109"/>
        <v/>
      </c>
      <c r="R956" s="115" t="str">
        <f t="shared" si="110"/>
        <v/>
      </c>
      <c r="S956" s="115" t="str">
        <f t="shared" si="111"/>
        <v/>
      </c>
      <c r="T956" s="116" t="str">
        <f t="shared" si="112"/>
        <v/>
      </c>
      <c r="U956" s="120"/>
      <c r="V956" s="118"/>
    </row>
    <row r="957" spans="1:22" ht="13.2">
      <c r="A957" s="102"/>
      <c r="B957" s="102"/>
      <c r="C957" s="104"/>
      <c r="D957" s="105"/>
      <c r="E957" s="106"/>
      <c r="F957" s="107"/>
      <c r="G957" s="108"/>
      <c r="H957" s="109"/>
      <c r="I957" s="110"/>
      <c r="J957" s="110"/>
      <c r="K957" s="119"/>
      <c r="L957" s="111" t="str">
        <f t="shared" si="113"/>
        <v/>
      </c>
      <c r="M957" s="112" t="str">
        <f t="shared" si="113"/>
        <v/>
      </c>
      <c r="N957" s="112" t="str">
        <f t="shared" si="113"/>
        <v/>
      </c>
      <c r="O957" s="112" t="str">
        <f t="shared" si="107"/>
        <v xml:space="preserve"> </v>
      </c>
      <c r="P957" s="113" t="str">
        <f t="shared" si="108"/>
        <v/>
      </c>
      <c r="Q957" s="114" t="str">
        <f t="shared" si="109"/>
        <v/>
      </c>
      <c r="R957" s="115" t="str">
        <f t="shared" si="110"/>
        <v/>
      </c>
      <c r="S957" s="115" t="str">
        <f t="shared" si="111"/>
        <v/>
      </c>
      <c r="T957" s="116" t="str">
        <f t="shared" si="112"/>
        <v/>
      </c>
      <c r="U957" s="120"/>
      <c r="V957" s="118"/>
    </row>
    <row r="958" spans="1:22" ht="13.2">
      <c r="A958" s="102"/>
      <c r="B958" s="102"/>
      <c r="C958" s="104"/>
      <c r="D958" s="105"/>
      <c r="E958" s="106"/>
      <c r="F958" s="107"/>
      <c r="G958" s="108"/>
      <c r="H958" s="109"/>
      <c r="I958" s="110"/>
      <c r="J958" s="110"/>
      <c r="K958" s="119"/>
      <c r="L958" s="111" t="str">
        <f t="shared" si="113"/>
        <v/>
      </c>
      <c r="M958" s="112" t="str">
        <f t="shared" si="113"/>
        <v/>
      </c>
      <c r="N958" s="112" t="str">
        <f t="shared" si="113"/>
        <v/>
      </c>
      <c r="O958" s="112" t="str">
        <f t="shared" ref="O958:O973" si="114">IF(ISERR(I958/I958)=TRUE," ",AVERAGE(I958:K958))</f>
        <v xml:space="preserve"> </v>
      </c>
      <c r="P958" s="113" t="str">
        <f t="shared" ref="P958:P973" si="115">IF(ISBLANK($E958),"",IF(ISNUMBER(F958)=FALSE,"BAD TOL", IF(F958=0,"N/A",IF(ISERR(I958/I958)=TRUE,"BAD INSP",IF(AND(ISNUMBER($I958),ISNUMBER($J958),ISNUMBER($K958))=FALSE,"BAD INSP",IF(MAX($I958:$K958)&lt;$E958,0,(MAX($I958:$K958)-$E958)/$F958))))))</f>
        <v/>
      </c>
      <c r="Q958" s="114" t="str">
        <f t="shared" ref="Q958:Q973" si="116">IF(ISBLANK($E958),"",IF(ISNUMBER(G958)=FALSE,"BAD TOL",IF(G958=0,"N/A",IF(ISERR(I958/I958)=TRUE,"BAD INSP",IF(AND(ISNUMBER($I958),ISNUMBER($J958),ISNUMBER($K958))=FALSE,"BAD INSP",IF(MIN(I958:K958)&gt;$E958,0,($E958-MIN(I958:K958))/G958))))))</f>
        <v/>
      </c>
      <c r="R958" s="115" t="str">
        <f t="shared" ref="R958:R973" si="117">IF(ISBLANK($E958),"",IF(ISNUMBER($P958)=TRUE,IF($P958&gt;0.651,IF($P958&gt;1.001,"Reject","Alert")," "),IF(AND(F958=0, ISNUMBER(F958)),IF(MAX(I958:K958)&gt;(E958+F958),"Reject",IF(MAX(I958:K958)=(E958+F958),"Alert","")),"Reject")))</f>
        <v/>
      </c>
      <c r="S958" s="115" t="str">
        <f t="shared" ref="S958:S973" si="118">IF(ISBLANK($E958),"",IF(ISNUMBER($Q958)=TRUE,IF($Q958&gt;0.651,IF($Q958&gt;1.001,"Reject","Alert")," "),IF(AND(G958=0, ISNUMBER(G958)),IF(MIN(I958:K958)&lt;(E958-G958),"Reject",IF(MIN(I958:K958)=(E958-G958),"Alert","")),"Reject")))</f>
        <v/>
      </c>
      <c r="T958" s="116" t="str">
        <f t="shared" ref="T958:T973" si="119">IF(OR(R958="Reject",S958="Reject"),"Reject",IF(OR(R958="Alert",S958="Alert"),"Alert", ""))</f>
        <v/>
      </c>
      <c r="U958" s="120"/>
      <c r="V958" s="118"/>
    </row>
    <row r="959" spans="1:22" ht="13.2">
      <c r="A959" s="102"/>
      <c r="B959" s="103"/>
      <c r="C959" s="104"/>
      <c r="D959" s="105"/>
      <c r="E959" s="106"/>
      <c r="F959" s="107"/>
      <c r="G959" s="108"/>
      <c r="H959" s="121"/>
      <c r="I959" s="122"/>
      <c r="J959" s="122"/>
      <c r="K959" s="123"/>
      <c r="L959" s="111" t="str">
        <f t="shared" si="113"/>
        <v/>
      </c>
      <c r="M959" s="112" t="str">
        <f t="shared" si="113"/>
        <v/>
      </c>
      <c r="N959" s="112" t="str">
        <f t="shared" si="113"/>
        <v/>
      </c>
      <c r="O959" s="112" t="str">
        <f t="shared" si="114"/>
        <v xml:space="preserve"> </v>
      </c>
      <c r="P959" s="113" t="str">
        <f t="shared" si="115"/>
        <v/>
      </c>
      <c r="Q959" s="114" t="str">
        <f t="shared" si="116"/>
        <v/>
      </c>
      <c r="R959" s="115" t="str">
        <f t="shared" si="117"/>
        <v/>
      </c>
      <c r="S959" s="115" t="str">
        <f t="shared" si="118"/>
        <v/>
      </c>
      <c r="T959" s="116" t="str">
        <f t="shared" si="119"/>
        <v/>
      </c>
      <c r="U959" s="120"/>
      <c r="V959" s="118"/>
    </row>
    <row r="960" spans="1:22" ht="13.2">
      <c r="A960" s="102"/>
      <c r="B960" s="103"/>
      <c r="C960" s="104"/>
      <c r="D960" s="105"/>
      <c r="E960" s="106"/>
      <c r="F960" s="107"/>
      <c r="G960" s="108"/>
      <c r="H960" s="121"/>
      <c r="I960" s="122"/>
      <c r="J960" s="122"/>
      <c r="K960" s="123"/>
      <c r="L960" s="111" t="str">
        <f t="shared" si="113"/>
        <v/>
      </c>
      <c r="M960" s="112" t="str">
        <f t="shared" si="113"/>
        <v/>
      </c>
      <c r="N960" s="112" t="str">
        <f t="shared" si="113"/>
        <v/>
      </c>
      <c r="O960" s="112" t="str">
        <f t="shared" si="114"/>
        <v xml:space="preserve"> </v>
      </c>
      <c r="P960" s="113" t="str">
        <f t="shared" si="115"/>
        <v/>
      </c>
      <c r="Q960" s="114" t="str">
        <f t="shared" si="116"/>
        <v/>
      </c>
      <c r="R960" s="115" t="str">
        <f t="shared" si="117"/>
        <v/>
      </c>
      <c r="S960" s="115" t="str">
        <f t="shared" si="118"/>
        <v/>
      </c>
      <c r="T960" s="116" t="str">
        <f t="shared" si="119"/>
        <v/>
      </c>
      <c r="U960" s="120"/>
      <c r="V960" s="118"/>
    </row>
    <row r="961" spans="1:22" ht="13.2">
      <c r="A961" s="102"/>
      <c r="B961" s="103"/>
      <c r="C961" s="104"/>
      <c r="D961" s="105"/>
      <c r="E961" s="106"/>
      <c r="F961" s="107"/>
      <c r="G961" s="108"/>
      <c r="H961" s="121"/>
      <c r="I961" s="122"/>
      <c r="J961" s="122"/>
      <c r="K961" s="123"/>
      <c r="L961" s="111" t="str">
        <f t="shared" si="113"/>
        <v/>
      </c>
      <c r="M961" s="112" t="str">
        <f t="shared" si="113"/>
        <v/>
      </c>
      <c r="N961" s="112" t="str">
        <f t="shared" si="113"/>
        <v/>
      </c>
      <c r="O961" s="112" t="str">
        <f t="shared" si="114"/>
        <v xml:space="preserve"> </v>
      </c>
      <c r="P961" s="113" t="str">
        <f t="shared" si="115"/>
        <v/>
      </c>
      <c r="Q961" s="114" t="str">
        <f t="shared" si="116"/>
        <v/>
      </c>
      <c r="R961" s="115" t="str">
        <f t="shared" si="117"/>
        <v/>
      </c>
      <c r="S961" s="115" t="str">
        <f t="shared" si="118"/>
        <v/>
      </c>
      <c r="T961" s="116" t="str">
        <f t="shared" si="119"/>
        <v/>
      </c>
      <c r="U961" s="120"/>
      <c r="V961" s="118"/>
    </row>
    <row r="962" spans="1:22" ht="13.2">
      <c r="A962" s="102"/>
      <c r="B962" s="102"/>
      <c r="C962" s="103"/>
      <c r="D962" s="105"/>
      <c r="E962" s="106"/>
      <c r="F962" s="107"/>
      <c r="G962" s="108"/>
      <c r="H962" s="109"/>
      <c r="I962" s="110"/>
      <c r="J962" s="110"/>
      <c r="K962" s="119"/>
      <c r="L962" s="111" t="str">
        <f t="shared" si="113"/>
        <v/>
      </c>
      <c r="M962" s="112" t="str">
        <f t="shared" si="113"/>
        <v/>
      </c>
      <c r="N962" s="112" t="str">
        <f t="shared" si="113"/>
        <v/>
      </c>
      <c r="O962" s="112" t="str">
        <f t="shared" si="114"/>
        <v xml:space="preserve"> </v>
      </c>
      <c r="P962" s="113" t="str">
        <f t="shared" si="115"/>
        <v/>
      </c>
      <c r="Q962" s="114" t="str">
        <f t="shared" si="116"/>
        <v/>
      </c>
      <c r="R962" s="115" t="str">
        <f t="shared" si="117"/>
        <v/>
      </c>
      <c r="S962" s="115" t="str">
        <f t="shared" si="118"/>
        <v/>
      </c>
      <c r="T962" s="116" t="str">
        <f t="shared" si="119"/>
        <v/>
      </c>
      <c r="U962" s="120"/>
      <c r="V962" s="118"/>
    </row>
    <row r="963" spans="1:22" ht="13.2">
      <c r="A963" s="102"/>
      <c r="B963" s="102"/>
      <c r="C963" s="103"/>
      <c r="D963" s="105"/>
      <c r="E963" s="106"/>
      <c r="F963" s="107"/>
      <c r="G963" s="108"/>
      <c r="H963" s="109"/>
      <c r="I963" s="110"/>
      <c r="J963" s="110"/>
      <c r="K963" s="119"/>
      <c r="L963" s="111" t="str">
        <f t="shared" si="113"/>
        <v/>
      </c>
      <c r="M963" s="112" t="str">
        <f t="shared" si="113"/>
        <v/>
      </c>
      <c r="N963" s="112" t="str">
        <f t="shared" si="113"/>
        <v/>
      </c>
      <c r="O963" s="112" t="str">
        <f t="shared" si="114"/>
        <v xml:space="preserve"> </v>
      </c>
      <c r="P963" s="113" t="str">
        <f t="shared" si="115"/>
        <v/>
      </c>
      <c r="Q963" s="114" t="str">
        <f t="shared" si="116"/>
        <v/>
      </c>
      <c r="R963" s="115" t="str">
        <f t="shared" si="117"/>
        <v/>
      </c>
      <c r="S963" s="115" t="str">
        <f t="shared" si="118"/>
        <v/>
      </c>
      <c r="T963" s="116" t="str">
        <f t="shared" si="119"/>
        <v/>
      </c>
      <c r="U963" s="120"/>
      <c r="V963" s="118"/>
    </row>
    <row r="964" spans="1:22" ht="13.2">
      <c r="A964" s="102"/>
      <c r="B964" s="102"/>
      <c r="C964" s="104"/>
      <c r="D964" s="105"/>
      <c r="E964" s="106"/>
      <c r="F964" s="107"/>
      <c r="G964" s="108"/>
      <c r="H964" s="109"/>
      <c r="I964" s="110"/>
      <c r="J964" s="110"/>
      <c r="K964" s="119"/>
      <c r="L964" s="111" t="str">
        <f t="shared" si="113"/>
        <v/>
      </c>
      <c r="M964" s="112" t="str">
        <f t="shared" si="113"/>
        <v/>
      </c>
      <c r="N964" s="112" t="str">
        <f t="shared" si="113"/>
        <v/>
      </c>
      <c r="O964" s="112" t="str">
        <f t="shared" si="114"/>
        <v xml:space="preserve"> </v>
      </c>
      <c r="P964" s="113" t="str">
        <f t="shared" si="115"/>
        <v/>
      </c>
      <c r="Q964" s="114" t="str">
        <f t="shared" si="116"/>
        <v/>
      </c>
      <c r="R964" s="115" t="str">
        <f t="shared" si="117"/>
        <v/>
      </c>
      <c r="S964" s="115" t="str">
        <f t="shared" si="118"/>
        <v/>
      </c>
      <c r="T964" s="116" t="str">
        <f t="shared" si="119"/>
        <v/>
      </c>
      <c r="U964" s="120"/>
      <c r="V964" s="118"/>
    </row>
    <row r="965" spans="1:22" ht="13.2">
      <c r="A965" s="102"/>
      <c r="B965" s="102"/>
      <c r="C965" s="104"/>
      <c r="D965" s="105"/>
      <c r="E965" s="106"/>
      <c r="F965" s="107"/>
      <c r="G965" s="108"/>
      <c r="H965" s="109"/>
      <c r="I965" s="110"/>
      <c r="J965" s="110"/>
      <c r="K965" s="119"/>
      <c r="L965" s="111" t="str">
        <f t="shared" si="113"/>
        <v/>
      </c>
      <c r="M965" s="112" t="str">
        <f t="shared" si="113"/>
        <v/>
      </c>
      <c r="N965" s="112" t="str">
        <f t="shared" si="113"/>
        <v/>
      </c>
      <c r="O965" s="112" t="str">
        <f t="shared" si="114"/>
        <v xml:space="preserve"> </v>
      </c>
      <c r="P965" s="113" t="str">
        <f t="shared" si="115"/>
        <v/>
      </c>
      <c r="Q965" s="114" t="str">
        <f t="shared" si="116"/>
        <v/>
      </c>
      <c r="R965" s="115" t="str">
        <f t="shared" si="117"/>
        <v/>
      </c>
      <c r="S965" s="115" t="str">
        <f t="shared" si="118"/>
        <v/>
      </c>
      <c r="T965" s="116" t="str">
        <f t="shared" si="119"/>
        <v/>
      </c>
      <c r="U965" s="120"/>
      <c r="V965" s="118"/>
    </row>
    <row r="966" spans="1:22" ht="13.2">
      <c r="A966" s="102"/>
      <c r="B966" s="102"/>
      <c r="C966" s="104"/>
      <c r="D966" s="105"/>
      <c r="E966" s="106"/>
      <c r="F966" s="107"/>
      <c r="G966" s="108"/>
      <c r="H966" s="109"/>
      <c r="I966" s="110"/>
      <c r="J966" s="110"/>
      <c r="K966" s="119"/>
      <c r="L966" s="111" t="str">
        <f t="shared" si="113"/>
        <v/>
      </c>
      <c r="M966" s="112" t="str">
        <f t="shared" si="113"/>
        <v/>
      </c>
      <c r="N966" s="112" t="str">
        <f t="shared" si="113"/>
        <v/>
      </c>
      <c r="O966" s="112" t="str">
        <f t="shared" si="114"/>
        <v xml:space="preserve"> </v>
      </c>
      <c r="P966" s="113" t="str">
        <f t="shared" si="115"/>
        <v/>
      </c>
      <c r="Q966" s="114" t="str">
        <f t="shared" si="116"/>
        <v/>
      </c>
      <c r="R966" s="115" t="str">
        <f t="shared" si="117"/>
        <v/>
      </c>
      <c r="S966" s="115" t="str">
        <f t="shared" si="118"/>
        <v/>
      </c>
      <c r="T966" s="116" t="str">
        <f t="shared" si="119"/>
        <v/>
      </c>
      <c r="U966" s="120"/>
      <c r="V966" s="118"/>
    </row>
    <row r="967" spans="1:22" ht="13.2">
      <c r="A967" s="102"/>
      <c r="B967" s="102"/>
      <c r="C967" s="104"/>
      <c r="D967" s="105"/>
      <c r="E967" s="106"/>
      <c r="F967" s="107"/>
      <c r="G967" s="108"/>
      <c r="H967" s="109"/>
      <c r="I967" s="110"/>
      <c r="J967" s="110"/>
      <c r="K967" s="119"/>
      <c r="L967" s="111" t="str">
        <f t="shared" si="113"/>
        <v/>
      </c>
      <c r="M967" s="112" t="str">
        <f t="shared" si="113"/>
        <v/>
      </c>
      <c r="N967" s="112" t="str">
        <f t="shared" si="113"/>
        <v/>
      </c>
      <c r="O967" s="112" t="str">
        <f t="shared" si="114"/>
        <v xml:space="preserve"> </v>
      </c>
      <c r="P967" s="113" t="str">
        <f t="shared" si="115"/>
        <v/>
      </c>
      <c r="Q967" s="114" t="str">
        <f t="shared" si="116"/>
        <v/>
      </c>
      <c r="R967" s="115" t="str">
        <f t="shared" si="117"/>
        <v/>
      </c>
      <c r="S967" s="115" t="str">
        <f t="shared" si="118"/>
        <v/>
      </c>
      <c r="T967" s="116" t="str">
        <f t="shared" si="119"/>
        <v/>
      </c>
      <c r="U967" s="120"/>
      <c r="V967" s="118"/>
    </row>
    <row r="968" spans="1:22" ht="13.2">
      <c r="A968" s="102"/>
      <c r="B968" s="102"/>
      <c r="C968" s="104"/>
      <c r="D968" s="105"/>
      <c r="E968" s="106"/>
      <c r="F968" s="107"/>
      <c r="G968" s="108"/>
      <c r="H968" s="109"/>
      <c r="I968" s="110"/>
      <c r="J968" s="110"/>
      <c r="K968" s="119"/>
      <c r="L968" s="111" t="str">
        <f t="shared" si="113"/>
        <v/>
      </c>
      <c r="M968" s="112" t="str">
        <f t="shared" si="113"/>
        <v/>
      </c>
      <c r="N968" s="112" t="str">
        <f t="shared" si="113"/>
        <v/>
      </c>
      <c r="O968" s="112" t="str">
        <f t="shared" si="114"/>
        <v xml:space="preserve"> </v>
      </c>
      <c r="P968" s="113" t="str">
        <f t="shared" si="115"/>
        <v/>
      </c>
      <c r="Q968" s="114" t="str">
        <f t="shared" si="116"/>
        <v/>
      </c>
      <c r="R968" s="115" t="str">
        <f t="shared" si="117"/>
        <v/>
      </c>
      <c r="S968" s="115" t="str">
        <f t="shared" si="118"/>
        <v/>
      </c>
      <c r="T968" s="116" t="str">
        <f t="shared" si="119"/>
        <v/>
      </c>
      <c r="U968" s="120"/>
      <c r="V968" s="118"/>
    </row>
    <row r="969" spans="1:22" ht="13.2">
      <c r="A969" s="102"/>
      <c r="B969" s="102"/>
      <c r="C969" s="104"/>
      <c r="D969" s="105"/>
      <c r="E969" s="106"/>
      <c r="F969" s="107"/>
      <c r="G969" s="108"/>
      <c r="H969" s="109"/>
      <c r="I969" s="110"/>
      <c r="J969" s="110"/>
      <c r="K969" s="110"/>
      <c r="L969" s="111" t="str">
        <f t="shared" si="113"/>
        <v/>
      </c>
      <c r="M969" s="112" t="str">
        <f t="shared" si="113"/>
        <v/>
      </c>
      <c r="N969" s="112" t="str">
        <f t="shared" si="113"/>
        <v/>
      </c>
      <c r="O969" s="112" t="str">
        <f t="shared" si="114"/>
        <v xml:space="preserve"> </v>
      </c>
      <c r="P969" s="113" t="str">
        <f t="shared" si="115"/>
        <v/>
      </c>
      <c r="Q969" s="114" t="str">
        <f t="shared" si="116"/>
        <v/>
      </c>
      <c r="R969" s="115" t="str">
        <f t="shared" si="117"/>
        <v/>
      </c>
      <c r="S969" s="115" t="str">
        <f t="shared" si="118"/>
        <v/>
      </c>
      <c r="T969" s="116" t="str">
        <f t="shared" si="119"/>
        <v/>
      </c>
      <c r="U969" s="120"/>
      <c r="V969" s="118"/>
    </row>
    <row r="970" spans="1:22" ht="13.2">
      <c r="A970" s="102"/>
      <c r="B970" s="102"/>
      <c r="C970" s="104"/>
      <c r="D970" s="105"/>
      <c r="E970" s="106"/>
      <c r="F970" s="107"/>
      <c r="G970" s="108"/>
      <c r="H970" s="109"/>
      <c r="I970" s="110"/>
      <c r="J970" s="110"/>
      <c r="K970" s="119"/>
      <c r="L970" s="111" t="str">
        <f t="shared" si="113"/>
        <v/>
      </c>
      <c r="M970" s="112" t="str">
        <f t="shared" si="113"/>
        <v/>
      </c>
      <c r="N970" s="112" t="str">
        <f t="shared" si="113"/>
        <v/>
      </c>
      <c r="O970" s="112" t="str">
        <f t="shared" si="114"/>
        <v xml:space="preserve"> </v>
      </c>
      <c r="P970" s="113" t="str">
        <f t="shared" si="115"/>
        <v/>
      </c>
      <c r="Q970" s="114" t="str">
        <f t="shared" si="116"/>
        <v/>
      </c>
      <c r="R970" s="115" t="str">
        <f t="shared" si="117"/>
        <v/>
      </c>
      <c r="S970" s="115" t="str">
        <f t="shared" si="118"/>
        <v/>
      </c>
      <c r="T970" s="116" t="str">
        <f t="shared" si="119"/>
        <v/>
      </c>
      <c r="U970" s="120"/>
      <c r="V970" s="118"/>
    </row>
    <row r="971" spans="1:22" ht="13.2">
      <c r="A971" s="102"/>
      <c r="B971" s="102"/>
      <c r="C971" s="104"/>
      <c r="D971" s="105"/>
      <c r="E971" s="106"/>
      <c r="F971" s="107"/>
      <c r="G971" s="108"/>
      <c r="H971" s="109"/>
      <c r="I971" s="110"/>
      <c r="J971" s="110"/>
      <c r="K971" s="119"/>
      <c r="L971" s="111" t="str">
        <f t="shared" si="113"/>
        <v/>
      </c>
      <c r="M971" s="112" t="str">
        <f t="shared" si="113"/>
        <v/>
      </c>
      <c r="N971" s="112" t="str">
        <f t="shared" si="113"/>
        <v/>
      </c>
      <c r="O971" s="112" t="str">
        <f t="shared" si="114"/>
        <v xml:space="preserve"> </v>
      </c>
      <c r="P971" s="113" t="str">
        <f t="shared" si="115"/>
        <v/>
      </c>
      <c r="Q971" s="114" t="str">
        <f t="shared" si="116"/>
        <v/>
      </c>
      <c r="R971" s="115" t="str">
        <f t="shared" si="117"/>
        <v/>
      </c>
      <c r="S971" s="115" t="str">
        <f t="shared" si="118"/>
        <v/>
      </c>
      <c r="T971" s="116" t="str">
        <f t="shared" si="119"/>
        <v/>
      </c>
      <c r="U971" s="120"/>
      <c r="V971" s="118"/>
    </row>
    <row r="972" spans="1:22" ht="13.2">
      <c r="A972" s="102"/>
      <c r="B972" s="102"/>
      <c r="C972" s="104"/>
      <c r="D972" s="105"/>
      <c r="E972" s="106"/>
      <c r="F972" s="107"/>
      <c r="G972" s="108"/>
      <c r="H972" s="109"/>
      <c r="I972" s="110"/>
      <c r="J972" s="110"/>
      <c r="K972" s="119"/>
      <c r="L972" s="111" t="str">
        <f t="shared" si="113"/>
        <v/>
      </c>
      <c r="M972" s="112" t="str">
        <f t="shared" si="113"/>
        <v/>
      </c>
      <c r="N972" s="112" t="str">
        <f t="shared" si="113"/>
        <v/>
      </c>
      <c r="O972" s="112" t="str">
        <f t="shared" si="114"/>
        <v xml:space="preserve"> </v>
      </c>
      <c r="P972" s="113" t="str">
        <f t="shared" si="115"/>
        <v/>
      </c>
      <c r="Q972" s="114" t="str">
        <f t="shared" si="116"/>
        <v/>
      </c>
      <c r="R972" s="115" t="str">
        <f t="shared" si="117"/>
        <v/>
      </c>
      <c r="S972" s="115" t="str">
        <f t="shared" si="118"/>
        <v/>
      </c>
      <c r="T972" s="116" t="str">
        <f t="shared" si="119"/>
        <v/>
      </c>
      <c r="U972" s="120"/>
      <c r="V972" s="118"/>
    </row>
    <row r="973" spans="1:22" ht="13.2">
      <c r="A973" s="102"/>
      <c r="B973" s="102"/>
      <c r="C973" s="104"/>
      <c r="D973" s="105"/>
      <c r="E973" s="106"/>
      <c r="F973" s="107"/>
      <c r="G973" s="108"/>
      <c r="H973" s="109"/>
      <c r="I973" s="110"/>
      <c r="J973" s="110"/>
      <c r="K973" s="119"/>
      <c r="L973" s="111" t="str">
        <f t="shared" si="113"/>
        <v/>
      </c>
      <c r="M973" s="112" t="str">
        <f t="shared" si="113"/>
        <v/>
      </c>
      <c r="N973" s="112" t="str">
        <f t="shared" si="113"/>
        <v/>
      </c>
      <c r="O973" s="112" t="str">
        <f t="shared" si="114"/>
        <v xml:space="preserve"> </v>
      </c>
      <c r="P973" s="113" t="str">
        <f t="shared" si="115"/>
        <v/>
      </c>
      <c r="Q973" s="114" t="str">
        <f t="shared" si="116"/>
        <v/>
      </c>
      <c r="R973" s="115" t="str">
        <f t="shared" si="117"/>
        <v/>
      </c>
      <c r="S973" s="115" t="str">
        <f t="shared" si="118"/>
        <v/>
      </c>
      <c r="T973" s="116" t="str">
        <f t="shared" si="119"/>
        <v/>
      </c>
      <c r="U973" s="120"/>
      <c r="V973" s="118"/>
    </row>
  </sheetData>
  <phoneticPr fontId="10" type="noConversion"/>
  <conditionalFormatting sqref="R9:T11 R14:T14 R17:T973">
    <cfRule type="cellIs" dxfId="15" priority="16" stopIfTrue="1" operator="equal">
      <formula>"reject"</formula>
    </cfRule>
  </conditionalFormatting>
  <conditionalFormatting sqref="L9:N11 L56:N74 L79:N97 L102:N120 L125:N143 L148:N166 L171:N189 L194:N212 L217:N235 L240:N258 L263:N281 L286:N304 L309:N327 L332:N350 L355:N373 L378:N396 L401:N419 L424:N442 L447:N465 L470:N488 L493:N511 L516:N534 L539:N557 L562:N580 L585:N603 L608:N626 L631:N649 L654:N672 L677:N695 L700:N718 L723:N741 L746:N764 L769:N787 L792:N810 L815:N833 L838:N856 L861:N879 L884:N902 L907:N925 L930:N948 L953:N971 L14:N14 L17:N51">
    <cfRule type="cellIs" dxfId="14" priority="14" stopIfTrue="1" operator="greaterThan">
      <formula>$E9</formula>
    </cfRule>
    <cfRule type="cellIs" dxfId="13" priority="15" stopIfTrue="1" operator="lessThan">
      <formula>-$F9</formula>
    </cfRule>
  </conditionalFormatting>
  <conditionalFormatting sqref="U25:U55">
    <cfRule type="cellIs" dxfId="12" priority="13" stopIfTrue="1" operator="greaterThan">
      <formula>0.03</formula>
    </cfRule>
  </conditionalFormatting>
  <conditionalFormatting sqref="L52:N53 L75:N76 L98:N99 L121:N122 L144:N145 L167:N168 L190:N191 L213:N214 L236:N237 L259:N260 L282:N283 L305:N306 L328:N329 L351:N352 L374:N375 L397:N398 L420:N421 L443:N444 L466:N467 L489:N490 L512:N513 L535:N536 L558:N559 L581:N582 L604:N605 L627:N628 L650:N651 L673:N674 L696:N697 L719:N720 L742:N743 L765:N766 L788:N789 L811:N812 L834:N835 L857:N858 L880:N881 L903:N904 L926:N927 L949:N950 L972:N973">
    <cfRule type="cellIs" dxfId="11" priority="11" stopIfTrue="1" operator="greaterThan">
      <formula>$E52</formula>
    </cfRule>
    <cfRule type="cellIs" dxfId="10" priority="12" stopIfTrue="1" operator="lessThan">
      <formula>-$F52</formula>
    </cfRule>
  </conditionalFormatting>
  <conditionalFormatting sqref="L54:N55 L77:N78 L100:N101 L123:N124 L146:N147 L169:N170 L192:N193 L215:N216 L238:N239 L261:N262 L284:N285 L307:N308 L330:N331 L353:N354 L376:N377 L399:N400 L422:N423 L445:N446 L468:N469 L491:N492 L514:N515 L537:N538 L560:N561 L583:N584 L606:N607 L629:N630 L652:N653 L675:N676 L698:N699 L721:N722 L744:N745 L767:N768 L790:N791 L813:N814 L836:N837 L859:N860 L882:N883 L905:N906 L928:N929 L951:N952">
    <cfRule type="cellIs" dxfId="9" priority="9" stopIfTrue="1" operator="greaterThan">
      <formula>$E54</formula>
    </cfRule>
    <cfRule type="cellIs" dxfId="8" priority="10" stopIfTrue="1" operator="lessThan">
      <formula>-$F54</formula>
    </cfRule>
  </conditionalFormatting>
  <conditionalFormatting sqref="U56:U61">
    <cfRule type="cellIs" dxfId="7" priority="8" stopIfTrue="1" operator="greaterThan">
      <formula>0.03</formula>
    </cfRule>
  </conditionalFormatting>
  <conditionalFormatting sqref="U62:U973">
    <cfRule type="cellIs" dxfId="6" priority="7" stopIfTrue="1" operator="greaterThan">
      <formula>0.03</formula>
    </cfRule>
  </conditionalFormatting>
  <conditionalFormatting sqref="R12:T13">
    <cfRule type="cellIs" dxfId="5" priority="6" stopIfTrue="1" operator="equal">
      <formula>"reject"</formula>
    </cfRule>
  </conditionalFormatting>
  <conditionalFormatting sqref="L12:N13">
    <cfRule type="cellIs" dxfId="4" priority="4" stopIfTrue="1" operator="greaterThan">
      <formula>$E12</formula>
    </cfRule>
    <cfRule type="cellIs" dxfId="3" priority="5" stopIfTrue="1" operator="lessThan">
      <formula>-$F12</formula>
    </cfRule>
  </conditionalFormatting>
  <conditionalFormatting sqref="R15:T16">
    <cfRule type="cellIs" dxfId="2" priority="3" stopIfTrue="1" operator="equal">
      <formula>"reject"</formula>
    </cfRule>
  </conditionalFormatting>
  <conditionalFormatting sqref="L15:N16">
    <cfRule type="cellIs" dxfId="1" priority="1" stopIfTrue="1" operator="greaterThan">
      <formula>$E15</formula>
    </cfRule>
    <cfRule type="cellIs" dxfId="0" priority="2" stopIfTrue="1" operator="lessThan">
      <formula>-$F15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Cav1_</vt:lpstr>
      <vt:lpstr>CAV2_</vt:lpstr>
    </vt:vector>
  </TitlesOfParts>
  <Company>Apple,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 Kim</dc:creator>
  <cp:lastModifiedBy>JiangGi Fam</cp:lastModifiedBy>
  <cp:lastPrinted>2010-02-08T10:27:24Z</cp:lastPrinted>
  <dcterms:created xsi:type="dcterms:W3CDTF">2008-05-31T01:27:16Z</dcterms:created>
  <dcterms:modified xsi:type="dcterms:W3CDTF">2020-12-24T07:55:37Z</dcterms:modified>
</cp:coreProperties>
</file>