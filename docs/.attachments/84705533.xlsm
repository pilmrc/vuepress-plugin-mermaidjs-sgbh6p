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date1904="1" codeName="ThisWorkbook"/>
  <mc:AlternateContent xmlns:mc="http://schemas.openxmlformats.org/markup-compatibility/2006">
    <mc:Choice Requires="x15">
      <x15ac:absPath xmlns:x15ac="http://schemas.microsoft.com/office/spreadsheetml/2010/11/ac" url="C:\Users\1124418\Desktop\Report Template\SIP CPK Template\6-5\"/>
    </mc:Choice>
  </mc:AlternateContent>
  <xr:revisionPtr revIDLastSave="0" documentId="13_ncr:1_{E5AFB6B2-1414-421B-972A-495D8370BCD3}" xr6:coauthVersionLast="45" xr6:coauthVersionMax="45" xr10:uidLastSave="{00000000-0000-0000-0000-000000000000}"/>
  <bookViews>
    <workbookView xWindow="5370" yWindow="2700" windowWidth="18105" windowHeight="12360" tabRatio="695" activeTab="2" xr2:uid="{00000000-000D-0000-FFFF-FFFF00000000}"/>
  </bookViews>
  <sheets>
    <sheet name="Cpk Summary" sheetId="24" r:id="rId1"/>
    <sheet name="Data" sheetId="25" r:id="rId2"/>
    <sheet name="CAV1_" sheetId="19" r:id="rId3"/>
    <sheet name="CaV2_ABC" sheetId="41" r:id="rId4"/>
    <sheet name="Cpk_3" sheetId="42" r:id="rId5"/>
    <sheet name="Cpk_4" sheetId="43" r:id="rId6"/>
    <sheet name="Histogram Chart" sheetId="8" r:id="rId7"/>
    <sheet name="CpK and yield explanation" sheetId="20" r:id="rId8"/>
    <sheet name="CpK Scenario" sheetId="21" r:id="rId9"/>
  </sheets>
  <externalReferences>
    <externalReference r:id="rId10"/>
    <externalReference r:id="rId11"/>
  </externalReferences>
  <definedNames>
    <definedName name="_xlnm._FilterDatabase" localSheetId="6" hidden="1">'Histogram Chart'!$A$37:$B$516</definedName>
    <definedName name="DISTINTERVAL" localSheetId="7">OFFSET('[1]Histogram Chart'!$I$20,1,0,'[1]Histogram Chart'!$B$20,1)</definedName>
    <definedName name="DISTINTERVAL" localSheetId="0">OFFSET('[2]Histogram Chart'!$I$20,1,0,'[2]Histogram Chart'!$B$21,1)</definedName>
    <definedName name="DISTINTERVAL" localSheetId="6">OFFSET('Histogram Chart'!$I$20,1,0,'Histogram Chart'!$B$21,1)</definedName>
    <definedName name="DISTINTERVAL">OFFSET('Histogram Chart'!$I$20,1,0,'Histogram Chart'!$B$21,1)</definedName>
    <definedName name="DISTINTERVAL1" localSheetId="0">OFFSET('[2]Histogram Chart'!$T$20,1,0,'[2]Histogram Chart'!$M$21,1)</definedName>
    <definedName name="DISTINTERVAL1" localSheetId="6">OFFSET('Histogram Chart'!$T$20,1,0,'Histogram Chart'!$M$21,1)</definedName>
    <definedName name="DISTINTERVAL1">OFFSET('Histogram Chart'!$T$20,1,0,'Histogram Chart'!$M$21,1)</definedName>
    <definedName name="GroupInterval" localSheetId="7">OFFSET('[1]Histogram Chart'!$F$20,1,0,'[1]Histogram Chart'!$B$20,1)</definedName>
    <definedName name="GroupInterval" localSheetId="0">OFFSET('[2]Histogram Chart'!$F$20,1,0,'[2]Histogram Chart'!$B$21,1)</definedName>
    <definedName name="GroupInterval" localSheetId="6">OFFSET('Histogram Chart'!$F$20,1,0,'Histogram Chart'!$B$21,1)</definedName>
    <definedName name="GroupInterval">OFFSET('Histogram Chart'!$F$20,1,0,'Histogram Chart'!$B$21,1)</definedName>
    <definedName name="GroupInterval1" localSheetId="0">OFFSET('[2]Histogram Chart'!$Q$20,1,0,'[2]Histogram Chart'!$M$21,1)</definedName>
    <definedName name="GroupInterval1" localSheetId="6">OFFSET('Histogram Chart'!$Q$20,1,0,'Histogram Chart'!$M$21,1)</definedName>
    <definedName name="GroupInterval1">OFFSET('Histogram Chart'!$Q$20,1,0,'Histogram Chart'!$M$21,1)</definedName>
    <definedName name="Histogram" localSheetId="7">OFFSET('[1]Histogram Chart'!$G$20,1,0,'[1]Histogram Chart'!$B$20,1)</definedName>
    <definedName name="Histogram" localSheetId="0">OFFSET('[2]Histogram Chart'!$G$20,1,0,'[2]Histogram Chart'!$B$21,1)</definedName>
    <definedName name="Histogram" localSheetId="6">OFFSET('Histogram Chart'!$G$20,1,0,'Histogram Chart'!$B$21,1)</definedName>
    <definedName name="Histogram">OFFSET('Histogram Chart'!$G$20,1,0,'Histogram Chart'!$B$21,1)</definedName>
    <definedName name="Histogram1" localSheetId="0">OFFSET('[2]Histogram Chart'!$R$20,1,0,'[2]Histogram Chart'!$M$21,1)</definedName>
    <definedName name="Histogram1" localSheetId="6">OFFSET('Histogram Chart'!$R$20,1,0,'Histogram Chart'!$M$21,1)</definedName>
    <definedName name="Histogram1">OFFSET('Histogram Chart'!$R$20,1,0,'Histogram Chart'!$M$21,1)</definedName>
    <definedName name="NORMDIST" localSheetId="7">OFFSET('[1]Histogram Chart'!$H$20,1,0,'[1]Histogram Chart'!$B$20,1)</definedName>
    <definedName name="NORMDIST" localSheetId="0">OFFSET('[2]Histogram Chart'!$H$20,1,0,'[2]Histogram Chart'!$B$21,1)</definedName>
    <definedName name="NORMDIST" localSheetId="6">OFFSET('Histogram Chart'!$H$20,1,0,'Histogram Chart'!$B$21,1)</definedName>
    <definedName name="NORMDIST">OFFSET('Histogram Chart'!$H$20,1,0,'Histogram Chart'!$B$21,1)</definedName>
    <definedName name="NORMDIST1" localSheetId="0">OFFSET('[2]Histogram Chart'!$S$20,1,0,'[2]Histogram Chart'!$M$21,1)</definedName>
    <definedName name="NORMDIST1" localSheetId="6">OFFSET('Histogram Chart'!$S$20,1,0,'Histogram Chart'!$M$21,1)</definedName>
    <definedName name="NORMDIST1">OFFSET('Histogram Chart'!$S$20,1,0,'Histogram Chart'!$M$21,1)</definedName>
    <definedName name="_xlnm.Print_Area" localSheetId="2">CAV1_!$B$6:$Z$66</definedName>
    <definedName name="_xlnm.Print_Area" localSheetId="3">CaV2_ABC!$B$6:$Z$66</definedName>
    <definedName name="_xlnm.Print_Area" localSheetId="4">Cpk_3!$B$6:$Z$66</definedName>
    <definedName name="_xlnm.Print_Area" localSheetId="5">Cpk_4!$B$6:$Z$66</definedName>
    <definedName name="_xlnm.Print_Titles" localSheetId="2">CAV1_!$B:$B,CAV1_!$6:$33</definedName>
    <definedName name="_xlnm.Print_Titles" localSheetId="3">CaV2_ABC!$B:$B,CaV2_ABC!$6:$33</definedName>
    <definedName name="_xlnm.Print_Titles" localSheetId="4">Cpk_3!$B:$B,Cpk_3!$6:$33</definedName>
    <definedName name="_xlnm.Print_Titles" localSheetId="5">Cpk_4!$B:$B,Cpk_4!$6:$33</definedName>
    <definedName name="Z_05A1B552_4CBE_0449_9BDE_AF4BEEEA0B22_.wvu.PrintTitles" localSheetId="2" hidden="1">CAV1_!$1:$22</definedName>
    <definedName name="Z_05A1B552_4CBE_0449_9BDE_AF4BEEEA0B22_.wvu.PrintTitles" localSheetId="3" hidden="1">CaV2_ABC!$1:$22</definedName>
    <definedName name="Z_05A1B552_4CBE_0449_9BDE_AF4BEEEA0B22_.wvu.PrintTitles" localSheetId="4" hidden="1">Cpk_3!$1:$22</definedName>
    <definedName name="Z_05A1B552_4CBE_0449_9BDE_AF4BEEEA0B22_.wvu.PrintTitles" localSheetId="5" hidden="1">Cpk_4!$1:$22</definedName>
  </definedNames>
  <calcPr calcId="191029"/>
  <customWorkbookViews>
    <customWorkbookView name="Zhang Zhengjun - Personal View" guid="{05A1B552-4CBE-0449-9BDE-AF4BEEEA0B22}" mergeInterval="0" personalView="1" yWindow="105" windowWidth="1428" windowHeight="728" tabRatio="584" activeSheetId="6"/>
    <customWorkbookView name="Robert York - Personal View" guid="{971DFF50-E2D6-A94D-B32C-4DBE6112B19F}" mergeInterval="0" personalView="1" xWindow="105" yWindow="210" windowWidth="974" windowHeight="522" tabRatio="584" activeSheetId="1"/>
    <customWorkbookView name="Ji Kim - Personal View" guid="{7F83E96C-9D43-5446-8F0B-917FE1EF3DB5}" mergeInterval="0" personalView="1" xWindow="105" yWindow="210" windowWidth="974" windowHeight="522" tabRatio="584" activeSheetId="2" showFormulaBar="0" showComments="commIndAndComment"/>
    <customWorkbookView name="Martin Wong - Personal View" guid="{6130BAA2-550F-11DD-9262-0017F2D249BE}" mergeInterval="0" personalView="1" xWindow="188" yWindow="318" windowWidth="1176" windowHeight="603" tabRatio="584"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19" l="1"/>
  <c r="C3" i="19"/>
  <c r="F2" i="19"/>
  <c r="Z24" i="43"/>
  <c r="Z33" i="43"/>
  <c r="Z21" i="43"/>
  <c r="Z22" i="43"/>
  <c r="Y24" i="43"/>
  <c r="Y33" i="43"/>
  <c r="Y21" i="43"/>
  <c r="Y27" i="43"/>
  <c r="Y22" i="43"/>
  <c r="X24" i="43"/>
  <c r="X28" i="43"/>
  <c r="X21" i="43"/>
  <c r="X30" i="43"/>
  <c r="X22" i="43"/>
  <c r="W24" i="43"/>
  <c r="W33" i="43"/>
  <c r="W21" i="43"/>
  <c r="W30" i="43"/>
  <c r="W22" i="43"/>
  <c r="V24" i="43"/>
  <c r="V33" i="43"/>
  <c r="V21" i="43"/>
  <c r="V22" i="43"/>
  <c r="U24" i="43"/>
  <c r="U33" i="43"/>
  <c r="U21" i="43"/>
  <c r="U27" i="43"/>
  <c r="U22" i="43"/>
  <c r="T24" i="43"/>
  <c r="T28" i="43"/>
  <c r="T21" i="43"/>
  <c r="T30" i="43"/>
  <c r="T22" i="43"/>
  <c r="S24" i="43"/>
  <c r="S33" i="43"/>
  <c r="S21" i="43"/>
  <c r="S30" i="43"/>
  <c r="S22" i="43"/>
  <c r="R24" i="43"/>
  <c r="R33" i="43"/>
  <c r="R21" i="43"/>
  <c r="R22" i="43"/>
  <c r="Q24" i="43"/>
  <c r="Q21" i="43"/>
  <c r="Q27" i="43"/>
  <c r="Q22" i="43"/>
  <c r="P24" i="43"/>
  <c r="P21" i="43"/>
  <c r="P30" i="43"/>
  <c r="P22" i="43"/>
  <c r="O24" i="43"/>
  <c r="O21" i="43"/>
  <c r="O30" i="43"/>
  <c r="O22" i="43"/>
  <c r="O28" i="43"/>
  <c r="N24" i="43"/>
  <c r="N33" i="43"/>
  <c r="N21" i="43"/>
  <c r="N30" i="43"/>
  <c r="N22" i="43"/>
  <c r="M24" i="43"/>
  <c r="M21" i="43"/>
  <c r="M22" i="43"/>
  <c r="M27" i="43"/>
  <c r="L24" i="43"/>
  <c r="L33" i="43"/>
  <c r="L21" i="43"/>
  <c r="L22" i="43"/>
  <c r="L27" i="43"/>
  <c r="K24" i="43"/>
  <c r="K30" i="43"/>
  <c r="K21" i="43"/>
  <c r="K29" i="43"/>
  <c r="K22" i="43"/>
  <c r="J24" i="43"/>
  <c r="J21" i="43"/>
  <c r="J22" i="43"/>
  <c r="I24" i="43"/>
  <c r="I21" i="43"/>
  <c r="I27" i="43"/>
  <c r="I22" i="43"/>
  <c r="H24" i="43"/>
  <c r="H33" i="43"/>
  <c r="H21" i="43"/>
  <c r="H32" i="43"/>
  <c r="H22" i="43"/>
  <c r="G24" i="43"/>
  <c r="G21" i="43"/>
  <c r="G22" i="43"/>
  <c r="G28" i="43"/>
  <c r="F24" i="43"/>
  <c r="F21" i="43"/>
  <c r="F22" i="43"/>
  <c r="E24" i="43"/>
  <c r="E28" i="43"/>
  <c r="E33" i="43"/>
  <c r="E21" i="43"/>
  <c r="E32" i="43"/>
  <c r="E22" i="43"/>
  <c r="D24" i="43"/>
  <c r="D30" i="43"/>
  <c r="D33" i="43"/>
  <c r="D21" i="43"/>
  <c r="D29" i="43"/>
  <c r="D22" i="43"/>
  <c r="C24" i="43"/>
  <c r="C33" i="43"/>
  <c r="C21" i="43"/>
  <c r="C32" i="43"/>
  <c r="C22" i="43"/>
  <c r="Z23" i="43"/>
  <c r="Z32" i="43"/>
  <c r="Y23" i="43"/>
  <c r="Y32" i="43"/>
  <c r="X23" i="43"/>
  <c r="X32" i="43"/>
  <c r="W23" i="43"/>
  <c r="W32" i="43"/>
  <c r="V23" i="43"/>
  <c r="V32" i="43"/>
  <c r="U23" i="43"/>
  <c r="U32" i="43"/>
  <c r="T23" i="43"/>
  <c r="T32" i="43"/>
  <c r="S23" i="43"/>
  <c r="S32" i="43"/>
  <c r="R23" i="43"/>
  <c r="R32" i="43"/>
  <c r="Q23" i="43"/>
  <c r="P23" i="43"/>
  <c r="P32" i="43"/>
  <c r="O23" i="43"/>
  <c r="N23" i="43"/>
  <c r="M23" i="43"/>
  <c r="L23" i="43"/>
  <c r="K23" i="43"/>
  <c r="J23" i="43"/>
  <c r="J32" i="43"/>
  <c r="I23" i="43"/>
  <c r="H23" i="43"/>
  <c r="H28" i="43"/>
  <c r="G23" i="43"/>
  <c r="F23" i="43"/>
  <c r="F27" i="43"/>
  <c r="E23" i="43"/>
  <c r="D23" i="43"/>
  <c r="D27" i="43"/>
  <c r="D32" i="43"/>
  <c r="C23" i="43"/>
  <c r="Z30" i="43"/>
  <c r="Y30" i="43"/>
  <c r="V30" i="43"/>
  <c r="U30" i="43"/>
  <c r="R30" i="43"/>
  <c r="Q30" i="43"/>
  <c r="M30" i="43"/>
  <c r="L30" i="43"/>
  <c r="H30" i="43"/>
  <c r="G30" i="43"/>
  <c r="Z29" i="43"/>
  <c r="Y29" i="43"/>
  <c r="V29" i="43"/>
  <c r="U29" i="43"/>
  <c r="R29" i="43"/>
  <c r="Q29" i="43"/>
  <c r="N29" i="43"/>
  <c r="M29" i="43"/>
  <c r="J29" i="43"/>
  <c r="H29" i="43"/>
  <c r="G29" i="43"/>
  <c r="Z28" i="43"/>
  <c r="Y28" i="43"/>
  <c r="V28" i="43"/>
  <c r="U28" i="43"/>
  <c r="R28" i="43"/>
  <c r="Q28" i="43"/>
  <c r="P28" i="43"/>
  <c r="N28" i="43"/>
  <c r="M28" i="43"/>
  <c r="J28" i="43"/>
  <c r="I28" i="43"/>
  <c r="D28" i="43"/>
  <c r="Z27" i="43"/>
  <c r="W27" i="43"/>
  <c r="V27" i="43"/>
  <c r="S27" i="43"/>
  <c r="R27" i="43"/>
  <c r="O27" i="43"/>
  <c r="N27" i="43"/>
  <c r="K27" i="43"/>
  <c r="J27" i="43"/>
  <c r="G27" i="43"/>
  <c r="E27" i="43"/>
  <c r="Z26" i="43"/>
  <c r="Y26" i="43"/>
  <c r="X26" i="43"/>
  <c r="W26" i="43"/>
  <c r="V26" i="43"/>
  <c r="U26" i="43"/>
  <c r="T26" i="43"/>
  <c r="S26" i="43"/>
  <c r="R26" i="43"/>
  <c r="Q26" i="43"/>
  <c r="P26" i="43"/>
  <c r="O26" i="43"/>
  <c r="N26" i="43"/>
  <c r="M26" i="43"/>
  <c r="L26" i="43"/>
  <c r="K26" i="43"/>
  <c r="J26" i="43"/>
  <c r="I26" i="43"/>
  <c r="H26" i="43"/>
  <c r="G26" i="43"/>
  <c r="F26" i="43"/>
  <c r="E26" i="43"/>
  <c r="D26" i="43"/>
  <c r="C26" i="43"/>
  <c r="Z25" i="43"/>
  <c r="Y25" i="43"/>
  <c r="X25" i="43"/>
  <c r="W25" i="43"/>
  <c r="V25" i="43"/>
  <c r="U25" i="43"/>
  <c r="T25" i="43"/>
  <c r="S25" i="43"/>
  <c r="R25" i="43"/>
  <c r="Q25" i="43"/>
  <c r="P25" i="43"/>
  <c r="O25" i="43"/>
  <c r="N25" i="43"/>
  <c r="M25" i="43"/>
  <c r="L25" i="43"/>
  <c r="K25" i="43"/>
  <c r="J25" i="43"/>
  <c r="I25" i="43"/>
  <c r="H25" i="43"/>
  <c r="G25" i="43"/>
  <c r="F25" i="43"/>
  <c r="E25" i="43"/>
  <c r="D25" i="43"/>
  <c r="C25" i="43"/>
  <c r="IV13" i="43"/>
  <c r="IU13" i="43"/>
  <c r="IT13" i="43"/>
  <c r="IS13" i="43"/>
  <c r="IR13" i="43"/>
  <c r="IQ13" i="43"/>
  <c r="IP13" i="43"/>
  <c r="IO13" i="43"/>
  <c r="IN13" i="43"/>
  <c r="IM13" i="43"/>
  <c r="IL13" i="43"/>
  <c r="IK13" i="43"/>
  <c r="IJ13" i="43"/>
  <c r="II13" i="43"/>
  <c r="IH13" i="43"/>
  <c r="IG13" i="43"/>
  <c r="IF13" i="43"/>
  <c r="IE13" i="43"/>
  <c r="ID13" i="43"/>
  <c r="IC13" i="43"/>
  <c r="IB13" i="43"/>
  <c r="IA13" i="43"/>
  <c r="HZ13" i="43"/>
  <c r="HY13" i="43"/>
  <c r="HX13" i="43"/>
  <c r="HW13" i="43"/>
  <c r="HV13" i="43"/>
  <c r="HU13" i="43"/>
  <c r="HT13" i="43"/>
  <c r="HS13" i="43"/>
  <c r="HR13" i="43"/>
  <c r="HQ13" i="43"/>
  <c r="HP13" i="43"/>
  <c r="HO13" i="43"/>
  <c r="HN13" i="43"/>
  <c r="HM13" i="43"/>
  <c r="HL13" i="43"/>
  <c r="HK13" i="43"/>
  <c r="HJ13" i="43"/>
  <c r="HI13" i="43"/>
  <c r="HH13" i="43"/>
  <c r="HG13" i="43"/>
  <c r="HF13" i="43"/>
  <c r="HE13" i="43"/>
  <c r="HD13" i="43"/>
  <c r="HC13" i="43"/>
  <c r="HB13" i="43"/>
  <c r="HA13" i="43"/>
  <c r="GZ13" i="43"/>
  <c r="GY13" i="43"/>
  <c r="GX13" i="43"/>
  <c r="GW13" i="43"/>
  <c r="GV13" i="43"/>
  <c r="GU13" i="43"/>
  <c r="GT13" i="43"/>
  <c r="GS13" i="43"/>
  <c r="GR13" i="43"/>
  <c r="GQ13" i="43"/>
  <c r="GP13" i="43"/>
  <c r="GO13" i="43"/>
  <c r="GN13" i="43"/>
  <c r="GM13" i="43"/>
  <c r="GL13" i="43"/>
  <c r="GK13" i="43"/>
  <c r="GJ13" i="43"/>
  <c r="GI13" i="43"/>
  <c r="GH13" i="43"/>
  <c r="GG13" i="43"/>
  <c r="GF13" i="43"/>
  <c r="GE13" i="43"/>
  <c r="GD13" i="43"/>
  <c r="GC13" i="43"/>
  <c r="GB13" i="43"/>
  <c r="GA13" i="43"/>
  <c r="FZ13" i="43"/>
  <c r="FY13" i="43"/>
  <c r="FX13" i="43"/>
  <c r="FW13" i="43"/>
  <c r="FV13" i="43"/>
  <c r="FU13" i="43"/>
  <c r="FT13" i="43"/>
  <c r="FS13" i="43"/>
  <c r="FR13" i="43"/>
  <c r="FQ13" i="43"/>
  <c r="FP13" i="43"/>
  <c r="FO13" i="43"/>
  <c r="FN13" i="43"/>
  <c r="FM13" i="43"/>
  <c r="FL13" i="43"/>
  <c r="FK13" i="43"/>
  <c r="FJ13" i="43"/>
  <c r="FI13" i="43"/>
  <c r="FH13" i="43"/>
  <c r="FG13" i="43"/>
  <c r="FF13" i="43"/>
  <c r="FE13" i="43"/>
  <c r="FD13" i="43"/>
  <c r="FC13" i="43"/>
  <c r="FB13" i="43"/>
  <c r="FA13" i="43"/>
  <c r="EZ13" i="43"/>
  <c r="EY13" i="43"/>
  <c r="EX13" i="43"/>
  <c r="EW13" i="43"/>
  <c r="EV13" i="43"/>
  <c r="EU13" i="43"/>
  <c r="ET13" i="43"/>
  <c r="ES13" i="43"/>
  <c r="ER13" i="43"/>
  <c r="EQ13" i="43"/>
  <c r="EP13" i="43"/>
  <c r="EO13" i="43"/>
  <c r="EN13" i="43"/>
  <c r="EM13" i="43"/>
  <c r="EL13" i="43"/>
  <c r="EK13" i="43"/>
  <c r="EJ13" i="43"/>
  <c r="EI13" i="43"/>
  <c r="EH13" i="43"/>
  <c r="EG13" i="43"/>
  <c r="EF13" i="43"/>
  <c r="EE13" i="43"/>
  <c r="ED13" i="43"/>
  <c r="EC13" i="43"/>
  <c r="EB13" i="43"/>
  <c r="EA13" i="43"/>
  <c r="DZ13" i="43"/>
  <c r="DY13" i="43"/>
  <c r="DX13" i="43"/>
  <c r="DW13" i="43"/>
  <c r="DV13" i="43"/>
  <c r="DU13" i="43"/>
  <c r="DT13" i="43"/>
  <c r="DS13" i="43"/>
  <c r="DR13" i="43"/>
  <c r="DQ13" i="43"/>
  <c r="DP13" i="43"/>
  <c r="DO13" i="43"/>
  <c r="DN13" i="43"/>
  <c r="DM13" i="43"/>
  <c r="DL13" i="43"/>
  <c r="DK13" i="43"/>
  <c r="DJ13" i="43"/>
  <c r="DI13" i="43"/>
  <c r="DH13" i="43"/>
  <c r="DG13" i="43"/>
  <c r="DF13" i="43"/>
  <c r="DE13" i="43"/>
  <c r="DD13" i="43"/>
  <c r="DC13" i="43"/>
  <c r="DB13" i="43"/>
  <c r="DA13" i="43"/>
  <c r="CZ13" i="43"/>
  <c r="CY13" i="43"/>
  <c r="CX13" i="43"/>
  <c r="CW13" i="43"/>
  <c r="CV13" i="43"/>
  <c r="CU13" i="43"/>
  <c r="CT13" i="43"/>
  <c r="CS13" i="43"/>
  <c r="CR13" i="43"/>
  <c r="CQ13" i="43"/>
  <c r="CP13" i="43"/>
  <c r="CO13" i="43"/>
  <c r="CN13" i="43"/>
  <c r="CM13" i="43"/>
  <c r="CL13" i="43"/>
  <c r="CK13" i="43"/>
  <c r="CJ13" i="43"/>
  <c r="CI13" i="43"/>
  <c r="CH13" i="43"/>
  <c r="CG13" i="43"/>
  <c r="CF13" i="43"/>
  <c r="CE13" i="43"/>
  <c r="CD13" i="43"/>
  <c r="CC13" i="43"/>
  <c r="CB13" i="43"/>
  <c r="CA13" i="43"/>
  <c r="BZ13" i="43"/>
  <c r="BY13" i="43"/>
  <c r="BX13" i="43"/>
  <c r="BW13" i="43"/>
  <c r="BV13" i="43"/>
  <c r="BU13" i="43"/>
  <c r="BT13" i="43"/>
  <c r="BS13" i="43"/>
  <c r="BR13" i="43"/>
  <c r="BQ13" i="43"/>
  <c r="BP13" i="43"/>
  <c r="BO13" i="43"/>
  <c r="BN13" i="43"/>
  <c r="BM13" i="43"/>
  <c r="BL13" i="43"/>
  <c r="BK13" i="43"/>
  <c r="BJ13" i="43"/>
  <c r="BI13" i="43"/>
  <c r="BH13" i="43"/>
  <c r="BG13" i="43"/>
  <c r="BF13" i="43"/>
  <c r="BE13" i="43"/>
  <c r="BD13" i="43"/>
  <c r="BC13" i="43"/>
  <c r="BB13" i="43"/>
  <c r="BA13" i="43"/>
  <c r="AZ13" i="43"/>
  <c r="AY13" i="43"/>
  <c r="AX13" i="43"/>
  <c r="AW13" i="43"/>
  <c r="AV13" i="43"/>
  <c r="AU13" i="43"/>
  <c r="AT13" i="43"/>
  <c r="AS13" i="43"/>
  <c r="AR13" i="43"/>
  <c r="AQ13" i="43"/>
  <c r="AP13" i="43"/>
  <c r="AO13" i="43"/>
  <c r="AN13" i="43"/>
  <c r="AM13" i="43"/>
  <c r="AL13" i="43"/>
  <c r="AK13" i="43"/>
  <c r="AJ13" i="43"/>
  <c r="AI13" i="43"/>
  <c r="AH13" i="43"/>
  <c r="AG13" i="43"/>
  <c r="AF13" i="43"/>
  <c r="AE13" i="43"/>
  <c r="AD13" i="43"/>
  <c r="AC13" i="43"/>
  <c r="AB13" i="43"/>
  <c r="AA13" i="43"/>
  <c r="Z13" i="43"/>
  <c r="Y13" i="43"/>
  <c r="X13" i="43"/>
  <c r="W13" i="43"/>
  <c r="V13" i="43"/>
  <c r="U13" i="43"/>
  <c r="T13" i="43"/>
  <c r="S13" i="43"/>
  <c r="R13" i="43"/>
  <c r="Q13" i="43"/>
  <c r="P13" i="43"/>
  <c r="O13" i="43"/>
  <c r="N13" i="43"/>
  <c r="M13" i="43"/>
  <c r="L13" i="43"/>
  <c r="K13" i="43"/>
  <c r="J13" i="43"/>
  <c r="I13" i="43"/>
  <c r="H13" i="43"/>
  <c r="G13" i="43"/>
  <c r="F13" i="43"/>
  <c r="E13" i="43"/>
  <c r="D13" i="43"/>
  <c r="C13" i="43"/>
  <c r="IV12" i="43"/>
  <c r="IU12" i="43"/>
  <c r="IT12" i="43"/>
  <c r="IS12" i="43"/>
  <c r="IR12" i="43"/>
  <c r="IQ12" i="43"/>
  <c r="IP12" i="43"/>
  <c r="IO12" i="43"/>
  <c r="IN12" i="43"/>
  <c r="IM12" i="43"/>
  <c r="IL12" i="43"/>
  <c r="IK12" i="43"/>
  <c r="IJ12" i="43"/>
  <c r="II12" i="43"/>
  <c r="IH12" i="43"/>
  <c r="IG12" i="43"/>
  <c r="IF12" i="43"/>
  <c r="IE12" i="43"/>
  <c r="ID12" i="43"/>
  <c r="IC12" i="43"/>
  <c r="IB12" i="43"/>
  <c r="IA12" i="43"/>
  <c r="HZ12" i="43"/>
  <c r="HY12" i="43"/>
  <c r="HX12" i="43"/>
  <c r="HW12" i="43"/>
  <c r="HV12" i="43"/>
  <c r="HU12" i="43"/>
  <c r="HT12" i="43"/>
  <c r="HS12" i="43"/>
  <c r="HR12" i="43"/>
  <c r="HQ12" i="43"/>
  <c r="HP12" i="43"/>
  <c r="HO12" i="43"/>
  <c r="HN12" i="43"/>
  <c r="HM12" i="43"/>
  <c r="HL12" i="43"/>
  <c r="HK12" i="43"/>
  <c r="HJ12" i="43"/>
  <c r="HI12" i="43"/>
  <c r="HH12" i="43"/>
  <c r="HG12" i="43"/>
  <c r="HF12" i="43"/>
  <c r="HE12" i="43"/>
  <c r="HD12" i="43"/>
  <c r="HC12" i="43"/>
  <c r="HB12" i="43"/>
  <c r="HA12" i="43"/>
  <c r="GZ12" i="43"/>
  <c r="GY12" i="43"/>
  <c r="GX12" i="43"/>
  <c r="GW12" i="43"/>
  <c r="GV12" i="43"/>
  <c r="GU12" i="43"/>
  <c r="GT12" i="43"/>
  <c r="GS12" i="43"/>
  <c r="GR12" i="43"/>
  <c r="GQ12" i="43"/>
  <c r="GP12" i="43"/>
  <c r="GO12" i="43"/>
  <c r="GN12" i="43"/>
  <c r="GM12" i="43"/>
  <c r="GL12" i="43"/>
  <c r="GK12" i="43"/>
  <c r="GJ12" i="43"/>
  <c r="GI12" i="43"/>
  <c r="GH12" i="43"/>
  <c r="GG12" i="43"/>
  <c r="GF12" i="43"/>
  <c r="GE12" i="43"/>
  <c r="GD12" i="43"/>
  <c r="GC12" i="43"/>
  <c r="GB12" i="43"/>
  <c r="GA12" i="43"/>
  <c r="FZ12" i="43"/>
  <c r="FY12" i="43"/>
  <c r="FX12" i="43"/>
  <c r="FW12" i="43"/>
  <c r="FV12" i="43"/>
  <c r="FU12" i="43"/>
  <c r="FT12" i="43"/>
  <c r="FS12" i="43"/>
  <c r="FR12" i="43"/>
  <c r="FQ12" i="43"/>
  <c r="FP12" i="43"/>
  <c r="FO12" i="43"/>
  <c r="FN12" i="43"/>
  <c r="FM12" i="43"/>
  <c r="FL12" i="43"/>
  <c r="FK12" i="43"/>
  <c r="FJ12" i="43"/>
  <c r="FI12" i="43"/>
  <c r="FH12" i="43"/>
  <c r="FG12" i="43"/>
  <c r="FF12" i="43"/>
  <c r="FE12" i="43"/>
  <c r="FD12" i="43"/>
  <c r="FC12" i="43"/>
  <c r="FB12" i="43"/>
  <c r="FA12" i="43"/>
  <c r="EZ12" i="43"/>
  <c r="EY12" i="43"/>
  <c r="EX12" i="43"/>
  <c r="EW12" i="43"/>
  <c r="EV12" i="43"/>
  <c r="EU12" i="43"/>
  <c r="ET12" i="43"/>
  <c r="ES12" i="43"/>
  <c r="ER12" i="43"/>
  <c r="EQ12" i="43"/>
  <c r="EP12" i="43"/>
  <c r="EO12" i="43"/>
  <c r="EN12" i="43"/>
  <c r="EM12" i="43"/>
  <c r="EL12" i="43"/>
  <c r="EK12" i="43"/>
  <c r="EJ12" i="43"/>
  <c r="EI12" i="43"/>
  <c r="EH12" i="43"/>
  <c r="EG12" i="43"/>
  <c r="EF12" i="43"/>
  <c r="EE12" i="43"/>
  <c r="ED12" i="43"/>
  <c r="EC12" i="43"/>
  <c r="EB12" i="43"/>
  <c r="EA12" i="43"/>
  <c r="DZ12" i="43"/>
  <c r="DY12" i="43"/>
  <c r="DX12" i="43"/>
  <c r="DW12" i="43"/>
  <c r="DV12" i="43"/>
  <c r="DU12" i="43"/>
  <c r="DT12" i="43"/>
  <c r="DS12" i="43"/>
  <c r="DR12" i="43"/>
  <c r="DQ12" i="43"/>
  <c r="DP12" i="43"/>
  <c r="DO12" i="43"/>
  <c r="DN12" i="43"/>
  <c r="DM12" i="43"/>
  <c r="DL12" i="43"/>
  <c r="DK12" i="43"/>
  <c r="DJ12" i="43"/>
  <c r="DI12" i="43"/>
  <c r="DH12" i="43"/>
  <c r="DG12" i="43"/>
  <c r="DF12" i="43"/>
  <c r="DE12" i="43"/>
  <c r="DD12" i="43"/>
  <c r="DC12" i="43"/>
  <c r="DB12" i="43"/>
  <c r="DA12" i="43"/>
  <c r="CZ12" i="43"/>
  <c r="CY12" i="43"/>
  <c r="CX12" i="43"/>
  <c r="CW12" i="43"/>
  <c r="CV12" i="43"/>
  <c r="CU12" i="43"/>
  <c r="CT12" i="43"/>
  <c r="CS12" i="43"/>
  <c r="CR12" i="43"/>
  <c r="CQ12" i="43"/>
  <c r="CP12" i="43"/>
  <c r="CO12" i="43"/>
  <c r="CN12" i="43"/>
  <c r="CM12" i="43"/>
  <c r="CL12" i="43"/>
  <c r="CK12" i="43"/>
  <c r="CJ12" i="43"/>
  <c r="CI12" i="43"/>
  <c r="CH12" i="43"/>
  <c r="CG12" i="43"/>
  <c r="CF12" i="43"/>
  <c r="CE12" i="43"/>
  <c r="CD12" i="43"/>
  <c r="CC12" i="43"/>
  <c r="CB12" i="43"/>
  <c r="CA12" i="43"/>
  <c r="BZ12" i="43"/>
  <c r="BY12" i="43"/>
  <c r="BX12" i="43"/>
  <c r="BW12" i="43"/>
  <c r="BV12" i="43"/>
  <c r="BU12" i="43"/>
  <c r="BT12" i="43"/>
  <c r="BS12" i="43"/>
  <c r="BR12" i="43"/>
  <c r="BQ12" i="43"/>
  <c r="BP12" i="43"/>
  <c r="BO12" i="43"/>
  <c r="BN12" i="43"/>
  <c r="BM12" i="43"/>
  <c r="BL12" i="43"/>
  <c r="BK12" i="43"/>
  <c r="BJ12" i="43"/>
  <c r="BI12" i="43"/>
  <c r="BH12" i="43"/>
  <c r="BG12" i="43"/>
  <c r="BF12" i="43"/>
  <c r="BE12" i="43"/>
  <c r="BD12" i="43"/>
  <c r="BC12" i="43"/>
  <c r="BB12" i="43"/>
  <c r="BA12" i="43"/>
  <c r="AZ12" i="43"/>
  <c r="AY12" i="43"/>
  <c r="AX12" i="43"/>
  <c r="AW12" i="43"/>
  <c r="AV12" i="43"/>
  <c r="AU12" i="43"/>
  <c r="AT12" i="43"/>
  <c r="AS12" i="43"/>
  <c r="AR12" i="43"/>
  <c r="AQ12" i="43"/>
  <c r="AP12" i="43"/>
  <c r="AO12" i="43"/>
  <c r="AN12" i="43"/>
  <c r="AM12" i="43"/>
  <c r="AL12" i="43"/>
  <c r="AK12" i="43"/>
  <c r="AJ12" i="43"/>
  <c r="AI12" i="43"/>
  <c r="AH12" i="43"/>
  <c r="AG12" i="43"/>
  <c r="AF12" i="43"/>
  <c r="AE12" i="43"/>
  <c r="AD12" i="43"/>
  <c r="AC12" i="43"/>
  <c r="AB12" i="43"/>
  <c r="AA12" i="43"/>
  <c r="Z12" i="43"/>
  <c r="Y12" i="43"/>
  <c r="X12" i="43"/>
  <c r="W12" i="43"/>
  <c r="V12" i="43"/>
  <c r="U12" i="43"/>
  <c r="T12" i="43"/>
  <c r="S12" i="43"/>
  <c r="R12" i="43"/>
  <c r="Q12" i="43"/>
  <c r="P12" i="43"/>
  <c r="O12" i="43"/>
  <c r="N12" i="43"/>
  <c r="M12" i="43"/>
  <c r="L12" i="43"/>
  <c r="K12" i="43"/>
  <c r="J12" i="43"/>
  <c r="I12" i="43"/>
  <c r="H12" i="43"/>
  <c r="G12" i="43"/>
  <c r="F12" i="43"/>
  <c r="E12" i="43"/>
  <c r="D12" i="43"/>
  <c r="C12" i="43"/>
  <c r="IV11" i="43"/>
  <c r="IU11" i="43"/>
  <c r="IT11" i="43"/>
  <c r="IS11" i="43"/>
  <c r="IR11" i="43"/>
  <c r="IQ11" i="43"/>
  <c r="IP11" i="43"/>
  <c r="IO11" i="43"/>
  <c r="IN11" i="43"/>
  <c r="IM11" i="43"/>
  <c r="IL11" i="43"/>
  <c r="IK11" i="43"/>
  <c r="IJ11" i="43"/>
  <c r="II11" i="43"/>
  <c r="IH11" i="43"/>
  <c r="IG11" i="43"/>
  <c r="IF11" i="43"/>
  <c r="IE11" i="43"/>
  <c r="ID11" i="43"/>
  <c r="IC11" i="43"/>
  <c r="IB11" i="43"/>
  <c r="IA11" i="43"/>
  <c r="HZ11" i="43"/>
  <c r="HY11" i="43"/>
  <c r="HX11" i="43"/>
  <c r="HW11" i="43"/>
  <c r="HV11" i="43"/>
  <c r="HU11" i="43"/>
  <c r="HT11" i="43"/>
  <c r="HS11" i="43"/>
  <c r="HR11" i="43"/>
  <c r="HQ11" i="43"/>
  <c r="HP11" i="43"/>
  <c r="HO11" i="43"/>
  <c r="HN11" i="43"/>
  <c r="HM11" i="43"/>
  <c r="HL11" i="43"/>
  <c r="HK11" i="43"/>
  <c r="HJ11" i="43"/>
  <c r="HI11" i="43"/>
  <c r="HH11" i="43"/>
  <c r="HG11" i="43"/>
  <c r="HF11" i="43"/>
  <c r="HE11" i="43"/>
  <c r="HD11" i="43"/>
  <c r="HC11" i="43"/>
  <c r="HB11" i="43"/>
  <c r="HA11" i="43"/>
  <c r="GZ11" i="43"/>
  <c r="GY11" i="43"/>
  <c r="GX11" i="43"/>
  <c r="GW11" i="43"/>
  <c r="GV11" i="43"/>
  <c r="GU11" i="43"/>
  <c r="GT11" i="43"/>
  <c r="GS11" i="43"/>
  <c r="GR11" i="43"/>
  <c r="GQ11" i="43"/>
  <c r="GP11" i="43"/>
  <c r="GO11" i="43"/>
  <c r="GN11" i="43"/>
  <c r="GM11" i="43"/>
  <c r="GL11" i="43"/>
  <c r="GK11" i="43"/>
  <c r="GJ11" i="43"/>
  <c r="GI11" i="43"/>
  <c r="GH11" i="43"/>
  <c r="GG11" i="43"/>
  <c r="GF11" i="43"/>
  <c r="GE11" i="43"/>
  <c r="GD11" i="43"/>
  <c r="GC11" i="43"/>
  <c r="GB11" i="43"/>
  <c r="GA11" i="43"/>
  <c r="FZ11" i="43"/>
  <c r="FY11" i="43"/>
  <c r="FX11" i="43"/>
  <c r="FW11" i="43"/>
  <c r="FV11" i="43"/>
  <c r="FU11" i="43"/>
  <c r="FT11" i="43"/>
  <c r="FS11" i="43"/>
  <c r="FR11" i="43"/>
  <c r="FQ11" i="43"/>
  <c r="FP11" i="43"/>
  <c r="FO11" i="43"/>
  <c r="FN11" i="43"/>
  <c r="FM11" i="43"/>
  <c r="FL11" i="43"/>
  <c r="FK11" i="43"/>
  <c r="FJ11" i="43"/>
  <c r="FI11" i="43"/>
  <c r="FH11" i="43"/>
  <c r="FG11" i="43"/>
  <c r="FF11" i="43"/>
  <c r="FE11" i="43"/>
  <c r="FD11" i="43"/>
  <c r="FC11" i="43"/>
  <c r="FB11" i="43"/>
  <c r="FA11" i="43"/>
  <c r="EZ11" i="43"/>
  <c r="EY11" i="43"/>
  <c r="EX11" i="43"/>
  <c r="EW11" i="43"/>
  <c r="EV11" i="43"/>
  <c r="EU11" i="43"/>
  <c r="ET11" i="43"/>
  <c r="ES11" i="43"/>
  <c r="ER11" i="43"/>
  <c r="EQ11" i="43"/>
  <c r="EP11" i="43"/>
  <c r="EO11" i="43"/>
  <c r="EN11" i="43"/>
  <c r="EM11" i="43"/>
  <c r="EL11" i="43"/>
  <c r="EK11" i="43"/>
  <c r="EJ11" i="43"/>
  <c r="EI11" i="43"/>
  <c r="EH11" i="43"/>
  <c r="EG11" i="43"/>
  <c r="EF11" i="43"/>
  <c r="EE11" i="43"/>
  <c r="ED11" i="43"/>
  <c r="EC11" i="43"/>
  <c r="EB11" i="43"/>
  <c r="EA11" i="43"/>
  <c r="DZ11" i="43"/>
  <c r="DY11" i="43"/>
  <c r="DX11" i="43"/>
  <c r="DW11" i="43"/>
  <c r="DV11" i="43"/>
  <c r="DU11" i="43"/>
  <c r="DT11" i="43"/>
  <c r="DS11" i="43"/>
  <c r="DR11" i="43"/>
  <c r="DQ11" i="43"/>
  <c r="DP11" i="43"/>
  <c r="DO11" i="43"/>
  <c r="DN11" i="43"/>
  <c r="DM11" i="43"/>
  <c r="DL11" i="43"/>
  <c r="DK11" i="43"/>
  <c r="DJ11" i="43"/>
  <c r="DI11" i="43"/>
  <c r="DH11" i="43"/>
  <c r="DG11" i="43"/>
  <c r="DF11" i="43"/>
  <c r="DE11" i="43"/>
  <c r="DD11" i="43"/>
  <c r="DC11" i="43"/>
  <c r="DB11" i="43"/>
  <c r="DA11" i="43"/>
  <c r="CZ11" i="43"/>
  <c r="CY11" i="43"/>
  <c r="CX11" i="43"/>
  <c r="CW11" i="43"/>
  <c r="CV11" i="43"/>
  <c r="CU11" i="43"/>
  <c r="CT11" i="43"/>
  <c r="CS11" i="43"/>
  <c r="CR11" i="43"/>
  <c r="CQ11" i="43"/>
  <c r="CP11" i="43"/>
  <c r="CO11" i="43"/>
  <c r="CN11" i="43"/>
  <c r="CM11" i="43"/>
  <c r="CL11" i="43"/>
  <c r="CK11" i="43"/>
  <c r="CJ11" i="43"/>
  <c r="CI11" i="43"/>
  <c r="CH11" i="43"/>
  <c r="CG11" i="43"/>
  <c r="CF11" i="43"/>
  <c r="CE11" i="43"/>
  <c r="CD11" i="43"/>
  <c r="CC11" i="43"/>
  <c r="CB11" i="43"/>
  <c r="CA11" i="43"/>
  <c r="BZ11" i="43"/>
  <c r="BY11" i="43"/>
  <c r="BX11" i="43"/>
  <c r="BW11" i="43"/>
  <c r="BV11" i="43"/>
  <c r="BU11" i="43"/>
  <c r="BT11" i="43"/>
  <c r="BS11" i="43"/>
  <c r="BR11" i="43"/>
  <c r="BQ11" i="43"/>
  <c r="BP11" i="43"/>
  <c r="BO11" i="43"/>
  <c r="BN11" i="43"/>
  <c r="BM11" i="43"/>
  <c r="BL11" i="43"/>
  <c r="BK11" i="43"/>
  <c r="BJ11" i="43"/>
  <c r="BI11" i="43"/>
  <c r="BH11" i="43"/>
  <c r="BG11" i="43"/>
  <c r="BF11" i="43"/>
  <c r="BE11" i="43"/>
  <c r="BD11" i="43"/>
  <c r="BC11" i="43"/>
  <c r="BB11" i="43"/>
  <c r="BA11" i="43"/>
  <c r="AZ11" i="43"/>
  <c r="AY11" i="43"/>
  <c r="AX11" i="43"/>
  <c r="AW11" i="43"/>
  <c r="AV11" i="43"/>
  <c r="AU11" i="43"/>
  <c r="AT11" i="43"/>
  <c r="AS11" i="43"/>
  <c r="AR11" i="43"/>
  <c r="AQ11" i="43"/>
  <c r="AP11" i="43"/>
  <c r="AO11" i="43"/>
  <c r="AN11" i="43"/>
  <c r="AM11" i="43"/>
  <c r="AL11" i="43"/>
  <c r="AK11" i="43"/>
  <c r="AJ11" i="43"/>
  <c r="AI11" i="43"/>
  <c r="AH11" i="43"/>
  <c r="AG11" i="43"/>
  <c r="AF11" i="43"/>
  <c r="AE11" i="43"/>
  <c r="AD11" i="43"/>
  <c r="AC11" i="43"/>
  <c r="AB11" i="43"/>
  <c r="AA11" i="43"/>
  <c r="Z11" i="43"/>
  <c r="Y11" i="43"/>
  <c r="X11" i="43"/>
  <c r="W11" i="43"/>
  <c r="V11" i="43"/>
  <c r="U11" i="43"/>
  <c r="T11" i="43"/>
  <c r="S11" i="43"/>
  <c r="R11" i="43"/>
  <c r="Q11" i="43"/>
  <c r="P11" i="43"/>
  <c r="O11" i="43"/>
  <c r="N11" i="43"/>
  <c r="M11" i="43"/>
  <c r="L11" i="43"/>
  <c r="K11" i="43"/>
  <c r="J11" i="43"/>
  <c r="I11" i="43"/>
  <c r="H11" i="43"/>
  <c r="G11" i="43"/>
  <c r="F11" i="43"/>
  <c r="E11" i="43"/>
  <c r="D11" i="43"/>
  <c r="C11" i="43"/>
  <c r="IV10" i="43"/>
  <c r="IU10" i="43"/>
  <c r="IT10" i="43"/>
  <c r="IS10" i="43"/>
  <c r="IR10" i="43"/>
  <c r="IQ10" i="43"/>
  <c r="IP10" i="43"/>
  <c r="IO10" i="43"/>
  <c r="IN10" i="43"/>
  <c r="IM10" i="43"/>
  <c r="IL10" i="43"/>
  <c r="IK10" i="43"/>
  <c r="IJ10" i="43"/>
  <c r="II10" i="43"/>
  <c r="IH10" i="43"/>
  <c r="IG10" i="43"/>
  <c r="IF10" i="43"/>
  <c r="IE10" i="43"/>
  <c r="ID10" i="43"/>
  <c r="IC10" i="43"/>
  <c r="IB10" i="43"/>
  <c r="IA10" i="43"/>
  <c r="HZ10" i="43"/>
  <c r="HY10" i="43"/>
  <c r="HX10" i="43"/>
  <c r="HW10" i="43"/>
  <c r="HV10" i="43"/>
  <c r="HU10" i="43"/>
  <c r="HT10" i="43"/>
  <c r="HS10" i="43"/>
  <c r="HR10" i="43"/>
  <c r="HQ10" i="43"/>
  <c r="HP10" i="43"/>
  <c r="HO10" i="43"/>
  <c r="HN10" i="43"/>
  <c r="HM10" i="43"/>
  <c r="HL10" i="43"/>
  <c r="HK10" i="43"/>
  <c r="HJ10" i="43"/>
  <c r="HI10" i="43"/>
  <c r="HH10" i="43"/>
  <c r="HG10" i="43"/>
  <c r="HF10" i="43"/>
  <c r="HE10" i="43"/>
  <c r="HD10" i="43"/>
  <c r="HC10" i="43"/>
  <c r="HB10" i="43"/>
  <c r="HA10" i="43"/>
  <c r="GZ10" i="43"/>
  <c r="GY10" i="43"/>
  <c r="GX10" i="43"/>
  <c r="GW10" i="43"/>
  <c r="GV10" i="43"/>
  <c r="GU10" i="43"/>
  <c r="GT10" i="43"/>
  <c r="GS10" i="43"/>
  <c r="GR10" i="43"/>
  <c r="GQ10" i="43"/>
  <c r="GP10" i="43"/>
  <c r="GO10" i="43"/>
  <c r="GN10" i="43"/>
  <c r="GM10" i="43"/>
  <c r="GL10" i="43"/>
  <c r="GK10" i="43"/>
  <c r="GJ10" i="43"/>
  <c r="GI10" i="43"/>
  <c r="GH10" i="43"/>
  <c r="GG10" i="43"/>
  <c r="GF10" i="43"/>
  <c r="GE10" i="43"/>
  <c r="GD10" i="43"/>
  <c r="GC10" i="43"/>
  <c r="GB10" i="43"/>
  <c r="GA10" i="43"/>
  <c r="FZ10" i="43"/>
  <c r="FY10" i="43"/>
  <c r="FX10" i="43"/>
  <c r="FW10" i="43"/>
  <c r="FV10" i="43"/>
  <c r="FU10" i="43"/>
  <c r="FT10" i="43"/>
  <c r="FS10" i="43"/>
  <c r="FR10" i="43"/>
  <c r="FQ10" i="43"/>
  <c r="FP10" i="43"/>
  <c r="FO10" i="43"/>
  <c r="FN10" i="43"/>
  <c r="FM10" i="43"/>
  <c r="FL10" i="43"/>
  <c r="FK10" i="43"/>
  <c r="FJ10" i="43"/>
  <c r="FI10" i="43"/>
  <c r="FH10" i="43"/>
  <c r="FG10" i="43"/>
  <c r="FF10" i="43"/>
  <c r="FE10" i="43"/>
  <c r="FD10" i="43"/>
  <c r="FC10" i="43"/>
  <c r="FB10" i="43"/>
  <c r="FA10" i="43"/>
  <c r="EZ10" i="43"/>
  <c r="EY10" i="43"/>
  <c r="EX10" i="43"/>
  <c r="EW10" i="43"/>
  <c r="EV10" i="43"/>
  <c r="EU10" i="43"/>
  <c r="ET10" i="43"/>
  <c r="ES10" i="43"/>
  <c r="ER10" i="43"/>
  <c r="EQ10" i="43"/>
  <c r="EP10" i="43"/>
  <c r="EO10" i="43"/>
  <c r="EN10" i="43"/>
  <c r="EM10" i="43"/>
  <c r="EL10" i="43"/>
  <c r="EK10" i="43"/>
  <c r="EJ10" i="43"/>
  <c r="EI10" i="43"/>
  <c r="EH10" i="43"/>
  <c r="EG10" i="43"/>
  <c r="EF10" i="43"/>
  <c r="EE10" i="43"/>
  <c r="ED10" i="43"/>
  <c r="EC10" i="43"/>
  <c r="EB10" i="43"/>
  <c r="EA10" i="43"/>
  <c r="DZ10" i="43"/>
  <c r="DY10" i="43"/>
  <c r="DX10" i="43"/>
  <c r="DW10" i="43"/>
  <c r="DV10" i="43"/>
  <c r="DU10" i="43"/>
  <c r="DT10" i="43"/>
  <c r="DS10" i="43"/>
  <c r="DR10" i="43"/>
  <c r="DQ10" i="43"/>
  <c r="DP10" i="43"/>
  <c r="DO10" i="43"/>
  <c r="DN10" i="43"/>
  <c r="DM10" i="43"/>
  <c r="DL10" i="43"/>
  <c r="DK10" i="43"/>
  <c r="DJ10" i="43"/>
  <c r="DI10" i="43"/>
  <c r="DH10" i="43"/>
  <c r="DG10" i="43"/>
  <c r="DF10" i="43"/>
  <c r="DE10" i="43"/>
  <c r="DD10" i="43"/>
  <c r="DC10" i="43"/>
  <c r="DB10" i="43"/>
  <c r="DA10" i="43"/>
  <c r="CZ10" i="43"/>
  <c r="CY10" i="43"/>
  <c r="CX10" i="43"/>
  <c r="CW10" i="43"/>
  <c r="CV10" i="43"/>
  <c r="CU10" i="43"/>
  <c r="CT10" i="43"/>
  <c r="CS10" i="43"/>
  <c r="CR10" i="43"/>
  <c r="CQ10" i="43"/>
  <c r="CP10" i="43"/>
  <c r="CO10" i="43"/>
  <c r="CN10" i="43"/>
  <c r="CM10" i="43"/>
  <c r="CL10" i="43"/>
  <c r="CK10" i="43"/>
  <c r="CJ10" i="43"/>
  <c r="CI10" i="43"/>
  <c r="CH10" i="43"/>
  <c r="CG10" i="43"/>
  <c r="CF10" i="43"/>
  <c r="CE10" i="43"/>
  <c r="CD10" i="43"/>
  <c r="CC10" i="43"/>
  <c r="CB10" i="43"/>
  <c r="CA10" i="43"/>
  <c r="BZ10" i="43"/>
  <c r="BY10" i="43"/>
  <c r="BX10" i="43"/>
  <c r="BW10" i="43"/>
  <c r="BV10" i="43"/>
  <c r="BU10" i="43"/>
  <c r="BT10" i="43"/>
  <c r="BS10" i="43"/>
  <c r="BR10" i="43"/>
  <c r="BQ10" i="43"/>
  <c r="BP10" i="43"/>
  <c r="BO10" i="43"/>
  <c r="BN10" i="43"/>
  <c r="BM10" i="43"/>
  <c r="BL10" i="43"/>
  <c r="BK10" i="43"/>
  <c r="BJ10" i="43"/>
  <c r="BI10" i="43"/>
  <c r="BH10" i="43"/>
  <c r="BG10" i="43"/>
  <c r="BF10" i="43"/>
  <c r="BE10" i="43"/>
  <c r="BD10" i="43"/>
  <c r="BC10" i="43"/>
  <c r="BB10" i="43"/>
  <c r="BA10" i="43"/>
  <c r="AZ10" i="43"/>
  <c r="AY10" i="43"/>
  <c r="AX10" i="43"/>
  <c r="AW10" i="43"/>
  <c r="AV10" i="43"/>
  <c r="AU10" i="43"/>
  <c r="AT10" i="43"/>
  <c r="AS10" i="43"/>
  <c r="AR10" i="43"/>
  <c r="AQ10" i="43"/>
  <c r="AP10" i="43"/>
  <c r="AO10" i="43"/>
  <c r="AN10" i="43"/>
  <c r="AM10" i="43"/>
  <c r="AL10" i="43"/>
  <c r="AK10" i="43"/>
  <c r="AJ10" i="43"/>
  <c r="AI10" i="43"/>
  <c r="AH10" i="43"/>
  <c r="AG10" i="43"/>
  <c r="AF10" i="43"/>
  <c r="AE10" i="43"/>
  <c r="AD10" i="43"/>
  <c r="AC10" i="43"/>
  <c r="AB10" i="43"/>
  <c r="AA10" i="43"/>
  <c r="Z10" i="43"/>
  <c r="Y10" i="43"/>
  <c r="X10" i="43"/>
  <c r="W10" i="43"/>
  <c r="V10" i="43"/>
  <c r="U10" i="43"/>
  <c r="T10" i="43"/>
  <c r="S10" i="43"/>
  <c r="R10" i="43"/>
  <c r="Q10" i="43"/>
  <c r="P10" i="43"/>
  <c r="O10" i="43"/>
  <c r="N10" i="43"/>
  <c r="M10" i="43"/>
  <c r="L10" i="43"/>
  <c r="K10" i="43"/>
  <c r="J10" i="43"/>
  <c r="I10" i="43"/>
  <c r="H10" i="43"/>
  <c r="G10" i="43"/>
  <c r="F10" i="43"/>
  <c r="E10" i="43"/>
  <c r="D10" i="43"/>
  <c r="C10" i="43"/>
  <c r="L3" i="43"/>
  <c r="C3" i="43"/>
  <c r="L2" i="43"/>
  <c r="I2" i="43"/>
  <c r="F2" i="43"/>
  <c r="C2" i="43"/>
  <c r="Z24" i="42"/>
  <c r="Z21" i="42"/>
  <c r="Z30" i="42"/>
  <c r="Z22" i="42"/>
  <c r="Y24" i="42"/>
  <c r="Y29" i="42"/>
  <c r="Y21" i="42"/>
  <c r="Y22" i="42"/>
  <c r="X24" i="42"/>
  <c r="X28" i="42"/>
  <c r="X21" i="42"/>
  <c r="X29" i="42"/>
  <c r="X22" i="42"/>
  <c r="W24" i="42"/>
  <c r="W21" i="42"/>
  <c r="W22" i="42"/>
  <c r="V24" i="42"/>
  <c r="V29" i="42" s="1"/>
  <c r="V21" i="42"/>
  <c r="V30" i="42"/>
  <c r="V22" i="42"/>
  <c r="U24" i="42"/>
  <c r="U29" i="42"/>
  <c r="U21" i="42"/>
  <c r="U22" i="42"/>
  <c r="T24" i="42"/>
  <c r="T28" i="42"/>
  <c r="T21" i="42"/>
  <c r="T29" i="42"/>
  <c r="T22" i="42"/>
  <c r="S24" i="42"/>
  <c r="S21" i="42"/>
  <c r="S22" i="42"/>
  <c r="R24" i="42"/>
  <c r="R33" i="42"/>
  <c r="R21" i="42"/>
  <c r="R22" i="42"/>
  <c r="Q24" i="42"/>
  <c r="Q21" i="42"/>
  <c r="Q30" i="42" s="1"/>
  <c r="Q22" i="42"/>
  <c r="P24" i="42"/>
  <c r="P21" i="42"/>
  <c r="P22" i="42"/>
  <c r="O24" i="42"/>
  <c r="O21" i="42"/>
  <c r="O22" i="42"/>
  <c r="N24" i="42"/>
  <c r="N21" i="42"/>
  <c r="N30" i="42"/>
  <c r="N22" i="42"/>
  <c r="M24" i="42"/>
  <c r="M21" i="42"/>
  <c r="M22" i="42"/>
  <c r="L24" i="42"/>
  <c r="L33" i="42"/>
  <c r="L21" i="42"/>
  <c r="L30" i="42"/>
  <c r="L22" i="42"/>
  <c r="K24" i="42"/>
  <c r="K28" i="42"/>
  <c r="K21" i="42"/>
  <c r="K22" i="42"/>
  <c r="J24" i="42"/>
  <c r="J21" i="42"/>
  <c r="J22" i="42"/>
  <c r="I24" i="42"/>
  <c r="I21" i="42"/>
  <c r="I22" i="42"/>
  <c r="H24" i="42"/>
  <c r="H21" i="42"/>
  <c r="H22" i="42"/>
  <c r="G24" i="42"/>
  <c r="G21" i="42"/>
  <c r="G30" i="42"/>
  <c r="G22" i="42"/>
  <c r="G28" i="42"/>
  <c r="F24" i="42"/>
  <c r="F21" i="42"/>
  <c r="F22" i="42"/>
  <c r="E24" i="42"/>
  <c r="E33" i="42"/>
  <c r="E21" i="42"/>
  <c r="E32" i="42"/>
  <c r="E22" i="42"/>
  <c r="D24" i="42"/>
  <c r="D33" i="42"/>
  <c r="D21" i="42"/>
  <c r="D22" i="42"/>
  <c r="C24" i="42"/>
  <c r="C21" i="42"/>
  <c r="C22" i="42"/>
  <c r="Z23" i="42"/>
  <c r="Z32" i="42"/>
  <c r="Y23" i="42"/>
  <c r="Y27" i="42"/>
  <c r="Y32" i="42"/>
  <c r="X23" i="42"/>
  <c r="X32" i="42"/>
  <c r="W23" i="42"/>
  <c r="W32" i="42"/>
  <c r="V23" i="42"/>
  <c r="V32" i="42"/>
  <c r="U23" i="42"/>
  <c r="U32" i="42"/>
  <c r="T23" i="42"/>
  <c r="T32" i="42"/>
  <c r="S23" i="42"/>
  <c r="S32" i="42"/>
  <c r="R23" i="42"/>
  <c r="R32" i="42"/>
  <c r="Q23" i="42"/>
  <c r="P23" i="42"/>
  <c r="O23" i="42"/>
  <c r="O27" i="42" s="1"/>
  <c r="N23" i="42"/>
  <c r="M23" i="42"/>
  <c r="L23" i="42"/>
  <c r="L28" i="42"/>
  <c r="K23" i="42"/>
  <c r="J23" i="42"/>
  <c r="I23" i="42"/>
  <c r="I29" i="42" s="1"/>
  <c r="H23" i="42"/>
  <c r="H32" i="42"/>
  <c r="G23" i="42"/>
  <c r="F23" i="42"/>
  <c r="E23" i="42"/>
  <c r="D23" i="42"/>
  <c r="D32" i="42"/>
  <c r="C23" i="42"/>
  <c r="Y30" i="42"/>
  <c r="X30" i="42"/>
  <c r="T30" i="42"/>
  <c r="O30" i="42"/>
  <c r="K30" i="42"/>
  <c r="D30" i="42"/>
  <c r="R29" i="42"/>
  <c r="N29" i="42"/>
  <c r="K29" i="42"/>
  <c r="J29" i="42"/>
  <c r="Z28" i="42"/>
  <c r="V28" i="42"/>
  <c r="S28" i="42"/>
  <c r="R28" i="42"/>
  <c r="N28" i="42"/>
  <c r="Z27" i="42"/>
  <c r="W27" i="42"/>
  <c r="V27" i="42"/>
  <c r="S27" i="42"/>
  <c r="R27" i="42"/>
  <c r="N27" i="42"/>
  <c r="K27" i="42"/>
  <c r="J27" i="42"/>
  <c r="G27" i="42"/>
  <c r="E27" i="42"/>
  <c r="Z26" i="42"/>
  <c r="Y26" i="42"/>
  <c r="X26" i="42"/>
  <c r="W26" i="42"/>
  <c r="V26" i="42"/>
  <c r="U26" i="42"/>
  <c r="T26" i="42"/>
  <c r="S26" i="42"/>
  <c r="R26" i="42"/>
  <c r="Q26" i="42"/>
  <c r="P26" i="42"/>
  <c r="O26" i="42"/>
  <c r="N26" i="42"/>
  <c r="M26" i="42"/>
  <c r="L26" i="42"/>
  <c r="K26" i="42"/>
  <c r="J26" i="42"/>
  <c r="I26" i="42"/>
  <c r="H26" i="42"/>
  <c r="G26" i="42"/>
  <c r="F26" i="42"/>
  <c r="E26" i="42"/>
  <c r="D26" i="42"/>
  <c r="C26" i="42"/>
  <c r="Z25" i="42"/>
  <c r="Y25" i="42"/>
  <c r="X25" i="42"/>
  <c r="W25" i="42"/>
  <c r="V25" i="42"/>
  <c r="U25" i="42"/>
  <c r="T25" i="42"/>
  <c r="S25" i="42"/>
  <c r="R25" i="42"/>
  <c r="Q25" i="42"/>
  <c r="P25" i="42"/>
  <c r="O25" i="42"/>
  <c r="N25" i="42"/>
  <c r="M25" i="42"/>
  <c r="L25" i="42"/>
  <c r="K25" i="42"/>
  <c r="J25" i="42"/>
  <c r="I25" i="42"/>
  <c r="H25" i="42"/>
  <c r="G25" i="42"/>
  <c r="F25" i="42"/>
  <c r="E25" i="42"/>
  <c r="D25" i="42"/>
  <c r="C25" i="42"/>
  <c r="IV13" i="42"/>
  <c r="IU13" i="42"/>
  <c r="IT13" i="42"/>
  <c r="IS13" i="42"/>
  <c r="IR13" i="42"/>
  <c r="IQ13" i="42"/>
  <c r="IP13" i="42"/>
  <c r="IO13" i="42"/>
  <c r="IN13" i="42"/>
  <c r="IM13" i="42"/>
  <c r="IL13" i="42"/>
  <c r="IK13" i="42"/>
  <c r="IJ13" i="42"/>
  <c r="II13" i="42"/>
  <c r="IH13" i="42"/>
  <c r="IG13" i="42"/>
  <c r="IF13" i="42"/>
  <c r="IE13" i="42"/>
  <c r="ID13" i="42"/>
  <c r="IC13" i="42"/>
  <c r="IB13" i="42"/>
  <c r="IA13" i="42"/>
  <c r="HZ13" i="42"/>
  <c r="HY13" i="42"/>
  <c r="HX13" i="42"/>
  <c r="HW13" i="42"/>
  <c r="HV13" i="42"/>
  <c r="HU13" i="42"/>
  <c r="HT13" i="42"/>
  <c r="HS13" i="42"/>
  <c r="HR13" i="42"/>
  <c r="HQ13" i="42"/>
  <c r="HP13" i="42"/>
  <c r="HO13" i="42"/>
  <c r="HN13" i="42"/>
  <c r="HM13" i="42"/>
  <c r="HL13" i="42"/>
  <c r="HK13" i="42"/>
  <c r="HJ13" i="42"/>
  <c r="HI13" i="42"/>
  <c r="HH13" i="42"/>
  <c r="HG13" i="42"/>
  <c r="HF13" i="42"/>
  <c r="HE13" i="42"/>
  <c r="HD13" i="42"/>
  <c r="HC13" i="42"/>
  <c r="HB13" i="42"/>
  <c r="HA13" i="42"/>
  <c r="GZ13" i="42"/>
  <c r="GY13" i="42"/>
  <c r="GX13" i="42"/>
  <c r="GW13" i="42"/>
  <c r="GV13" i="42"/>
  <c r="GU13" i="42"/>
  <c r="GT13" i="42"/>
  <c r="GS13" i="42"/>
  <c r="GR13" i="42"/>
  <c r="GQ13" i="42"/>
  <c r="GP13" i="42"/>
  <c r="GO13" i="42"/>
  <c r="GN13" i="42"/>
  <c r="GM13" i="42"/>
  <c r="GL13" i="42"/>
  <c r="GK13" i="42"/>
  <c r="GJ13" i="42"/>
  <c r="GI13" i="42"/>
  <c r="GH13" i="42"/>
  <c r="GG13" i="42"/>
  <c r="GF13" i="42"/>
  <c r="GE13" i="42"/>
  <c r="GD13" i="42"/>
  <c r="GC13" i="42"/>
  <c r="GB13" i="42"/>
  <c r="GA13" i="42"/>
  <c r="FZ13" i="42"/>
  <c r="FY13" i="42"/>
  <c r="FX13" i="42"/>
  <c r="FW13" i="42"/>
  <c r="FV13" i="42"/>
  <c r="FU13" i="42"/>
  <c r="FT13" i="42"/>
  <c r="FS13" i="42"/>
  <c r="FR13" i="42"/>
  <c r="FQ13" i="42"/>
  <c r="FP13" i="42"/>
  <c r="FO13" i="42"/>
  <c r="FN13" i="42"/>
  <c r="FM13" i="42"/>
  <c r="FL13" i="42"/>
  <c r="FK13" i="42"/>
  <c r="FJ13" i="42"/>
  <c r="FI13" i="42"/>
  <c r="FH13" i="42"/>
  <c r="FG13" i="42"/>
  <c r="FF13" i="42"/>
  <c r="FE13" i="42"/>
  <c r="FD13" i="42"/>
  <c r="FC13" i="42"/>
  <c r="FB13" i="42"/>
  <c r="FA13" i="42"/>
  <c r="EZ13" i="42"/>
  <c r="EY13" i="42"/>
  <c r="EX13" i="42"/>
  <c r="EW13" i="42"/>
  <c r="EV13" i="42"/>
  <c r="EU13" i="42"/>
  <c r="ET13" i="42"/>
  <c r="ES13" i="42"/>
  <c r="ER13" i="42"/>
  <c r="EQ13" i="42"/>
  <c r="EP13" i="42"/>
  <c r="EO13" i="42"/>
  <c r="EN13" i="42"/>
  <c r="EM13" i="42"/>
  <c r="EL13" i="42"/>
  <c r="EK13" i="42"/>
  <c r="EJ13" i="42"/>
  <c r="EI13" i="42"/>
  <c r="EH13" i="42"/>
  <c r="EG13" i="42"/>
  <c r="EF13" i="42"/>
  <c r="EE13" i="42"/>
  <c r="ED13" i="42"/>
  <c r="EC13" i="42"/>
  <c r="EB13" i="42"/>
  <c r="EA13" i="42"/>
  <c r="DZ13" i="42"/>
  <c r="DY13" i="42"/>
  <c r="DX13" i="42"/>
  <c r="DW13" i="42"/>
  <c r="DV13" i="42"/>
  <c r="DU13" i="42"/>
  <c r="DT13" i="42"/>
  <c r="DS13" i="42"/>
  <c r="DR13" i="42"/>
  <c r="DQ13" i="42"/>
  <c r="DP13" i="42"/>
  <c r="DO13" i="42"/>
  <c r="DN13" i="42"/>
  <c r="DM13" i="42"/>
  <c r="DL13" i="42"/>
  <c r="DK13" i="42"/>
  <c r="DJ13" i="42"/>
  <c r="DI13" i="42"/>
  <c r="DH13" i="42"/>
  <c r="DG13" i="42"/>
  <c r="DF13" i="42"/>
  <c r="DE13" i="42"/>
  <c r="DD13" i="42"/>
  <c r="DC13" i="42"/>
  <c r="DB13" i="42"/>
  <c r="DA13" i="42"/>
  <c r="CZ13" i="42"/>
  <c r="CY13" i="42"/>
  <c r="CX13" i="42"/>
  <c r="CW13" i="42"/>
  <c r="CV13" i="42"/>
  <c r="CU13" i="42"/>
  <c r="CT13" i="42"/>
  <c r="CS13" i="42"/>
  <c r="CR13" i="42"/>
  <c r="CQ13" i="42"/>
  <c r="CP13" i="42"/>
  <c r="CO13" i="42"/>
  <c r="CN13" i="42"/>
  <c r="CM13" i="42"/>
  <c r="CL13" i="42"/>
  <c r="CK13" i="42"/>
  <c r="CJ13" i="42"/>
  <c r="CI13" i="42"/>
  <c r="CH13" i="42"/>
  <c r="CG13" i="42"/>
  <c r="CF13" i="42"/>
  <c r="CE13" i="42"/>
  <c r="CD13" i="42"/>
  <c r="CC13" i="42"/>
  <c r="CB13" i="42"/>
  <c r="CA13" i="42"/>
  <c r="BZ13" i="42"/>
  <c r="BY13" i="42"/>
  <c r="BX13" i="42"/>
  <c r="BW13" i="42"/>
  <c r="BV13" i="42"/>
  <c r="BU13" i="42"/>
  <c r="BT13" i="42"/>
  <c r="BS13" i="42"/>
  <c r="BR13" i="42"/>
  <c r="BQ13" i="42"/>
  <c r="BP13" i="42"/>
  <c r="BO13" i="42"/>
  <c r="BN13" i="42"/>
  <c r="BM13" i="42"/>
  <c r="BL13" i="42"/>
  <c r="BK13" i="42"/>
  <c r="BJ13" i="42"/>
  <c r="BI13" i="42"/>
  <c r="BH13" i="42"/>
  <c r="BG13" i="42"/>
  <c r="BF13" i="42"/>
  <c r="BE13" i="42"/>
  <c r="BD13" i="42"/>
  <c r="BC13" i="42"/>
  <c r="BB13" i="42"/>
  <c r="BA13" i="42"/>
  <c r="AZ13" i="42"/>
  <c r="AY13" i="42"/>
  <c r="AX13" i="42"/>
  <c r="AW13" i="42"/>
  <c r="AV13" i="42"/>
  <c r="AU13" i="42"/>
  <c r="AT13" i="42"/>
  <c r="AS13" i="42"/>
  <c r="AR13" i="42"/>
  <c r="AQ13" i="42"/>
  <c r="AP13" i="42"/>
  <c r="AO13" i="42"/>
  <c r="AN13" i="42"/>
  <c r="AM13" i="42"/>
  <c r="AL13" i="42"/>
  <c r="AK13" i="42"/>
  <c r="AJ13" i="42"/>
  <c r="AI13" i="42"/>
  <c r="AH13" i="42"/>
  <c r="AG13" i="42"/>
  <c r="AF13" i="42"/>
  <c r="AE13" i="42"/>
  <c r="AD13" i="42"/>
  <c r="AC13" i="42"/>
  <c r="AB13" i="42"/>
  <c r="AA13" i="42"/>
  <c r="Z13" i="42"/>
  <c r="Y13" i="42"/>
  <c r="X13" i="42"/>
  <c r="W13" i="42"/>
  <c r="V13" i="42"/>
  <c r="U13" i="42"/>
  <c r="T13" i="42"/>
  <c r="S13" i="42"/>
  <c r="R13" i="42"/>
  <c r="Q13" i="42"/>
  <c r="P13" i="42"/>
  <c r="O13" i="42"/>
  <c r="N13" i="42"/>
  <c r="M13" i="42"/>
  <c r="L13" i="42"/>
  <c r="K13" i="42"/>
  <c r="J13" i="42"/>
  <c r="I13" i="42"/>
  <c r="H13" i="42"/>
  <c r="G13" i="42"/>
  <c r="F13" i="42"/>
  <c r="E13" i="42"/>
  <c r="D13" i="42"/>
  <c r="C13" i="42"/>
  <c r="IV12" i="42"/>
  <c r="IU12" i="42"/>
  <c r="IT12" i="42"/>
  <c r="IS12" i="42"/>
  <c r="IR12" i="42"/>
  <c r="IQ12" i="42"/>
  <c r="IP12" i="42"/>
  <c r="IO12" i="42"/>
  <c r="IN12" i="42"/>
  <c r="IM12" i="42"/>
  <c r="IL12" i="42"/>
  <c r="IK12" i="42"/>
  <c r="IJ12" i="42"/>
  <c r="II12" i="42"/>
  <c r="IH12" i="42"/>
  <c r="IG12" i="42"/>
  <c r="IF12" i="42"/>
  <c r="IE12" i="42"/>
  <c r="ID12" i="42"/>
  <c r="IC12" i="42"/>
  <c r="IB12" i="42"/>
  <c r="IA12" i="42"/>
  <c r="HZ12" i="42"/>
  <c r="HY12" i="42"/>
  <c r="HX12" i="42"/>
  <c r="HW12" i="42"/>
  <c r="HV12" i="42"/>
  <c r="HU12" i="42"/>
  <c r="HT12" i="42"/>
  <c r="HS12" i="42"/>
  <c r="HR12" i="42"/>
  <c r="HQ12" i="42"/>
  <c r="HP12" i="42"/>
  <c r="HO12" i="42"/>
  <c r="HN12" i="42"/>
  <c r="HM12" i="42"/>
  <c r="HL12" i="42"/>
  <c r="HK12" i="42"/>
  <c r="HJ12" i="42"/>
  <c r="HI12" i="42"/>
  <c r="HH12" i="42"/>
  <c r="HG12" i="42"/>
  <c r="HF12" i="42"/>
  <c r="HE12" i="42"/>
  <c r="HD12" i="42"/>
  <c r="HC12" i="42"/>
  <c r="HB12" i="42"/>
  <c r="HA12" i="42"/>
  <c r="GZ12" i="42"/>
  <c r="GY12" i="42"/>
  <c r="GX12" i="42"/>
  <c r="GW12" i="42"/>
  <c r="GV12" i="42"/>
  <c r="GU12" i="42"/>
  <c r="GT12" i="42"/>
  <c r="GS12" i="42"/>
  <c r="GR12" i="42"/>
  <c r="GQ12" i="42"/>
  <c r="GP12" i="42"/>
  <c r="GO12" i="42"/>
  <c r="GN12" i="42"/>
  <c r="GM12" i="42"/>
  <c r="GL12" i="42"/>
  <c r="GK12" i="42"/>
  <c r="GJ12" i="42"/>
  <c r="GI12" i="42"/>
  <c r="GH12" i="42"/>
  <c r="GG12" i="42"/>
  <c r="GF12" i="42"/>
  <c r="GE12" i="42"/>
  <c r="GD12" i="42"/>
  <c r="GC12" i="42"/>
  <c r="GB12" i="42"/>
  <c r="GA12" i="42"/>
  <c r="FZ12" i="42"/>
  <c r="FY12" i="42"/>
  <c r="FX12" i="42"/>
  <c r="FW12" i="42"/>
  <c r="FV12" i="42"/>
  <c r="FU12" i="42"/>
  <c r="FT12" i="42"/>
  <c r="FS12" i="42"/>
  <c r="FR12" i="42"/>
  <c r="FQ12" i="42"/>
  <c r="FP12" i="42"/>
  <c r="FO12" i="42"/>
  <c r="FN12" i="42"/>
  <c r="FM12" i="42"/>
  <c r="FL12" i="42"/>
  <c r="FK12" i="42"/>
  <c r="FJ12" i="42"/>
  <c r="FI12" i="42"/>
  <c r="FH12" i="42"/>
  <c r="FG12" i="42"/>
  <c r="FF12" i="42"/>
  <c r="FE12" i="42"/>
  <c r="FD12" i="42"/>
  <c r="FC12" i="42"/>
  <c r="FB12" i="42"/>
  <c r="FA12" i="42"/>
  <c r="EZ12" i="42"/>
  <c r="EY12" i="42"/>
  <c r="EX12" i="42"/>
  <c r="EW12" i="42"/>
  <c r="EV12" i="42"/>
  <c r="EU12" i="42"/>
  <c r="ET12" i="42"/>
  <c r="ES12" i="42"/>
  <c r="ER12" i="42"/>
  <c r="EQ12" i="42"/>
  <c r="EP12" i="42"/>
  <c r="EO12" i="42"/>
  <c r="EN12" i="42"/>
  <c r="EM12" i="42"/>
  <c r="EL12" i="42"/>
  <c r="EK12" i="42"/>
  <c r="EJ12" i="42"/>
  <c r="EI12" i="42"/>
  <c r="EH12" i="42"/>
  <c r="EG12" i="42"/>
  <c r="EF12" i="42"/>
  <c r="EE12" i="42"/>
  <c r="ED12" i="42"/>
  <c r="EC12" i="42"/>
  <c r="EB12" i="42"/>
  <c r="EA12" i="42"/>
  <c r="DZ12" i="42"/>
  <c r="DY12" i="42"/>
  <c r="DX12" i="42"/>
  <c r="DW12" i="42"/>
  <c r="DV12" i="42"/>
  <c r="DU12" i="42"/>
  <c r="DT12" i="42"/>
  <c r="DS12" i="42"/>
  <c r="DR12" i="42"/>
  <c r="DQ12" i="42"/>
  <c r="DP12" i="42"/>
  <c r="DO12" i="42"/>
  <c r="DN12" i="42"/>
  <c r="DM12" i="42"/>
  <c r="DL12" i="42"/>
  <c r="DK12" i="42"/>
  <c r="DJ12" i="42"/>
  <c r="DI12" i="42"/>
  <c r="DH12" i="42"/>
  <c r="DG12" i="42"/>
  <c r="DF12" i="42"/>
  <c r="DE12" i="42"/>
  <c r="DD12" i="42"/>
  <c r="DC12" i="42"/>
  <c r="DB12" i="42"/>
  <c r="DA12" i="42"/>
  <c r="CZ12" i="42"/>
  <c r="CY12" i="42"/>
  <c r="CX12" i="42"/>
  <c r="CW12" i="42"/>
  <c r="CV12" i="42"/>
  <c r="CU12" i="42"/>
  <c r="CT12" i="42"/>
  <c r="CS12" i="42"/>
  <c r="CR12" i="42"/>
  <c r="CQ12" i="42"/>
  <c r="CP12" i="42"/>
  <c r="CO12" i="42"/>
  <c r="CN12" i="42"/>
  <c r="CM12" i="42"/>
  <c r="CL12" i="42"/>
  <c r="CK12" i="42"/>
  <c r="CJ12" i="42"/>
  <c r="CI12" i="42"/>
  <c r="CH12" i="42"/>
  <c r="CG12" i="42"/>
  <c r="CF12" i="42"/>
  <c r="CE12" i="42"/>
  <c r="CD12" i="42"/>
  <c r="CC12" i="42"/>
  <c r="CB12" i="42"/>
  <c r="CA12" i="42"/>
  <c r="BZ12" i="42"/>
  <c r="BY12" i="42"/>
  <c r="BX12" i="42"/>
  <c r="BW12" i="42"/>
  <c r="BV12" i="42"/>
  <c r="BU12" i="42"/>
  <c r="BT12" i="42"/>
  <c r="BS12" i="42"/>
  <c r="BR12" i="42"/>
  <c r="BQ12" i="42"/>
  <c r="BP12" i="42"/>
  <c r="BO12" i="42"/>
  <c r="BN12" i="42"/>
  <c r="BM12" i="42"/>
  <c r="BL12" i="42"/>
  <c r="BK12" i="42"/>
  <c r="BJ12" i="42"/>
  <c r="BI12" i="42"/>
  <c r="BH12" i="42"/>
  <c r="BG12" i="42"/>
  <c r="BF12" i="42"/>
  <c r="BE12" i="42"/>
  <c r="BD12" i="42"/>
  <c r="BC12" i="42"/>
  <c r="BB12" i="42"/>
  <c r="BA12" i="42"/>
  <c r="AZ12" i="42"/>
  <c r="AY12" i="42"/>
  <c r="AX12" i="42"/>
  <c r="AW12" i="42"/>
  <c r="AV12" i="42"/>
  <c r="AU12" i="42"/>
  <c r="AT12" i="42"/>
  <c r="AS12" i="42"/>
  <c r="AR12" i="42"/>
  <c r="AQ12" i="42"/>
  <c r="AP12" i="42"/>
  <c r="AO12" i="42"/>
  <c r="AN12" i="42"/>
  <c r="AM12" i="42"/>
  <c r="AL12" i="42"/>
  <c r="AK12" i="42"/>
  <c r="AJ12" i="42"/>
  <c r="AI12" i="42"/>
  <c r="AH12" i="42"/>
  <c r="AG12" i="42"/>
  <c r="AF12" i="42"/>
  <c r="AE12" i="42"/>
  <c r="AD12" i="42"/>
  <c r="AC12" i="42"/>
  <c r="AB12" i="42"/>
  <c r="AA12" i="42"/>
  <c r="Z12" i="42"/>
  <c r="Y12" i="42"/>
  <c r="X12" i="42"/>
  <c r="W12" i="42"/>
  <c r="V12" i="42"/>
  <c r="U12" i="42"/>
  <c r="T12" i="42"/>
  <c r="S12" i="42"/>
  <c r="R12" i="42"/>
  <c r="Q12" i="42"/>
  <c r="P12" i="42"/>
  <c r="O12" i="42"/>
  <c r="N12" i="42"/>
  <c r="M12" i="42"/>
  <c r="L12" i="42"/>
  <c r="K12" i="42"/>
  <c r="J12" i="42"/>
  <c r="I12" i="42"/>
  <c r="H12" i="42"/>
  <c r="G12" i="42"/>
  <c r="F12" i="42"/>
  <c r="E12" i="42"/>
  <c r="D12" i="42"/>
  <c r="C12" i="42"/>
  <c r="IV11" i="42"/>
  <c r="IU11" i="42"/>
  <c r="IT11" i="42"/>
  <c r="IS11" i="42"/>
  <c r="IR11" i="42"/>
  <c r="IQ11" i="42"/>
  <c r="IP11" i="42"/>
  <c r="IO11" i="42"/>
  <c r="IN11" i="42"/>
  <c r="IM11" i="42"/>
  <c r="IL11" i="42"/>
  <c r="IK11" i="42"/>
  <c r="IJ11" i="42"/>
  <c r="II11" i="42"/>
  <c r="IH11" i="42"/>
  <c r="IG11" i="42"/>
  <c r="IF11" i="42"/>
  <c r="IE11" i="42"/>
  <c r="ID11" i="42"/>
  <c r="IC11" i="42"/>
  <c r="IB11" i="42"/>
  <c r="IA11" i="42"/>
  <c r="HZ11" i="42"/>
  <c r="HY11" i="42"/>
  <c r="HX11" i="42"/>
  <c r="HW11" i="42"/>
  <c r="HV11" i="42"/>
  <c r="HU11" i="42"/>
  <c r="HT11" i="42"/>
  <c r="HS11" i="42"/>
  <c r="HR11" i="42"/>
  <c r="HQ11" i="42"/>
  <c r="HP11" i="42"/>
  <c r="HO11" i="42"/>
  <c r="HN11" i="42"/>
  <c r="HM11" i="42"/>
  <c r="HL11" i="42"/>
  <c r="HK11" i="42"/>
  <c r="HJ11" i="42"/>
  <c r="HI11" i="42"/>
  <c r="HH11" i="42"/>
  <c r="HG11" i="42"/>
  <c r="HF11" i="42"/>
  <c r="HE11" i="42"/>
  <c r="HD11" i="42"/>
  <c r="HC11" i="42"/>
  <c r="HB11" i="42"/>
  <c r="HA11" i="42"/>
  <c r="GZ11" i="42"/>
  <c r="GY11" i="42"/>
  <c r="GX11" i="42"/>
  <c r="GW11" i="42"/>
  <c r="GV11" i="42"/>
  <c r="GU11" i="42"/>
  <c r="GT11" i="42"/>
  <c r="GS11" i="42"/>
  <c r="GR11" i="42"/>
  <c r="GQ11" i="42"/>
  <c r="GP11" i="42"/>
  <c r="GO11" i="42"/>
  <c r="GN11" i="42"/>
  <c r="GM11" i="42"/>
  <c r="GL11" i="42"/>
  <c r="GK11" i="42"/>
  <c r="GJ11" i="42"/>
  <c r="GI11" i="42"/>
  <c r="GH11" i="42"/>
  <c r="GG11" i="42"/>
  <c r="GF11" i="42"/>
  <c r="GE11" i="42"/>
  <c r="GD11" i="42"/>
  <c r="GC11" i="42"/>
  <c r="GB11" i="42"/>
  <c r="GA11" i="42"/>
  <c r="FZ11" i="42"/>
  <c r="FY11" i="42"/>
  <c r="FX11" i="42"/>
  <c r="FW11" i="42"/>
  <c r="FV11" i="42"/>
  <c r="FU11" i="42"/>
  <c r="FT11" i="42"/>
  <c r="FS11" i="42"/>
  <c r="FR11" i="42"/>
  <c r="FQ11" i="42"/>
  <c r="FP11" i="42"/>
  <c r="FO11" i="42"/>
  <c r="FN11" i="42"/>
  <c r="FM11" i="42"/>
  <c r="FL11" i="42"/>
  <c r="FK11" i="42"/>
  <c r="FJ11" i="42"/>
  <c r="FI11" i="42"/>
  <c r="FH11" i="42"/>
  <c r="FG11" i="42"/>
  <c r="FF11" i="42"/>
  <c r="FE11" i="42"/>
  <c r="FD11" i="42"/>
  <c r="FC11" i="42"/>
  <c r="FB11" i="42"/>
  <c r="FA11" i="42"/>
  <c r="EZ11" i="42"/>
  <c r="EY11" i="42"/>
  <c r="EX11" i="42"/>
  <c r="EW11" i="42"/>
  <c r="EV11" i="42"/>
  <c r="EU11" i="42"/>
  <c r="ET11" i="42"/>
  <c r="ES11" i="42"/>
  <c r="ER11" i="42"/>
  <c r="EQ11" i="42"/>
  <c r="EP11" i="42"/>
  <c r="EO11" i="42"/>
  <c r="EN11" i="42"/>
  <c r="EM11" i="42"/>
  <c r="EL11" i="42"/>
  <c r="EK11" i="42"/>
  <c r="EJ11" i="42"/>
  <c r="EI11" i="42"/>
  <c r="EH11" i="42"/>
  <c r="EG11" i="42"/>
  <c r="EF11" i="42"/>
  <c r="EE11" i="42"/>
  <c r="ED11" i="42"/>
  <c r="EC11" i="42"/>
  <c r="EB11" i="42"/>
  <c r="EA11" i="42"/>
  <c r="DZ11" i="42"/>
  <c r="DY11" i="42"/>
  <c r="DX11" i="42"/>
  <c r="DW11" i="42"/>
  <c r="DV11" i="42"/>
  <c r="DU11" i="42"/>
  <c r="DT11" i="42"/>
  <c r="DS11" i="42"/>
  <c r="DR11" i="42"/>
  <c r="DQ11" i="42"/>
  <c r="DP11" i="42"/>
  <c r="DO11" i="42"/>
  <c r="DN11" i="42"/>
  <c r="DM11" i="42"/>
  <c r="DL11" i="42"/>
  <c r="DK11" i="42"/>
  <c r="DJ11" i="42"/>
  <c r="DI11" i="42"/>
  <c r="DH11" i="42"/>
  <c r="DG11" i="42"/>
  <c r="DF11" i="42"/>
  <c r="DE11" i="42"/>
  <c r="DD11" i="42"/>
  <c r="DC11" i="42"/>
  <c r="DB11" i="42"/>
  <c r="DA11" i="42"/>
  <c r="CZ11" i="42"/>
  <c r="CY11" i="42"/>
  <c r="CX11" i="42"/>
  <c r="CW11" i="42"/>
  <c r="CV11" i="42"/>
  <c r="CU11" i="42"/>
  <c r="CT11" i="42"/>
  <c r="CS11" i="42"/>
  <c r="CR11" i="42"/>
  <c r="CQ11" i="42"/>
  <c r="CP11" i="42"/>
  <c r="CO11" i="42"/>
  <c r="CN11" i="42"/>
  <c r="CM11" i="42"/>
  <c r="CL11" i="42"/>
  <c r="CK11" i="42"/>
  <c r="CJ11" i="42"/>
  <c r="CI11" i="42"/>
  <c r="CH11" i="42"/>
  <c r="CG11" i="42"/>
  <c r="CF11" i="42"/>
  <c r="CE11" i="42"/>
  <c r="CD11" i="42"/>
  <c r="CC11" i="42"/>
  <c r="CB11" i="42"/>
  <c r="CA11" i="42"/>
  <c r="BZ11" i="42"/>
  <c r="BY11" i="42"/>
  <c r="BX11" i="42"/>
  <c r="BW11" i="42"/>
  <c r="BV11" i="42"/>
  <c r="BU11" i="42"/>
  <c r="BT11" i="42"/>
  <c r="BS11" i="42"/>
  <c r="BR11" i="42"/>
  <c r="BQ11" i="42"/>
  <c r="BP11" i="42"/>
  <c r="BO11" i="42"/>
  <c r="BN11" i="42"/>
  <c r="BM11" i="42"/>
  <c r="BL11" i="42"/>
  <c r="BK11" i="42"/>
  <c r="BJ11" i="42"/>
  <c r="BI11" i="42"/>
  <c r="BH11" i="42"/>
  <c r="BG11" i="42"/>
  <c r="BF11" i="42"/>
  <c r="BE11" i="42"/>
  <c r="BD11" i="42"/>
  <c r="BC11" i="42"/>
  <c r="BB11" i="42"/>
  <c r="BA11" i="42"/>
  <c r="AZ11" i="42"/>
  <c r="AY11" i="42"/>
  <c r="AX11" i="42"/>
  <c r="AW11" i="42"/>
  <c r="AV11" i="42"/>
  <c r="AU11" i="42"/>
  <c r="AT11" i="42"/>
  <c r="AS11" i="42"/>
  <c r="AR11" i="42"/>
  <c r="AQ11" i="42"/>
  <c r="AP11" i="42"/>
  <c r="AO11" i="42"/>
  <c r="AN11" i="42"/>
  <c r="AM11" i="42"/>
  <c r="AL11" i="42"/>
  <c r="AK11" i="42"/>
  <c r="AJ11" i="42"/>
  <c r="AI11" i="42"/>
  <c r="AH11" i="42"/>
  <c r="AG11" i="42"/>
  <c r="AF11" i="42"/>
  <c r="AE11" i="42"/>
  <c r="AD11" i="42"/>
  <c r="AC11" i="42"/>
  <c r="AB11" i="42"/>
  <c r="AA11" i="42"/>
  <c r="Z11" i="42"/>
  <c r="Y11" i="42"/>
  <c r="X11" i="42"/>
  <c r="W11" i="42"/>
  <c r="V11" i="42"/>
  <c r="U11" i="42"/>
  <c r="T11" i="42"/>
  <c r="S11" i="42"/>
  <c r="R11" i="42"/>
  <c r="Q11" i="42"/>
  <c r="P11" i="42"/>
  <c r="O11" i="42"/>
  <c r="N11" i="42"/>
  <c r="M11" i="42"/>
  <c r="L11" i="42"/>
  <c r="K11" i="42"/>
  <c r="J11" i="42"/>
  <c r="I11" i="42"/>
  <c r="H11" i="42"/>
  <c r="G11" i="42"/>
  <c r="F11" i="42"/>
  <c r="E11" i="42"/>
  <c r="D11" i="42"/>
  <c r="C11" i="42"/>
  <c r="IV10" i="42"/>
  <c r="IU10" i="42"/>
  <c r="IT10" i="42"/>
  <c r="IS10" i="42"/>
  <c r="IR10" i="42"/>
  <c r="IQ10" i="42"/>
  <c r="IP10" i="42"/>
  <c r="IO10" i="42"/>
  <c r="IN10" i="42"/>
  <c r="IM10" i="42"/>
  <c r="IL10" i="42"/>
  <c r="IK10" i="42"/>
  <c r="IJ10" i="42"/>
  <c r="II10" i="42"/>
  <c r="IH10" i="42"/>
  <c r="IG10" i="42"/>
  <c r="IF10" i="42"/>
  <c r="IE10" i="42"/>
  <c r="ID10" i="42"/>
  <c r="IC10" i="42"/>
  <c r="IB10" i="42"/>
  <c r="IA10" i="42"/>
  <c r="HZ10" i="42"/>
  <c r="HY10" i="42"/>
  <c r="HX10" i="42"/>
  <c r="HW10" i="42"/>
  <c r="HV10" i="42"/>
  <c r="HU10" i="42"/>
  <c r="HT10" i="42"/>
  <c r="HS10" i="42"/>
  <c r="HR10" i="42"/>
  <c r="HQ10" i="42"/>
  <c r="HP10" i="42"/>
  <c r="HO10" i="42"/>
  <c r="HN10" i="42"/>
  <c r="HM10" i="42"/>
  <c r="HL10" i="42"/>
  <c r="HK10" i="42"/>
  <c r="HJ10" i="42"/>
  <c r="HI10" i="42"/>
  <c r="HH10" i="42"/>
  <c r="HG10" i="42"/>
  <c r="HF10" i="42"/>
  <c r="HE10" i="42"/>
  <c r="HD10" i="42"/>
  <c r="HC10" i="42"/>
  <c r="HB10" i="42"/>
  <c r="HA10" i="42"/>
  <c r="GZ10" i="42"/>
  <c r="GY10" i="42"/>
  <c r="GX10" i="42"/>
  <c r="GW10" i="42"/>
  <c r="GV10" i="42"/>
  <c r="GU10" i="42"/>
  <c r="GT10" i="42"/>
  <c r="GS10" i="42"/>
  <c r="GR10" i="42"/>
  <c r="GQ10" i="42"/>
  <c r="GP10" i="42"/>
  <c r="GO10" i="42"/>
  <c r="GN10" i="42"/>
  <c r="GM10" i="42"/>
  <c r="GL10" i="42"/>
  <c r="GK10" i="42"/>
  <c r="GJ10" i="42"/>
  <c r="GI10" i="42"/>
  <c r="GH10" i="42"/>
  <c r="GG10" i="42"/>
  <c r="GF10" i="42"/>
  <c r="GE10" i="42"/>
  <c r="GD10" i="42"/>
  <c r="GC10" i="42"/>
  <c r="GB10" i="42"/>
  <c r="GA10" i="42"/>
  <c r="FZ10" i="42"/>
  <c r="FY10" i="42"/>
  <c r="FX10" i="42"/>
  <c r="FW10" i="42"/>
  <c r="FV10" i="42"/>
  <c r="FU10" i="42"/>
  <c r="FT10" i="42"/>
  <c r="FS10" i="42"/>
  <c r="FR10" i="42"/>
  <c r="FQ10" i="42"/>
  <c r="FP10" i="42"/>
  <c r="FO10" i="42"/>
  <c r="FN10" i="42"/>
  <c r="FM10" i="42"/>
  <c r="FL10" i="42"/>
  <c r="FK10" i="42"/>
  <c r="FJ10" i="42"/>
  <c r="FI10" i="42"/>
  <c r="FH10" i="42"/>
  <c r="FG10" i="42"/>
  <c r="FF10" i="42"/>
  <c r="FE10" i="42"/>
  <c r="FD10" i="42"/>
  <c r="FC10" i="42"/>
  <c r="FB10" i="42"/>
  <c r="FA10" i="42"/>
  <c r="EZ10" i="42"/>
  <c r="EY10" i="42"/>
  <c r="EX10" i="42"/>
  <c r="EW10" i="42"/>
  <c r="EV10" i="42"/>
  <c r="EU10" i="42"/>
  <c r="ET10" i="42"/>
  <c r="ES10" i="42"/>
  <c r="ER10" i="42"/>
  <c r="EQ10" i="42"/>
  <c r="EP10" i="42"/>
  <c r="EO10" i="42"/>
  <c r="EN10" i="42"/>
  <c r="EM10" i="42"/>
  <c r="EL10" i="42"/>
  <c r="EK10" i="42"/>
  <c r="EJ10" i="42"/>
  <c r="EI10" i="42"/>
  <c r="EH10" i="42"/>
  <c r="EG10" i="42"/>
  <c r="EF10" i="42"/>
  <c r="EE10" i="42"/>
  <c r="ED10" i="42"/>
  <c r="EC10" i="42"/>
  <c r="EB10" i="42"/>
  <c r="EA10" i="42"/>
  <c r="DZ10" i="42"/>
  <c r="DY10" i="42"/>
  <c r="DX10" i="42"/>
  <c r="DW10" i="42"/>
  <c r="DV10" i="42"/>
  <c r="DU10" i="42"/>
  <c r="DT10" i="42"/>
  <c r="DS10" i="42"/>
  <c r="DR10" i="42"/>
  <c r="DQ10" i="42"/>
  <c r="DP10" i="42"/>
  <c r="DO10" i="42"/>
  <c r="DN10" i="42"/>
  <c r="DM10" i="42"/>
  <c r="DL10" i="42"/>
  <c r="DK10" i="42"/>
  <c r="DJ10" i="42"/>
  <c r="DI10" i="42"/>
  <c r="DH10" i="42"/>
  <c r="DG10" i="42"/>
  <c r="DF10" i="42"/>
  <c r="DE10" i="42"/>
  <c r="DD10" i="42"/>
  <c r="DC10" i="42"/>
  <c r="DB10" i="42"/>
  <c r="DA10" i="42"/>
  <c r="CZ10" i="42"/>
  <c r="CY10" i="42"/>
  <c r="CX10" i="42"/>
  <c r="CW10" i="42"/>
  <c r="CV10" i="42"/>
  <c r="CU10" i="42"/>
  <c r="CT10" i="42"/>
  <c r="CS10" i="42"/>
  <c r="CR10" i="42"/>
  <c r="CQ10" i="42"/>
  <c r="CP10" i="42"/>
  <c r="CO10" i="42"/>
  <c r="CN10" i="42"/>
  <c r="CM10" i="42"/>
  <c r="CL10" i="42"/>
  <c r="CK10" i="42"/>
  <c r="CJ10" i="42"/>
  <c r="CI10" i="42"/>
  <c r="CH10" i="42"/>
  <c r="CG10" i="42"/>
  <c r="CF10" i="42"/>
  <c r="CE10" i="42"/>
  <c r="CD10" i="42"/>
  <c r="CC10" i="42"/>
  <c r="CB10" i="42"/>
  <c r="CA10" i="42"/>
  <c r="BZ10" i="42"/>
  <c r="BY10" i="42"/>
  <c r="BX10" i="42"/>
  <c r="BW10" i="42"/>
  <c r="BV10" i="42"/>
  <c r="BU10" i="42"/>
  <c r="BT10" i="42"/>
  <c r="BS10" i="42"/>
  <c r="BR10" i="42"/>
  <c r="BQ10" i="42"/>
  <c r="BP10" i="42"/>
  <c r="BO10" i="42"/>
  <c r="BN10" i="42"/>
  <c r="BM10" i="42"/>
  <c r="BL10" i="42"/>
  <c r="BK10" i="42"/>
  <c r="BJ10" i="42"/>
  <c r="BI10" i="42"/>
  <c r="BH10" i="42"/>
  <c r="BG10" i="42"/>
  <c r="BF10" i="42"/>
  <c r="BE10" i="42"/>
  <c r="BD10" i="42"/>
  <c r="BC10" i="42"/>
  <c r="BB10" i="42"/>
  <c r="BA10" i="42"/>
  <c r="AZ10" i="42"/>
  <c r="AY10" i="42"/>
  <c r="AX10" i="42"/>
  <c r="AW10" i="42"/>
  <c r="AV10" i="42"/>
  <c r="AU10" i="42"/>
  <c r="AT10" i="42"/>
  <c r="AS10" i="42"/>
  <c r="AR10" i="42"/>
  <c r="AQ10" i="42"/>
  <c r="AP10" i="42"/>
  <c r="AO10" i="42"/>
  <c r="AN10" i="42"/>
  <c r="AM10" i="42"/>
  <c r="AL10" i="42"/>
  <c r="AK10" i="42"/>
  <c r="AJ10" i="42"/>
  <c r="AI10" i="42"/>
  <c r="AH10" i="42"/>
  <c r="AG10" i="42"/>
  <c r="AF10" i="42"/>
  <c r="AE10" i="42"/>
  <c r="AD10" i="42"/>
  <c r="AC10" i="42"/>
  <c r="AB10" i="42"/>
  <c r="AA10" i="42"/>
  <c r="Z10" i="42"/>
  <c r="Y10" i="42"/>
  <c r="X10" i="42"/>
  <c r="W10" i="42"/>
  <c r="V10" i="42"/>
  <c r="U10" i="42"/>
  <c r="T10" i="42"/>
  <c r="S10" i="42"/>
  <c r="R10" i="42"/>
  <c r="Q10" i="42"/>
  <c r="P10" i="42"/>
  <c r="O10" i="42"/>
  <c r="N10" i="42"/>
  <c r="M10" i="42"/>
  <c r="L10" i="42"/>
  <c r="K10" i="42"/>
  <c r="J10" i="42"/>
  <c r="I10" i="42"/>
  <c r="H10" i="42"/>
  <c r="G10" i="42"/>
  <c r="F10" i="42"/>
  <c r="E10" i="42"/>
  <c r="D10" i="42"/>
  <c r="C10" i="42"/>
  <c r="L3" i="42"/>
  <c r="C3" i="42"/>
  <c r="L2" i="42"/>
  <c r="I2" i="42"/>
  <c r="F2" i="42"/>
  <c r="C2" i="42"/>
  <c r="Z24" i="41"/>
  <c r="Z33" i="41"/>
  <c r="Z21" i="41"/>
  <c r="Z30" i="41"/>
  <c r="Z22" i="41"/>
  <c r="Y24" i="41"/>
  <c r="Y28" i="41"/>
  <c r="Y21" i="41"/>
  <c r="Y27" i="41" s="1"/>
  <c r="Y22" i="41"/>
  <c r="X24" i="41"/>
  <c r="X28" i="41"/>
  <c r="X21" i="41"/>
  <c r="X22" i="41"/>
  <c r="W24" i="41"/>
  <c r="W30" i="41"/>
  <c r="W21" i="41"/>
  <c r="W22" i="41"/>
  <c r="V24" i="41"/>
  <c r="V33" i="41"/>
  <c r="V21" i="41"/>
  <c r="V30" i="41"/>
  <c r="V22" i="41"/>
  <c r="U24" i="41"/>
  <c r="U33" i="41" s="1"/>
  <c r="U21" i="41"/>
  <c r="U27" i="41"/>
  <c r="U22" i="41"/>
  <c r="T24" i="41"/>
  <c r="T21" i="41"/>
  <c r="T22" i="41"/>
  <c r="S24" i="41"/>
  <c r="S30" i="41"/>
  <c r="S21" i="41"/>
  <c r="S22" i="41"/>
  <c r="R24" i="41"/>
  <c r="R21" i="41"/>
  <c r="R22" i="41"/>
  <c r="R27" i="41" s="1"/>
  <c r="Q24" i="41"/>
  <c r="Q21" i="41"/>
  <c r="Q22" i="41"/>
  <c r="P24" i="41"/>
  <c r="P28" i="41"/>
  <c r="P33" i="41"/>
  <c r="P21" i="41"/>
  <c r="P22" i="41"/>
  <c r="O24" i="41"/>
  <c r="O21" i="41"/>
  <c r="O29" i="41"/>
  <c r="O22" i="41"/>
  <c r="N24" i="41"/>
  <c r="N21" i="41"/>
  <c r="N22" i="41"/>
  <c r="M24" i="41"/>
  <c r="M21" i="41"/>
  <c r="M30" i="41"/>
  <c r="M22" i="41"/>
  <c r="L24" i="41"/>
  <c r="L28" i="41" s="1"/>
  <c r="L33" i="41"/>
  <c r="L21" i="41"/>
  <c r="L22" i="41"/>
  <c r="K24" i="41"/>
  <c r="K21" i="41"/>
  <c r="K22" i="41"/>
  <c r="K27" i="41"/>
  <c r="J24" i="41"/>
  <c r="J33" i="41"/>
  <c r="J21" i="41"/>
  <c r="J22" i="41"/>
  <c r="I24" i="41"/>
  <c r="I21" i="41"/>
  <c r="I22" i="41"/>
  <c r="H24" i="41"/>
  <c r="H33" i="41"/>
  <c r="H21" i="41"/>
  <c r="H22" i="41"/>
  <c r="H27" i="41"/>
  <c r="G24" i="41"/>
  <c r="G21" i="41"/>
  <c r="G22" i="41"/>
  <c r="F24" i="41"/>
  <c r="F21" i="41"/>
  <c r="F27" i="41"/>
  <c r="F22" i="41"/>
  <c r="E24" i="41"/>
  <c r="E32" i="41"/>
  <c r="E33" i="41"/>
  <c r="E21" i="41"/>
  <c r="E22" i="41"/>
  <c r="D24" i="41"/>
  <c r="D33" i="41"/>
  <c r="D21" i="41"/>
  <c r="D22" i="41"/>
  <c r="C24" i="41"/>
  <c r="C30" i="41" s="1"/>
  <c r="C21" i="41"/>
  <c r="C22" i="41"/>
  <c r="Z23" i="41"/>
  <c r="Z27" i="41"/>
  <c r="Z32" i="41"/>
  <c r="Y23" i="41"/>
  <c r="Y32" i="41"/>
  <c r="X23" i="41"/>
  <c r="X32" i="41"/>
  <c r="W23" i="41"/>
  <c r="W32" i="41"/>
  <c r="V23" i="41"/>
  <c r="V27" i="41"/>
  <c r="V32" i="41"/>
  <c r="U23" i="41"/>
  <c r="U32" i="41"/>
  <c r="T23" i="41"/>
  <c r="T32" i="41"/>
  <c r="S23" i="41"/>
  <c r="S32" i="41"/>
  <c r="R23" i="41"/>
  <c r="Q23" i="41"/>
  <c r="Q28" i="41" s="1"/>
  <c r="P23" i="41"/>
  <c r="P32" i="41"/>
  <c r="O23" i="41"/>
  <c r="N23" i="41"/>
  <c r="M23" i="41"/>
  <c r="L23" i="41"/>
  <c r="K23" i="41"/>
  <c r="J23" i="41"/>
  <c r="J32" i="41" s="1"/>
  <c r="I23" i="41"/>
  <c r="H23" i="41"/>
  <c r="H32" i="41"/>
  <c r="G23" i="41"/>
  <c r="F23" i="41"/>
  <c r="E23" i="41"/>
  <c r="E27" i="41"/>
  <c r="D23" i="41"/>
  <c r="D32" i="41"/>
  <c r="C23" i="41"/>
  <c r="C27" i="41"/>
  <c r="X30" i="41"/>
  <c r="T30" i="41"/>
  <c r="P30" i="41"/>
  <c r="H30" i="41"/>
  <c r="X29" i="41"/>
  <c r="U29" i="41"/>
  <c r="T29" i="41"/>
  <c r="P29" i="41"/>
  <c r="M29" i="41"/>
  <c r="K29" i="41"/>
  <c r="D29" i="41"/>
  <c r="Z28" i="41"/>
  <c r="W28" i="41"/>
  <c r="V28" i="41"/>
  <c r="S28" i="41"/>
  <c r="R28" i="41"/>
  <c r="M28" i="41"/>
  <c r="D28" i="41"/>
  <c r="X27" i="41"/>
  <c r="W27" i="41"/>
  <c r="S27" i="41"/>
  <c r="P27" i="41"/>
  <c r="O27" i="41"/>
  <c r="D27" i="41"/>
  <c r="Z26" i="41"/>
  <c r="Y26" i="41"/>
  <c r="X26" i="41"/>
  <c r="W26" i="41"/>
  <c r="V26" i="41"/>
  <c r="U26" i="41"/>
  <c r="T26" i="41"/>
  <c r="S26" i="41"/>
  <c r="R26" i="41"/>
  <c r="Q26" i="41"/>
  <c r="P26" i="41"/>
  <c r="O26" i="41"/>
  <c r="N26" i="41"/>
  <c r="M26" i="41"/>
  <c r="L26" i="41"/>
  <c r="K26" i="41"/>
  <c r="J26" i="41"/>
  <c r="I26" i="41"/>
  <c r="H26" i="41"/>
  <c r="G26" i="41"/>
  <c r="F26" i="41"/>
  <c r="E26" i="41"/>
  <c r="D26" i="41"/>
  <c r="C26" i="41"/>
  <c r="Z25" i="41"/>
  <c r="Y25" i="41"/>
  <c r="X25" i="41"/>
  <c r="W25" i="41"/>
  <c r="V25" i="41"/>
  <c r="U25" i="41"/>
  <c r="T25" i="41"/>
  <c r="S25" i="41"/>
  <c r="R25" i="41"/>
  <c r="Q25" i="41"/>
  <c r="P25" i="41"/>
  <c r="O25" i="41"/>
  <c r="N25" i="41"/>
  <c r="M25" i="41"/>
  <c r="L25" i="41"/>
  <c r="K25" i="41"/>
  <c r="J25" i="41"/>
  <c r="I25" i="41"/>
  <c r="H25" i="41"/>
  <c r="G25" i="41"/>
  <c r="F25" i="41"/>
  <c r="E25" i="41"/>
  <c r="D25" i="41"/>
  <c r="C25" i="41"/>
  <c r="IV13" i="41"/>
  <c r="IU13" i="41"/>
  <c r="IT13" i="41"/>
  <c r="IS13" i="41"/>
  <c r="IR13" i="41"/>
  <c r="IQ13" i="41"/>
  <c r="IP13" i="41"/>
  <c r="IO13" i="41"/>
  <c r="IN13" i="41"/>
  <c r="IM13" i="41"/>
  <c r="IL13" i="41"/>
  <c r="IK13" i="41"/>
  <c r="IJ13" i="41"/>
  <c r="II13" i="41"/>
  <c r="IH13" i="41"/>
  <c r="IG13" i="41"/>
  <c r="IF13" i="41"/>
  <c r="IE13" i="41"/>
  <c r="ID13" i="41"/>
  <c r="IC13" i="41"/>
  <c r="IB13" i="41"/>
  <c r="IA13" i="41"/>
  <c r="HZ13" i="41"/>
  <c r="HY13" i="41"/>
  <c r="HX13" i="41"/>
  <c r="HW13" i="41"/>
  <c r="HV13" i="41"/>
  <c r="HU13" i="41"/>
  <c r="HT13" i="41"/>
  <c r="HS13" i="41"/>
  <c r="HR13" i="41"/>
  <c r="HQ13" i="41"/>
  <c r="HP13" i="41"/>
  <c r="HO13" i="41"/>
  <c r="HN13" i="41"/>
  <c r="HM13" i="41"/>
  <c r="HL13" i="41"/>
  <c r="HK13" i="41"/>
  <c r="HJ13" i="41"/>
  <c r="HI13" i="41"/>
  <c r="HH13" i="41"/>
  <c r="HG13" i="41"/>
  <c r="HF13" i="41"/>
  <c r="HE13" i="41"/>
  <c r="HD13" i="41"/>
  <c r="HC13" i="41"/>
  <c r="HB13" i="41"/>
  <c r="HA13" i="41"/>
  <c r="GZ13" i="41"/>
  <c r="GY13" i="41"/>
  <c r="GX13" i="41"/>
  <c r="GW13" i="41"/>
  <c r="GV13" i="41"/>
  <c r="GU13" i="41"/>
  <c r="GT13" i="41"/>
  <c r="GS13" i="41"/>
  <c r="GR13" i="41"/>
  <c r="GQ13" i="41"/>
  <c r="GP13" i="41"/>
  <c r="GO13" i="41"/>
  <c r="GN13" i="41"/>
  <c r="GM13" i="41"/>
  <c r="GL13" i="41"/>
  <c r="GK13" i="41"/>
  <c r="GJ13" i="41"/>
  <c r="GI13" i="41"/>
  <c r="GH13" i="41"/>
  <c r="GG13" i="41"/>
  <c r="GF13" i="41"/>
  <c r="GE13" i="41"/>
  <c r="GD13" i="41"/>
  <c r="GC13" i="41"/>
  <c r="GB13" i="41"/>
  <c r="GA13" i="41"/>
  <c r="FZ13" i="41"/>
  <c r="FY13" i="41"/>
  <c r="FX13" i="41"/>
  <c r="FW13" i="41"/>
  <c r="FV13" i="41"/>
  <c r="FU13" i="41"/>
  <c r="FT13" i="41"/>
  <c r="FS13" i="41"/>
  <c r="FR13" i="41"/>
  <c r="FQ13" i="41"/>
  <c r="FP13" i="41"/>
  <c r="FO13" i="41"/>
  <c r="FN13" i="41"/>
  <c r="FM13" i="41"/>
  <c r="FL13" i="41"/>
  <c r="FK13" i="41"/>
  <c r="FJ13" i="41"/>
  <c r="FI13" i="41"/>
  <c r="FH13" i="41"/>
  <c r="FG13" i="41"/>
  <c r="FF13" i="41"/>
  <c r="FE13" i="41"/>
  <c r="FD13" i="41"/>
  <c r="FC13" i="41"/>
  <c r="FB13" i="41"/>
  <c r="FA13" i="41"/>
  <c r="EZ13" i="41"/>
  <c r="EY13" i="41"/>
  <c r="EX13" i="41"/>
  <c r="EW13" i="41"/>
  <c r="EV13" i="41"/>
  <c r="EU13" i="41"/>
  <c r="ET13" i="41"/>
  <c r="ES13" i="41"/>
  <c r="ER13" i="41"/>
  <c r="EQ13" i="41"/>
  <c r="EP13" i="41"/>
  <c r="EO13" i="41"/>
  <c r="EN13" i="41"/>
  <c r="EM13" i="41"/>
  <c r="EL13" i="41"/>
  <c r="EK13" i="41"/>
  <c r="EJ13" i="41"/>
  <c r="EI13" i="41"/>
  <c r="EH13" i="41"/>
  <c r="EG13" i="41"/>
  <c r="EF13" i="41"/>
  <c r="EE13" i="41"/>
  <c r="ED13" i="41"/>
  <c r="EC13" i="41"/>
  <c r="EB13" i="41"/>
  <c r="EA13" i="41"/>
  <c r="DZ13" i="41"/>
  <c r="DY13" i="41"/>
  <c r="DX13" i="41"/>
  <c r="DW13" i="41"/>
  <c r="DV13" i="41"/>
  <c r="DU13" i="41"/>
  <c r="DT13" i="41"/>
  <c r="DS13" i="41"/>
  <c r="DR13" i="41"/>
  <c r="DQ13" i="41"/>
  <c r="DP13" i="41"/>
  <c r="DO13" i="41"/>
  <c r="DN13" i="41"/>
  <c r="DM13" i="41"/>
  <c r="DL13" i="41"/>
  <c r="DK13" i="41"/>
  <c r="DJ13" i="41"/>
  <c r="DI13" i="41"/>
  <c r="DH13" i="41"/>
  <c r="DG13" i="41"/>
  <c r="DF13" i="41"/>
  <c r="DE13" i="41"/>
  <c r="DD13" i="41"/>
  <c r="DC13" i="41"/>
  <c r="DB13" i="41"/>
  <c r="DA13" i="41"/>
  <c r="CZ13" i="41"/>
  <c r="CY13" i="41"/>
  <c r="CX13" i="41"/>
  <c r="CW13" i="41"/>
  <c r="CV13" i="41"/>
  <c r="CU13" i="41"/>
  <c r="CT13" i="41"/>
  <c r="CS13" i="41"/>
  <c r="CR13" i="41"/>
  <c r="CQ13" i="41"/>
  <c r="CP13" i="41"/>
  <c r="CO13" i="41"/>
  <c r="CN13" i="41"/>
  <c r="CM13" i="41"/>
  <c r="CL13" i="41"/>
  <c r="CK13" i="41"/>
  <c r="CJ13" i="41"/>
  <c r="CI13" i="41"/>
  <c r="CH13" i="41"/>
  <c r="CG13" i="41"/>
  <c r="CF13" i="41"/>
  <c r="CE13" i="41"/>
  <c r="CD13" i="41"/>
  <c r="CC13" i="41"/>
  <c r="CB13" i="41"/>
  <c r="CA13" i="41"/>
  <c r="BZ13" i="41"/>
  <c r="BY13" i="41"/>
  <c r="BX13" i="41"/>
  <c r="BW13" i="41"/>
  <c r="BV13" i="41"/>
  <c r="BU13" i="41"/>
  <c r="BT13" i="41"/>
  <c r="BS13" i="41"/>
  <c r="BR13" i="41"/>
  <c r="BQ13" i="41"/>
  <c r="BP13" i="41"/>
  <c r="BO13" i="41"/>
  <c r="BN13" i="41"/>
  <c r="BM13" i="41"/>
  <c r="BL13" i="41"/>
  <c r="BK13" i="41"/>
  <c r="BJ13" i="41"/>
  <c r="BI13" i="41"/>
  <c r="BH13" i="41"/>
  <c r="BG13" i="41"/>
  <c r="BF13" i="41"/>
  <c r="BE13" i="41"/>
  <c r="BD13" i="41"/>
  <c r="BC13" i="41"/>
  <c r="BB13" i="41"/>
  <c r="BA13" i="41"/>
  <c r="AZ13" i="41"/>
  <c r="AY13" i="41"/>
  <c r="AX13" i="41"/>
  <c r="AW13" i="41"/>
  <c r="AV13" i="41"/>
  <c r="AU13" i="41"/>
  <c r="AT13" i="41"/>
  <c r="AS13" i="41"/>
  <c r="AR13" i="41"/>
  <c r="AQ13" i="41"/>
  <c r="AP13" i="41"/>
  <c r="AO13" i="41"/>
  <c r="AN13" i="41"/>
  <c r="AM13" i="41"/>
  <c r="AL13" i="41"/>
  <c r="AK13" i="41"/>
  <c r="AJ13" i="41"/>
  <c r="AI13" i="41"/>
  <c r="AH13" i="41"/>
  <c r="AG13" i="41"/>
  <c r="AF13" i="41"/>
  <c r="AE13" i="41"/>
  <c r="AD13" i="41"/>
  <c r="AC13" i="41"/>
  <c r="AB13" i="41"/>
  <c r="AA13" i="41"/>
  <c r="Z13" i="41"/>
  <c r="Y13" i="41"/>
  <c r="X13" i="41"/>
  <c r="W13" i="41"/>
  <c r="V13" i="41"/>
  <c r="U13" i="41"/>
  <c r="T13" i="41"/>
  <c r="S13" i="41"/>
  <c r="R13" i="41"/>
  <c r="Q13" i="41"/>
  <c r="P13" i="41"/>
  <c r="O13" i="41"/>
  <c r="N13" i="41"/>
  <c r="M13" i="41"/>
  <c r="L13" i="41"/>
  <c r="K13" i="41"/>
  <c r="J13" i="41"/>
  <c r="I13" i="41"/>
  <c r="H13" i="41"/>
  <c r="G13" i="41"/>
  <c r="F13" i="41"/>
  <c r="E13" i="41"/>
  <c r="D13" i="41"/>
  <c r="C13" i="41"/>
  <c r="IV12" i="41"/>
  <c r="IU12" i="41"/>
  <c r="IT12" i="41"/>
  <c r="IS12" i="41"/>
  <c r="IR12" i="41"/>
  <c r="IQ12" i="41"/>
  <c r="IP12" i="41"/>
  <c r="IO12" i="41"/>
  <c r="IN12" i="41"/>
  <c r="IM12" i="41"/>
  <c r="IL12" i="41"/>
  <c r="IK12" i="41"/>
  <c r="IJ12" i="41"/>
  <c r="II12" i="41"/>
  <c r="IH12" i="41"/>
  <c r="IG12" i="41"/>
  <c r="IF12" i="41"/>
  <c r="IE12" i="41"/>
  <c r="ID12" i="41"/>
  <c r="IC12" i="41"/>
  <c r="IB12" i="41"/>
  <c r="IA12" i="41"/>
  <c r="HZ12" i="41"/>
  <c r="HY12" i="41"/>
  <c r="HX12" i="41"/>
  <c r="HW12" i="41"/>
  <c r="HV12" i="41"/>
  <c r="HU12" i="41"/>
  <c r="HT12" i="41"/>
  <c r="HS12" i="41"/>
  <c r="HR12" i="41"/>
  <c r="HQ12" i="41"/>
  <c r="HP12" i="41"/>
  <c r="HO12" i="41"/>
  <c r="HN12" i="41"/>
  <c r="HM12" i="41"/>
  <c r="HL12" i="41"/>
  <c r="HK12" i="41"/>
  <c r="HJ12" i="41"/>
  <c r="HI12" i="41"/>
  <c r="HH12" i="41"/>
  <c r="HG12" i="41"/>
  <c r="HF12" i="41"/>
  <c r="HE12" i="41"/>
  <c r="HD12" i="41"/>
  <c r="HC12" i="41"/>
  <c r="HB12" i="41"/>
  <c r="HA12" i="41"/>
  <c r="GZ12" i="41"/>
  <c r="GY12" i="41"/>
  <c r="GX12" i="41"/>
  <c r="GW12" i="41"/>
  <c r="GV12" i="41"/>
  <c r="GU12" i="41"/>
  <c r="GT12" i="41"/>
  <c r="GS12" i="41"/>
  <c r="GR12" i="41"/>
  <c r="GQ12" i="41"/>
  <c r="GP12" i="41"/>
  <c r="GO12" i="41"/>
  <c r="GN12" i="41"/>
  <c r="GM12" i="41"/>
  <c r="GL12" i="41"/>
  <c r="GK12" i="41"/>
  <c r="GJ12" i="41"/>
  <c r="GI12" i="41"/>
  <c r="GH12" i="41"/>
  <c r="GG12" i="41"/>
  <c r="GF12" i="41"/>
  <c r="GE12" i="41"/>
  <c r="GD12" i="41"/>
  <c r="GC12" i="41"/>
  <c r="GB12" i="41"/>
  <c r="GA12" i="41"/>
  <c r="FZ12" i="41"/>
  <c r="FY12" i="41"/>
  <c r="FX12" i="41"/>
  <c r="FW12" i="41"/>
  <c r="FV12" i="41"/>
  <c r="FU12" i="41"/>
  <c r="FT12" i="41"/>
  <c r="FS12" i="41"/>
  <c r="FR12" i="41"/>
  <c r="FQ12" i="41"/>
  <c r="FP12" i="41"/>
  <c r="FO12" i="41"/>
  <c r="FN12" i="41"/>
  <c r="FM12" i="41"/>
  <c r="FL12" i="41"/>
  <c r="FK12" i="41"/>
  <c r="FJ12" i="41"/>
  <c r="FI12" i="41"/>
  <c r="FH12" i="41"/>
  <c r="FG12" i="41"/>
  <c r="FF12" i="41"/>
  <c r="FE12" i="41"/>
  <c r="FD12" i="41"/>
  <c r="FC12" i="41"/>
  <c r="FB12" i="41"/>
  <c r="FA12" i="41"/>
  <c r="EZ12" i="41"/>
  <c r="EY12" i="41"/>
  <c r="EX12" i="41"/>
  <c r="EW12" i="41"/>
  <c r="EV12" i="41"/>
  <c r="EU12" i="41"/>
  <c r="ET12" i="41"/>
  <c r="ES12" i="41"/>
  <c r="ER12" i="41"/>
  <c r="EQ12" i="41"/>
  <c r="EP12" i="41"/>
  <c r="EO12" i="41"/>
  <c r="EN12" i="41"/>
  <c r="EM12" i="41"/>
  <c r="EL12" i="41"/>
  <c r="EK12" i="41"/>
  <c r="EJ12" i="41"/>
  <c r="EI12" i="41"/>
  <c r="EH12" i="41"/>
  <c r="EG12" i="41"/>
  <c r="EF12" i="41"/>
  <c r="EE12" i="41"/>
  <c r="ED12" i="41"/>
  <c r="EC12" i="41"/>
  <c r="EB12" i="41"/>
  <c r="EA12" i="41"/>
  <c r="DZ12" i="41"/>
  <c r="DY12" i="41"/>
  <c r="DX12" i="41"/>
  <c r="DW12" i="41"/>
  <c r="DV12" i="41"/>
  <c r="DU12" i="41"/>
  <c r="DT12" i="41"/>
  <c r="DS12" i="41"/>
  <c r="DR12" i="41"/>
  <c r="DQ12" i="41"/>
  <c r="DP12" i="41"/>
  <c r="DO12" i="41"/>
  <c r="DN12" i="41"/>
  <c r="DM12" i="41"/>
  <c r="DL12" i="41"/>
  <c r="DK12" i="41"/>
  <c r="DJ12" i="41"/>
  <c r="DI12" i="41"/>
  <c r="DH12" i="41"/>
  <c r="DG12" i="41"/>
  <c r="DF12" i="41"/>
  <c r="DE12" i="41"/>
  <c r="DD12" i="41"/>
  <c r="DC12" i="41"/>
  <c r="DB12" i="41"/>
  <c r="DA12" i="41"/>
  <c r="CZ12" i="41"/>
  <c r="CY12" i="41"/>
  <c r="CX12" i="41"/>
  <c r="CW12" i="41"/>
  <c r="CV12" i="41"/>
  <c r="CU12" i="41"/>
  <c r="CT12" i="41"/>
  <c r="CS12" i="41"/>
  <c r="CR12" i="41"/>
  <c r="CQ12" i="41"/>
  <c r="CP12" i="41"/>
  <c r="CO12" i="41"/>
  <c r="CN12" i="41"/>
  <c r="CM12" i="41"/>
  <c r="CL12" i="41"/>
  <c r="CK12" i="41"/>
  <c r="CJ12" i="41"/>
  <c r="CI12" i="41"/>
  <c r="CH12" i="41"/>
  <c r="CG12" i="41"/>
  <c r="CF12" i="41"/>
  <c r="CE12" i="41"/>
  <c r="CD12" i="41"/>
  <c r="CC12" i="41"/>
  <c r="CB12" i="41"/>
  <c r="CA12" i="41"/>
  <c r="BZ12" i="41"/>
  <c r="BY12" i="41"/>
  <c r="BX12" i="41"/>
  <c r="BW12" i="41"/>
  <c r="BV12" i="41"/>
  <c r="BU12" i="41"/>
  <c r="BT12" i="41"/>
  <c r="BS12" i="41"/>
  <c r="BR12" i="41"/>
  <c r="BQ12" i="41"/>
  <c r="BP12" i="41"/>
  <c r="BO12" i="41"/>
  <c r="BN12" i="41"/>
  <c r="BM12" i="41"/>
  <c r="BL12" i="41"/>
  <c r="BK12" i="41"/>
  <c r="BJ12" i="41"/>
  <c r="BI12" i="41"/>
  <c r="BH12" i="41"/>
  <c r="BG12" i="41"/>
  <c r="BF12" i="41"/>
  <c r="BE12" i="41"/>
  <c r="BD12" i="41"/>
  <c r="BC12" i="41"/>
  <c r="BB12" i="41"/>
  <c r="BA12" i="41"/>
  <c r="AZ12" i="41"/>
  <c r="AY12" i="41"/>
  <c r="AX12" i="41"/>
  <c r="AW12" i="41"/>
  <c r="AV12" i="41"/>
  <c r="AU12" i="41"/>
  <c r="AT12" i="41"/>
  <c r="AS12" i="41"/>
  <c r="AR12" i="41"/>
  <c r="AQ12" i="41"/>
  <c r="AP12" i="41"/>
  <c r="AO12" i="41"/>
  <c r="AN12" i="41"/>
  <c r="AM12" i="41"/>
  <c r="AL12" i="41"/>
  <c r="AK12" i="41"/>
  <c r="AJ12" i="41"/>
  <c r="AI12" i="41"/>
  <c r="AH12" i="41"/>
  <c r="AG12" i="41"/>
  <c r="AF12" i="41"/>
  <c r="AE12" i="41"/>
  <c r="AD12" i="41"/>
  <c r="AC12" i="41"/>
  <c r="AB12" i="41"/>
  <c r="AA12" i="41"/>
  <c r="Z12" i="41"/>
  <c r="Y12" i="41"/>
  <c r="X12" i="41"/>
  <c r="W12" i="41"/>
  <c r="V12" i="41"/>
  <c r="U12" i="41"/>
  <c r="T12" i="41"/>
  <c r="S12" i="41"/>
  <c r="R12" i="41"/>
  <c r="Q12" i="41"/>
  <c r="P12" i="41"/>
  <c r="O12" i="41"/>
  <c r="N12" i="41"/>
  <c r="M12" i="41"/>
  <c r="L12" i="41"/>
  <c r="K12" i="41"/>
  <c r="J12" i="41"/>
  <c r="I12" i="41"/>
  <c r="H12" i="41"/>
  <c r="G12" i="41"/>
  <c r="F12" i="41"/>
  <c r="E12" i="41"/>
  <c r="D12" i="41"/>
  <c r="C12" i="41"/>
  <c r="IV11" i="41"/>
  <c r="IU11" i="41"/>
  <c r="IT11" i="41"/>
  <c r="IS11" i="41"/>
  <c r="IR11" i="41"/>
  <c r="IQ11" i="41"/>
  <c r="IP11" i="41"/>
  <c r="IO11" i="41"/>
  <c r="IN11" i="41"/>
  <c r="IM11" i="41"/>
  <c r="IL11" i="41"/>
  <c r="IK11" i="41"/>
  <c r="IJ11" i="41"/>
  <c r="II11" i="41"/>
  <c r="IH11" i="41"/>
  <c r="IG11" i="41"/>
  <c r="IF11" i="41"/>
  <c r="IE11" i="41"/>
  <c r="ID11" i="41"/>
  <c r="IC11" i="41"/>
  <c r="IB11" i="41"/>
  <c r="IA11" i="41"/>
  <c r="HZ11" i="41"/>
  <c r="HY11" i="41"/>
  <c r="HX11" i="41"/>
  <c r="HW11" i="41"/>
  <c r="HV11" i="41"/>
  <c r="HU11" i="41"/>
  <c r="HT11" i="41"/>
  <c r="HS11" i="41"/>
  <c r="HR11" i="41"/>
  <c r="HQ11" i="41"/>
  <c r="HP11" i="41"/>
  <c r="HO11" i="41"/>
  <c r="HN11" i="41"/>
  <c r="HM11" i="41"/>
  <c r="HL11" i="41"/>
  <c r="HK11" i="41"/>
  <c r="HJ11" i="41"/>
  <c r="HI11" i="41"/>
  <c r="HH11" i="41"/>
  <c r="HG11" i="41"/>
  <c r="HF11" i="41"/>
  <c r="HE11" i="41"/>
  <c r="HD11" i="41"/>
  <c r="HC11" i="41"/>
  <c r="HB11" i="41"/>
  <c r="HA11" i="41"/>
  <c r="GZ11" i="41"/>
  <c r="GY11" i="41"/>
  <c r="GX11" i="41"/>
  <c r="GW11" i="41"/>
  <c r="GV11" i="41"/>
  <c r="GU11" i="41"/>
  <c r="GT11" i="41"/>
  <c r="GS11" i="41"/>
  <c r="GR11" i="41"/>
  <c r="GQ11" i="41"/>
  <c r="GP11" i="41"/>
  <c r="GO11" i="41"/>
  <c r="GN11" i="41"/>
  <c r="GM11" i="41"/>
  <c r="GL11" i="41"/>
  <c r="GK11" i="41"/>
  <c r="GJ11" i="41"/>
  <c r="GI11" i="41"/>
  <c r="GH11" i="41"/>
  <c r="GG11" i="41"/>
  <c r="GF11" i="41"/>
  <c r="GE11" i="41"/>
  <c r="GD11" i="41"/>
  <c r="GC11" i="41"/>
  <c r="GB11" i="41"/>
  <c r="GA11" i="41"/>
  <c r="FZ11" i="41"/>
  <c r="FY11" i="41"/>
  <c r="FX11" i="41"/>
  <c r="FW11" i="41"/>
  <c r="FV11" i="41"/>
  <c r="FU11" i="41"/>
  <c r="FT11" i="41"/>
  <c r="FS11" i="41"/>
  <c r="FR11" i="41"/>
  <c r="FQ11" i="41"/>
  <c r="FP11" i="41"/>
  <c r="FO11" i="41"/>
  <c r="FN11" i="41"/>
  <c r="FM11" i="41"/>
  <c r="FL11" i="41"/>
  <c r="FK11" i="41"/>
  <c r="FJ11" i="41"/>
  <c r="FI11" i="41"/>
  <c r="FH11" i="41"/>
  <c r="FG11" i="41"/>
  <c r="FF11" i="41"/>
  <c r="FE11" i="41"/>
  <c r="FD11" i="41"/>
  <c r="FC11" i="41"/>
  <c r="FB11" i="41"/>
  <c r="FA11" i="41"/>
  <c r="EZ11" i="41"/>
  <c r="EY11" i="41"/>
  <c r="EX11" i="41"/>
  <c r="EW11" i="41"/>
  <c r="EV11" i="41"/>
  <c r="EU11" i="41"/>
  <c r="ET11" i="41"/>
  <c r="ES11" i="41"/>
  <c r="ER11" i="41"/>
  <c r="EQ11" i="41"/>
  <c r="EP11" i="41"/>
  <c r="EO11" i="41"/>
  <c r="EN11" i="41"/>
  <c r="EM11" i="41"/>
  <c r="EL11" i="41"/>
  <c r="EK11" i="41"/>
  <c r="EJ11" i="41"/>
  <c r="EI11" i="41"/>
  <c r="EH11" i="41"/>
  <c r="EG11" i="41"/>
  <c r="EF11" i="41"/>
  <c r="EE11" i="41"/>
  <c r="ED11" i="41"/>
  <c r="EC11" i="41"/>
  <c r="EB11" i="41"/>
  <c r="EA11" i="41"/>
  <c r="DZ11" i="41"/>
  <c r="DY11" i="41"/>
  <c r="DX11" i="41"/>
  <c r="DW11" i="41"/>
  <c r="DV11" i="41"/>
  <c r="DU11" i="41"/>
  <c r="DT11" i="41"/>
  <c r="DS11" i="41"/>
  <c r="DR11" i="41"/>
  <c r="DQ11" i="41"/>
  <c r="DP11" i="41"/>
  <c r="DO11" i="41"/>
  <c r="DN11" i="41"/>
  <c r="DM11" i="41"/>
  <c r="DL11" i="41"/>
  <c r="DK11" i="41"/>
  <c r="DJ11" i="41"/>
  <c r="DI11" i="41"/>
  <c r="DH11" i="41"/>
  <c r="DG11" i="41"/>
  <c r="DF11" i="41"/>
  <c r="DE11" i="41"/>
  <c r="DD11" i="41"/>
  <c r="DC11" i="41"/>
  <c r="DB11" i="41"/>
  <c r="DA11" i="41"/>
  <c r="CZ11" i="41"/>
  <c r="CY11" i="41"/>
  <c r="CX11" i="41"/>
  <c r="CW11" i="41"/>
  <c r="CV11" i="41"/>
  <c r="CU11" i="41"/>
  <c r="CT11" i="41"/>
  <c r="CS11" i="41"/>
  <c r="CR11" i="41"/>
  <c r="CQ11" i="41"/>
  <c r="CP11" i="41"/>
  <c r="CO11" i="41"/>
  <c r="CN11" i="41"/>
  <c r="CM11" i="41"/>
  <c r="CL11" i="41"/>
  <c r="CK11" i="41"/>
  <c r="CJ11" i="41"/>
  <c r="CI11" i="41"/>
  <c r="CH11" i="41"/>
  <c r="CG11" i="41"/>
  <c r="CF11" i="41"/>
  <c r="CE11" i="41"/>
  <c r="CD11" i="41"/>
  <c r="CC11" i="41"/>
  <c r="CB11" i="41"/>
  <c r="CA11" i="41"/>
  <c r="BZ11" i="41"/>
  <c r="BY11" i="41"/>
  <c r="BX11" i="41"/>
  <c r="BW11" i="41"/>
  <c r="BV11" i="41"/>
  <c r="BU11" i="41"/>
  <c r="BT11" i="41"/>
  <c r="BS11" i="41"/>
  <c r="BR11" i="41"/>
  <c r="BQ11" i="41"/>
  <c r="BP11" i="41"/>
  <c r="BO11" i="41"/>
  <c r="BN11" i="41"/>
  <c r="BM11" i="41"/>
  <c r="BL11" i="41"/>
  <c r="BK11" i="41"/>
  <c r="BJ11" i="41"/>
  <c r="BI11" i="41"/>
  <c r="BH11" i="41"/>
  <c r="BG11" i="41"/>
  <c r="BF11" i="41"/>
  <c r="BE11" i="41"/>
  <c r="BD11" i="41"/>
  <c r="BC11" i="41"/>
  <c r="BB11" i="41"/>
  <c r="BA11" i="41"/>
  <c r="AZ11" i="41"/>
  <c r="AY11" i="41"/>
  <c r="AX11" i="41"/>
  <c r="AW11" i="41"/>
  <c r="AV11" i="41"/>
  <c r="AU11" i="41"/>
  <c r="AT11" i="41"/>
  <c r="AS11" i="41"/>
  <c r="AR11" i="41"/>
  <c r="AQ11" i="41"/>
  <c r="AP11" i="41"/>
  <c r="AO11" i="41"/>
  <c r="AN11" i="41"/>
  <c r="AM11" i="41"/>
  <c r="AL11" i="41"/>
  <c r="AK11" i="41"/>
  <c r="AJ11" i="41"/>
  <c r="AI11" i="41"/>
  <c r="AH11" i="41"/>
  <c r="AG11" i="41"/>
  <c r="AF11" i="41"/>
  <c r="AE11" i="41"/>
  <c r="AD11" i="41"/>
  <c r="AC11" i="41"/>
  <c r="AB11" i="41"/>
  <c r="AA11" i="41"/>
  <c r="Z11" i="41"/>
  <c r="Y11" i="41"/>
  <c r="X11" i="41"/>
  <c r="W11" i="41"/>
  <c r="V11" i="41"/>
  <c r="U11" i="41"/>
  <c r="T11" i="41"/>
  <c r="S11" i="41"/>
  <c r="R11" i="41"/>
  <c r="Q11" i="41"/>
  <c r="P11" i="41"/>
  <c r="O11" i="41"/>
  <c r="N11" i="41"/>
  <c r="M11" i="41"/>
  <c r="L11" i="41"/>
  <c r="K11" i="41"/>
  <c r="J11" i="41"/>
  <c r="I11" i="41"/>
  <c r="H11" i="41"/>
  <c r="G11" i="41"/>
  <c r="F11" i="41"/>
  <c r="E11" i="41"/>
  <c r="D11" i="41"/>
  <c r="C11" i="41"/>
  <c r="IV10" i="41"/>
  <c r="IU10" i="41"/>
  <c r="IT10" i="41"/>
  <c r="IS10" i="41"/>
  <c r="IR10" i="41"/>
  <c r="IQ10" i="41"/>
  <c r="IP10" i="41"/>
  <c r="IO10" i="41"/>
  <c r="IN10" i="41"/>
  <c r="IM10" i="41"/>
  <c r="IL10" i="41"/>
  <c r="IK10" i="41"/>
  <c r="IJ10" i="41"/>
  <c r="II10" i="41"/>
  <c r="IH10" i="41"/>
  <c r="IG10" i="41"/>
  <c r="IF10" i="41"/>
  <c r="IE10" i="41"/>
  <c r="ID10" i="41"/>
  <c r="IC10" i="41"/>
  <c r="IB10" i="41"/>
  <c r="IA10" i="41"/>
  <c r="HZ10" i="41"/>
  <c r="HY10" i="41"/>
  <c r="HX10" i="41"/>
  <c r="HW10" i="41"/>
  <c r="HV10" i="41"/>
  <c r="HU10" i="41"/>
  <c r="HT10" i="41"/>
  <c r="HS10" i="41"/>
  <c r="HR10" i="41"/>
  <c r="HQ10" i="41"/>
  <c r="HP10" i="41"/>
  <c r="HO10" i="41"/>
  <c r="HN10" i="41"/>
  <c r="HM10" i="41"/>
  <c r="HL10" i="41"/>
  <c r="HK10" i="41"/>
  <c r="HJ10" i="41"/>
  <c r="HI10" i="41"/>
  <c r="HH10" i="41"/>
  <c r="HG10" i="41"/>
  <c r="HF10" i="41"/>
  <c r="HE10" i="41"/>
  <c r="HD10" i="41"/>
  <c r="HC10" i="41"/>
  <c r="HB10" i="41"/>
  <c r="HA10" i="41"/>
  <c r="GZ10" i="41"/>
  <c r="GY10" i="41"/>
  <c r="GX10" i="41"/>
  <c r="GW10" i="41"/>
  <c r="GV10" i="41"/>
  <c r="GU10" i="41"/>
  <c r="GT10" i="41"/>
  <c r="GS10" i="41"/>
  <c r="GR10" i="41"/>
  <c r="GQ10" i="41"/>
  <c r="GP10" i="41"/>
  <c r="GO10" i="41"/>
  <c r="GN10" i="41"/>
  <c r="GM10" i="41"/>
  <c r="GL10" i="41"/>
  <c r="GK10" i="41"/>
  <c r="GJ10" i="41"/>
  <c r="GI10" i="41"/>
  <c r="GH10" i="41"/>
  <c r="GG10" i="41"/>
  <c r="GF10" i="41"/>
  <c r="GE10" i="41"/>
  <c r="GD10" i="41"/>
  <c r="GC10" i="41"/>
  <c r="GB10" i="41"/>
  <c r="GA10" i="41"/>
  <c r="FZ10" i="41"/>
  <c r="FY10" i="41"/>
  <c r="FX10" i="41"/>
  <c r="FW10" i="41"/>
  <c r="FV10" i="41"/>
  <c r="FU10" i="41"/>
  <c r="FT10" i="41"/>
  <c r="FS10" i="41"/>
  <c r="FR10" i="41"/>
  <c r="FQ10" i="41"/>
  <c r="FP10" i="41"/>
  <c r="FO10" i="41"/>
  <c r="FN10" i="41"/>
  <c r="FM10" i="41"/>
  <c r="FL10" i="41"/>
  <c r="FK10" i="41"/>
  <c r="FJ10" i="41"/>
  <c r="FI10" i="41"/>
  <c r="FH10" i="41"/>
  <c r="FG10" i="41"/>
  <c r="FF10" i="41"/>
  <c r="FE10" i="41"/>
  <c r="FD10" i="41"/>
  <c r="FC10" i="41"/>
  <c r="FB10" i="41"/>
  <c r="FA10" i="41"/>
  <c r="EZ10" i="41"/>
  <c r="EY10" i="41"/>
  <c r="EX10" i="41"/>
  <c r="EW10" i="41"/>
  <c r="EV10" i="41"/>
  <c r="EU10" i="41"/>
  <c r="ET10" i="41"/>
  <c r="ES10" i="41"/>
  <c r="ER10" i="41"/>
  <c r="EQ10" i="41"/>
  <c r="EP10" i="41"/>
  <c r="EO10" i="41"/>
  <c r="EN10" i="41"/>
  <c r="EM10" i="41"/>
  <c r="EL10" i="41"/>
  <c r="EK10" i="41"/>
  <c r="EJ10" i="41"/>
  <c r="EI10" i="41"/>
  <c r="EH10" i="41"/>
  <c r="EG10" i="41"/>
  <c r="EF10" i="41"/>
  <c r="EE10" i="41"/>
  <c r="ED10" i="41"/>
  <c r="EC10" i="41"/>
  <c r="EB10" i="41"/>
  <c r="EA10" i="41"/>
  <c r="DZ10" i="41"/>
  <c r="DY10" i="41"/>
  <c r="DX10" i="41"/>
  <c r="DW10" i="41"/>
  <c r="DV10" i="41"/>
  <c r="DU10" i="41"/>
  <c r="DT10" i="41"/>
  <c r="DS10" i="41"/>
  <c r="DR10" i="41"/>
  <c r="DQ10" i="41"/>
  <c r="DP10" i="41"/>
  <c r="DO10" i="41"/>
  <c r="DN10" i="41"/>
  <c r="DM10" i="41"/>
  <c r="DL10" i="41"/>
  <c r="DK10" i="41"/>
  <c r="DJ10" i="41"/>
  <c r="DI10" i="41"/>
  <c r="DH10" i="41"/>
  <c r="DG10" i="41"/>
  <c r="DF10" i="41"/>
  <c r="DE10" i="41"/>
  <c r="DD10" i="41"/>
  <c r="DC10" i="41"/>
  <c r="DB10" i="41"/>
  <c r="DA10" i="41"/>
  <c r="CZ10" i="41"/>
  <c r="CY10" i="41"/>
  <c r="CX10" i="41"/>
  <c r="CW10" i="41"/>
  <c r="CV10" i="41"/>
  <c r="CU10" i="41"/>
  <c r="CT10" i="41"/>
  <c r="CS10" i="41"/>
  <c r="CR10" i="41"/>
  <c r="CQ10" i="41"/>
  <c r="CP10" i="41"/>
  <c r="CO10" i="41"/>
  <c r="CN10" i="41"/>
  <c r="CM10" i="41"/>
  <c r="CL10" i="41"/>
  <c r="CK10" i="41"/>
  <c r="CJ10" i="41"/>
  <c r="CI10" i="41"/>
  <c r="CH10" i="41"/>
  <c r="CG10" i="41"/>
  <c r="CF10" i="41"/>
  <c r="CE10" i="41"/>
  <c r="CD10" i="41"/>
  <c r="CC10" i="41"/>
  <c r="CB10" i="41"/>
  <c r="CA10" i="41"/>
  <c r="BZ10" i="41"/>
  <c r="BY10" i="41"/>
  <c r="BX10" i="41"/>
  <c r="BW10" i="41"/>
  <c r="BV10" i="41"/>
  <c r="BU10" i="41"/>
  <c r="BT10" i="41"/>
  <c r="BS10" i="41"/>
  <c r="BR10" i="41"/>
  <c r="BQ10" i="41"/>
  <c r="BP10" i="41"/>
  <c r="BO10" i="41"/>
  <c r="BN10" i="41"/>
  <c r="BM10" i="41"/>
  <c r="BL10" i="41"/>
  <c r="BK10" i="41"/>
  <c r="BJ10" i="41"/>
  <c r="BI10" i="41"/>
  <c r="BH10" i="41"/>
  <c r="BG10" i="41"/>
  <c r="BF10" i="41"/>
  <c r="BE10" i="41"/>
  <c r="BD10" i="41"/>
  <c r="BC10" i="41"/>
  <c r="BB10" i="41"/>
  <c r="BA10" i="41"/>
  <c r="AZ10" i="41"/>
  <c r="AY10" i="41"/>
  <c r="AX10" i="41"/>
  <c r="AW10" i="41"/>
  <c r="AV10" i="41"/>
  <c r="AU10" i="41"/>
  <c r="AT10" i="41"/>
  <c r="AS10" i="41"/>
  <c r="AR10" i="41"/>
  <c r="AQ10" i="41"/>
  <c r="AP10" i="41"/>
  <c r="AO10" i="41"/>
  <c r="AN10" i="41"/>
  <c r="AM10" i="41"/>
  <c r="AL10" i="41"/>
  <c r="AK10" i="41"/>
  <c r="AJ10" i="41"/>
  <c r="AI10" i="41"/>
  <c r="AH10" i="41"/>
  <c r="AG10" i="41"/>
  <c r="AF10" i="41"/>
  <c r="AE10" i="41"/>
  <c r="AD10" i="41"/>
  <c r="AC10" i="41"/>
  <c r="AB10" i="41"/>
  <c r="AA10" i="41"/>
  <c r="Z10" i="41"/>
  <c r="Y10" i="41"/>
  <c r="X10" i="41"/>
  <c r="W10" i="41"/>
  <c r="V10" i="41"/>
  <c r="U10" i="41"/>
  <c r="T10" i="41"/>
  <c r="S10" i="41"/>
  <c r="R10" i="41"/>
  <c r="Q10" i="41"/>
  <c r="P10" i="41"/>
  <c r="O10" i="41"/>
  <c r="N10" i="41"/>
  <c r="M10" i="41"/>
  <c r="L10" i="41"/>
  <c r="K10" i="41"/>
  <c r="J10" i="41"/>
  <c r="I10" i="41"/>
  <c r="H10" i="41"/>
  <c r="G10" i="41"/>
  <c r="F10" i="41"/>
  <c r="E10" i="41"/>
  <c r="D10" i="41"/>
  <c r="C10" i="41"/>
  <c r="L3" i="41"/>
  <c r="C3" i="41"/>
  <c r="L2" i="41"/>
  <c r="I2" i="41"/>
  <c r="F2" i="41"/>
  <c r="C2" i="41"/>
  <c r="L3" i="19"/>
  <c r="L2" i="19"/>
  <c r="I2" i="19"/>
  <c r="C10" i="19"/>
  <c r="D10" i="19"/>
  <c r="E10" i="19"/>
  <c r="F10" i="19"/>
  <c r="G10" i="19"/>
  <c r="H10" i="19"/>
  <c r="I10" i="19"/>
  <c r="J10" i="19"/>
  <c r="K10" i="19"/>
  <c r="L10" i="19"/>
  <c r="M10" i="19"/>
  <c r="N10" i="19"/>
  <c r="O10" i="19"/>
  <c r="P10" i="19"/>
  <c r="Q10" i="19"/>
  <c r="R10" i="19"/>
  <c r="S10" i="19"/>
  <c r="T10" i="19"/>
  <c r="U10" i="19"/>
  <c r="V10" i="19"/>
  <c r="W10" i="19"/>
  <c r="X10" i="19"/>
  <c r="Y10" i="19"/>
  <c r="Z10" i="19"/>
  <c r="AA10" i="19"/>
  <c r="AB10" i="19"/>
  <c r="AC10" i="19"/>
  <c r="AD10" i="19"/>
  <c r="AE10" i="19"/>
  <c r="AF10" i="19"/>
  <c r="AG10" i="19"/>
  <c r="AH10" i="19"/>
  <c r="AI10" i="19"/>
  <c r="AJ10" i="19"/>
  <c r="AK10" i="19"/>
  <c r="AL10" i="19"/>
  <c r="AM10" i="19"/>
  <c r="AN10" i="19"/>
  <c r="AO10" i="19"/>
  <c r="AP10" i="19"/>
  <c r="AQ10" i="19"/>
  <c r="AR10" i="19"/>
  <c r="AS10" i="19"/>
  <c r="AT10" i="19"/>
  <c r="AU10" i="19"/>
  <c r="AV10" i="19"/>
  <c r="AW10" i="19"/>
  <c r="AX10" i="19"/>
  <c r="AY10" i="19"/>
  <c r="AZ10" i="19"/>
  <c r="BA10" i="19"/>
  <c r="BB10" i="19"/>
  <c r="BC10" i="19"/>
  <c r="BD10" i="19"/>
  <c r="BE10" i="19"/>
  <c r="BF10" i="19"/>
  <c r="BG10" i="19"/>
  <c r="BH10" i="19"/>
  <c r="BI10" i="19"/>
  <c r="BJ10" i="19"/>
  <c r="BK10" i="19"/>
  <c r="BL10" i="19"/>
  <c r="BM10" i="19"/>
  <c r="BN10" i="19"/>
  <c r="BO10" i="19"/>
  <c r="BP10" i="19"/>
  <c r="BQ10" i="19"/>
  <c r="BR10" i="19"/>
  <c r="BS10" i="19"/>
  <c r="BT10" i="19"/>
  <c r="BU10" i="19"/>
  <c r="BV10" i="19"/>
  <c r="BW10" i="19"/>
  <c r="BX10" i="19"/>
  <c r="BY10" i="19"/>
  <c r="BZ10" i="19"/>
  <c r="CA10" i="19"/>
  <c r="CB10" i="19"/>
  <c r="CC10" i="19"/>
  <c r="CD10" i="19"/>
  <c r="CE10" i="19"/>
  <c r="CF10" i="19"/>
  <c r="CG10" i="19"/>
  <c r="CH10" i="19"/>
  <c r="CI10" i="19"/>
  <c r="CJ10" i="19"/>
  <c r="CK10" i="19"/>
  <c r="CL10" i="19"/>
  <c r="CM10" i="19"/>
  <c r="CN10" i="19"/>
  <c r="CO10" i="19"/>
  <c r="CP10" i="19"/>
  <c r="CQ10" i="19"/>
  <c r="CR10" i="19"/>
  <c r="CS10" i="19"/>
  <c r="CT10" i="19"/>
  <c r="CU10" i="19"/>
  <c r="CV10" i="19"/>
  <c r="CW10" i="19"/>
  <c r="CX10" i="19"/>
  <c r="CY10" i="19"/>
  <c r="CZ10" i="19"/>
  <c r="DA10" i="19"/>
  <c r="DB10" i="19"/>
  <c r="DC10" i="19"/>
  <c r="DD10" i="19"/>
  <c r="DE10" i="19"/>
  <c r="DF10" i="19"/>
  <c r="DG10" i="19"/>
  <c r="DH10" i="19"/>
  <c r="DI10" i="19"/>
  <c r="DJ10" i="19"/>
  <c r="DK10" i="19"/>
  <c r="DL10" i="19"/>
  <c r="DM10" i="19"/>
  <c r="DN10" i="19"/>
  <c r="DO10" i="19"/>
  <c r="DP10" i="19"/>
  <c r="DQ10" i="19"/>
  <c r="DR10" i="19"/>
  <c r="DS10" i="19"/>
  <c r="DT10" i="19"/>
  <c r="DU10" i="19"/>
  <c r="DV10" i="19"/>
  <c r="DW10" i="19"/>
  <c r="DX10" i="19"/>
  <c r="DY10" i="19"/>
  <c r="DZ10" i="19"/>
  <c r="EA10" i="19"/>
  <c r="EB10" i="19"/>
  <c r="EC10" i="19"/>
  <c r="ED10" i="19"/>
  <c r="EE10" i="19"/>
  <c r="EF10" i="19"/>
  <c r="EG10" i="19"/>
  <c r="EH10" i="19"/>
  <c r="EI10" i="19"/>
  <c r="EJ10" i="19"/>
  <c r="EK10" i="19"/>
  <c r="EL10" i="19"/>
  <c r="EM10" i="19"/>
  <c r="EN10" i="19"/>
  <c r="EO10" i="19"/>
  <c r="EP10" i="19"/>
  <c r="EQ10" i="19"/>
  <c r="ER10" i="19"/>
  <c r="ES10" i="19"/>
  <c r="ET10" i="19"/>
  <c r="EU10" i="19"/>
  <c r="EV10" i="19"/>
  <c r="EW10" i="19"/>
  <c r="EX10" i="19"/>
  <c r="EY10" i="19"/>
  <c r="EZ10" i="19"/>
  <c r="FA10" i="19"/>
  <c r="FB10" i="19"/>
  <c r="FC10" i="19"/>
  <c r="FD10" i="19"/>
  <c r="FE10" i="19"/>
  <c r="FF10" i="19"/>
  <c r="FG10" i="19"/>
  <c r="FH10" i="19"/>
  <c r="FI10" i="19"/>
  <c r="FJ10" i="19"/>
  <c r="FK10" i="19"/>
  <c r="FL10" i="19"/>
  <c r="FM10" i="19"/>
  <c r="FN10" i="19"/>
  <c r="FO10" i="19"/>
  <c r="FP10" i="19"/>
  <c r="FQ10" i="19"/>
  <c r="FR10" i="19"/>
  <c r="FS10" i="19"/>
  <c r="FT10" i="19"/>
  <c r="FU10" i="19"/>
  <c r="FV10" i="19"/>
  <c r="FW10" i="19"/>
  <c r="FX10" i="19"/>
  <c r="FY10" i="19"/>
  <c r="FZ10" i="19"/>
  <c r="GA10" i="19"/>
  <c r="GB10" i="19"/>
  <c r="GC10" i="19"/>
  <c r="GD10" i="19"/>
  <c r="GE10" i="19"/>
  <c r="GF10" i="19"/>
  <c r="GG10" i="19"/>
  <c r="GH10" i="19"/>
  <c r="GI10" i="19"/>
  <c r="GJ10" i="19"/>
  <c r="GK10" i="19"/>
  <c r="GL10" i="19"/>
  <c r="GM10" i="19"/>
  <c r="GN10" i="19"/>
  <c r="GO10" i="19"/>
  <c r="GP10" i="19"/>
  <c r="GQ10" i="19"/>
  <c r="GR10" i="19"/>
  <c r="GS10" i="19"/>
  <c r="GT10" i="19"/>
  <c r="GU10" i="19"/>
  <c r="GV10" i="19"/>
  <c r="GW10" i="19"/>
  <c r="GX10" i="19"/>
  <c r="GY10" i="19"/>
  <c r="GZ10" i="19"/>
  <c r="HA10" i="19"/>
  <c r="HB10" i="19"/>
  <c r="HC10" i="19"/>
  <c r="HD10" i="19"/>
  <c r="HE10" i="19"/>
  <c r="HF10" i="19"/>
  <c r="HG10" i="19"/>
  <c r="HH10" i="19"/>
  <c r="HI10" i="19"/>
  <c r="HJ10" i="19"/>
  <c r="HK10" i="19"/>
  <c r="HL10" i="19"/>
  <c r="HM10" i="19"/>
  <c r="HN10" i="19"/>
  <c r="HO10" i="19"/>
  <c r="HP10" i="19"/>
  <c r="HQ10" i="19"/>
  <c r="HR10" i="19"/>
  <c r="HS10" i="19"/>
  <c r="HT10" i="19"/>
  <c r="HU10" i="19"/>
  <c r="HV10" i="19"/>
  <c r="HW10" i="19"/>
  <c r="HX10" i="19"/>
  <c r="HY10" i="19"/>
  <c r="HZ10" i="19"/>
  <c r="IA10" i="19"/>
  <c r="IB10" i="19"/>
  <c r="IC10" i="19"/>
  <c r="ID10" i="19"/>
  <c r="IE10" i="19"/>
  <c r="IF10" i="19"/>
  <c r="IG10" i="19"/>
  <c r="IH10" i="19"/>
  <c r="II10" i="19"/>
  <c r="IJ10" i="19"/>
  <c r="IK10" i="19"/>
  <c r="IL10" i="19"/>
  <c r="IM10" i="19"/>
  <c r="IN10" i="19"/>
  <c r="IO10" i="19"/>
  <c r="IP10" i="19"/>
  <c r="IQ10" i="19"/>
  <c r="IR10" i="19"/>
  <c r="IS10" i="19"/>
  <c r="IT10" i="19"/>
  <c r="IU10" i="19"/>
  <c r="IV10" i="19"/>
  <c r="C11" i="19"/>
  <c r="D11" i="19"/>
  <c r="E11" i="19"/>
  <c r="F11" i="19"/>
  <c r="G11" i="19"/>
  <c r="H11" i="19"/>
  <c r="I11" i="19"/>
  <c r="J11" i="19"/>
  <c r="K11" i="19"/>
  <c r="L11" i="19"/>
  <c r="M11" i="19"/>
  <c r="N11" i="19"/>
  <c r="O11" i="19"/>
  <c r="P11" i="19"/>
  <c r="Q11" i="19"/>
  <c r="R11" i="19"/>
  <c r="S11" i="19"/>
  <c r="T11" i="19"/>
  <c r="U11" i="19"/>
  <c r="V11" i="19"/>
  <c r="W11" i="19"/>
  <c r="X11" i="19"/>
  <c r="Y11" i="19"/>
  <c r="Z11" i="19"/>
  <c r="AA11" i="19"/>
  <c r="AB11" i="19"/>
  <c r="AC11" i="19"/>
  <c r="AD11" i="19"/>
  <c r="AE11" i="19"/>
  <c r="AF11" i="19"/>
  <c r="AG11" i="19"/>
  <c r="AH11" i="19"/>
  <c r="AI11" i="19"/>
  <c r="AJ11" i="19"/>
  <c r="AK11" i="19"/>
  <c r="AL11" i="19"/>
  <c r="AM11" i="19"/>
  <c r="AN11" i="19"/>
  <c r="AO11" i="19"/>
  <c r="AP11" i="19"/>
  <c r="AQ11" i="19"/>
  <c r="AR11" i="19"/>
  <c r="AS11" i="19"/>
  <c r="AT11" i="19"/>
  <c r="AU11" i="19"/>
  <c r="AV11" i="19"/>
  <c r="AW11" i="19"/>
  <c r="AX11" i="19"/>
  <c r="AY11" i="19"/>
  <c r="AZ11" i="19"/>
  <c r="BA11" i="19"/>
  <c r="BB11" i="19"/>
  <c r="BC11" i="19"/>
  <c r="BD11" i="19"/>
  <c r="BE11" i="19"/>
  <c r="BF11" i="19"/>
  <c r="BG11" i="19"/>
  <c r="BH11" i="19"/>
  <c r="BI11" i="19"/>
  <c r="BJ11" i="19"/>
  <c r="BK11" i="19"/>
  <c r="BL11" i="19"/>
  <c r="BM11" i="19"/>
  <c r="BN11" i="19"/>
  <c r="BO11" i="19"/>
  <c r="BP11" i="19"/>
  <c r="BQ11" i="19"/>
  <c r="BR11" i="19"/>
  <c r="BS11" i="19"/>
  <c r="BT11" i="19"/>
  <c r="BU11" i="19"/>
  <c r="BV11" i="19"/>
  <c r="BW11" i="19"/>
  <c r="BX11" i="19"/>
  <c r="BY11" i="19"/>
  <c r="BZ11" i="19"/>
  <c r="CA11" i="19"/>
  <c r="CB11" i="19"/>
  <c r="CC11" i="19"/>
  <c r="CD11" i="19"/>
  <c r="CE11" i="19"/>
  <c r="CF11" i="19"/>
  <c r="CG11" i="19"/>
  <c r="CH11" i="19"/>
  <c r="CI11" i="19"/>
  <c r="CJ11" i="19"/>
  <c r="CK11" i="19"/>
  <c r="CL11" i="19"/>
  <c r="CM11" i="19"/>
  <c r="CN11" i="19"/>
  <c r="CO11" i="19"/>
  <c r="CP11" i="19"/>
  <c r="CQ11" i="19"/>
  <c r="CR11" i="19"/>
  <c r="CS11" i="19"/>
  <c r="CT11" i="19"/>
  <c r="CU11" i="19"/>
  <c r="CV11" i="19"/>
  <c r="CW11" i="19"/>
  <c r="CX11" i="19"/>
  <c r="CY11" i="19"/>
  <c r="CZ11" i="19"/>
  <c r="DA11" i="19"/>
  <c r="DB11" i="19"/>
  <c r="DC11" i="19"/>
  <c r="DD11" i="19"/>
  <c r="DE11" i="19"/>
  <c r="DF11" i="19"/>
  <c r="DG11" i="19"/>
  <c r="DH11" i="19"/>
  <c r="DI11" i="19"/>
  <c r="DJ11" i="19"/>
  <c r="DK11" i="19"/>
  <c r="DL11" i="19"/>
  <c r="DM11" i="19"/>
  <c r="DN11" i="19"/>
  <c r="DO11" i="19"/>
  <c r="DP11" i="19"/>
  <c r="DQ11" i="19"/>
  <c r="DR11" i="19"/>
  <c r="DS11" i="19"/>
  <c r="DT11" i="19"/>
  <c r="DU11" i="19"/>
  <c r="DV11" i="19"/>
  <c r="DW11" i="19"/>
  <c r="DX11" i="19"/>
  <c r="DY11" i="19"/>
  <c r="DZ11" i="19"/>
  <c r="EA11" i="19"/>
  <c r="EB11" i="19"/>
  <c r="EC11" i="19"/>
  <c r="ED11" i="19"/>
  <c r="EE11" i="19"/>
  <c r="EF11" i="19"/>
  <c r="EG11" i="19"/>
  <c r="EH11" i="19"/>
  <c r="EI11" i="19"/>
  <c r="EJ11" i="19"/>
  <c r="EK11" i="19"/>
  <c r="EL11" i="19"/>
  <c r="EM11" i="19"/>
  <c r="EN11" i="19"/>
  <c r="EO11" i="19"/>
  <c r="EP11" i="19"/>
  <c r="EQ11" i="19"/>
  <c r="ER11" i="19"/>
  <c r="ES11" i="19"/>
  <c r="ET11" i="19"/>
  <c r="EU11" i="19"/>
  <c r="EV11" i="19"/>
  <c r="EW11" i="19"/>
  <c r="EX11" i="19"/>
  <c r="EY11" i="19"/>
  <c r="EZ11" i="19"/>
  <c r="FA11" i="19"/>
  <c r="FB11" i="19"/>
  <c r="FC11" i="19"/>
  <c r="FD11" i="19"/>
  <c r="FE11" i="19"/>
  <c r="FF11" i="19"/>
  <c r="FG11" i="19"/>
  <c r="FH11" i="19"/>
  <c r="FI11" i="19"/>
  <c r="FJ11" i="19"/>
  <c r="FK11" i="19"/>
  <c r="FL11" i="19"/>
  <c r="FM11" i="19"/>
  <c r="FN11" i="19"/>
  <c r="FO11" i="19"/>
  <c r="FP11" i="19"/>
  <c r="FQ11" i="19"/>
  <c r="FR11" i="19"/>
  <c r="FS11" i="19"/>
  <c r="FT11" i="19"/>
  <c r="FU11" i="19"/>
  <c r="FV11" i="19"/>
  <c r="FW11" i="19"/>
  <c r="FX11" i="19"/>
  <c r="FY11" i="19"/>
  <c r="FZ11" i="19"/>
  <c r="GA11" i="19"/>
  <c r="GB11" i="19"/>
  <c r="GC11" i="19"/>
  <c r="GD11" i="19"/>
  <c r="GE11" i="19"/>
  <c r="GF11" i="19"/>
  <c r="GG11" i="19"/>
  <c r="GH11" i="19"/>
  <c r="GI11" i="19"/>
  <c r="GJ11" i="19"/>
  <c r="GK11" i="19"/>
  <c r="GL11" i="19"/>
  <c r="GM11" i="19"/>
  <c r="GN11" i="19"/>
  <c r="GO11" i="19"/>
  <c r="GP11" i="19"/>
  <c r="GQ11" i="19"/>
  <c r="GR11" i="19"/>
  <c r="GS11" i="19"/>
  <c r="GT11" i="19"/>
  <c r="GU11" i="19"/>
  <c r="GV11" i="19"/>
  <c r="GW11" i="19"/>
  <c r="GX11" i="19"/>
  <c r="GY11" i="19"/>
  <c r="GZ11" i="19"/>
  <c r="HA11" i="19"/>
  <c r="HB11" i="19"/>
  <c r="HC11" i="19"/>
  <c r="HD11" i="19"/>
  <c r="HE11" i="19"/>
  <c r="HF11" i="19"/>
  <c r="HG11" i="19"/>
  <c r="HH11" i="19"/>
  <c r="HI11" i="19"/>
  <c r="HJ11" i="19"/>
  <c r="HK11" i="19"/>
  <c r="HL11" i="19"/>
  <c r="HM11" i="19"/>
  <c r="HN11" i="19"/>
  <c r="HO11" i="19"/>
  <c r="HP11" i="19"/>
  <c r="HQ11" i="19"/>
  <c r="HR11" i="19"/>
  <c r="HS11" i="19"/>
  <c r="HT11" i="19"/>
  <c r="HU11" i="19"/>
  <c r="HV11" i="19"/>
  <c r="HW11" i="19"/>
  <c r="HX11" i="19"/>
  <c r="HY11" i="19"/>
  <c r="HZ11" i="19"/>
  <c r="IA11" i="19"/>
  <c r="IB11" i="19"/>
  <c r="IC11" i="19"/>
  <c r="ID11" i="19"/>
  <c r="IE11" i="19"/>
  <c r="IF11" i="19"/>
  <c r="IG11" i="19"/>
  <c r="IH11" i="19"/>
  <c r="II11" i="19"/>
  <c r="IJ11" i="19"/>
  <c r="IK11" i="19"/>
  <c r="IL11" i="19"/>
  <c r="IM11" i="19"/>
  <c r="IN11" i="19"/>
  <c r="IO11" i="19"/>
  <c r="IP11" i="19"/>
  <c r="IQ11" i="19"/>
  <c r="IR11" i="19"/>
  <c r="IS11" i="19"/>
  <c r="IT11" i="19"/>
  <c r="IU11" i="19"/>
  <c r="IV11" i="19"/>
  <c r="C12" i="19"/>
  <c r="D12" i="19"/>
  <c r="E12" i="19"/>
  <c r="F12" i="19"/>
  <c r="G12" i="19"/>
  <c r="H12" i="19"/>
  <c r="I12" i="19"/>
  <c r="J12" i="19"/>
  <c r="K12" i="19"/>
  <c r="L12" i="19"/>
  <c r="M12" i="19"/>
  <c r="N12" i="19"/>
  <c r="O12" i="19"/>
  <c r="P12" i="19"/>
  <c r="Q12" i="19"/>
  <c r="R12" i="19"/>
  <c r="S12" i="19"/>
  <c r="T12" i="19"/>
  <c r="U12" i="19"/>
  <c r="V12" i="19"/>
  <c r="W12" i="19"/>
  <c r="X12" i="19"/>
  <c r="Y12" i="19"/>
  <c r="Z12" i="19"/>
  <c r="AA12" i="19"/>
  <c r="AB12" i="19"/>
  <c r="AC12" i="19"/>
  <c r="AD12" i="19"/>
  <c r="AE12" i="19"/>
  <c r="AF12" i="19"/>
  <c r="AG12" i="19"/>
  <c r="AH12" i="19"/>
  <c r="AI12" i="19"/>
  <c r="AJ12" i="19"/>
  <c r="AK12" i="19"/>
  <c r="AL12" i="19"/>
  <c r="AM12" i="19"/>
  <c r="AN12" i="19"/>
  <c r="AO12" i="19"/>
  <c r="AP12" i="19"/>
  <c r="AQ12" i="19"/>
  <c r="AR12" i="19"/>
  <c r="AS12" i="19"/>
  <c r="AT12" i="19"/>
  <c r="AU12" i="19"/>
  <c r="AV12" i="19"/>
  <c r="AW12" i="19"/>
  <c r="AX12" i="19"/>
  <c r="AY12" i="19"/>
  <c r="AZ12" i="19"/>
  <c r="BA12" i="19"/>
  <c r="BB12" i="19"/>
  <c r="BC12" i="19"/>
  <c r="BD12" i="19"/>
  <c r="BE12" i="19"/>
  <c r="BF12" i="19"/>
  <c r="BG12" i="19"/>
  <c r="BH12" i="19"/>
  <c r="BI12" i="19"/>
  <c r="BJ12" i="19"/>
  <c r="BK12" i="19"/>
  <c r="BL12" i="19"/>
  <c r="BM12" i="19"/>
  <c r="BN12" i="19"/>
  <c r="BO12" i="19"/>
  <c r="BP12" i="19"/>
  <c r="BQ12" i="19"/>
  <c r="BR12" i="19"/>
  <c r="BS12" i="19"/>
  <c r="BT12" i="19"/>
  <c r="BU12" i="19"/>
  <c r="BV12" i="19"/>
  <c r="BW12" i="19"/>
  <c r="BX12" i="19"/>
  <c r="BY12" i="19"/>
  <c r="BZ12" i="19"/>
  <c r="CA12" i="19"/>
  <c r="CB12" i="19"/>
  <c r="CC12" i="19"/>
  <c r="CD12" i="19"/>
  <c r="CE12" i="19"/>
  <c r="CF12" i="19"/>
  <c r="CG12" i="19"/>
  <c r="CH12" i="19"/>
  <c r="CI12" i="19"/>
  <c r="CJ12" i="19"/>
  <c r="CK12" i="19"/>
  <c r="CL12" i="19"/>
  <c r="CM12" i="19"/>
  <c r="CN12" i="19"/>
  <c r="CO12" i="19"/>
  <c r="CP12" i="19"/>
  <c r="CQ12" i="19"/>
  <c r="CR12" i="19"/>
  <c r="CS12" i="19"/>
  <c r="CT12" i="19"/>
  <c r="CU12" i="19"/>
  <c r="CV12" i="19"/>
  <c r="CW12" i="19"/>
  <c r="CX12" i="19"/>
  <c r="CY12" i="19"/>
  <c r="CZ12" i="19"/>
  <c r="DA12" i="19"/>
  <c r="DB12" i="19"/>
  <c r="DC12" i="19"/>
  <c r="DD12" i="19"/>
  <c r="DE12" i="19"/>
  <c r="DF12" i="19"/>
  <c r="DG12" i="19"/>
  <c r="DH12" i="19"/>
  <c r="DI12" i="19"/>
  <c r="DJ12" i="19"/>
  <c r="DK12" i="19"/>
  <c r="DL12" i="19"/>
  <c r="DM12" i="19"/>
  <c r="DN12" i="19"/>
  <c r="DO12" i="19"/>
  <c r="DP12" i="19"/>
  <c r="DQ12" i="19"/>
  <c r="DR12" i="19"/>
  <c r="DS12" i="19"/>
  <c r="DT12" i="19"/>
  <c r="DU12" i="19"/>
  <c r="DV12" i="19"/>
  <c r="DW12" i="19"/>
  <c r="DX12" i="19"/>
  <c r="DY12" i="19"/>
  <c r="DZ12" i="19"/>
  <c r="EA12" i="19"/>
  <c r="EB12" i="19"/>
  <c r="EC12" i="19"/>
  <c r="ED12" i="19"/>
  <c r="EE12" i="19"/>
  <c r="EF12" i="19"/>
  <c r="EG12" i="19"/>
  <c r="EH12" i="19"/>
  <c r="EI12" i="19"/>
  <c r="EJ12" i="19"/>
  <c r="EK12" i="19"/>
  <c r="EL12" i="19"/>
  <c r="EM12" i="19"/>
  <c r="EN12" i="19"/>
  <c r="EO12" i="19"/>
  <c r="EP12" i="19"/>
  <c r="EQ12" i="19"/>
  <c r="ER12" i="19"/>
  <c r="ES12" i="19"/>
  <c r="ET12" i="19"/>
  <c r="EU12" i="19"/>
  <c r="EV12" i="19"/>
  <c r="EW12" i="19"/>
  <c r="EX12" i="19"/>
  <c r="EY12" i="19"/>
  <c r="EZ12" i="19"/>
  <c r="FA12" i="19"/>
  <c r="FB12" i="19"/>
  <c r="FC12" i="19"/>
  <c r="FD12" i="19"/>
  <c r="FE12" i="19"/>
  <c r="FF12" i="19"/>
  <c r="FG12" i="19"/>
  <c r="FH12" i="19"/>
  <c r="FI12" i="19"/>
  <c r="FJ12" i="19"/>
  <c r="FK12" i="19"/>
  <c r="FL12" i="19"/>
  <c r="FM12" i="19"/>
  <c r="FN12" i="19"/>
  <c r="FO12" i="19"/>
  <c r="FP12" i="19"/>
  <c r="FQ12" i="19"/>
  <c r="FR12" i="19"/>
  <c r="FS12" i="19"/>
  <c r="FT12" i="19"/>
  <c r="FU12" i="19"/>
  <c r="FV12" i="19"/>
  <c r="FW12" i="19"/>
  <c r="FX12" i="19"/>
  <c r="FY12" i="19"/>
  <c r="FZ12" i="19"/>
  <c r="GA12" i="19"/>
  <c r="GB12" i="19"/>
  <c r="GC12" i="19"/>
  <c r="GD12" i="19"/>
  <c r="GE12" i="19"/>
  <c r="GF12" i="19"/>
  <c r="GG12" i="19"/>
  <c r="GH12" i="19"/>
  <c r="GI12" i="19"/>
  <c r="GJ12" i="19"/>
  <c r="GK12" i="19"/>
  <c r="GL12" i="19"/>
  <c r="GM12" i="19"/>
  <c r="GN12" i="19"/>
  <c r="GO12" i="19"/>
  <c r="GP12" i="19"/>
  <c r="GQ12" i="19"/>
  <c r="GR12" i="19"/>
  <c r="GS12" i="19"/>
  <c r="GT12" i="19"/>
  <c r="GU12" i="19"/>
  <c r="GV12" i="19"/>
  <c r="GW12" i="19"/>
  <c r="GX12" i="19"/>
  <c r="GY12" i="19"/>
  <c r="GZ12" i="19"/>
  <c r="HA12" i="19"/>
  <c r="HB12" i="19"/>
  <c r="HC12" i="19"/>
  <c r="HD12" i="19"/>
  <c r="HE12" i="19"/>
  <c r="HF12" i="19"/>
  <c r="HG12" i="19"/>
  <c r="HH12" i="19"/>
  <c r="HI12" i="19"/>
  <c r="HJ12" i="19"/>
  <c r="HK12" i="19"/>
  <c r="HL12" i="19"/>
  <c r="HM12" i="19"/>
  <c r="HN12" i="19"/>
  <c r="HO12" i="19"/>
  <c r="HP12" i="19"/>
  <c r="HQ12" i="19"/>
  <c r="HR12" i="19"/>
  <c r="HS12" i="19"/>
  <c r="HT12" i="19"/>
  <c r="HU12" i="19"/>
  <c r="HV12" i="19"/>
  <c r="HW12" i="19"/>
  <c r="HX12" i="19"/>
  <c r="HY12" i="19"/>
  <c r="HZ12" i="19"/>
  <c r="IA12" i="19"/>
  <c r="IB12" i="19"/>
  <c r="IC12" i="19"/>
  <c r="ID12" i="19"/>
  <c r="IE12" i="19"/>
  <c r="IF12" i="19"/>
  <c r="IG12" i="19"/>
  <c r="IH12" i="19"/>
  <c r="II12" i="19"/>
  <c r="IJ12" i="19"/>
  <c r="IK12" i="19"/>
  <c r="IL12" i="19"/>
  <c r="IM12" i="19"/>
  <c r="IN12" i="19"/>
  <c r="IO12" i="19"/>
  <c r="IP12" i="19"/>
  <c r="IQ12" i="19"/>
  <c r="IR12" i="19"/>
  <c r="IS12" i="19"/>
  <c r="IT12" i="19"/>
  <c r="IU12" i="19"/>
  <c r="IV12" i="19"/>
  <c r="C13" i="19"/>
  <c r="D13" i="19"/>
  <c r="E13" i="19"/>
  <c r="F13" i="19"/>
  <c r="G13" i="19"/>
  <c r="H13" i="19"/>
  <c r="I13" i="19"/>
  <c r="J13" i="19"/>
  <c r="K13" i="19"/>
  <c r="L13" i="19"/>
  <c r="M13" i="19"/>
  <c r="N13" i="19"/>
  <c r="O13" i="19"/>
  <c r="P13" i="19"/>
  <c r="Q13" i="19"/>
  <c r="R13" i="19"/>
  <c r="S13" i="19"/>
  <c r="T13" i="19"/>
  <c r="U13" i="19"/>
  <c r="V13" i="19"/>
  <c r="W13" i="19"/>
  <c r="X13" i="19"/>
  <c r="Y13" i="19"/>
  <c r="Z13" i="19"/>
  <c r="AA13" i="19"/>
  <c r="AB13" i="19"/>
  <c r="AC13" i="19"/>
  <c r="AD13" i="19"/>
  <c r="AE13" i="19"/>
  <c r="AF13" i="19"/>
  <c r="AG13" i="19"/>
  <c r="AH13" i="19"/>
  <c r="AI13" i="19"/>
  <c r="AJ13" i="19"/>
  <c r="AK13" i="19"/>
  <c r="AL13" i="19"/>
  <c r="AM13" i="19"/>
  <c r="AN13" i="19"/>
  <c r="AO13" i="19"/>
  <c r="AP13" i="19"/>
  <c r="AQ13" i="19"/>
  <c r="AR13" i="19"/>
  <c r="AS13" i="19"/>
  <c r="AT13" i="19"/>
  <c r="AU13" i="19"/>
  <c r="AV13" i="19"/>
  <c r="AW13" i="19"/>
  <c r="AX13" i="19"/>
  <c r="AY13" i="19"/>
  <c r="AZ13" i="19"/>
  <c r="BA13" i="19"/>
  <c r="BB13" i="19"/>
  <c r="BC13" i="19"/>
  <c r="BD13" i="19"/>
  <c r="BE13" i="19"/>
  <c r="BF13" i="19"/>
  <c r="BG13" i="19"/>
  <c r="BH13" i="19"/>
  <c r="BI13" i="19"/>
  <c r="BJ13" i="19"/>
  <c r="BK13" i="19"/>
  <c r="BL13" i="19"/>
  <c r="BM13" i="19"/>
  <c r="BN13" i="19"/>
  <c r="BO13" i="19"/>
  <c r="BP13" i="19"/>
  <c r="BQ13" i="19"/>
  <c r="BR13" i="19"/>
  <c r="BS13" i="19"/>
  <c r="BT13" i="19"/>
  <c r="BU13" i="19"/>
  <c r="BV13" i="19"/>
  <c r="BW13" i="19"/>
  <c r="BX13" i="19"/>
  <c r="BY13" i="19"/>
  <c r="BZ13" i="19"/>
  <c r="CA13" i="19"/>
  <c r="CB13" i="19"/>
  <c r="CC13" i="19"/>
  <c r="CD13" i="19"/>
  <c r="CE13" i="19"/>
  <c r="CF13" i="19"/>
  <c r="CG13" i="19"/>
  <c r="CH13" i="19"/>
  <c r="CI13" i="19"/>
  <c r="CJ13" i="19"/>
  <c r="CK13" i="19"/>
  <c r="CL13" i="19"/>
  <c r="CM13" i="19"/>
  <c r="CN13" i="19"/>
  <c r="CO13" i="19"/>
  <c r="CP13" i="19"/>
  <c r="CQ13" i="19"/>
  <c r="CR13" i="19"/>
  <c r="CS13" i="19"/>
  <c r="CT13" i="19"/>
  <c r="CU13" i="19"/>
  <c r="CV13" i="19"/>
  <c r="CW13" i="19"/>
  <c r="CX13" i="19"/>
  <c r="CY13" i="19"/>
  <c r="CZ13" i="19"/>
  <c r="DA13" i="19"/>
  <c r="DB13" i="19"/>
  <c r="DC13" i="19"/>
  <c r="DD13" i="19"/>
  <c r="DE13" i="19"/>
  <c r="DF13" i="19"/>
  <c r="DG13" i="19"/>
  <c r="DH13" i="19"/>
  <c r="DI13" i="19"/>
  <c r="DJ13" i="19"/>
  <c r="DK13" i="19"/>
  <c r="DL13" i="19"/>
  <c r="DM13" i="19"/>
  <c r="DN13" i="19"/>
  <c r="DO13" i="19"/>
  <c r="DP13" i="19"/>
  <c r="DQ13" i="19"/>
  <c r="DR13" i="19"/>
  <c r="DS13" i="19"/>
  <c r="DT13" i="19"/>
  <c r="DU13" i="19"/>
  <c r="DV13" i="19"/>
  <c r="DW13" i="19"/>
  <c r="DX13" i="19"/>
  <c r="DY13" i="19"/>
  <c r="DZ13" i="19"/>
  <c r="EA13" i="19"/>
  <c r="EB13" i="19"/>
  <c r="EC13" i="19"/>
  <c r="ED13" i="19"/>
  <c r="EE13" i="19"/>
  <c r="EF13" i="19"/>
  <c r="EG13" i="19"/>
  <c r="EH13" i="19"/>
  <c r="EI13" i="19"/>
  <c r="EJ13" i="19"/>
  <c r="EK13" i="19"/>
  <c r="EL13" i="19"/>
  <c r="EM13" i="19"/>
  <c r="EN13" i="19"/>
  <c r="EO13" i="19"/>
  <c r="EP13" i="19"/>
  <c r="EQ13" i="19"/>
  <c r="ER13" i="19"/>
  <c r="ES13" i="19"/>
  <c r="ET13" i="19"/>
  <c r="EU13" i="19"/>
  <c r="EV13" i="19"/>
  <c r="EW13" i="19"/>
  <c r="EX13" i="19"/>
  <c r="EY13" i="19"/>
  <c r="EZ13" i="19"/>
  <c r="FA13" i="19"/>
  <c r="FB13" i="19"/>
  <c r="FC13" i="19"/>
  <c r="FD13" i="19"/>
  <c r="FE13" i="19"/>
  <c r="FF13" i="19"/>
  <c r="FG13" i="19"/>
  <c r="FH13" i="19"/>
  <c r="FI13" i="19"/>
  <c r="FJ13" i="19"/>
  <c r="FK13" i="19"/>
  <c r="FL13" i="19"/>
  <c r="FM13" i="19"/>
  <c r="FN13" i="19"/>
  <c r="FO13" i="19"/>
  <c r="FP13" i="19"/>
  <c r="FQ13" i="19"/>
  <c r="FR13" i="19"/>
  <c r="FS13" i="19"/>
  <c r="FT13" i="19"/>
  <c r="FU13" i="19"/>
  <c r="FV13" i="19"/>
  <c r="FW13" i="19"/>
  <c r="FX13" i="19"/>
  <c r="FY13" i="19"/>
  <c r="FZ13" i="19"/>
  <c r="GA13" i="19"/>
  <c r="GB13" i="19"/>
  <c r="GC13" i="19"/>
  <c r="GD13" i="19"/>
  <c r="GE13" i="19"/>
  <c r="GF13" i="19"/>
  <c r="GG13" i="19"/>
  <c r="GH13" i="19"/>
  <c r="GI13" i="19"/>
  <c r="GJ13" i="19"/>
  <c r="GK13" i="19"/>
  <c r="GL13" i="19"/>
  <c r="GM13" i="19"/>
  <c r="GN13" i="19"/>
  <c r="GO13" i="19"/>
  <c r="GP13" i="19"/>
  <c r="GQ13" i="19"/>
  <c r="GR13" i="19"/>
  <c r="GS13" i="19"/>
  <c r="GT13" i="19"/>
  <c r="GU13" i="19"/>
  <c r="GV13" i="19"/>
  <c r="GW13" i="19"/>
  <c r="GX13" i="19"/>
  <c r="GY13" i="19"/>
  <c r="GZ13" i="19"/>
  <c r="HA13" i="19"/>
  <c r="HB13" i="19"/>
  <c r="HC13" i="19"/>
  <c r="HD13" i="19"/>
  <c r="HE13" i="19"/>
  <c r="HF13" i="19"/>
  <c r="HG13" i="19"/>
  <c r="HH13" i="19"/>
  <c r="HI13" i="19"/>
  <c r="HJ13" i="19"/>
  <c r="HK13" i="19"/>
  <c r="HL13" i="19"/>
  <c r="HM13" i="19"/>
  <c r="HN13" i="19"/>
  <c r="HO13" i="19"/>
  <c r="HP13" i="19"/>
  <c r="HQ13" i="19"/>
  <c r="HR13" i="19"/>
  <c r="HS13" i="19"/>
  <c r="HT13" i="19"/>
  <c r="HU13" i="19"/>
  <c r="HV13" i="19"/>
  <c r="HW13" i="19"/>
  <c r="HX13" i="19"/>
  <c r="HY13" i="19"/>
  <c r="HZ13" i="19"/>
  <c r="IA13" i="19"/>
  <c r="IB13" i="19"/>
  <c r="IC13" i="19"/>
  <c r="ID13" i="19"/>
  <c r="IE13" i="19"/>
  <c r="IF13" i="19"/>
  <c r="IG13" i="19"/>
  <c r="IH13" i="19"/>
  <c r="II13" i="19"/>
  <c r="IJ13" i="19"/>
  <c r="IK13" i="19"/>
  <c r="IL13" i="19"/>
  <c r="IM13" i="19"/>
  <c r="IN13" i="19"/>
  <c r="IO13" i="19"/>
  <c r="IP13" i="19"/>
  <c r="IQ13" i="19"/>
  <c r="IR13" i="19"/>
  <c r="IS13" i="19"/>
  <c r="IT13" i="19"/>
  <c r="IU13" i="19"/>
  <c r="IV13" i="19"/>
  <c r="C21" i="19"/>
  <c r="C27" i="19"/>
  <c r="D21" i="19"/>
  <c r="E21" i="19"/>
  <c r="F21" i="19"/>
  <c r="G21" i="19"/>
  <c r="H21" i="19"/>
  <c r="I21" i="19"/>
  <c r="J21" i="19"/>
  <c r="K21" i="19"/>
  <c r="K30" i="19"/>
  <c r="L21" i="19"/>
  <c r="M21" i="19"/>
  <c r="N21" i="19"/>
  <c r="N27" i="19"/>
  <c r="O21" i="19"/>
  <c r="P21" i="19"/>
  <c r="Q21" i="19"/>
  <c r="R21" i="19"/>
  <c r="S21" i="19"/>
  <c r="T21" i="19"/>
  <c r="U21" i="19"/>
  <c r="V21" i="19"/>
  <c r="V27" i="19"/>
  <c r="W21" i="19"/>
  <c r="X21" i="19"/>
  <c r="Y21" i="19"/>
  <c r="Z21" i="19"/>
  <c r="Z27" i="19"/>
  <c r="C22" i="19"/>
  <c r="D22" i="19"/>
  <c r="E22" i="19"/>
  <c r="F22" i="19"/>
  <c r="G22" i="19"/>
  <c r="H22" i="19"/>
  <c r="I22" i="19"/>
  <c r="J22" i="19"/>
  <c r="K22" i="19"/>
  <c r="L22" i="19"/>
  <c r="M22" i="19"/>
  <c r="N22" i="19"/>
  <c r="O22" i="19"/>
  <c r="P22" i="19"/>
  <c r="Q22" i="19"/>
  <c r="Q28" i="19"/>
  <c r="R22" i="19"/>
  <c r="S22" i="19"/>
  <c r="T22" i="19"/>
  <c r="U22" i="19"/>
  <c r="V22" i="19"/>
  <c r="W22" i="19"/>
  <c r="X22" i="19"/>
  <c r="X33" i="19" s="1"/>
  <c r="Y22" i="19"/>
  <c r="Z22" i="19"/>
  <c r="C23" i="19"/>
  <c r="D23" i="19"/>
  <c r="D27" i="19"/>
  <c r="E23" i="19"/>
  <c r="E27" i="19"/>
  <c r="F23" i="19"/>
  <c r="F27" i="19"/>
  <c r="G23" i="19"/>
  <c r="H23" i="19"/>
  <c r="I23" i="19"/>
  <c r="J23" i="19"/>
  <c r="K23" i="19"/>
  <c r="L23" i="19"/>
  <c r="L27" i="19" s="1"/>
  <c r="M23" i="19"/>
  <c r="N23" i="19"/>
  <c r="O23" i="19"/>
  <c r="P23" i="19"/>
  <c r="P28" i="19"/>
  <c r="Q23" i="19"/>
  <c r="R23" i="19"/>
  <c r="S23" i="19"/>
  <c r="T23" i="19"/>
  <c r="T28" i="19"/>
  <c r="U23" i="19"/>
  <c r="V23" i="19"/>
  <c r="W23" i="19"/>
  <c r="X23" i="19"/>
  <c r="X28" i="19"/>
  <c r="Y23" i="19"/>
  <c r="Z23" i="19"/>
  <c r="C24" i="19"/>
  <c r="C33" i="19"/>
  <c r="D24" i="19"/>
  <c r="D33" i="19"/>
  <c r="E24" i="19"/>
  <c r="F24" i="19"/>
  <c r="F28" i="19" s="1"/>
  <c r="G24" i="19"/>
  <c r="G28" i="19"/>
  <c r="H24" i="19"/>
  <c r="I24" i="19"/>
  <c r="J24" i="19"/>
  <c r="K24" i="19"/>
  <c r="K28" i="19"/>
  <c r="L24" i="19"/>
  <c r="M24" i="19"/>
  <c r="N24" i="19"/>
  <c r="O24" i="19"/>
  <c r="P24" i="19"/>
  <c r="Q24" i="19"/>
  <c r="R24" i="19"/>
  <c r="R33" i="19"/>
  <c r="S24" i="19"/>
  <c r="T24" i="19"/>
  <c r="U24" i="19"/>
  <c r="V24" i="19"/>
  <c r="V33" i="19"/>
  <c r="W24" i="19"/>
  <c r="X24" i="19"/>
  <c r="Y24" i="19"/>
  <c r="Z24" i="19"/>
  <c r="C25" i="19"/>
  <c r="D25" i="19"/>
  <c r="E25" i="19"/>
  <c r="F25" i="19"/>
  <c r="G25" i="19"/>
  <c r="H25" i="19"/>
  <c r="I25" i="19"/>
  <c r="J25" i="19"/>
  <c r="K25" i="19"/>
  <c r="L25" i="19"/>
  <c r="M25" i="19"/>
  <c r="N25" i="19"/>
  <c r="O25" i="19"/>
  <c r="P25" i="19"/>
  <c r="Q25" i="19"/>
  <c r="R25" i="19"/>
  <c r="S25" i="19"/>
  <c r="T25" i="19"/>
  <c r="U25" i="19"/>
  <c r="V25" i="19"/>
  <c r="W25" i="19"/>
  <c r="X25" i="19"/>
  <c r="Y25" i="19"/>
  <c r="Z25" i="19"/>
  <c r="C26" i="19"/>
  <c r="D26" i="19"/>
  <c r="E26" i="19"/>
  <c r="F26" i="19"/>
  <c r="G26" i="19"/>
  <c r="H26" i="19"/>
  <c r="I26" i="19"/>
  <c r="J26" i="19"/>
  <c r="K26" i="19"/>
  <c r="L26" i="19"/>
  <c r="M26" i="19"/>
  <c r="N26" i="19"/>
  <c r="O26" i="19"/>
  <c r="P26" i="19"/>
  <c r="Q26" i="19"/>
  <c r="R26" i="19"/>
  <c r="S26" i="19"/>
  <c r="T26" i="19"/>
  <c r="U26" i="19"/>
  <c r="V26" i="19"/>
  <c r="W26" i="19"/>
  <c r="X26" i="19"/>
  <c r="Y26" i="19"/>
  <c r="Z26" i="19"/>
  <c r="O27" i="19"/>
  <c r="P27" i="19"/>
  <c r="S27" i="19"/>
  <c r="W27" i="19"/>
  <c r="X27" i="19"/>
  <c r="H28" i="19"/>
  <c r="J28" i="19"/>
  <c r="V28" i="19"/>
  <c r="Z28" i="19"/>
  <c r="O29" i="19"/>
  <c r="P29" i="19"/>
  <c r="S29" i="19"/>
  <c r="W29" i="19"/>
  <c r="X29" i="19"/>
  <c r="J30" i="19"/>
  <c r="V30" i="19"/>
  <c r="J32" i="19"/>
  <c r="S32" i="19"/>
  <c r="T32" i="19"/>
  <c r="U32" i="19"/>
  <c r="V32" i="19"/>
  <c r="W32" i="19"/>
  <c r="X32" i="19"/>
  <c r="Y32" i="19"/>
  <c r="Z32" i="19"/>
  <c r="J33" i="19"/>
  <c r="O33" i="19"/>
  <c r="P33" i="19"/>
  <c r="S33" i="19"/>
  <c r="W33" i="19"/>
  <c r="L32" i="42"/>
  <c r="C30" i="42"/>
  <c r="G32" i="42"/>
  <c r="K32" i="42"/>
  <c r="O32" i="42"/>
  <c r="G32" i="43"/>
  <c r="K32" i="43"/>
  <c r="O32" i="43"/>
  <c r="J30" i="43"/>
  <c r="K30" i="41"/>
  <c r="O30" i="41"/>
  <c r="N32" i="42"/>
  <c r="N32" i="43"/>
  <c r="I32" i="43"/>
  <c r="M32" i="43"/>
  <c r="Q32" i="43"/>
  <c r="N27" i="41"/>
  <c r="G28" i="41"/>
  <c r="K28" i="41"/>
  <c r="O28" i="41"/>
  <c r="H29" i="41"/>
  <c r="L29" i="41"/>
  <c r="D30" i="41"/>
  <c r="F32" i="41"/>
  <c r="H28" i="41"/>
  <c r="I29" i="41"/>
  <c r="M32" i="41"/>
  <c r="M33" i="41"/>
  <c r="L27" i="41"/>
  <c r="E29" i="41"/>
  <c r="K32" i="41"/>
  <c r="K33" i="41"/>
  <c r="O32" i="41"/>
  <c r="O33" i="41"/>
  <c r="F32" i="43"/>
  <c r="Q33" i="41"/>
  <c r="C29" i="42"/>
  <c r="G33" i="42"/>
  <c r="I33" i="42"/>
  <c r="K33" i="42"/>
  <c r="O33" i="42"/>
  <c r="Q33" i="42"/>
  <c r="C29" i="43"/>
  <c r="G33" i="43"/>
  <c r="I33" i="43"/>
  <c r="J33" i="43"/>
  <c r="K33" i="43"/>
  <c r="M33" i="43"/>
  <c r="O33" i="43"/>
  <c r="Q33" i="43"/>
  <c r="E30" i="42"/>
  <c r="C28" i="43"/>
  <c r="E30" i="43"/>
  <c r="E29" i="42"/>
  <c r="C27" i="43"/>
  <c r="E29" i="43"/>
  <c r="F28" i="41"/>
  <c r="F29" i="41"/>
  <c r="F30" i="41"/>
  <c r="F28" i="42"/>
  <c r="F28" i="43"/>
  <c r="F29" i="43"/>
  <c r="F30" i="43"/>
  <c r="F33" i="41"/>
  <c r="F33" i="43"/>
  <c r="N30" i="19"/>
  <c r="M29" i="19"/>
  <c r="N32" i="19"/>
  <c r="C30" i="19"/>
  <c r="N28" i="19"/>
  <c r="N33" i="19"/>
  <c r="N29" i="19"/>
  <c r="M30" i="19"/>
  <c r="M32" i="19"/>
  <c r="M28" i="19"/>
  <c r="M33" i="19"/>
  <c r="L33" i="19"/>
  <c r="U33" i="19"/>
  <c r="Q33" i="19"/>
  <c r="I33" i="19"/>
  <c r="Y27" i="19"/>
  <c r="Y29" i="19"/>
  <c r="U27" i="19"/>
  <c r="U29" i="19"/>
  <c r="Q29" i="19"/>
  <c r="M27" i="19"/>
  <c r="I27" i="19"/>
  <c r="U30" i="19"/>
  <c r="U28" i="19"/>
  <c r="W28" i="19"/>
  <c r="W30" i="19"/>
  <c r="S28" i="19"/>
  <c r="S30" i="19"/>
  <c r="O28" i="19"/>
  <c r="O30" i="19"/>
  <c r="O32" i="19"/>
  <c r="Q32" i="19"/>
  <c r="J27" i="19"/>
  <c r="J29" i="19"/>
  <c r="K33" i="19"/>
  <c r="P32" i="19"/>
  <c r="X30" i="19"/>
  <c r="P30" i="19"/>
  <c r="Z29" i="19"/>
  <c r="V29" i="19"/>
  <c r="K29" i="19"/>
  <c r="K27" i="19"/>
  <c r="G27" i="19"/>
  <c r="K32" i="19"/>
  <c r="G32" i="19"/>
  <c r="N33" i="41"/>
  <c r="S33" i="41"/>
  <c r="W33" i="41"/>
  <c r="X33" i="41"/>
  <c r="Y33" i="41"/>
  <c r="N33" i="42"/>
  <c r="T33" i="42"/>
  <c r="W33" i="42"/>
  <c r="X33" i="42"/>
  <c r="Y33" i="42"/>
  <c r="P33" i="43"/>
  <c r="R29" i="41"/>
  <c r="V29" i="41"/>
  <c r="Z29" i="41"/>
  <c r="L30" i="41"/>
  <c r="R30" i="41"/>
  <c r="H27" i="42"/>
  <c r="L27" i="42"/>
  <c r="T27" i="42"/>
  <c r="X27" i="42"/>
  <c r="E28" i="42"/>
  <c r="G29" i="42"/>
  <c r="L29" i="42"/>
  <c r="P29" i="42"/>
  <c r="R30" i="42"/>
  <c r="H27" i="43"/>
  <c r="P27" i="43"/>
  <c r="T27" i="43"/>
  <c r="X27" i="43"/>
  <c r="K28" i="43"/>
  <c r="S28" i="43"/>
  <c r="W28" i="43"/>
  <c r="O29" i="43"/>
  <c r="S29" i="43"/>
  <c r="W29" i="43"/>
  <c r="C30" i="43"/>
  <c r="I30" i="43"/>
  <c r="I29" i="43"/>
  <c r="T33" i="43"/>
  <c r="X33" i="43"/>
  <c r="M27" i="41"/>
  <c r="S29" i="41"/>
  <c r="W29" i="41"/>
  <c r="I27" i="42"/>
  <c r="M27" i="42"/>
  <c r="Q28" i="42"/>
  <c r="Y28" i="42"/>
  <c r="H29" i="42"/>
  <c r="L28" i="43"/>
  <c r="L29" i="43"/>
  <c r="P29" i="43"/>
  <c r="T29" i="43"/>
  <c r="X29" i="43"/>
  <c r="L32" i="43"/>
  <c r="G33" i="41"/>
  <c r="C29" i="41"/>
  <c r="G29" i="19"/>
  <c r="G30" i="19"/>
  <c r="G33" i="19"/>
  <c r="D32" i="19"/>
  <c r="D28" i="19"/>
  <c r="D29" i="19"/>
  <c r="D30" i="19"/>
  <c r="C28" i="19"/>
  <c r="C29" i="19"/>
  <c r="C32" i="19"/>
  <c r="E30" i="19"/>
  <c r="F30" i="19"/>
  <c r="I32" i="19"/>
  <c r="I29" i="19"/>
  <c r="E33" i="19"/>
  <c r="E32" i="19"/>
  <c r="E29" i="19"/>
  <c r="E28" i="19"/>
  <c r="I33" i="41" l="1"/>
  <c r="I27" i="41"/>
  <c r="I30" i="41"/>
  <c r="I32" i="41"/>
  <c r="I28" i="41"/>
  <c r="H30" i="19"/>
  <c r="H33" i="19"/>
  <c r="H29" i="19"/>
  <c r="H32" i="19"/>
  <c r="T27" i="19"/>
  <c r="T33" i="19"/>
  <c r="T30" i="19"/>
  <c r="T29" i="19"/>
  <c r="H27" i="19"/>
  <c r="L28" i="19"/>
  <c r="Q30" i="19"/>
  <c r="Q27" i="19"/>
  <c r="I30" i="19"/>
  <c r="I28" i="19"/>
  <c r="Z33" i="19"/>
  <c r="Z30" i="19"/>
  <c r="G27" i="41"/>
  <c r="G29" i="41"/>
  <c r="G32" i="41"/>
  <c r="G30" i="41"/>
  <c r="W30" i="42"/>
  <c r="W29" i="42"/>
  <c r="W28" i="42"/>
  <c r="C33" i="42"/>
  <c r="C27" i="42"/>
  <c r="C32" i="42"/>
  <c r="C28" i="42"/>
  <c r="Y33" i="19"/>
  <c r="Y30" i="19"/>
  <c r="Y28" i="19"/>
  <c r="F29" i="19"/>
  <c r="F33" i="19"/>
  <c r="R28" i="19"/>
  <c r="R32" i="19"/>
  <c r="R29" i="19"/>
  <c r="R27" i="19"/>
  <c r="L30" i="19"/>
  <c r="L29" i="19"/>
  <c r="C28" i="41"/>
  <c r="C33" i="41"/>
  <c r="U28" i="41"/>
  <c r="M28" i="42"/>
  <c r="M32" i="42"/>
  <c r="M33" i="42"/>
  <c r="M29" i="42"/>
  <c r="M30" i="42"/>
  <c r="P28" i="42"/>
  <c r="P33" i="42"/>
  <c r="P27" i="42"/>
  <c r="P32" i="42"/>
  <c r="P30" i="42"/>
  <c r="J30" i="41"/>
  <c r="J28" i="41"/>
  <c r="J27" i="41"/>
  <c r="J29" i="41"/>
  <c r="Q27" i="41"/>
  <c r="Q32" i="41"/>
  <c r="Q30" i="41"/>
  <c r="Q29" i="41"/>
  <c r="Y30" i="41"/>
  <c r="Y29" i="41"/>
  <c r="C32" i="41"/>
  <c r="E28" i="41"/>
  <c r="E30" i="41"/>
  <c r="L32" i="41"/>
  <c r="T33" i="41"/>
  <c r="T28" i="41"/>
  <c r="T27" i="41"/>
  <c r="O28" i="42"/>
  <c r="O29" i="42"/>
  <c r="I32" i="42"/>
  <c r="I28" i="42"/>
  <c r="I30" i="42"/>
  <c r="J28" i="42"/>
  <c r="J33" i="42"/>
  <c r="J32" i="42"/>
  <c r="J30" i="42"/>
  <c r="V33" i="42"/>
  <c r="Z29" i="42"/>
  <c r="Z33" i="42"/>
  <c r="U30" i="41"/>
  <c r="R33" i="41"/>
  <c r="R32" i="41"/>
  <c r="H30" i="42"/>
  <c r="H28" i="42"/>
  <c r="H33" i="42"/>
  <c r="U28" i="42"/>
  <c r="U27" i="42"/>
  <c r="U30" i="42"/>
  <c r="U33" i="42"/>
  <c r="N28" i="41"/>
  <c r="N29" i="41"/>
  <c r="N30" i="41"/>
  <c r="N32" i="41"/>
  <c r="D29" i="42"/>
  <c r="D28" i="42"/>
  <c r="D27" i="42"/>
  <c r="F32" i="42"/>
  <c r="F27" i="42"/>
  <c r="F29" i="42"/>
  <c r="F33" i="42"/>
  <c r="F30" i="42"/>
  <c r="S33" i="42"/>
  <c r="S30" i="42"/>
  <c r="S29" i="42"/>
  <c r="F32" i="19"/>
  <c r="L32" i="19"/>
  <c r="R30" i="19"/>
  <c r="Q27" i="42"/>
  <c r="Q32" i="42"/>
  <c r="Q29" i="42"/>
  <c r="A416" i="8"/>
  <c r="A458" i="8"/>
  <c r="M377" i="8"/>
  <c r="M226" i="8"/>
  <c r="B471" i="8"/>
  <c r="M503" i="8"/>
  <c r="L328" i="8"/>
  <c r="L317" i="8"/>
  <c r="B134" i="8"/>
  <c r="B184" i="8"/>
  <c r="B480" i="8"/>
  <c r="A488" i="8"/>
  <c r="A383" i="8"/>
  <c r="B484" i="8"/>
  <c r="A193" i="8"/>
  <c r="M369" i="8"/>
  <c r="B402" i="8"/>
  <c r="A446" i="8"/>
  <c r="A254" i="8"/>
  <c r="B149" i="8"/>
  <c r="A65" i="8"/>
  <c r="M481" i="8"/>
  <c r="M259" i="8"/>
  <c r="A339" i="8"/>
  <c r="A166" i="8"/>
  <c r="M513" i="8"/>
  <c r="M385" i="8"/>
  <c r="L370" i="8"/>
  <c r="B306" i="8"/>
  <c r="L324" i="8"/>
  <c r="A465" i="8"/>
  <c r="L268" i="8"/>
  <c r="B193" i="8"/>
  <c r="L98" i="8"/>
  <c r="A284" i="8"/>
  <c r="L315" i="8"/>
  <c r="A88" i="8"/>
  <c r="A478" i="8"/>
  <c r="B109" i="8"/>
  <c r="B390" i="8"/>
  <c r="A395" i="8"/>
  <c r="M217" i="8"/>
  <c r="L141" i="8"/>
  <c r="L451" i="8"/>
  <c r="L489" i="8"/>
  <c r="L482" i="8"/>
  <c r="A470" i="8"/>
  <c r="M391" i="8"/>
  <c r="B64" i="8"/>
  <c r="A240" i="8"/>
  <c r="B290" i="8"/>
  <c r="B57" i="8"/>
  <c r="M44" i="8"/>
  <c r="M95" i="8"/>
  <c r="L220" i="8"/>
  <c r="M324" i="8"/>
  <c r="A154" i="8"/>
  <c r="L253" i="8"/>
  <c r="M229" i="8"/>
  <c r="L403" i="8"/>
  <c r="L456" i="8"/>
  <c r="B432" i="8"/>
  <c r="L97" i="8"/>
  <c r="L360" i="8"/>
  <c r="A128" i="8"/>
  <c r="L434" i="8"/>
  <c r="B106" i="8"/>
  <c r="A112" i="8"/>
  <c r="L191" i="8"/>
  <c r="M40" i="8"/>
  <c r="A79" i="8"/>
  <c r="A47" i="8"/>
  <c r="L382" i="8"/>
  <c r="A234" i="8"/>
  <c r="B297" i="8"/>
  <c r="L230" i="8"/>
  <c r="A417" i="8"/>
  <c r="L165" i="8"/>
  <c r="B52" i="8"/>
  <c r="A377" i="8"/>
  <c r="A280" i="8"/>
  <c r="B62" i="8"/>
  <c r="M323" i="8"/>
  <c r="M394" i="8"/>
  <c r="A385" i="8"/>
  <c r="A215" i="8"/>
  <c r="A203" i="8"/>
  <c r="M393" i="8"/>
  <c r="M407" i="8"/>
  <c r="M192" i="8"/>
  <c r="M348" i="8"/>
  <c r="A429" i="8"/>
  <c r="L356" i="8"/>
  <c r="M185" i="8"/>
  <c r="M266" i="8"/>
  <c r="M362" i="8"/>
  <c r="L158" i="8"/>
  <c r="A201" i="8"/>
  <c r="M221" i="8"/>
  <c r="A408" i="8"/>
  <c r="L241" i="8"/>
  <c r="B142" i="8"/>
  <c r="M254" i="8"/>
  <c r="A98" i="8"/>
  <c r="B51" i="8"/>
  <c r="M345" i="8"/>
  <c r="M417" i="8"/>
  <c r="B358" i="8"/>
  <c r="L77" i="8"/>
  <c r="A304" i="8"/>
  <c r="A340" i="8"/>
  <c r="A294" i="8"/>
  <c r="B368" i="8"/>
  <c r="B89" i="8"/>
  <c r="A277" i="8"/>
  <c r="B512" i="8"/>
  <c r="A265" i="8"/>
  <c r="L468" i="8"/>
  <c r="B442" i="8"/>
  <c r="B336" i="8"/>
  <c r="A110" i="8"/>
  <c r="L86" i="8"/>
  <c r="A399" i="8"/>
  <c r="B369" i="8"/>
  <c r="M237" i="8"/>
  <c r="B337" i="8"/>
  <c r="B199" i="8"/>
  <c r="L210" i="8"/>
  <c r="A54" i="8"/>
  <c r="L245" i="8"/>
  <c r="M122" i="8"/>
  <c r="B100" i="8"/>
  <c r="B494" i="8"/>
  <c r="A161" i="8"/>
  <c r="A255" i="8"/>
  <c r="A96" i="8"/>
  <c r="A287" i="8"/>
  <c r="M459" i="8"/>
  <c r="M157" i="8"/>
  <c r="A281" i="8"/>
  <c r="L82" i="8"/>
  <c r="L491" i="8"/>
  <c r="A72" i="8"/>
  <c r="L316" i="8"/>
  <c r="L443" i="8"/>
  <c r="A202" i="8"/>
  <c r="L421" i="8"/>
  <c r="L431" i="8"/>
  <c r="M143" i="8"/>
  <c r="L334" i="8"/>
  <c r="A291" i="8"/>
  <c r="B217" i="8"/>
  <c r="M325" i="8"/>
  <c r="L242" i="8"/>
  <c r="M355" i="8"/>
  <c r="B72" i="8"/>
  <c r="L416" i="8"/>
  <c r="B139" i="8"/>
  <c r="M106" i="8"/>
  <c r="M52" i="8"/>
  <c r="A365" i="8"/>
  <c r="L88" i="8"/>
  <c r="L95" i="8"/>
  <c r="A491" i="8"/>
  <c r="B298" i="8"/>
  <c r="A380" i="8"/>
  <c r="M219" i="8"/>
  <c r="A367" i="8"/>
  <c r="A230" i="8"/>
  <c r="L150" i="8"/>
  <c r="A476" i="8"/>
  <c r="A301" i="8"/>
  <c r="L137" i="8"/>
  <c r="L236" i="8"/>
  <c r="A315" i="8"/>
  <c r="L238" i="8"/>
  <c r="B382" i="8"/>
  <c r="A320" i="8"/>
  <c r="L323" i="8"/>
  <c r="B126" i="8"/>
  <c r="M267" i="8"/>
  <c r="M329" i="8"/>
  <c r="L409" i="8"/>
  <c r="M509" i="8"/>
  <c r="M370" i="8"/>
  <c r="L414" i="8"/>
  <c r="A353" i="8"/>
  <c r="L398" i="8"/>
  <c r="A107" i="8"/>
  <c r="A179" i="8"/>
  <c r="A75" i="8"/>
  <c r="L500" i="8"/>
  <c r="L41" i="8"/>
  <c r="A145" i="8"/>
  <c r="M486" i="8"/>
  <c r="L373" i="8"/>
  <c r="A503" i="8"/>
  <c r="M225" i="8"/>
  <c r="B344" i="8"/>
  <c r="M169" i="8"/>
  <c r="B129" i="8"/>
  <c r="A355" i="8"/>
  <c r="M293" i="8"/>
  <c r="B246" i="8"/>
  <c r="B253" i="8"/>
  <c r="A482" i="8"/>
  <c r="B496" i="8"/>
  <c r="A121" i="8"/>
  <c r="A159" i="8"/>
  <c r="M340" i="8"/>
  <c r="M67" i="8"/>
  <c r="B364" i="8"/>
  <c r="A218" i="8"/>
  <c r="M59" i="8"/>
  <c r="L399" i="8"/>
  <c r="M477" i="8"/>
  <c r="L441" i="8"/>
  <c r="B450" i="8"/>
  <c r="M240" i="8"/>
  <c r="L503" i="8"/>
  <c r="A71" i="8"/>
  <c r="A379" i="8"/>
  <c r="M98" i="8"/>
  <c r="L63" i="8"/>
  <c r="M454" i="8"/>
  <c r="B258" i="8"/>
  <c r="B350" i="8"/>
  <c r="A393" i="8"/>
  <c r="M233" i="8"/>
  <c r="B42" i="8"/>
  <c r="B157" i="8"/>
  <c r="M475" i="8"/>
  <c r="A100" i="8"/>
  <c r="M347" i="8"/>
  <c r="B90" i="8"/>
  <c r="M74" i="8"/>
  <c r="L400" i="8"/>
  <c r="M126" i="8"/>
  <c r="B307" i="8"/>
  <c r="B294" i="8"/>
  <c r="B355" i="8"/>
  <c r="A261" i="8"/>
  <c r="B202" i="8"/>
  <c r="L203" i="8"/>
  <c r="L262" i="8"/>
  <c r="A56" i="8"/>
  <c r="A316" i="8"/>
  <c r="B373" i="8"/>
  <c r="L505" i="8"/>
  <c r="A421" i="8"/>
  <c r="L299" i="8"/>
  <c r="M435" i="8"/>
  <c r="A244" i="8"/>
  <c r="L99" i="8"/>
  <c r="B343" i="8"/>
  <c r="M206" i="8"/>
  <c r="L48" i="8"/>
  <c r="M137" i="8"/>
  <c r="A314" i="8"/>
  <c r="L45" i="8"/>
  <c r="B425" i="8"/>
  <c r="L65" i="8"/>
  <c r="M258" i="8"/>
  <c r="M319" i="8"/>
  <c r="M174" i="8"/>
  <c r="L293" i="8"/>
  <c r="M60" i="8"/>
  <c r="B440" i="8"/>
  <c r="L195" i="8"/>
  <c r="B229" i="8"/>
  <c r="M213" i="8"/>
  <c r="M200" i="8"/>
  <c r="M421" i="8"/>
  <c r="B239" i="8"/>
  <c r="A101" i="8"/>
  <c r="B43" i="8"/>
  <c r="A176" i="8"/>
  <c r="A172" i="8"/>
  <c r="L301" i="8"/>
  <c r="A266" i="8"/>
  <c r="L457" i="8"/>
  <c r="B125" i="8"/>
  <c r="B77" i="8"/>
  <c r="L304" i="8"/>
  <c r="A150" i="8"/>
  <c r="B189" i="8"/>
  <c r="B82" i="8"/>
  <c r="A382" i="8"/>
  <c r="B501" i="8"/>
  <c r="M399" i="8"/>
  <c r="L308" i="8"/>
  <c r="B474" i="8"/>
  <c r="A141" i="8"/>
  <c r="M79" i="8"/>
  <c r="M124" i="8"/>
  <c r="B180" i="8"/>
  <c r="L143" i="8"/>
  <c r="A125" i="8"/>
  <c r="M84" i="8"/>
  <c r="M306" i="8"/>
  <c r="A74" i="8"/>
  <c r="A473" i="8"/>
  <c r="L288" i="8"/>
  <c r="A59" i="8"/>
  <c r="L132" i="8"/>
  <c r="L471" i="8"/>
  <c r="B455" i="8"/>
  <c r="B173" i="8"/>
  <c r="A358" i="8"/>
  <c r="L504" i="8"/>
  <c r="M263" i="8"/>
  <c r="A61" i="8"/>
  <c r="A263" i="8"/>
  <c r="A238" i="8"/>
  <c r="A494" i="8"/>
  <c r="M398" i="8"/>
  <c r="L331" i="8"/>
  <c r="M276" i="8"/>
  <c r="L101" i="8"/>
  <c r="M57" i="8"/>
  <c r="L275" i="8"/>
  <c r="M497" i="8"/>
  <c r="B387" i="8"/>
  <c r="B352" i="8"/>
  <c r="A492" i="8"/>
  <c r="B456" i="8"/>
  <c r="A151" i="8"/>
  <c r="L494" i="8"/>
  <c r="A497" i="8"/>
  <c r="A295" i="8"/>
  <c r="M468" i="8"/>
  <c r="B431" i="8"/>
  <c r="B408" i="8"/>
  <c r="L47" i="8"/>
  <c r="A283" i="8"/>
  <c r="B266" i="8"/>
  <c r="B338" i="8"/>
  <c r="M75" i="8"/>
  <c r="A464" i="8"/>
  <c r="A485" i="8"/>
  <c r="L176" i="8"/>
  <c r="M211" i="8"/>
  <c r="B320" i="8"/>
  <c r="B265" i="8"/>
  <c r="M499" i="8"/>
  <c r="L492" i="8"/>
  <c r="M91" i="8"/>
  <c r="L422" i="8"/>
  <c r="B293" i="8"/>
  <c r="L78" i="8"/>
  <c r="L173" i="8"/>
  <c r="A513" i="8"/>
  <c r="M467" i="8"/>
  <c r="M63" i="8"/>
  <c r="A411" i="8"/>
  <c r="B270" i="8"/>
  <c r="A212" i="8"/>
  <c r="M161" i="8"/>
  <c r="A89" i="8"/>
  <c r="L84" i="8"/>
  <c r="M159" i="8"/>
  <c r="A55" i="8"/>
  <c r="A60" i="8"/>
  <c r="B251" i="8"/>
  <c r="L246" i="8"/>
  <c r="A326" i="8"/>
  <c r="B141" i="8"/>
  <c r="B424" i="8"/>
  <c r="M302" i="8"/>
  <c r="L70" i="8"/>
  <c r="L447" i="8"/>
  <c r="L486" i="8"/>
  <c r="M375" i="8"/>
  <c r="M261" i="8"/>
  <c r="L436" i="8"/>
  <c r="L166" i="8"/>
  <c r="L129" i="8"/>
  <c r="B96" i="8"/>
  <c r="M382" i="8"/>
  <c r="A430" i="8"/>
  <c r="M65" i="8"/>
  <c r="L57" i="8"/>
  <c r="L496" i="8"/>
  <c r="B140" i="8"/>
  <c r="A351" i="8"/>
  <c r="B334" i="8"/>
  <c r="L372" i="8"/>
  <c r="B445" i="8"/>
  <c r="A437" i="8"/>
  <c r="L185" i="8"/>
  <c r="B249" i="8"/>
  <c r="B339" i="8"/>
  <c r="M238" i="8"/>
  <c r="M288" i="8"/>
  <c r="A97" i="8"/>
  <c r="B285" i="8"/>
  <c r="A412" i="8"/>
  <c r="A463" i="8"/>
  <c r="M378" i="8"/>
  <c r="B76" i="8"/>
  <c r="L432" i="8"/>
  <c r="M123" i="8"/>
  <c r="L487" i="8"/>
  <c r="M175" i="8"/>
  <c r="L306" i="8"/>
  <c r="B169" i="8"/>
  <c r="B237" i="8"/>
  <c r="M227" i="8"/>
  <c r="A451" i="8"/>
  <c r="L459" i="8"/>
  <c r="A233" i="8"/>
  <c r="B49" i="8"/>
  <c r="B410" i="8"/>
  <c r="A200" i="8"/>
  <c r="M121" i="8"/>
  <c r="L404" i="8"/>
  <c r="M129" i="8"/>
  <c r="L461" i="8"/>
  <c r="M432" i="8"/>
  <c r="L272" i="8"/>
  <c r="B179" i="8"/>
  <c r="L493" i="8"/>
  <c r="M242" i="8"/>
  <c r="L145" i="8"/>
  <c r="A205" i="8"/>
  <c r="B420" i="8"/>
  <c r="A415" i="8"/>
  <c r="L513" i="8"/>
  <c r="M512" i="8"/>
  <c r="L234" i="8"/>
  <c r="A258" i="8"/>
  <c r="A297" i="8"/>
  <c r="A156" i="8"/>
  <c r="A257" i="8"/>
  <c r="L126" i="8"/>
  <c r="A321" i="8"/>
  <c r="A467" i="8"/>
  <c r="M413" i="8"/>
  <c r="L391" i="8"/>
  <c r="B197" i="8"/>
  <c r="L128" i="8"/>
  <c r="A331" i="8"/>
  <c r="A232" i="8"/>
  <c r="B114" i="8"/>
  <c r="B489" i="8"/>
  <c r="B502" i="8"/>
  <c r="A194" i="8"/>
  <c r="B313" i="8"/>
  <c r="A73" i="8"/>
  <c r="A165" i="8"/>
  <c r="B393" i="8"/>
  <c r="A259" i="8"/>
  <c r="B150" i="8"/>
  <c r="B322" i="8"/>
  <c r="A357" i="8"/>
  <c r="L136" i="8"/>
  <c r="B505" i="8"/>
  <c r="A469" i="8"/>
  <c r="L297" i="8"/>
  <c r="M183" i="8"/>
  <c r="L296" i="8"/>
  <c r="B208" i="8"/>
  <c r="L260" i="8"/>
  <c r="L477" i="8"/>
  <c r="L188" i="8"/>
  <c r="A42" i="8"/>
  <c r="A486" i="8"/>
  <c r="L292" i="8"/>
  <c r="L406" i="8"/>
  <c r="L359" i="8"/>
  <c r="L269" i="8"/>
  <c r="M328" i="8"/>
  <c r="B291" i="8"/>
  <c r="B310" i="8"/>
  <c r="M158" i="8"/>
  <c r="A392" i="8"/>
  <c r="B395" i="8"/>
  <c r="A94" i="8"/>
  <c r="L138" i="8"/>
  <c r="L499" i="8"/>
  <c r="B362" i="8"/>
  <c r="B247" i="8"/>
  <c r="A106" i="8"/>
  <c r="M230" i="8"/>
  <c r="B272" i="8"/>
  <c r="M505" i="8"/>
  <c r="B220" i="8"/>
  <c r="L376" i="8"/>
  <c r="B194" i="8"/>
  <c r="L386" i="8"/>
  <c r="L363" i="8"/>
  <c r="M289" i="8"/>
  <c r="A251" i="8"/>
  <c r="A132" i="8"/>
  <c r="B175" i="8"/>
  <c r="B317" i="8"/>
  <c r="M162" i="8"/>
  <c r="M451" i="8"/>
  <c r="M168" i="8"/>
  <c r="M113" i="8"/>
  <c r="M366" i="8"/>
  <c r="L71" i="8"/>
  <c r="L289" i="8"/>
  <c r="B233" i="8"/>
  <c r="M462" i="8"/>
  <c r="L139" i="8"/>
  <c r="A400" i="8"/>
  <c r="M205" i="8"/>
  <c r="L462" i="8"/>
  <c r="M177" i="8"/>
  <c r="M117" i="8"/>
  <c r="A241" i="8"/>
  <c r="A178" i="8"/>
  <c r="L469" i="8"/>
  <c r="L411" i="8"/>
  <c r="B155" i="8"/>
  <c r="M471" i="8"/>
  <c r="M81" i="8"/>
  <c r="A352" i="8"/>
  <c r="M131" i="8"/>
  <c r="B421" i="8"/>
  <c r="L151" i="8"/>
  <c r="B308" i="8"/>
  <c r="M438" i="8"/>
  <c r="L163" i="8"/>
  <c r="B330" i="8"/>
  <c r="L352" i="8"/>
  <c r="A306" i="8"/>
  <c r="B423" i="8"/>
  <c r="A102" i="8"/>
  <c r="L402" i="8"/>
  <c r="A152" i="8"/>
  <c r="B473" i="8"/>
  <c r="M395" i="8"/>
  <c r="M260" i="8"/>
  <c r="M384" i="8"/>
  <c r="M360" i="8"/>
  <c r="B252" i="8"/>
  <c r="M439" i="8"/>
  <c r="B101" i="8"/>
  <c r="L69" i="8"/>
  <c r="B492" i="8"/>
  <c r="A69" i="8"/>
  <c r="A253" i="8"/>
  <c r="M269" i="8"/>
  <c r="L169" i="8"/>
  <c r="A66" i="8"/>
  <c r="B360" i="8"/>
  <c r="M93" i="8"/>
  <c r="B468" i="8"/>
  <c r="B418" i="8"/>
  <c r="M268" i="8"/>
  <c r="A275" i="8"/>
  <c r="L264" i="8"/>
  <c r="L310" i="8"/>
  <c r="M56" i="8"/>
  <c r="M287" i="8"/>
  <c r="M222" i="8"/>
  <c r="A262" i="8"/>
  <c r="L52" i="8"/>
  <c r="A235" i="8"/>
  <c r="B185" i="8"/>
  <c r="B93" i="8"/>
  <c r="L93" i="8"/>
  <c r="L49" i="8"/>
  <c r="A508" i="8"/>
  <c r="B328" i="8"/>
  <c r="B147" i="8"/>
  <c r="L207" i="8"/>
  <c r="B187" i="8"/>
  <c r="M62" i="8"/>
  <c r="M364" i="8"/>
  <c r="A361" i="8"/>
  <c r="L74" i="8"/>
  <c r="L377" i="8"/>
  <c r="L361" i="8"/>
  <c r="B462" i="8"/>
  <c r="L397" i="8"/>
  <c r="A228" i="8"/>
  <c r="A271" i="8"/>
  <c r="A418" i="8"/>
  <c r="A225" i="8"/>
  <c r="A210" i="8"/>
  <c r="A375" i="8"/>
  <c r="B365" i="8"/>
  <c r="A115" i="8"/>
  <c r="M141" i="8"/>
  <c r="A330" i="8"/>
  <c r="B224" i="8"/>
  <c r="B477" i="8"/>
  <c r="A219" i="8"/>
  <c r="B284" i="8"/>
  <c r="A318" i="8"/>
  <c r="A487" i="8"/>
  <c r="M342" i="8"/>
  <c r="B163" i="8"/>
  <c r="A422" i="8"/>
  <c r="L235" i="8"/>
  <c r="L345" i="8"/>
  <c r="A62" i="8"/>
  <c r="A307" i="8"/>
  <c r="A384" i="8"/>
  <c r="M61" i="8"/>
  <c r="M318" i="8"/>
  <c r="B430" i="8"/>
  <c r="L295" i="8"/>
  <c r="L333" i="8"/>
  <c r="L221" i="8"/>
  <c r="B399" i="8"/>
  <c r="A406" i="8"/>
  <c r="B121" i="8"/>
  <c r="L354" i="8"/>
  <c r="A447" i="8"/>
  <c r="A199" i="8"/>
  <c r="M317" i="8"/>
  <c r="B230" i="8"/>
  <c r="B183" i="8"/>
  <c r="A57" i="8"/>
  <c r="M492" i="8"/>
  <c r="B412" i="8"/>
  <c r="A468" i="8"/>
  <c r="A249" i="8"/>
  <c r="B283" i="8"/>
  <c r="L390" i="8"/>
  <c r="M313" i="8"/>
  <c r="B309" i="8"/>
  <c r="B257" i="8"/>
  <c r="B457" i="8"/>
  <c r="L229" i="8"/>
  <c r="A142" i="8"/>
  <c r="A290" i="8"/>
  <c r="B379" i="8"/>
  <c r="B351" i="8"/>
  <c r="M136" i="8"/>
  <c r="A169" i="8"/>
  <c r="L198" i="8"/>
  <c r="M423" i="8"/>
  <c r="L321" i="8"/>
  <c r="M149" i="8"/>
  <c r="L378" i="8"/>
  <c r="M426" i="8"/>
  <c r="L209" i="8"/>
  <c r="B277" i="8"/>
  <c r="L259" i="8"/>
  <c r="B244" i="8"/>
  <c r="B367" i="8"/>
  <c r="M322" i="8"/>
  <c r="L212" i="8"/>
  <c r="B83" i="8"/>
  <c r="A117" i="8"/>
  <c r="A337" i="8"/>
  <c r="A126" i="8"/>
  <c r="A160" i="8"/>
  <c r="M493" i="8"/>
  <c r="B154" i="8"/>
  <c r="M271" i="8"/>
  <c r="B243" i="8"/>
  <c r="A303" i="8"/>
  <c r="L59" i="8"/>
  <c r="A461" i="8"/>
  <c r="B392" i="8"/>
  <c r="B396" i="8"/>
  <c r="B38" i="8"/>
  <c r="L80" i="8"/>
  <c r="A432" i="8"/>
  <c r="A402" i="8"/>
  <c r="L313" i="8"/>
  <c r="M406" i="8"/>
  <c r="B159" i="8"/>
  <c r="A170" i="8"/>
  <c r="L232" i="8"/>
  <c r="M466" i="8"/>
  <c r="L92" i="8"/>
  <c r="A260" i="8"/>
  <c r="B332" i="8"/>
  <c r="M430" i="8"/>
  <c r="B260" i="8"/>
  <c r="L418" i="8"/>
  <c r="A41" i="8"/>
  <c r="L508" i="8"/>
  <c r="A431" i="8"/>
  <c r="A286" i="8"/>
  <c r="M494" i="8"/>
  <c r="L335" i="8"/>
  <c r="L453" i="8"/>
  <c r="B447" i="8"/>
  <c r="A195" i="8"/>
  <c r="B333" i="8"/>
  <c r="L119" i="8"/>
  <c r="A245" i="8"/>
  <c r="L201" i="8"/>
  <c r="B375" i="8"/>
  <c r="M248" i="8"/>
  <c r="A505" i="8"/>
  <c r="B407" i="8"/>
  <c r="L91" i="8"/>
  <c r="B428" i="8"/>
  <c r="L156" i="8"/>
  <c r="A507" i="8"/>
  <c r="A439" i="8"/>
  <c r="B435" i="8"/>
  <c r="M116" i="8"/>
  <c r="B503" i="8"/>
  <c r="A428" i="8"/>
  <c r="M247" i="8"/>
  <c r="L484" i="8"/>
  <c r="B510" i="8"/>
  <c r="N1" i="8"/>
  <c r="B115" i="8"/>
  <c r="A292" i="8"/>
  <c r="M64" i="8"/>
  <c r="A208" i="8"/>
  <c r="M440" i="8"/>
  <c r="A332" i="8"/>
  <c r="B240" i="8"/>
  <c r="A371" i="8"/>
  <c r="M452" i="8"/>
  <c r="A288" i="8"/>
  <c r="L68" i="8"/>
  <c r="M97" i="8"/>
  <c r="A285" i="8"/>
  <c r="L114" i="8"/>
  <c r="L177" i="8"/>
  <c r="M181" i="8"/>
  <c r="A188" i="8"/>
  <c r="M337" i="8"/>
  <c r="B279" i="8"/>
  <c r="B342" i="8"/>
  <c r="B378" i="8"/>
  <c r="L466" i="8"/>
  <c r="L326" i="8"/>
  <c r="M207" i="8"/>
  <c r="B46" i="8"/>
  <c r="L124" i="8"/>
  <c r="L263" i="8"/>
  <c r="B227" i="8"/>
  <c r="M275" i="8"/>
  <c r="M303" i="8"/>
  <c r="L516" i="8"/>
  <c r="L417" i="8"/>
  <c r="M397" i="8"/>
  <c r="M353" i="8"/>
  <c r="M251" i="8"/>
  <c r="B103" i="8"/>
  <c r="B88" i="8"/>
  <c r="A348" i="8"/>
  <c r="A401" i="8"/>
  <c r="L274" i="8"/>
  <c r="M502" i="8"/>
  <c r="A394" i="8"/>
  <c r="B493" i="8"/>
  <c r="M283" i="8"/>
  <c r="A224" i="8"/>
  <c r="B182" i="8"/>
  <c r="L311" i="8"/>
  <c r="A472" i="8"/>
  <c r="B195" i="8"/>
  <c r="B132" i="8"/>
  <c r="L197" i="8"/>
  <c r="A229" i="8"/>
  <c r="B161" i="8"/>
  <c r="A328" i="8"/>
  <c r="A376" i="8"/>
  <c r="M179" i="8"/>
  <c r="B429" i="8"/>
  <c r="A181" i="8"/>
  <c r="M464" i="8"/>
  <c r="B158" i="8"/>
  <c r="L215" i="8"/>
  <c r="L369" i="8"/>
  <c r="A311" i="8"/>
  <c r="M118" i="8"/>
  <c r="B278" i="8"/>
  <c r="A354" i="8"/>
  <c r="M48" i="8"/>
  <c r="A196" i="8"/>
  <c r="B222" i="8"/>
  <c r="L380" i="8"/>
  <c r="A46" i="8"/>
  <c r="B160" i="8"/>
  <c r="A134" i="8"/>
  <c r="C1" i="8"/>
  <c r="L127" i="8"/>
  <c r="A360" i="8"/>
  <c r="L218" i="8"/>
  <c r="B250" i="8"/>
  <c r="A38" i="8"/>
  <c r="L514" i="8"/>
  <c r="L408" i="8"/>
  <c r="M252" i="8"/>
  <c r="A247" i="8"/>
  <c r="B210" i="8"/>
  <c r="L187" i="8"/>
  <c r="B394" i="8"/>
  <c r="L506" i="8"/>
  <c r="A83" i="8"/>
  <c r="L222" i="8"/>
  <c r="L122" i="8"/>
  <c r="B144" i="8"/>
  <c r="A119" i="8"/>
  <c r="B153" i="8"/>
  <c r="B452" i="8"/>
  <c r="B110" i="8"/>
  <c r="L174" i="8"/>
  <c r="M450" i="8"/>
  <c r="B128" i="8"/>
  <c r="M511" i="8"/>
  <c r="L116" i="8"/>
  <c r="M46" i="8"/>
  <c r="A216" i="8"/>
  <c r="A441" i="8"/>
  <c r="L394" i="8"/>
  <c r="L62" i="8"/>
  <c r="B165" i="8"/>
  <c r="M55" i="8"/>
  <c r="B118" i="8"/>
  <c r="L144" i="8"/>
  <c r="A143" i="8"/>
  <c r="B168" i="8"/>
  <c r="L302" i="8"/>
  <c r="L309" i="8"/>
  <c r="A185" i="8"/>
  <c r="M297" i="8"/>
  <c r="M507" i="8"/>
  <c r="M292" i="8"/>
  <c r="L393" i="8"/>
  <c r="M171" i="8"/>
  <c r="L460" i="8"/>
  <c r="B186" i="8"/>
  <c r="L368" i="8"/>
  <c r="L134" i="8"/>
  <c r="L118" i="8"/>
  <c r="B254" i="8"/>
  <c r="M112" i="8"/>
  <c r="A504" i="8"/>
  <c r="B214" i="8"/>
  <c r="B438" i="8"/>
  <c r="L113" i="8"/>
  <c r="L206" i="8"/>
  <c r="L383" i="8"/>
  <c r="B108" i="8"/>
  <c r="L109" i="8"/>
  <c r="M150" i="8"/>
  <c r="A217" i="8"/>
  <c r="L375" i="8"/>
  <c r="M182" i="8"/>
  <c r="B79" i="8"/>
  <c r="A248" i="8"/>
  <c r="A140" i="8"/>
  <c r="A214" i="8"/>
  <c r="B122" i="8"/>
  <c r="B363" i="8"/>
  <c r="L100" i="8"/>
  <c r="L223" i="8"/>
  <c r="A322" i="8"/>
  <c r="M434" i="8"/>
  <c r="A323" i="8"/>
  <c r="A43" i="8"/>
  <c r="B65" i="8"/>
  <c r="M469" i="8"/>
  <c r="L184" i="8"/>
  <c r="M70" i="8"/>
  <c r="M304" i="8"/>
  <c r="A325" i="8"/>
  <c r="A289" i="8"/>
  <c r="L435" i="8"/>
  <c r="L237" i="8"/>
  <c r="L42" i="8"/>
  <c r="L467" i="8"/>
  <c r="L438" i="8"/>
  <c r="B201" i="8"/>
  <c r="B190" i="8"/>
  <c r="B167" i="8"/>
  <c r="M243" i="8"/>
  <c r="B69" i="8"/>
  <c r="L271" i="8"/>
  <c r="M134" i="8"/>
  <c r="L285" i="8"/>
  <c r="A51" i="8"/>
  <c r="M138" i="8"/>
  <c r="M125" i="8"/>
  <c r="A133" i="8"/>
  <c r="M335" i="8"/>
  <c r="B162" i="8"/>
  <c r="B385" i="8"/>
  <c r="M350" i="8"/>
  <c r="A356" i="8"/>
  <c r="L367" i="8"/>
  <c r="A137" i="8"/>
  <c r="L362" i="8"/>
  <c r="B137" i="8"/>
  <c r="L483" i="8"/>
  <c r="M484" i="8"/>
  <c r="A155" i="8"/>
  <c r="L146" i="8"/>
  <c r="A129" i="8"/>
  <c r="A312" i="8"/>
  <c r="M88" i="8"/>
  <c r="A362" i="8"/>
  <c r="M176" i="8"/>
  <c r="A177" i="8"/>
  <c r="M274" i="8"/>
  <c r="A403" i="8"/>
  <c r="L164" i="8"/>
  <c r="M51" i="8"/>
  <c r="M202" i="8"/>
  <c r="A341" i="8"/>
  <c r="M516" i="8"/>
  <c r="A457" i="8"/>
  <c r="L340" i="8"/>
  <c r="L172" i="8"/>
  <c r="M282" i="8"/>
  <c r="M144" i="8"/>
  <c r="L90" i="8"/>
  <c r="M383" i="8"/>
  <c r="A157" i="8"/>
  <c r="B331" i="8"/>
  <c r="L433" i="8"/>
  <c r="M495" i="8"/>
  <c r="A221" i="8"/>
  <c r="B514" i="8"/>
  <c r="L199" i="8"/>
  <c r="L180" i="8"/>
  <c r="B311" i="8"/>
  <c r="L336" i="8"/>
  <c r="M273" i="8"/>
  <c r="B113" i="8"/>
  <c r="M189" i="8"/>
  <c r="A309" i="8"/>
  <c r="L279" i="8"/>
  <c r="M235" i="8"/>
  <c r="A423" i="8"/>
  <c r="L205" i="8"/>
  <c r="B470" i="8"/>
  <c r="B275" i="8"/>
  <c r="L332" i="8"/>
  <c r="L211" i="8"/>
  <c r="M485" i="8"/>
  <c r="L265" i="8"/>
  <c r="L278" i="8"/>
  <c r="M232" i="8"/>
  <c r="L374" i="8"/>
  <c r="L287" i="8"/>
  <c r="M114" i="8"/>
  <c r="B433" i="8"/>
  <c r="A118" i="8"/>
  <c r="B143" i="8"/>
  <c r="B225" i="8"/>
  <c r="B361" i="8"/>
  <c r="M77" i="8"/>
  <c r="A44" i="8"/>
  <c r="A448" i="8"/>
  <c r="B302" i="8"/>
  <c r="M224" i="8"/>
  <c r="M514" i="8"/>
  <c r="B241" i="8"/>
  <c r="B63" i="8"/>
  <c r="M212" i="8"/>
  <c r="L53" i="8"/>
  <c r="M311" i="8"/>
  <c r="B516" i="8"/>
  <c r="B104" i="8"/>
  <c r="L183" i="8"/>
  <c r="A462" i="8"/>
  <c r="B59" i="8"/>
  <c r="M356" i="8"/>
  <c r="B451" i="8"/>
  <c r="A336" i="8"/>
  <c r="M68" i="8"/>
  <c r="L485" i="8"/>
  <c r="M448" i="8"/>
  <c r="B166" i="8"/>
  <c r="B419" i="8"/>
  <c r="A273" i="8"/>
  <c r="A359" i="8"/>
  <c r="M381" i="8"/>
  <c r="A153" i="8"/>
  <c r="A63" i="8"/>
  <c r="L342" i="8"/>
  <c r="A374" i="8"/>
  <c r="A366" i="8"/>
  <c r="M310" i="8"/>
  <c r="B487" i="8"/>
  <c r="L231" i="8"/>
  <c r="L170" i="8"/>
  <c r="A511" i="8"/>
  <c r="M99" i="8"/>
  <c r="L190" i="8"/>
  <c r="B400" i="8"/>
  <c r="B55" i="8"/>
  <c r="B301" i="8"/>
  <c r="B409" i="8"/>
  <c r="B341" i="8"/>
  <c r="B234" i="8"/>
  <c r="L413" i="8"/>
  <c r="M333" i="8"/>
  <c r="A48" i="8"/>
  <c r="M515" i="8"/>
  <c r="M285" i="8"/>
  <c r="M296" i="8"/>
  <c r="L85" i="8"/>
  <c r="A192" i="8"/>
  <c r="M142" i="8"/>
  <c r="M188" i="8"/>
  <c r="L111" i="8"/>
  <c r="L480" i="8"/>
  <c r="M361" i="8"/>
  <c r="A347" i="8"/>
  <c r="L329" i="8"/>
  <c r="M197" i="8"/>
  <c r="M357" i="8"/>
  <c r="L464" i="8"/>
  <c r="M209" i="8"/>
  <c r="M278" i="8"/>
  <c r="M510" i="8"/>
  <c r="L472" i="8"/>
  <c r="M414" i="8"/>
  <c r="M148" i="8"/>
  <c r="M490" i="8"/>
  <c r="M332" i="8"/>
  <c r="L106" i="8"/>
  <c r="M500" i="8"/>
  <c r="B404" i="8"/>
  <c r="A317" i="8"/>
  <c r="M460" i="8"/>
  <c r="A397" i="8"/>
  <c r="L76" i="8"/>
  <c r="B413" i="8"/>
  <c r="A510" i="8"/>
  <c r="B117" i="8"/>
  <c r="L498" i="8"/>
  <c r="L135" i="8"/>
  <c r="L343" i="8"/>
  <c r="A424" i="8"/>
  <c r="B458" i="8"/>
  <c r="B261" i="8"/>
  <c r="B511" i="8"/>
  <c r="B444" i="8"/>
  <c r="M411" i="8"/>
  <c r="M444" i="8"/>
  <c r="B464" i="8"/>
  <c r="M216" i="8"/>
  <c r="L276" i="8"/>
  <c r="B66" i="8"/>
  <c r="B383" i="8"/>
  <c r="B97" i="8"/>
  <c r="A99" i="8"/>
  <c r="A120" i="8"/>
  <c r="B133" i="8"/>
  <c r="B411" i="8"/>
  <c r="L347" i="8"/>
  <c r="L509" i="8"/>
  <c r="L261" i="8"/>
  <c r="L162" i="8"/>
  <c r="A39" i="8"/>
  <c r="M210" i="8"/>
  <c r="B476" i="8"/>
  <c r="A390" i="8"/>
  <c r="B286" i="8"/>
  <c r="B417" i="8"/>
  <c r="B316" i="8"/>
  <c r="M101" i="8"/>
  <c r="B45" i="8"/>
  <c r="B376" i="8"/>
  <c r="A183" i="8"/>
  <c r="M301" i="8"/>
  <c r="A242" i="8"/>
  <c r="B198" i="8"/>
  <c r="A49" i="8"/>
  <c r="M39" i="8"/>
  <c r="L280" i="8"/>
  <c r="M284" i="8"/>
  <c r="B235" i="8"/>
  <c r="B156" i="8"/>
  <c r="M110" i="8"/>
  <c r="L200" i="8"/>
  <c r="B319" i="8"/>
  <c r="L452" i="8"/>
  <c r="L83" i="8"/>
  <c r="A454" i="8"/>
  <c r="M54" i="8"/>
  <c r="B145" i="8"/>
  <c r="A105" i="8"/>
  <c r="M321" i="8"/>
  <c r="L154" i="8"/>
  <c r="L194" i="8"/>
  <c r="L365" i="8"/>
  <c r="A270" i="8"/>
  <c r="L178" i="8"/>
  <c r="L479" i="8"/>
  <c r="M474" i="8"/>
  <c r="M312" i="8"/>
  <c r="B248" i="8"/>
  <c r="M167" i="8"/>
  <c r="A227" i="8"/>
  <c r="M386" i="8"/>
  <c r="M418" i="8"/>
  <c r="L470" i="8"/>
  <c r="B236" i="8"/>
  <c r="A442" i="8"/>
  <c r="A501" i="8"/>
  <c r="B47" i="8"/>
  <c r="M86" i="8"/>
  <c r="B68" i="8"/>
  <c r="M446" i="8"/>
  <c r="B397" i="8"/>
  <c r="L314" i="8"/>
  <c r="B415" i="8"/>
  <c r="A268" i="8"/>
  <c r="L255" i="8"/>
  <c r="M47" i="8"/>
  <c r="L307" i="8"/>
  <c r="B422" i="8"/>
  <c r="B469" i="8"/>
  <c r="B216" i="8"/>
  <c r="M365" i="8"/>
  <c r="L338" i="8"/>
  <c r="M358" i="8"/>
  <c r="A77" i="8"/>
  <c r="L196" i="8"/>
  <c r="M193" i="8"/>
  <c r="L243" i="8"/>
  <c r="M146" i="8"/>
  <c r="A438" i="8"/>
  <c r="M270" i="8"/>
  <c r="B130" i="8"/>
  <c r="B204" i="8"/>
  <c r="M294" i="8"/>
  <c r="A252" i="8"/>
  <c r="A164" i="8"/>
  <c r="L72" i="8"/>
  <c r="L252" i="8"/>
  <c r="M465" i="8"/>
  <c r="M147" i="8"/>
  <c r="B356" i="8"/>
  <c r="L290" i="8"/>
  <c r="B434" i="8"/>
  <c r="L149" i="8"/>
  <c r="L364" i="8"/>
  <c r="B191" i="8"/>
  <c r="M480" i="8"/>
  <c r="A189" i="8"/>
  <c r="M96" i="8"/>
  <c r="L298" i="8"/>
  <c r="M85" i="8"/>
  <c r="B377" i="8"/>
  <c r="L189" i="8"/>
  <c r="A410" i="8"/>
  <c r="L305" i="8"/>
  <c r="A514" i="8"/>
  <c r="M307" i="8"/>
  <c r="L79" i="8"/>
  <c r="B200" i="8"/>
  <c r="B215" i="8"/>
  <c r="M504" i="8"/>
  <c r="B345" i="8"/>
  <c r="A308" i="8"/>
  <c r="L226" i="8"/>
  <c r="A350" i="8"/>
  <c r="M401" i="8"/>
  <c r="L267" i="8"/>
  <c r="M419" i="8"/>
  <c r="B329" i="8"/>
  <c r="L50" i="8"/>
  <c r="M89" i="8"/>
  <c r="L502" i="8"/>
  <c r="M94" i="8"/>
  <c r="M172" i="8"/>
  <c r="L497" i="8"/>
  <c r="B359" i="8"/>
  <c r="L108" i="8"/>
  <c r="A515" i="8"/>
  <c r="M105" i="8"/>
  <c r="M367" i="8"/>
  <c r="B181" i="8"/>
  <c r="A209" i="8"/>
  <c r="M120" i="8"/>
  <c r="M338" i="8"/>
  <c r="B276" i="8"/>
  <c r="L87" i="8"/>
  <c r="M427" i="8"/>
  <c r="M111" i="8"/>
  <c r="B70" i="8"/>
  <c r="B315" i="8"/>
  <c r="M49" i="8"/>
  <c r="M371" i="8"/>
  <c r="B391" i="8"/>
  <c r="A167" i="8"/>
  <c r="M66" i="8"/>
  <c r="A246" i="8"/>
  <c r="A475" i="8"/>
  <c r="M483" i="8"/>
  <c r="A344" i="8"/>
  <c r="B80" i="8"/>
  <c r="A319" i="8"/>
  <c r="M72" i="8"/>
  <c r="L474" i="8"/>
  <c r="M178" i="8"/>
  <c r="A175" i="8"/>
  <c r="M214" i="8"/>
  <c r="B223" i="8"/>
  <c r="A498" i="8"/>
  <c r="L384" i="8"/>
  <c r="A427" i="8"/>
  <c r="B406" i="8"/>
  <c r="L254" i="8"/>
  <c r="B366" i="8"/>
  <c r="M255" i="8"/>
  <c r="A480" i="8"/>
  <c r="B263" i="8"/>
  <c r="M388" i="8"/>
  <c r="M71" i="8"/>
  <c r="B475" i="8"/>
  <c r="L120" i="8"/>
  <c r="A81" i="8"/>
  <c r="M346" i="8"/>
  <c r="L107" i="8"/>
  <c r="B267" i="8"/>
  <c r="B299" i="8"/>
  <c r="M447" i="8"/>
  <c r="B463" i="8"/>
  <c r="B386" i="8"/>
  <c r="A456" i="8"/>
  <c r="L216" i="8"/>
  <c r="A407" i="8"/>
  <c r="B508" i="8"/>
  <c r="A293" i="8"/>
  <c r="M327" i="8"/>
  <c r="B172" i="8"/>
  <c r="L102" i="8"/>
  <c r="A426" i="8"/>
  <c r="M109" i="8"/>
  <c r="L58" i="8"/>
  <c r="B178" i="8"/>
  <c r="A363" i="8"/>
  <c r="M272" i="8"/>
  <c r="A398" i="8"/>
  <c r="B509" i="8"/>
  <c r="A87" i="8"/>
  <c r="M409" i="8"/>
  <c r="L381" i="8"/>
  <c r="M472" i="8"/>
  <c r="B497" i="8"/>
  <c r="A460" i="8"/>
  <c r="L339" i="8"/>
  <c r="B504" i="8"/>
  <c r="B102" i="8"/>
  <c r="A272" i="8"/>
  <c r="B303" i="8"/>
  <c r="L192" i="8"/>
  <c r="M402" i="8"/>
  <c r="M53" i="8"/>
  <c r="L94" i="8"/>
  <c r="A220" i="8"/>
  <c r="B371" i="8"/>
  <c r="A239" i="8"/>
  <c r="B321" i="8"/>
  <c r="L54" i="8"/>
  <c r="B280" i="8"/>
  <c r="M153" i="8"/>
  <c r="M354" i="8"/>
  <c r="L283" i="8"/>
  <c r="M92" i="8"/>
  <c r="M315" i="8"/>
  <c r="B348" i="8"/>
  <c r="A466" i="8"/>
  <c r="M422" i="8"/>
  <c r="B488" i="8"/>
  <c r="L412" i="8"/>
  <c r="L286" i="8"/>
  <c r="M108" i="8"/>
  <c r="A512" i="8"/>
  <c r="B479" i="8"/>
  <c r="A191" i="8"/>
  <c r="B41" i="8"/>
  <c r="M290" i="8"/>
  <c r="B75" i="8"/>
  <c r="M456" i="8"/>
  <c r="L428" i="8"/>
  <c r="M339" i="8"/>
  <c r="L473" i="8"/>
  <c r="M433" i="8"/>
  <c r="M363" i="8"/>
  <c r="L248" i="8"/>
  <c r="A222" i="8"/>
  <c r="B466" i="8"/>
  <c r="L103" i="8"/>
  <c r="M184" i="8"/>
  <c r="L300" i="8"/>
  <c r="B245" i="8"/>
  <c r="M390" i="8"/>
  <c r="M151" i="8"/>
  <c r="L446" i="8"/>
  <c r="A387" i="8"/>
  <c r="L388" i="8"/>
  <c r="B354" i="8"/>
  <c r="B389" i="8"/>
  <c r="A269" i="8"/>
  <c r="B50" i="8"/>
  <c r="L224" i="8"/>
  <c r="A223" i="8"/>
  <c r="L121" i="8"/>
  <c r="B95" i="8"/>
  <c r="A420" i="8"/>
  <c r="B318" i="8"/>
  <c r="L392" i="8"/>
  <c r="L160" i="8"/>
  <c r="L64" i="8"/>
  <c r="A109" i="8"/>
  <c r="L355" i="8"/>
  <c r="L445" i="8"/>
  <c r="B48" i="8"/>
  <c r="A80" i="8"/>
  <c r="M180" i="8"/>
  <c r="M473" i="8"/>
  <c r="M246" i="8"/>
  <c r="B171" i="8"/>
  <c r="M170" i="8"/>
  <c r="B78" i="8"/>
  <c r="B405" i="8"/>
  <c r="A346" i="8"/>
  <c r="B384" i="8"/>
  <c r="M425" i="8"/>
  <c r="B177" i="8"/>
  <c r="L463" i="8"/>
  <c r="L273" i="8"/>
  <c r="M429" i="8"/>
  <c r="L488" i="8"/>
  <c r="M127" i="8"/>
  <c r="L39" i="8"/>
  <c r="M412" i="8"/>
  <c r="L407" i="8"/>
  <c r="B441" i="8"/>
  <c r="A369" i="8"/>
  <c r="B213" i="8"/>
  <c r="A282" i="8"/>
  <c r="B274" i="8"/>
  <c r="M326" i="8"/>
  <c r="A455" i="8"/>
  <c r="B454" i="8"/>
  <c r="L455" i="8"/>
  <c r="M279" i="8"/>
  <c r="A496" i="8"/>
  <c r="M491" i="8"/>
  <c r="L284" i="8"/>
  <c r="A502" i="8"/>
  <c r="A190" i="8"/>
  <c r="M330" i="8"/>
  <c r="M501" i="8"/>
  <c r="A413" i="8"/>
  <c r="L439" i="8"/>
  <c r="B170" i="8"/>
  <c r="A404" i="8"/>
  <c r="B105" i="8"/>
  <c r="B472" i="8"/>
  <c r="B347" i="8"/>
  <c r="M455" i="8"/>
  <c r="M203" i="8"/>
  <c r="L239" i="8"/>
  <c r="L171" i="8"/>
  <c r="L423" i="8"/>
  <c r="A68" i="8"/>
  <c r="M420" i="8"/>
  <c r="A279" i="8"/>
  <c r="B39" i="8"/>
  <c r="M152" i="8"/>
  <c r="A313" i="8"/>
  <c r="B207" i="8"/>
  <c r="B111" i="8"/>
  <c r="M415" i="8"/>
  <c r="B483" i="8"/>
  <c r="M190" i="8"/>
  <c r="L251" i="8"/>
  <c r="B174" i="8"/>
  <c r="M498" i="8"/>
  <c r="M163" i="8"/>
  <c r="M376" i="8"/>
  <c r="M437" i="8"/>
  <c r="B203" i="8"/>
  <c r="L454" i="8"/>
  <c r="B459" i="8"/>
  <c r="A104" i="8"/>
  <c r="M387" i="8"/>
  <c r="B231" i="8"/>
  <c r="M154" i="8"/>
  <c r="B212" i="8"/>
  <c r="A338" i="8"/>
  <c r="A298" i="8"/>
  <c r="M80" i="8"/>
  <c r="L387" i="8"/>
  <c r="A274" i="8"/>
  <c r="M43" i="8"/>
  <c r="A180" i="8"/>
  <c r="B273" i="8"/>
  <c r="A333" i="8"/>
  <c r="B269" i="8"/>
  <c r="A343" i="8"/>
  <c r="M196" i="8"/>
  <c r="A495" i="8"/>
  <c r="L344" i="8"/>
  <c r="B499" i="8"/>
  <c r="A435" i="8"/>
  <c r="M194" i="8"/>
  <c r="A419" i="8"/>
  <c r="B353" i="8"/>
  <c r="M389" i="8"/>
  <c r="B206" i="8"/>
  <c r="M223" i="8"/>
  <c r="L291" i="8"/>
  <c r="B73" i="8"/>
  <c r="B513" i="8"/>
  <c r="A481" i="8"/>
  <c r="B357" i="8"/>
  <c r="A483" i="8"/>
  <c r="L358" i="8"/>
  <c r="L249" i="8"/>
  <c r="L81" i="8"/>
  <c r="A342" i="8"/>
  <c r="M331" i="8"/>
  <c r="L110" i="8"/>
  <c r="M461" i="8"/>
  <c r="L256" i="8"/>
  <c r="M201" i="8"/>
  <c r="L179" i="8"/>
  <c r="M156" i="8"/>
  <c r="B211" i="8"/>
  <c r="L214" i="8"/>
  <c r="L193" i="8"/>
  <c r="L168" i="8"/>
  <c r="B478" i="8"/>
  <c r="M45" i="8"/>
  <c r="B232" i="8"/>
  <c r="B495" i="8"/>
  <c r="B327" i="8"/>
  <c r="A136" i="8"/>
  <c r="A108" i="8"/>
  <c r="B485" i="8"/>
  <c r="L495" i="8"/>
  <c r="A148" i="8"/>
  <c r="M496" i="8"/>
  <c r="M253" i="8"/>
  <c r="A174" i="8"/>
  <c r="M352" i="8"/>
  <c r="L202" i="8"/>
  <c r="M334" i="8"/>
  <c r="M83" i="8"/>
  <c r="L511" i="8"/>
  <c r="M449" i="8"/>
  <c r="A267" i="8"/>
  <c r="B146" i="8"/>
  <c r="B226" i="8"/>
  <c r="L204" i="8"/>
  <c r="L490" i="8"/>
  <c r="A91" i="8"/>
  <c r="B112" i="8"/>
  <c r="A386" i="8"/>
  <c r="M241" i="8"/>
  <c r="L437" i="8"/>
  <c r="M298" i="8"/>
  <c r="B53" i="8"/>
  <c r="A138" i="8"/>
  <c r="L67" i="8"/>
  <c r="M38" i="8"/>
  <c r="A436" i="8"/>
  <c r="A163" i="8"/>
  <c r="A378" i="8"/>
  <c r="M479" i="8"/>
  <c r="A127" i="8"/>
  <c r="B107" i="8"/>
  <c r="B436" i="8"/>
  <c r="L112" i="8"/>
  <c r="L282" i="8"/>
  <c r="L277" i="8"/>
  <c r="L348" i="8"/>
  <c r="M379" i="8"/>
  <c r="L123" i="8"/>
  <c r="B271" i="8"/>
  <c r="A443" i="8"/>
  <c r="B439" i="8"/>
  <c r="L182" i="8"/>
  <c r="B398" i="8"/>
  <c r="B388" i="8"/>
  <c r="A162" i="8"/>
  <c r="A305" i="8"/>
  <c r="M82" i="8"/>
  <c r="L405" i="8"/>
  <c r="B295" i="8"/>
  <c r="A434" i="8"/>
  <c r="M280" i="8"/>
  <c r="B498" i="8"/>
  <c r="A149" i="8"/>
  <c r="B218" i="8"/>
  <c r="L159" i="8"/>
  <c r="B120" i="8"/>
  <c r="M416" i="8"/>
  <c r="L442" i="8"/>
  <c r="L346" i="8"/>
  <c r="L507" i="8"/>
  <c r="B123" i="8"/>
  <c r="M404" i="8"/>
  <c r="B515" i="8"/>
  <c r="L420" i="8"/>
  <c r="M164" i="8"/>
  <c r="M295" i="8"/>
  <c r="L475" i="8"/>
  <c r="L426" i="8"/>
  <c r="L350" i="8"/>
  <c r="A516" i="8"/>
  <c r="M458" i="8"/>
  <c r="A93" i="8"/>
  <c r="M396" i="8"/>
  <c r="B403" i="8"/>
  <c r="M191" i="8"/>
  <c r="A256" i="8"/>
  <c r="B87" i="8"/>
  <c r="A479" i="8"/>
  <c r="M463" i="8"/>
  <c r="A334" i="8"/>
  <c r="A144" i="8"/>
  <c r="B446" i="8"/>
  <c r="A388" i="8"/>
  <c r="A278" i="8"/>
  <c r="A389" i="8"/>
  <c r="L61" i="8"/>
  <c r="B414" i="8"/>
  <c r="B135" i="8"/>
  <c r="B221" i="8"/>
  <c r="M128" i="8"/>
  <c r="M87" i="8"/>
  <c r="M165" i="8"/>
  <c r="L440" i="8"/>
  <c r="A327" i="8"/>
  <c r="L270" i="8"/>
  <c r="A92" i="8"/>
  <c r="M58" i="8"/>
  <c r="L396" i="8"/>
  <c r="A474" i="8"/>
  <c r="L481" i="8"/>
  <c r="B148" i="8"/>
  <c r="B401" i="8"/>
  <c r="A45" i="8"/>
  <c r="M482" i="8"/>
  <c r="B304" i="8"/>
  <c r="A276" i="8"/>
  <c r="A444" i="8"/>
  <c r="A453" i="8"/>
  <c r="A335" i="8"/>
  <c r="M204" i="8"/>
  <c r="L312" i="8"/>
  <c r="L175" i="8"/>
  <c r="A207" i="8"/>
  <c r="A250" i="8"/>
  <c r="L155" i="8"/>
  <c r="L330" i="8"/>
  <c r="L43" i="8"/>
  <c r="M198" i="8"/>
  <c r="M320" i="8"/>
  <c r="B40" i="8"/>
  <c r="A329" i="8"/>
  <c r="B71" i="8"/>
  <c r="L501" i="8"/>
  <c r="M73" i="8"/>
  <c r="B196" i="8"/>
  <c r="A509" i="8"/>
  <c r="B188" i="8"/>
  <c r="M234" i="8"/>
  <c r="M487" i="8"/>
  <c r="L450" i="8"/>
  <c r="B314" i="8"/>
  <c r="M428" i="8"/>
  <c r="L366" i="8"/>
  <c r="A114" i="8"/>
  <c r="A67" i="8"/>
  <c r="M400" i="8"/>
  <c r="L73" i="8"/>
  <c r="A70" i="8"/>
  <c r="B289" i="8"/>
  <c r="M76" i="8"/>
  <c r="L38" i="8"/>
  <c r="A186" i="8"/>
  <c r="A236" i="8"/>
  <c r="A370" i="8"/>
  <c r="M489" i="8"/>
  <c r="L142" i="8"/>
  <c r="M299" i="8"/>
  <c r="L130" i="8"/>
  <c r="L66" i="8"/>
  <c r="L371" i="8"/>
  <c r="M336" i="8"/>
  <c r="M50" i="8"/>
  <c r="A445" i="8"/>
  <c r="B58" i="8"/>
  <c r="A499" i="8"/>
  <c r="A381" i="8"/>
  <c r="L410" i="8"/>
  <c r="L117" i="8"/>
  <c r="B453" i="8"/>
  <c r="B44" i="8"/>
  <c r="A124" i="8"/>
  <c r="M316" i="8"/>
  <c r="M277" i="8"/>
  <c r="M286" i="8"/>
  <c r="A40" i="8"/>
  <c r="L448" i="8"/>
  <c r="M104" i="8"/>
  <c r="L320" i="8"/>
  <c r="B84" i="8"/>
  <c r="B324" i="8"/>
  <c r="L401" i="8"/>
  <c r="B287" i="8"/>
  <c r="M78" i="8"/>
  <c r="A396" i="8"/>
  <c r="L186" i="8"/>
  <c r="B228" i="8"/>
  <c r="M173" i="8"/>
  <c r="L512" i="8"/>
  <c r="B67" i="8"/>
  <c r="M115" i="8"/>
  <c r="B282" i="8"/>
  <c r="A171" i="8"/>
  <c r="M392" i="8"/>
  <c r="A500" i="8"/>
  <c r="L104" i="8"/>
  <c r="B164" i="8"/>
  <c r="M410" i="8"/>
  <c r="A409" i="8"/>
  <c r="L318" i="8"/>
  <c r="M119" i="8"/>
  <c r="L152" i="8"/>
  <c r="M441" i="8"/>
  <c r="M69" i="8"/>
  <c r="M476" i="8"/>
  <c r="B176" i="8"/>
  <c r="M403" i="8"/>
  <c r="M228" i="8"/>
  <c r="B427" i="8"/>
  <c r="A452" i="8"/>
  <c r="M135" i="8"/>
  <c r="L415" i="8"/>
  <c r="L125" i="8"/>
  <c r="L217" i="8"/>
  <c r="L219" i="8"/>
  <c r="M256" i="8"/>
  <c r="B219" i="8"/>
  <c r="B349" i="8"/>
  <c r="L56" i="8"/>
  <c r="B426" i="8"/>
  <c r="M380" i="8"/>
  <c r="M344" i="8"/>
  <c r="M457" i="8"/>
  <c r="B81" i="8"/>
  <c r="L341" i="8"/>
  <c r="L357" i="8"/>
  <c r="L515" i="8"/>
  <c r="B465" i="8"/>
  <c r="A182" i="8"/>
  <c r="L250" i="8"/>
  <c r="L425" i="8"/>
  <c r="L430" i="8"/>
  <c r="M107" i="8"/>
  <c r="B482" i="8"/>
  <c r="A506" i="8"/>
  <c r="B346" i="8"/>
  <c r="M308" i="8"/>
  <c r="B449" i="8"/>
  <c r="L385" i="8"/>
  <c r="L337" i="8"/>
  <c r="B151" i="8"/>
  <c r="A204" i="8"/>
  <c r="A373" i="8"/>
  <c r="B486" i="8"/>
  <c r="A433" i="8"/>
  <c r="M140" i="8"/>
  <c r="B264" i="8"/>
  <c r="M102" i="8"/>
  <c r="M349" i="8"/>
  <c r="L233" i="8"/>
  <c r="M220" i="8"/>
  <c r="A243" i="8"/>
  <c r="A197" i="8"/>
  <c r="L140" i="8"/>
  <c r="M443" i="8"/>
  <c r="B300" i="8"/>
  <c r="A237" i="8"/>
  <c r="M264" i="8"/>
  <c r="A310" i="8"/>
  <c r="L379" i="8"/>
  <c r="A95" i="8"/>
  <c r="A84" i="8"/>
  <c r="M244" i="8"/>
  <c r="A440" i="8"/>
  <c r="M506" i="8"/>
  <c r="M208" i="8"/>
  <c r="L427" i="8"/>
  <c r="A213" i="8"/>
  <c r="L325" i="8"/>
  <c r="M130" i="8"/>
  <c r="L389" i="8"/>
  <c r="B507" i="8"/>
  <c r="A364" i="8"/>
  <c r="A52" i="8"/>
  <c r="A139" i="8"/>
  <c r="M145" i="8"/>
  <c r="A85" i="8"/>
  <c r="M374" i="8"/>
  <c r="A405" i="8"/>
  <c r="M249" i="8"/>
  <c r="L327" i="8"/>
  <c r="L476" i="8"/>
  <c r="B490" i="8"/>
  <c r="A116" i="8"/>
  <c r="M41" i="8"/>
  <c r="M343" i="8"/>
  <c r="A184" i="8"/>
  <c r="B372" i="8"/>
  <c r="M239" i="8"/>
  <c r="A173" i="8"/>
  <c r="B381" i="8"/>
  <c r="A76" i="8"/>
  <c r="B119" i="8"/>
  <c r="L395" i="8"/>
  <c r="A484" i="8"/>
  <c r="M305" i="8"/>
  <c r="B380" i="8"/>
  <c r="L147" i="8"/>
  <c r="M442" i="8"/>
  <c r="L115" i="8"/>
  <c r="A450" i="8"/>
  <c r="M155" i="8"/>
  <c r="M236" i="8"/>
  <c r="B85" i="8"/>
  <c r="B323" i="8"/>
  <c r="L247" i="8"/>
  <c r="A489" i="8"/>
  <c r="A113" i="8"/>
  <c r="A299" i="8"/>
  <c r="A123" i="8"/>
  <c r="B238" i="8"/>
  <c r="A147" i="8"/>
  <c r="A459" i="8"/>
  <c r="M160" i="8"/>
  <c r="L294" i="8"/>
  <c r="M103" i="8"/>
  <c r="M309" i="8"/>
  <c r="L419" i="8"/>
  <c r="A391" i="8"/>
  <c r="M470" i="8"/>
  <c r="A302" i="8"/>
  <c r="B460" i="8"/>
  <c r="B242" i="8"/>
  <c r="M250" i="8"/>
  <c r="L449" i="8"/>
  <c r="M187" i="8"/>
  <c r="L161" i="8"/>
  <c r="B92" i="8"/>
  <c r="A324" i="8"/>
  <c r="B209" i="8"/>
  <c r="B94" i="8"/>
  <c r="A345" i="8"/>
  <c r="L240" i="8"/>
  <c r="A58" i="8"/>
  <c r="L46" i="8"/>
  <c r="L444" i="8"/>
  <c r="A231" i="8"/>
  <c r="A146" i="8"/>
  <c r="M453" i="8"/>
  <c r="B98" i="8"/>
  <c r="A158" i="8"/>
  <c r="B152" i="8"/>
  <c r="M408" i="8"/>
  <c r="A78" i="8"/>
  <c r="B370" i="8"/>
  <c r="M281" i="8"/>
  <c r="B281" i="8"/>
  <c r="L319" i="8"/>
  <c r="A131" i="8"/>
  <c r="L75" i="8"/>
  <c r="A368" i="8"/>
  <c r="A349" i="8"/>
  <c r="M218" i="8"/>
  <c r="B91" i="8"/>
  <c r="L353" i="8"/>
  <c r="B491" i="8"/>
  <c r="A53" i="8"/>
  <c r="L225" i="8"/>
  <c r="L40" i="8"/>
  <c r="A64" i="8"/>
  <c r="M359" i="8"/>
  <c r="M372" i="8"/>
  <c r="B124" i="8"/>
  <c r="M199" i="8"/>
  <c r="A226" i="8"/>
  <c r="B374" i="8"/>
  <c r="B305" i="8"/>
  <c r="B506" i="8"/>
  <c r="A130" i="8"/>
  <c r="L478" i="8"/>
  <c r="L465" i="8"/>
  <c r="M195" i="8"/>
  <c r="L349" i="8"/>
  <c r="L181" i="8"/>
  <c r="M341" i="8"/>
  <c r="L322" i="8"/>
  <c r="L424" i="8"/>
  <c r="A135" i="8"/>
  <c r="M100" i="8"/>
  <c r="M186" i="8"/>
  <c r="A414" i="8"/>
  <c r="B131" i="8"/>
  <c r="L281" i="8"/>
  <c r="L429" i="8"/>
  <c r="L167" i="8"/>
  <c r="A206" i="8"/>
  <c r="L208" i="8"/>
  <c r="L153" i="8"/>
  <c r="M478" i="8"/>
  <c r="B335" i="8"/>
  <c r="B448" i="8"/>
  <c r="B268" i="8"/>
  <c r="M291" i="8"/>
  <c r="B256" i="8"/>
  <c r="A50" i="8"/>
  <c r="L157" i="8"/>
  <c r="B340" i="8"/>
  <c r="L44" i="8"/>
  <c r="B262" i="8"/>
  <c r="M431" i="8"/>
  <c r="M265" i="8"/>
  <c r="L133" i="8"/>
  <c r="A296" i="8"/>
  <c r="A90" i="8"/>
  <c r="B296" i="8"/>
  <c r="A471" i="8"/>
  <c r="M257" i="8"/>
  <c r="M436" i="8"/>
  <c r="M42" i="8"/>
  <c r="B288" i="8"/>
  <c r="A168" i="8"/>
  <c r="L105" i="8"/>
  <c r="B56" i="8"/>
  <c r="B127" i="8"/>
  <c r="M351" i="8"/>
  <c r="M262" i="8"/>
  <c r="B437" i="8"/>
  <c r="A300" i="8"/>
  <c r="A425" i="8"/>
  <c r="L244" i="8"/>
  <c r="A122" i="8"/>
  <c r="M300" i="8"/>
  <c r="B138" i="8"/>
  <c r="L228" i="8"/>
  <c r="L458" i="8"/>
  <c r="B54" i="8"/>
  <c r="B86" i="8"/>
  <c r="A211" i="8"/>
  <c r="M373" i="8"/>
  <c r="B312" i="8"/>
  <c r="A449" i="8"/>
  <c r="L60" i="8"/>
  <c r="B416" i="8"/>
  <c r="B325" i="8"/>
  <c r="A490" i="8"/>
  <c r="M424" i="8"/>
  <c r="B99" i="8"/>
  <c r="L351" i="8"/>
  <c r="L510" i="8"/>
  <c r="B292" i="8"/>
  <c r="B481" i="8"/>
  <c r="M139" i="8"/>
  <c r="M231" i="8"/>
  <c r="A493" i="8"/>
  <c r="B61" i="8"/>
  <c r="B461" i="8"/>
  <c r="B255" i="8"/>
  <c r="A86" i="8"/>
  <c r="A372" i="8"/>
  <c r="L213" i="8"/>
  <c r="L257" i="8"/>
  <c r="B443" i="8"/>
  <c r="M488" i="8"/>
  <c r="M166" i="8"/>
  <c r="A187" i="8"/>
  <c r="B192" i="8"/>
  <c r="B259" i="8"/>
  <c r="M445" i="8"/>
  <c r="L55" i="8"/>
  <c r="B500" i="8"/>
  <c r="A198" i="8"/>
  <c r="M314" i="8"/>
  <c r="L227" i="8"/>
  <c r="B467" i="8"/>
  <c r="B74" i="8"/>
  <c r="L96" i="8"/>
  <c r="A103" i="8"/>
  <c r="A264" i="8"/>
  <c r="M90" i="8"/>
  <c r="L303" i="8"/>
  <c r="M245" i="8"/>
  <c r="M133" i="8"/>
  <c r="M508" i="8"/>
  <c r="L148" i="8"/>
  <c r="B136" i="8"/>
  <c r="B205" i="8"/>
  <c r="L131" i="8"/>
  <c r="L89" i="8"/>
  <c r="B116" i="8"/>
  <c r="M215" i="8"/>
  <c r="M132" i="8"/>
  <c r="M368" i="8"/>
  <c r="A477" i="8"/>
  <c r="L51" i="8"/>
  <c r="B60" i="8"/>
  <c r="L266" i="8"/>
  <c r="M405" i="8"/>
  <c r="A82" i="8"/>
  <c r="L258" i="8"/>
  <c r="A111" i="8"/>
  <c r="B326" i="8"/>
  <c r="M3" i="8" l="1"/>
  <c r="B3" i="8"/>
  <c r="B4" i="8"/>
  <c r="M4" i="8"/>
  <c r="M10" i="8"/>
  <c r="M15" i="8"/>
  <c r="B13" i="8"/>
  <c r="B6" i="8"/>
  <c r="M8" i="8"/>
  <c r="B18" i="8"/>
  <c r="O4" i="8"/>
  <c r="B14" i="8"/>
  <c r="B10" i="8"/>
  <c r="M14" i="8"/>
  <c r="B8" i="8"/>
  <c r="M7" i="8"/>
  <c r="Q4" i="8"/>
  <c r="M18" i="8"/>
  <c r="M12" i="8"/>
  <c r="B9" i="8"/>
  <c r="M5" i="8"/>
  <c r="M9" i="8"/>
  <c r="B5" i="8"/>
  <c r="M11" i="8"/>
  <c r="M6" i="8"/>
  <c r="F4" i="8"/>
  <c r="B11" i="8"/>
  <c r="M13" i="8"/>
  <c r="B7" i="8"/>
  <c r="B15" i="8"/>
  <c r="D4" i="8"/>
  <c r="B12" i="8"/>
  <c r="D6" i="8" l="1"/>
  <c r="D7" i="8" s="1"/>
  <c r="H4" i="8"/>
  <c r="H6" i="8" s="1"/>
  <c r="H7" i="8" s="1"/>
  <c r="I4" i="8"/>
  <c r="I6" i="8" s="1"/>
  <c r="I7" i="8" s="1"/>
  <c r="G4" i="8"/>
  <c r="G6" i="8" s="1"/>
  <c r="G7" i="8" s="1"/>
  <c r="F6" i="8"/>
  <c r="F7" i="8" s="1"/>
  <c r="R4" i="8"/>
  <c r="R6" i="8" s="1"/>
  <c r="R7" i="8" s="1"/>
  <c r="S4" i="8"/>
  <c r="S6" i="8" s="1"/>
  <c r="S7" i="8" s="1"/>
  <c r="T4" i="8"/>
  <c r="T6" i="8" s="1"/>
  <c r="T7" i="8" s="1"/>
  <c r="E4" i="8"/>
  <c r="E6" i="8" s="1"/>
  <c r="E7" i="8" s="1"/>
  <c r="P4" i="8"/>
  <c r="P6" i="8" s="1"/>
  <c r="P7" i="8" s="1"/>
  <c r="M19" i="8"/>
  <c r="Q6" i="8"/>
  <c r="Q7" i="8" s="1"/>
  <c r="B16" i="8"/>
  <c r="C16" i="8"/>
  <c r="B17" i="8" s="1"/>
  <c r="D22" i="8" s="1"/>
  <c r="O6" i="8"/>
  <c r="O7" i="8" s="1"/>
  <c r="B19" i="8"/>
  <c r="N16" i="8"/>
  <c r="M17" i="8" s="1"/>
  <c r="O22" i="8" s="1"/>
  <c r="M16" i="8"/>
  <c r="F22" i="8" l="1"/>
  <c r="E21" i="8"/>
  <c r="G22" i="8"/>
  <c r="B20" i="8"/>
  <c r="H21" i="8" s="1"/>
  <c r="M20" i="8"/>
  <c r="S22" i="8" s="1"/>
  <c r="N6" i="8" s="1"/>
  <c r="R22" i="8"/>
  <c r="Q22" i="8"/>
  <c r="P21" i="8"/>
  <c r="O23" i="8" l="1"/>
  <c r="D21" i="8"/>
  <c r="F21" i="8" s="1"/>
  <c r="O21" i="8"/>
  <c r="Q21" i="8" s="1"/>
  <c r="H22" i="8"/>
  <c r="C6" i="8" s="1"/>
  <c r="S21" i="8"/>
  <c r="P22" i="8"/>
  <c r="D23" i="8"/>
  <c r="E22" i="8"/>
  <c r="E23" i="8" l="1"/>
  <c r="C23" i="8"/>
  <c r="F23" i="8"/>
  <c r="D24" i="8" s="1"/>
  <c r="G23" i="8"/>
  <c r="P23" i="8"/>
  <c r="N23" i="8"/>
  <c r="R23" i="8"/>
  <c r="Q23" i="8"/>
  <c r="O24" i="8" s="1"/>
  <c r="I22" i="8"/>
  <c r="T22" i="8"/>
  <c r="E24" i="8" l="1"/>
  <c r="F24" i="8"/>
  <c r="D25" i="8" s="1"/>
  <c r="C24" i="8"/>
  <c r="G24" i="8"/>
  <c r="H23" i="8"/>
  <c r="I23" i="8"/>
  <c r="R24" i="8"/>
  <c r="P24" i="8"/>
  <c r="Q24" i="8"/>
  <c r="O25" i="8" s="1"/>
  <c r="N24" i="8"/>
  <c r="S23" i="8"/>
  <c r="T23" i="8"/>
  <c r="I24" i="8" l="1"/>
  <c r="H24" i="8"/>
  <c r="G25" i="8"/>
  <c r="C25" i="8"/>
  <c r="E25" i="8"/>
  <c r="F25" i="8"/>
  <c r="D26" i="8" s="1"/>
  <c r="S24" i="8"/>
  <c r="T24" i="8"/>
  <c r="N25" i="8"/>
  <c r="R25" i="8"/>
  <c r="P25" i="8"/>
  <c r="Q25" i="8"/>
  <c r="O26" i="8" s="1"/>
  <c r="Q26" i="8" l="1"/>
  <c r="O27" i="8" s="1"/>
  <c r="P26" i="8"/>
  <c r="R26" i="8"/>
  <c r="N26" i="8"/>
  <c r="E26" i="8"/>
  <c r="G26" i="8"/>
  <c r="F26" i="8"/>
  <c r="D27" i="8" s="1"/>
  <c r="C26" i="8"/>
  <c r="I25" i="8"/>
  <c r="H25" i="8"/>
  <c r="S25" i="8"/>
  <c r="T25" i="8"/>
  <c r="H26" i="8" l="1"/>
  <c r="I26" i="8"/>
  <c r="T26" i="8"/>
  <c r="S26" i="8"/>
  <c r="E27" i="8"/>
  <c r="G27" i="8"/>
  <c r="C27" i="8"/>
  <c r="F27" i="8"/>
  <c r="D28" i="8" s="1"/>
  <c r="R27" i="8"/>
  <c r="N27" i="8"/>
  <c r="Q27" i="8"/>
  <c r="O28" i="8" s="1"/>
  <c r="P27" i="8"/>
  <c r="F28" i="8" l="1"/>
  <c r="D29" i="8" s="1"/>
  <c r="E28" i="8"/>
  <c r="G28" i="8"/>
  <c r="C28" i="8"/>
  <c r="Q28" i="8"/>
  <c r="O29" i="8" s="1"/>
  <c r="N28" i="8"/>
  <c r="P28" i="8"/>
  <c r="R28" i="8"/>
  <c r="S27" i="8"/>
  <c r="T27" i="8"/>
  <c r="I27" i="8"/>
  <c r="H27" i="8"/>
  <c r="R29" i="8" l="1"/>
  <c r="N29" i="8"/>
  <c r="Q29" i="8"/>
  <c r="O30" i="8" s="1"/>
  <c r="P29" i="8"/>
  <c r="I28" i="8"/>
  <c r="H28" i="8"/>
  <c r="T28" i="8"/>
  <c r="S28" i="8"/>
  <c r="E29" i="8"/>
  <c r="C29" i="8"/>
  <c r="G29" i="8"/>
  <c r="F29" i="8"/>
  <c r="D30" i="8" s="1"/>
  <c r="F30" i="8" l="1"/>
  <c r="D31" i="8" s="1"/>
  <c r="E30" i="8"/>
  <c r="G30" i="8"/>
  <c r="C30" i="8"/>
  <c r="R30" i="8"/>
  <c r="P30" i="8"/>
  <c r="Q30" i="8"/>
  <c r="O31" i="8" s="1"/>
  <c r="N30" i="8"/>
  <c r="I29" i="8"/>
  <c r="H29" i="8"/>
  <c r="T29" i="8"/>
  <c r="S29" i="8"/>
  <c r="S30" i="8" l="1"/>
  <c r="T30" i="8"/>
  <c r="N31" i="8"/>
  <c r="Q31" i="8"/>
  <c r="O32" i="8" s="1"/>
  <c r="P31" i="8"/>
  <c r="R31" i="8"/>
  <c r="H30" i="8"/>
  <c r="I30" i="8"/>
  <c r="E31" i="8"/>
  <c r="G31" i="8"/>
  <c r="C31" i="8"/>
  <c r="F31" i="8"/>
  <c r="D32" i="8" s="1"/>
  <c r="H31" i="8" l="1"/>
  <c r="I31" i="8"/>
  <c r="Q32" i="8"/>
  <c r="O33" i="8" s="1"/>
  <c r="R32" i="8"/>
  <c r="N32" i="8"/>
  <c r="P32" i="8"/>
  <c r="C32" i="8"/>
  <c r="G32" i="8"/>
  <c r="E32" i="8"/>
  <c r="F32" i="8"/>
  <c r="D33" i="8" s="1"/>
  <c r="T31" i="8"/>
  <c r="S31" i="8"/>
  <c r="P33" i="8" l="1"/>
  <c r="Q33" i="8"/>
  <c r="O34" i="8" s="1"/>
  <c r="R33" i="8"/>
  <c r="N33" i="8"/>
  <c r="H32" i="8"/>
  <c r="I32" i="8"/>
  <c r="S32" i="8"/>
  <c r="T32" i="8"/>
  <c r="F33" i="8"/>
  <c r="D34" i="8" s="1"/>
  <c r="G33" i="8"/>
  <c r="C33" i="8"/>
  <c r="E33" i="8"/>
  <c r="H33" i="8" l="1"/>
  <c r="I33" i="8"/>
  <c r="N34" i="8"/>
  <c r="Q34" i="8"/>
  <c r="O35" i="8" s="1"/>
  <c r="P34" i="8"/>
  <c r="R34" i="8"/>
  <c r="T33" i="8"/>
  <c r="S33" i="8"/>
  <c r="F34" i="8"/>
  <c r="D35" i="8" s="1"/>
  <c r="E34" i="8"/>
  <c r="C34" i="8"/>
  <c r="G34" i="8"/>
  <c r="R35" i="8" l="1"/>
  <c r="N35" i="8"/>
  <c r="P35" i="8"/>
  <c r="Q35" i="8"/>
  <c r="O36" i="8" s="1"/>
  <c r="I34" i="8"/>
  <c r="H34" i="8"/>
  <c r="S34" i="8"/>
  <c r="T34" i="8"/>
  <c r="G35" i="8"/>
  <c r="E35" i="8"/>
  <c r="C35" i="8"/>
  <c r="F35" i="8"/>
  <c r="D36" i="8" s="1"/>
  <c r="G36" i="8" l="1"/>
  <c r="E36" i="8"/>
  <c r="F36" i="8"/>
  <c r="D37" i="8" s="1"/>
  <c r="C36" i="8"/>
  <c r="H35" i="8"/>
  <c r="I35" i="8"/>
  <c r="S35" i="8"/>
  <c r="T35" i="8"/>
  <c r="Q36" i="8"/>
  <c r="O37" i="8" s="1"/>
  <c r="P36" i="8"/>
  <c r="N36" i="8"/>
  <c r="R36" i="8"/>
  <c r="C37" i="8" l="1"/>
  <c r="F37" i="8"/>
  <c r="D38" i="8" s="1"/>
  <c r="E37" i="8"/>
  <c r="G37" i="8"/>
  <c r="I36" i="8"/>
  <c r="H36" i="8"/>
  <c r="S36" i="8"/>
  <c r="T36" i="8"/>
  <c r="Q37" i="8"/>
  <c r="O38" i="8" s="1"/>
  <c r="P37" i="8"/>
  <c r="N37" i="8"/>
  <c r="R37" i="8"/>
  <c r="G38" i="8" l="1"/>
  <c r="C38" i="8"/>
  <c r="E38" i="8"/>
  <c r="F38" i="8"/>
  <c r="D39" i="8" s="1"/>
  <c r="S37" i="8"/>
  <c r="T37" i="8"/>
  <c r="Q38" i="8"/>
  <c r="O39" i="8" s="1"/>
  <c r="P38" i="8"/>
  <c r="N38" i="8"/>
  <c r="R38" i="8"/>
  <c r="H37" i="8"/>
  <c r="I37" i="8"/>
  <c r="E39" i="8" l="1"/>
  <c r="F39" i="8"/>
  <c r="D40" i="8" s="1"/>
  <c r="C39" i="8"/>
  <c r="G39" i="8"/>
  <c r="H38" i="8"/>
  <c r="I38" i="8"/>
  <c r="Q39" i="8"/>
  <c r="O40" i="8" s="1"/>
  <c r="N39" i="8"/>
  <c r="R39" i="8"/>
  <c r="P39" i="8"/>
  <c r="T38" i="8"/>
  <c r="S38" i="8"/>
  <c r="S39" i="8" l="1"/>
  <c r="T39" i="8"/>
  <c r="R40" i="8"/>
  <c r="P40" i="8"/>
  <c r="Q40" i="8"/>
  <c r="O41" i="8" s="1"/>
  <c r="N40" i="8"/>
  <c r="H39" i="8"/>
  <c r="I39" i="8"/>
  <c r="E40" i="8"/>
  <c r="G40" i="8"/>
  <c r="F40" i="8"/>
  <c r="D41" i="8" s="1"/>
  <c r="C40" i="8"/>
  <c r="T40" i="8" l="1"/>
  <c r="S40" i="8"/>
  <c r="H40" i="8"/>
  <c r="I40" i="8"/>
  <c r="N41" i="8"/>
  <c r="R41" i="8"/>
  <c r="P41" i="8"/>
  <c r="Q41" i="8"/>
  <c r="O42" i="8" s="1"/>
  <c r="E41" i="8"/>
  <c r="G41" i="8"/>
  <c r="C41" i="8"/>
  <c r="F41" i="8"/>
  <c r="D42" i="8" s="1"/>
  <c r="P42" i="8" l="1"/>
  <c r="N42" i="8"/>
  <c r="Q42" i="8"/>
  <c r="O43" i="8" s="1"/>
  <c r="R42" i="8"/>
  <c r="I41" i="8"/>
  <c r="H41" i="8"/>
  <c r="E42" i="8"/>
  <c r="F42" i="8"/>
  <c r="D43" i="8" s="1"/>
  <c r="G42" i="8"/>
  <c r="C42" i="8"/>
  <c r="S41" i="8"/>
  <c r="T41" i="8"/>
  <c r="F43" i="8" l="1"/>
  <c r="D44" i="8" s="1"/>
  <c r="E43" i="8"/>
  <c r="C43" i="8"/>
  <c r="G43" i="8"/>
  <c r="H42" i="8"/>
  <c r="I42" i="8"/>
  <c r="S42" i="8"/>
  <c r="T42" i="8"/>
  <c r="N43" i="8"/>
  <c r="P43" i="8"/>
  <c r="R43" i="8"/>
  <c r="Q43" i="8"/>
  <c r="O44" i="8" s="1"/>
  <c r="I43" i="8" l="1"/>
  <c r="H43" i="8"/>
  <c r="P44" i="8"/>
  <c r="Q44" i="8"/>
  <c r="O45" i="8" s="1"/>
  <c r="R44" i="8"/>
  <c r="N44" i="8"/>
  <c r="S43" i="8"/>
  <c r="T43" i="8"/>
  <c r="C44" i="8"/>
  <c r="E44" i="8"/>
  <c r="G44" i="8"/>
  <c r="F44" i="8"/>
  <c r="D45" i="8" s="1"/>
  <c r="Q45" i="8" l="1"/>
  <c r="O46" i="8" s="1"/>
  <c r="N45" i="8"/>
  <c r="P45" i="8"/>
  <c r="R45" i="8"/>
  <c r="S44" i="8"/>
  <c r="T44" i="8"/>
  <c r="C45" i="8"/>
  <c r="F45" i="8"/>
  <c r="D46" i="8" s="1"/>
  <c r="E45" i="8"/>
  <c r="G45" i="8"/>
  <c r="I44" i="8"/>
  <c r="H44" i="8"/>
  <c r="I45" i="8" l="1"/>
  <c r="H45" i="8"/>
  <c r="G46" i="8"/>
  <c r="E46" i="8"/>
  <c r="F46" i="8"/>
  <c r="D47" i="8" s="1"/>
  <c r="C46" i="8"/>
  <c r="T45" i="8"/>
  <c r="S45" i="8"/>
  <c r="R46" i="8"/>
  <c r="N46" i="8"/>
  <c r="P46" i="8"/>
  <c r="Q46" i="8"/>
  <c r="O47" i="8" s="1"/>
  <c r="I46" i="8" l="1"/>
  <c r="H46" i="8"/>
  <c r="Q47" i="8"/>
  <c r="O48" i="8" s="1"/>
  <c r="P47" i="8"/>
  <c r="N47" i="8"/>
  <c r="R47" i="8"/>
  <c r="E47" i="8"/>
  <c r="G47" i="8"/>
  <c r="C47" i="8"/>
  <c r="F47" i="8"/>
  <c r="D48" i="8" s="1"/>
  <c r="S46" i="8"/>
  <c r="T46" i="8"/>
  <c r="N48" i="8" l="1"/>
  <c r="Q48" i="8"/>
  <c r="O49" i="8" s="1"/>
  <c r="R48" i="8"/>
  <c r="P48" i="8"/>
  <c r="S47" i="8"/>
  <c r="T47" i="8"/>
  <c r="C48" i="8"/>
  <c r="E48" i="8"/>
  <c r="G48" i="8"/>
  <c r="F48" i="8"/>
  <c r="D49" i="8" s="1"/>
  <c r="I47" i="8"/>
  <c r="H47" i="8"/>
  <c r="P49" i="8" l="1"/>
  <c r="Q49" i="8"/>
  <c r="O50" i="8" s="1"/>
  <c r="R49" i="8"/>
  <c r="N49" i="8"/>
  <c r="I48" i="8"/>
  <c r="H48" i="8"/>
  <c r="F49" i="8"/>
  <c r="D50" i="8" s="1"/>
  <c r="C49" i="8"/>
  <c r="E49" i="8"/>
  <c r="G49" i="8"/>
  <c r="T48" i="8"/>
  <c r="S48" i="8"/>
  <c r="H49" i="8" l="1"/>
  <c r="I49" i="8"/>
  <c r="Q50" i="8"/>
  <c r="O51" i="8" s="1"/>
  <c r="P50" i="8"/>
  <c r="R50" i="8"/>
  <c r="N50" i="8"/>
  <c r="F50" i="8"/>
  <c r="D51" i="8" s="1"/>
  <c r="E50" i="8"/>
  <c r="C50" i="8"/>
  <c r="G50" i="8"/>
  <c r="T49" i="8"/>
  <c r="S49" i="8"/>
  <c r="G51" i="8" l="1"/>
  <c r="E51" i="8"/>
  <c r="F51" i="8"/>
  <c r="D52" i="8" s="1"/>
  <c r="C51" i="8"/>
  <c r="S50" i="8"/>
  <c r="T50" i="8"/>
  <c r="P51" i="8"/>
  <c r="Q51" i="8"/>
  <c r="O52" i="8" s="1"/>
  <c r="R51" i="8"/>
  <c r="N51" i="8"/>
  <c r="H50" i="8"/>
  <c r="I50" i="8"/>
  <c r="E52" i="8" l="1"/>
  <c r="G52" i="8"/>
  <c r="F52" i="8"/>
  <c r="D53" i="8" s="1"/>
  <c r="C52" i="8"/>
  <c r="P52" i="8"/>
  <c r="R52" i="8"/>
  <c r="N52" i="8"/>
  <c r="Q52" i="8"/>
  <c r="O53" i="8" s="1"/>
  <c r="I51" i="8"/>
  <c r="H51" i="8"/>
  <c r="S51" i="8"/>
  <c r="T51" i="8"/>
  <c r="P53" i="8" l="1"/>
  <c r="N53" i="8"/>
  <c r="Q53" i="8"/>
  <c r="O54" i="8" s="1"/>
  <c r="R53" i="8"/>
  <c r="E53" i="8"/>
  <c r="C53" i="8"/>
  <c r="F53" i="8"/>
  <c r="D54" i="8" s="1"/>
  <c r="G53" i="8"/>
  <c r="S52" i="8"/>
  <c r="T52" i="8"/>
  <c r="I52" i="8"/>
  <c r="H52" i="8"/>
  <c r="Q54" i="8" l="1"/>
  <c r="O55" i="8" s="1"/>
  <c r="P54" i="8"/>
  <c r="R54" i="8"/>
  <c r="N54" i="8"/>
  <c r="S53" i="8"/>
  <c r="T53" i="8"/>
  <c r="C54" i="8"/>
  <c r="F54" i="8"/>
  <c r="D55" i="8" s="1"/>
  <c r="G54" i="8"/>
  <c r="E54" i="8"/>
  <c r="H53" i="8"/>
  <c r="I53" i="8"/>
  <c r="C55" i="8" l="1"/>
  <c r="F55" i="8"/>
  <c r="D56" i="8" s="1"/>
  <c r="G55" i="8"/>
  <c r="E55" i="8"/>
  <c r="H54" i="8"/>
  <c r="I54" i="8"/>
  <c r="S54" i="8"/>
  <c r="T54" i="8"/>
  <c r="R55" i="8"/>
  <c r="N55" i="8"/>
  <c r="P55" i="8"/>
  <c r="Q55" i="8"/>
  <c r="O56" i="8" s="1"/>
  <c r="R56" i="8" l="1"/>
  <c r="Q56" i="8"/>
  <c r="O57" i="8" s="1"/>
  <c r="P56" i="8"/>
  <c r="N56" i="8"/>
  <c r="G56" i="8"/>
  <c r="F56" i="8"/>
  <c r="D57" i="8" s="1"/>
  <c r="E56" i="8"/>
  <c r="C56" i="8"/>
  <c r="S55" i="8"/>
  <c r="T55" i="8"/>
  <c r="I55" i="8"/>
  <c r="H55" i="8"/>
  <c r="C57" i="8" l="1"/>
  <c r="F57" i="8"/>
  <c r="D58" i="8" s="1"/>
  <c r="E57" i="8"/>
  <c r="G57" i="8"/>
  <c r="R57" i="8"/>
  <c r="P57" i="8"/>
  <c r="Q57" i="8"/>
  <c r="O58" i="8" s="1"/>
  <c r="N57" i="8"/>
  <c r="I56" i="8"/>
  <c r="H56" i="8"/>
  <c r="T56" i="8"/>
  <c r="S56" i="8"/>
  <c r="P58" i="8" l="1"/>
  <c r="Q58" i="8"/>
  <c r="O59" i="8" s="1"/>
  <c r="R58" i="8"/>
  <c r="N58" i="8"/>
  <c r="E58" i="8"/>
  <c r="F58" i="8"/>
  <c r="D59" i="8" s="1"/>
  <c r="G58" i="8"/>
  <c r="C58" i="8"/>
  <c r="T57" i="8"/>
  <c r="S57" i="8"/>
  <c r="H57" i="8"/>
  <c r="I57" i="8"/>
  <c r="I58" i="8" l="1"/>
  <c r="H58" i="8"/>
  <c r="Q59" i="8"/>
  <c r="O60" i="8" s="1"/>
  <c r="R59" i="8"/>
  <c r="P59" i="8"/>
  <c r="N59" i="8"/>
  <c r="E59" i="8"/>
  <c r="F59" i="8"/>
  <c r="D60" i="8" s="1"/>
  <c r="C59" i="8"/>
  <c r="G59" i="8"/>
  <c r="T58" i="8"/>
  <c r="S58" i="8"/>
  <c r="P60" i="8" l="1"/>
  <c r="Q60" i="8"/>
  <c r="O61" i="8" s="1"/>
  <c r="R60" i="8"/>
  <c r="N60" i="8"/>
  <c r="C60" i="8"/>
  <c r="F60" i="8"/>
  <c r="D61" i="8" s="1"/>
  <c r="G60" i="8"/>
  <c r="E60" i="8"/>
  <c r="T59" i="8"/>
  <c r="S59" i="8"/>
  <c r="H59" i="8"/>
  <c r="I59" i="8"/>
  <c r="E61" i="8" l="1"/>
  <c r="C61" i="8"/>
  <c r="F61" i="8"/>
  <c r="D62" i="8" s="1"/>
  <c r="G61" i="8"/>
  <c r="I60" i="8"/>
  <c r="H60" i="8"/>
  <c r="T60" i="8"/>
  <c r="S60" i="8"/>
  <c r="Q61" i="8"/>
  <c r="O62" i="8" s="1"/>
  <c r="N61" i="8"/>
  <c r="R61" i="8"/>
  <c r="P61" i="8"/>
  <c r="I61" i="8" l="1"/>
  <c r="H61" i="8"/>
  <c r="E62" i="8"/>
  <c r="C62" i="8"/>
  <c r="F62" i="8"/>
  <c r="D63" i="8" s="1"/>
  <c r="G62" i="8"/>
  <c r="S61" i="8"/>
  <c r="T61" i="8"/>
  <c r="N62" i="8"/>
  <c r="P62" i="8"/>
  <c r="Q62" i="8"/>
  <c r="O63" i="8" s="1"/>
  <c r="R62" i="8"/>
  <c r="Q63" i="8" l="1"/>
  <c r="O64" i="8" s="1"/>
  <c r="R63" i="8"/>
  <c r="P63" i="8"/>
  <c r="N63" i="8"/>
  <c r="G63" i="8"/>
  <c r="F63" i="8"/>
  <c r="D64" i="8" s="1"/>
  <c r="E63" i="8"/>
  <c r="C63" i="8"/>
  <c r="I62" i="8"/>
  <c r="H62" i="8"/>
  <c r="S62" i="8"/>
  <c r="T62" i="8"/>
  <c r="E64" i="8" l="1"/>
  <c r="F64" i="8"/>
  <c r="D65" i="8" s="1"/>
  <c r="C64" i="8"/>
  <c r="G64" i="8"/>
  <c r="T63" i="8"/>
  <c r="S63" i="8"/>
  <c r="I63" i="8"/>
  <c r="H63" i="8"/>
  <c r="Q64" i="8"/>
  <c r="O65" i="8" s="1"/>
  <c r="R64" i="8"/>
  <c r="N64" i="8"/>
  <c r="P64" i="8"/>
  <c r="S64" i="8" l="1"/>
  <c r="T64" i="8"/>
  <c r="I64" i="8"/>
  <c r="H64" i="8"/>
  <c r="E65" i="8"/>
  <c r="C65" i="8"/>
  <c r="G65" i="8"/>
  <c r="F65" i="8"/>
  <c r="D66" i="8" s="1"/>
  <c r="Q65" i="8"/>
  <c r="O66" i="8" s="1"/>
  <c r="N65" i="8"/>
  <c r="P65" i="8"/>
  <c r="R65" i="8"/>
  <c r="C66" i="8" l="1"/>
  <c r="G66" i="8"/>
  <c r="F66" i="8"/>
  <c r="D67" i="8" s="1"/>
  <c r="E66" i="8"/>
  <c r="I65" i="8"/>
  <c r="H65" i="8"/>
  <c r="S65" i="8"/>
  <c r="T65" i="8"/>
  <c r="R66" i="8"/>
  <c r="Q66" i="8"/>
  <c r="O67" i="8" s="1"/>
  <c r="P66" i="8"/>
  <c r="N66" i="8"/>
  <c r="G67" i="8" l="1"/>
  <c r="E67" i="8"/>
  <c r="C67" i="8"/>
  <c r="F67" i="8"/>
  <c r="D68" i="8" s="1"/>
  <c r="S66" i="8"/>
  <c r="T66" i="8"/>
  <c r="P67" i="8"/>
  <c r="Q67" i="8"/>
  <c r="O68" i="8" s="1"/>
  <c r="R67" i="8"/>
  <c r="N67" i="8"/>
  <c r="I66" i="8"/>
  <c r="H66" i="8"/>
  <c r="H67" i="8" l="1"/>
  <c r="I67" i="8"/>
  <c r="C68" i="8"/>
  <c r="E68" i="8"/>
  <c r="F68" i="8"/>
  <c r="D69" i="8" s="1"/>
  <c r="G68" i="8"/>
  <c r="P68" i="8"/>
  <c r="R68" i="8"/>
  <c r="N68" i="8"/>
  <c r="Q68" i="8"/>
  <c r="O69" i="8" s="1"/>
  <c r="S67" i="8"/>
  <c r="T67" i="8"/>
  <c r="H68" i="8" l="1"/>
  <c r="I68" i="8"/>
  <c r="E69" i="8"/>
  <c r="C69" i="8"/>
  <c r="F69" i="8"/>
  <c r="D70" i="8" s="1"/>
  <c r="G69" i="8"/>
  <c r="P69" i="8"/>
  <c r="N69" i="8"/>
  <c r="R69" i="8"/>
  <c r="Q69" i="8"/>
  <c r="O70" i="8" s="1"/>
  <c r="S68" i="8"/>
  <c r="T68" i="8"/>
  <c r="T69" i="8" l="1"/>
  <c r="S69" i="8"/>
  <c r="H69" i="8"/>
  <c r="I69" i="8"/>
  <c r="E70" i="8"/>
  <c r="C70" i="8"/>
  <c r="F70" i="8"/>
  <c r="D71" i="8" s="1"/>
  <c r="G70" i="8"/>
  <c r="N70" i="8"/>
  <c r="Q70" i="8"/>
  <c r="O71" i="8" s="1"/>
  <c r="R70" i="8"/>
  <c r="P70" i="8"/>
  <c r="H70" i="8" l="1"/>
  <c r="I70" i="8"/>
  <c r="Q71" i="8"/>
  <c r="O72" i="8" s="1"/>
  <c r="R71" i="8"/>
  <c r="P71" i="8"/>
  <c r="N71" i="8"/>
  <c r="G71" i="8"/>
  <c r="C71" i="8"/>
  <c r="E71" i="8"/>
  <c r="F71" i="8"/>
  <c r="D72" i="8" s="1"/>
  <c r="S70" i="8"/>
  <c r="T70" i="8"/>
  <c r="H71" i="8" l="1"/>
  <c r="I71" i="8"/>
  <c r="T71" i="8"/>
  <c r="S71" i="8"/>
  <c r="R72" i="8"/>
  <c r="N72" i="8"/>
  <c r="Q72" i="8"/>
  <c r="O73" i="8" s="1"/>
  <c r="P72" i="8"/>
  <c r="G72" i="8"/>
  <c r="F72" i="8"/>
  <c r="D73" i="8" s="1"/>
  <c r="E72" i="8"/>
  <c r="C72" i="8"/>
  <c r="H72" i="8" l="1"/>
  <c r="I72" i="8"/>
  <c r="S72" i="8"/>
  <c r="T72" i="8"/>
  <c r="Q73" i="8"/>
  <c r="O74" i="8" s="1"/>
  <c r="N73" i="8"/>
  <c r="P73" i="8"/>
  <c r="R73" i="8"/>
  <c r="C73" i="8"/>
  <c r="F73" i="8"/>
  <c r="D74" i="8" s="1"/>
  <c r="G73" i="8"/>
  <c r="E73" i="8"/>
  <c r="S73" i="8" l="1"/>
  <c r="T73" i="8"/>
  <c r="R74" i="8"/>
  <c r="N74" i="8"/>
  <c r="Q74" i="8"/>
  <c r="O75" i="8" s="1"/>
  <c r="P74" i="8"/>
  <c r="E74" i="8"/>
  <c r="G74" i="8"/>
  <c r="C74" i="8"/>
  <c r="F74" i="8"/>
  <c r="D75" i="8" s="1"/>
  <c r="H73" i="8"/>
  <c r="I73" i="8"/>
  <c r="P75" i="8" l="1"/>
  <c r="R75" i="8"/>
  <c r="N75" i="8"/>
  <c r="Q75" i="8"/>
  <c r="O76" i="8" s="1"/>
  <c r="E75" i="8"/>
  <c r="F75" i="8"/>
  <c r="D76" i="8" s="1"/>
  <c r="G75" i="8"/>
  <c r="C75" i="8"/>
  <c r="T74" i="8"/>
  <c r="S74" i="8"/>
  <c r="H74" i="8"/>
  <c r="I74" i="8"/>
  <c r="C76" i="8" l="1"/>
  <c r="G76" i="8"/>
  <c r="E76" i="8"/>
  <c r="F76" i="8"/>
  <c r="D77" i="8" s="1"/>
  <c r="H75" i="8"/>
  <c r="I75" i="8"/>
  <c r="R76" i="8"/>
  <c r="N76" i="8"/>
  <c r="P76" i="8"/>
  <c r="Q76" i="8"/>
  <c r="O77" i="8" s="1"/>
  <c r="S75" i="8"/>
  <c r="T75" i="8"/>
  <c r="S76" i="8" l="1"/>
  <c r="T76" i="8"/>
  <c r="F77" i="8"/>
  <c r="D78" i="8" s="1"/>
  <c r="G77" i="8"/>
  <c r="C77" i="8"/>
  <c r="E77" i="8"/>
  <c r="Q77" i="8"/>
  <c r="O78" i="8" s="1"/>
  <c r="P77" i="8"/>
  <c r="R77" i="8"/>
  <c r="N77" i="8"/>
  <c r="I76" i="8"/>
  <c r="H76" i="8"/>
  <c r="R78" i="8" l="1"/>
  <c r="Q78" i="8"/>
  <c r="O79" i="8" s="1"/>
  <c r="P78" i="8"/>
  <c r="N78" i="8"/>
  <c r="C78" i="8"/>
  <c r="G78" i="8"/>
  <c r="E78" i="8"/>
  <c r="F78" i="8"/>
  <c r="D79" i="8" s="1"/>
  <c r="S77" i="8"/>
  <c r="T77" i="8"/>
  <c r="I77" i="8"/>
  <c r="H77" i="8"/>
  <c r="H78" i="8" l="1"/>
  <c r="I78" i="8"/>
  <c r="N79" i="8"/>
  <c r="Q79" i="8"/>
  <c r="O80" i="8" s="1"/>
  <c r="R79" i="8"/>
  <c r="P79" i="8"/>
  <c r="F79" i="8"/>
  <c r="D80" i="8" s="1"/>
  <c r="C79" i="8"/>
  <c r="E79" i="8"/>
  <c r="G79" i="8"/>
  <c r="T78" i="8"/>
  <c r="S78" i="8"/>
  <c r="C80" i="8" l="1"/>
  <c r="F80" i="8"/>
  <c r="D81" i="8" s="1"/>
  <c r="G80" i="8"/>
  <c r="E80" i="8"/>
  <c r="I79" i="8"/>
  <c r="H79" i="8"/>
  <c r="T79" i="8"/>
  <c r="S79" i="8"/>
  <c r="N80" i="8"/>
  <c r="Q80" i="8"/>
  <c r="O81" i="8" s="1"/>
  <c r="P80" i="8"/>
  <c r="R80" i="8"/>
  <c r="C81" i="8" l="1"/>
  <c r="F81" i="8"/>
  <c r="D82" i="8" s="1"/>
  <c r="E81" i="8"/>
  <c r="G81" i="8"/>
  <c r="N81" i="8"/>
  <c r="Q81" i="8"/>
  <c r="O82" i="8" s="1"/>
  <c r="R81" i="8"/>
  <c r="P81" i="8"/>
  <c r="S80" i="8"/>
  <c r="T80" i="8"/>
  <c r="I80" i="8"/>
  <c r="H80" i="8"/>
  <c r="T81" i="8" l="1"/>
  <c r="S81" i="8"/>
  <c r="P82" i="8"/>
  <c r="R82" i="8"/>
  <c r="Q82" i="8"/>
  <c r="O83" i="8" s="1"/>
  <c r="N82" i="8"/>
  <c r="F82" i="8"/>
  <c r="D83" i="8" s="1"/>
  <c r="E82" i="8"/>
  <c r="C82" i="8"/>
  <c r="G82" i="8"/>
  <c r="H81" i="8"/>
  <c r="I81" i="8"/>
  <c r="T82" i="8" l="1"/>
  <c r="S82" i="8"/>
  <c r="E83" i="8"/>
  <c r="G83" i="8"/>
  <c r="F83" i="8"/>
  <c r="C83" i="8"/>
  <c r="Q83" i="8"/>
  <c r="N83" i="8"/>
  <c r="P83" i="8"/>
  <c r="R83" i="8"/>
  <c r="H82" i="8"/>
  <c r="I82" i="8"/>
  <c r="I83" i="8" l="1"/>
  <c r="H83" i="8"/>
  <c r="B21" i="8"/>
  <c r="S83" i="8"/>
  <c r="T83" i="8"/>
  <c r="M2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B6" authorId="0" shapeId="0" xr:uid="{00000000-0006-0000-0200-000001000000}">
      <text>
        <r>
          <rPr>
            <b/>
            <sz val="9"/>
            <color indexed="81"/>
            <rFont val="Verdana"/>
            <family val="2"/>
          </rPr>
          <t>Comments or disposition in this row if yield &lt;99.5%: Spec relief request, process improivement, 100% screen, or others.</t>
        </r>
        <r>
          <rPr>
            <sz val="9"/>
            <color indexed="81"/>
            <rFont val="Verdan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B6" authorId="0" shapeId="0" xr:uid="{00000000-0006-0000-0300-000001000000}">
      <text>
        <r>
          <rPr>
            <b/>
            <sz val="9"/>
            <color indexed="81"/>
            <rFont val="Verdana"/>
            <family val="2"/>
          </rPr>
          <t>Comments or disposition in this row if yield &lt;99.5%: Spec relief request, process improivement, 100% screen, or others.</t>
        </r>
        <r>
          <rPr>
            <sz val="9"/>
            <color indexed="81"/>
            <rFont val="Verdan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B6" authorId="0" shapeId="0" xr:uid="{00000000-0006-0000-0400-000001000000}">
      <text>
        <r>
          <rPr>
            <b/>
            <sz val="9"/>
            <color indexed="81"/>
            <rFont val="Verdana"/>
            <family val="2"/>
          </rPr>
          <t>Comments or disposition in this row if yield &lt;99.5%: Spec relief request, process improivement, 100% screen, or others.</t>
        </r>
        <r>
          <rPr>
            <sz val="9"/>
            <color indexed="81"/>
            <rFont val="Verdan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B6" authorId="0" shapeId="0" xr:uid="{00000000-0006-0000-0500-000001000000}">
      <text>
        <r>
          <rPr>
            <b/>
            <sz val="9"/>
            <color indexed="81"/>
            <rFont val="Verdana"/>
            <family val="2"/>
          </rPr>
          <t>Comments or disposition in this row if yield &lt;99.5%: Spec relief request, process improivement, 100% screen, or others.</t>
        </r>
        <r>
          <rPr>
            <sz val="9"/>
            <color indexed="81"/>
            <rFont val="Verdan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Zhang Zhengjun</author>
  </authors>
  <commentList>
    <comment ref="B1" authorId="0" shapeId="0" xr:uid="{00000000-0006-0000-0600-000001000000}">
      <text>
        <r>
          <rPr>
            <b/>
            <sz val="9"/>
            <color indexed="12"/>
            <rFont val="Verdana"/>
            <family val="2"/>
          </rPr>
          <t>Input Sheet Name + !, Sheet Name shall not have space between any two characters</t>
        </r>
      </text>
    </comment>
    <comment ref="M1" authorId="0" shapeId="0" xr:uid="{00000000-0006-0000-0600-000002000000}">
      <text>
        <r>
          <rPr>
            <b/>
            <sz val="9"/>
            <color indexed="12"/>
            <rFont val="Verdana"/>
            <family val="2"/>
          </rPr>
          <t>Input Sheet Name + !, Sheet Name shall not have space between any two characters</t>
        </r>
      </text>
    </comment>
  </commentList>
</comments>
</file>

<file path=xl/sharedStrings.xml><?xml version="1.0" encoding="utf-8"?>
<sst xmlns="http://schemas.openxmlformats.org/spreadsheetml/2006/main" count="850" uniqueCount="185">
  <si>
    <t>Supplier :</t>
  </si>
  <si>
    <t>Process Capability</t>
    <phoneticPr fontId="3" type="noConversion"/>
  </si>
  <si>
    <t>Selection of the appropriate formula for projected yield is best when you have visually viewed the data &amp; can understand the visual distribution.  This spreadsheet offers four pre-set formulas to choose from.  None of these should be blindly chosen.  You must chart and look at the data, as well as understand the reason for the measured dimension.</t>
    <phoneticPr fontId="3" type="noConversion"/>
  </si>
  <si>
    <t>Cpk!</t>
    <phoneticPr fontId="3" type="noConversion"/>
  </si>
  <si>
    <t>Cpk!</t>
    <phoneticPr fontId="3" type="noConversion"/>
  </si>
  <si>
    <r>
      <t>3) Singlesided USL</t>
    </r>
    <r>
      <rPr>
        <sz val="10"/>
        <rFont val="Verdana"/>
        <family val="2"/>
      </rPr>
      <t xml:space="preserve"> = choose this when you only care if the data exceeds the USL.  These formulas assume the data is normal and the shape should be validated on a histogram.  An example of this could be electrical resistance for grounding.</t>
    </r>
    <phoneticPr fontId="3" type="noConversion"/>
  </si>
  <si>
    <r>
      <t>2) Singlesided LSL</t>
    </r>
    <r>
      <rPr>
        <sz val="10"/>
        <rFont val="Verdana"/>
        <family val="2"/>
      </rPr>
      <t xml:space="preserve"> = choose this when you only care if the data do not extend below the LSL.  In other words, it is OK if the data goes above the USL. These formulas assume the data is normal and the shape should be validated on a histogram before selecting this calculation method.  Again, the data may be doublesided, but the formula only considers it "bad" if the data falls below the LSL.   An example of this could be pull force.</t>
    </r>
    <phoneticPr fontId="3" type="noConversion"/>
  </si>
  <si>
    <t>Dimension No.</t>
    <phoneticPr fontId="3" type="noConversion"/>
  </si>
  <si>
    <t>Description</t>
    <phoneticPr fontId="3" type="noConversion"/>
  </si>
  <si>
    <t>Dimension No.</t>
    <phoneticPr fontId="3" type="noConversion"/>
  </si>
  <si>
    <t>A-1</t>
  </si>
  <si>
    <t>Dim. No.</t>
  </si>
  <si>
    <t>Nominal Dim.</t>
  </si>
  <si>
    <t>Date:</t>
  </si>
  <si>
    <t>ISR No :</t>
  </si>
  <si>
    <t>Inspector:</t>
  </si>
  <si>
    <t>Cp</t>
    <phoneticPr fontId="3" type="noConversion"/>
  </si>
  <si>
    <t>SL</t>
    <phoneticPr fontId="3" type="noConversion"/>
  </si>
  <si>
    <t>Min decimal Digit</t>
    <phoneticPr fontId="3" type="noConversion"/>
  </si>
  <si>
    <t>Number of Data</t>
    <phoneticPr fontId="3" type="noConversion"/>
  </si>
  <si>
    <t>Number of Histrogram</t>
    <phoneticPr fontId="3" type="noConversion"/>
  </si>
  <si>
    <t>Group Width</t>
    <phoneticPr fontId="3" type="noConversion"/>
  </si>
  <si>
    <t>Total Groups</t>
    <phoneticPr fontId="3" type="noConversion"/>
  </si>
  <si>
    <t>Minimum</t>
  </si>
  <si>
    <t>Std Dev</t>
  </si>
  <si>
    <t>Mean</t>
    <phoneticPr fontId="3" type="noConversion"/>
  </si>
  <si>
    <t>Tol. Max. (+)</t>
  </si>
  <si>
    <t>Apple CPK Data Sheet - Rev 6-5</t>
    <phoneticPr fontId="0"/>
  </si>
  <si>
    <r>
      <t>1) Doublesided</t>
    </r>
    <r>
      <rPr>
        <sz val="10"/>
        <rFont val="Verdana"/>
        <family val="2"/>
      </rPr>
      <t xml:space="preserve"> =  This formula assumes a normal distribution and would be used when the data looks normally when you plot it on a histogram and when you have &lt; 100 data points.  Even though the tolerance may be unilateral (ex: +0.1/-0.0), the appropriate formula may still be doublesided.</t>
    </r>
    <phoneticPr fontId="3" type="noConversion"/>
  </si>
  <si>
    <t>Explanation of formulas of Cp, Cpk and Projected Yield</t>
    <phoneticPr fontId="3" type="noConversion"/>
  </si>
  <si>
    <t>Lower-Group</t>
    <phoneticPr fontId="3" type="noConversion"/>
  </si>
  <si>
    <t>Upper-Group</t>
    <phoneticPr fontId="3" type="noConversion"/>
  </si>
  <si>
    <t>Center-Group</t>
    <phoneticPr fontId="3" type="noConversion"/>
  </si>
  <si>
    <t>count</t>
    <phoneticPr fontId="3" type="noConversion"/>
  </si>
  <si>
    <t>Additionally, if the data is not a normal distribution, there are three options can be done:
i) Increase the sample size to and check whether distribution is normal, if yes, use above formula 1)~3) to calculate the projected yield
ii) Increase the sample size to 100 above so that you can use formular 4), Actual Yield for calculation. 
iii) Use statistics software to select appropriate distribution and get the projected yield.</t>
    <phoneticPr fontId="3" type="noConversion"/>
  </si>
  <si>
    <t xml:space="preserve">Below illustration is the explanation of the relationship betweeb Standard deviation, Cumulative probability and Z Score </t>
    <phoneticPr fontId="3" type="noConversion"/>
  </si>
  <si>
    <r>
      <t>4) Actual Yield</t>
    </r>
    <r>
      <rPr>
        <sz val="10"/>
        <rFont val="Verdana"/>
        <family val="2"/>
      </rPr>
      <t xml:space="preserve"> = these formulas are actual yield, and are best used when you have at least 100 data points.</t>
    </r>
    <phoneticPr fontId="3" type="noConversion"/>
  </si>
  <si>
    <t>Projected Yield</t>
    <phoneticPr fontId="3" type="noConversion"/>
  </si>
  <si>
    <t>Cpk</t>
    <phoneticPr fontId="3" type="noConversion"/>
  </si>
  <si>
    <t>Stdev</t>
    <phoneticPr fontId="3" type="noConversion"/>
  </si>
  <si>
    <t>- Tol</t>
    <phoneticPr fontId="3" type="noConversion"/>
  </si>
  <si>
    <t>+ Tol</t>
    <phoneticPr fontId="3" type="noConversion"/>
  </si>
  <si>
    <t>Nominal</t>
    <phoneticPr fontId="3" type="noConversion"/>
  </si>
  <si>
    <t>SPC</t>
    <phoneticPr fontId="3" type="noConversion"/>
  </si>
  <si>
    <t>Dim. No. - Last Phase</t>
  </si>
  <si>
    <t>Description</t>
  </si>
  <si>
    <t>Noiminal</t>
  </si>
  <si>
    <t>+Tol</t>
  </si>
  <si>
    <t>-Tol</t>
  </si>
  <si>
    <t>Stdev</t>
  </si>
  <si>
    <t>Yield</t>
  </si>
  <si>
    <t>Spec</t>
    <phoneticPr fontId="3" type="noConversion"/>
  </si>
  <si>
    <t>2 - Spec</t>
  </si>
  <si>
    <r>
      <rPr>
        <b/>
        <sz val="16"/>
        <color indexed="10"/>
        <rFont val="Arial"/>
        <family val="2"/>
      </rPr>
      <t>6</t>
    </r>
    <r>
      <rPr>
        <b/>
        <sz val="11"/>
        <rFont val="Arial"/>
        <family val="2"/>
      </rPr>
      <t xml:space="preserve"> - PVT</t>
    </r>
  </si>
  <si>
    <r>
      <rPr>
        <b/>
        <sz val="16"/>
        <color indexed="10"/>
        <rFont val="Arial"/>
        <family val="2"/>
      </rPr>
      <t>5</t>
    </r>
    <r>
      <rPr>
        <b/>
        <sz val="11"/>
        <color indexed="10"/>
        <rFont val="Arial"/>
        <family val="2"/>
      </rPr>
      <t xml:space="preserve"> </t>
    </r>
    <r>
      <rPr>
        <b/>
        <sz val="11"/>
        <rFont val="Arial"/>
        <family val="2"/>
      </rPr>
      <t>- DVT</t>
    </r>
  </si>
  <si>
    <r>
      <rPr>
        <b/>
        <sz val="16"/>
        <color indexed="10"/>
        <rFont val="Arial"/>
        <family val="2"/>
      </rPr>
      <t>4</t>
    </r>
    <r>
      <rPr>
        <b/>
        <sz val="11"/>
        <color indexed="10"/>
        <rFont val="Arial"/>
        <family val="2"/>
      </rPr>
      <t xml:space="preserve"> </t>
    </r>
    <r>
      <rPr>
        <b/>
        <sz val="11"/>
        <rFont val="Arial"/>
        <family val="2"/>
      </rPr>
      <t>- EVT Dry Run</t>
    </r>
  </si>
  <si>
    <r>
      <rPr>
        <b/>
        <sz val="16"/>
        <color indexed="10"/>
        <rFont val="Arial"/>
        <family val="2"/>
      </rPr>
      <t>3</t>
    </r>
    <r>
      <rPr>
        <b/>
        <sz val="11"/>
        <rFont val="Arial"/>
        <family val="2"/>
      </rPr>
      <t xml:space="preserve"> - EVT</t>
    </r>
  </si>
  <si>
    <r>
      <rPr>
        <b/>
        <sz val="16"/>
        <color indexed="10"/>
        <rFont val="Arial"/>
        <family val="2"/>
      </rPr>
      <t>2</t>
    </r>
    <r>
      <rPr>
        <b/>
        <sz val="9"/>
        <rFont val="Arial"/>
        <family val="2"/>
      </rPr>
      <t xml:space="preserve"> </t>
    </r>
    <r>
      <rPr>
        <b/>
        <sz val="11"/>
        <rFont val="Arial"/>
        <family val="2"/>
      </rPr>
      <t>- Proto Dry Run</t>
    </r>
  </si>
  <si>
    <r>
      <rPr>
        <b/>
        <sz val="16"/>
        <color indexed="10"/>
        <rFont val="Arial"/>
        <family val="2"/>
      </rPr>
      <t>1</t>
    </r>
    <r>
      <rPr>
        <b/>
        <sz val="11"/>
        <rFont val="Arial"/>
        <family val="2"/>
      </rPr>
      <t xml:space="preserve"> - Proto Build</t>
    </r>
  </si>
  <si>
    <t>Cpk Data Summary</t>
  </si>
  <si>
    <t>Dimension</t>
    <phoneticPr fontId="3" type="noConversion"/>
  </si>
  <si>
    <t>Cp</t>
  </si>
  <si>
    <t>Cpk</t>
  </si>
  <si>
    <t>Part Number :</t>
  </si>
  <si>
    <t>Dimension Description</t>
    <phoneticPr fontId="3" type="noConversion"/>
  </si>
  <si>
    <t>Comments</t>
    <phoneticPr fontId="3" type="noConversion"/>
  </si>
  <si>
    <t>Proposed +Tol</t>
    <phoneticPr fontId="3" type="noConversion"/>
  </si>
  <si>
    <t>Proposed -Tol</t>
    <phoneticPr fontId="3" type="noConversion"/>
  </si>
  <si>
    <t>Changed Mean</t>
    <phoneticPr fontId="3" type="noConversion"/>
  </si>
  <si>
    <t>Proposed USL</t>
    <phoneticPr fontId="3" type="noConversion"/>
  </si>
  <si>
    <t>Proposed LSL</t>
    <phoneticPr fontId="3" type="noConversion"/>
  </si>
  <si>
    <t>Proposed Yield</t>
    <phoneticPr fontId="3" type="noConversion"/>
  </si>
  <si>
    <t>Distribution Type</t>
    <phoneticPr fontId="3" type="noConversion"/>
  </si>
  <si>
    <t>Instrument</t>
    <phoneticPr fontId="3" type="noConversion"/>
  </si>
  <si>
    <t>Resolution</t>
    <phoneticPr fontId="3" type="noConversion"/>
  </si>
  <si>
    <t>Cpkl</t>
    <phoneticPr fontId="3" type="noConversion"/>
  </si>
  <si>
    <t>Cpku</t>
    <phoneticPr fontId="3" type="noConversion"/>
  </si>
  <si>
    <t>Mean Shift Amount</t>
    <phoneticPr fontId="3" type="noConversion"/>
  </si>
  <si>
    <t>Mean Drift</t>
    <phoneticPr fontId="3" type="noConversion"/>
  </si>
  <si>
    <t>Projected Yields</t>
    <phoneticPr fontId="0"/>
  </si>
  <si>
    <t>Mean Drift</t>
    <phoneticPr fontId="3" type="noConversion"/>
  </si>
  <si>
    <t>Sheet Name</t>
    <phoneticPr fontId="3" type="noConversion"/>
  </si>
  <si>
    <t>Dimension No.</t>
    <phoneticPr fontId="3" type="noConversion"/>
  </si>
  <si>
    <t>Dim. Description</t>
    <phoneticPr fontId="3" type="noConversion"/>
  </si>
  <si>
    <t>Column</t>
    <phoneticPr fontId="3" type="noConversion"/>
  </si>
  <si>
    <t>LSL</t>
    <phoneticPr fontId="3" type="noConversion"/>
  </si>
  <si>
    <t>Max</t>
    <phoneticPr fontId="3" type="noConversion"/>
  </si>
  <si>
    <t>Min</t>
    <phoneticPr fontId="3" type="noConversion"/>
  </si>
  <si>
    <t>Std Dev</t>
    <phoneticPr fontId="3" type="noConversion"/>
  </si>
  <si>
    <t>Rang</t>
    <phoneticPr fontId="3" type="noConversion"/>
  </si>
  <si>
    <t>Sheet Name</t>
    <phoneticPr fontId="3" type="noConversion"/>
  </si>
  <si>
    <t>Dimension No.</t>
    <phoneticPr fontId="3" type="noConversion"/>
  </si>
  <si>
    <t>Dim. Description</t>
    <phoneticPr fontId="3" type="noConversion"/>
  </si>
  <si>
    <t>Column</t>
    <phoneticPr fontId="3" type="noConversion"/>
  </si>
  <si>
    <t>Spec</t>
    <phoneticPr fontId="3" type="noConversion"/>
  </si>
  <si>
    <t>USL</t>
    <phoneticPr fontId="3" type="noConversion"/>
  </si>
  <si>
    <t>LSL</t>
    <phoneticPr fontId="3" type="noConversion"/>
  </si>
  <si>
    <t>Max</t>
    <phoneticPr fontId="3" type="noConversion"/>
  </si>
  <si>
    <t>Min</t>
    <phoneticPr fontId="3" type="noConversion"/>
  </si>
  <si>
    <t>Std Dev</t>
    <phoneticPr fontId="3" type="noConversion"/>
  </si>
  <si>
    <t>Mean</t>
    <phoneticPr fontId="3" type="noConversion"/>
  </si>
  <si>
    <t>Cp</t>
    <phoneticPr fontId="3" type="noConversion"/>
  </si>
  <si>
    <t>Cpk</t>
    <phoneticPr fontId="3" type="noConversion"/>
  </si>
  <si>
    <t>Projected Yield</t>
    <phoneticPr fontId="3" type="noConversion"/>
  </si>
  <si>
    <t>Description</t>
    <phoneticPr fontId="3" type="noConversion"/>
  </si>
  <si>
    <t>Part Description :</t>
  </si>
  <si>
    <t>NORMSDIST</t>
    <phoneticPr fontId="3" type="noConversion"/>
  </si>
  <si>
    <t>90%&lt;=Yield&lt;99.5%</t>
    <phoneticPr fontId="3" type="noConversion"/>
  </si>
  <si>
    <t>USL</t>
    <phoneticPr fontId="3" type="noConversion"/>
  </si>
  <si>
    <t>-3Sigma</t>
    <phoneticPr fontId="3" type="noConversion"/>
  </si>
  <si>
    <t>X2</t>
    <phoneticPr fontId="3" type="noConversion"/>
  </si>
  <si>
    <t>+3Sigma</t>
    <phoneticPr fontId="3" type="noConversion"/>
  </si>
  <si>
    <t>Yield&gt;=99.5%</t>
    <phoneticPr fontId="3" type="noConversion"/>
  </si>
  <si>
    <t>Rang</t>
    <phoneticPr fontId="3" type="noConversion"/>
  </si>
  <si>
    <t>Min decimal Digit</t>
    <phoneticPr fontId="3" type="noConversion"/>
  </si>
  <si>
    <t>Number of Data</t>
    <phoneticPr fontId="3" type="noConversion"/>
  </si>
  <si>
    <t>Number of Histrogram</t>
    <phoneticPr fontId="3" type="noConversion"/>
  </si>
  <si>
    <t>Group Width</t>
    <phoneticPr fontId="3" type="noConversion"/>
  </si>
  <si>
    <t>Total Groups</t>
    <phoneticPr fontId="3" type="noConversion"/>
  </si>
  <si>
    <t>Lower-Group</t>
    <phoneticPr fontId="3" type="noConversion"/>
  </si>
  <si>
    <t>Upper-Group</t>
    <phoneticPr fontId="3" type="noConversion"/>
  </si>
  <si>
    <t>Center-Group</t>
    <phoneticPr fontId="3" type="noConversion"/>
  </si>
  <si>
    <t>count</t>
    <phoneticPr fontId="3" type="noConversion"/>
  </si>
  <si>
    <t>NORMSDIST</t>
    <phoneticPr fontId="3" type="noConversion"/>
  </si>
  <si>
    <t>X2</t>
    <phoneticPr fontId="3" type="noConversion"/>
  </si>
  <si>
    <t>Tol. Min. (-)</t>
  </si>
  <si>
    <t>USL</t>
  </si>
  <si>
    <t>LSL</t>
  </si>
  <si>
    <t>Maximum</t>
  </si>
  <si>
    <t>DoubleSides</t>
  </si>
  <si>
    <t>Revision :</t>
  </si>
  <si>
    <t>Mean</t>
  </si>
  <si>
    <t>Yiled&lt;90%</t>
    <phoneticPr fontId="3" type="noConversion"/>
  </si>
  <si>
    <t>LSL</t>
    <phoneticPr fontId="3" type="noConversion"/>
  </si>
  <si>
    <t>Cavity/Tool # :</t>
    <phoneticPr fontId="40" type="noConversion"/>
  </si>
  <si>
    <t>Diameter</t>
  </si>
  <si>
    <t>OMM</t>
  </si>
  <si>
    <t>A</t>
  </si>
  <si>
    <t>D</t>
  </si>
  <si>
    <t>F-2</t>
  </si>
  <si>
    <t>F-1</t>
  </si>
  <si>
    <t>K</t>
  </si>
  <si>
    <t>B</t>
  </si>
  <si>
    <t>C</t>
  </si>
  <si>
    <t>G</t>
  </si>
  <si>
    <t>H-1</t>
  </si>
  <si>
    <t>H-2</t>
  </si>
  <si>
    <t>I-1</t>
  </si>
  <si>
    <t>I-2</t>
  </si>
  <si>
    <t>I-3</t>
  </si>
  <si>
    <t>J-1</t>
  </si>
  <si>
    <t>J-2</t>
  </si>
  <si>
    <t>L</t>
  </si>
  <si>
    <t>MIC</t>
  </si>
  <si>
    <t>MIC</t>
    <phoneticPr fontId="3" type="noConversion"/>
  </si>
  <si>
    <t>Diameter</t>
    <phoneticPr fontId="3" type="noConversion"/>
  </si>
  <si>
    <t>Distance</t>
  </si>
  <si>
    <t>Distance</t>
    <phoneticPr fontId="3" type="noConversion"/>
  </si>
  <si>
    <t>cav.1</t>
    <phoneticPr fontId="3" type="noConversion"/>
  </si>
  <si>
    <t>cav.2</t>
    <phoneticPr fontId="3" type="noConversion"/>
  </si>
  <si>
    <t>cav.3</t>
    <phoneticPr fontId="3" type="noConversion"/>
  </si>
  <si>
    <t>cav.4</t>
    <phoneticPr fontId="3" type="noConversion"/>
  </si>
  <si>
    <t>cav.5</t>
    <phoneticPr fontId="3" type="noConversion"/>
  </si>
  <si>
    <t>cav.6</t>
    <phoneticPr fontId="3" type="noConversion"/>
  </si>
  <si>
    <t>cav.7</t>
    <phoneticPr fontId="3" type="noConversion"/>
  </si>
  <si>
    <t>cav.8</t>
    <phoneticPr fontId="3" type="noConversion"/>
  </si>
  <si>
    <t>cav.9</t>
    <phoneticPr fontId="3" type="noConversion"/>
  </si>
  <si>
    <t>cav.10</t>
    <phoneticPr fontId="3" type="noConversion"/>
  </si>
  <si>
    <t>cav.11</t>
    <phoneticPr fontId="3" type="noConversion"/>
  </si>
  <si>
    <t>cav.12</t>
    <phoneticPr fontId="3" type="noConversion"/>
  </si>
  <si>
    <t>cav.13</t>
    <phoneticPr fontId="3" type="noConversion"/>
  </si>
  <si>
    <t>cav.14</t>
    <phoneticPr fontId="3" type="noConversion"/>
  </si>
  <si>
    <t>cav.15</t>
    <phoneticPr fontId="3" type="noConversion"/>
  </si>
  <si>
    <t>cav.16</t>
    <phoneticPr fontId="3" type="noConversion"/>
  </si>
  <si>
    <t>1</t>
    <phoneticPr fontId="3" type="noConversion"/>
  </si>
  <si>
    <t>2</t>
    <phoneticPr fontId="3" type="noConversion"/>
  </si>
  <si>
    <t>AH_TestMeasuring 01</t>
    <phoneticPr fontId="3" type="noConversion"/>
  </si>
  <si>
    <t>AH_TestMeasuring 02</t>
    <phoneticPr fontId="3" type="noConversion"/>
  </si>
  <si>
    <t>5</t>
    <phoneticPr fontId="3" type="noConversion"/>
  </si>
  <si>
    <t>A3</t>
    <phoneticPr fontId="3" type="noConversion"/>
  </si>
  <si>
    <t>1</t>
    <phoneticPr fontId="43" type="noConversion"/>
  </si>
  <si>
    <t>2</t>
    <phoneticPr fontId="43" type="noConversion"/>
  </si>
  <si>
    <t>5</t>
    <phoneticPr fontId="43" type="noConversion"/>
  </si>
  <si>
    <t>AH_TestMeasuring 01</t>
    <phoneticPr fontId="43" type="noConversion"/>
  </si>
  <si>
    <t>AH_TestMeasuring 02</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</si>
</sst>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0"/>
    <numFmt numFmtId="177" formatCode="0.00_ "/>
    <numFmt numFmtId="178" formatCode="0.0000"/>
    <numFmt numFmtId="179" formatCode="0.000_ "/>
    <numFmt numFmtId="180" formatCode="0.00_);[Red]\(0.00\)"/>
  </numFmts>
  <fonts count="44">
    <font>
      <sz val="10"/>
      <name val="Verdana"/>
      <family val="2"/>
    </font>
    <font>
      <b/>
      <sz val="10"/>
      <name val="Verdana"/>
      <family val="2"/>
    </font>
    <font>
      <sz val="10"/>
      <name val="Verdana"/>
      <family val="2"/>
    </font>
    <font>
      <sz val="8"/>
      <name val="Verdana"/>
      <family val="2"/>
    </font>
    <font>
      <sz val="10"/>
      <name val="Arial"/>
      <family val="2"/>
    </font>
    <font>
      <sz val="12"/>
      <name val="Arial"/>
      <family val="2"/>
    </font>
    <font>
      <sz val="9"/>
      <name val="Arial"/>
      <family val="2"/>
    </font>
    <font>
      <b/>
      <sz val="9"/>
      <name val="Arial"/>
      <family val="2"/>
    </font>
    <font>
      <sz val="9"/>
      <color indexed="81"/>
      <name val="Verdana"/>
      <family val="2"/>
    </font>
    <font>
      <b/>
      <sz val="9"/>
      <color indexed="81"/>
      <name val="Verdana"/>
      <family val="2"/>
    </font>
    <font>
      <sz val="10"/>
      <name val="Helv"/>
      <family val="2"/>
    </font>
    <font>
      <b/>
      <sz val="20"/>
      <name val="Verdana"/>
      <family val="2"/>
    </font>
    <font>
      <sz val="10"/>
      <name val="Verdana"/>
      <family val="2"/>
    </font>
    <font>
      <sz val="10"/>
      <color indexed="9"/>
      <name val="Verdana"/>
      <family val="2"/>
    </font>
    <font>
      <sz val="10"/>
      <color indexed="52"/>
      <name val="Verdana"/>
      <family val="2"/>
    </font>
    <font>
      <b/>
      <sz val="20"/>
      <color indexed="12"/>
      <name val="Verdana"/>
      <family val="2"/>
    </font>
    <font>
      <b/>
      <sz val="10"/>
      <color indexed="10"/>
      <name val="Verdana"/>
      <family val="2"/>
    </font>
    <font>
      <sz val="10"/>
      <color indexed="12"/>
      <name val="Verdana"/>
      <family val="2"/>
    </font>
    <font>
      <b/>
      <sz val="14"/>
      <name val="Verdana"/>
      <family val="2"/>
    </font>
    <font>
      <b/>
      <sz val="11"/>
      <color indexed="12"/>
      <name val="Verdana"/>
      <family val="2"/>
    </font>
    <font>
      <b/>
      <sz val="9"/>
      <color indexed="12"/>
      <name val="Verdana"/>
      <family val="2"/>
    </font>
    <font>
      <sz val="18"/>
      <color indexed="12"/>
      <name val="Times New Roman"/>
      <family val="1"/>
    </font>
    <font>
      <b/>
      <sz val="18"/>
      <color indexed="12"/>
      <name val="Times New Roman"/>
      <family val="1"/>
    </font>
    <font>
      <sz val="11"/>
      <name val="Arial"/>
      <family val="2"/>
    </font>
    <font>
      <sz val="9"/>
      <name val="Verdana"/>
      <family val="2"/>
    </font>
    <font>
      <sz val="12"/>
      <name val="Helvetica Neue"/>
      <family val="2"/>
    </font>
    <font>
      <sz val="12"/>
      <color indexed="12"/>
      <name val="Helvetica Neue"/>
      <family val="2"/>
    </font>
    <font>
      <sz val="10"/>
      <name val="Verdana"/>
      <family val="2"/>
    </font>
    <font>
      <b/>
      <sz val="11"/>
      <color indexed="53"/>
      <name val="Arial"/>
      <family val="2"/>
    </font>
    <font>
      <b/>
      <sz val="10"/>
      <color indexed="12"/>
      <name val="Arial"/>
      <family val="2"/>
    </font>
    <font>
      <b/>
      <sz val="11"/>
      <color indexed="17"/>
      <name val="Arial"/>
      <family val="2"/>
    </font>
    <font>
      <b/>
      <sz val="10"/>
      <color indexed="53"/>
      <name val="Verdana"/>
      <family val="2"/>
    </font>
    <font>
      <b/>
      <sz val="10"/>
      <color indexed="17"/>
      <name val="Verdana"/>
      <family val="2"/>
    </font>
    <font>
      <b/>
      <sz val="11"/>
      <name val="Arial"/>
      <family val="2"/>
    </font>
    <font>
      <b/>
      <sz val="11"/>
      <color indexed="12"/>
      <name val="Arial"/>
      <family val="2"/>
    </font>
    <font>
      <b/>
      <sz val="16"/>
      <color indexed="10"/>
      <name val="Arial"/>
      <family val="2"/>
    </font>
    <font>
      <b/>
      <sz val="11"/>
      <color indexed="10"/>
      <name val="Arial"/>
      <family val="2"/>
    </font>
    <font>
      <b/>
      <sz val="18"/>
      <name val="Arial"/>
      <family val="2"/>
    </font>
    <font>
      <sz val="14"/>
      <name val="Arial"/>
      <family val="2"/>
    </font>
    <font>
      <sz val="10"/>
      <color indexed="9"/>
      <name val="Arial"/>
      <family val="2"/>
    </font>
    <font>
      <sz val="9"/>
      <name val="細明體"/>
      <family val="3"/>
      <charset val="136"/>
    </font>
    <font>
      <b/>
      <sz val="8"/>
      <name val="Arial"/>
      <family val="2"/>
    </font>
    <font>
      <sz val="11.5"/>
      <name val="Arial"/>
      <family val="2"/>
    </font>
    <font>
      <sz val="9"/>
      <name val="宋体"/>
      <charset val="136"/>
    </font>
  </fonts>
  <fills count="12">
    <fill>
      <patternFill patternType="none"/>
    </fill>
    <fill>
      <patternFill patternType="gray125"/>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7"/>
        <bgColor indexed="64"/>
      </patternFill>
    </fill>
    <fill>
      <patternFill patternType="solid">
        <fgColor indexed="42"/>
        <bgColor indexed="22"/>
      </patternFill>
    </fill>
    <fill>
      <patternFill patternType="solid">
        <fgColor indexed="52"/>
        <bgColor indexed="22"/>
      </patternFill>
    </fill>
    <fill>
      <patternFill patternType="solid">
        <fgColor indexed="44"/>
        <bgColor indexed="64"/>
      </patternFill>
    </fill>
    <fill>
      <patternFill patternType="solid">
        <fgColor indexed="9"/>
        <bgColor indexed="64"/>
      </patternFill>
    </fill>
    <fill>
      <patternFill patternType="solid">
        <fgColor theme="1"/>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14"/>
      </left>
      <right style="thick">
        <color indexed="14"/>
      </right>
      <top style="thick">
        <color indexed="14"/>
      </top>
      <bottom style="thick">
        <color indexed="1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5">
    <xf numFmtId="0" fontId="0" fillId="0" borderId="0"/>
    <xf numFmtId="0" fontId="4" fillId="0" borderId="0"/>
    <xf numFmtId="9" fontId="2" fillId="0" borderId="0" applyFont="0" applyFill="0" applyBorder="0" applyAlignment="0" applyProtection="0"/>
    <xf numFmtId="0" fontId="10" fillId="0" borderId="0"/>
    <xf numFmtId="0" fontId="2" fillId="0" borderId="0"/>
  </cellStyleXfs>
  <cellXfs count="158">
    <xf numFmtId="0" fontId="0" fillId="0" borderId="0" xfId="0"/>
    <xf numFmtId="0" fontId="0" fillId="0" borderId="0" xfId="0" applyAlignment="1" applyProtection="1">
      <alignment horizontal="center"/>
      <protection locked="0"/>
    </xf>
    <xf numFmtId="49" fontId="7" fillId="2" borderId="1" xfId="0" applyNumberFormat="1" applyFont="1" applyFill="1" applyBorder="1" applyAlignment="1" applyProtection="1">
      <alignment horizontal="center" vertical="center"/>
      <protection locked="0"/>
    </xf>
    <xf numFmtId="2" fontId="6" fillId="2" borderId="1" xfId="0" applyNumberFormat="1" applyFont="1" applyFill="1" applyBorder="1" applyAlignment="1" applyProtection="1">
      <alignment horizontal="center" vertical="center"/>
      <protection locked="0"/>
    </xf>
    <xf numFmtId="0" fontId="0" fillId="0" borderId="0" xfId="0" applyProtection="1">
      <protection locked="0"/>
    </xf>
    <xf numFmtId="0" fontId="0" fillId="3" borderId="0" xfId="0" applyFill="1" applyProtection="1">
      <protection locked="0"/>
    </xf>
    <xf numFmtId="0" fontId="0" fillId="4" borderId="0" xfId="0" applyFill="1" applyProtection="1">
      <protection locked="0"/>
    </xf>
    <xf numFmtId="0" fontId="0" fillId="5" borderId="0" xfId="0" applyFill="1" applyProtection="1">
      <protection locked="0"/>
    </xf>
    <xf numFmtId="0" fontId="5" fillId="0" borderId="0" xfId="0" applyFont="1" applyAlignment="1" applyProtection="1">
      <alignment horizontal="center" vertical="center"/>
      <protection locked="0"/>
    </xf>
    <xf numFmtId="0" fontId="7" fillId="0" borderId="0" xfId="0" applyFont="1" applyBorder="1" applyAlignment="1" applyProtection="1">
      <alignment horizontal="center" vertical="center" textRotation="90"/>
      <protection locked="0"/>
    </xf>
    <xf numFmtId="2" fontId="6" fillId="0" borderId="1" xfId="0" applyNumberFormat="1" applyFont="1" applyFill="1" applyBorder="1" applyAlignment="1" applyProtection="1">
      <alignment horizontal="center" vertical="center"/>
    </xf>
    <xf numFmtId="178" fontId="6" fillId="0" borderId="1" xfId="0" applyNumberFormat="1" applyFont="1" applyBorder="1" applyAlignment="1" applyProtection="1">
      <alignment horizontal="center" vertical="center"/>
    </xf>
    <xf numFmtId="2" fontId="6" fillId="0" borderId="1" xfId="0" applyNumberFormat="1" applyFont="1" applyBorder="1" applyAlignment="1" applyProtection="1">
      <alignment horizontal="center" vertical="center"/>
    </xf>
    <xf numFmtId="176" fontId="6" fillId="0" borderId="1" xfId="0" applyNumberFormat="1" applyFont="1" applyBorder="1" applyAlignment="1" applyProtection="1">
      <alignment horizontal="center" vertical="center"/>
    </xf>
    <xf numFmtId="10" fontId="6" fillId="0" borderId="0" xfId="2" applyNumberFormat="1" applyFont="1" applyBorder="1" applyAlignment="1" applyProtection="1">
      <alignment horizontal="center" vertical="center"/>
      <protection locked="0"/>
    </xf>
    <xf numFmtId="10" fontId="5" fillId="0" borderId="2" xfId="2" applyNumberFormat="1" applyFont="1" applyFill="1" applyBorder="1" applyAlignment="1" applyProtection="1">
      <alignment horizontal="center" vertical="center"/>
      <protection locked="0"/>
    </xf>
    <xf numFmtId="10" fontId="5" fillId="0" borderId="0" xfId="2" applyNumberFormat="1" applyFont="1" applyAlignment="1" applyProtection="1">
      <alignment horizontal="center" vertical="center"/>
      <protection locked="0"/>
    </xf>
    <xf numFmtId="0" fontId="15" fillId="6" borderId="3" xfId="0" applyFont="1" applyFill="1" applyBorder="1" applyProtection="1">
      <protection locked="0"/>
    </xf>
    <xf numFmtId="0" fontId="13" fillId="0" borderId="0" xfId="0" applyFont="1" applyFill="1" applyProtection="1">
      <protection hidden="1"/>
    </xf>
    <xf numFmtId="0" fontId="2" fillId="0" borderId="0" xfId="0" applyFont="1" applyFill="1" applyProtection="1">
      <protection hidden="1"/>
    </xf>
    <xf numFmtId="0" fontId="16" fillId="0" borderId="0" xfId="0" applyFont="1" applyFill="1" applyAlignment="1" applyProtection="1">
      <alignment horizontal="center"/>
      <protection hidden="1"/>
    </xf>
    <xf numFmtId="0" fontId="16" fillId="0" borderId="0" xfId="0" applyFont="1" applyFill="1" applyAlignment="1" applyProtection="1">
      <alignment horizontal="left"/>
      <protection hidden="1"/>
    </xf>
    <xf numFmtId="0" fontId="12" fillId="0" borderId="0" xfId="0" applyFont="1" applyFill="1" applyProtection="1">
      <protection hidden="1"/>
    </xf>
    <xf numFmtId="0" fontId="12" fillId="0" borderId="4" xfId="0" applyFont="1" applyFill="1" applyBorder="1" applyAlignment="1" applyProtection="1">
      <alignment vertical="center"/>
      <protection hidden="1"/>
    </xf>
    <xf numFmtId="176" fontId="12" fillId="0" borderId="2" xfId="0" applyNumberFormat="1" applyFont="1" applyFill="1" applyBorder="1" applyAlignment="1" applyProtection="1">
      <alignment horizontal="center"/>
      <protection hidden="1"/>
    </xf>
    <xf numFmtId="176" fontId="12" fillId="0" borderId="1" xfId="0" applyNumberFormat="1" applyFont="1" applyFill="1" applyBorder="1" applyAlignment="1" applyProtection="1">
      <alignment horizontal="center"/>
      <protection hidden="1"/>
    </xf>
    <xf numFmtId="0" fontId="12" fillId="0" borderId="1" xfId="0" applyFont="1" applyFill="1" applyBorder="1" applyAlignment="1" applyProtection="1">
      <alignment horizontal="center"/>
      <protection hidden="1"/>
    </xf>
    <xf numFmtId="0" fontId="12" fillId="0" borderId="1" xfId="0" quotePrefix="1" applyFont="1" applyFill="1" applyBorder="1" applyAlignment="1" applyProtection="1">
      <alignment horizontal="center"/>
      <protection hidden="1"/>
    </xf>
    <xf numFmtId="176" fontId="14" fillId="7" borderId="5" xfId="0" applyNumberFormat="1" applyFont="1" applyFill="1" applyBorder="1" applyProtection="1">
      <protection hidden="1"/>
    </xf>
    <xf numFmtId="176" fontId="14" fillId="7" borderId="6" xfId="0" applyNumberFormat="1" applyFont="1" applyFill="1" applyBorder="1" applyProtection="1">
      <protection hidden="1"/>
    </xf>
    <xf numFmtId="0" fontId="12" fillId="7" borderId="2" xfId="0" applyFont="1" applyFill="1" applyBorder="1" applyProtection="1">
      <protection hidden="1"/>
    </xf>
    <xf numFmtId="0" fontId="13" fillId="0" borderId="7" xfId="0" applyFont="1" applyFill="1" applyBorder="1" applyProtection="1">
      <protection hidden="1"/>
    </xf>
    <xf numFmtId="0" fontId="13" fillId="0" borderId="7" xfId="0" applyFont="1" applyFill="1" applyBorder="1" applyAlignment="1" applyProtection="1">
      <alignment horizontal="left"/>
      <protection hidden="1"/>
    </xf>
    <xf numFmtId="0" fontId="13" fillId="0" borderId="0" xfId="0" applyFont="1" applyFill="1" applyAlignment="1" applyProtection="1">
      <alignment horizontal="left"/>
      <protection hidden="1"/>
    </xf>
    <xf numFmtId="0" fontId="13" fillId="0" borderId="0" xfId="0" applyFont="1" applyFill="1" applyBorder="1" applyProtection="1">
      <protection hidden="1"/>
    </xf>
    <xf numFmtId="0" fontId="13" fillId="0" borderId="0" xfId="0" applyFont="1" applyFill="1" applyBorder="1" applyAlignment="1" applyProtection="1">
      <alignment horizontal="left"/>
      <protection hidden="1"/>
    </xf>
    <xf numFmtId="2" fontId="13" fillId="0" borderId="0" xfId="0" applyNumberFormat="1" applyFont="1" applyFill="1" applyBorder="1" applyAlignment="1" applyProtection="1">
      <alignment horizontal="left"/>
      <protection hidden="1"/>
    </xf>
    <xf numFmtId="178" fontId="13" fillId="0" borderId="0" xfId="0" applyNumberFormat="1" applyFont="1" applyFill="1" applyBorder="1" applyAlignment="1" applyProtection="1">
      <alignment horizontal="left"/>
      <protection hidden="1"/>
    </xf>
    <xf numFmtId="176" fontId="13" fillId="0" borderId="0" xfId="0" applyNumberFormat="1" applyFont="1" applyFill="1" applyProtection="1">
      <protection hidden="1"/>
    </xf>
    <xf numFmtId="0" fontId="2" fillId="0" borderId="1" xfId="0" applyFont="1" applyFill="1" applyBorder="1" applyProtection="1">
      <protection hidden="1"/>
    </xf>
    <xf numFmtId="176" fontId="13" fillId="0" borderId="0" xfId="0" applyNumberFormat="1" applyFont="1" applyFill="1" applyBorder="1" applyProtection="1">
      <protection hidden="1"/>
    </xf>
    <xf numFmtId="2" fontId="13" fillId="0" borderId="0" xfId="0" applyNumberFormat="1" applyFont="1" applyFill="1" applyProtection="1">
      <protection hidden="1"/>
    </xf>
    <xf numFmtId="0" fontId="18" fillId="0" borderId="0" xfId="0" applyFont="1" applyFill="1" applyBorder="1" applyAlignment="1" applyProtection="1">
      <alignment horizontal="centerContinuous" vertical="center"/>
      <protection hidden="1"/>
    </xf>
    <xf numFmtId="0" fontId="0" fillId="0" borderId="0" xfId="0" applyFill="1" applyProtection="1">
      <protection hidden="1"/>
    </xf>
    <xf numFmtId="0" fontId="0" fillId="0" borderId="0" xfId="0" applyAlignment="1">
      <alignment horizontal="center"/>
    </xf>
    <xf numFmtId="0" fontId="7" fillId="0" borderId="1" xfId="0" applyFont="1" applyBorder="1" applyAlignment="1" applyProtection="1">
      <alignment vertical="center"/>
      <protection locked="0"/>
    </xf>
    <xf numFmtId="2" fontId="7" fillId="0" borderId="1" xfId="0" applyNumberFormat="1" applyFont="1" applyBorder="1" applyAlignment="1" applyProtection="1">
      <alignment vertical="center"/>
      <protection locked="0"/>
    </xf>
    <xf numFmtId="0" fontId="7" fillId="0" borderId="1" xfId="0" applyFont="1" applyFill="1" applyBorder="1" applyAlignment="1" applyProtection="1">
      <alignment vertical="center"/>
      <protection locked="0"/>
    </xf>
    <xf numFmtId="177" fontId="6" fillId="2" borderId="1" xfId="0" applyNumberFormat="1" applyFont="1" applyFill="1" applyBorder="1" applyAlignment="1" applyProtection="1">
      <alignment horizontal="center" vertical="center"/>
      <protection locked="0"/>
    </xf>
    <xf numFmtId="2" fontId="7" fillId="0" borderId="1" xfId="0" applyNumberFormat="1" applyFont="1" applyFill="1" applyBorder="1" applyAlignment="1" applyProtection="1">
      <alignment vertical="center" wrapText="1"/>
      <protection locked="0"/>
    </xf>
    <xf numFmtId="0" fontId="7" fillId="0" borderId="1" xfId="0" applyFont="1" applyFill="1" applyBorder="1" applyAlignment="1" applyProtection="1">
      <alignment vertical="center" wrapText="1"/>
      <protection locked="0"/>
    </xf>
    <xf numFmtId="0" fontId="7" fillId="0" borderId="1" xfId="0" applyFont="1" applyBorder="1" applyAlignment="1" applyProtection="1">
      <alignment wrapText="1"/>
      <protection locked="0"/>
    </xf>
    <xf numFmtId="0" fontId="1" fillId="0" borderId="0" xfId="0" applyFont="1" applyAlignment="1" applyProtection="1">
      <protection locked="0"/>
    </xf>
    <xf numFmtId="0" fontId="21" fillId="0" borderId="0" xfId="0" applyFont="1"/>
    <xf numFmtId="0" fontId="22" fillId="0" borderId="0" xfId="0" applyFont="1" applyAlignment="1">
      <alignment vertical="center"/>
    </xf>
    <xf numFmtId="0" fontId="0" fillId="0" borderId="0" xfId="0" applyAlignment="1">
      <alignment wrapText="1"/>
    </xf>
    <xf numFmtId="0" fontId="17" fillId="0" borderId="0" xfId="0" applyFont="1"/>
    <xf numFmtId="0" fontId="17" fillId="0" borderId="0" xfId="0" applyFont="1" applyAlignment="1">
      <alignment wrapText="1"/>
    </xf>
    <xf numFmtId="0" fontId="13" fillId="0" borderId="8" xfId="0" applyFont="1" applyFill="1" applyBorder="1" applyProtection="1">
      <protection hidden="1"/>
    </xf>
    <xf numFmtId="0" fontId="0" fillId="0" borderId="0" xfId="0" applyAlignment="1" applyProtection="1">
      <alignment horizontal="center" vertical="center" wrapText="1"/>
      <protection locked="0"/>
    </xf>
    <xf numFmtId="0" fontId="0" fillId="0" borderId="0" xfId="0" applyAlignment="1" applyProtection="1">
      <alignment horizontal="center" vertical="top" wrapText="1"/>
      <protection locked="0"/>
    </xf>
    <xf numFmtId="0" fontId="0" fillId="0" borderId="0" xfId="0" applyAlignment="1" applyProtection="1">
      <alignment horizontal="center"/>
    </xf>
    <xf numFmtId="0" fontId="24" fillId="2" borderId="1" xfId="0" applyFont="1" applyFill="1" applyBorder="1" applyAlignment="1" applyProtection="1">
      <alignment horizontal="center" vertical="center" wrapText="1"/>
      <protection locked="0"/>
    </xf>
    <xf numFmtId="0" fontId="24" fillId="0" borderId="0" xfId="0" applyFont="1" applyAlignment="1" applyProtection="1">
      <alignment horizontal="center"/>
      <protection locked="0"/>
    </xf>
    <xf numFmtId="0" fontId="0" fillId="0" borderId="0" xfId="0" applyAlignment="1" applyProtection="1">
      <alignment vertical="top"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25" fillId="0" borderId="0" xfId="0" applyFont="1" applyAlignment="1">
      <alignment horizontal="center" vertical="center"/>
    </xf>
    <xf numFmtId="0" fontId="26" fillId="0" borderId="0" xfId="0" applyFont="1" applyAlignment="1">
      <alignment horizontal="left" vertical="center"/>
    </xf>
    <xf numFmtId="0" fontId="28" fillId="0" borderId="0" xfId="0" applyFont="1" applyBorder="1" applyAlignment="1">
      <alignment horizontal="center"/>
    </xf>
    <xf numFmtId="0" fontId="29" fillId="0" borderId="0" xfId="0" applyFont="1"/>
    <xf numFmtId="0" fontId="30" fillId="0" borderId="0" xfId="0" applyFont="1" applyAlignment="1">
      <alignment horizontal="center"/>
    </xf>
    <xf numFmtId="0" fontId="29" fillId="0" borderId="0" xfId="0" applyFont="1" applyAlignment="1">
      <alignment horizontal="center"/>
    </xf>
    <xf numFmtId="0" fontId="29" fillId="0" borderId="0" xfId="0" quotePrefix="1" applyFont="1" applyAlignment="1">
      <alignment horizontal="center"/>
    </xf>
    <xf numFmtId="0" fontId="31" fillId="0" borderId="0" xfId="0" applyFont="1" applyAlignment="1">
      <alignment horizontal="center"/>
    </xf>
    <xf numFmtId="0" fontId="32" fillId="0" borderId="0" xfId="0" applyFont="1" applyAlignment="1">
      <alignment horizontal="center"/>
    </xf>
    <xf numFmtId="10" fontId="6" fillId="0" borderId="9" xfId="0" applyNumberFormat="1" applyFont="1" applyBorder="1" applyAlignment="1">
      <alignment horizontal="center" vertical="center"/>
    </xf>
    <xf numFmtId="177" fontId="6" fillId="0" borderId="1" xfId="0" applyNumberFormat="1" applyFont="1" applyFill="1" applyBorder="1" applyAlignment="1" applyProtection="1">
      <alignment horizontal="center" vertical="center"/>
      <protection locked="0"/>
    </xf>
    <xf numFmtId="178" fontId="6" fillId="0" borderId="1" xfId="0" applyNumberFormat="1" applyFont="1" applyFill="1" applyBorder="1" applyAlignment="1" applyProtection="1">
      <alignment horizontal="center" vertical="center"/>
      <protection locked="0"/>
    </xf>
    <xf numFmtId="177" fontId="6" fillId="0" borderId="10" xfId="0" applyNumberFormat="1" applyFont="1" applyFill="1" applyBorder="1" applyAlignment="1" applyProtection="1">
      <alignment horizontal="center" vertical="center"/>
      <protection locked="0"/>
    </xf>
    <xf numFmtId="10" fontId="6" fillId="0" borderId="1" xfId="0" applyNumberFormat="1" applyFont="1" applyBorder="1" applyAlignment="1">
      <alignment horizontal="center" vertical="center"/>
    </xf>
    <xf numFmtId="177" fontId="6" fillId="0" borderId="11" xfId="0" applyNumberFormat="1" applyFont="1" applyFill="1" applyBorder="1" applyAlignment="1" applyProtection="1">
      <alignment horizontal="center" vertical="center"/>
      <protection locked="0"/>
    </xf>
    <xf numFmtId="0" fontId="6" fillId="0" borderId="1" xfId="0" applyFont="1" applyBorder="1" applyAlignment="1" applyProtection="1">
      <alignment horizontal="left" vertical="center" wrapText="1"/>
      <protection locked="0"/>
    </xf>
    <xf numFmtId="2" fontId="6" fillId="0" borderId="1" xfId="0" applyNumberFormat="1" applyFont="1" applyFill="1" applyBorder="1" applyAlignment="1" applyProtection="1">
      <alignment horizontal="center" vertical="center"/>
      <protection locked="0"/>
    </xf>
    <xf numFmtId="2" fontId="6" fillId="0" borderId="10" xfId="0" applyNumberFormat="1" applyFont="1" applyFill="1" applyBorder="1" applyAlignment="1" applyProtection="1">
      <alignment horizontal="center" vertical="center"/>
      <protection locked="0"/>
    </xf>
    <xf numFmtId="2" fontId="6" fillId="0" borderId="11" xfId="0" applyNumberFormat="1" applyFont="1" applyFill="1" applyBorder="1" applyAlignment="1" applyProtection="1">
      <alignment horizontal="center" vertical="center"/>
      <protection locked="0"/>
    </xf>
    <xf numFmtId="0" fontId="33" fillId="0" borderId="9" xfId="0" applyFont="1" applyBorder="1" applyAlignment="1">
      <alignment horizontal="center" vertical="center"/>
    </xf>
    <xf numFmtId="0" fontId="34" fillId="0" borderId="1" xfId="0" applyFont="1" applyFill="1" applyBorder="1" applyAlignment="1" applyProtection="1">
      <alignment horizontal="center" vertical="center"/>
      <protection locked="0"/>
    </xf>
    <xf numFmtId="0" fontId="33" fillId="0" borderId="1" xfId="0" quotePrefix="1" applyFont="1" applyFill="1" applyBorder="1" applyAlignment="1" applyProtection="1">
      <alignment horizontal="center" vertical="center"/>
      <protection locked="0"/>
    </xf>
    <xf numFmtId="2" fontId="33" fillId="0" borderId="10" xfId="0" applyNumberFormat="1" applyFont="1" applyFill="1" applyBorder="1" applyAlignment="1" applyProtection="1">
      <alignment horizontal="center" vertical="center" wrapText="1"/>
      <protection locked="0"/>
    </xf>
    <xf numFmtId="0" fontId="33" fillId="0" borderId="1" xfId="0" applyFont="1" applyBorder="1" applyAlignment="1">
      <alignment horizontal="center" vertical="center"/>
    </xf>
    <xf numFmtId="2" fontId="33" fillId="0" borderId="11" xfId="0" applyNumberFormat="1" applyFont="1" applyFill="1" applyBorder="1" applyAlignment="1" applyProtection="1">
      <alignment horizontal="center" vertical="center" wrapText="1"/>
      <protection locked="0"/>
    </xf>
    <xf numFmtId="0" fontId="33" fillId="0" borderId="1" xfId="0" applyFont="1" applyFill="1" applyBorder="1" applyAlignment="1" applyProtection="1">
      <alignment horizontal="left" vertical="center"/>
      <protection locked="0"/>
    </xf>
    <xf numFmtId="0" fontId="23" fillId="0" borderId="12" xfId="0" applyFont="1" applyBorder="1" applyAlignment="1">
      <alignment horizontal="centerContinuous" vertical="center"/>
    </xf>
    <xf numFmtId="0" fontId="23" fillId="0" borderId="13" xfId="0" applyFont="1" applyBorder="1" applyAlignment="1">
      <alignment horizontal="centerContinuous" vertical="center"/>
    </xf>
    <xf numFmtId="0" fontId="33" fillId="0" borderId="11" xfId="0" applyFont="1" applyBorder="1" applyAlignment="1">
      <alignment horizontal="centerContinuous" vertical="center"/>
    </xf>
    <xf numFmtId="0" fontId="23" fillId="0" borderId="14" xfId="0" applyFont="1" applyBorder="1" applyAlignment="1">
      <alignment horizontal="centerContinuous" vertical="center"/>
    </xf>
    <xf numFmtId="0" fontId="33" fillId="0" borderId="13" xfId="0" applyFont="1" applyBorder="1" applyAlignment="1">
      <alignment horizontal="centerContinuous" vertical="center"/>
    </xf>
    <xf numFmtId="0" fontId="33" fillId="0" borderId="15" xfId="0" applyFont="1" applyBorder="1" applyAlignment="1">
      <alignment horizontal="centerContinuous" vertical="center"/>
    </xf>
    <xf numFmtId="0" fontId="23" fillId="0" borderId="0" xfId="0" applyFont="1" applyAlignment="1">
      <alignment horizontal="center" vertical="center"/>
    </xf>
    <xf numFmtId="0" fontId="7" fillId="0" borderId="16" xfId="0" applyFont="1" applyBorder="1" applyAlignment="1">
      <alignment horizontal="centerContinuous" vertical="center"/>
    </xf>
    <xf numFmtId="0" fontId="7" fillId="0" borderId="17" xfId="0" applyFont="1" applyBorder="1" applyAlignment="1">
      <alignment horizontal="centerContinuous" vertical="center"/>
    </xf>
    <xf numFmtId="0" fontId="7" fillId="0" borderId="18" xfId="0" applyFont="1" applyBorder="1" applyAlignment="1">
      <alignment horizontal="centerContinuous" vertical="center"/>
    </xf>
    <xf numFmtId="0" fontId="6" fillId="0" borderId="0" xfId="0" applyFont="1" applyAlignment="1">
      <alignment horizontal="center" vertical="center"/>
    </xf>
    <xf numFmtId="0" fontId="37" fillId="0" borderId="0" xfId="0" applyFont="1" applyAlignment="1">
      <alignment horizontal="left" vertical="center"/>
    </xf>
    <xf numFmtId="0" fontId="7" fillId="0" borderId="1" xfId="0" applyFont="1" applyBorder="1" applyAlignment="1" applyProtection="1">
      <alignment horizontal="left" vertical="center"/>
      <protection locked="0"/>
    </xf>
    <xf numFmtId="0" fontId="24" fillId="2" borderId="1" xfId="0" applyFont="1" applyFill="1" applyBorder="1" applyAlignment="1" applyProtection="1">
      <alignment horizontal="center" vertical="top" wrapText="1"/>
      <protection locked="0"/>
    </xf>
    <xf numFmtId="0" fontId="24" fillId="8" borderId="1" xfId="0" applyFont="1" applyFill="1" applyBorder="1" applyAlignment="1" applyProtection="1">
      <alignment vertical="top" wrapText="1"/>
      <protection locked="0"/>
    </xf>
    <xf numFmtId="0" fontId="24" fillId="8" borderId="1" xfId="0" applyFont="1" applyFill="1" applyBorder="1" applyAlignment="1" applyProtection="1">
      <alignment horizontal="center" vertical="center"/>
      <protection locked="0"/>
    </xf>
    <xf numFmtId="2" fontId="24" fillId="8" borderId="1" xfId="0" applyNumberFormat="1" applyFont="1" applyFill="1" applyBorder="1" applyAlignment="1" applyProtection="1">
      <alignment horizontal="center" vertical="center"/>
    </xf>
    <xf numFmtId="0" fontId="24" fillId="8" borderId="1" xfId="0" applyFont="1" applyFill="1" applyBorder="1" applyAlignment="1" applyProtection="1">
      <alignment horizontal="center" vertical="center"/>
    </xf>
    <xf numFmtId="10" fontId="6" fillId="8" borderId="1" xfId="0" applyNumberFormat="1" applyFont="1" applyFill="1" applyBorder="1" applyAlignment="1" applyProtection="1">
      <alignment horizontal="center" vertical="center"/>
    </xf>
    <xf numFmtId="177" fontId="6" fillId="9" borderId="1" xfId="3" applyNumberFormat="1" applyFont="1" applyFill="1" applyBorder="1" applyAlignment="1" applyProtection="1">
      <alignment horizontal="center" vertical="center"/>
    </xf>
    <xf numFmtId="0" fontId="7" fillId="0" borderId="1" xfId="0" applyFont="1" applyBorder="1" applyAlignment="1" applyProtection="1">
      <alignment horizontal="center" vertical="center"/>
      <protection locked="0"/>
    </xf>
    <xf numFmtId="177" fontId="6" fillId="9" borderId="1" xfId="3" applyNumberFormat="1" applyFont="1" applyFill="1" applyBorder="1" applyAlignment="1" applyProtection="1">
      <alignment horizontal="center" vertical="center"/>
      <protection locked="0"/>
    </xf>
    <xf numFmtId="0" fontId="39" fillId="0" borderId="7" xfId="0" applyFont="1" applyFill="1" applyBorder="1" applyProtection="1">
      <protection hidden="1"/>
    </xf>
    <xf numFmtId="176" fontId="38" fillId="0" borderId="1" xfId="0" applyNumberFormat="1" applyFont="1" applyFill="1" applyBorder="1" applyAlignment="1" applyProtection="1">
      <alignment horizontal="center" vertical="center"/>
      <protection hidden="1"/>
    </xf>
    <xf numFmtId="10" fontId="38" fillId="0" borderId="1" xfId="0" applyNumberFormat="1" applyFont="1" applyFill="1" applyBorder="1" applyAlignment="1" applyProtection="1">
      <alignment horizontal="center" vertical="center"/>
      <protection hidden="1"/>
    </xf>
    <xf numFmtId="0" fontId="19" fillId="0" borderId="19" xfId="0" applyFont="1" applyFill="1" applyBorder="1" applyAlignment="1" applyProtection="1">
      <alignment horizontal="left" vertical="center"/>
      <protection hidden="1"/>
    </xf>
    <xf numFmtId="0" fontId="12" fillId="0" borderId="0" xfId="0" applyFont="1" applyFill="1" applyBorder="1" applyAlignment="1" applyProtection="1">
      <alignment vertical="center"/>
      <protection hidden="1"/>
    </xf>
    <xf numFmtId="0" fontId="38" fillId="0" borderId="1" xfId="0" applyFont="1" applyFill="1" applyBorder="1" applyAlignment="1" applyProtection="1">
      <alignment vertical="center"/>
      <protection hidden="1"/>
    </xf>
    <xf numFmtId="0" fontId="38" fillId="0" borderId="11" xfId="0" applyFont="1" applyFill="1" applyBorder="1" applyAlignment="1" applyProtection="1">
      <alignment vertical="center"/>
      <protection hidden="1"/>
    </xf>
    <xf numFmtId="0" fontId="38" fillId="0" borderId="20" xfId="0" applyFont="1" applyFill="1" applyBorder="1" applyAlignment="1" applyProtection="1">
      <alignment vertical="center"/>
      <protection hidden="1"/>
    </xf>
    <xf numFmtId="0" fontId="38" fillId="0" borderId="2" xfId="0" applyFont="1" applyFill="1" applyBorder="1" applyAlignment="1" applyProtection="1">
      <alignment horizontal="center" vertical="center"/>
      <protection hidden="1"/>
    </xf>
    <xf numFmtId="0" fontId="38" fillId="0" borderId="1" xfId="0" applyFont="1" applyFill="1" applyBorder="1" applyAlignment="1" applyProtection="1">
      <alignment horizontal="center" vertical="center"/>
      <protection hidden="1"/>
    </xf>
    <xf numFmtId="2" fontId="38" fillId="0" borderId="1" xfId="0" applyNumberFormat="1" applyFont="1" applyFill="1" applyBorder="1" applyAlignment="1" applyProtection="1">
      <alignment horizontal="center" vertical="center"/>
      <protection hidden="1"/>
    </xf>
    <xf numFmtId="2" fontId="38" fillId="0" borderId="2" xfId="0" applyNumberFormat="1" applyFont="1" applyFill="1" applyBorder="1" applyAlignment="1" applyProtection="1">
      <alignment horizontal="center" vertical="center"/>
      <protection hidden="1"/>
    </xf>
    <xf numFmtId="0" fontId="1" fillId="0" borderId="1" xfId="0" applyFont="1" applyFill="1" applyBorder="1" applyProtection="1">
      <protection hidden="1"/>
    </xf>
    <xf numFmtId="0" fontId="1" fillId="0" borderId="1" xfId="0" applyFont="1" applyFill="1" applyBorder="1" applyAlignment="1" applyProtection="1">
      <alignment horizontal="left"/>
      <protection hidden="1"/>
    </xf>
    <xf numFmtId="10" fontId="5" fillId="0" borderId="1" xfId="0" applyNumberFormat="1" applyFont="1" applyBorder="1" applyAlignment="1" applyProtection="1">
      <alignment horizontal="center" vertical="center"/>
    </xf>
    <xf numFmtId="0" fontId="2" fillId="0" borderId="0" xfId="0" applyFont="1" applyFill="1" applyAlignment="1" applyProtection="1">
      <alignment horizontal="right"/>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horizontal="center" vertical="center"/>
      <protection locked="0"/>
    </xf>
    <xf numFmtId="0" fontId="2" fillId="0" borderId="0" xfId="0" applyFont="1" applyFill="1" applyAlignment="1" applyProtection="1">
      <alignment horizontal="center" vertical="center"/>
    </xf>
    <xf numFmtId="0" fontId="24" fillId="0" borderId="0" xfId="0" applyFont="1" applyFill="1" applyAlignment="1" applyProtection="1">
      <alignment horizontal="center"/>
      <protection locked="0"/>
    </xf>
    <xf numFmtId="0" fontId="27" fillId="0" borderId="0" xfId="0" applyFont="1" applyFill="1" applyAlignment="1" applyProtection="1">
      <alignment horizontal="center"/>
      <protection locked="0"/>
    </xf>
    <xf numFmtId="0" fontId="27" fillId="0" borderId="0" xfId="0" applyFont="1" applyFill="1" applyProtection="1">
      <protection locked="0"/>
    </xf>
    <xf numFmtId="0" fontId="4" fillId="0" borderId="1" xfId="1" applyFont="1" applyBorder="1" applyAlignment="1" applyProtection="1">
      <alignment vertical="center"/>
      <protection locked="0"/>
    </xf>
    <xf numFmtId="0" fontId="4" fillId="0" borderId="11" xfId="1" applyBorder="1" applyProtection="1">
      <protection locked="0"/>
    </xf>
    <xf numFmtId="0" fontId="4" fillId="0" borderId="14" xfId="1" applyFont="1" applyBorder="1" applyProtection="1">
      <protection locked="0"/>
    </xf>
    <xf numFmtId="0" fontId="4" fillId="0" borderId="1" xfId="1" applyFont="1" applyBorder="1" applyAlignment="1" applyProtection="1">
      <alignment horizontal="left" vertical="center"/>
      <protection locked="0"/>
    </xf>
    <xf numFmtId="0" fontId="4" fillId="0" borderId="11" xfId="1" applyFont="1" applyBorder="1" applyProtection="1">
      <protection locked="0"/>
    </xf>
    <xf numFmtId="0" fontId="4" fillId="0" borderId="11" xfId="1" quotePrefix="1" applyFont="1" applyBorder="1" applyProtection="1">
      <protection locked="0"/>
    </xf>
    <xf numFmtId="14" fontId="4" fillId="0" borderId="11" xfId="1" applyNumberFormat="1" applyFont="1" applyBorder="1" applyAlignment="1" applyProtection="1">
      <alignment horizontal="left"/>
      <protection locked="0"/>
    </xf>
    <xf numFmtId="49" fontId="41" fillId="2" borderId="1" xfId="1" applyNumberFormat="1" applyFont="1" applyFill="1" applyBorder="1" applyAlignment="1" applyProtection="1">
      <alignment horizontal="center" vertical="center"/>
      <protection locked="0"/>
    </xf>
    <xf numFmtId="2" fontId="6" fillId="2" borderId="1" xfId="1" applyNumberFormat="1" applyFont="1" applyFill="1" applyBorder="1" applyAlignment="1" applyProtection="1">
      <alignment horizontal="center" vertical="center"/>
      <protection locked="0"/>
    </xf>
    <xf numFmtId="180" fontId="6" fillId="2" borderId="1" xfId="1" applyNumberFormat="1" applyFont="1" applyFill="1" applyBorder="1" applyAlignment="1" applyProtection="1">
      <alignment horizontal="center" vertical="center"/>
      <protection locked="0"/>
    </xf>
    <xf numFmtId="179" fontId="42" fillId="9" borderId="1" xfId="3" applyNumberFormat="1" applyFont="1" applyFill="1" applyBorder="1" applyAlignment="1" applyProtection="1">
      <alignment horizontal="center" vertical="center"/>
      <protection locked="0"/>
    </xf>
    <xf numFmtId="0" fontId="11" fillId="10" borderId="0" xfId="0" applyFont="1" applyFill="1" applyProtection="1"/>
    <xf numFmtId="0" fontId="7" fillId="11" borderId="0" xfId="0" applyFont="1" applyFill="1" applyBorder="1" applyAlignment="1" applyProtection="1">
      <alignment horizontal="center" vertical="center" textRotation="90"/>
      <protection locked="0"/>
    </xf>
    <xf numFmtId="0" fontId="7" fillId="11" borderId="1" xfId="0" applyFont="1" applyFill="1" applyBorder="1" applyAlignment="1" applyProtection="1">
      <alignment vertical="center" wrapText="1"/>
      <protection locked="0"/>
    </xf>
    <xf numFmtId="0" fontId="7" fillId="11" borderId="1" xfId="0" applyFont="1" applyFill="1" applyBorder="1" applyAlignment="1" applyProtection="1">
      <alignment vertical="center"/>
      <protection locked="0"/>
    </xf>
    <xf numFmtId="0" fontId="4" fillId="11" borderId="1" xfId="1" applyFont="1" applyFill="1" applyBorder="1" applyAlignment="1" applyProtection="1">
      <alignment horizontal="left" vertical="center"/>
      <protection locked="0"/>
    </xf>
    <xf numFmtId="0" fontId="4" fillId="11" borderId="1" xfId="1" applyFont="1" applyFill="1" applyBorder="1" applyAlignment="1" applyProtection="1">
      <alignment vertical="center"/>
      <protection locked="0"/>
    </xf>
    <xf numFmtId="0" fontId="4" fillId="11" borderId="11" xfId="1" applyFill="1" applyBorder="1" applyProtection="1">
      <protection locked="0"/>
    </xf>
    <xf numFmtId="0" fontId="4" fillId="11" borderId="14" xfId="1" applyFont="1" applyFill="1" applyBorder="1" applyProtection="1">
      <protection locked="0"/>
    </xf>
    <xf numFmtId="0" fontId="4" fillId="0" borderId="1" xfId="1" applyFont="1" applyFill="1" applyBorder="1" applyAlignment="1" applyProtection="1">
      <alignment horizontal="left" vertical="center"/>
      <protection locked="0"/>
    </xf>
    <xf numFmtId="0" fontId="4" fillId="0" borderId="11" xfId="1" quotePrefix="1" applyFont="1" applyFill="1" applyBorder="1" applyProtection="1">
      <protection locked="0"/>
    </xf>
  </cellXfs>
  <cellStyles count="5">
    <cellStyle name="Normal_JGP-099-3468-07 W68 antenna window_CPK--20140310" xfId="1" xr:uid="{00000000-0005-0000-0000-000000000000}"/>
    <cellStyle name="一般" xfId="0" builtinId="0"/>
    <cellStyle name="百分比" xfId="2" builtinId="5"/>
    <cellStyle name="常规_K20 Top case Cpk Rev.39" xfId="3" xr:uid="{00000000-0005-0000-0000-000003000000}"/>
    <cellStyle name="標準_069-0711-D (3)" xfId="4" xr:uid="{00000000-0005-0000-0000-000004000000}"/>
  </cellStyles>
  <dxfs count="77">
    <dxf>
      <fill>
        <patternFill>
          <bgColor indexed="44"/>
        </patternFill>
      </fill>
    </dxf>
    <dxf>
      <fill>
        <patternFill>
          <bgColor indexed="43"/>
        </patternFill>
      </fill>
    </dxf>
    <dxf>
      <fill>
        <patternFill>
          <bgColor indexed="27"/>
        </patternFill>
      </fill>
    </dxf>
    <dxf>
      <fill>
        <patternFill>
          <bgColor indexed="44"/>
        </patternFill>
      </fill>
    </dxf>
    <dxf>
      <fill>
        <patternFill>
          <bgColor indexed="43"/>
        </patternFill>
      </fill>
    </dxf>
    <dxf>
      <fill>
        <patternFill>
          <bgColor indexed="27"/>
        </patternFill>
      </fill>
    </dxf>
    <dxf>
      <fill>
        <patternFill>
          <bgColor indexed="10"/>
        </patternFill>
      </fill>
    </dxf>
    <dxf>
      <fill>
        <patternFill>
          <bgColor indexed="43"/>
        </patternFill>
      </fill>
    </dxf>
    <dxf>
      <fill>
        <patternFill>
          <bgColor indexed="27"/>
        </patternFill>
      </fill>
    </dxf>
    <dxf>
      <fill>
        <patternFill>
          <bgColor indexed="27"/>
        </patternFill>
      </fill>
    </dxf>
    <dxf>
      <fill>
        <patternFill>
          <bgColor indexed="44"/>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10"/>
        </patternFill>
      </fill>
    </dxf>
    <dxf>
      <fill>
        <patternFill>
          <bgColor indexed="13"/>
        </patternFill>
      </fill>
    </dxf>
    <dxf>
      <fill>
        <patternFill>
          <bgColor indexed="57"/>
        </patternFill>
      </fill>
    </dxf>
    <dxf>
      <font>
        <b val="0"/>
        <i val="0"/>
        <condense val="0"/>
        <extend val="0"/>
        <color indexed="12"/>
      </font>
    </dxf>
    <dxf>
      <fill>
        <patternFill>
          <bgColor indexed="57"/>
        </patternFill>
      </fill>
    </dxf>
    <dxf>
      <fill>
        <patternFill>
          <bgColor indexed="44"/>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10"/>
        </patternFill>
      </fill>
    </dxf>
    <dxf>
      <fill>
        <patternFill>
          <bgColor indexed="13"/>
        </patternFill>
      </fill>
    </dxf>
    <dxf>
      <fill>
        <patternFill>
          <bgColor indexed="57"/>
        </patternFill>
      </fill>
    </dxf>
    <dxf>
      <font>
        <b val="0"/>
        <i val="0"/>
        <condense val="0"/>
        <extend val="0"/>
        <color indexed="12"/>
      </font>
    </dxf>
    <dxf>
      <fill>
        <patternFill>
          <bgColor indexed="57"/>
        </patternFill>
      </fill>
    </dxf>
    <dxf>
      <fill>
        <patternFill>
          <bgColor indexed="44"/>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10"/>
        </patternFill>
      </fill>
    </dxf>
    <dxf>
      <fill>
        <patternFill>
          <bgColor indexed="13"/>
        </patternFill>
      </fill>
    </dxf>
    <dxf>
      <fill>
        <patternFill>
          <bgColor indexed="57"/>
        </patternFill>
      </fill>
    </dxf>
    <dxf>
      <font>
        <b val="0"/>
        <i val="0"/>
        <condense val="0"/>
        <extend val="0"/>
        <color indexed="12"/>
      </font>
    </dxf>
    <dxf>
      <fill>
        <patternFill>
          <bgColor indexed="57"/>
        </patternFill>
      </fill>
    </dxf>
    <dxf>
      <fill>
        <patternFill>
          <bgColor indexed="44"/>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44"/>
        </patternFill>
      </fill>
    </dxf>
    <dxf>
      <fill>
        <patternFill>
          <bgColor indexed="13"/>
        </patternFill>
      </fill>
    </dxf>
    <dxf>
      <fill>
        <patternFill>
          <bgColor indexed="57"/>
        </patternFill>
      </fill>
    </dxf>
    <dxf>
      <fill>
        <patternFill>
          <bgColor indexed="10"/>
        </patternFill>
      </fill>
    </dxf>
    <dxf>
      <fill>
        <patternFill>
          <bgColor indexed="13"/>
        </patternFill>
      </fill>
    </dxf>
    <dxf>
      <fill>
        <patternFill>
          <bgColor indexed="57"/>
        </patternFill>
      </fill>
    </dxf>
    <dxf>
      <font>
        <b val="0"/>
        <i val="0"/>
        <condense val="0"/>
        <extend val="0"/>
        <color indexed="12"/>
      </font>
    </dxf>
    <dxf>
      <fill>
        <patternFill>
          <bgColor indexed="57"/>
        </patternFill>
      </fill>
    </dxf>
    <dxf>
      <fill>
        <patternFill>
          <bgColor indexed="44"/>
        </patternFill>
      </fill>
    </dxf>
    <dxf>
      <fill>
        <patternFill>
          <bgColor indexed="10"/>
        </patternFill>
      </fill>
    </dxf>
    <dxf>
      <fill>
        <patternFill>
          <bgColor indexed="13"/>
        </patternFill>
      </fill>
    </dxf>
    <dxf>
      <font>
        <condense val="0"/>
        <extend val="0"/>
        <color auto="1"/>
      </font>
      <fill>
        <patternFill>
          <bgColor indexed="57"/>
        </patternFill>
      </fill>
    </dxf>
    <dxf>
      <fill>
        <patternFill>
          <bgColor indexed="10"/>
        </patternFill>
      </fill>
    </dxf>
    <dxf>
      <fill>
        <patternFill>
          <bgColor indexed="13"/>
        </patternFill>
      </fill>
    </dxf>
    <dxf>
      <font>
        <condense val="0"/>
        <extend val="0"/>
        <color auto="1"/>
      </font>
      <fill>
        <patternFill>
          <bgColor indexed="57"/>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005870007732004E-2"/>
          <c:y val="8.9754747568318666E-2"/>
          <c:w val="0.87671421583324127"/>
          <c:h val="0.70404507053805776"/>
        </c:manualLayout>
      </c:layout>
      <c:barChart>
        <c:barDir val="col"/>
        <c:grouping val="stack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numRef>
              <c:f>[0]!GroupInterval</c:f>
              <c:numCache>
                <c:formatCode>0.000</c:formatCode>
                <c:ptCount val="2"/>
                <c:pt idx="0">
                  <c:v>0</c:v>
                </c:pt>
                <c:pt idx="1">
                  <c:v>0</c:v>
                </c:pt>
              </c:numCache>
            </c:numRef>
          </c:cat>
          <c:val>
            <c:numRef>
              <c:f>[0]!Histogram</c:f>
              <c:numCache>
                <c:formatCode>General</c:formatCode>
                <c:ptCount val="2"/>
                <c:pt idx="0">
                  <c:v>0</c:v>
                </c:pt>
                <c:pt idx="1">
                  <c:v>0</c:v>
                </c:pt>
              </c:numCache>
            </c:numRef>
          </c:val>
          <c:extLst>
            <c:ext xmlns:c16="http://schemas.microsoft.com/office/drawing/2014/chart" uri="{C3380CC4-5D6E-409C-BE32-E72D297353CC}">
              <c16:uniqueId val="{00000000-121F-409C-BB31-74B1BE71C094}"/>
            </c:ext>
          </c:extLst>
        </c:ser>
        <c:dLbls>
          <c:showLegendKey val="0"/>
          <c:showVal val="0"/>
          <c:showCatName val="0"/>
          <c:showSerName val="0"/>
          <c:showPercent val="0"/>
          <c:showBubbleSize val="0"/>
        </c:dLbls>
        <c:gapWidth val="0"/>
        <c:overlap val="50"/>
        <c:axId val="223479552"/>
        <c:axId val="1"/>
      </c:barChart>
      <c:scatterChart>
        <c:scatterStyle val="lineMarker"/>
        <c:varyColors val="0"/>
        <c:ser>
          <c:idx val="1"/>
          <c:order val="1"/>
          <c:spPr>
            <a:ln w="25400">
              <a:solidFill>
                <a:srgbClr val="DD2D32"/>
              </a:solidFill>
              <a:prstDash val="solid"/>
            </a:ln>
          </c:spPr>
          <c:marker>
            <c:symbol val="none"/>
          </c:marker>
          <c:xVal>
            <c:numRef>
              <c:f>[0]!DISTINTERVAL</c:f>
              <c:numCache>
                <c:formatCode>0.000</c:formatCode>
                <c:ptCount val="2"/>
                <c:pt idx="0">
                  <c:v>0</c:v>
                </c:pt>
                <c:pt idx="1">
                  <c:v>0</c:v>
                </c:pt>
              </c:numCache>
            </c:numRef>
          </c:xVal>
          <c:yVal>
            <c:numRef>
              <c:f>[0]!NORMDIST</c:f>
              <c:numCache>
                <c:formatCode>General</c:formatCode>
                <c:ptCount val="2"/>
                <c:pt idx="0">
                  <c:v>0</c:v>
                </c:pt>
                <c:pt idx="1">
                  <c:v>0</c:v>
                </c:pt>
              </c:numCache>
            </c:numRef>
          </c:yVal>
          <c:smooth val="1"/>
          <c:extLst>
            <c:ext xmlns:c16="http://schemas.microsoft.com/office/drawing/2014/chart" uri="{C3380CC4-5D6E-409C-BE32-E72D297353CC}">
              <c16:uniqueId val="{00000001-121F-409C-BB31-74B1BE71C094}"/>
            </c:ext>
          </c:extLst>
        </c:ser>
        <c:ser>
          <c:idx val="2"/>
          <c:order val="2"/>
          <c:tx>
            <c:strRef>
              <c:f>'Histogram Chart'!$D$5</c:f>
              <c:strCache>
                <c:ptCount val="1"/>
                <c:pt idx="0">
                  <c:v>LSL</c:v>
                </c:pt>
              </c:strCache>
            </c:strRef>
          </c:tx>
          <c:spPr>
            <a:ln w="38100">
              <a:solidFill>
                <a:srgbClr val="DD0806"/>
              </a:solidFill>
              <a:prstDash val="solid"/>
            </a:ln>
          </c:spPr>
          <c:marker>
            <c:symbol val="none"/>
          </c:marker>
          <c:xVal>
            <c:numRef>
              <c:f>'Histogram Chart'!$D$6:$D$7</c:f>
              <c:numCache>
                <c:formatCode>0.000</c:formatCode>
                <c:ptCount val="2"/>
                <c:pt idx="0">
                  <c:v>0</c:v>
                </c:pt>
                <c:pt idx="1">
                  <c:v>0</c:v>
                </c:pt>
              </c:numCache>
            </c:numRef>
          </c:xVal>
          <c:yVal>
            <c:numRef>
              <c:f>'Histogram Chart'!$C$6:$C$7</c:f>
              <c:numCache>
                <c:formatCode>General</c:formatCode>
                <c:ptCount val="2"/>
                <c:pt idx="0">
                  <c:v>0</c:v>
                </c:pt>
                <c:pt idx="1">
                  <c:v>0</c:v>
                </c:pt>
              </c:numCache>
            </c:numRef>
          </c:yVal>
          <c:smooth val="0"/>
          <c:extLst>
            <c:ext xmlns:c16="http://schemas.microsoft.com/office/drawing/2014/chart" uri="{C3380CC4-5D6E-409C-BE32-E72D297353CC}">
              <c16:uniqueId val="{00000002-121F-409C-BB31-74B1BE71C094}"/>
            </c:ext>
          </c:extLst>
        </c:ser>
        <c:ser>
          <c:idx val="4"/>
          <c:order val="3"/>
          <c:tx>
            <c:strRef>
              <c:f>'Histogram Chart'!$F$5</c:f>
              <c:strCache>
                <c:ptCount val="1"/>
                <c:pt idx="0">
                  <c:v>USL</c:v>
                </c:pt>
              </c:strCache>
            </c:strRef>
          </c:tx>
          <c:spPr>
            <a:ln w="38100">
              <a:solidFill>
                <a:srgbClr val="DD0806"/>
              </a:solidFill>
              <a:prstDash val="solid"/>
            </a:ln>
          </c:spPr>
          <c:marker>
            <c:symbol val="none"/>
          </c:marker>
          <c:xVal>
            <c:numRef>
              <c:f>'Histogram Chart'!$F$6:$F$7</c:f>
              <c:numCache>
                <c:formatCode>0.000</c:formatCode>
                <c:ptCount val="2"/>
                <c:pt idx="0">
                  <c:v>0</c:v>
                </c:pt>
                <c:pt idx="1">
                  <c:v>0</c:v>
                </c:pt>
              </c:numCache>
            </c:numRef>
          </c:xVal>
          <c:yVal>
            <c:numRef>
              <c:f>'Histogram Chart'!$C$6:$C$7</c:f>
              <c:numCache>
                <c:formatCode>General</c:formatCode>
                <c:ptCount val="2"/>
                <c:pt idx="0">
                  <c:v>0</c:v>
                </c:pt>
                <c:pt idx="1">
                  <c:v>0</c:v>
                </c:pt>
              </c:numCache>
            </c:numRef>
          </c:yVal>
          <c:smooth val="0"/>
          <c:extLst>
            <c:ext xmlns:c16="http://schemas.microsoft.com/office/drawing/2014/chart" uri="{C3380CC4-5D6E-409C-BE32-E72D297353CC}">
              <c16:uniqueId val="{00000003-121F-409C-BB31-74B1BE71C094}"/>
            </c:ext>
          </c:extLst>
        </c:ser>
        <c:ser>
          <c:idx val="5"/>
          <c:order val="4"/>
          <c:tx>
            <c:strRef>
              <c:f>'Histogram Chart'!$G$5</c:f>
              <c:strCache>
                <c:ptCount val="1"/>
                <c:pt idx="0">
                  <c:v>-3Sigma</c:v>
                </c:pt>
              </c:strCache>
            </c:strRef>
          </c:tx>
          <c:spPr>
            <a:ln w="38100">
              <a:solidFill>
                <a:srgbClr val="FCF305"/>
              </a:solidFill>
              <a:prstDash val="sysDash"/>
            </a:ln>
          </c:spPr>
          <c:marker>
            <c:symbol val="none"/>
          </c:marker>
          <c:xVal>
            <c:numRef>
              <c:f>'Histogram Chart'!$G$6:$G$7</c:f>
              <c:numCache>
                <c:formatCode>0.000</c:formatCode>
                <c:ptCount val="2"/>
                <c:pt idx="0">
                  <c:v>0</c:v>
                </c:pt>
                <c:pt idx="1">
                  <c:v>0</c:v>
                </c:pt>
              </c:numCache>
            </c:numRef>
          </c:xVal>
          <c:yVal>
            <c:numRef>
              <c:f>'Histogram Chart'!$C$6:$C$7</c:f>
              <c:numCache>
                <c:formatCode>General</c:formatCode>
                <c:ptCount val="2"/>
                <c:pt idx="0">
                  <c:v>0</c:v>
                </c:pt>
                <c:pt idx="1">
                  <c:v>0</c:v>
                </c:pt>
              </c:numCache>
            </c:numRef>
          </c:yVal>
          <c:smooth val="0"/>
          <c:extLst>
            <c:ext xmlns:c16="http://schemas.microsoft.com/office/drawing/2014/chart" uri="{C3380CC4-5D6E-409C-BE32-E72D297353CC}">
              <c16:uniqueId val="{00000004-121F-409C-BB31-74B1BE71C094}"/>
            </c:ext>
          </c:extLst>
        </c:ser>
        <c:ser>
          <c:idx val="6"/>
          <c:order val="5"/>
          <c:tx>
            <c:strRef>
              <c:f>'Histogram Chart'!$I$5</c:f>
              <c:strCache>
                <c:ptCount val="1"/>
                <c:pt idx="0">
                  <c:v>+3Sigma</c:v>
                </c:pt>
              </c:strCache>
            </c:strRef>
          </c:tx>
          <c:spPr>
            <a:ln w="38100">
              <a:solidFill>
                <a:srgbClr val="FCF305"/>
              </a:solidFill>
              <a:prstDash val="sysDash"/>
            </a:ln>
          </c:spPr>
          <c:marker>
            <c:symbol val="none"/>
          </c:marker>
          <c:xVal>
            <c:numRef>
              <c:f>'Histogram Chart'!$I$6:$I$7</c:f>
              <c:numCache>
                <c:formatCode>0.000</c:formatCode>
                <c:ptCount val="2"/>
                <c:pt idx="0">
                  <c:v>0</c:v>
                </c:pt>
                <c:pt idx="1">
                  <c:v>0</c:v>
                </c:pt>
              </c:numCache>
            </c:numRef>
          </c:xVal>
          <c:yVal>
            <c:numRef>
              <c:f>'Histogram Chart'!$C$6:$C$7</c:f>
              <c:numCache>
                <c:formatCode>General</c:formatCode>
                <c:ptCount val="2"/>
                <c:pt idx="0">
                  <c:v>0</c:v>
                </c:pt>
                <c:pt idx="1">
                  <c:v>0</c:v>
                </c:pt>
              </c:numCache>
            </c:numRef>
          </c:yVal>
          <c:smooth val="0"/>
          <c:extLst>
            <c:ext xmlns:c16="http://schemas.microsoft.com/office/drawing/2014/chart" uri="{C3380CC4-5D6E-409C-BE32-E72D297353CC}">
              <c16:uniqueId val="{00000005-121F-409C-BB31-74B1BE71C094}"/>
            </c:ext>
          </c:extLst>
        </c:ser>
        <c:ser>
          <c:idx val="3"/>
          <c:order val="6"/>
          <c:tx>
            <c:strRef>
              <c:f>'Histogram Chart'!$H$5</c:f>
              <c:strCache>
                <c:ptCount val="1"/>
                <c:pt idx="0">
                  <c:v>Mean</c:v>
                </c:pt>
              </c:strCache>
            </c:strRef>
          </c:tx>
          <c:spPr>
            <a:ln w="25400">
              <a:solidFill>
                <a:srgbClr val="4600A5"/>
              </a:solidFill>
              <a:prstDash val="solid"/>
            </a:ln>
          </c:spPr>
          <c:marker>
            <c:symbol val="none"/>
          </c:marker>
          <c:xVal>
            <c:numRef>
              <c:f>'Histogram Chart'!$H$6:$H$7</c:f>
              <c:numCache>
                <c:formatCode>0.000</c:formatCode>
                <c:ptCount val="2"/>
                <c:pt idx="0">
                  <c:v>0</c:v>
                </c:pt>
                <c:pt idx="1">
                  <c:v>0</c:v>
                </c:pt>
              </c:numCache>
            </c:numRef>
          </c:xVal>
          <c:yVal>
            <c:numRef>
              <c:f>'Histogram Chart'!$C$6:$C$7</c:f>
              <c:numCache>
                <c:formatCode>General</c:formatCode>
                <c:ptCount val="2"/>
                <c:pt idx="0">
                  <c:v>0</c:v>
                </c:pt>
                <c:pt idx="1">
                  <c:v>0</c:v>
                </c:pt>
              </c:numCache>
            </c:numRef>
          </c:yVal>
          <c:smooth val="0"/>
          <c:extLst>
            <c:ext xmlns:c16="http://schemas.microsoft.com/office/drawing/2014/chart" uri="{C3380CC4-5D6E-409C-BE32-E72D297353CC}">
              <c16:uniqueId val="{00000006-121F-409C-BB31-74B1BE71C094}"/>
            </c:ext>
          </c:extLst>
        </c:ser>
        <c:dLbls>
          <c:showLegendKey val="0"/>
          <c:showVal val="0"/>
          <c:showCatName val="0"/>
          <c:showSerName val="0"/>
          <c:showPercent val="0"/>
          <c:showBubbleSize val="0"/>
        </c:dLbls>
        <c:axId val="3"/>
        <c:axId val="4"/>
      </c:scatterChart>
      <c:catAx>
        <c:axId val="223479552"/>
        <c:scaling>
          <c:orientation val="minMax"/>
        </c:scaling>
        <c:delete val="0"/>
        <c:axPos val="b"/>
        <c:numFmt formatCode="0.000" sourceLinked="1"/>
        <c:majorTickMark val="out"/>
        <c:minorTickMark val="none"/>
        <c:tickLblPos val="nextTo"/>
        <c:spPr>
          <a:ln w="3175">
            <a:solidFill>
              <a:srgbClr val="808080"/>
            </a:solidFill>
            <a:prstDash val="solid"/>
          </a:ln>
        </c:spPr>
        <c:txPr>
          <a:bodyPr rot="5400000" vert="horz"/>
          <a:lstStyle/>
          <a:p>
            <a:pPr>
              <a:defRPr sz="1400" b="0" i="0" u="none" strike="noStrike" baseline="0">
                <a:solidFill>
                  <a:srgbClr val="000000"/>
                </a:solidFill>
                <a:latin typeface="Calibri"/>
                <a:ea typeface="Calibri"/>
                <a:cs typeface="Calibri"/>
              </a:defRPr>
            </a:pPr>
            <a:endParaRPr lang="zh-TW"/>
          </a:p>
        </c:txPr>
        <c:crossAx val="1"/>
        <c:crosses val="autoZero"/>
        <c:auto val="1"/>
        <c:lblAlgn val="ctr"/>
        <c:lblOffset val="100"/>
        <c:tickLblSkip val="1"/>
        <c:tickMarkSkip val="1"/>
        <c:noMultiLvlLbl val="0"/>
      </c:catAx>
      <c:valAx>
        <c:axId val="1"/>
        <c:scaling>
          <c:orientation val="minMax"/>
          <c:min val="0"/>
        </c:scaling>
        <c:delete val="0"/>
        <c:axPos val="l"/>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zh-TW"/>
          </a:p>
        </c:txPr>
        <c:crossAx val="223479552"/>
        <c:crosses val="autoZero"/>
        <c:crossBetween val="between"/>
      </c:valAx>
      <c:valAx>
        <c:axId val="3"/>
        <c:scaling>
          <c:orientation val="minMax"/>
          <c:max val="1"/>
        </c:scaling>
        <c:delete val="0"/>
        <c:axPos val="t"/>
        <c:numFmt formatCode="0.000" sourceLinked="1"/>
        <c:majorTickMark val="out"/>
        <c:minorTickMark val="none"/>
        <c:tickLblPos val="nextTo"/>
        <c:spPr>
          <a:ln w="3175">
            <a:solidFill>
              <a:srgbClr val="808080"/>
            </a:solid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4"/>
        <c:crosses val="max"/>
        <c:crossBetween val="midCat"/>
      </c:valAx>
      <c:valAx>
        <c:axId val="4"/>
        <c:scaling>
          <c:orientation val="minMax"/>
          <c:min val="0"/>
        </c:scaling>
        <c:delete val="0"/>
        <c:axPos val="r"/>
        <c:numFmt formatCode="General" sourceLinked="1"/>
        <c:majorTickMark val="out"/>
        <c:minorTickMark val="none"/>
        <c:tickLblPos val="nextTo"/>
        <c:spPr>
          <a:ln w="3175">
            <a:solidFill>
              <a:srgbClr val="808080"/>
            </a:solid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3"/>
        <c:crosses val="max"/>
        <c:crossBetween val="midCat"/>
      </c:valAx>
      <c:spPr>
        <a:solidFill>
          <a:srgbClr val="F79646"/>
        </a:solidFill>
        <a:ln w="25400">
          <a:noFill/>
        </a:ln>
      </c:spPr>
    </c:plotArea>
    <c:plotVisOnly val="1"/>
    <c:dispBlanksAs val="gap"/>
    <c:showDLblsOverMax val="0"/>
  </c:chart>
  <c:spPr>
    <a:solidFill>
      <a:srgbClr val="4F6228"/>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zh-TW"/>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005870007732018E-2"/>
          <c:y val="8.9754747568318638E-2"/>
          <c:w val="0.87671421583324105"/>
          <c:h val="0.71570033485045226"/>
        </c:manualLayout>
      </c:layout>
      <c:barChart>
        <c:barDir val="col"/>
        <c:grouping val="stack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numRef>
              <c:f>[0]!GroupInterval1</c:f>
              <c:numCache>
                <c:formatCode>0.000</c:formatCode>
                <c:ptCount val="2"/>
                <c:pt idx="0">
                  <c:v>0</c:v>
                </c:pt>
                <c:pt idx="1">
                  <c:v>0</c:v>
                </c:pt>
              </c:numCache>
            </c:numRef>
          </c:cat>
          <c:val>
            <c:numRef>
              <c:f>[0]!Histogram1</c:f>
              <c:numCache>
                <c:formatCode>General</c:formatCode>
                <c:ptCount val="2"/>
                <c:pt idx="0">
                  <c:v>0</c:v>
                </c:pt>
                <c:pt idx="1">
                  <c:v>0</c:v>
                </c:pt>
              </c:numCache>
            </c:numRef>
          </c:val>
          <c:extLst>
            <c:ext xmlns:c16="http://schemas.microsoft.com/office/drawing/2014/chart" uri="{C3380CC4-5D6E-409C-BE32-E72D297353CC}">
              <c16:uniqueId val="{00000000-4AF6-41F3-9E3F-5BB7A8DC7B11}"/>
            </c:ext>
          </c:extLst>
        </c:ser>
        <c:dLbls>
          <c:showLegendKey val="0"/>
          <c:showVal val="0"/>
          <c:showCatName val="0"/>
          <c:showSerName val="0"/>
          <c:showPercent val="0"/>
          <c:showBubbleSize val="0"/>
        </c:dLbls>
        <c:gapWidth val="0"/>
        <c:overlap val="50"/>
        <c:axId val="30155312"/>
        <c:axId val="1"/>
      </c:barChart>
      <c:scatterChart>
        <c:scatterStyle val="lineMarker"/>
        <c:varyColors val="0"/>
        <c:ser>
          <c:idx val="1"/>
          <c:order val="1"/>
          <c:spPr>
            <a:ln w="25400">
              <a:solidFill>
                <a:srgbClr val="DD2D32"/>
              </a:solidFill>
              <a:prstDash val="solid"/>
            </a:ln>
          </c:spPr>
          <c:marker>
            <c:symbol val="none"/>
          </c:marker>
          <c:xVal>
            <c:numRef>
              <c:f>[0]!DISTINTERVAL1</c:f>
              <c:numCache>
                <c:formatCode>0.000</c:formatCode>
                <c:ptCount val="2"/>
                <c:pt idx="0">
                  <c:v>0</c:v>
                </c:pt>
                <c:pt idx="1">
                  <c:v>0</c:v>
                </c:pt>
              </c:numCache>
            </c:numRef>
          </c:xVal>
          <c:yVal>
            <c:numRef>
              <c:f>[0]!NORMDIST1</c:f>
              <c:numCache>
                <c:formatCode>General</c:formatCode>
                <c:ptCount val="2"/>
                <c:pt idx="0">
                  <c:v>0</c:v>
                </c:pt>
                <c:pt idx="1">
                  <c:v>0</c:v>
                </c:pt>
              </c:numCache>
            </c:numRef>
          </c:yVal>
          <c:smooth val="1"/>
          <c:extLst>
            <c:ext xmlns:c16="http://schemas.microsoft.com/office/drawing/2014/chart" uri="{C3380CC4-5D6E-409C-BE32-E72D297353CC}">
              <c16:uniqueId val="{00000001-4AF6-41F3-9E3F-5BB7A8DC7B11}"/>
            </c:ext>
          </c:extLst>
        </c:ser>
        <c:ser>
          <c:idx val="2"/>
          <c:order val="2"/>
          <c:tx>
            <c:strRef>
              <c:f>'Histogram Chart'!$O$5</c:f>
              <c:strCache>
                <c:ptCount val="1"/>
                <c:pt idx="0">
                  <c:v>LSL</c:v>
                </c:pt>
              </c:strCache>
            </c:strRef>
          </c:tx>
          <c:spPr>
            <a:ln w="38100">
              <a:solidFill>
                <a:srgbClr val="DD0806"/>
              </a:solidFill>
              <a:prstDash val="solid"/>
            </a:ln>
          </c:spPr>
          <c:marker>
            <c:symbol val="none"/>
          </c:marker>
          <c:xVal>
            <c:numRef>
              <c:f>'Histogram Chart'!$O$6:$O$7</c:f>
              <c:numCache>
                <c:formatCode>0.000</c:formatCode>
                <c:ptCount val="2"/>
                <c:pt idx="0">
                  <c:v>0</c:v>
                </c:pt>
                <c:pt idx="1">
                  <c:v>0</c:v>
                </c:pt>
              </c:numCache>
            </c:numRef>
          </c:xVal>
          <c:yVal>
            <c:numRef>
              <c:f>'Histogram Chart'!$N$6:$N$7</c:f>
              <c:numCache>
                <c:formatCode>General</c:formatCode>
                <c:ptCount val="2"/>
                <c:pt idx="0">
                  <c:v>0</c:v>
                </c:pt>
                <c:pt idx="1">
                  <c:v>0</c:v>
                </c:pt>
              </c:numCache>
            </c:numRef>
          </c:yVal>
          <c:smooth val="0"/>
          <c:extLst>
            <c:ext xmlns:c16="http://schemas.microsoft.com/office/drawing/2014/chart" uri="{C3380CC4-5D6E-409C-BE32-E72D297353CC}">
              <c16:uniqueId val="{00000002-4AF6-41F3-9E3F-5BB7A8DC7B11}"/>
            </c:ext>
          </c:extLst>
        </c:ser>
        <c:ser>
          <c:idx val="4"/>
          <c:order val="3"/>
          <c:tx>
            <c:strRef>
              <c:f>'Histogram Chart'!$Q$5</c:f>
              <c:strCache>
                <c:ptCount val="1"/>
                <c:pt idx="0">
                  <c:v>USL</c:v>
                </c:pt>
              </c:strCache>
            </c:strRef>
          </c:tx>
          <c:spPr>
            <a:ln w="38100">
              <a:solidFill>
                <a:srgbClr val="DD0806"/>
              </a:solidFill>
              <a:prstDash val="solid"/>
            </a:ln>
          </c:spPr>
          <c:marker>
            <c:symbol val="none"/>
          </c:marker>
          <c:xVal>
            <c:numRef>
              <c:f>'Histogram Chart'!$Q$6:$Q$7</c:f>
              <c:numCache>
                <c:formatCode>0.000</c:formatCode>
                <c:ptCount val="2"/>
                <c:pt idx="0">
                  <c:v>0</c:v>
                </c:pt>
                <c:pt idx="1">
                  <c:v>0</c:v>
                </c:pt>
              </c:numCache>
            </c:numRef>
          </c:xVal>
          <c:yVal>
            <c:numRef>
              <c:f>'Histogram Chart'!$N$6:$N$7</c:f>
              <c:numCache>
                <c:formatCode>General</c:formatCode>
                <c:ptCount val="2"/>
                <c:pt idx="0">
                  <c:v>0</c:v>
                </c:pt>
                <c:pt idx="1">
                  <c:v>0</c:v>
                </c:pt>
              </c:numCache>
            </c:numRef>
          </c:yVal>
          <c:smooth val="0"/>
          <c:extLst>
            <c:ext xmlns:c16="http://schemas.microsoft.com/office/drawing/2014/chart" uri="{C3380CC4-5D6E-409C-BE32-E72D297353CC}">
              <c16:uniqueId val="{00000003-4AF6-41F3-9E3F-5BB7A8DC7B11}"/>
            </c:ext>
          </c:extLst>
        </c:ser>
        <c:ser>
          <c:idx val="5"/>
          <c:order val="4"/>
          <c:tx>
            <c:strRef>
              <c:f>'Histogram Chart'!$R$5</c:f>
              <c:strCache>
                <c:ptCount val="1"/>
                <c:pt idx="0">
                  <c:v>-3Sigma</c:v>
                </c:pt>
              </c:strCache>
            </c:strRef>
          </c:tx>
          <c:spPr>
            <a:ln w="38100">
              <a:solidFill>
                <a:srgbClr val="FCF305"/>
              </a:solidFill>
              <a:prstDash val="sysDash"/>
            </a:ln>
          </c:spPr>
          <c:marker>
            <c:symbol val="none"/>
          </c:marker>
          <c:xVal>
            <c:numRef>
              <c:f>'Histogram Chart'!$R$6:$R$7</c:f>
              <c:numCache>
                <c:formatCode>0.000</c:formatCode>
                <c:ptCount val="2"/>
                <c:pt idx="0">
                  <c:v>0</c:v>
                </c:pt>
                <c:pt idx="1">
                  <c:v>0</c:v>
                </c:pt>
              </c:numCache>
            </c:numRef>
          </c:xVal>
          <c:yVal>
            <c:numRef>
              <c:f>'Histogram Chart'!$N$6:$N$7</c:f>
              <c:numCache>
                <c:formatCode>General</c:formatCode>
                <c:ptCount val="2"/>
                <c:pt idx="0">
                  <c:v>0</c:v>
                </c:pt>
                <c:pt idx="1">
                  <c:v>0</c:v>
                </c:pt>
              </c:numCache>
            </c:numRef>
          </c:yVal>
          <c:smooth val="0"/>
          <c:extLst>
            <c:ext xmlns:c16="http://schemas.microsoft.com/office/drawing/2014/chart" uri="{C3380CC4-5D6E-409C-BE32-E72D297353CC}">
              <c16:uniqueId val="{00000004-4AF6-41F3-9E3F-5BB7A8DC7B11}"/>
            </c:ext>
          </c:extLst>
        </c:ser>
        <c:ser>
          <c:idx val="6"/>
          <c:order val="5"/>
          <c:tx>
            <c:strRef>
              <c:f>'Histogram Chart'!$T$5</c:f>
              <c:strCache>
                <c:ptCount val="1"/>
                <c:pt idx="0">
                  <c:v>+3Sigma</c:v>
                </c:pt>
              </c:strCache>
            </c:strRef>
          </c:tx>
          <c:spPr>
            <a:ln w="38100">
              <a:solidFill>
                <a:srgbClr val="FCF305"/>
              </a:solidFill>
              <a:prstDash val="sysDash"/>
            </a:ln>
          </c:spPr>
          <c:marker>
            <c:symbol val="none"/>
          </c:marker>
          <c:xVal>
            <c:numRef>
              <c:f>'Histogram Chart'!$T$6:$T$7</c:f>
              <c:numCache>
                <c:formatCode>0.000</c:formatCode>
                <c:ptCount val="2"/>
                <c:pt idx="0">
                  <c:v>0</c:v>
                </c:pt>
                <c:pt idx="1">
                  <c:v>0</c:v>
                </c:pt>
              </c:numCache>
            </c:numRef>
          </c:xVal>
          <c:yVal>
            <c:numRef>
              <c:f>'Histogram Chart'!$N$6:$N$7</c:f>
              <c:numCache>
                <c:formatCode>General</c:formatCode>
                <c:ptCount val="2"/>
                <c:pt idx="0">
                  <c:v>0</c:v>
                </c:pt>
                <c:pt idx="1">
                  <c:v>0</c:v>
                </c:pt>
              </c:numCache>
            </c:numRef>
          </c:yVal>
          <c:smooth val="0"/>
          <c:extLst>
            <c:ext xmlns:c16="http://schemas.microsoft.com/office/drawing/2014/chart" uri="{C3380CC4-5D6E-409C-BE32-E72D297353CC}">
              <c16:uniqueId val="{00000005-4AF6-41F3-9E3F-5BB7A8DC7B11}"/>
            </c:ext>
          </c:extLst>
        </c:ser>
        <c:ser>
          <c:idx val="3"/>
          <c:order val="6"/>
          <c:tx>
            <c:strRef>
              <c:f>'Histogram Chart'!$S$5</c:f>
              <c:strCache>
                <c:ptCount val="1"/>
                <c:pt idx="0">
                  <c:v>Mean</c:v>
                </c:pt>
              </c:strCache>
            </c:strRef>
          </c:tx>
          <c:spPr>
            <a:ln w="25400">
              <a:solidFill>
                <a:srgbClr val="4600A5"/>
              </a:solidFill>
              <a:prstDash val="solid"/>
            </a:ln>
          </c:spPr>
          <c:marker>
            <c:symbol val="none"/>
          </c:marker>
          <c:xVal>
            <c:numRef>
              <c:f>'Histogram Chart'!$S$6:$S$7</c:f>
              <c:numCache>
                <c:formatCode>0.000</c:formatCode>
                <c:ptCount val="2"/>
                <c:pt idx="0">
                  <c:v>0</c:v>
                </c:pt>
                <c:pt idx="1">
                  <c:v>0</c:v>
                </c:pt>
              </c:numCache>
            </c:numRef>
          </c:xVal>
          <c:yVal>
            <c:numRef>
              <c:f>'Histogram Chart'!$N$6:$N$7</c:f>
              <c:numCache>
                <c:formatCode>General</c:formatCode>
                <c:ptCount val="2"/>
                <c:pt idx="0">
                  <c:v>0</c:v>
                </c:pt>
                <c:pt idx="1">
                  <c:v>0</c:v>
                </c:pt>
              </c:numCache>
            </c:numRef>
          </c:yVal>
          <c:smooth val="0"/>
          <c:extLst>
            <c:ext xmlns:c16="http://schemas.microsoft.com/office/drawing/2014/chart" uri="{C3380CC4-5D6E-409C-BE32-E72D297353CC}">
              <c16:uniqueId val="{00000006-4AF6-41F3-9E3F-5BB7A8DC7B11}"/>
            </c:ext>
          </c:extLst>
        </c:ser>
        <c:dLbls>
          <c:showLegendKey val="0"/>
          <c:showVal val="0"/>
          <c:showCatName val="0"/>
          <c:showSerName val="0"/>
          <c:showPercent val="0"/>
          <c:showBubbleSize val="0"/>
        </c:dLbls>
        <c:axId val="3"/>
        <c:axId val="4"/>
      </c:scatterChart>
      <c:catAx>
        <c:axId val="30155312"/>
        <c:scaling>
          <c:orientation val="minMax"/>
        </c:scaling>
        <c:delete val="0"/>
        <c:axPos val="b"/>
        <c:numFmt formatCode="0.000" sourceLinked="1"/>
        <c:majorTickMark val="out"/>
        <c:minorTickMark val="none"/>
        <c:tickLblPos val="nextTo"/>
        <c:spPr>
          <a:ln w="3175">
            <a:solidFill>
              <a:srgbClr val="808080"/>
            </a:solidFill>
            <a:prstDash val="solid"/>
          </a:ln>
        </c:spPr>
        <c:txPr>
          <a:bodyPr rot="5400000" vert="horz"/>
          <a:lstStyle/>
          <a:p>
            <a:pPr>
              <a:defRPr sz="1400" b="0" i="0" u="none" strike="noStrike" baseline="0">
                <a:solidFill>
                  <a:srgbClr val="000000"/>
                </a:solidFill>
                <a:latin typeface="Calibri"/>
                <a:ea typeface="Calibri"/>
                <a:cs typeface="Calibri"/>
              </a:defRPr>
            </a:pPr>
            <a:endParaRPr lang="zh-TW"/>
          </a:p>
        </c:txPr>
        <c:crossAx val="1"/>
        <c:crosses val="autoZero"/>
        <c:auto val="1"/>
        <c:lblAlgn val="ctr"/>
        <c:lblOffset val="100"/>
        <c:tickLblSkip val="1"/>
        <c:tickMarkSkip val="1"/>
        <c:noMultiLvlLbl val="0"/>
      </c:catAx>
      <c:valAx>
        <c:axId val="1"/>
        <c:scaling>
          <c:orientation val="minMax"/>
          <c:min val="0"/>
        </c:scaling>
        <c:delete val="0"/>
        <c:axPos val="l"/>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zh-TW"/>
          </a:p>
        </c:txPr>
        <c:crossAx val="30155312"/>
        <c:crosses val="autoZero"/>
        <c:crossBetween val="between"/>
      </c:valAx>
      <c:valAx>
        <c:axId val="3"/>
        <c:scaling>
          <c:orientation val="minMax"/>
          <c:max val="1"/>
        </c:scaling>
        <c:delete val="0"/>
        <c:axPos val="t"/>
        <c:numFmt formatCode="0.000" sourceLinked="1"/>
        <c:majorTickMark val="out"/>
        <c:minorTickMark val="none"/>
        <c:tickLblPos val="nextTo"/>
        <c:spPr>
          <a:ln w="3175">
            <a:solidFill>
              <a:srgbClr val="808080"/>
            </a:solid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4"/>
        <c:crosses val="max"/>
        <c:crossBetween val="midCat"/>
      </c:valAx>
      <c:valAx>
        <c:axId val="4"/>
        <c:scaling>
          <c:orientation val="minMax"/>
          <c:min val="0"/>
        </c:scaling>
        <c:delete val="0"/>
        <c:axPos val="r"/>
        <c:numFmt formatCode="General" sourceLinked="1"/>
        <c:majorTickMark val="out"/>
        <c:minorTickMark val="none"/>
        <c:tickLblPos val="nextTo"/>
        <c:spPr>
          <a:ln w="3175">
            <a:solidFill>
              <a:srgbClr val="808080"/>
            </a:solidFill>
            <a:prstDash val="solid"/>
          </a:ln>
        </c:spPr>
        <c:txPr>
          <a:bodyPr rot="0" vert="horz"/>
          <a:lstStyle/>
          <a:p>
            <a:pPr>
              <a:defRPr sz="100" b="0" i="0" u="none" strike="noStrike" baseline="0">
                <a:solidFill>
                  <a:srgbClr val="333300"/>
                </a:solidFill>
                <a:latin typeface="Calibri"/>
                <a:ea typeface="Calibri"/>
                <a:cs typeface="Calibri"/>
              </a:defRPr>
            </a:pPr>
            <a:endParaRPr lang="zh-TW"/>
          </a:p>
        </c:txPr>
        <c:crossAx val="3"/>
        <c:crosses val="max"/>
        <c:crossBetween val="midCat"/>
      </c:valAx>
      <c:spPr>
        <a:solidFill>
          <a:srgbClr val="F79646"/>
        </a:solidFill>
        <a:ln w="25400">
          <a:noFill/>
        </a:ln>
      </c:spPr>
    </c:plotArea>
    <c:plotVisOnly val="1"/>
    <c:dispBlanksAs val="gap"/>
    <c:showDLblsOverMax val="0"/>
  </c:chart>
  <c:spPr>
    <a:solidFill>
      <a:srgbClr val="4F6228"/>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zh-TW"/>
    </a:p>
  </c:txPr>
  <c:printSettings>
    <c:headerFooter alignWithMargins="0"/>
    <c:pageMargins b="1" l="0.75000000000000011" r="0.75000000000000011" t="1" header="0.5" footer="0.5"/>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45720</xdr:colOff>
      <xdr:row>0</xdr:row>
      <xdr:rowOff>307975</xdr:rowOff>
    </xdr:from>
    <xdr:to>
      <xdr:col>3</xdr:col>
      <xdr:colOff>526380</xdr:colOff>
      <xdr:row>1</xdr:row>
      <xdr:rowOff>285846</xdr:rowOff>
    </xdr:to>
    <xdr:sp macro="[0]!Cpk" textlink="">
      <xdr:nvSpPr>
        <xdr:cNvPr id="802855" name="Rounded Rectangle 1">
          <a:extLst>
            <a:ext uri="{FF2B5EF4-FFF2-40B4-BE49-F238E27FC236}">
              <a16:creationId xmlns:a16="http://schemas.microsoft.com/office/drawing/2014/main" id="{D88BCCBF-A6FA-48D7-A5F5-72A51D7D1BCA}"/>
            </a:ext>
          </a:extLst>
        </xdr:cNvPr>
        <xdr:cNvSpPr>
          <a:spLocks noChangeArrowheads="1"/>
        </xdr:cNvSpPr>
      </xdr:nvSpPr>
      <xdr:spPr bwMode="auto">
        <a:xfrm>
          <a:off x="2400300" y="314325"/>
          <a:ext cx="1266825" cy="438150"/>
        </a:xfrm>
        <a:prstGeom prst="roundRect">
          <a:avLst>
            <a:gd name="adj" fmla="val 16667"/>
          </a:avLst>
        </a:prstGeom>
        <a:gradFill rotWithShape="1">
          <a:gsLst>
            <a:gs pos="0">
              <a:srgbClr val="9BC1FF"/>
            </a:gs>
            <a:gs pos="100000">
              <a:srgbClr val="3F80CD"/>
            </a:gs>
          </a:gsLst>
          <a:lin ang="5400000"/>
        </a:gradFill>
        <a:ln w="9525">
          <a:solidFill>
            <a:srgbClr val="4A7EBB"/>
          </a:solidFill>
          <a:round/>
          <a:headEnd/>
          <a:tailEnd/>
        </a:ln>
        <a:effectLst>
          <a:outerShdw dist="23000" dir="5400000" rotWithShape="0">
            <a:srgbClr val="808080">
              <a:alpha val="34999"/>
            </a:srgbClr>
          </a:outerShdw>
        </a:effectLst>
      </xdr:spPr>
      <xdr:txBody>
        <a:bodyPr vertOverflow="clip" wrap="square" lIns="91440" tIns="45720" rIns="91440" bIns="45720" anchor="ctr" upright="1"/>
        <a:lstStyle/>
        <a:p>
          <a:pPr algn="ctr" rtl="0">
            <a:defRPr sz="1000"/>
          </a:pPr>
          <a:r>
            <a:rPr lang="en-US" altLang="zh-CN" sz="1800" b="0" i="0" u="none" strike="noStrike" baseline="0">
              <a:solidFill>
                <a:srgbClr val="FFFFFF"/>
              </a:solidFill>
              <a:latin typeface="Arial"/>
              <a:cs typeface="Arial"/>
            </a:rPr>
            <a:t>Click 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238125</xdr:colOff>
      <xdr:row>7</xdr:row>
      <xdr:rowOff>276225</xdr:rowOff>
    </xdr:from>
    <xdr:to>
      <xdr:col>9</xdr:col>
      <xdr:colOff>428625</xdr:colOff>
      <xdr:row>34</xdr:row>
      <xdr:rowOff>133350</xdr:rowOff>
    </xdr:to>
    <xdr:graphicFrame macro="">
      <xdr:nvGraphicFramePr>
        <xdr:cNvPr id="1088573" name="Chart 7">
          <a:extLst>
            <a:ext uri="{FF2B5EF4-FFF2-40B4-BE49-F238E27FC236}">
              <a16:creationId xmlns:a16="http://schemas.microsoft.com/office/drawing/2014/main" id="{CD34C659-36D3-4564-BBB5-F12313E4A6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381000</xdr:colOff>
      <xdr:row>5</xdr:row>
      <xdr:rowOff>38100</xdr:rowOff>
    </xdr:from>
    <xdr:to>
      <xdr:col>3</xdr:col>
      <xdr:colOff>381000</xdr:colOff>
      <xdr:row>7</xdr:row>
      <xdr:rowOff>257175</xdr:rowOff>
    </xdr:to>
    <xdr:cxnSp macro="">
      <xdr:nvCxnSpPr>
        <xdr:cNvPr id="1088574" name="Straight Connector 3">
          <a:extLst>
            <a:ext uri="{FF2B5EF4-FFF2-40B4-BE49-F238E27FC236}">
              <a16:creationId xmlns:a16="http://schemas.microsoft.com/office/drawing/2014/main" id="{D2D7840C-0F1C-4253-ABDC-12BBE8C0431D}"/>
            </a:ext>
          </a:extLst>
        </xdr:cNvPr>
        <xdr:cNvCxnSpPr>
          <a:cxnSpLocks noChangeShapeType="1"/>
        </xdr:cNvCxnSpPr>
      </xdr:nvCxnSpPr>
      <xdr:spPr bwMode="auto">
        <a:xfrm rot="16200000" flipV="1">
          <a:off x="3338512" y="1976438"/>
          <a:ext cx="790575" cy="0"/>
        </a:xfrm>
        <a:prstGeom prst="line">
          <a:avLst/>
        </a:prstGeom>
        <a:noFill/>
        <a:ln w="25400">
          <a:solidFill>
            <a:srgbClr val="FF0000"/>
          </a:solidFill>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6</xdr:col>
      <xdr:colOff>400050</xdr:colOff>
      <xdr:row>4</xdr:row>
      <xdr:rowOff>257175</xdr:rowOff>
    </xdr:from>
    <xdr:to>
      <xdr:col>6</xdr:col>
      <xdr:colOff>400050</xdr:colOff>
      <xdr:row>7</xdr:row>
      <xdr:rowOff>190500</xdr:rowOff>
    </xdr:to>
    <xdr:cxnSp macro="">
      <xdr:nvCxnSpPr>
        <xdr:cNvPr id="1088575" name="Straight Connector 9">
          <a:extLst>
            <a:ext uri="{FF2B5EF4-FFF2-40B4-BE49-F238E27FC236}">
              <a16:creationId xmlns:a16="http://schemas.microsoft.com/office/drawing/2014/main" id="{CA888B9D-832B-4C9C-9BB3-65F82F639FCE}"/>
            </a:ext>
          </a:extLst>
        </xdr:cNvPr>
        <xdr:cNvCxnSpPr>
          <a:cxnSpLocks noChangeShapeType="1"/>
        </xdr:cNvCxnSpPr>
      </xdr:nvCxnSpPr>
      <xdr:spPr bwMode="auto">
        <a:xfrm rot="16200000" flipV="1">
          <a:off x="5843587" y="1909763"/>
          <a:ext cx="790575" cy="0"/>
        </a:xfrm>
        <a:prstGeom prst="line">
          <a:avLst/>
        </a:prstGeom>
        <a:noFill/>
        <a:ln w="57150" cap="rnd">
          <a:solidFill>
            <a:srgbClr val="FFFF00"/>
          </a:solidFill>
          <a:prstDash val="sysDot"/>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7</xdr:col>
      <xdr:colOff>409575</xdr:colOff>
      <xdr:row>5</xdr:row>
      <xdr:rowOff>47625</xdr:rowOff>
    </xdr:from>
    <xdr:to>
      <xdr:col>7</xdr:col>
      <xdr:colOff>419100</xdr:colOff>
      <xdr:row>7</xdr:row>
      <xdr:rowOff>257175</xdr:rowOff>
    </xdr:to>
    <xdr:cxnSp macro="">
      <xdr:nvCxnSpPr>
        <xdr:cNvPr id="1088576" name="Straight Connector 8">
          <a:extLst>
            <a:ext uri="{FF2B5EF4-FFF2-40B4-BE49-F238E27FC236}">
              <a16:creationId xmlns:a16="http://schemas.microsoft.com/office/drawing/2014/main" id="{74D0E4C9-0DEB-4DD2-8989-75D4178AD826}"/>
            </a:ext>
          </a:extLst>
        </xdr:cNvPr>
        <xdr:cNvCxnSpPr>
          <a:cxnSpLocks noChangeShapeType="1"/>
        </xdr:cNvCxnSpPr>
      </xdr:nvCxnSpPr>
      <xdr:spPr bwMode="auto">
        <a:xfrm rot="16200000" flipV="1">
          <a:off x="6691313" y="1976437"/>
          <a:ext cx="781050" cy="9525"/>
        </a:xfrm>
        <a:prstGeom prst="line">
          <a:avLst/>
        </a:prstGeom>
        <a:noFill/>
        <a:ln w="28575">
          <a:solidFill>
            <a:srgbClr val="660066"/>
          </a:solidFill>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13</xdr:col>
      <xdr:colOff>247650</xdr:colOff>
      <xdr:row>8</xdr:row>
      <xdr:rowOff>0</xdr:rowOff>
    </xdr:from>
    <xdr:to>
      <xdr:col>20</xdr:col>
      <xdr:colOff>447675</xdr:colOff>
      <xdr:row>34</xdr:row>
      <xdr:rowOff>152400</xdr:rowOff>
    </xdr:to>
    <xdr:graphicFrame macro="">
      <xdr:nvGraphicFramePr>
        <xdr:cNvPr id="1088577" name="Chart 7">
          <a:extLst>
            <a:ext uri="{FF2B5EF4-FFF2-40B4-BE49-F238E27FC236}">
              <a16:creationId xmlns:a16="http://schemas.microsoft.com/office/drawing/2014/main" id="{F137A518-4280-44EE-BBA8-9AB5EA286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361950</xdr:colOff>
      <xdr:row>5</xdr:row>
      <xdr:rowOff>66675</xdr:rowOff>
    </xdr:from>
    <xdr:to>
      <xdr:col>16</xdr:col>
      <xdr:colOff>371475</xdr:colOff>
      <xdr:row>7</xdr:row>
      <xdr:rowOff>219075</xdr:rowOff>
    </xdr:to>
    <xdr:cxnSp macro="">
      <xdr:nvCxnSpPr>
        <xdr:cNvPr id="1088578" name="Straight Connector 13">
          <a:extLst>
            <a:ext uri="{FF2B5EF4-FFF2-40B4-BE49-F238E27FC236}">
              <a16:creationId xmlns:a16="http://schemas.microsoft.com/office/drawing/2014/main" id="{A361F57E-4A05-43D1-95FF-8EEF0764B801}"/>
            </a:ext>
          </a:extLst>
        </xdr:cNvPr>
        <xdr:cNvCxnSpPr>
          <a:cxnSpLocks noChangeShapeType="1"/>
        </xdr:cNvCxnSpPr>
      </xdr:nvCxnSpPr>
      <xdr:spPr bwMode="auto">
        <a:xfrm rot="5400000" flipH="1" flipV="1">
          <a:off x="15301913" y="1966912"/>
          <a:ext cx="723900" cy="9525"/>
        </a:xfrm>
        <a:prstGeom prst="line">
          <a:avLst/>
        </a:prstGeom>
        <a:noFill/>
        <a:ln w="25400">
          <a:solidFill>
            <a:srgbClr val="FF0000"/>
          </a:solidFill>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17</xdr:col>
      <xdr:colOff>419100</xdr:colOff>
      <xdr:row>5</xdr:row>
      <xdr:rowOff>38100</xdr:rowOff>
    </xdr:from>
    <xdr:to>
      <xdr:col>17</xdr:col>
      <xdr:colOff>428625</xdr:colOff>
      <xdr:row>7</xdr:row>
      <xdr:rowOff>200025</xdr:rowOff>
    </xdr:to>
    <xdr:cxnSp macro="">
      <xdr:nvCxnSpPr>
        <xdr:cNvPr id="1088579" name="Straight Connector 15">
          <a:extLst>
            <a:ext uri="{FF2B5EF4-FFF2-40B4-BE49-F238E27FC236}">
              <a16:creationId xmlns:a16="http://schemas.microsoft.com/office/drawing/2014/main" id="{6BFDCEA2-71E5-4A3A-B110-3F9DFB7E600E}"/>
            </a:ext>
          </a:extLst>
        </xdr:cNvPr>
        <xdr:cNvCxnSpPr>
          <a:cxnSpLocks noChangeShapeType="1"/>
        </xdr:cNvCxnSpPr>
      </xdr:nvCxnSpPr>
      <xdr:spPr bwMode="auto">
        <a:xfrm rot="16200000" flipV="1">
          <a:off x="16182975" y="1943100"/>
          <a:ext cx="733425" cy="9525"/>
        </a:xfrm>
        <a:prstGeom prst="line">
          <a:avLst/>
        </a:prstGeom>
        <a:noFill/>
        <a:ln w="57150" cap="rnd">
          <a:solidFill>
            <a:srgbClr val="FFFF00"/>
          </a:solidFill>
          <a:prstDash val="sysDot"/>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18</xdr:col>
      <xdr:colOff>409575</xdr:colOff>
      <xdr:row>5</xdr:row>
      <xdr:rowOff>47625</xdr:rowOff>
    </xdr:from>
    <xdr:to>
      <xdr:col>18</xdr:col>
      <xdr:colOff>419100</xdr:colOff>
      <xdr:row>7</xdr:row>
      <xdr:rowOff>238125</xdr:rowOff>
    </xdr:to>
    <xdr:cxnSp macro="">
      <xdr:nvCxnSpPr>
        <xdr:cNvPr id="1088580" name="Straight Connector 16">
          <a:extLst>
            <a:ext uri="{FF2B5EF4-FFF2-40B4-BE49-F238E27FC236}">
              <a16:creationId xmlns:a16="http://schemas.microsoft.com/office/drawing/2014/main" id="{148E6A60-94BD-4E6D-AD3F-C8B4ACB503B6}"/>
            </a:ext>
          </a:extLst>
        </xdr:cNvPr>
        <xdr:cNvCxnSpPr>
          <a:cxnSpLocks noChangeShapeType="1"/>
        </xdr:cNvCxnSpPr>
      </xdr:nvCxnSpPr>
      <xdr:spPr bwMode="auto">
        <a:xfrm rot="16200000" flipV="1">
          <a:off x="16987838" y="1966912"/>
          <a:ext cx="762000" cy="9525"/>
        </a:xfrm>
        <a:prstGeom prst="line">
          <a:avLst/>
        </a:prstGeom>
        <a:noFill/>
        <a:ln w="28575">
          <a:solidFill>
            <a:srgbClr val="660066"/>
          </a:solidFill>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5</xdr:col>
      <xdr:colOff>428625</xdr:colOff>
      <xdr:row>5</xdr:row>
      <xdr:rowOff>38100</xdr:rowOff>
    </xdr:from>
    <xdr:to>
      <xdr:col>5</xdr:col>
      <xdr:colOff>428625</xdr:colOff>
      <xdr:row>7</xdr:row>
      <xdr:rowOff>257175</xdr:rowOff>
    </xdr:to>
    <xdr:cxnSp macro="">
      <xdr:nvCxnSpPr>
        <xdr:cNvPr id="1088581" name="Straight Connector 25">
          <a:extLst>
            <a:ext uri="{FF2B5EF4-FFF2-40B4-BE49-F238E27FC236}">
              <a16:creationId xmlns:a16="http://schemas.microsoft.com/office/drawing/2014/main" id="{93466A30-BB03-41CA-9D29-C16FEAD7F7D5}"/>
            </a:ext>
          </a:extLst>
        </xdr:cNvPr>
        <xdr:cNvCxnSpPr>
          <a:cxnSpLocks noChangeShapeType="1"/>
        </xdr:cNvCxnSpPr>
      </xdr:nvCxnSpPr>
      <xdr:spPr bwMode="auto">
        <a:xfrm rot="16200000" flipV="1">
          <a:off x="5043487" y="1976438"/>
          <a:ext cx="790575" cy="0"/>
        </a:xfrm>
        <a:prstGeom prst="line">
          <a:avLst/>
        </a:prstGeom>
        <a:noFill/>
        <a:ln w="25400">
          <a:solidFill>
            <a:srgbClr val="FF0000"/>
          </a:solidFill>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8</xdr:col>
      <xdr:colOff>400050</xdr:colOff>
      <xdr:row>4</xdr:row>
      <xdr:rowOff>266700</xdr:rowOff>
    </xdr:from>
    <xdr:to>
      <xdr:col>8</xdr:col>
      <xdr:colOff>400050</xdr:colOff>
      <xdr:row>7</xdr:row>
      <xdr:rowOff>200025</xdr:rowOff>
    </xdr:to>
    <xdr:cxnSp macro="">
      <xdr:nvCxnSpPr>
        <xdr:cNvPr id="1088582" name="Straight Connector 29">
          <a:extLst>
            <a:ext uri="{FF2B5EF4-FFF2-40B4-BE49-F238E27FC236}">
              <a16:creationId xmlns:a16="http://schemas.microsoft.com/office/drawing/2014/main" id="{186C9319-2027-4A2F-81D9-7E2E56DF7A73}"/>
            </a:ext>
          </a:extLst>
        </xdr:cNvPr>
        <xdr:cNvCxnSpPr>
          <a:cxnSpLocks noChangeShapeType="1"/>
        </xdr:cNvCxnSpPr>
      </xdr:nvCxnSpPr>
      <xdr:spPr bwMode="auto">
        <a:xfrm rot="16200000" flipV="1">
          <a:off x="7605712" y="1919288"/>
          <a:ext cx="790575" cy="0"/>
        </a:xfrm>
        <a:prstGeom prst="line">
          <a:avLst/>
        </a:prstGeom>
        <a:noFill/>
        <a:ln w="57150" cap="rnd">
          <a:solidFill>
            <a:srgbClr val="FFFF00"/>
          </a:solidFill>
          <a:prstDash val="sysDot"/>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14</xdr:col>
      <xdr:colOff>400050</xdr:colOff>
      <xdr:row>5</xdr:row>
      <xdr:rowOff>66675</xdr:rowOff>
    </xdr:from>
    <xdr:to>
      <xdr:col>14</xdr:col>
      <xdr:colOff>419100</xdr:colOff>
      <xdr:row>7</xdr:row>
      <xdr:rowOff>219075</xdr:rowOff>
    </xdr:to>
    <xdr:cxnSp macro="">
      <xdr:nvCxnSpPr>
        <xdr:cNvPr id="1088583" name="Straight Connector 35">
          <a:extLst>
            <a:ext uri="{FF2B5EF4-FFF2-40B4-BE49-F238E27FC236}">
              <a16:creationId xmlns:a16="http://schemas.microsoft.com/office/drawing/2014/main" id="{BA19A033-FB89-4DBC-A16C-9150845241CF}"/>
            </a:ext>
          </a:extLst>
        </xdr:cNvPr>
        <xdr:cNvCxnSpPr>
          <a:cxnSpLocks noChangeShapeType="1"/>
        </xdr:cNvCxnSpPr>
      </xdr:nvCxnSpPr>
      <xdr:spPr bwMode="auto">
        <a:xfrm rot="5400000" flipH="1" flipV="1">
          <a:off x="13687425" y="1962150"/>
          <a:ext cx="723900" cy="19050"/>
        </a:xfrm>
        <a:prstGeom prst="line">
          <a:avLst/>
        </a:prstGeom>
        <a:noFill/>
        <a:ln w="25400">
          <a:solidFill>
            <a:srgbClr val="FF0000"/>
          </a:solidFill>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twoCellAnchor>
    <xdr:from>
      <xdr:col>19</xdr:col>
      <xdr:colOff>390525</xdr:colOff>
      <xdr:row>5</xdr:row>
      <xdr:rowOff>9525</xdr:rowOff>
    </xdr:from>
    <xdr:to>
      <xdr:col>19</xdr:col>
      <xdr:colOff>390525</xdr:colOff>
      <xdr:row>7</xdr:row>
      <xdr:rowOff>190500</xdr:rowOff>
    </xdr:to>
    <xdr:cxnSp macro="">
      <xdr:nvCxnSpPr>
        <xdr:cNvPr id="1088584" name="Straight Connector 38">
          <a:extLst>
            <a:ext uri="{FF2B5EF4-FFF2-40B4-BE49-F238E27FC236}">
              <a16:creationId xmlns:a16="http://schemas.microsoft.com/office/drawing/2014/main" id="{4AB2AD77-5291-4E6C-A1F4-70502A5C2070}"/>
            </a:ext>
          </a:extLst>
        </xdr:cNvPr>
        <xdr:cNvCxnSpPr>
          <a:cxnSpLocks noChangeShapeType="1"/>
        </xdr:cNvCxnSpPr>
      </xdr:nvCxnSpPr>
      <xdr:spPr bwMode="auto">
        <a:xfrm rot="16200000" flipV="1">
          <a:off x="17902237" y="1928813"/>
          <a:ext cx="752475" cy="0"/>
        </a:xfrm>
        <a:prstGeom prst="line">
          <a:avLst/>
        </a:prstGeom>
        <a:noFill/>
        <a:ln w="57150" cap="rnd">
          <a:solidFill>
            <a:srgbClr val="FFFF00"/>
          </a:solidFill>
          <a:prstDash val="sysDot"/>
          <a:round/>
          <a:headEnd/>
          <a:tailEnd/>
        </a:ln>
        <a:effectLst>
          <a:outerShdw dist="20000" dir="5400000" rotWithShape="0">
            <a:srgbClr val="808080">
              <a:alpha val="37999"/>
            </a:srgbClr>
          </a:outerShdw>
        </a:effectLst>
        <a:extLst>
          <a:ext uri="{909E8E84-426E-40DD-AFC4-6F175D3DCCD1}">
            <a14:hiddenFill xmlns:a14="http://schemas.microsoft.com/office/drawing/2010/main">
              <a:noFill/>
            </a14:hiddenFill>
          </a:ext>
        </a:ex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95</xdr:row>
      <xdr:rowOff>47625</xdr:rowOff>
    </xdr:from>
    <xdr:to>
      <xdr:col>11</xdr:col>
      <xdr:colOff>581025</xdr:colOff>
      <xdr:row>122</xdr:row>
      <xdr:rowOff>28575</xdr:rowOff>
    </xdr:to>
    <xdr:pic>
      <xdr:nvPicPr>
        <xdr:cNvPr id="677613" name="Picture 3">
          <a:extLst>
            <a:ext uri="{FF2B5EF4-FFF2-40B4-BE49-F238E27FC236}">
              <a16:creationId xmlns:a16="http://schemas.microsoft.com/office/drawing/2014/main" id="{D6F0EAB5-F898-407A-9B92-B1E90B9334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15954375"/>
          <a:ext cx="8963025" cy="435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57150</xdr:colOff>
      <xdr:row>2</xdr:row>
      <xdr:rowOff>9525</xdr:rowOff>
    </xdr:from>
    <xdr:to>
      <xdr:col>10</xdr:col>
      <xdr:colOff>400050</xdr:colOff>
      <xdr:row>92</xdr:row>
      <xdr:rowOff>85725</xdr:rowOff>
    </xdr:to>
    <xdr:grpSp>
      <xdr:nvGrpSpPr>
        <xdr:cNvPr id="677614" name="Group 7">
          <a:extLst>
            <a:ext uri="{FF2B5EF4-FFF2-40B4-BE49-F238E27FC236}">
              <a16:creationId xmlns:a16="http://schemas.microsoft.com/office/drawing/2014/main" id="{9A770DFB-1A10-40AA-8C2D-1C859CB4071B}"/>
            </a:ext>
          </a:extLst>
        </xdr:cNvPr>
        <xdr:cNvGrpSpPr>
          <a:grpSpLocks/>
        </xdr:cNvGrpSpPr>
      </xdr:nvGrpSpPr>
      <xdr:grpSpPr bwMode="auto">
        <a:xfrm>
          <a:off x="333375" y="685800"/>
          <a:ext cx="7886700" cy="14649450"/>
          <a:chOff x="381000" y="698500"/>
          <a:chExt cx="8966200" cy="14935200"/>
        </a:xfrm>
      </xdr:grpSpPr>
      <xdr:pic>
        <xdr:nvPicPr>
          <xdr:cNvPr id="677615" name="Picture 2">
            <a:extLst>
              <a:ext uri="{FF2B5EF4-FFF2-40B4-BE49-F238E27FC236}">
                <a16:creationId xmlns:a16="http://schemas.microsoft.com/office/drawing/2014/main" id="{FEB9A869-88B0-49DF-9250-4AAAAA3EA4B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0" y="8704334"/>
            <a:ext cx="5499100" cy="6929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77616" name="Picture 6">
            <a:extLst>
              <a:ext uri="{FF2B5EF4-FFF2-40B4-BE49-F238E27FC236}">
                <a16:creationId xmlns:a16="http://schemas.microsoft.com/office/drawing/2014/main" id="{187FBFC1-CFB1-41C5-97BE-CFF0C0DC71A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0" y="698500"/>
            <a:ext cx="8966200" cy="798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hangzhengjun/Documents/Microsoft%20User%20Data/Office%202008%20AutoRecovery/New%20FAI-Cpk%20Template%20-%20Rev%202%20(version%2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zhangzhengjun/Desktop/New%20Cpk%20Summary%20Shee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
      <sheetName val="Cpk Summary"/>
      <sheetName val="Cpk"/>
      <sheetName val="Histogram Chart"/>
      <sheetName val="CpK Scenario"/>
    </sheetNames>
    <sheetDataSet>
      <sheetData sheetId="0" refreshError="1"/>
      <sheetData sheetId="1" refreshError="1"/>
      <sheetData sheetId="2" refreshError="1"/>
      <sheetData sheetId="3">
        <row r="20">
          <cell r="B20">
            <v>2</v>
          </cell>
          <cell r="F20" t="str">
            <v>Center-Group</v>
          </cell>
          <cell r="G20" t="str">
            <v>count</v>
          </cell>
          <cell r="H20" t="str">
            <v>NORMSDIST</v>
          </cell>
          <cell r="I20" t="str">
            <v>X2</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
      <sheetName val="TC"/>
      <sheetName val="Cpk"/>
      <sheetName val="Histogram Chart"/>
      <sheetName val="CpK and yield explanation"/>
      <sheetName val="CpK Scenario"/>
      <sheetName val="SPC Status Summary"/>
      <sheetName val="Cpk Summary"/>
      <sheetName val="Data"/>
    </sheetNames>
    <sheetDataSet>
      <sheetData sheetId="0"/>
      <sheetData sheetId="1"/>
      <sheetData sheetId="2"/>
      <sheetData sheetId="3">
        <row r="20">
          <cell r="F20" t="str">
            <v>Center-Group</v>
          </cell>
          <cell r="G20" t="str">
            <v>count</v>
          </cell>
          <cell r="H20" t="str">
            <v>NORMSDIST</v>
          </cell>
          <cell r="I20" t="str">
            <v>X2</v>
          </cell>
          <cell r="Q20" t="str">
            <v>Center-Group</v>
          </cell>
          <cell r="R20" t="str">
            <v>count</v>
          </cell>
          <cell r="S20" t="str">
            <v>NORMSDIST</v>
          </cell>
          <cell r="T20" t="str">
            <v>X2</v>
          </cell>
        </row>
        <row r="21">
          <cell r="B21">
            <v>2</v>
          </cell>
          <cell r="M21">
            <v>2</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autoPageBreaks="0"/>
  </sheetPr>
  <dimension ref="A1:AX261"/>
  <sheetViews>
    <sheetView showGridLines="0" zoomScale="85" zoomScaleNormal="85" workbookViewId="0">
      <pane xSplit="2" ySplit="5" topLeftCell="C237" activePane="bottomRight" state="frozen"/>
      <selection activeCell="A2" sqref="A2:K2"/>
      <selection pane="topRight" activeCell="A2" sqref="A2:K2"/>
      <selection pane="bottomLeft" activeCell="A2" sqref="A2:K2"/>
      <selection pane="bottomRight" activeCell="F246" sqref="F246:K261"/>
    </sheetView>
  </sheetViews>
  <sheetFormatPr defaultColWidth="11" defaultRowHeight="21.95" customHeight="1" outlineLevelCol="1"/>
  <cols>
    <col min="1" max="1" width="22.625" customWidth="1"/>
    <col min="2" max="2" width="8.25" customWidth="1"/>
    <col min="3" max="3" width="10.25" customWidth="1"/>
    <col min="4" max="5" width="8.25" customWidth="1"/>
    <col min="6" max="9" width="8.25" customWidth="1" outlineLevel="1"/>
    <col min="10" max="10" width="13.125" customWidth="1"/>
    <col min="11" max="11" width="10.25" customWidth="1"/>
    <col min="12" max="13" width="8.25" customWidth="1"/>
    <col min="14" max="17" width="8.25" customWidth="1" outlineLevel="1"/>
    <col min="18" max="18" width="13.125" customWidth="1"/>
    <col min="19" max="19" width="10.25" customWidth="1"/>
    <col min="20" max="21" width="8.25" customWidth="1"/>
    <col min="22" max="25" width="8.25" customWidth="1" outlineLevel="1"/>
    <col min="26" max="26" width="13.125" customWidth="1"/>
    <col min="27" max="27" width="10.25" customWidth="1"/>
    <col min="28" max="29" width="8.25" customWidth="1"/>
    <col min="30" max="33" width="8.25" customWidth="1" outlineLevel="1"/>
    <col min="34" max="34" width="13.125" customWidth="1"/>
    <col min="35" max="35" width="10.25" customWidth="1"/>
    <col min="36" max="37" width="8.25" customWidth="1"/>
    <col min="38" max="41" width="8.25" customWidth="1" outlineLevel="1"/>
    <col min="42" max="42" width="13.125" customWidth="1"/>
    <col min="43" max="43" width="10.25" customWidth="1"/>
    <col min="44" max="45" width="8.25" customWidth="1"/>
    <col min="46" max="49" width="8.25" customWidth="1" outlineLevel="1"/>
    <col min="50" max="50" width="13.125" customWidth="1"/>
  </cols>
  <sheetData>
    <row r="1" spans="1:50" ht="38.1" customHeight="1">
      <c r="A1" s="104" t="s">
        <v>59</v>
      </c>
      <c r="B1" s="67"/>
      <c r="C1" s="68"/>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row>
    <row r="2" spans="1:50" ht="30" customHeight="1" thickBot="1">
      <c r="A2" s="67"/>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row>
    <row r="3" spans="1:50" ht="30" customHeight="1">
      <c r="A3" s="103"/>
      <c r="B3" s="103"/>
      <c r="C3" s="102" t="s">
        <v>58</v>
      </c>
      <c r="D3" s="101"/>
      <c r="E3" s="101"/>
      <c r="F3" s="101"/>
      <c r="G3" s="101"/>
      <c r="H3" s="101"/>
      <c r="I3" s="101"/>
      <c r="J3" s="101"/>
      <c r="K3" s="102" t="s">
        <v>57</v>
      </c>
      <c r="L3" s="101"/>
      <c r="M3" s="101"/>
      <c r="N3" s="101"/>
      <c r="O3" s="101"/>
      <c r="P3" s="101"/>
      <c r="Q3" s="101"/>
      <c r="R3" s="101"/>
      <c r="S3" s="102" t="s">
        <v>56</v>
      </c>
      <c r="T3" s="101"/>
      <c r="U3" s="101"/>
      <c r="V3" s="101"/>
      <c r="W3" s="101"/>
      <c r="X3" s="101"/>
      <c r="Y3" s="101"/>
      <c r="Z3" s="101"/>
      <c r="AA3" s="102" t="s">
        <v>55</v>
      </c>
      <c r="AB3" s="101"/>
      <c r="AC3" s="101"/>
      <c r="AD3" s="101"/>
      <c r="AE3" s="101"/>
      <c r="AF3" s="101"/>
      <c r="AG3" s="101"/>
      <c r="AH3" s="101"/>
      <c r="AI3" s="102" t="s">
        <v>54</v>
      </c>
      <c r="AJ3" s="101"/>
      <c r="AK3" s="101"/>
      <c r="AL3" s="101"/>
      <c r="AM3" s="101"/>
      <c r="AN3" s="101"/>
      <c r="AO3" s="101"/>
      <c r="AP3" s="101"/>
      <c r="AQ3" s="102" t="s">
        <v>53</v>
      </c>
      <c r="AR3" s="101"/>
      <c r="AS3" s="101"/>
      <c r="AT3" s="101"/>
      <c r="AU3" s="101"/>
      <c r="AV3" s="101"/>
      <c r="AW3" s="101"/>
      <c r="AX3" s="100"/>
    </row>
    <row r="4" spans="1:50" ht="30" customHeight="1">
      <c r="A4" s="99"/>
      <c r="B4" s="99"/>
      <c r="C4" s="98" t="s">
        <v>51</v>
      </c>
      <c r="D4" s="97"/>
      <c r="E4" s="96"/>
      <c r="F4" s="95" t="s">
        <v>1</v>
      </c>
      <c r="G4" s="94"/>
      <c r="H4" s="94"/>
      <c r="I4" s="94"/>
      <c r="J4" s="96"/>
      <c r="K4" s="98" t="s">
        <v>52</v>
      </c>
      <c r="L4" s="97"/>
      <c r="M4" s="96"/>
      <c r="N4" s="95" t="s">
        <v>1</v>
      </c>
      <c r="O4" s="94"/>
      <c r="P4" s="94"/>
      <c r="Q4" s="94"/>
      <c r="R4" s="96"/>
      <c r="S4" s="98" t="s">
        <v>51</v>
      </c>
      <c r="T4" s="97"/>
      <c r="U4" s="96"/>
      <c r="V4" s="95" t="s">
        <v>1</v>
      </c>
      <c r="W4" s="94"/>
      <c r="X4" s="94"/>
      <c r="Y4" s="94"/>
      <c r="Z4" s="96"/>
      <c r="AA4" s="98" t="s">
        <v>51</v>
      </c>
      <c r="AB4" s="97"/>
      <c r="AC4" s="96"/>
      <c r="AD4" s="95" t="s">
        <v>1</v>
      </c>
      <c r="AE4" s="94"/>
      <c r="AF4" s="94"/>
      <c r="AG4" s="94"/>
      <c r="AH4" s="96"/>
      <c r="AI4" s="98" t="s">
        <v>51</v>
      </c>
      <c r="AJ4" s="97"/>
      <c r="AK4" s="96"/>
      <c r="AL4" s="95" t="s">
        <v>1</v>
      </c>
      <c r="AM4" s="94"/>
      <c r="AN4" s="94"/>
      <c r="AO4" s="94"/>
      <c r="AP4" s="96"/>
      <c r="AQ4" s="98" t="s">
        <v>51</v>
      </c>
      <c r="AR4" s="97"/>
      <c r="AS4" s="96"/>
      <c r="AT4" s="95" t="s">
        <v>1</v>
      </c>
      <c r="AU4" s="94"/>
      <c r="AV4" s="94"/>
      <c r="AW4" s="94"/>
      <c r="AX4" s="93"/>
    </row>
    <row r="5" spans="1:50" ht="30" customHeight="1">
      <c r="A5" s="92" t="s">
        <v>60</v>
      </c>
      <c r="B5" s="91" t="s">
        <v>43</v>
      </c>
      <c r="C5" s="89" t="s">
        <v>42</v>
      </c>
      <c r="D5" s="88" t="s">
        <v>41</v>
      </c>
      <c r="E5" s="88" t="s">
        <v>40</v>
      </c>
      <c r="F5" s="87" t="s">
        <v>39</v>
      </c>
      <c r="G5" s="87" t="s">
        <v>25</v>
      </c>
      <c r="H5" s="87" t="s">
        <v>16</v>
      </c>
      <c r="I5" s="87" t="s">
        <v>38</v>
      </c>
      <c r="J5" s="90" t="s">
        <v>37</v>
      </c>
      <c r="K5" s="89" t="s">
        <v>42</v>
      </c>
      <c r="L5" s="88" t="s">
        <v>41</v>
      </c>
      <c r="M5" s="88" t="s">
        <v>40</v>
      </c>
      <c r="N5" s="87" t="s">
        <v>39</v>
      </c>
      <c r="O5" s="87" t="s">
        <v>25</v>
      </c>
      <c r="P5" s="87" t="s">
        <v>16</v>
      </c>
      <c r="Q5" s="87" t="s">
        <v>38</v>
      </c>
      <c r="R5" s="90" t="s">
        <v>37</v>
      </c>
      <c r="S5" s="89" t="s">
        <v>42</v>
      </c>
      <c r="T5" s="88" t="s">
        <v>41</v>
      </c>
      <c r="U5" s="88" t="s">
        <v>40</v>
      </c>
      <c r="V5" s="87" t="s">
        <v>39</v>
      </c>
      <c r="W5" s="87" t="s">
        <v>25</v>
      </c>
      <c r="X5" s="87" t="s">
        <v>16</v>
      </c>
      <c r="Y5" s="87" t="s">
        <v>38</v>
      </c>
      <c r="Z5" s="90" t="s">
        <v>37</v>
      </c>
      <c r="AA5" s="89" t="s">
        <v>42</v>
      </c>
      <c r="AB5" s="88" t="s">
        <v>41</v>
      </c>
      <c r="AC5" s="88" t="s">
        <v>40</v>
      </c>
      <c r="AD5" s="87" t="s">
        <v>39</v>
      </c>
      <c r="AE5" s="87" t="s">
        <v>25</v>
      </c>
      <c r="AF5" s="87" t="s">
        <v>16</v>
      </c>
      <c r="AG5" s="87" t="s">
        <v>38</v>
      </c>
      <c r="AH5" s="90" t="s">
        <v>37</v>
      </c>
      <c r="AI5" s="89" t="s">
        <v>42</v>
      </c>
      <c r="AJ5" s="88" t="s">
        <v>41</v>
      </c>
      <c r="AK5" s="88" t="s">
        <v>40</v>
      </c>
      <c r="AL5" s="87" t="s">
        <v>39</v>
      </c>
      <c r="AM5" s="87" t="s">
        <v>25</v>
      </c>
      <c r="AN5" s="87" t="s">
        <v>16</v>
      </c>
      <c r="AO5" s="87" t="s">
        <v>38</v>
      </c>
      <c r="AP5" s="90" t="s">
        <v>37</v>
      </c>
      <c r="AQ5" s="89" t="s">
        <v>42</v>
      </c>
      <c r="AR5" s="88" t="s">
        <v>41</v>
      </c>
      <c r="AS5" s="88" t="s">
        <v>40</v>
      </c>
      <c r="AT5" s="87" t="s">
        <v>39</v>
      </c>
      <c r="AU5" s="87" t="s">
        <v>25</v>
      </c>
      <c r="AV5" s="87" t="s">
        <v>16</v>
      </c>
      <c r="AW5" s="87" t="s">
        <v>38</v>
      </c>
      <c r="AX5" s="86" t="s">
        <v>37</v>
      </c>
    </row>
    <row r="6" spans="1:50" ht="30" customHeight="1">
      <c r="A6" s="82" t="s">
        <v>158</v>
      </c>
      <c r="B6" s="81" t="s">
        <v>137</v>
      </c>
      <c r="C6" s="79">
        <v>1.3</v>
      </c>
      <c r="D6" s="77">
        <v>0.03</v>
      </c>
      <c r="E6" s="77">
        <v>0.03</v>
      </c>
      <c r="F6" s="78">
        <v>4.0986179810807866E-3</v>
      </c>
      <c r="G6" s="77">
        <v>1.3222437500000008</v>
      </c>
      <c r="H6" s="77">
        <v>2.4398468084022449</v>
      </c>
      <c r="I6" s="77">
        <v>0.63080206025560159</v>
      </c>
      <c r="J6" s="80">
        <v>0.97078155842106673</v>
      </c>
      <c r="K6" s="79">
        <v>2.2243750000000784E-2</v>
      </c>
      <c r="L6" s="77"/>
      <c r="M6" s="77"/>
      <c r="N6" s="78"/>
      <c r="O6" s="77"/>
      <c r="P6" s="77"/>
      <c r="Q6" s="77"/>
      <c r="R6" s="80"/>
      <c r="S6" s="79"/>
      <c r="T6" s="77"/>
      <c r="U6" s="77"/>
      <c r="V6" s="78"/>
      <c r="W6" s="77"/>
      <c r="X6" s="77"/>
      <c r="Y6" s="77"/>
      <c r="Z6" s="80"/>
      <c r="AA6" s="79"/>
      <c r="AB6" s="77"/>
      <c r="AC6" s="77"/>
      <c r="AD6" s="78"/>
      <c r="AE6" s="77"/>
      <c r="AF6" s="77"/>
      <c r="AG6" s="77"/>
      <c r="AH6" s="80"/>
      <c r="AI6" s="79"/>
      <c r="AJ6" s="77"/>
      <c r="AK6" s="77"/>
      <c r="AL6" s="78"/>
      <c r="AM6" s="77"/>
      <c r="AN6" s="77"/>
      <c r="AO6" s="77"/>
      <c r="AP6" s="80"/>
      <c r="AQ6" s="79"/>
      <c r="AR6" s="77"/>
      <c r="AS6" s="77"/>
      <c r="AT6" s="78"/>
      <c r="AU6" s="77"/>
      <c r="AV6" s="77"/>
      <c r="AW6" s="77"/>
      <c r="AX6" s="76"/>
    </row>
    <row r="7" spans="1:50" ht="30" customHeight="1">
      <c r="A7" s="82"/>
      <c r="B7" s="85" t="s">
        <v>142</v>
      </c>
      <c r="C7" s="84">
        <v>1</v>
      </c>
      <c r="D7" s="77">
        <v>0.04</v>
      </c>
      <c r="E7" s="77">
        <v>0.04</v>
      </c>
      <c r="F7" s="78">
        <v>3.0265475247143962E-3</v>
      </c>
      <c r="G7" s="77">
        <v>0.96655312500000012</v>
      </c>
      <c r="H7" s="77">
        <v>4.4054597604878385</v>
      </c>
      <c r="I7" s="77">
        <v>0.72173821232368862</v>
      </c>
      <c r="J7" s="80">
        <v>0.98481437403151817</v>
      </c>
      <c r="K7" s="84">
        <v>-3.3446874999999876E-2</v>
      </c>
      <c r="L7" s="77"/>
      <c r="M7" s="77"/>
      <c r="N7" s="78"/>
      <c r="O7" s="77"/>
      <c r="P7" s="77"/>
      <c r="Q7" s="77"/>
      <c r="R7" s="80"/>
      <c r="S7" s="84"/>
      <c r="T7" s="77"/>
      <c r="U7" s="77"/>
      <c r="V7" s="78"/>
      <c r="W7" s="77"/>
      <c r="X7" s="77"/>
      <c r="Y7" s="77"/>
      <c r="Z7" s="80"/>
      <c r="AA7" s="84"/>
      <c r="AB7" s="77"/>
      <c r="AC7" s="77"/>
      <c r="AD7" s="78"/>
      <c r="AE7" s="77"/>
      <c r="AF7" s="77"/>
      <c r="AG7" s="77"/>
      <c r="AH7" s="80"/>
      <c r="AI7" s="84"/>
      <c r="AJ7" s="77"/>
      <c r="AK7" s="77"/>
      <c r="AL7" s="78"/>
      <c r="AM7" s="77"/>
      <c r="AN7" s="77"/>
      <c r="AO7" s="77"/>
      <c r="AP7" s="80"/>
      <c r="AQ7" s="84"/>
      <c r="AR7" s="77"/>
      <c r="AS7" s="77"/>
      <c r="AT7" s="78"/>
      <c r="AU7" s="77"/>
      <c r="AV7" s="77"/>
      <c r="AW7" s="77"/>
      <c r="AX7" s="76"/>
    </row>
    <row r="8" spans="1:50" ht="30" customHeight="1">
      <c r="A8" s="82"/>
      <c r="B8" s="85" t="s">
        <v>143</v>
      </c>
      <c r="C8" s="84">
        <v>2.4</v>
      </c>
      <c r="D8" s="83">
        <v>0.04</v>
      </c>
      <c r="E8" s="83">
        <v>0.04</v>
      </c>
      <c r="F8" s="78">
        <v>3.3437230553632568E-3</v>
      </c>
      <c r="G8" s="83">
        <v>2.3693124999999999</v>
      </c>
      <c r="H8" s="83">
        <v>3.9875710734915617</v>
      </c>
      <c r="I8" s="83">
        <v>0.92835639054725905</v>
      </c>
      <c r="J8" s="80">
        <v>0.9973241847380786</v>
      </c>
      <c r="K8" s="84">
        <v>-3.0687499999999979E-2</v>
      </c>
      <c r="L8" s="83"/>
      <c r="M8" s="83"/>
      <c r="N8" s="78"/>
      <c r="O8" s="83"/>
      <c r="P8" s="83"/>
      <c r="Q8" s="83"/>
      <c r="R8" s="80"/>
      <c r="S8" s="84"/>
      <c r="T8" s="83"/>
      <c r="U8" s="83"/>
      <c r="V8" s="78"/>
      <c r="W8" s="83"/>
      <c r="X8" s="83"/>
      <c r="Y8" s="83"/>
      <c r="Z8" s="80"/>
      <c r="AA8" s="84"/>
      <c r="AB8" s="83"/>
      <c r="AC8" s="83"/>
      <c r="AD8" s="78"/>
      <c r="AE8" s="83"/>
      <c r="AF8" s="83"/>
      <c r="AG8" s="83"/>
      <c r="AH8" s="80"/>
      <c r="AI8" s="84"/>
      <c r="AJ8" s="83"/>
      <c r="AK8" s="83"/>
      <c r="AL8" s="78"/>
      <c r="AM8" s="83"/>
      <c r="AN8" s="83"/>
      <c r="AO8" s="83"/>
      <c r="AP8" s="80"/>
      <c r="AQ8" s="84"/>
      <c r="AR8" s="83"/>
      <c r="AS8" s="83"/>
      <c r="AT8" s="78"/>
      <c r="AU8" s="83"/>
      <c r="AV8" s="83"/>
      <c r="AW8" s="83"/>
      <c r="AX8" s="76"/>
    </row>
    <row r="9" spans="1:50" ht="30" customHeight="1">
      <c r="A9" s="82"/>
      <c r="B9" s="85" t="s">
        <v>138</v>
      </c>
      <c r="C9" s="84">
        <v>3.3</v>
      </c>
      <c r="D9" s="83">
        <v>0.05</v>
      </c>
      <c r="E9" s="83">
        <v>0.05</v>
      </c>
      <c r="F9" s="78">
        <v>3.4588595920360056E-3</v>
      </c>
      <c r="G9" s="83">
        <v>3.3081874999999994</v>
      </c>
      <c r="H9" s="83">
        <v>4.8185438648742673</v>
      </c>
      <c r="I9" s="83">
        <v>4.0295073070011451</v>
      </c>
      <c r="J9" s="80">
        <v>1</v>
      </c>
      <c r="K9" s="84">
        <v>8.1874999999995701E-3</v>
      </c>
      <c r="L9" s="83"/>
      <c r="M9" s="83"/>
      <c r="N9" s="78"/>
      <c r="O9" s="83"/>
      <c r="P9" s="83"/>
      <c r="Q9" s="83"/>
      <c r="R9" s="80"/>
      <c r="S9" s="84"/>
      <c r="T9" s="83"/>
      <c r="U9" s="83"/>
      <c r="V9" s="78"/>
      <c r="W9" s="83"/>
      <c r="X9" s="83"/>
      <c r="Y9" s="83"/>
      <c r="Z9" s="80"/>
      <c r="AA9" s="84"/>
      <c r="AB9" s="83"/>
      <c r="AC9" s="83"/>
      <c r="AD9" s="78"/>
      <c r="AE9" s="83"/>
      <c r="AF9" s="83"/>
      <c r="AG9" s="83"/>
      <c r="AH9" s="80"/>
      <c r="AI9" s="84"/>
      <c r="AJ9" s="83"/>
      <c r="AK9" s="83"/>
      <c r="AL9" s="78"/>
      <c r="AM9" s="83"/>
      <c r="AN9" s="83"/>
      <c r="AO9" s="83"/>
      <c r="AP9" s="80"/>
      <c r="AQ9" s="84"/>
      <c r="AR9" s="83"/>
      <c r="AS9" s="83"/>
      <c r="AT9" s="78"/>
      <c r="AU9" s="83"/>
      <c r="AV9" s="83"/>
      <c r="AW9" s="83"/>
      <c r="AX9" s="76"/>
    </row>
    <row r="10" spans="1:50" ht="30" customHeight="1">
      <c r="A10" s="82"/>
      <c r="B10" s="85" t="s">
        <v>140</v>
      </c>
      <c r="C10" s="84">
        <v>0.86</v>
      </c>
      <c r="D10" s="83">
        <v>0.05</v>
      </c>
      <c r="E10" s="83">
        <v>0.05</v>
      </c>
      <c r="F10" s="78">
        <v>5.6884397486651394E-3</v>
      </c>
      <c r="G10" s="83">
        <v>0.86826874999999981</v>
      </c>
      <c r="H10" s="83">
        <v>2.9299188183504477</v>
      </c>
      <c r="I10" s="83">
        <v>2.4453834937657528</v>
      </c>
      <c r="J10" s="80">
        <v>0.99999999999989009</v>
      </c>
      <c r="K10" s="84">
        <v>8.2687499999998249E-3</v>
      </c>
      <c r="L10" s="83"/>
      <c r="M10" s="83"/>
      <c r="N10" s="78"/>
      <c r="O10" s="83"/>
      <c r="P10" s="83"/>
      <c r="Q10" s="83"/>
      <c r="R10" s="80"/>
      <c r="S10" s="84"/>
      <c r="T10" s="83"/>
      <c r="U10" s="83"/>
      <c r="V10" s="78"/>
      <c r="W10" s="83"/>
      <c r="X10" s="83"/>
      <c r="Y10" s="83"/>
      <c r="Z10" s="80"/>
      <c r="AA10" s="84"/>
      <c r="AB10" s="83"/>
      <c r="AC10" s="83"/>
      <c r="AD10" s="78"/>
      <c r="AE10" s="83"/>
      <c r="AF10" s="83"/>
      <c r="AG10" s="83"/>
      <c r="AH10" s="80"/>
      <c r="AI10" s="84"/>
      <c r="AJ10" s="83"/>
      <c r="AK10" s="83"/>
      <c r="AL10" s="78"/>
      <c r="AM10" s="83"/>
      <c r="AN10" s="83"/>
      <c r="AO10" s="83"/>
      <c r="AP10" s="80"/>
      <c r="AQ10" s="84"/>
      <c r="AR10" s="83"/>
      <c r="AS10" s="83"/>
      <c r="AT10" s="78"/>
      <c r="AU10" s="83"/>
      <c r="AV10" s="83"/>
      <c r="AW10" s="83"/>
      <c r="AX10" s="76"/>
    </row>
    <row r="11" spans="1:50" ht="30" customHeight="1">
      <c r="A11" s="82"/>
      <c r="B11" s="85" t="s">
        <v>139</v>
      </c>
      <c r="C11" s="84">
        <v>0.86</v>
      </c>
      <c r="D11" s="83">
        <v>0.05</v>
      </c>
      <c r="E11" s="83">
        <v>0.05</v>
      </c>
      <c r="F11" s="78">
        <v>6.4112803814083989E-3</v>
      </c>
      <c r="G11" s="83">
        <v>0.86435000000000017</v>
      </c>
      <c r="H11" s="83">
        <v>2.5995847436336001</v>
      </c>
      <c r="I11" s="83">
        <v>2.3734208709374673</v>
      </c>
      <c r="J11" s="80">
        <v>0.99999999999946143</v>
      </c>
      <c r="K11" s="84">
        <v>4.3500000000001871E-3</v>
      </c>
      <c r="L11" s="83"/>
      <c r="M11" s="83"/>
      <c r="N11" s="78"/>
      <c r="O11" s="83"/>
      <c r="P11" s="83"/>
      <c r="Q11" s="83"/>
      <c r="R11" s="80"/>
      <c r="S11" s="84"/>
      <c r="T11" s="83"/>
      <c r="U11" s="83"/>
      <c r="V11" s="78"/>
      <c r="W11" s="83"/>
      <c r="X11" s="83"/>
      <c r="Y11" s="83"/>
      <c r="Z11" s="80"/>
      <c r="AA11" s="84"/>
      <c r="AB11" s="83"/>
      <c r="AC11" s="83"/>
      <c r="AD11" s="78"/>
      <c r="AE11" s="83"/>
      <c r="AF11" s="83"/>
      <c r="AG11" s="83"/>
      <c r="AH11" s="80"/>
      <c r="AI11" s="84"/>
      <c r="AJ11" s="83"/>
      <c r="AK11" s="83"/>
      <c r="AL11" s="78"/>
      <c r="AM11" s="83"/>
      <c r="AN11" s="83"/>
      <c r="AO11" s="83"/>
      <c r="AP11" s="80"/>
      <c r="AQ11" s="84"/>
      <c r="AR11" s="83"/>
      <c r="AS11" s="83"/>
      <c r="AT11" s="78"/>
      <c r="AU11" s="83"/>
      <c r="AV11" s="83"/>
      <c r="AW11" s="83"/>
      <c r="AX11" s="76"/>
    </row>
    <row r="12" spans="1:50" ht="30" customHeight="1">
      <c r="A12" s="82"/>
      <c r="B12" s="85" t="s">
        <v>144</v>
      </c>
      <c r="C12" s="84">
        <v>2.9</v>
      </c>
      <c r="D12" s="83">
        <v>0.05</v>
      </c>
      <c r="E12" s="83">
        <v>0.05</v>
      </c>
      <c r="F12" s="78">
        <v>3.5777031287432507E-3</v>
      </c>
      <c r="G12" s="83">
        <v>2.8706937499999992</v>
      </c>
      <c r="H12" s="83">
        <v>4.6584822907095571</v>
      </c>
      <c r="I12" s="83">
        <v>1.9280293580673378</v>
      </c>
      <c r="J12" s="80">
        <v>0.99999999635466308</v>
      </c>
      <c r="K12" s="84">
        <v>-2.9306250000000755E-2</v>
      </c>
      <c r="L12" s="83"/>
      <c r="M12" s="83"/>
      <c r="N12" s="78"/>
      <c r="O12" s="83"/>
      <c r="P12" s="83"/>
      <c r="Q12" s="83"/>
      <c r="R12" s="80"/>
      <c r="S12" s="84"/>
      <c r="T12" s="83"/>
      <c r="U12" s="83"/>
      <c r="V12" s="78"/>
      <c r="W12" s="83"/>
      <c r="X12" s="83"/>
      <c r="Y12" s="83"/>
      <c r="Z12" s="80"/>
      <c r="AA12" s="84"/>
      <c r="AB12" s="83"/>
      <c r="AC12" s="83"/>
      <c r="AD12" s="78"/>
      <c r="AE12" s="83"/>
      <c r="AF12" s="83"/>
      <c r="AG12" s="83"/>
      <c r="AH12" s="80"/>
      <c r="AI12" s="84"/>
      <c r="AJ12" s="83"/>
      <c r="AK12" s="83"/>
      <c r="AL12" s="78"/>
      <c r="AM12" s="83"/>
      <c r="AN12" s="83"/>
      <c r="AO12" s="83"/>
      <c r="AP12" s="80"/>
      <c r="AQ12" s="84"/>
      <c r="AR12" s="83"/>
      <c r="AS12" s="83"/>
      <c r="AT12" s="78"/>
      <c r="AU12" s="83"/>
      <c r="AV12" s="83"/>
      <c r="AW12" s="83"/>
      <c r="AX12" s="76"/>
    </row>
    <row r="13" spans="1:50" ht="30" customHeight="1">
      <c r="A13" s="82"/>
      <c r="B13" s="85" t="s">
        <v>145</v>
      </c>
      <c r="C13" s="84">
        <v>0.3</v>
      </c>
      <c r="D13" s="83">
        <v>0.03</v>
      </c>
      <c r="E13" s="83">
        <v>0.03</v>
      </c>
      <c r="F13" s="78">
        <v>6.6006895717478399E-3</v>
      </c>
      <c r="G13" s="83">
        <v>0.31648437499999987</v>
      </c>
      <c r="H13" s="83">
        <v>1.5149932277987774</v>
      </c>
      <c r="I13" s="83">
        <v>0.68253601148226672</v>
      </c>
      <c r="J13" s="80">
        <v>0.97970078926647974</v>
      </c>
      <c r="K13" s="84">
        <v>1.6484374999999885E-2</v>
      </c>
      <c r="L13" s="83"/>
      <c r="M13" s="83"/>
      <c r="N13" s="78"/>
      <c r="O13" s="83"/>
      <c r="P13" s="83"/>
      <c r="Q13" s="83"/>
      <c r="R13" s="80"/>
      <c r="S13" s="84"/>
      <c r="T13" s="83"/>
      <c r="U13" s="83"/>
      <c r="V13" s="78"/>
      <c r="W13" s="83"/>
      <c r="X13" s="83"/>
      <c r="Y13" s="83"/>
      <c r="Z13" s="80"/>
      <c r="AA13" s="84"/>
      <c r="AB13" s="83"/>
      <c r="AC13" s="83"/>
      <c r="AD13" s="78"/>
      <c r="AE13" s="83"/>
      <c r="AF13" s="83"/>
      <c r="AG13" s="83"/>
      <c r="AH13" s="80"/>
      <c r="AI13" s="84"/>
      <c r="AJ13" s="83"/>
      <c r="AK13" s="83"/>
      <c r="AL13" s="78"/>
      <c r="AM13" s="83"/>
      <c r="AN13" s="83"/>
      <c r="AO13" s="83"/>
      <c r="AP13" s="80"/>
      <c r="AQ13" s="84"/>
      <c r="AR13" s="83"/>
      <c r="AS13" s="83"/>
      <c r="AT13" s="78"/>
      <c r="AU13" s="83"/>
      <c r="AV13" s="83"/>
      <c r="AW13" s="83"/>
      <c r="AX13" s="76"/>
    </row>
    <row r="14" spans="1:50" ht="30" customHeight="1">
      <c r="A14" s="82"/>
      <c r="B14" s="85" t="s">
        <v>146</v>
      </c>
      <c r="C14" s="84">
        <v>0.3</v>
      </c>
      <c r="D14" s="83">
        <v>0.03</v>
      </c>
      <c r="E14" s="83">
        <v>0.03</v>
      </c>
      <c r="F14" s="78">
        <v>4.3029797908711092E-3</v>
      </c>
      <c r="G14" s="83">
        <v>0.32197187500000002</v>
      </c>
      <c r="H14" s="83">
        <v>2.3239709424653276</v>
      </c>
      <c r="I14" s="83">
        <v>0.62190430741597813</v>
      </c>
      <c r="J14" s="80">
        <v>0.96895922961809711</v>
      </c>
      <c r="K14" s="84">
        <v>2.197187500000003E-2</v>
      </c>
      <c r="L14" s="83"/>
      <c r="M14" s="83"/>
      <c r="N14" s="78"/>
      <c r="O14" s="83"/>
      <c r="P14" s="83"/>
      <c r="Q14" s="83"/>
      <c r="R14" s="80"/>
      <c r="S14" s="84"/>
      <c r="T14" s="83"/>
      <c r="U14" s="83"/>
      <c r="V14" s="78"/>
      <c r="W14" s="83"/>
      <c r="X14" s="83"/>
      <c r="Y14" s="83"/>
      <c r="Z14" s="80"/>
      <c r="AA14" s="84"/>
      <c r="AB14" s="83"/>
      <c r="AC14" s="83"/>
      <c r="AD14" s="78"/>
      <c r="AE14" s="83"/>
      <c r="AF14" s="83"/>
      <c r="AG14" s="83"/>
      <c r="AH14" s="80"/>
      <c r="AI14" s="84"/>
      <c r="AJ14" s="83"/>
      <c r="AK14" s="83"/>
      <c r="AL14" s="78"/>
      <c r="AM14" s="83"/>
      <c r="AN14" s="83"/>
      <c r="AO14" s="83"/>
      <c r="AP14" s="80"/>
      <c r="AQ14" s="84"/>
      <c r="AR14" s="83"/>
      <c r="AS14" s="83"/>
      <c r="AT14" s="78"/>
      <c r="AU14" s="83"/>
      <c r="AV14" s="83"/>
      <c r="AW14" s="83"/>
      <c r="AX14" s="76"/>
    </row>
    <row r="15" spans="1:50" ht="30" customHeight="1">
      <c r="A15" s="82"/>
      <c r="B15" s="85" t="s">
        <v>147</v>
      </c>
      <c r="C15" s="84">
        <v>0.25</v>
      </c>
      <c r="D15" s="83">
        <v>0.03</v>
      </c>
      <c r="E15" s="83">
        <v>0.03</v>
      </c>
      <c r="F15" s="78">
        <v>8.1579567334300208E-3</v>
      </c>
      <c r="G15" s="83">
        <v>0.24884999999999988</v>
      </c>
      <c r="H15" s="83">
        <v>1.2257971360673661</v>
      </c>
      <c r="I15" s="83">
        <v>1.1788082458514446</v>
      </c>
      <c r="J15" s="80">
        <v>0.99973003755998946</v>
      </c>
      <c r="K15" s="84">
        <v>-1.1500000000001231E-3</v>
      </c>
      <c r="L15" s="83"/>
      <c r="M15" s="83"/>
      <c r="N15" s="78"/>
      <c r="O15" s="83"/>
      <c r="P15" s="83"/>
      <c r="Q15" s="83"/>
      <c r="R15" s="80"/>
      <c r="S15" s="84"/>
      <c r="T15" s="83"/>
      <c r="U15" s="83"/>
      <c r="V15" s="78"/>
      <c r="W15" s="83"/>
      <c r="X15" s="83"/>
      <c r="Y15" s="83"/>
      <c r="Z15" s="80"/>
      <c r="AA15" s="84"/>
      <c r="AB15" s="83"/>
      <c r="AC15" s="83"/>
      <c r="AD15" s="78"/>
      <c r="AE15" s="83"/>
      <c r="AF15" s="83"/>
      <c r="AG15" s="83"/>
      <c r="AH15" s="80"/>
      <c r="AI15" s="84"/>
      <c r="AJ15" s="83"/>
      <c r="AK15" s="83"/>
      <c r="AL15" s="78"/>
      <c r="AM15" s="83"/>
      <c r="AN15" s="83"/>
      <c r="AO15" s="83"/>
      <c r="AP15" s="80"/>
      <c r="AQ15" s="84"/>
      <c r="AR15" s="83"/>
      <c r="AS15" s="83"/>
      <c r="AT15" s="78"/>
      <c r="AU15" s="83"/>
      <c r="AV15" s="83"/>
      <c r="AW15" s="83"/>
      <c r="AX15" s="76"/>
    </row>
    <row r="16" spans="1:50" ht="30" customHeight="1">
      <c r="A16" s="82"/>
      <c r="B16" s="85" t="s">
        <v>148</v>
      </c>
      <c r="C16" s="84">
        <v>0.25</v>
      </c>
      <c r="D16" s="83">
        <v>0.03</v>
      </c>
      <c r="E16" s="83">
        <v>0.03</v>
      </c>
      <c r="F16" s="78">
        <v>6.3807042790568367E-3</v>
      </c>
      <c r="G16" s="83">
        <v>0.24968750000000003</v>
      </c>
      <c r="H16" s="83">
        <v>1.5672251153877568</v>
      </c>
      <c r="I16" s="83">
        <v>1.5508998537691354</v>
      </c>
      <c r="J16" s="80">
        <v>0.99999734809947749</v>
      </c>
      <c r="K16" s="84">
        <v>-3.1249999999996558E-4</v>
      </c>
      <c r="L16" s="83"/>
      <c r="M16" s="83"/>
      <c r="N16" s="78"/>
      <c r="O16" s="83"/>
      <c r="P16" s="83"/>
      <c r="Q16" s="83"/>
      <c r="R16" s="80"/>
      <c r="S16" s="84"/>
      <c r="T16" s="83"/>
      <c r="U16" s="83"/>
      <c r="V16" s="78"/>
      <c r="W16" s="83"/>
      <c r="X16" s="83"/>
      <c r="Y16" s="83"/>
      <c r="Z16" s="80"/>
      <c r="AA16" s="84"/>
      <c r="AB16" s="83"/>
      <c r="AC16" s="83"/>
      <c r="AD16" s="78"/>
      <c r="AE16" s="83"/>
      <c r="AF16" s="83"/>
      <c r="AG16" s="83"/>
      <c r="AH16" s="80"/>
      <c r="AI16" s="84"/>
      <c r="AJ16" s="83"/>
      <c r="AK16" s="83"/>
      <c r="AL16" s="78"/>
      <c r="AM16" s="83"/>
      <c r="AN16" s="83"/>
      <c r="AO16" s="83"/>
      <c r="AP16" s="80"/>
      <c r="AQ16" s="84"/>
      <c r="AR16" s="83"/>
      <c r="AS16" s="83"/>
      <c r="AT16" s="78"/>
      <c r="AU16" s="83"/>
      <c r="AV16" s="83"/>
      <c r="AW16" s="83"/>
      <c r="AX16" s="76"/>
    </row>
    <row r="17" spans="1:50" ht="30" customHeight="1">
      <c r="A17" s="82"/>
      <c r="B17" s="85" t="s">
        <v>149</v>
      </c>
      <c r="C17" s="84">
        <v>0.25</v>
      </c>
      <c r="D17" s="83">
        <v>0.03</v>
      </c>
      <c r="E17" s="83">
        <v>0.03</v>
      </c>
      <c r="F17" s="78">
        <v>7.0501858817865132E-3</v>
      </c>
      <c r="G17" s="83">
        <v>0.23384375000000002</v>
      </c>
      <c r="H17" s="83">
        <v>1.4184023184174557</v>
      </c>
      <c r="I17" s="83">
        <v>0.65453356985305544</v>
      </c>
      <c r="J17" s="80">
        <v>0.97521179244134537</v>
      </c>
      <c r="K17" s="84">
        <v>-1.6156249999999983E-2</v>
      </c>
      <c r="L17" s="83"/>
      <c r="M17" s="83"/>
      <c r="N17" s="78"/>
      <c r="O17" s="83"/>
      <c r="P17" s="83"/>
      <c r="Q17" s="83"/>
      <c r="R17" s="80"/>
      <c r="S17" s="84"/>
      <c r="T17" s="83"/>
      <c r="U17" s="83"/>
      <c r="V17" s="78"/>
      <c r="W17" s="83"/>
      <c r="X17" s="83"/>
      <c r="Y17" s="83"/>
      <c r="Z17" s="80"/>
      <c r="AA17" s="84"/>
      <c r="AB17" s="83"/>
      <c r="AC17" s="83"/>
      <c r="AD17" s="78"/>
      <c r="AE17" s="83"/>
      <c r="AF17" s="83"/>
      <c r="AG17" s="83"/>
      <c r="AH17" s="80"/>
      <c r="AI17" s="84"/>
      <c r="AJ17" s="83"/>
      <c r="AK17" s="83"/>
      <c r="AL17" s="78"/>
      <c r="AM17" s="83"/>
      <c r="AN17" s="83"/>
      <c r="AO17" s="83"/>
      <c r="AP17" s="80"/>
      <c r="AQ17" s="84"/>
      <c r="AR17" s="83"/>
      <c r="AS17" s="83"/>
      <c r="AT17" s="78"/>
      <c r="AU17" s="83"/>
      <c r="AV17" s="83"/>
      <c r="AW17" s="83"/>
      <c r="AX17" s="76"/>
    </row>
    <row r="18" spans="1:50" ht="30" customHeight="1">
      <c r="A18" s="82"/>
      <c r="B18" s="85" t="s">
        <v>150</v>
      </c>
      <c r="C18" s="84">
        <v>0.56599999999999995</v>
      </c>
      <c r="D18" s="83">
        <v>0.03</v>
      </c>
      <c r="E18" s="83">
        <v>0.03</v>
      </c>
      <c r="F18" s="78">
        <v>6.7359621052875971E-3</v>
      </c>
      <c r="G18" s="83">
        <v>0.56553125000000004</v>
      </c>
      <c r="H18" s="83">
        <v>1.4845689218100271</v>
      </c>
      <c r="I18" s="83">
        <v>1.4613725324067501</v>
      </c>
      <c r="J18" s="80">
        <v>0.99999113295630904</v>
      </c>
      <c r="K18" s="84">
        <v>-4.6874999999990674E-4</v>
      </c>
      <c r="L18" s="83"/>
      <c r="M18" s="83"/>
      <c r="N18" s="78"/>
      <c r="O18" s="83"/>
      <c r="P18" s="83"/>
      <c r="Q18" s="83"/>
      <c r="R18" s="80"/>
      <c r="S18" s="84"/>
      <c r="T18" s="83"/>
      <c r="U18" s="83"/>
      <c r="V18" s="78"/>
      <c r="W18" s="83"/>
      <c r="X18" s="83"/>
      <c r="Y18" s="83"/>
      <c r="Z18" s="80"/>
      <c r="AA18" s="84"/>
      <c r="AB18" s="83"/>
      <c r="AC18" s="83"/>
      <c r="AD18" s="78"/>
      <c r="AE18" s="83"/>
      <c r="AF18" s="83"/>
      <c r="AG18" s="83"/>
      <c r="AH18" s="80"/>
      <c r="AI18" s="84"/>
      <c r="AJ18" s="83"/>
      <c r="AK18" s="83"/>
      <c r="AL18" s="78"/>
      <c r="AM18" s="83"/>
      <c r="AN18" s="83"/>
      <c r="AO18" s="83"/>
      <c r="AP18" s="80"/>
      <c r="AQ18" s="84"/>
      <c r="AR18" s="83"/>
      <c r="AS18" s="83"/>
      <c r="AT18" s="78"/>
      <c r="AU18" s="83"/>
      <c r="AV18" s="83"/>
      <c r="AW18" s="83"/>
      <c r="AX18" s="76"/>
    </row>
    <row r="19" spans="1:50" ht="30" customHeight="1">
      <c r="A19" s="82"/>
      <c r="B19" s="85" t="s">
        <v>151</v>
      </c>
      <c r="C19" s="84">
        <v>0.56599999999999995</v>
      </c>
      <c r="D19" s="83">
        <v>0.03</v>
      </c>
      <c r="E19" s="83">
        <v>0.03</v>
      </c>
      <c r="F19" s="78">
        <v>6.2403441540743497E-3</v>
      </c>
      <c r="G19" s="83">
        <v>0.56379374999999998</v>
      </c>
      <c r="H19" s="83">
        <v>1.6024757213864498</v>
      </c>
      <c r="I19" s="83">
        <v>1.4846269860428232</v>
      </c>
      <c r="J19" s="80">
        <v>0.9999956605719631</v>
      </c>
      <c r="K19" s="84">
        <v>-2.2062499999999652E-3</v>
      </c>
      <c r="L19" s="83"/>
      <c r="M19" s="83"/>
      <c r="N19" s="78"/>
      <c r="O19" s="83"/>
      <c r="P19" s="83"/>
      <c r="Q19" s="83"/>
      <c r="R19" s="80"/>
      <c r="S19" s="84"/>
      <c r="T19" s="83"/>
      <c r="U19" s="83"/>
      <c r="V19" s="78"/>
      <c r="W19" s="83"/>
      <c r="X19" s="83"/>
      <c r="Y19" s="83"/>
      <c r="Z19" s="80"/>
      <c r="AA19" s="84"/>
      <c r="AB19" s="83"/>
      <c r="AC19" s="83"/>
      <c r="AD19" s="78"/>
      <c r="AE19" s="83"/>
      <c r="AF19" s="83"/>
      <c r="AG19" s="83"/>
      <c r="AH19" s="80"/>
      <c r="AI19" s="84"/>
      <c r="AJ19" s="83"/>
      <c r="AK19" s="83"/>
      <c r="AL19" s="78"/>
      <c r="AM19" s="83"/>
      <c r="AN19" s="83"/>
      <c r="AO19" s="83"/>
      <c r="AP19" s="80"/>
      <c r="AQ19" s="84"/>
      <c r="AR19" s="83"/>
      <c r="AS19" s="83"/>
      <c r="AT19" s="78"/>
      <c r="AU19" s="83"/>
      <c r="AV19" s="83"/>
      <c r="AW19" s="83"/>
      <c r="AX19" s="76"/>
    </row>
    <row r="20" spans="1:50" ht="30" customHeight="1">
      <c r="A20" s="82"/>
      <c r="B20" s="85" t="s">
        <v>141</v>
      </c>
      <c r="C20" s="84">
        <v>1.25</v>
      </c>
      <c r="D20" s="83">
        <v>0.1</v>
      </c>
      <c r="E20" s="83">
        <v>0.1</v>
      </c>
      <c r="F20" s="78">
        <v>6.5295165742609591E-3</v>
      </c>
      <c r="G20" s="83">
        <v>1.235565625</v>
      </c>
      <c r="H20" s="83">
        <v>5.1050231597131956</v>
      </c>
      <c r="I20" s="83">
        <v>4.3681449730033446</v>
      </c>
      <c r="J20" s="80">
        <v>1</v>
      </c>
      <c r="K20" s="84">
        <v>-1.4434374999999999E-2</v>
      </c>
      <c r="L20" s="83"/>
      <c r="M20" s="83"/>
      <c r="N20" s="78"/>
      <c r="O20" s="83"/>
      <c r="P20" s="83"/>
      <c r="Q20" s="83"/>
      <c r="R20" s="80"/>
      <c r="S20" s="84"/>
      <c r="T20" s="83"/>
      <c r="U20" s="83"/>
      <c r="V20" s="78"/>
      <c r="W20" s="83"/>
      <c r="X20" s="83"/>
      <c r="Y20" s="83"/>
      <c r="Z20" s="80"/>
      <c r="AA20" s="84"/>
      <c r="AB20" s="83"/>
      <c r="AC20" s="83"/>
      <c r="AD20" s="78"/>
      <c r="AE20" s="83"/>
      <c r="AF20" s="83"/>
      <c r="AG20" s="83"/>
      <c r="AH20" s="80"/>
      <c r="AI20" s="84"/>
      <c r="AJ20" s="83"/>
      <c r="AK20" s="83"/>
      <c r="AL20" s="78"/>
      <c r="AM20" s="83"/>
      <c r="AN20" s="83"/>
      <c r="AO20" s="83"/>
      <c r="AP20" s="80"/>
      <c r="AQ20" s="84"/>
      <c r="AR20" s="83"/>
      <c r="AS20" s="83"/>
      <c r="AT20" s="78"/>
      <c r="AU20" s="83"/>
      <c r="AV20" s="83"/>
      <c r="AW20" s="83"/>
      <c r="AX20" s="76"/>
    </row>
    <row r="21" spans="1:50" ht="30" customHeight="1">
      <c r="A21" s="82"/>
      <c r="B21" s="85" t="s">
        <v>152</v>
      </c>
      <c r="C21" s="84">
        <v>1.25</v>
      </c>
      <c r="D21" s="83">
        <v>0.05</v>
      </c>
      <c r="E21" s="83">
        <v>0.05</v>
      </c>
      <c r="F21" s="78">
        <v>4.9396509198198664E-3</v>
      </c>
      <c r="G21" s="83">
        <v>1.2230281249999999</v>
      </c>
      <c r="H21" s="83">
        <v>3.3740575877119801</v>
      </c>
      <c r="I21" s="83">
        <v>1.5539643977405944</v>
      </c>
      <c r="J21" s="80">
        <v>0.99999843343105521</v>
      </c>
      <c r="K21" s="84">
        <v>-2.697187500000009E-2</v>
      </c>
      <c r="L21" s="83"/>
      <c r="M21" s="83"/>
      <c r="N21" s="78"/>
      <c r="O21" s="83"/>
      <c r="P21" s="83"/>
      <c r="Q21" s="83"/>
      <c r="R21" s="80"/>
      <c r="S21" s="84"/>
      <c r="T21" s="83"/>
      <c r="U21" s="83"/>
      <c r="V21" s="78"/>
      <c r="W21" s="83"/>
      <c r="X21" s="83"/>
      <c r="Y21" s="83"/>
      <c r="Z21" s="80"/>
      <c r="AA21" s="84"/>
      <c r="AB21" s="83"/>
      <c r="AC21" s="83"/>
      <c r="AD21" s="78"/>
      <c r="AE21" s="83"/>
      <c r="AF21" s="83"/>
      <c r="AG21" s="83"/>
      <c r="AH21" s="80"/>
      <c r="AI21" s="84"/>
      <c r="AJ21" s="83"/>
      <c r="AK21" s="83"/>
      <c r="AL21" s="78"/>
      <c r="AM21" s="83"/>
      <c r="AN21" s="83"/>
      <c r="AO21" s="83"/>
      <c r="AP21" s="80"/>
      <c r="AQ21" s="84"/>
      <c r="AR21" s="83"/>
      <c r="AS21" s="83"/>
      <c r="AT21" s="78"/>
      <c r="AU21" s="83"/>
      <c r="AV21" s="83"/>
      <c r="AW21" s="83"/>
      <c r="AX21" s="76"/>
    </row>
    <row r="22" spans="1:50" ht="30" customHeight="1">
      <c r="A22" s="82" t="s">
        <v>159</v>
      </c>
      <c r="B22" s="81" t="s">
        <v>137</v>
      </c>
      <c r="C22" s="79">
        <v>1.3</v>
      </c>
      <c r="D22" s="77">
        <v>0.03</v>
      </c>
      <c r="E22" s="77">
        <v>0.03</v>
      </c>
      <c r="F22" s="78">
        <v>6.3786872638245491E-3</v>
      </c>
      <c r="G22" s="83">
        <v>1.300059375</v>
      </c>
      <c r="H22" s="83">
        <v>1.5677206902293224</v>
      </c>
      <c r="I22" s="83">
        <v>1.5646179096965782</v>
      </c>
      <c r="J22" s="80">
        <v>0.99999743581304201</v>
      </c>
      <c r="K22" s="84">
        <v>5.9374999999972644E-5</v>
      </c>
      <c r="L22" s="83"/>
      <c r="M22" s="83"/>
      <c r="N22" s="78"/>
      <c r="O22" s="83"/>
      <c r="P22" s="83"/>
      <c r="Q22" s="83"/>
      <c r="R22" s="80"/>
      <c r="S22" s="84"/>
      <c r="T22" s="83"/>
      <c r="U22" s="83"/>
      <c r="V22" s="78"/>
      <c r="W22" s="83"/>
      <c r="X22" s="83"/>
      <c r="Y22" s="83"/>
      <c r="Z22" s="80"/>
      <c r="AA22" s="84"/>
      <c r="AB22" s="83"/>
      <c r="AC22" s="83"/>
      <c r="AD22" s="78"/>
      <c r="AE22" s="83"/>
      <c r="AF22" s="83"/>
      <c r="AG22" s="83"/>
      <c r="AH22" s="80"/>
      <c r="AI22" s="84"/>
      <c r="AJ22" s="83"/>
      <c r="AK22" s="83"/>
      <c r="AL22" s="78"/>
      <c r="AM22" s="83"/>
      <c r="AN22" s="83"/>
      <c r="AO22" s="83"/>
      <c r="AP22" s="80"/>
      <c r="AQ22" s="84"/>
      <c r="AR22" s="83"/>
      <c r="AS22" s="83"/>
      <c r="AT22" s="78"/>
      <c r="AU22" s="83"/>
      <c r="AV22" s="83"/>
      <c r="AW22" s="83"/>
      <c r="AX22" s="76"/>
    </row>
    <row r="23" spans="1:50" ht="30" customHeight="1">
      <c r="A23" s="82"/>
      <c r="B23" s="85" t="s">
        <v>142</v>
      </c>
      <c r="C23" s="84">
        <v>1</v>
      </c>
      <c r="D23" s="77">
        <v>0.04</v>
      </c>
      <c r="E23" s="77">
        <v>0.04</v>
      </c>
      <c r="F23" s="78">
        <v>3.6295160967784916E-3</v>
      </c>
      <c r="G23" s="83">
        <v>0.96586250000000018</v>
      </c>
      <c r="H23" s="83">
        <v>3.6735842954844107</v>
      </c>
      <c r="I23" s="83">
        <v>0.53840969830695318</v>
      </c>
      <c r="J23" s="80">
        <v>0.94686945397116196</v>
      </c>
      <c r="K23" s="84">
        <v>-3.4137499999999821E-2</v>
      </c>
      <c r="L23" s="83"/>
      <c r="M23" s="83"/>
      <c r="N23" s="78"/>
      <c r="O23" s="83"/>
      <c r="P23" s="83"/>
      <c r="Q23" s="83"/>
      <c r="R23" s="80"/>
      <c r="S23" s="84"/>
      <c r="T23" s="83"/>
      <c r="U23" s="83"/>
      <c r="V23" s="78"/>
      <c r="W23" s="83"/>
      <c r="X23" s="83"/>
      <c r="Y23" s="83"/>
      <c r="Z23" s="80"/>
      <c r="AA23" s="84"/>
      <c r="AB23" s="83"/>
      <c r="AC23" s="83"/>
      <c r="AD23" s="78"/>
      <c r="AE23" s="83"/>
      <c r="AF23" s="83"/>
      <c r="AG23" s="83"/>
      <c r="AH23" s="80"/>
      <c r="AI23" s="84"/>
      <c r="AJ23" s="83"/>
      <c r="AK23" s="83"/>
      <c r="AL23" s="78"/>
      <c r="AM23" s="83"/>
      <c r="AN23" s="83"/>
      <c r="AO23" s="83"/>
      <c r="AP23" s="80"/>
      <c r="AQ23" s="84"/>
      <c r="AR23" s="83"/>
      <c r="AS23" s="83"/>
      <c r="AT23" s="78"/>
      <c r="AU23" s="83"/>
      <c r="AV23" s="83"/>
      <c r="AW23" s="83"/>
      <c r="AX23" s="76"/>
    </row>
    <row r="24" spans="1:50" ht="30" customHeight="1">
      <c r="A24" s="82"/>
      <c r="B24" s="85" t="s">
        <v>143</v>
      </c>
      <c r="C24" s="84">
        <v>2.4</v>
      </c>
      <c r="D24" s="83">
        <v>0.04</v>
      </c>
      <c r="E24" s="83">
        <v>0.04</v>
      </c>
      <c r="F24" s="78">
        <v>3.8437829463575748E-3</v>
      </c>
      <c r="G24" s="83">
        <v>2.365221875</v>
      </c>
      <c r="H24" s="83">
        <v>3.4688049557970508</v>
      </c>
      <c r="I24" s="83">
        <v>0.452841646963831</v>
      </c>
      <c r="J24" s="80">
        <v>0.91285141296235839</v>
      </c>
      <c r="K24" s="84">
        <v>-3.4778124999999882E-2</v>
      </c>
      <c r="L24" s="83"/>
      <c r="M24" s="83"/>
      <c r="N24" s="78"/>
      <c r="O24" s="83"/>
      <c r="P24" s="83"/>
      <c r="Q24" s="83"/>
      <c r="R24" s="80"/>
      <c r="S24" s="84"/>
      <c r="T24" s="83"/>
      <c r="U24" s="83"/>
      <c r="V24" s="78"/>
      <c r="W24" s="83"/>
      <c r="X24" s="83"/>
      <c r="Y24" s="83"/>
      <c r="Z24" s="80"/>
      <c r="AA24" s="84"/>
      <c r="AB24" s="83"/>
      <c r="AC24" s="83"/>
      <c r="AD24" s="78"/>
      <c r="AE24" s="83"/>
      <c r="AF24" s="83"/>
      <c r="AG24" s="83"/>
      <c r="AH24" s="80"/>
      <c r="AI24" s="84"/>
      <c r="AJ24" s="83"/>
      <c r="AK24" s="83"/>
      <c r="AL24" s="78"/>
      <c r="AM24" s="83"/>
      <c r="AN24" s="83"/>
      <c r="AO24" s="83"/>
      <c r="AP24" s="80"/>
      <c r="AQ24" s="84"/>
      <c r="AR24" s="83"/>
      <c r="AS24" s="83"/>
      <c r="AT24" s="78"/>
      <c r="AU24" s="83"/>
      <c r="AV24" s="83"/>
      <c r="AW24" s="83"/>
      <c r="AX24" s="76"/>
    </row>
    <row r="25" spans="1:50" ht="30" customHeight="1">
      <c r="A25" s="82"/>
      <c r="B25" s="85" t="s">
        <v>138</v>
      </c>
      <c r="C25" s="84">
        <v>3.3</v>
      </c>
      <c r="D25" s="83">
        <v>0.05</v>
      </c>
      <c r="E25" s="83">
        <v>0.05</v>
      </c>
      <c r="F25" s="78">
        <v>3.6455894695707788E-3</v>
      </c>
      <c r="G25" s="77">
        <v>3.2937499999999997</v>
      </c>
      <c r="H25" s="77">
        <v>4.5717343671801016</v>
      </c>
      <c r="I25" s="77">
        <v>4.0002675712825795</v>
      </c>
      <c r="J25" s="80">
        <v>1</v>
      </c>
      <c r="K25" s="79">
        <v>-6.2500000000000888E-3</v>
      </c>
      <c r="L25" s="77"/>
      <c r="M25" s="77"/>
      <c r="N25" s="78"/>
      <c r="O25" s="77"/>
      <c r="P25" s="77"/>
      <c r="Q25" s="77"/>
      <c r="R25" s="80"/>
      <c r="S25" s="79"/>
      <c r="T25" s="77"/>
      <c r="U25" s="77"/>
      <c r="V25" s="78"/>
      <c r="W25" s="77"/>
      <c r="X25" s="77"/>
      <c r="Y25" s="77"/>
      <c r="Z25" s="80"/>
      <c r="AA25" s="79"/>
      <c r="AB25" s="77"/>
      <c r="AC25" s="77"/>
      <c r="AD25" s="78"/>
      <c r="AE25" s="77"/>
      <c r="AF25" s="77"/>
      <c r="AG25" s="77"/>
      <c r="AH25" s="80"/>
      <c r="AI25" s="79"/>
      <c r="AJ25" s="77"/>
      <c r="AK25" s="77"/>
      <c r="AL25" s="78"/>
      <c r="AM25" s="77"/>
      <c r="AN25" s="77"/>
      <c r="AO25" s="77"/>
      <c r="AP25" s="80"/>
      <c r="AQ25" s="79"/>
      <c r="AR25" s="77"/>
      <c r="AS25" s="77"/>
      <c r="AT25" s="78"/>
      <c r="AU25" s="77"/>
      <c r="AV25" s="77"/>
      <c r="AW25" s="77"/>
      <c r="AX25" s="76"/>
    </row>
    <row r="26" spans="1:50" ht="30" customHeight="1">
      <c r="A26" s="82"/>
      <c r="B26" s="85" t="s">
        <v>140</v>
      </c>
      <c r="C26" s="84">
        <v>0.86</v>
      </c>
      <c r="D26" s="83">
        <v>0.05</v>
      </c>
      <c r="E26" s="83">
        <v>0.05</v>
      </c>
      <c r="F26" s="78">
        <v>8.6038338931717206E-3</v>
      </c>
      <c r="G26" s="77">
        <v>0.87197187499999984</v>
      </c>
      <c r="H26" s="77">
        <v>1.9371209246489389</v>
      </c>
      <c r="I26" s="77">
        <v>1.4733015332533146</v>
      </c>
      <c r="J26" s="80">
        <v>0.99999506277554973</v>
      </c>
      <c r="K26" s="79">
        <v>1.1971874999999854E-2</v>
      </c>
      <c r="L26" s="77"/>
      <c r="M26" s="77"/>
      <c r="N26" s="78"/>
      <c r="O26" s="77"/>
      <c r="P26" s="77"/>
      <c r="Q26" s="77"/>
      <c r="R26" s="80"/>
      <c r="S26" s="79"/>
      <c r="T26" s="77"/>
      <c r="U26" s="77"/>
      <c r="V26" s="78"/>
      <c r="W26" s="77"/>
      <c r="X26" s="77"/>
      <c r="Y26" s="77"/>
      <c r="Z26" s="80"/>
      <c r="AA26" s="79"/>
      <c r="AB26" s="77"/>
      <c r="AC26" s="77"/>
      <c r="AD26" s="78"/>
      <c r="AE26" s="77"/>
      <c r="AF26" s="77"/>
      <c r="AG26" s="77"/>
      <c r="AH26" s="80"/>
      <c r="AI26" s="79"/>
      <c r="AJ26" s="77"/>
      <c r="AK26" s="77"/>
      <c r="AL26" s="78"/>
      <c r="AM26" s="77"/>
      <c r="AN26" s="77"/>
      <c r="AO26" s="77"/>
      <c r="AP26" s="80"/>
      <c r="AQ26" s="79"/>
      <c r="AR26" s="77"/>
      <c r="AS26" s="77"/>
      <c r="AT26" s="78"/>
      <c r="AU26" s="77"/>
      <c r="AV26" s="77"/>
      <c r="AW26" s="77"/>
      <c r="AX26" s="76"/>
    </row>
    <row r="27" spans="1:50" ht="30" customHeight="1">
      <c r="A27" s="82"/>
      <c r="B27" s="85" t="s">
        <v>139</v>
      </c>
      <c r="C27" s="84">
        <v>0.86</v>
      </c>
      <c r="D27" s="83">
        <v>0.05</v>
      </c>
      <c r="E27" s="83">
        <v>0.05</v>
      </c>
      <c r="F27" s="78">
        <v>7.3074393158505807E-3</v>
      </c>
      <c r="G27" s="77">
        <v>0.87069374999999993</v>
      </c>
      <c r="H27" s="77">
        <v>2.2807807148688846</v>
      </c>
      <c r="I27" s="77">
        <v>1.7929787394763048</v>
      </c>
      <c r="J27" s="80">
        <v>0.99999996253637713</v>
      </c>
      <c r="K27" s="79">
        <v>1.0693749999999946E-2</v>
      </c>
      <c r="L27" s="77"/>
      <c r="M27" s="77"/>
      <c r="N27" s="78"/>
      <c r="O27" s="77"/>
      <c r="P27" s="77"/>
      <c r="Q27" s="77"/>
      <c r="R27" s="80"/>
      <c r="S27" s="79"/>
      <c r="T27" s="77"/>
      <c r="U27" s="77"/>
      <c r="V27" s="78"/>
      <c r="W27" s="77"/>
      <c r="X27" s="77"/>
      <c r="Y27" s="77"/>
      <c r="Z27" s="80"/>
      <c r="AA27" s="79"/>
      <c r="AB27" s="77"/>
      <c r="AC27" s="77"/>
      <c r="AD27" s="78"/>
      <c r="AE27" s="77"/>
      <c r="AF27" s="77"/>
      <c r="AG27" s="77"/>
      <c r="AH27" s="80"/>
      <c r="AI27" s="79"/>
      <c r="AJ27" s="77"/>
      <c r="AK27" s="77"/>
      <c r="AL27" s="78"/>
      <c r="AM27" s="77"/>
      <c r="AN27" s="77"/>
      <c r="AO27" s="77"/>
      <c r="AP27" s="80"/>
      <c r="AQ27" s="79"/>
      <c r="AR27" s="77"/>
      <c r="AS27" s="77"/>
      <c r="AT27" s="78"/>
      <c r="AU27" s="77"/>
      <c r="AV27" s="77"/>
      <c r="AW27" s="77"/>
      <c r="AX27" s="76"/>
    </row>
    <row r="28" spans="1:50" ht="30" customHeight="1">
      <c r="A28" s="82"/>
      <c r="B28" s="85" t="s">
        <v>144</v>
      </c>
      <c r="C28" s="84">
        <v>2.9</v>
      </c>
      <c r="D28" s="83">
        <v>0.05</v>
      </c>
      <c r="E28" s="83">
        <v>0.05</v>
      </c>
      <c r="F28" s="78">
        <v>3.5522581981679538E-3</v>
      </c>
      <c r="G28" s="77">
        <v>2.8587218749999996</v>
      </c>
      <c r="H28" s="77">
        <v>4.6918511371899418</v>
      </c>
      <c r="I28" s="77">
        <v>0.81843478274353076</v>
      </c>
      <c r="J28" s="80">
        <v>0.99296173223515027</v>
      </c>
      <c r="K28" s="79">
        <v>-4.1278125000000276E-2</v>
      </c>
      <c r="L28" s="77"/>
      <c r="M28" s="77"/>
      <c r="N28" s="78"/>
      <c r="O28" s="77"/>
      <c r="P28" s="77"/>
      <c r="Q28" s="77"/>
      <c r="R28" s="80"/>
      <c r="S28" s="79"/>
      <c r="T28" s="77"/>
      <c r="U28" s="77"/>
      <c r="V28" s="78"/>
      <c r="W28" s="77"/>
      <c r="X28" s="77"/>
      <c r="Y28" s="77"/>
      <c r="Z28" s="80"/>
      <c r="AA28" s="79"/>
      <c r="AB28" s="77"/>
      <c r="AC28" s="77"/>
      <c r="AD28" s="78"/>
      <c r="AE28" s="77"/>
      <c r="AF28" s="77"/>
      <c r="AG28" s="77"/>
      <c r="AH28" s="80"/>
      <c r="AI28" s="79"/>
      <c r="AJ28" s="77"/>
      <c r="AK28" s="77"/>
      <c r="AL28" s="78"/>
      <c r="AM28" s="77"/>
      <c r="AN28" s="77"/>
      <c r="AO28" s="77"/>
      <c r="AP28" s="80"/>
      <c r="AQ28" s="79"/>
      <c r="AR28" s="77"/>
      <c r="AS28" s="77"/>
      <c r="AT28" s="78"/>
      <c r="AU28" s="77"/>
      <c r="AV28" s="77"/>
      <c r="AW28" s="77"/>
      <c r="AX28" s="76"/>
    </row>
    <row r="29" spans="1:50" ht="30" customHeight="1">
      <c r="A29" s="82"/>
      <c r="B29" s="85" t="s">
        <v>145</v>
      </c>
      <c r="C29" s="84">
        <v>0.3</v>
      </c>
      <c r="D29" s="83">
        <v>0.03</v>
      </c>
      <c r="E29" s="83">
        <v>0.03</v>
      </c>
      <c r="F29" s="78">
        <v>3.0424881053124539E-3</v>
      </c>
      <c r="G29" s="77">
        <v>0.32279374999999999</v>
      </c>
      <c r="H29" s="77">
        <v>3.2867835974573261</v>
      </c>
      <c r="I29" s="77">
        <v>0.78951280997255924</v>
      </c>
      <c r="J29" s="80">
        <v>0.99107073751041586</v>
      </c>
      <c r="K29" s="79">
        <v>2.2793750000000002E-2</v>
      </c>
      <c r="L29" s="77"/>
      <c r="M29" s="77"/>
      <c r="N29" s="78"/>
      <c r="O29" s="77"/>
      <c r="P29" s="77"/>
      <c r="Q29" s="77"/>
      <c r="R29" s="80"/>
      <c r="S29" s="79"/>
      <c r="T29" s="77"/>
      <c r="U29" s="77"/>
      <c r="V29" s="78"/>
      <c r="W29" s="77"/>
      <c r="X29" s="77"/>
      <c r="Y29" s="77"/>
      <c r="Z29" s="80"/>
      <c r="AA29" s="79"/>
      <c r="AB29" s="77"/>
      <c r="AC29" s="77"/>
      <c r="AD29" s="78"/>
      <c r="AE29" s="77"/>
      <c r="AF29" s="77"/>
      <c r="AG29" s="77"/>
      <c r="AH29" s="80"/>
      <c r="AI29" s="79"/>
      <c r="AJ29" s="77"/>
      <c r="AK29" s="77"/>
      <c r="AL29" s="78"/>
      <c r="AM29" s="77"/>
      <c r="AN29" s="77"/>
      <c r="AO29" s="77"/>
      <c r="AP29" s="80"/>
      <c r="AQ29" s="79"/>
      <c r="AR29" s="77"/>
      <c r="AS29" s="77"/>
      <c r="AT29" s="78"/>
      <c r="AU29" s="77"/>
      <c r="AV29" s="77"/>
      <c r="AW29" s="77"/>
      <c r="AX29" s="76"/>
    </row>
    <row r="30" spans="1:50" ht="30" customHeight="1">
      <c r="A30" s="82"/>
      <c r="B30" s="85" t="s">
        <v>146</v>
      </c>
      <c r="C30" s="84">
        <v>0.3</v>
      </c>
      <c r="D30" s="83">
        <v>0.03</v>
      </c>
      <c r="E30" s="83">
        <v>0.03</v>
      </c>
      <c r="F30" s="78">
        <v>5.4652337774275996E-3</v>
      </c>
      <c r="G30" s="77">
        <v>0.32133437500000001</v>
      </c>
      <c r="H30" s="77">
        <v>1.8297478950126147</v>
      </c>
      <c r="I30" s="77">
        <v>0.52853030342395402</v>
      </c>
      <c r="J30" s="80">
        <v>0.94358393023459985</v>
      </c>
      <c r="K30" s="79">
        <v>2.1334375000000017E-2</v>
      </c>
      <c r="L30" s="77"/>
      <c r="M30" s="77"/>
      <c r="N30" s="78"/>
      <c r="O30" s="77"/>
      <c r="P30" s="77"/>
      <c r="Q30" s="77"/>
      <c r="R30" s="80"/>
      <c r="S30" s="79"/>
      <c r="T30" s="77"/>
      <c r="U30" s="77"/>
      <c r="V30" s="78"/>
      <c r="W30" s="77"/>
      <c r="X30" s="77"/>
      <c r="Y30" s="77"/>
      <c r="Z30" s="80"/>
      <c r="AA30" s="79"/>
      <c r="AB30" s="77"/>
      <c r="AC30" s="77"/>
      <c r="AD30" s="78"/>
      <c r="AE30" s="77"/>
      <c r="AF30" s="77"/>
      <c r="AG30" s="77"/>
      <c r="AH30" s="80"/>
      <c r="AI30" s="79"/>
      <c r="AJ30" s="77"/>
      <c r="AK30" s="77"/>
      <c r="AL30" s="78"/>
      <c r="AM30" s="77"/>
      <c r="AN30" s="77"/>
      <c r="AO30" s="77"/>
      <c r="AP30" s="80"/>
      <c r="AQ30" s="79"/>
      <c r="AR30" s="77"/>
      <c r="AS30" s="77"/>
      <c r="AT30" s="78"/>
      <c r="AU30" s="77"/>
      <c r="AV30" s="77"/>
      <c r="AW30" s="77"/>
      <c r="AX30" s="76"/>
    </row>
    <row r="31" spans="1:50" ht="30" customHeight="1">
      <c r="A31" s="82"/>
      <c r="B31" s="85" t="s">
        <v>147</v>
      </c>
      <c r="C31" s="84">
        <v>0.25</v>
      </c>
      <c r="D31" s="83">
        <v>0.03</v>
      </c>
      <c r="E31" s="83">
        <v>0.03</v>
      </c>
      <c r="F31" s="78">
        <v>6.7972836130419838E-3</v>
      </c>
      <c r="G31" s="77">
        <v>0.26626250000000007</v>
      </c>
      <c r="H31" s="77">
        <v>1.4711759239842443</v>
      </c>
      <c r="I31" s="77">
        <v>0.67367597519111622</v>
      </c>
      <c r="J31" s="80">
        <v>0.97836156280438069</v>
      </c>
      <c r="K31" s="79">
        <v>1.6262500000000069E-2</v>
      </c>
      <c r="L31" s="77"/>
      <c r="M31" s="77"/>
      <c r="N31" s="78"/>
      <c r="O31" s="77"/>
      <c r="P31" s="77"/>
      <c r="Q31" s="77"/>
      <c r="R31" s="80"/>
      <c r="S31" s="79"/>
      <c r="T31" s="77"/>
      <c r="U31" s="77"/>
      <c r="V31" s="78"/>
      <c r="W31" s="77"/>
      <c r="X31" s="77"/>
      <c r="Y31" s="77"/>
      <c r="Z31" s="80"/>
      <c r="AA31" s="79"/>
      <c r="AB31" s="77"/>
      <c r="AC31" s="77"/>
      <c r="AD31" s="78"/>
      <c r="AE31" s="77"/>
      <c r="AF31" s="77"/>
      <c r="AG31" s="77"/>
      <c r="AH31" s="80"/>
      <c r="AI31" s="79"/>
      <c r="AJ31" s="77"/>
      <c r="AK31" s="77"/>
      <c r="AL31" s="78"/>
      <c r="AM31" s="77"/>
      <c r="AN31" s="77"/>
      <c r="AO31" s="77"/>
      <c r="AP31" s="80"/>
      <c r="AQ31" s="79"/>
      <c r="AR31" s="77"/>
      <c r="AS31" s="77"/>
      <c r="AT31" s="78"/>
      <c r="AU31" s="77"/>
      <c r="AV31" s="77"/>
      <c r="AW31" s="77"/>
      <c r="AX31" s="76"/>
    </row>
    <row r="32" spans="1:50" ht="30" customHeight="1">
      <c r="A32" s="82"/>
      <c r="B32" s="85" t="s">
        <v>148</v>
      </c>
      <c r="C32" s="84">
        <v>0.25</v>
      </c>
      <c r="D32" s="83">
        <v>0.03</v>
      </c>
      <c r="E32" s="83">
        <v>0.03</v>
      </c>
      <c r="F32" s="78">
        <v>7.821500943944782E-3</v>
      </c>
      <c r="G32" s="77">
        <v>0.251334375</v>
      </c>
      <c r="H32" s="77">
        <v>1.2785269824382959</v>
      </c>
      <c r="I32" s="77">
        <v>1.2216591676985931</v>
      </c>
      <c r="J32" s="80">
        <v>0.99984546609551117</v>
      </c>
      <c r="K32" s="79">
        <v>1.3343749999999988E-3</v>
      </c>
      <c r="L32" s="77"/>
      <c r="M32" s="77"/>
      <c r="N32" s="78"/>
      <c r="O32" s="77"/>
      <c r="P32" s="77"/>
      <c r="Q32" s="77"/>
      <c r="R32" s="80"/>
      <c r="S32" s="79"/>
      <c r="T32" s="77"/>
      <c r="U32" s="77"/>
      <c r="V32" s="78"/>
      <c r="W32" s="77"/>
      <c r="X32" s="77"/>
      <c r="Y32" s="77"/>
      <c r="Z32" s="80"/>
      <c r="AA32" s="79"/>
      <c r="AB32" s="77"/>
      <c r="AC32" s="77"/>
      <c r="AD32" s="78"/>
      <c r="AE32" s="77"/>
      <c r="AF32" s="77"/>
      <c r="AG32" s="77"/>
      <c r="AH32" s="80"/>
      <c r="AI32" s="79"/>
      <c r="AJ32" s="77"/>
      <c r="AK32" s="77"/>
      <c r="AL32" s="78"/>
      <c r="AM32" s="77"/>
      <c r="AN32" s="77"/>
      <c r="AO32" s="77"/>
      <c r="AP32" s="80"/>
      <c r="AQ32" s="79"/>
      <c r="AR32" s="77"/>
      <c r="AS32" s="77"/>
      <c r="AT32" s="78"/>
      <c r="AU32" s="77"/>
      <c r="AV32" s="77"/>
      <c r="AW32" s="77"/>
      <c r="AX32" s="76"/>
    </row>
    <row r="33" spans="1:50" ht="30" customHeight="1">
      <c r="A33" s="82"/>
      <c r="B33" s="85" t="s">
        <v>149</v>
      </c>
      <c r="C33" s="84">
        <v>0.25</v>
      </c>
      <c r="D33" s="83">
        <v>0.03</v>
      </c>
      <c r="E33" s="83">
        <v>0.03</v>
      </c>
      <c r="F33" s="78">
        <v>8.418201645934412E-3</v>
      </c>
      <c r="G33" s="77">
        <v>0.23420312499999998</v>
      </c>
      <c r="H33" s="77">
        <v>1.1879021696789034</v>
      </c>
      <c r="I33" s="77">
        <v>0.56239743345735493</v>
      </c>
      <c r="J33" s="80">
        <v>0.95421678266809229</v>
      </c>
      <c r="K33" s="79">
        <v>-1.5796875000000016E-2</v>
      </c>
      <c r="L33" s="77"/>
      <c r="M33" s="77"/>
      <c r="N33" s="78"/>
      <c r="O33" s="77"/>
      <c r="P33" s="77"/>
      <c r="Q33" s="77"/>
      <c r="R33" s="80"/>
      <c r="S33" s="79"/>
      <c r="T33" s="77"/>
      <c r="U33" s="77"/>
      <c r="V33" s="78"/>
      <c r="W33" s="77"/>
      <c r="X33" s="77"/>
      <c r="Y33" s="77"/>
      <c r="Z33" s="80"/>
      <c r="AA33" s="79"/>
      <c r="AB33" s="77"/>
      <c r="AC33" s="77"/>
      <c r="AD33" s="78"/>
      <c r="AE33" s="77"/>
      <c r="AF33" s="77"/>
      <c r="AG33" s="77"/>
      <c r="AH33" s="80"/>
      <c r="AI33" s="79"/>
      <c r="AJ33" s="77"/>
      <c r="AK33" s="77"/>
      <c r="AL33" s="78"/>
      <c r="AM33" s="77"/>
      <c r="AN33" s="77"/>
      <c r="AO33" s="77"/>
      <c r="AP33" s="80"/>
      <c r="AQ33" s="79"/>
      <c r="AR33" s="77"/>
      <c r="AS33" s="77"/>
      <c r="AT33" s="78"/>
      <c r="AU33" s="77"/>
      <c r="AV33" s="77"/>
      <c r="AW33" s="77"/>
      <c r="AX33" s="76"/>
    </row>
    <row r="34" spans="1:50" ht="30" customHeight="1">
      <c r="A34" s="82"/>
      <c r="B34" s="85" t="s">
        <v>150</v>
      </c>
      <c r="C34" s="84">
        <v>0.56599999999999995</v>
      </c>
      <c r="D34" s="83">
        <v>0.03</v>
      </c>
      <c r="E34" s="83">
        <v>0.03</v>
      </c>
      <c r="F34" s="78">
        <v>5.969572545079539E-3</v>
      </c>
      <c r="G34" s="77">
        <v>0.56749687500000012</v>
      </c>
      <c r="H34" s="77">
        <v>1.6751618184525754</v>
      </c>
      <c r="I34" s="77">
        <v>1.5915782235526925</v>
      </c>
      <c r="J34" s="80">
        <v>0.99999903434625503</v>
      </c>
      <c r="K34" s="79">
        <v>1.4968750000001751E-3</v>
      </c>
      <c r="L34" s="77"/>
      <c r="M34" s="77"/>
      <c r="N34" s="78"/>
      <c r="O34" s="77"/>
      <c r="P34" s="77"/>
      <c r="Q34" s="77"/>
      <c r="R34" s="80"/>
      <c r="S34" s="79"/>
      <c r="T34" s="77"/>
      <c r="U34" s="77"/>
      <c r="V34" s="78"/>
      <c r="W34" s="77"/>
      <c r="X34" s="77"/>
      <c r="Y34" s="77"/>
      <c r="Z34" s="80"/>
      <c r="AA34" s="79"/>
      <c r="AB34" s="77"/>
      <c r="AC34" s="77"/>
      <c r="AD34" s="78"/>
      <c r="AE34" s="77"/>
      <c r="AF34" s="77"/>
      <c r="AG34" s="77"/>
      <c r="AH34" s="80"/>
      <c r="AI34" s="79"/>
      <c r="AJ34" s="77"/>
      <c r="AK34" s="77"/>
      <c r="AL34" s="78"/>
      <c r="AM34" s="77"/>
      <c r="AN34" s="77"/>
      <c r="AO34" s="77"/>
      <c r="AP34" s="80"/>
      <c r="AQ34" s="79"/>
      <c r="AR34" s="77"/>
      <c r="AS34" s="77"/>
      <c r="AT34" s="78"/>
      <c r="AU34" s="77"/>
      <c r="AV34" s="77"/>
      <c r="AW34" s="77"/>
      <c r="AX34" s="76"/>
    </row>
    <row r="35" spans="1:50" ht="30" customHeight="1">
      <c r="A35" s="82"/>
      <c r="B35" s="85" t="s">
        <v>151</v>
      </c>
      <c r="C35" s="84">
        <v>0.56599999999999995</v>
      </c>
      <c r="D35" s="83">
        <v>0.03</v>
      </c>
      <c r="E35" s="83">
        <v>0.03</v>
      </c>
      <c r="F35" s="78">
        <v>4.3424712378567201E-3</v>
      </c>
      <c r="G35" s="77">
        <v>0.56966875000000017</v>
      </c>
      <c r="H35" s="77">
        <v>2.302836208291303</v>
      </c>
      <c r="I35" s="77">
        <v>2.0212185303189956</v>
      </c>
      <c r="J35" s="80">
        <v>0.99999999933468586</v>
      </c>
      <c r="K35" s="79">
        <v>3.6687500000002204E-3</v>
      </c>
      <c r="L35" s="77"/>
      <c r="M35" s="77"/>
      <c r="N35" s="78"/>
      <c r="O35" s="77"/>
      <c r="P35" s="77"/>
      <c r="Q35" s="77"/>
      <c r="R35" s="80"/>
      <c r="S35" s="79"/>
      <c r="T35" s="77"/>
      <c r="U35" s="77"/>
      <c r="V35" s="78"/>
      <c r="W35" s="77"/>
      <c r="X35" s="77"/>
      <c r="Y35" s="77"/>
      <c r="Z35" s="80"/>
      <c r="AA35" s="79"/>
      <c r="AB35" s="77"/>
      <c r="AC35" s="77"/>
      <c r="AD35" s="78"/>
      <c r="AE35" s="77"/>
      <c r="AF35" s="77"/>
      <c r="AG35" s="77"/>
      <c r="AH35" s="80"/>
      <c r="AI35" s="79"/>
      <c r="AJ35" s="77"/>
      <c r="AK35" s="77"/>
      <c r="AL35" s="78"/>
      <c r="AM35" s="77"/>
      <c r="AN35" s="77"/>
      <c r="AO35" s="77"/>
      <c r="AP35" s="80"/>
      <c r="AQ35" s="79"/>
      <c r="AR35" s="77"/>
      <c r="AS35" s="77"/>
      <c r="AT35" s="78"/>
      <c r="AU35" s="77"/>
      <c r="AV35" s="77"/>
      <c r="AW35" s="77"/>
      <c r="AX35" s="76"/>
    </row>
    <row r="36" spans="1:50" ht="30" customHeight="1">
      <c r="A36" s="82"/>
      <c r="B36" s="85" t="s">
        <v>141</v>
      </c>
      <c r="C36" s="84">
        <v>1.25</v>
      </c>
      <c r="D36" s="83">
        <v>0.1</v>
      </c>
      <c r="E36" s="83">
        <v>0.1</v>
      </c>
      <c r="F36" s="78">
        <v>3.5175123518136017E-3</v>
      </c>
      <c r="G36" s="77">
        <v>1.2297531249999998</v>
      </c>
      <c r="H36" s="77">
        <v>9.4763941102145548</v>
      </c>
      <c r="I36" s="77">
        <v>7.5577204402120328</v>
      </c>
      <c r="J36" s="80">
        <v>1</v>
      </c>
      <c r="K36" s="79">
        <v>-2.024687500000022E-2</v>
      </c>
      <c r="L36" s="77"/>
      <c r="M36" s="77"/>
      <c r="N36" s="78"/>
      <c r="O36" s="77"/>
      <c r="P36" s="77"/>
      <c r="Q36" s="77"/>
      <c r="R36" s="80"/>
      <c r="S36" s="79"/>
      <c r="T36" s="77"/>
      <c r="U36" s="77"/>
      <c r="V36" s="78"/>
      <c r="W36" s="77"/>
      <c r="X36" s="77"/>
      <c r="Y36" s="77"/>
      <c r="Z36" s="80"/>
      <c r="AA36" s="79"/>
      <c r="AB36" s="77"/>
      <c r="AC36" s="77"/>
      <c r="AD36" s="78"/>
      <c r="AE36" s="77"/>
      <c r="AF36" s="77"/>
      <c r="AG36" s="77"/>
      <c r="AH36" s="80"/>
      <c r="AI36" s="79"/>
      <c r="AJ36" s="77"/>
      <c r="AK36" s="77"/>
      <c r="AL36" s="78"/>
      <c r="AM36" s="77"/>
      <c r="AN36" s="77"/>
      <c r="AO36" s="77"/>
      <c r="AP36" s="80"/>
      <c r="AQ36" s="79"/>
      <c r="AR36" s="77"/>
      <c r="AS36" s="77"/>
      <c r="AT36" s="78"/>
      <c r="AU36" s="77"/>
      <c r="AV36" s="77"/>
      <c r="AW36" s="77"/>
      <c r="AX36" s="76"/>
    </row>
    <row r="37" spans="1:50" ht="30" customHeight="1">
      <c r="A37" s="82"/>
      <c r="B37" s="85" t="s">
        <v>152</v>
      </c>
      <c r="C37" s="84">
        <v>1.25</v>
      </c>
      <c r="D37" s="83">
        <v>0.05</v>
      </c>
      <c r="E37" s="83">
        <v>0.05</v>
      </c>
      <c r="F37" s="78">
        <v>4.9687886740227743E-3</v>
      </c>
      <c r="G37" s="77">
        <v>1.2263781249999997</v>
      </c>
      <c r="H37" s="77">
        <v>3.3542715861113899</v>
      </c>
      <c r="I37" s="77">
        <v>1.7695879036478681</v>
      </c>
      <c r="J37" s="80">
        <v>0.9999999448143464</v>
      </c>
      <c r="K37" s="79">
        <v>-2.3621875000000347E-2</v>
      </c>
      <c r="L37" s="77"/>
      <c r="M37" s="77"/>
      <c r="N37" s="78"/>
      <c r="O37" s="77"/>
      <c r="P37" s="77"/>
      <c r="Q37" s="77"/>
      <c r="R37" s="80"/>
      <c r="S37" s="79"/>
      <c r="T37" s="77"/>
      <c r="U37" s="77"/>
      <c r="V37" s="78"/>
      <c r="W37" s="77"/>
      <c r="X37" s="77"/>
      <c r="Y37" s="77"/>
      <c r="Z37" s="80"/>
      <c r="AA37" s="79"/>
      <c r="AB37" s="77"/>
      <c r="AC37" s="77"/>
      <c r="AD37" s="78"/>
      <c r="AE37" s="77"/>
      <c r="AF37" s="77"/>
      <c r="AG37" s="77"/>
      <c r="AH37" s="80"/>
      <c r="AI37" s="79"/>
      <c r="AJ37" s="77"/>
      <c r="AK37" s="77"/>
      <c r="AL37" s="78"/>
      <c r="AM37" s="77"/>
      <c r="AN37" s="77"/>
      <c r="AO37" s="77"/>
      <c r="AP37" s="80"/>
      <c r="AQ37" s="79"/>
      <c r="AR37" s="77"/>
      <c r="AS37" s="77"/>
      <c r="AT37" s="78"/>
      <c r="AU37" s="77"/>
      <c r="AV37" s="77"/>
      <c r="AW37" s="77"/>
      <c r="AX37" s="76"/>
    </row>
    <row r="38" spans="1:50" ht="30" customHeight="1">
      <c r="A38" s="82" t="s">
        <v>160</v>
      </c>
      <c r="B38" s="81" t="s">
        <v>137</v>
      </c>
      <c r="C38" s="79">
        <v>1.3</v>
      </c>
      <c r="D38" s="77">
        <v>0.03</v>
      </c>
      <c r="E38" s="77">
        <v>0.03</v>
      </c>
      <c r="F38" s="78">
        <v>4.2480533967089555E-3</v>
      </c>
      <c r="G38" s="77">
        <v>1.3035718749999998</v>
      </c>
      <c r="H38" s="77">
        <v>2.3540193745556945</v>
      </c>
      <c r="I38" s="77">
        <v>2.0737439427726745</v>
      </c>
      <c r="J38" s="80">
        <v>0.99999999975336529</v>
      </c>
      <c r="K38" s="79">
        <v>3.5718749999997801E-3</v>
      </c>
      <c r="L38" s="77"/>
      <c r="M38" s="77"/>
      <c r="N38" s="78"/>
      <c r="O38" s="77"/>
      <c r="P38" s="77"/>
      <c r="Q38" s="77"/>
      <c r="R38" s="80"/>
      <c r="S38" s="79"/>
      <c r="T38" s="77"/>
      <c r="U38" s="77"/>
      <c r="V38" s="78"/>
      <c r="W38" s="77"/>
      <c r="X38" s="77"/>
      <c r="Y38" s="77"/>
      <c r="Z38" s="80"/>
      <c r="AA38" s="79"/>
      <c r="AB38" s="77"/>
      <c r="AC38" s="77"/>
      <c r="AD38" s="78"/>
      <c r="AE38" s="77"/>
      <c r="AF38" s="77"/>
      <c r="AG38" s="77"/>
      <c r="AH38" s="80"/>
      <c r="AI38" s="79"/>
      <c r="AJ38" s="77"/>
      <c r="AK38" s="77"/>
      <c r="AL38" s="78"/>
      <c r="AM38" s="77"/>
      <c r="AN38" s="77"/>
      <c r="AO38" s="77"/>
      <c r="AP38" s="80"/>
      <c r="AQ38" s="79"/>
      <c r="AR38" s="77"/>
      <c r="AS38" s="77"/>
      <c r="AT38" s="78"/>
      <c r="AU38" s="77"/>
      <c r="AV38" s="77"/>
      <c r="AW38" s="77"/>
      <c r="AX38" s="76"/>
    </row>
    <row r="39" spans="1:50" ht="30" customHeight="1">
      <c r="A39" s="82"/>
      <c r="B39" s="85" t="s">
        <v>142</v>
      </c>
      <c r="C39" s="84">
        <v>1</v>
      </c>
      <c r="D39" s="77">
        <v>0.04</v>
      </c>
      <c r="E39" s="77">
        <v>0.04</v>
      </c>
      <c r="F39" s="78">
        <v>3.0764191584876162E-3</v>
      </c>
      <c r="G39" s="77">
        <v>0.97663749999999994</v>
      </c>
      <c r="H39" s="77">
        <v>4.3340431347099271</v>
      </c>
      <c r="I39" s="77">
        <v>1.8026910663434057</v>
      </c>
      <c r="J39" s="80">
        <v>0.99999996814680558</v>
      </c>
      <c r="K39" s="79">
        <v>-2.3362500000000064E-2</v>
      </c>
      <c r="L39" s="77"/>
      <c r="M39" s="77"/>
      <c r="N39" s="78"/>
      <c r="O39" s="77"/>
      <c r="P39" s="77"/>
      <c r="Q39" s="77"/>
      <c r="R39" s="80"/>
      <c r="S39" s="79"/>
      <c r="T39" s="77"/>
      <c r="U39" s="77"/>
      <c r="V39" s="78"/>
      <c r="W39" s="77"/>
      <c r="X39" s="77"/>
      <c r="Y39" s="77"/>
      <c r="Z39" s="80"/>
      <c r="AA39" s="79"/>
      <c r="AB39" s="77"/>
      <c r="AC39" s="77"/>
      <c r="AD39" s="78"/>
      <c r="AE39" s="77"/>
      <c r="AF39" s="77"/>
      <c r="AG39" s="77"/>
      <c r="AH39" s="80"/>
      <c r="AI39" s="79"/>
      <c r="AJ39" s="77"/>
      <c r="AK39" s="77"/>
      <c r="AL39" s="78"/>
      <c r="AM39" s="77"/>
      <c r="AN39" s="77"/>
      <c r="AO39" s="77"/>
      <c r="AP39" s="80"/>
      <c r="AQ39" s="79"/>
      <c r="AR39" s="77"/>
      <c r="AS39" s="77"/>
      <c r="AT39" s="78"/>
      <c r="AU39" s="77"/>
      <c r="AV39" s="77"/>
      <c r="AW39" s="77"/>
      <c r="AX39" s="76"/>
    </row>
    <row r="40" spans="1:50" ht="30" customHeight="1">
      <c r="A40" s="82"/>
      <c r="B40" s="85" t="s">
        <v>143</v>
      </c>
      <c r="C40" s="84">
        <v>2.4</v>
      </c>
      <c r="D40" s="83">
        <v>0.04</v>
      </c>
      <c r="E40" s="83">
        <v>0.04</v>
      </c>
      <c r="F40" s="78">
        <v>3.0521277612458619E-3</v>
      </c>
      <c r="G40" s="77">
        <v>2.3669500000000006</v>
      </c>
      <c r="H40" s="77">
        <v>4.3685370916094124</v>
      </c>
      <c r="I40" s="77">
        <v>0.75903331966720877</v>
      </c>
      <c r="J40" s="80">
        <v>0.98860987142465595</v>
      </c>
      <c r="K40" s="79">
        <v>-3.3049999999999358E-2</v>
      </c>
      <c r="L40" s="77"/>
      <c r="M40" s="77"/>
      <c r="N40" s="78"/>
      <c r="O40" s="77"/>
      <c r="P40" s="77"/>
      <c r="Q40" s="77"/>
      <c r="R40" s="80"/>
      <c r="S40" s="79"/>
      <c r="T40" s="77"/>
      <c r="U40" s="77"/>
      <c r="V40" s="78"/>
      <c r="W40" s="77"/>
      <c r="X40" s="77"/>
      <c r="Y40" s="77"/>
      <c r="Z40" s="80"/>
      <c r="AA40" s="79"/>
      <c r="AB40" s="77"/>
      <c r="AC40" s="77"/>
      <c r="AD40" s="78"/>
      <c r="AE40" s="77"/>
      <c r="AF40" s="77"/>
      <c r="AG40" s="77"/>
      <c r="AH40" s="80"/>
      <c r="AI40" s="79"/>
      <c r="AJ40" s="77"/>
      <c r="AK40" s="77"/>
      <c r="AL40" s="78"/>
      <c r="AM40" s="77"/>
      <c r="AN40" s="77"/>
      <c r="AO40" s="77"/>
      <c r="AP40" s="80"/>
      <c r="AQ40" s="79"/>
      <c r="AR40" s="77"/>
      <c r="AS40" s="77"/>
      <c r="AT40" s="78"/>
      <c r="AU40" s="77"/>
      <c r="AV40" s="77"/>
      <c r="AW40" s="77"/>
      <c r="AX40" s="76"/>
    </row>
    <row r="41" spans="1:50" ht="30" customHeight="1">
      <c r="A41" s="82"/>
      <c r="B41" s="85" t="s">
        <v>138</v>
      </c>
      <c r="C41" s="84">
        <v>3.3</v>
      </c>
      <c r="D41" s="83">
        <v>0.05</v>
      </c>
      <c r="E41" s="83">
        <v>0.05</v>
      </c>
      <c r="F41" s="78">
        <v>2.912535476732619E-3</v>
      </c>
      <c r="G41" s="77">
        <v>3.28003125</v>
      </c>
      <c r="H41" s="77">
        <v>5.7223909544833562</v>
      </c>
      <c r="I41" s="77">
        <v>3.4370110670365728</v>
      </c>
      <c r="J41" s="80">
        <v>1</v>
      </c>
      <c r="K41" s="79">
        <v>-1.9968749999999869E-2</v>
      </c>
      <c r="L41" s="77"/>
      <c r="M41" s="77"/>
      <c r="N41" s="78"/>
      <c r="O41" s="77"/>
      <c r="P41" s="77"/>
      <c r="Q41" s="77"/>
      <c r="R41" s="80"/>
      <c r="S41" s="79"/>
      <c r="T41" s="77"/>
      <c r="U41" s="77"/>
      <c r="V41" s="78"/>
      <c r="W41" s="77"/>
      <c r="X41" s="77"/>
      <c r="Y41" s="77"/>
      <c r="Z41" s="80"/>
      <c r="AA41" s="79"/>
      <c r="AB41" s="77"/>
      <c r="AC41" s="77"/>
      <c r="AD41" s="78"/>
      <c r="AE41" s="77"/>
      <c r="AF41" s="77"/>
      <c r="AG41" s="77"/>
      <c r="AH41" s="80"/>
      <c r="AI41" s="79"/>
      <c r="AJ41" s="77"/>
      <c r="AK41" s="77"/>
      <c r="AL41" s="78"/>
      <c r="AM41" s="77"/>
      <c r="AN41" s="77"/>
      <c r="AO41" s="77"/>
      <c r="AP41" s="80"/>
      <c r="AQ41" s="79"/>
      <c r="AR41" s="77"/>
      <c r="AS41" s="77"/>
      <c r="AT41" s="78"/>
      <c r="AU41" s="77"/>
      <c r="AV41" s="77"/>
      <c r="AW41" s="77"/>
      <c r="AX41" s="76"/>
    </row>
    <row r="42" spans="1:50" ht="30" customHeight="1">
      <c r="A42" s="82"/>
      <c r="B42" s="85" t="s">
        <v>140</v>
      </c>
      <c r="C42" s="84">
        <v>0.86</v>
      </c>
      <c r="D42" s="83">
        <v>0.05</v>
      </c>
      <c r="E42" s="83">
        <v>0.05</v>
      </c>
      <c r="F42" s="78">
        <v>8.2234102297314392E-3</v>
      </c>
      <c r="G42" s="77">
        <v>0.86279375000000003</v>
      </c>
      <c r="H42" s="77">
        <v>2.0267341894739674</v>
      </c>
      <c r="I42" s="77">
        <v>1.9134904166371081</v>
      </c>
      <c r="J42" s="80">
        <v>0.99999999521116067</v>
      </c>
      <c r="K42" s="79">
        <v>2.7937500000000393E-3</v>
      </c>
      <c r="L42" s="77"/>
      <c r="M42" s="77"/>
      <c r="N42" s="78"/>
      <c r="O42" s="77"/>
      <c r="P42" s="77"/>
      <c r="Q42" s="77"/>
      <c r="R42" s="80"/>
      <c r="S42" s="79"/>
      <c r="T42" s="77"/>
      <c r="U42" s="77"/>
      <c r="V42" s="78"/>
      <c r="W42" s="77"/>
      <c r="X42" s="77"/>
      <c r="Y42" s="77"/>
      <c r="Z42" s="80"/>
      <c r="AA42" s="79"/>
      <c r="AB42" s="77"/>
      <c r="AC42" s="77"/>
      <c r="AD42" s="78"/>
      <c r="AE42" s="77"/>
      <c r="AF42" s="77"/>
      <c r="AG42" s="77"/>
      <c r="AH42" s="80"/>
      <c r="AI42" s="79"/>
      <c r="AJ42" s="77"/>
      <c r="AK42" s="77"/>
      <c r="AL42" s="78"/>
      <c r="AM42" s="77"/>
      <c r="AN42" s="77"/>
      <c r="AO42" s="77"/>
      <c r="AP42" s="80"/>
      <c r="AQ42" s="79"/>
      <c r="AR42" s="77"/>
      <c r="AS42" s="77"/>
      <c r="AT42" s="78"/>
      <c r="AU42" s="77"/>
      <c r="AV42" s="77"/>
      <c r="AW42" s="77"/>
      <c r="AX42" s="76"/>
    </row>
    <row r="43" spans="1:50" ht="30" customHeight="1">
      <c r="A43" s="82"/>
      <c r="B43" s="85" t="s">
        <v>139</v>
      </c>
      <c r="C43" s="84">
        <v>0.86</v>
      </c>
      <c r="D43" s="83">
        <v>0.05</v>
      </c>
      <c r="E43" s="83">
        <v>0.05</v>
      </c>
      <c r="F43" s="78">
        <v>9.9543631015783507E-3</v>
      </c>
      <c r="G43" s="77">
        <v>0.86419687499999986</v>
      </c>
      <c r="H43" s="77">
        <v>1.674307687653471</v>
      </c>
      <c r="I43" s="77">
        <v>1.5337704861210619</v>
      </c>
      <c r="J43" s="80">
        <v>0.9999978748340701</v>
      </c>
      <c r="K43" s="79">
        <v>4.1968749999998778E-3</v>
      </c>
      <c r="L43" s="77"/>
      <c r="M43" s="77"/>
      <c r="N43" s="78"/>
      <c r="O43" s="77"/>
      <c r="P43" s="77"/>
      <c r="Q43" s="77"/>
      <c r="R43" s="80"/>
      <c r="S43" s="79"/>
      <c r="T43" s="77"/>
      <c r="U43" s="77"/>
      <c r="V43" s="78"/>
      <c r="W43" s="77"/>
      <c r="X43" s="77"/>
      <c r="Y43" s="77"/>
      <c r="Z43" s="80"/>
      <c r="AA43" s="79"/>
      <c r="AB43" s="77"/>
      <c r="AC43" s="77"/>
      <c r="AD43" s="78"/>
      <c r="AE43" s="77"/>
      <c r="AF43" s="77"/>
      <c r="AG43" s="77"/>
      <c r="AH43" s="80"/>
      <c r="AI43" s="79"/>
      <c r="AJ43" s="77"/>
      <c r="AK43" s="77"/>
      <c r="AL43" s="78"/>
      <c r="AM43" s="77"/>
      <c r="AN43" s="77"/>
      <c r="AO43" s="77"/>
      <c r="AP43" s="80"/>
      <c r="AQ43" s="79"/>
      <c r="AR43" s="77"/>
      <c r="AS43" s="77"/>
      <c r="AT43" s="78"/>
      <c r="AU43" s="77"/>
      <c r="AV43" s="77"/>
      <c r="AW43" s="77"/>
      <c r="AX43" s="76"/>
    </row>
    <row r="44" spans="1:50" ht="30" customHeight="1">
      <c r="A44" s="82"/>
      <c r="B44" s="85" t="s">
        <v>144</v>
      </c>
      <c r="C44" s="84">
        <v>2.9</v>
      </c>
      <c r="D44" s="83">
        <v>0.05</v>
      </c>
      <c r="E44" s="83">
        <v>0.05</v>
      </c>
      <c r="F44" s="78">
        <v>3.0702904533190358E-3</v>
      </c>
      <c r="G44" s="77">
        <v>2.8636906249999994</v>
      </c>
      <c r="H44" s="77">
        <v>5.4283680713821907</v>
      </c>
      <c r="I44" s="77">
        <v>1.4863550325452644</v>
      </c>
      <c r="J44" s="80">
        <v>0.99999588410403895</v>
      </c>
      <c r="K44" s="79">
        <v>-3.6309375000000532E-2</v>
      </c>
      <c r="L44" s="77"/>
      <c r="M44" s="77"/>
      <c r="N44" s="78"/>
      <c r="O44" s="77"/>
      <c r="P44" s="77"/>
      <c r="Q44" s="77"/>
      <c r="R44" s="80"/>
      <c r="S44" s="79"/>
      <c r="T44" s="77"/>
      <c r="U44" s="77"/>
      <c r="V44" s="78"/>
      <c r="W44" s="77"/>
      <c r="X44" s="77"/>
      <c r="Y44" s="77"/>
      <c r="Z44" s="80"/>
      <c r="AA44" s="79"/>
      <c r="AB44" s="77"/>
      <c r="AC44" s="77"/>
      <c r="AD44" s="78"/>
      <c r="AE44" s="77"/>
      <c r="AF44" s="77"/>
      <c r="AG44" s="77"/>
      <c r="AH44" s="80"/>
      <c r="AI44" s="79"/>
      <c r="AJ44" s="77"/>
      <c r="AK44" s="77"/>
      <c r="AL44" s="78"/>
      <c r="AM44" s="77"/>
      <c r="AN44" s="77"/>
      <c r="AO44" s="77"/>
      <c r="AP44" s="80"/>
      <c r="AQ44" s="79"/>
      <c r="AR44" s="77"/>
      <c r="AS44" s="77"/>
      <c r="AT44" s="78"/>
      <c r="AU44" s="77"/>
      <c r="AV44" s="77"/>
      <c r="AW44" s="77"/>
      <c r="AX44" s="76"/>
    </row>
    <row r="45" spans="1:50" ht="30" customHeight="1">
      <c r="A45" s="82"/>
      <c r="B45" s="85" t="s">
        <v>145</v>
      </c>
      <c r="C45" s="84">
        <v>0.3</v>
      </c>
      <c r="D45" s="83">
        <v>0.03</v>
      </c>
      <c r="E45" s="83">
        <v>0.03</v>
      </c>
      <c r="F45" s="78">
        <v>5.7342060437006416E-3</v>
      </c>
      <c r="G45" s="77">
        <v>0.31917812500000003</v>
      </c>
      <c r="H45" s="77">
        <v>1.7439205922824437</v>
      </c>
      <c r="I45" s="77">
        <v>0.62908302198688193</v>
      </c>
      <c r="J45" s="80">
        <v>0.97043658318002746</v>
      </c>
      <c r="K45" s="79">
        <v>1.9178125000000046E-2</v>
      </c>
      <c r="L45" s="77"/>
      <c r="M45" s="77"/>
      <c r="N45" s="78"/>
      <c r="O45" s="77"/>
      <c r="P45" s="77"/>
      <c r="Q45" s="77"/>
      <c r="R45" s="80"/>
      <c r="S45" s="79"/>
      <c r="T45" s="77"/>
      <c r="U45" s="77"/>
      <c r="V45" s="78"/>
      <c r="W45" s="77"/>
      <c r="X45" s="77"/>
      <c r="Y45" s="77"/>
      <c r="Z45" s="80"/>
      <c r="AA45" s="79"/>
      <c r="AB45" s="77"/>
      <c r="AC45" s="77"/>
      <c r="AD45" s="78"/>
      <c r="AE45" s="77"/>
      <c r="AF45" s="77"/>
      <c r="AG45" s="77"/>
      <c r="AH45" s="80"/>
      <c r="AI45" s="79"/>
      <c r="AJ45" s="77"/>
      <c r="AK45" s="77"/>
      <c r="AL45" s="78"/>
      <c r="AM45" s="77"/>
      <c r="AN45" s="77"/>
      <c r="AO45" s="77"/>
      <c r="AP45" s="80"/>
      <c r="AQ45" s="79"/>
      <c r="AR45" s="77"/>
      <c r="AS45" s="77"/>
      <c r="AT45" s="78"/>
      <c r="AU45" s="77"/>
      <c r="AV45" s="77"/>
      <c r="AW45" s="77"/>
      <c r="AX45" s="76"/>
    </row>
    <row r="46" spans="1:50" ht="30" customHeight="1">
      <c r="A46" s="82"/>
      <c r="B46" s="85" t="s">
        <v>146</v>
      </c>
      <c r="C46" s="84">
        <v>0.3</v>
      </c>
      <c r="D46" s="83">
        <v>0.03</v>
      </c>
      <c r="E46" s="83">
        <v>0.03</v>
      </c>
      <c r="F46" s="78">
        <v>5.6870528891963161E-3</v>
      </c>
      <c r="G46" s="77">
        <v>0.32115312500000004</v>
      </c>
      <c r="H46" s="77">
        <v>1.7583799895719225</v>
      </c>
      <c r="I46" s="77">
        <v>0.51853893234146586</v>
      </c>
      <c r="J46" s="80">
        <v>0.94010037894930876</v>
      </c>
      <c r="K46" s="79">
        <v>2.115312500000005E-2</v>
      </c>
      <c r="L46" s="77"/>
      <c r="M46" s="77"/>
      <c r="N46" s="78"/>
      <c r="O46" s="77"/>
      <c r="P46" s="77"/>
      <c r="Q46" s="77"/>
      <c r="R46" s="80"/>
      <c r="S46" s="79"/>
      <c r="T46" s="77"/>
      <c r="U46" s="77"/>
      <c r="V46" s="78"/>
      <c r="W46" s="77"/>
      <c r="X46" s="77"/>
      <c r="Y46" s="77"/>
      <c r="Z46" s="80"/>
      <c r="AA46" s="79"/>
      <c r="AB46" s="77"/>
      <c r="AC46" s="77"/>
      <c r="AD46" s="78"/>
      <c r="AE46" s="77"/>
      <c r="AF46" s="77"/>
      <c r="AG46" s="77"/>
      <c r="AH46" s="80"/>
      <c r="AI46" s="79"/>
      <c r="AJ46" s="77"/>
      <c r="AK46" s="77"/>
      <c r="AL46" s="78"/>
      <c r="AM46" s="77"/>
      <c r="AN46" s="77"/>
      <c r="AO46" s="77"/>
      <c r="AP46" s="80"/>
      <c r="AQ46" s="79"/>
      <c r="AR46" s="77"/>
      <c r="AS46" s="77"/>
      <c r="AT46" s="78"/>
      <c r="AU46" s="77"/>
      <c r="AV46" s="77"/>
      <c r="AW46" s="77"/>
      <c r="AX46" s="76"/>
    </row>
    <row r="47" spans="1:50" ht="30" customHeight="1">
      <c r="A47" s="82"/>
      <c r="B47" s="85" t="s">
        <v>147</v>
      </c>
      <c r="C47" s="84">
        <v>0.25</v>
      </c>
      <c r="D47" s="83">
        <v>0.03</v>
      </c>
      <c r="E47" s="83">
        <v>0.03</v>
      </c>
      <c r="F47" s="78">
        <v>8.1364150582427883E-3</v>
      </c>
      <c r="G47" s="77">
        <v>0.26575625000000003</v>
      </c>
      <c r="H47" s="77">
        <v>1.2290425117717252</v>
      </c>
      <c r="I47" s="77">
        <v>0.58353914256828343</v>
      </c>
      <c r="J47" s="80">
        <v>0.95999407502214384</v>
      </c>
      <c r="K47" s="79">
        <v>1.5756250000000027E-2</v>
      </c>
      <c r="L47" s="77"/>
      <c r="M47" s="77"/>
      <c r="N47" s="78"/>
      <c r="O47" s="77"/>
      <c r="P47" s="77"/>
      <c r="Q47" s="77"/>
      <c r="R47" s="80"/>
      <c r="S47" s="79"/>
      <c r="T47" s="77"/>
      <c r="U47" s="77"/>
      <c r="V47" s="78"/>
      <c r="W47" s="77"/>
      <c r="X47" s="77"/>
      <c r="Y47" s="77"/>
      <c r="Z47" s="80"/>
      <c r="AA47" s="79"/>
      <c r="AB47" s="77"/>
      <c r="AC47" s="77"/>
      <c r="AD47" s="78"/>
      <c r="AE47" s="77"/>
      <c r="AF47" s="77"/>
      <c r="AG47" s="77"/>
      <c r="AH47" s="80"/>
      <c r="AI47" s="79"/>
      <c r="AJ47" s="77"/>
      <c r="AK47" s="77"/>
      <c r="AL47" s="78"/>
      <c r="AM47" s="77"/>
      <c r="AN47" s="77"/>
      <c r="AO47" s="77"/>
      <c r="AP47" s="80"/>
      <c r="AQ47" s="79"/>
      <c r="AR47" s="77"/>
      <c r="AS47" s="77"/>
      <c r="AT47" s="78"/>
      <c r="AU47" s="77"/>
      <c r="AV47" s="77"/>
      <c r="AW47" s="77"/>
      <c r="AX47" s="76"/>
    </row>
    <row r="48" spans="1:50" ht="30" customHeight="1">
      <c r="A48" s="82"/>
      <c r="B48" s="85" t="s">
        <v>148</v>
      </c>
      <c r="C48" s="84">
        <v>0.25</v>
      </c>
      <c r="D48" s="83">
        <v>0.03</v>
      </c>
      <c r="E48" s="83">
        <v>0.03</v>
      </c>
      <c r="F48" s="78">
        <v>9.1727149523341388E-3</v>
      </c>
      <c r="G48" s="77">
        <v>0.25305312499999999</v>
      </c>
      <c r="H48" s="77">
        <v>1.0901897695464036</v>
      </c>
      <c r="I48" s="77">
        <v>0.97924024820819233</v>
      </c>
      <c r="J48" s="80">
        <v>0.99818979651388751</v>
      </c>
      <c r="K48" s="79">
        <v>3.0531249999999899E-3</v>
      </c>
      <c r="L48" s="77"/>
      <c r="M48" s="77"/>
      <c r="N48" s="78"/>
      <c r="O48" s="77"/>
      <c r="P48" s="77"/>
      <c r="Q48" s="77"/>
      <c r="R48" s="80"/>
      <c r="S48" s="79"/>
      <c r="T48" s="77"/>
      <c r="U48" s="77"/>
      <c r="V48" s="78"/>
      <c r="W48" s="77"/>
      <c r="X48" s="77"/>
      <c r="Y48" s="77"/>
      <c r="Z48" s="80"/>
      <c r="AA48" s="79"/>
      <c r="AB48" s="77"/>
      <c r="AC48" s="77"/>
      <c r="AD48" s="78"/>
      <c r="AE48" s="77"/>
      <c r="AF48" s="77"/>
      <c r="AG48" s="77"/>
      <c r="AH48" s="80"/>
      <c r="AI48" s="79"/>
      <c r="AJ48" s="77"/>
      <c r="AK48" s="77"/>
      <c r="AL48" s="78"/>
      <c r="AM48" s="77"/>
      <c r="AN48" s="77"/>
      <c r="AO48" s="77"/>
      <c r="AP48" s="80"/>
      <c r="AQ48" s="79"/>
      <c r="AR48" s="77"/>
      <c r="AS48" s="77"/>
      <c r="AT48" s="78"/>
      <c r="AU48" s="77"/>
      <c r="AV48" s="77"/>
      <c r="AW48" s="77"/>
      <c r="AX48" s="76"/>
    </row>
    <row r="49" spans="1:50" ht="30" customHeight="1">
      <c r="A49" s="82"/>
      <c r="B49" s="85" t="s">
        <v>149</v>
      </c>
      <c r="C49" s="84">
        <v>0.25</v>
      </c>
      <c r="D49" s="83">
        <v>0.03</v>
      </c>
      <c r="E49" s="83">
        <v>0.03</v>
      </c>
      <c r="F49" s="78">
        <v>1.065137002773549E-2</v>
      </c>
      <c r="G49" s="77">
        <v>0.24021562499999996</v>
      </c>
      <c r="H49" s="77">
        <v>0.9388463619197005</v>
      </c>
      <c r="I49" s="77">
        <v>0.63264553283942992</v>
      </c>
      <c r="J49" s="80">
        <v>0.97105397795744408</v>
      </c>
      <c r="K49" s="79">
        <v>-9.7843750000000396E-3</v>
      </c>
      <c r="L49" s="77"/>
      <c r="M49" s="77"/>
      <c r="N49" s="78"/>
      <c r="O49" s="77"/>
      <c r="P49" s="77"/>
      <c r="Q49" s="77"/>
      <c r="R49" s="80"/>
      <c r="S49" s="79"/>
      <c r="T49" s="77"/>
      <c r="U49" s="77"/>
      <c r="V49" s="78"/>
      <c r="W49" s="77"/>
      <c r="X49" s="77"/>
      <c r="Y49" s="77"/>
      <c r="Z49" s="80"/>
      <c r="AA49" s="79"/>
      <c r="AB49" s="77"/>
      <c r="AC49" s="77"/>
      <c r="AD49" s="78"/>
      <c r="AE49" s="77"/>
      <c r="AF49" s="77"/>
      <c r="AG49" s="77"/>
      <c r="AH49" s="80"/>
      <c r="AI49" s="79"/>
      <c r="AJ49" s="77"/>
      <c r="AK49" s="77"/>
      <c r="AL49" s="78"/>
      <c r="AM49" s="77"/>
      <c r="AN49" s="77"/>
      <c r="AO49" s="77"/>
      <c r="AP49" s="80"/>
      <c r="AQ49" s="79"/>
      <c r="AR49" s="77"/>
      <c r="AS49" s="77"/>
      <c r="AT49" s="78"/>
      <c r="AU49" s="77"/>
      <c r="AV49" s="77"/>
      <c r="AW49" s="77"/>
      <c r="AX49" s="76"/>
    </row>
    <row r="50" spans="1:50" ht="30" customHeight="1">
      <c r="A50" s="82"/>
      <c r="B50" s="85" t="s">
        <v>150</v>
      </c>
      <c r="C50" s="84">
        <v>0.56599999999999995</v>
      </c>
      <c r="D50" s="83">
        <v>0.03</v>
      </c>
      <c r="E50" s="83">
        <v>0.03</v>
      </c>
      <c r="F50" s="78">
        <v>7.8433086079380092E-3</v>
      </c>
      <c r="G50" s="77">
        <v>0.55691562500000014</v>
      </c>
      <c r="H50" s="77">
        <v>1.2749721450306404</v>
      </c>
      <c r="I50" s="77">
        <v>0.88889464236355786</v>
      </c>
      <c r="J50" s="80">
        <v>0.99616950333863874</v>
      </c>
      <c r="K50" s="79">
        <v>-9.0843749999998114E-3</v>
      </c>
      <c r="L50" s="77"/>
      <c r="M50" s="77"/>
      <c r="N50" s="78"/>
      <c r="O50" s="77"/>
      <c r="P50" s="77"/>
      <c r="Q50" s="77"/>
      <c r="R50" s="80"/>
      <c r="S50" s="79"/>
      <c r="T50" s="77"/>
      <c r="U50" s="77"/>
      <c r="V50" s="78"/>
      <c r="W50" s="77"/>
      <c r="X50" s="77"/>
      <c r="Y50" s="77"/>
      <c r="Z50" s="80"/>
      <c r="AA50" s="79"/>
      <c r="AB50" s="77"/>
      <c r="AC50" s="77"/>
      <c r="AD50" s="78"/>
      <c r="AE50" s="77"/>
      <c r="AF50" s="77"/>
      <c r="AG50" s="77"/>
      <c r="AH50" s="80"/>
      <c r="AI50" s="79"/>
      <c r="AJ50" s="77"/>
      <c r="AK50" s="77"/>
      <c r="AL50" s="78"/>
      <c r="AM50" s="77"/>
      <c r="AN50" s="77"/>
      <c r="AO50" s="77"/>
      <c r="AP50" s="80"/>
      <c r="AQ50" s="79"/>
      <c r="AR50" s="77"/>
      <c r="AS50" s="77"/>
      <c r="AT50" s="78"/>
      <c r="AU50" s="77"/>
      <c r="AV50" s="77"/>
      <c r="AW50" s="77"/>
      <c r="AX50" s="76"/>
    </row>
    <row r="51" spans="1:50" ht="30" customHeight="1">
      <c r="A51" s="82"/>
      <c r="B51" s="85" t="s">
        <v>151</v>
      </c>
      <c r="C51" s="84">
        <v>0.56599999999999995</v>
      </c>
      <c r="D51" s="83">
        <v>0.03</v>
      </c>
      <c r="E51" s="83">
        <v>0.03</v>
      </c>
      <c r="F51" s="78">
        <v>7.7989084999326832E-3</v>
      </c>
      <c r="G51" s="77">
        <v>0.56946562499999986</v>
      </c>
      <c r="H51" s="77">
        <v>1.2822307121677763</v>
      </c>
      <c r="I51" s="77">
        <v>1.1341063517725651</v>
      </c>
      <c r="J51" s="80">
        <v>0.99965702617614993</v>
      </c>
      <c r="K51" s="79">
        <v>3.4656249999999167E-3</v>
      </c>
      <c r="L51" s="77"/>
      <c r="M51" s="77"/>
      <c r="N51" s="78"/>
      <c r="O51" s="77"/>
      <c r="P51" s="77"/>
      <c r="Q51" s="77"/>
      <c r="R51" s="80"/>
      <c r="S51" s="79"/>
      <c r="T51" s="77"/>
      <c r="U51" s="77"/>
      <c r="V51" s="78"/>
      <c r="W51" s="77"/>
      <c r="X51" s="77"/>
      <c r="Y51" s="77"/>
      <c r="Z51" s="80"/>
      <c r="AA51" s="79"/>
      <c r="AB51" s="77"/>
      <c r="AC51" s="77"/>
      <c r="AD51" s="78"/>
      <c r="AE51" s="77"/>
      <c r="AF51" s="77"/>
      <c r="AG51" s="77"/>
      <c r="AH51" s="80"/>
      <c r="AI51" s="79"/>
      <c r="AJ51" s="77"/>
      <c r="AK51" s="77"/>
      <c r="AL51" s="78"/>
      <c r="AM51" s="77"/>
      <c r="AN51" s="77"/>
      <c r="AO51" s="77"/>
      <c r="AP51" s="80"/>
      <c r="AQ51" s="79"/>
      <c r="AR51" s="77"/>
      <c r="AS51" s="77"/>
      <c r="AT51" s="78"/>
      <c r="AU51" s="77"/>
      <c r="AV51" s="77"/>
      <c r="AW51" s="77"/>
      <c r="AX51" s="76"/>
    </row>
    <row r="52" spans="1:50" ht="30" customHeight="1">
      <c r="A52" s="82"/>
      <c r="B52" s="85" t="s">
        <v>141</v>
      </c>
      <c r="C52" s="84">
        <v>1.25</v>
      </c>
      <c r="D52" s="83">
        <v>0.1</v>
      </c>
      <c r="E52" s="83">
        <v>0.1</v>
      </c>
      <c r="F52" s="78">
        <v>1.0492885454501579E-2</v>
      </c>
      <c r="G52" s="77">
        <v>1.1810749999999999</v>
      </c>
      <c r="H52" s="77">
        <v>3.1767556672443185</v>
      </c>
      <c r="I52" s="77">
        <v>0.98717682359616987</v>
      </c>
      <c r="J52" s="80">
        <v>0.99846942898908686</v>
      </c>
      <c r="K52" s="79">
        <v>-6.8925000000000125E-2</v>
      </c>
      <c r="L52" s="77"/>
      <c r="M52" s="77"/>
      <c r="N52" s="78"/>
      <c r="O52" s="77"/>
      <c r="P52" s="77"/>
      <c r="Q52" s="77"/>
      <c r="R52" s="80"/>
      <c r="S52" s="79"/>
      <c r="T52" s="77"/>
      <c r="U52" s="77"/>
      <c r="V52" s="78"/>
      <c r="W52" s="77"/>
      <c r="X52" s="77"/>
      <c r="Y52" s="77"/>
      <c r="Z52" s="80"/>
      <c r="AA52" s="79"/>
      <c r="AB52" s="77"/>
      <c r="AC52" s="77"/>
      <c r="AD52" s="78"/>
      <c r="AE52" s="77"/>
      <c r="AF52" s="77"/>
      <c r="AG52" s="77"/>
      <c r="AH52" s="80"/>
      <c r="AI52" s="79"/>
      <c r="AJ52" s="77"/>
      <c r="AK52" s="77"/>
      <c r="AL52" s="78"/>
      <c r="AM52" s="77"/>
      <c r="AN52" s="77"/>
      <c r="AO52" s="77"/>
      <c r="AP52" s="80"/>
      <c r="AQ52" s="79"/>
      <c r="AR52" s="77"/>
      <c r="AS52" s="77"/>
      <c r="AT52" s="78"/>
      <c r="AU52" s="77"/>
      <c r="AV52" s="77"/>
      <c r="AW52" s="77"/>
      <c r="AX52" s="76"/>
    </row>
    <row r="53" spans="1:50" ht="30" customHeight="1">
      <c r="A53" s="82"/>
      <c r="B53" s="85" t="s">
        <v>152</v>
      </c>
      <c r="C53" s="84">
        <v>1.25</v>
      </c>
      <c r="D53" s="83">
        <v>0.05</v>
      </c>
      <c r="E53" s="83">
        <v>0.05</v>
      </c>
      <c r="F53" s="78">
        <v>9.5560464729692804E-3</v>
      </c>
      <c r="G53" s="77">
        <v>1.22875625</v>
      </c>
      <c r="H53" s="77">
        <v>1.7440964434204944</v>
      </c>
      <c r="I53" s="77">
        <v>1.0030734670222123</v>
      </c>
      <c r="J53" s="80">
        <v>0.99869040483056803</v>
      </c>
      <c r="K53" s="79">
        <v>-2.1243750000000006E-2</v>
      </c>
      <c r="L53" s="77"/>
      <c r="M53" s="77"/>
      <c r="N53" s="78"/>
      <c r="O53" s="77"/>
      <c r="P53" s="77"/>
      <c r="Q53" s="77"/>
      <c r="R53" s="80"/>
      <c r="S53" s="79"/>
      <c r="T53" s="77"/>
      <c r="U53" s="77"/>
      <c r="V53" s="78"/>
      <c r="W53" s="77"/>
      <c r="X53" s="77"/>
      <c r="Y53" s="77"/>
      <c r="Z53" s="80"/>
      <c r="AA53" s="79"/>
      <c r="AB53" s="77"/>
      <c r="AC53" s="77"/>
      <c r="AD53" s="78"/>
      <c r="AE53" s="77"/>
      <c r="AF53" s="77"/>
      <c r="AG53" s="77"/>
      <c r="AH53" s="80"/>
      <c r="AI53" s="79"/>
      <c r="AJ53" s="77"/>
      <c r="AK53" s="77"/>
      <c r="AL53" s="78"/>
      <c r="AM53" s="77"/>
      <c r="AN53" s="77"/>
      <c r="AO53" s="77"/>
      <c r="AP53" s="80"/>
      <c r="AQ53" s="79"/>
      <c r="AR53" s="77"/>
      <c r="AS53" s="77"/>
      <c r="AT53" s="78"/>
      <c r="AU53" s="77"/>
      <c r="AV53" s="77"/>
      <c r="AW53" s="77"/>
      <c r="AX53" s="76"/>
    </row>
    <row r="54" spans="1:50" ht="30" customHeight="1">
      <c r="A54" s="82" t="s">
        <v>161</v>
      </c>
      <c r="B54" s="81" t="s">
        <v>137</v>
      </c>
      <c r="C54" s="79">
        <v>1.3</v>
      </c>
      <c r="D54" s="77">
        <v>0.03</v>
      </c>
      <c r="E54" s="77">
        <v>0.03</v>
      </c>
      <c r="F54" s="78">
        <v>2.9010825982614678E-3</v>
      </c>
      <c r="G54" s="77">
        <v>1.283471875</v>
      </c>
      <c r="H54" s="77">
        <v>3.4469890674580275</v>
      </c>
      <c r="I54" s="77">
        <v>1.5479135281053715</v>
      </c>
      <c r="J54" s="80">
        <v>0.99999828921431622</v>
      </c>
      <c r="K54" s="79">
        <v>-1.6528125000000005E-2</v>
      </c>
      <c r="L54" s="77"/>
      <c r="M54" s="77"/>
      <c r="N54" s="78"/>
      <c r="O54" s="77"/>
      <c r="P54" s="77"/>
      <c r="Q54" s="77"/>
      <c r="R54" s="80"/>
      <c r="S54" s="79"/>
      <c r="T54" s="77"/>
      <c r="U54" s="77"/>
      <c r="V54" s="78"/>
      <c r="W54" s="77"/>
      <c r="X54" s="77"/>
      <c r="Y54" s="77"/>
      <c r="Z54" s="80"/>
      <c r="AA54" s="79"/>
      <c r="AB54" s="77"/>
      <c r="AC54" s="77"/>
      <c r="AD54" s="78"/>
      <c r="AE54" s="77"/>
      <c r="AF54" s="77"/>
      <c r="AG54" s="77"/>
      <c r="AH54" s="80"/>
      <c r="AI54" s="79"/>
      <c r="AJ54" s="77"/>
      <c r="AK54" s="77"/>
      <c r="AL54" s="78"/>
      <c r="AM54" s="77"/>
      <c r="AN54" s="77"/>
      <c r="AO54" s="77"/>
      <c r="AP54" s="80"/>
      <c r="AQ54" s="79"/>
      <c r="AR54" s="77"/>
      <c r="AS54" s="77"/>
      <c r="AT54" s="78"/>
      <c r="AU54" s="77"/>
      <c r="AV54" s="77"/>
      <c r="AW54" s="77"/>
      <c r="AX54" s="76"/>
    </row>
    <row r="55" spans="1:50" ht="30" customHeight="1">
      <c r="A55" s="82"/>
      <c r="B55" s="85" t="s">
        <v>142</v>
      </c>
      <c r="C55" s="84">
        <v>1</v>
      </c>
      <c r="D55" s="77">
        <v>0.04</v>
      </c>
      <c r="E55" s="77">
        <v>0.04</v>
      </c>
      <c r="F55" s="78">
        <v>3.5217397986900497E-3</v>
      </c>
      <c r="G55" s="77">
        <v>0.96861562500000009</v>
      </c>
      <c r="H55" s="77">
        <v>3.7860075120520902</v>
      </c>
      <c r="I55" s="77">
        <v>0.81547052427560607</v>
      </c>
      <c r="J55" s="80">
        <v>0.99278569068168476</v>
      </c>
      <c r="K55" s="79">
        <v>-3.1384374999999909E-2</v>
      </c>
      <c r="L55" s="77"/>
      <c r="M55" s="77"/>
      <c r="N55" s="78"/>
      <c r="O55" s="77"/>
      <c r="P55" s="77"/>
      <c r="Q55" s="77"/>
      <c r="R55" s="80"/>
      <c r="S55" s="79"/>
      <c r="T55" s="77"/>
      <c r="U55" s="77"/>
      <c r="V55" s="78"/>
      <c r="W55" s="77"/>
      <c r="X55" s="77"/>
      <c r="Y55" s="77"/>
      <c r="Z55" s="80"/>
      <c r="AA55" s="79"/>
      <c r="AB55" s="77"/>
      <c r="AC55" s="77"/>
      <c r="AD55" s="78"/>
      <c r="AE55" s="77"/>
      <c r="AF55" s="77"/>
      <c r="AG55" s="77"/>
      <c r="AH55" s="80"/>
      <c r="AI55" s="79"/>
      <c r="AJ55" s="77"/>
      <c r="AK55" s="77"/>
      <c r="AL55" s="78"/>
      <c r="AM55" s="77"/>
      <c r="AN55" s="77"/>
      <c r="AO55" s="77"/>
      <c r="AP55" s="80"/>
      <c r="AQ55" s="79"/>
      <c r="AR55" s="77"/>
      <c r="AS55" s="77"/>
      <c r="AT55" s="78"/>
      <c r="AU55" s="77"/>
      <c r="AV55" s="77"/>
      <c r="AW55" s="77"/>
      <c r="AX55" s="76"/>
    </row>
    <row r="56" spans="1:50" ht="30" customHeight="1">
      <c r="A56" s="82"/>
      <c r="B56" s="85" t="s">
        <v>143</v>
      </c>
      <c r="C56" s="84">
        <v>2.4</v>
      </c>
      <c r="D56" s="83">
        <v>0.04</v>
      </c>
      <c r="E56" s="83">
        <v>0.04</v>
      </c>
      <c r="F56" s="78">
        <v>4.4312842655301801E-3</v>
      </c>
      <c r="G56" s="77">
        <v>2.3694718749999995</v>
      </c>
      <c r="H56" s="77">
        <v>3.0089095021616901</v>
      </c>
      <c r="I56" s="77">
        <v>0.71250036726966137</v>
      </c>
      <c r="J56" s="80">
        <v>0.98372137190065467</v>
      </c>
      <c r="K56" s="79">
        <v>-3.0528125000000461E-2</v>
      </c>
      <c r="L56" s="77"/>
      <c r="M56" s="77"/>
      <c r="N56" s="78"/>
      <c r="O56" s="77"/>
      <c r="P56" s="77"/>
      <c r="Q56" s="77"/>
      <c r="R56" s="80"/>
      <c r="S56" s="79"/>
      <c r="T56" s="77"/>
      <c r="U56" s="77"/>
      <c r="V56" s="78"/>
      <c r="W56" s="77"/>
      <c r="X56" s="77"/>
      <c r="Y56" s="77"/>
      <c r="Z56" s="80"/>
      <c r="AA56" s="79"/>
      <c r="AB56" s="77"/>
      <c r="AC56" s="77"/>
      <c r="AD56" s="78"/>
      <c r="AE56" s="77"/>
      <c r="AF56" s="77"/>
      <c r="AG56" s="77"/>
      <c r="AH56" s="80"/>
      <c r="AI56" s="79"/>
      <c r="AJ56" s="77"/>
      <c r="AK56" s="77"/>
      <c r="AL56" s="78"/>
      <c r="AM56" s="77"/>
      <c r="AN56" s="77"/>
      <c r="AO56" s="77"/>
      <c r="AP56" s="80"/>
      <c r="AQ56" s="79"/>
      <c r="AR56" s="77"/>
      <c r="AS56" s="77"/>
      <c r="AT56" s="78"/>
      <c r="AU56" s="77"/>
      <c r="AV56" s="77"/>
      <c r="AW56" s="77"/>
      <c r="AX56" s="76"/>
    </row>
    <row r="57" spans="1:50" ht="30" customHeight="1">
      <c r="A57" s="82"/>
      <c r="B57" s="85" t="s">
        <v>138</v>
      </c>
      <c r="C57" s="84">
        <v>3.3</v>
      </c>
      <c r="D57" s="83">
        <v>0.05</v>
      </c>
      <c r="E57" s="83">
        <v>0.05</v>
      </c>
      <c r="F57" s="78">
        <v>3.4511276791890288E-3</v>
      </c>
      <c r="G57" s="77">
        <v>3.3016562500000006</v>
      </c>
      <c r="H57" s="77">
        <v>4.8293393394773112</v>
      </c>
      <c r="I57" s="77">
        <v>4.6693674738570463</v>
      </c>
      <c r="J57" s="80">
        <v>1</v>
      </c>
      <c r="K57" s="79">
        <v>1.6562500000008029E-3</v>
      </c>
      <c r="L57" s="77"/>
      <c r="M57" s="77"/>
      <c r="N57" s="78"/>
      <c r="O57" s="77"/>
      <c r="P57" s="77"/>
      <c r="Q57" s="77"/>
      <c r="R57" s="80"/>
      <c r="S57" s="79"/>
      <c r="T57" s="77"/>
      <c r="U57" s="77"/>
      <c r="V57" s="78"/>
      <c r="W57" s="77"/>
      <c r="X57" s="77"/>
      <c r="Y57" s="77"/>
      <c r="Z57" s="80"/>
      <c r="AA57" s="79"/>
      <c r="AB57" s="77"/>
      <c r="AC57" s="77"/>
      <c r="AD57" s="78"/>
      <c r="AE57" s="77"/>
      <c r="AF57" s="77"/>
      <c r="AG57" s="77"/>
      <c r="AH57" s="80"/>
      <c r="AI57" s="79"/>
      <c r="AJ57" s="77"/>
      <c r="AK57" s="77"/>
      <c r="AL57" s="78"/>
      <c r="AM57" s="77"/>
      <c r="AN57" s="77"/>
      <c r="AO57" s="77"/>
      <c r="AP57" s="80"/>
      <c r="AQ57" s="79"/>
      <c r="AR57" s="77"/>
      <c r="AS57" s="77"/>
      <c r="AT57" s="78"/>
      <c r="AU57" s="77"/>
      <c r="AV57" s="77"/>
      <c r="AW57" s="77"/>
      <c r="AX57" s="76"/>
    </row>
    <row r="58" spans="1:50" ht="30" customHeight="1">
      <c r="A58" s="82"/>
      <c r="B58" s="85" t="s">
        <v>140</v>
      </c>
      <c r="C58" s="84">
        <v>0.86</v>
      </c>
      <c r="D58" s="83">
        <v>0.05</v>
      </c>
      <c r="E58" s="83">
        <v>0.05</v>
      </c>
      <c r="F58" s="78">
        <v>8.497660375352668E-3</v>
      </c>
      <c r="G58" s="77">
        <v>0.84045937500000001</v>
      </c>
      <c r="H58" s="77">
        <v>1.9613241681213915</v>
      </c>
      <c r="I58" s="77">
        <v>1.1948141666674517</v>
      </c>
      <c r="J58" s="80">
        <v>0.99983110051481949</v>
      </c>
      <c r="K58" s="79">
        <v>-1.9540624999999978E-2</v>
      </c>
      <c r="L58" s="77"/>
      <c r="M58" s="77"/>
      <c r="N58" s="78"/>
      <c r="O58" s="77"/>
      <c r="P58" s="77"/>
      <c r="Q58" s="77"/>
      <c r="R58" s="80"/>
      <c r="S58" s="79"/>
      <c r="T58" s="77"/>
      <c r="U58" s="77"/>
      <c r="V58" s="78"/>
      <c r="W58" s="77"/>
      <c r="X58" s="77"/>
      <c r="Y58" s="77"/>
      <c r="Z58" s="80"/>
      <c r="AA58" s="79"/>
      <c r="AB58" s="77"/>
      <c r="AC58" s="77"/>
      <c r="AD58" s="78"/>
      <c r="AE58" s="77"/>
      <c r="AF58" s="77"/>
      <c r="AG58" s="77"/>
      <c r="AH58" s="80"/>
      <c r="AI58" s="79"/>
      <c r="AJ58" s="77"/>
      <c r="AK58" s="77"/>
      <c r="AL58" s="78"/>
      <c r="AM58" s="77"/>
      <c r="AN58" s="77"/>
      <c r="AO58" s="77"/>
      <c r="AP58" s="80"/>
      <c r="AQ58" s="79"/>
      <c r="AR58" s="77"/>
      <c r="AS58" s="77"/>
      <c r="AT58" s="78"/>
      <c r="AU58" s="77"/>
      <c r="AV58" s="77"/>
      <c r="AW58" s="77"/>
      <c r="AX58" s="76"/>
    </row>
    <row r="59" spans="1:50" ht="30" customHeight="1">
      <c r="A59" s="82"/>
      <c r="B59" s="85" t="s">
        <v>139</v>
      </c>
      <c r="C59" s="84">
        <v>0.86</v>
      </c>
      <c r="D59" s="83">
        <v>0.05</v>
      </c>
      <c r="E59" s="83">
        <v>0.05</v>
      </c>
      <c r="F59" s="78">
        <v>7.2942745720364945E-3</v>
      </c>
      <c r="G59" s="77">
        <v>0.83894687500000009</v>
      </c>
      <c r="H59" s="77">
        <v>2.2848970794930605</v>
      </c>
      <c r="I59" s="77">
        <v>1.3228126029590195</v>
      </c>
      <c r="J59" s="80">
        <v>0.99996382733414113</v>
      </c>
      <c r="K59" s="79">
        <v>-2.1053124999999895E-2</v>
      </c>
      <c r="L59" s="77"/>
      <c r="M59" s="77"/>
      <c r="N59" s="78"/>
      <c r="O59" s="77"/>
      <c r="P59" s="77"/>
      <c r="Q59" s="77"/>
      <c r="R59" s="80"/>
      <c r="S59" s="79"/>
      <c r="T59" s="77"/>
      <c r="U59" s="77"/>
      <c r="V59" s="78"/>
      <c r="W59" s="77"/>
      <c r="X59" s="77"/>
      <c r="Y59" s="77"/>
      <c r="Z59" s="80"/>
      <c r="AA59" s="79"/>
      <c r="AB59" s="77"/>
      <c r="AC59" s="77"/>
      <c r="AD59" s="78"/>
      <c r="AE59" s="77"/>
      <c r="AF59" s="77"/>
      <c r="AG59" s="77"/>
      <c r="AH59" s="80"/>
      <c r="AI59" s="79"/>
      <c r="AJ59" s="77"/>
      <c r="AK59" s="77"/>
      <c r="AL59" s="78"/>
      <c r="AM59" s="77"/>
      <c r="AN59" s="77"/>
      <c r="AO59" s="77"/>
      <c r="AP59" s="80"/>
      <c r="AQ59" s="79"/>
      <c r="AR59" s="77"/>
      <c r="AS59" s="77"/>
      <c r="AT59" s="78"/>
      <c r="AU59" s="77"/>
      <c r="AV59" s="77"/>
      <c r="AW59" s="77"/>
      <c r="AX59" s="76"/>
    </row>
    <row r="60" spans="1:50" ht="30" customHeight="1">
      <c r="A60" s="82"/>
      <c r="B60" s="85" t="s">
        <v>144</v>
      </c>
      <c r="C60" s="84">
        <v>2.9</v>
      </c>
      <c r="D60" s="83">
        <v>0.05</v>
      </c>
      <c r="E60" s="83">
        <v>0.05</v>
      </c>
      <c r="F60" s="78">
        <v>3.1418850284913305E-3</v>
      </c>
      <c r="G60" s="77">
        <v>2.867521875</v>
      </c>
      <c r="H60" s="77">
        <v>5.3046710861567092</v>
      </c>
      <c r="I60" s="77">
        <v>1.8589556737550388</v>
      </c>
      <c r="J60" s="80">
        <v>0.99999998775555377</v>
      </c>
      <c r="K60" s="79">
        <v>-3.2478124999999913E-2</v>
      </c>
      <c r="L60" s="77"/>
      <c r="M60" s="77"/>
      <c r="N60" s="78"/>
      <c r="O60" s="77"/>
      <c r="P60" s="77"/>
      <c r="Q60" s="77"/>
      <c r="R60" s="80"/>
      <c r="S60" s="79"/>
      <c r="T60" s="77"/>
      <c r="U60" s="77"/>
      <c r="V60" s="78"/>
      <c r="W60" s="77"/>
      <c r="X60" s="77"/>
      <c r="Y60" s="77"/>
      <c r="Z60" s="80"/>
      <c r="AA60" s="79"/>
      <c r="AB60" s="77"/>
      <c r="AC60" s="77"/>
      <c r="AD60" s="78"/>
      <c r="AE60" s="77"/>
      <c r="AF60" s="77"/>
      <c r="AG60" s="77"/>
      <c r="AH60" s="80"/>
      <c r="AI60" s="79"/>
      <c r="AJ60" s="77"/>
      <c r="AK60" s="77"/>
      <c r="AL60" s="78"/>
      <c r="AM60" s="77"/>
      <c r="AN60" s="77"/>
      <c r="AO60" s="77"/>
      <c r="AP60" s="80"/>
      <c r="AQ60" s="79"/>
      <c r="AR60" s="77"/>
      <c r="AS60" s="77"/>
      <c r="AT60" s="78"/>
      <c r="AU60" s="77"/>
      <c r="AV60" s="77"/>
      <c r="AW60" s="77"/>
      <c r="AX60" s="76"/>
    </row>
    <row r="61" spans="1:50" ht="30" customHeight="1">
      <c r="A61" s="82"/>
      <c r="B61" s="85" t="s">
        <v>145</v>
      </c>
      <c r="C61" s="84">
        <v>0.3</v>
      </c>
      <c r="D61" s="83">
        <v>0.03</v>
      </c>
      <c r="E61" s="83">
        <v>0.03</v>
      </c>
      <c r="F61" s="78">
        <v>4.0901127340721788E-3</v>
      </c>
      <c r="G61" s="77">
        <v>0.31994687500000002</v>
      </c>
      <c r="H61" s="77">
        <v>2.4449203848823591</v>
      </c>
      <c r="I61" s="77">
        <v>0.8193030081423448</v>
      </c>
      <c r="J61" s="80">
        <v>0.99301257146664645</v>
      </c>
      <c r="K61" s="79">
        <v>1.9946875000000031E-2</v>
      </c>
      <c r="L61" s="77"/>
      <c r="M61" s="77"/>
      <c r="N61" s="78"/>
      <c r="O61" s="77"/>
      <c r="P61" s="77"/>
      <c r="Q61" s="77"/>
      <c r="R61" s="80"/>
      <c r="S61" s="79"/>
      <c r="T61" s="77"/>
      <c r="U61" s="77"/>
      <c r="V61" s="78"/>
      <c r="W61" s="77"/>
      <c r="X61" s="77"/>
      <c r="Y61" s="77"/>
      <c r="Z61" s="80"/>
      <c r="AA61" s="79"/>
      <c r="AB61" s="77"/>
      <c r="AC61" s="77"/>
      <c r="AD61" s="78"/>
      <c r="AE61" s="77"/>
      <c r="AF61" s="77"/>
      <c r="AG61" s="77"/>
      <c r="AH61" s="80"/>
      <c r="AI61" s="79"/>
      <c r="AJ61" s="77"/>
      <c r="AK61" s="77"/>
      <c r="AL61" s="78"/>
      <c r="AM61" s="77"/>
      <c r="AN61" s="77"/>
      <c r="AO61" s="77"/>
      <c r="AP61" s="80"/>
      <c r="AQ61" s="79"/>
      <c r="AR61" s="77"/>
      <c r="AS61" s="77"/>
      <c r="AT61" s="78"/>
      <c r="AU61" s="77"/>
      <c r="AV61" s="77"/>
      <c r="AW61" s="77"/>
      <c r="AX61" s="76"/>
    </row>
    <row r="62" spans="1:50" ht="30" customHeight="1">
      <c r="A62" s="82"/>
      <c r="B62" s="85" t="s">
        <v>146</v>
      </c>
      <c r="C62" s="84">
        <v>0.3</v>
      </c>
      <c r="D62" s="83">
        <v>0.03</v>
      </c>
      <c r="E62" s="83">
        <v>0.03</v>
      </c>
      <c r="F62" s="78">
        <v>3.3058217830503698E-3</v>
      </c>
      <c r="G62" s="77">
        <v>0.32178437500000001</v>
      </c>
      <c r="H62" s="77">
        <v>3.0249664550194608</v>
      </c>
      <c r="I62" s="77">
        <v>0.82839966773397089</v>
      </c>
      <c r="J62" s="80">
        <v>0.99352604844406001</v>
      </c>
      <c r="K62" s="79">
        <v>2.1784375000000022E-2</v>
      </c>
      <c r="L62" s="77"/>
      <c r="M62" s="77"/>
      <c r="N62" s="78"/>
      <c r="O62" s="77"/>
      <c r="P62" s="77"/>
      <c r="Q62" s="77"/>
      <c r="R62" s="80"/>
      <c r="S62" s="79"/>
      <c r="T62" s="77"/>
      <c r="U62" s="77"/>
      <c r="V62" s="78"/>
      <c r="W62" s="77"/>
      <c r="X62" s="77"/>
      <c r="Y62" s="77"/>
      <c r="Z62" s="80"/>
      <c r="AA62" s="79"/>
      <c r="AB62" s="77"/>
      <c r="AC62" s="77"/>
      <c r="AD62" s="78"/>
      <c r="AE62" s="77"/>
      <c r="AF62" s="77"/>
      <c r="AG62" s="77"/>
      <c r="AH62" s="80"/>
      <c r="AI62" s="79"/>
      <c r="AJ62" s="77"/>
      <c r="AK62" s="77"/>
      <c r="AL62" s="78"/>
      <c r="AM62" s="77"/>
      <c r="AN62" s="77"/>
      <c r="AO62" s="77"/>
      <c r="AP62" s="80"/>
      <c r="AQ62" s="79"/>
      <c r="AR62" s="77"/>
      <c r="AS62" s="77"/>
      <c r="AT62" s="78"/>
      <c r="AU62" s="77"/>
      <c r="AV62" s="77"/>
      <c r="AW62" s="77"/>
      <c r="AX62" s="76"/>
    </row>
    <row r="63" spans="1:50" ht="30" customHeight="1">
      <c r="A63" s="82"/>
      <c r="B63" s="85" t="s">
        <v>147</v>
      </c>
      <c r="C63" s="84">
        <v>0.25</v>
      </c>
      <c r="D63" s="83">
        <v>0.03</v>
      </c>
      <c r="E63" s="83">
        <v>0.03</v>
      </c>
      <c r="F63" s="78">
        <v>4.494529605083019E-3</v>
      </c>
      <c r="G63" s="77">
        <v>0.22977187500000007</v>
      </c>
      <c r="H63" s="77">
        <v>2.224926939782677</v>
      </c>
      <c r="I63" s="77">
        <v>0.72472359798963293</v>
      </c>
      <c r="J63" s="80">
        <v>0.98515384455700672</v>
      </c>
      <c r="K63" s="79">
        <v>-2.022812499999993E-2</v>
      </c>
      <c r="L63" s="77"/>
      <c r="M63" s="77"/>
      <c r="N63" s="78"/>
      <c r="O63" s="77"/>
      <c r="P63" s="77"/>
      <c r="Q63" s="77"/>
      <c r="R63" s="80"/>
      <c r="S63" s="79"/>
      <c r="T63" s="77"/>
      <c r="U63" s="77"/>
      <c r="V63" s="78"/>
      <c r="W63" s="77"/>
      <c r="X63" s="77"/>
      <c r="Y63" s="77"/>
      <c r="Z63" s="80"/>
      <c r="AA63" s="79"/>
      <c r="AB63" s="77"/>
      <c r="AC63" s="77"/>
      <c r="AD63" s="78"/>
      <c r="AE63" s="77"/>
      <c r="AF63" s="77"/>
      <c r="AG63" s="77"/>
      <c r="AH63" s="80"/>
      <c r="AI63" s="79"/>
      <c r="AJ63" s="77"/>
      <c r="AK63" s="77"/>
      <c r="AL63" s="78"/>
      <c r="AM63" s="77"/>
      <c r="AN63" s="77"/>
      <c r="AO63" s="77"/>
      <c r="AP63" s="80"/>
      <c r="AQ63" s="79"/>
      <c r="AR63" s="77"/>
      <c r="AS63" s="77"/>
      <c r="AT63" s="78"/>
      <c r="AU63" s="77"/>
      <c r="AV63" s="77"/>
      <c r="AW63" s="77"/>
      <c r="AX63" s="76"/>
    </row>
    <row r="64" spans="1:50" ht="30" customHeight="1">
      <c r="A64" s="82"/>
      <c r="B64" s="85" t="s">
        <v>148</v>
      </c>
      <c r="C64" s="84">
        <v>0.25</v>
      </c>
      <c r="D64" s="83">
        <v>0.03</v>
      </c>
      <c r="E64" s="83">
        <v>0.03</v>
      </c>
      <c r="F64" s="78">
        <v>7.3354090415226041E-3</v>
      </c>
      <c r="G64" s="77">
        <v>0.23713749999999997</v>
      </c>
      <c r="H64" s="77">
        <v>1.3632504940616528</v>
      </c>
      <c r="I64" s="77">
        <v>0.77875684473271756</v>
      </c>
      <c r="J64" s="80">
        <v>0.99026142433502784</v>
      </c>
      <c r="K64" s="79">
        <v>-1.2862500000000027E-2</v>
      </c>
      <c r="L64" s="77"/>
      <c r="M64" s="77"/>
      <c r="N64" s="78"/>
      <c r="O64" s="77"/>
      <c r="P64" s="77"/>
      <c r="Q64" s="77"/>
      <c r="R64" s="80"/>
      <c r="S64" s="79"/>
      <c r="T64" s="77"/>
      <c r="U64" s="77"/>
      <c r="V64" s="78"/>
      <c r="W64" s="77"/>
      <c r="X64" s="77"/>
      <c r="Y64" s="77"/>
      <c r="Z64" s="80"/>
      <c r="AA64" s="79"/>
      <c r="AB64" s="77"/>
      <c r="AC64" s="77"/>
      <c r="AD64" s="78"/>
      <c r="AE64" s="77"/>
      <c r="AF64" s="77"/>
      <c r="AG64" s="77"/>
      <c r="AH64" s="80"/>
      <c r="AI64" s="79"/>
      <c r="AJ64" s="77"/>
      <c r="AK64" s="77"/>
      <c r="AL64" s="78"/>
      <c r="AM64" s="77"/>
      <c r="AN64" s="77"/>
      <c r="AO64" s="77"/>
      <c r="AP64" s="80"/>
      <c r="AQ64" s="79"/>
      <c r="AR64" s="77"/>
      <c r="AS64" s="77"/>
      <c r="AT64" s="78"/>
      <c r="AU64" s="77"/>
      <c r="AV64" s="77"/>
      <c r="AW64" s="77"/>
      <c r="AX64" s="76"/>
    </row>
    <row r="65" spans="1:50" ht="30" customHeight="1">
      <c r="A65" s="82"/>
      <c r="B65" s="85" t="s">
        <v>149</v>
      </c>
      <c r="C65" s="84">
        <v>0.25</v>
      </c>
      <c r="D65" s="83">
        <v>0.03</v>
      </c>
      <c r="E65" s="83">
        <v>0.03</v>
      </c>
      <c r="F65" s="78">
        <v>6.1846380640964696E-3</v>
      </c>
      <c r="G65" s="77">
        <v>0.23261562500000008</v>
      </c>
      <c r="H65" s="77">
        <v>1.6169094935486628</v>
      </c>
      <c r="I65" s="77">
        <v>0.67994412765166534</v>
      </c>
      <c r="J65" s="80">
        <v>0.9793164883631098</v>
      </c>
      <c r="K65" s="79">
        <v>-1.7384374999999924E-2</v>
      </c>
      <c r="L65" s="77"/>
      <c r="M65" s="77"/>
      <c r="N65" s="78"/>
      <c r="O65" s="77"/>
      <c r="P65" s="77"/>
      <c r="Q65" s="77"/>
      <c r="R65" s="80"/>
      <c r="S65" s="79"/>
      <c r="T65" s="77"/>
      <c r="U65" s="77"/>
      <c r="V65" s="78"/>
      <c r="W65" s="77"/>
      <c r="X65" s="77"/>
      <c r="Y65" s="77"/>
      <c r="Z65" s="80"/>
      <c r="AA65" s="79"/>
      <c r="AB65" s="77"/>
      <c r="AC65" s="77"/>
      <c r="AD65" s="78"/>
      <c r="AE65" s="77"/>
      <c r="AF65" s="77"/>
      <c r="AG65" s="77"/>
      <c r="AH65" s="80"/>
      <c r="AI65" s="79"/>
      <c r="AJ65" s="77"/>
      <c r="AK65" s="77"/>
      <c r="AL65" s="78"/>
      <c r="AM65" s="77"/>
      <c r="AN65" s="77"/>
      <c r="AO65" s="77"/>
      <c r="AP65" s="80"/>
      <c r="AQ65" s="79"/>
      <c r="AR65" s="77"/>
      <c r="AS65" s="77"/>
      <c r="AT65" s="78"/>
      <c r="AU65" s="77"/>
      <c r="AV65" s="77"/>
      <c r="AW65" s="77"/>
      <c r="AX65" s="76"/>
    </row>
    <row r="66" spans="1:50" ht="30" customHeight="1">
      <c r="A66" s="82"/>
      <c r="B66" s="85" t="s">
        <v>150</v>
      </c>
      <c r="C66" s="84">
        <v>0.56599999999999995</v>
      </c>
      <c r="D66" s="83">
        <v>0.03</v>
      </c>
      <c r="E66" s="83">
        <v>0.03</v>
      </c>
      <c r="F66" s="78">
        <v>6.5900271366125642E-3</v>
      </c>
      <c r="G66" s="77">
        <v>0.55351562499999996</v>
      </c>
      <c r="H66" s="77">
        <v>1.5174444342486053</v>
      </c>
      <c r="I66" s="77">
        <v>0.8859662556211918</v>
      </c>
      <c r="J66" s="80">
        <v>0.99606852455245143</v>
      </c>
      <c r="K66" s="79">
        <v>-1.2484374999999992E-2</v>
      </c>
      <c r="L66" s="77"/>
      <c r="M66" s="77"/>
      <c r="N66" s="78"/>
      <c r="O66" s="77"/>
      <c r="P66" s="77"/>
      <c r="Q66" s="77"/>
      <c r="R66" s="80"/>
      <c r="S66" s="79"/>
      <c r="T66" s="77"/>
      <c r="U66" s="77"/>
      <c r="V66" s="78"/>
      <c r="W66" s="77"/>
      <c r="X66" s="77"/>
      <c r="Y66" s="77"/>
      <c r="Z66" s="80"/>
      <c r="AA66" s="79"/>
      <c r="AB66" s="77"/>
      <c r="AC66" s="77"/>
      <c r="AD66" s="78"/>
      <c r="AE66" s="77"/>
      <c r="AF66" s="77"/>
      <c r="AG66" s="77"/>
      <c r="AH66" s="80"/>
      <c r="AI66" s="79"/>
      <c r="AJ66" s="77"/>
      <c r="AK66" s="77"/>
      <c r="AL66" s="78"/>
      <c r="AM66" s="77"/>
      <c r="AN66" s="77"/>
      <c r="AO66" s="77"/>
      <c r="AP66" s="80"/>
      <c r="AQ66" s="79"/>
      <c r="AR66" s="77"/>
      <c r="AS66" s="77"/>
      <c r="AT66" s="78"/>
      <c r="AU66" s="77"/>
      <c r="AV66" s="77"/>
      <c r="AW66" s="77"/>
      <c r="AX66" s="76"/>
    </row>
    <row r="67" spans="1:50" ht="30" customHeight="1">
      <c r="A67" s="82"/>
      <c r="B67" s="85" t="s">
        <v>151</v>
      </c>
      <c r="C67" s="84">
        <v>0.56599999999999995</v>
      </c>
      <c r="D67" s="83">
        <v>0.03</v>
      </c>
      <c r="E67" s="83">
        <v>0.03</v>
      </c>
      <c r="F67" s="78">
        <v>5.6793831659046378E-3</v>
      </c>
      <c r="G67" s="77">
        <v>0.55735937500000021</v>
      </c>
      <c r="H67" s="77">
        <v>1.7607545939202649</v>
      </c>
      <c r="I67" s="77">
        <v>1.2536205884838711</v>
      </c>
      <c r="J67" s="80">
        <v>0.99991533549933176</v>
      </c>
      <c r="K67" s="79">
        <v>-8.6406249999997353E-3</v>
      </c>
      <c r="L67" s="77"/>
      <c r="M67" s="77"/>
      <c r="N67" s="78"/>
      <c r="O67" s="77"/>
      <c r="P67" s="77"/>
      <c r="Q67" s="77"/>
      <c r="R67" s="80"/>
      <c r="S67" s="79"/>
      <c r="T67" s="77"/>
      <c r="U67" s="77"/>
      <c r="V67" s="78"/>
      <c r="W67" s="77"/>
      <c r="X67" s="77"/>
      <c r="Y67" s="77"/>
      <c r="Z67" s="80"/>
      <c r="AA67" s="79"/>
      <c r="AB67" s="77"/>
      <c r="AC67" s="77"/>
      <c r="AD67" s="78"/>
      <c r="AE67" s="77"/>
      <c r="AF67" s="77"/>
      <c r="AG67" s="77"/>
      <c r="AH67" s="80"/>
      <c r="AI67" s="79"/>
      <c r="AJ67" s="77"/>
      <c r="AK67" s="77"/>
      <c r="AL67" s="78"/>
      <c r="AM67" s="77"/>
      <c r="AN67" s="77"/>
      <c r="AO67" s="77"/>
      <c r="AP67" s="80"/>
      <c r="AQ67" s="79"/>
      <c r="AR67" s="77"/>
      <c r="AS67" s="77"/>
      <c r="AT67" s="78"/>
      <c r="AU67" s="77"/>
      <c r="AV67" s="77"/>
      <c r="AW67" s="77"/>
      <c r="AX67" s="76"/>
    </row>
    <row r="68" spans="1:50" ht="30" customHeight="1">
      <c r="A68" s="82"/>
      <c r="B68" s="85" t="s">
        <v>141</v>
      </c>
      <c r="C68" s="84">
        <v>1.25</v>
      </c>
      <c r="D68" s="83">
        <v>0.1</v>
      </c>
      <c r="E68" s="83">
        <v>0.1</v>
      </c>
      <c r="F68" s="78">
        <v>3.0939180061909087E-3</v>
      </c>
      <c r="G68" s="77">
        <v>1.2308843750000003</v>
      </c>
      <c r="H68" s="77">
        <v>10.773825701467715</v>
      </c>
      <c r="I68" s="77">
        <v>8.7143415822215555</v>
      </c>
      <c r="J68" s="80">
        <v>1</v>
      </c>
      <c r="K68" s="79">
        <v>-1.9115624999999747E-2</v>
      </c>
      <c r="L68" s="77"/>
      <c r="M68" s="77"/>
      <c r="N68" s="78"/>
      <c r="O68" s="77"/>
      <c r="P68" s="77"/>
      <c r="Q68" s="77"/>
      <c r="R68" s="80"/>
      <c r="S68" s="79"/>
      <c r="T68" s="77"/>
      <c r="U68" s="77"/>
      <c r="V68" s="78"/>
      <c r="W68" s="77"/>
      <c r="X68" s="77"/>
      <c r="Y68" s="77"/>
      <c r="Z68" s="80"/>
      <c r="AA68" s="79"/>
      <c r="AB68" s="77"/>
      <c r="AC68" s="77"/>
      <c r="AD68" s="78"/>
      <c r="AE68" s="77"/>
      <c r="AF68" s="77"/>
      <c r="AG68" s="77"/>
      <c r="AH68" s="80"/>
      <c r="AI68" s="79"/>
      <c r="AJ68" s="77"/>
      <c r="AK68" s="77"/>
      <c r="AL68" s="78"/>
      <c r="AM68" s="77"/>
      <c r="AN68" s="77"/>
      <c r="AO68" s="77"/>
      <c r="AP68" s="80"/>
      <c r="AQ68" s="79"/>
      <c r="AR68" s="77"/>
      <c r="AS68" s="77"/>
      <c r="AT68" s="78"/>
      <c r="AU68" s="77"/>
      <c r="AV68" s="77"/>
      <c r="AW68" s="77"/>
      <c r="AX68" s="76"/>
    </row>
    <row r="69" spans="1:50" ht="30" customHeight="1">
      <c r="A69" s="82"/>
      <c r="B69" s="85" t="s">
        <v>152</v>
      </c>
      <c r="C69" s="84">
        <v>1.25</v>
      </c>
      <c r="D69" s="83">
        <v>0.05</v>
      </c>
      <c r="E69" s="83">
        <v>0.05</v>
      </c>
      <c r="F69" s="78">
        <v>9.4434458411555705E-3</v>
      </c>
      <c r="G69" s="77">
        <v>1.2214937499999998</v>
      </c>
      <c r="H69" s="77">
        <v>1.764892492317955</v>
      </c>
      <c r="I69" s="77">
        <v>0.75868316013517556</v>
      </c>
      <c r="J69" s="80">
        <v>0.98857847586166114</v>
      </c>
      <c r="K69" s="79">
        <v>-2.8506250000000177E-2</v>
      </c>
      <c r="L69" s="77"/>
      <c r="M69" s="77"/>
      <c r="N69" s="78"/>
      <c r="O69" s="77"/>
      <c r="P69" s="77"/>
      <c r="Q69" s="77"/>
      <c r="R69" s="80"/>
      <c r="S69" s="79"/>
      <c r="T69" s="77"/>
      <c r="U69" s="77"/>
      <c r="V69" s="78"/>
      <c r="W69" s="77"/>
      <c r="X69" s="77"/>
      <c r="Y69" s="77"/>
      <c r="Z69" s="80"/>
      <c r="AA69" s="79"/>
      <c r="AB69" s="77"/>
      <c r="AC69" s="77"/>
      <c r="AD69" s="78"/>
      <c r="AE69" s="77"/>
      <c r="AF69" s="77"/>
      <c r="AG69" s="77"/>
      <c r="AH69" s="80"/>
      <c r="AI69" s="79"/>
      <c r="AJ69" s="77"/>
      <c r="AK69" s="77"/>
      <c r="AL69" s="78"/>
      <c r="AM69" s="77"/>
      <c r="AN69" s="77"/>
      <c r="AO69" s="77"/>
      <c r="AP69" s="80"/>
      <c r="AQ69" s="79"/>
      <c r="AR69" s="77"/>
      <c r="AS69" s="77"/>
      <c r="AT69" s="78"/>
      <c r="AU69" s="77"/>
      <c r="AV69" s="77"/>
      <c r="AW69" s="77"/>
      <c r="AX69" s="76"/>
    </row>
    <row r="70" spans="1:50" ht="30" customHeight="1">
      <c r="A70" s="82" t="s">
        <v>162</v>
      </c>
      <c r="B70" s="81" t="s">
        <v>137</v>
      </c>
      <c r="C70" s="79">
        <v>1.3</v>
      </c>
      <c r="D70" s="77">
        <v>0.03</v>
      </c>
      <c r="E70" s="77">
        <v>0.03</v>
      </c>
      <c r="F70" s="78">
        <v>3.3163269129487757E-3</v>
      </c>
      <c r="G70" s="77">
        <v>1.2796937500000001</v>
      </c>
      <c r="H70" s="77">
        <v>3.0153842677434706</v>
      </c>
      <c r="I70" s="77">
        <v>0.97434604151461379</v>
      </c>
      <c r="J70" s="80">
        <v>0.99826682964463631</v>
      </c>
      <c r="K70" s="79">
        <v>-2.030624999999997E-2</v>
      </c>
      <c r="L70" s="77"/>
      <c r="M70" s="77"/>
      <c r="N70" s="78"/>
      <c r="O70" s="77"/>
      <c r="P70" s="77"/>
      <c r="Q70" s="77"/>
      <c r="R70" s="80"/>
      <c r="S70" s="79"/>
      <c r="T70" s="77"/>
      <c r="U70" s="77"/>
      <c r="V70" s="78"/>
      <c r="W70" s="77"/>
      <c r="X70" s="77"/>
      <c r="Y70" s="77"/>
      <c r="Z70" s="80"/>
      <c r="AA70" s="79"/>
      <c r="AB70" s="77"/>
      <c r="AC70" s="77"/>
      <c r="AD70" s="78"/>
      <c r="AE70" s="77"/>
      <c r="AF70" s="77"/>
      <c r="AG70" s="77"/>
      <c r="AH70" s="80"/>
      <c r="AI70" s="79"/>
      <c r="AJ70" s="77"/>
      <c r="AK70" s="77"/>
      <c r="AL70" s="78"/>
      <c r="AM70" s="77"/>
      <c r="AN70" s="77"/>
      <c r="AO70" s="77"/>
      <c r="AP70" s="80"/>
      <c r="AQ70" s="79"/>
      <c r="AR70" s="77"/>
      <c r="AS70" s="77"/>
      <c r="AT70" s="78"/>
      <c r="AU70" s="77"/>
      <c r="AV70" s="77"/>
      <c r="AW70" s="77"/>
      <c r="AX70" s="76"/>
    </row>
    <row r="71" spans="1:50" ht="30" customHeight="1">
      <c r="A71" s="82"/>
      <c r="B71" s="85" t="s">
        <v>142</v>
      </c>
      <c r="C71" s="84">
        <v>1</v>
      </c>
      <c r="D71" s="77">
        <v>0.04</v>
      </c>
      <c r="E71" s="77">
        <v>0.04</v>
      </c>
      <c r="F71" s="78">
        <v>3.1311375213202218E-3</v>
      </c>
      <c r="G71" s="77">
        <v>0.97922812500000023</v>
      </c>
      <c r="H71" s="77">
        <v>4.2583033298746464</v>
      </c>
      <c r="I71" s="77">
        <v>2.0469797178686742</v>
      </c>
      <c r="J71" s="80">
        <v>0.99999999958982499</v>
      </c>
      <c r="K71" s="79">
        <v>-2.0771874999999773E-2</v>
      </c>
      <c r="L71" s="77"/>
      <c r="M71" s="77"/>
      <c r="N71" s="78"/>
      <c r="O71" s="77"/>
      <c r="P71" s="77"/>
      <c r="Q71" s="77"/>
      <c r="R71" s="80"/>
      <c r="S71" s="79"/>
      <c r="T71" s="77"/>
      <c r="U71" s="77"/>
      <c r="V71" s="78"/>
      <c r="W71" s="77"/>
      <c r="X71" s="77"/>
      <c r="Y71" s="77"/>
      <c r="Z71" s="80"/>
      <c r="AA71" s="79"/>
      <c r="AB71" s="77"/>
      <c r="AC71" s="77"/>
      <c r="AD71" s="78"/>
      <c r="AE71" s="77"/>
      <c r="AF71" s="77"/>
      <c r="AG71" s="77"/>
      <c r="AH71" s="80"/>
      <c r="AI71" s="79"/>
      <c r="AJ71" s="77"/>
      <c r="AK71" s="77"/>
      <c r="AL71" s="78"/>
      <c r="AM71" s="77"/>
      <c r="AN71" s="77"/>
      <c r="AO71" s="77"/>
      <c r="AP71" s="80"/>
      <c r="AQ71" s="79"/>
      <c r="AR71" s="77"/>
      <c r="AS71" s="77"/>
      <c r="AT71" s="78"/>
      <c r="AU71" s="77"/>
      <c r="AV71" s="77"/>
      <c r="AW71" s="77"/>
      <c r="AX71" s="76"/>
    </row>
    <row r="72" spans="1:50" ht="30" customHeight="1">
      <c r="A72" s="82"/>
      <c r="B72" s="85" t="s">
        <v>143</v>
      </c>
      <c r="C72" s="84">
        <v>2.4</v>
      </c>
      <c r="D72" s="83">
        <v>0.04</v>
      </c>
      <c r="E72" s="83">
        <v>0.04</v>
      </c>
      <c r="F72" s="78">
        <v>3.9935318166965323E-3</v>
      </c>
      <c r="G72" s="77">
        <v>2.3701593749999992</v>
      </c>
      <c r="H72" s="77">
        <v>3.3387322163274358</v>
      </c>
      <c r="I72" s="77">
        <v>0.84798581525622974</v>
      </c>
      <c r="J72" s="80">
        <v>0.99451977817496384</v>
      </c>
      <c r="K72" s="79">
        <v>-2.9840625000000731E-2</v>
      </c>
      <c r="L72" s="77"/>
      <c r="M72" s="77"/>
      <c r="N72" s="78"/>
      <c r="O72" s="77"/>
      <c r="P72" s="77"/>
      <c r="Q72" s="77"/>
      <c r="R72" s="80"/>
      <c r="S72" s="79"/>
      <c r="T72" s="77"/>
      <c r="U72" s="77"/>
      <c r="V72" s="78"/>
      <c r="W72" s="77"/>
      <c r="X72" s="77"/>
      <c r="Y72" s="77"/>
      <c r="Z72" s="80"/>
      <c r="AA72" s="79"/>
      <c r="AB72" s="77"/>
      <c r="AC72" s="77"/>
      <c r="AD72" s="78"/>
      <c r="AE72" s="77"/>
      <c r="AF72" s="77"/>
      <c r="AG72" s="77"/>
      <c r="AH72" s="80"/>
      <c r="AI72" s="79"/>
      <c r="AJ72" s="77"/>
      <c r="AK72" s="77"/>
      <c r="AL72" s="78"/>
      <c r="AM72" s="77"/>
      <c r="AN72" s="77"/>
      <c r="AO72" s="77"/>
      <c r="AP72" s="80"/>
      <c r="AQ72" s="79"/>
      <c r="AR72" s="77"/>
      <c r="AS72" s="77"/>
      <c r="AT72" s="78"/>
      <c r="AU72" s="77"/>
      <c r="AV72" s="77"/>
      <c r="AW72" s="77"/>
      <c r="AX72" s="76"/>
    </row>
    <row r="73" spans="1:50" ht="30" customHeight="1">
      <c r="A73" s="82"/>
      <c r="B73" s="85" t="s">
        <v>138</v>
      </c>
      <c r="C73" s="84">
        <v>3.3</v>
      </c>
      <c r="D73" s="83">
        <v>0.05</v>
      </c>
      <c r="E73" s="83">
        <v>0.05</v>
      </c>
      <c r="F73" s="78">
        <v>3.1748444208770984E-3</v>
      </c>
      <c r="G73" s="77">
        <v>3.2747187499999999</v>
      </c>
      <c r="H73" s="77">
        <v>5.2496010692902519</v>
      </c>
      <c r="I73" s="77">
        <v>2.5952715286303674</v>
      </c>
      <c r="J73" s="80">
        <v>0.99999999999999656</v>
      </c>
      <c r="K73" s="79">
        <v>-2.5281249999999922E-2</v>
      </c>
      <c r="L73" s="77"/>
      <c r="M73" s="77"/>
      <c r="N73" s="78"/>
      <c r="O73" s="77"/>
      <c r="P73" s="77"/>
      <c r="Q73" s="77"/>
      <c r="R73" s="80"/>
      <c r="S73" s="79"/>
      <c r="T73" s="77"/>
      <c r="U73" s="77"/>
      <c r="V73" s="78"/>
      <c r="W73" s="77"/>
      <c r="X73" s="77"/>
      <c r="Y73" s="77"/>
      <c r="Z73" s="80"/>
      <c r="AA73" s="79"/>
      <c r="AB73" s="77"/>
      <c r="AC73" s="77"/>
      <c r="AD73" s="78"/>
      <c r="AE73" s="77"/>
      <c r="AF73" s="77"/>
      <c r="AG73" s="77"/>
      <c r="AH73" s="80"/>
      <c r="AI73" s="79"/>
      <c r="AJ73" s="77"/>
      <c r="AK73" s="77"/>
      <c r="AL73" s="78"/>
      <c r="AM73" s="77"/>
      <c r="AN73" s="77"/>
      <c r="AO73" s="77"/>
      <c r="AP73" s="80"/>
      <c r="AQ73" s="79"/>
      <c r="AR73" s="77"/>
      <c r="AS73" s="77"/>
      <c r="AT73" s="78"/>
      <c r="AU73" s="77"/>
      <c r="AV73" s="77"/>
      <c r="AW73" s="77"/>
      <c r="AX73" s="76"/>
    </row>
    <row r="74" spans="1:50" ht="30" customHeight="1">
      <c r="A74" s="82"/>
      <c r="B74" s="85" t="s">
        <v>140</v>
      </c>
      <c r="C74" s="84">
        <v>0.86</v>
      </c>
      <c r="D74" s="83">
        <v>0.05</v>
      </c>
      <c r="E74" s="83">
        <v>0.05</v>
      </c>
      <c r="F74" s="78">
        <v>8.8550553949925826E-3</v>
      </c>
      <c r="G74" s="77">
        <v>0.83526562500000001</v>
      </c>
      <c r="H74" s="77">
        <v>1.8821640208023387</v>
      </c>
      <c r="I74" s="77">
        <v>0.9510810067616835</v>
      </c>
      <c r="J74" s="80">
        <v>0.99783622434265107</v>
      </c>
      <c r="K74" s="79">
        <v>-2.4734374999999975E-2</v>
      </c>
      <c r="L74" s="77"/>
      <c r="M74" s="77"/>
      <c r="N74" s="78"/>
      <c r="O74" s="77"/>
      <c r="P74" s="77"/>
      <c r="Q74" s="77"/>
      <c r="R74" s="80"/>
      <c r="S74" s="79"/>
      <c r="T74" s="77"/>
      <c r="U74" s="77"/>
      <c r="V74" s="78"/>
      <c r="W74" s="77"/>
      <c r="X74" s="77"/>
      <c r="Y74" s="77"/>
      <c r="Z74" s="80"/>
      <c r="AA74" s="79"/>
      <c r="AB74" s="77"/>
      <c r="AC74" s="77"/>
      <c r="AD74" s="78"/>
      <c r="AE74" s="77"/>
      <c r="AF74" s="77"/>
      <c r="AG74" s="77"/>
      <c r="AH74" s="80"/>
      <c r="AI74" s="79"/>
      <c r="AJ74" s="77"/>
      <c r="AK74" s="77"/>
      <c r="AL74" s="78"/>
      <c r="AM74" s="77"/>
      <c r="AN74" s="77"/>
      <c r="AO74" s="77"/>
      <c r="AP74" s="80"/>
      <c r="AQ74" s="79"/>
      <c r="AR74" s="77"/>
      <c r="AS74" s="77"/>
      <c r="AT74" s="78"/>
      <c r="AU74" s="77"/>
      <c r="AV74" s="77"/>
      <c r="AW74" s="77"/>
      <c r="AX74" s="76"/>
    </row>
    <row r="75" spans="1:50" ht="30" customHeight="1">
      <c r="A75" s="82"/>
      <c r="B75" s="85" t="s">
        <v>139</v>
      </c>
      <c r="C75" s="84">
        <v>0.86</v>
      </c>
      <c r="D75" s="83">
        <v>0.05</v>
      </c>
      <c r="E75" s="83">
        <v>0.05</v>
      </c>
      <c r="F75" s="78">
        <v>8.0109577173011672E-3</v>
      </c>
      <c r="G75" s="77">
        <v>0.83245625000000001</v>
      </c>
      <c r="H75" s="77">
        <v>2.0804836643528759</v>
      </c>
      <c r="I75" s="77">
        <v>0.93439722575248729</v>
      </c>
      <c r="J75" s="80">
        <v>0.99747002064288104</v>
      </c>
      <c r="K75" s="79">
        <v>-2.7543749999999978E-2</v>
      </c>
      <c r="L75" s="77"/>
      <c r="M75" s="77"/>
      <c r="N75" s="78"/>
      <c r="O75" s="77"/>
      <c r="P75" s="77"/>
      <c r="Q75" s="77"/>
      <c r="R75" s="80"/>
      <c r="S75" s="79"/>
      <c r="T75" s="77"/>
      <c r="U75" s="77"/>
      <c r="V75" s="78"/>
      <c r="W75" s="77"/>
      <c r="X75" s="77"/>
      <c r="Y75" s="77"/>
      <c r="Z75" s="80"/>
      <c r="AA75" s="79"/>
      <c r="AB75" s="77"/>
      <c r="AC75" s="77"/>
      <c r="AD75" s="78"/>
      <c r="AE75" s="77"/>
      <c r="AF75" s="77"/>
      <c r="AG75" s="77"/>
      <c r="AH75" s="80"/>
      <c r="AI75" s="79"/>
      <c r="AJ75" s="77"/>
      <c r="AK75" s="77"/>
      <c r="AL75" s="78"/>
      <c r="AM75" s="77"/>
      <c r="AN75" s="77"/>
      <c r="AO75" s="77"/>
      <c r="AP75" s="80"/>
      <c r="AQ75" s="79"/>
      <c r="AR75" s="77"/>
      <c r="AS75" s="77"/>
      <c r="AT75" s="78"/>
      <c r="AU75" s="77"/>
      <c r="AV75" s="77"/>
      <c r="AW75" s="77"/>
      <c r="AX75" s="76"/>
    </row>
    <row r="76" spans="1:50" ht="30" customHeight="1">
      <c r="A76" s="82"/>
      <c r="B76" s="85" t="s">
        <v>144</v>
      </c>
      <c r="C76" s="84">
        <v>2.9</v>
      </c>
      <c r="D76" s="83">
        <v>0.05</v>
      </c>
      <c r="E76" s="83">
        <v>0.05</v>
      </c>
      <c r="F76" s="78">
        <v>6.3852652962289548E-3</v>
      </c>
      <c r="G76" s="77">
        <v>2.8658999999999999</v>
      </c>
      <c r="H76" s="77">
        <v>2.6101760684101412</v>
      </c>
      <c r="I76" s="77">
        <v>0.8300359897544175</v>
      </c>
      <c r="J76" s="80">
        <v>0.99361478530423875</v>
      </c>
      <c r="K76" s="79">
        <v>-3.4100000000000019E-2</v>
      </c>
      <c r="L76" s="77"/>
      <c r="M76" s="77"/>
      <c r="N76" s="78"/>
      <c r="O76" s="77"/>
      <c r="P76" s="77"/>
      <c r="Q76" s="77"/>
      <c r="R76" s="80"/>
      <c r="S76" s="79"/>
      <c r="T76" s="77"/>
      <c r="U76" s="77"/>
      <c r="V76" s="78"/>
      <c r="W76" s="77"/>
      <c r="X76" s="77"/>
      <c r="Y76" s="77"/>
      <c r="Z76" s="80"/>
      <c r="AA76" s="79"/>
      <c r="AB76" s="77"/>
      <c r="AC76" s="77"/>
      <c r="AD76" s="78"/>
      <c r="AE76" s="77"/>
      <c r="AF76" s="77"/>
      <c r="AG76" s="77"/>
      <c r="AH76" s="80"/>
      <c r="AI76" s="79"/>
      <c r="AJ76" s="77"/>
      <c r="AK76" s="77"/>
      <c r="AL76" s="78"/>
      <c r="AM76" s="77"/>
      <c r="AN76" s="77"/>
      <c r="AO76" s="77"/>
      <c r="AP76" s="80"/>
      <c r="AQ76" s="79"/>
      <c r="AR76" s="77"/>
      <c r="AS76" s="77"/>
      <c r="AT76" s="78"/>
      <c r="AU76" s="77"/>
      <c r="AV76" s="77"/>
      <c r="AW76" s="77"/>
      <c r="AX76" s="76"/>
    </row>
    <row r="77" spans="1:50" ht="30" customHeight="1">
      <c r="A77" s="82"/>
      <c r="B77" s="85" t="s">
        <v>145</v>
      </c>
      <c r="C77" s="84">
        <v>0.3</v>
      </c>
      <c r="D77" s="83">
        <v>0.03</v>
      </c>
      <c r="E77" s="83">
        <v>0.03</v>
      </c>
      <c r="F77" s="78">
        <v>8.6293922897457114E-3</v>
      </c>
      <c r="G77" s="77">
        <v>0.31069375000000005</v>
      </c>
      <c r="H77" s="77">
        <v>1.1588301544574546</v>
      </c>
      <c r="I77" s="77">
        <v>0.74575548898313848</v>
      </c>
      <c r="J77" s="80">
        <v>0.98736433093496201</v>
      </c>
      <c r="K77" s="79">
        <v>1.0693750000000057E-2</v>
      </c>
      <c r="L77" s="77"/>
      <c r="M77" s="77"/>
      <c r="N77" s="78"/>
      <c r="O77" s="77"/>
      <c r="P77" s="77"/>
      <c r="Q77" s="77"/>
      <c r="R77" s="80"/>
      <c r="S77" s="79"/>
      <c r="T77" s="77"/>
      <c r="U77" s="77"/>
      <c r="V77" s="78"/>
      <c r="W77" s="77"/>
      <c r="X77" s="77"/>
      <c r="Y77" s="77"/>
      <c r="Z77" s="80"/>
      <c r="AA77" s="79"/>
      <c r="AB77" s="77"/>
      <c r="AC77" s="77"/>
      <c r="AD77" s="78"/>
      <c r="AE77" s="77"/>
      <c r="AF77" s="77"/>
      <c r="AG77" s="77"/>
      <c r="AH77" s="80"/>
      <c r="AI77" s="79"/>
      <c r="AJ77" s="77"/>
      <c r="AK77" s="77"/>
      <c r="AL77" s="78"/>
      <c r="AM77" s="77"/>
      <c r="AN77" s="77"/>
      <c r="AO77" s="77"/>
      <c r="AP77" s="80"/>
      <c r="AQ77" s="79"/>
      <c r="AR77" s="77"/>
      <c r="AS77" s="77"/>
      <c r="AT77" s="78"/>
      <c r="AU77" s="77"/>
      <c r="AV77" s="77"/>
      <c r="AW77" s="77"/>
      <c r="AX77" s="76"/>
    </row>
    <row r="78" spans="1:50" ht="30" customHeight="1">
      <c r="A78" s="82"/>
      <c r="B78" s="85" t="s">
        <v>146</v>
      </c>
      <c r="C78" s="84">
        <v>0.3</v>
      </c>
      <c r="D78" s="83">
        <v>0.03</v>
      </c>
      <c r="E78" s="83">
        <v>0.03</v>
      </c>
      <c r="F78" s="78">
        <v>6.0347974482939807E-3</v>
      </c>
      <c r="G78" s="77">
        <v>0.30738437500000004</v>
      </c>
      <c r="H78" s="77">
        <v>1.6570564440115485</v>
      </c>
      <c r="I78" s="77">
        <v>1.2491789047199524</v>
      </c>
      <c r="J78" s="80">
        <v>0.99991070985604968</v>
      </c>
      <c r="K78" s="79">
        <v>7.3843750000000541E-3</v>
      </c>
      <c r="L78" s="77"/>
      <c r="M78" s="77"/>
      <c r="N78" s="78"/>
      <c r="O78" s="77"/>
      <c r="P78" s="77"/>
      <c r="Q78" s="77"/>
      <c r="R78" s="80"/>
      <c r="S78" s="79"/>
      <c r="T78" s="77"/>
      <c r="U78" s="77"/>
      <c r="V78" s="78"/>
      <c r="W78" s="77"/>
      <c r="X78" s="77"/>
      <c r="Y78" s="77"/>
      <c r="Z78" s="80"/>
      <c r="AA78" s="79"/>
      <c r="AB78" s="77"/>
      <c r="AC78" s="77"/>
      <c r="AD78" s="78"/>
      <c r="AE78" s="77"/>
      <c r="AF78" s="77"/>
      <c r="AG78" s="77"/>
      <c r="AH78" s="80"/>
      <c r="AI78" s="79"/>
      <c r="AJ78" s="77"/>
      <c r="AK78" s="77"/>
      <c r="AL78" s="78"/>
      <c r="AM78" s="77"/>
      <c r="AN78" s="77"/>
      <c r="AO78" s="77"/>
      <c r="AP78" s="80"/>
      <c r="AQ78" s="79"/>
      <c r="AR78" s="77"/>
      <c r="AS78" s="77"/>
      <c r="AT78" s="78"/>
      <c r="AU78" s="77"/>
      <c r="AV78" s="77"/>
      <c r="AW78" s="77"/>
      <c r="AX78" s="76"/>
    </row>
    <row r="79" spans="1:50" ht="30" customHeight="1">
      <c r="A79" s="82"/>
      <c r="B79" s="85" t="s">
        <v>147</v>
      </c>
      <c r="C79" s="84">
        <v>0.25</v>
      </c>
      <c r="D79" s="83">
        <v>0.03</v>
      </c>
      <c r="E79" s="83">
        <v>0.03</v>
      </c>
      <c r="F79" s="78">
        <v>3.5984707773558233E-3</v>
      </c>
      <c r="G79" s="77">
        <v>0.23440625000000001</v>
      </c>
      <c r="H79" s="77">
        <v>2.7789582349611468</v>
      </c>
      <c r="I79" s="77">
        <v>1.3344789024136343</v>
      </c>
      <c r="J79" s="80">
        <v>0.99996878554568713</v>
      </c>
      <c r="K79" s="79">
        <v>-1.559374999999999E-2</v>
      </c>
      <c r="L79" s="77"/>
      <c r="M79" s="77"/>
      <c r="N79" s="78"/>
      <c r="O79" s="77"/>
      <c r="P79" s="77"/>
      <c r="Q79" s="77"/>
      <c r="R79" s="80"/>
      <c r="S79" s="79"/>
      <c r="T79" s="77"/>
      <c r="U79" s="77"/>
      <c r="V79" s="78"/>
      <c r="W79" s="77"/>
      <c r="X79" s="77"/>
      <c r="Y79" s="77"/>
      <c r="Z79" s="80"/>
      <c r="AA79" s="79"/>
      <c r="AB79" s="77"/>
      <c r="AC79" s="77"/>
      <c r="AD79" s="78"/>
      <c r="AE79" s="77"/>
      <c r="AF79" s="77"/>
      <c r="AG79" s="77"/>
      <c r="AH79" s="80"/>
      <c r="AI79" s="79"/>
      <c r="AJ79" s="77"/>
      <c r="AK79" s="77"/>
      <c r="AL79" s="78"/>
      <c r="AM79" s="77"/>
      <c r="AN79" s="77"/>
      <c r="AO79" s="77"/>
      <c r="AP79" s="80"/>
      <c r="AQ79" s="79"/>
      <c r="AR79" s="77"/>
      <c r="AS79" s="77"/>
      <c r="AT79" s="78"/>
      <c r="AU79" s="77"/>
      <c r="AV79" s="77"/>
      <c r="AW79" s="77"/>
      <c r="AX79" s="76"/>
    </row>
    <row r="80" spans="1:50" ht="30" customHeight="1">
      <c r="A80" s="82"/>
      <c r="B80" s="85" t="s">
        <v>148</v>
      </c>
      <c r="C80" s="84">
        <v>0.25</v>
      </c>
      <c r="D80" s="83">
        <v>0.03</v>
      </c>
      <c r="E80" s="83">
        <v>0.03</v>
      </c>
      <c r="F80" s="78">
        <v>8.4208309058644102E-3</v>
      </c>
      <c r="G80" s="77">
        <v>0.23628437499999994</v>
      </c>
      <c r="H80" s="77">
        <v>1.1875312676134886</v>
      </c>
      <c r="I80" s="77">
        <v>0.64460681620144389</v>
      </c>
      <c r="J80" s="80">
        <v>0.97343229176928192</v>
      </c>
      <c r="K80" s="79">
        <v>-1.3715625000000065E-2</v>
      </c>
      <c r="L80" s="77"/>
      <c r="M80" s="77"/>
      <c r="N80" s="78"/>
      <c r="O80" s="77"/>
      <c r="P80" s="77"/>
      <c r="Q80" s="77"/>
      <c r="R80" s="80"/>
      <c r="S80" s="79"/>
      <c r="T80" s="77"/>
      <c r="U80" s="77"/>
      <c r="V80" s="78"/>
      <c r="W80" s="77"/>
      <c r="X80" s="77"/>
      <c r="Y80" s="77"/>
      <c r="Z80" s="80"/>
      <c r="AA80" s="79"/>
      <c r="AB80" s="77"/>
      <c r="AC80" s="77"/>
      <c r="AD80" s="78"/>
      <c r="AE80" s="77"/>
      <c r="AF80" s="77"/>
      <c r="AG80" s="77"/>
      <c r="AH80" s="80"/>
      <c r="AI80" s="79"/>
      <c r="AJ80" s="77"/>
      <c r="AK80" s="77"/>
      <c r="AL80" s="78"/>
      <c r="AM80" s="77"/>
      <c r="AN80" s="77"/>
      <c r="AO80" s="77"/>
      <c r="AP80" s="80"/>
      <c r="AQ80" s="79"/>
      <c r="AR80" s="77"/>
      <c r="AS80" s="77"/>
      <c r="AT80" s="78"/>
      <c r="AU80" s="77"/>
      <c r="AV80" s="77"/>
      <c r="AW80" s="77"/>
      <c r="AX80" s="76"/>
    </row>
    <row r="81" spans="1:50" ht="30" customHeight="1">
      <c r="A81" s="82"/>
      <c r="B81" s="85" t="s">
        <v>149</v>
      </c>
      <c r="C81" s="84">
        <v>0.25</v>
      </c>
      <c r="D81" s="83">
        <v>0.03</v>
      </c>
      <c r="E81" s="83">
        <v>0.03</v>
      </c>
      <c r="F81" s="78">
        <v>6.5459880596758866E-3</v>
      </c>
      <c r="G81" s="77">
        <v>0.23441875000000001</v>
      </c>
      <c r="H81" s="77">
        <v>1.5276532601092365</v>
      </c>
      <c r="I81" s="77">
        <v>0.73422834814000182</v>
      </c>
      <c r="J81" s="80">
        <v>0.98619152245353214</v>
      </c>
      <c r="K81" s="79">
        <v>-1.5581249999999991E-2</v>
      </c>
      <c r="L81" s="77"/>
      <c r="M81" s="77"/>
      <c r="N81" s="78"/>
      <c r="O81" s="77"/>
      <c r="P81" s="77"/>
      <c r="Q81" s="77"/>
      <c r="R81" s="80"/>
      <c r="S81" s="79"/>
      <c r="T81" s="77"/>
      <c r="U81" s="77"/>
      <c r="V81" s="78"/>
      <c r="W81" s="77"/>
      <c r="X81" s="77"/>
      <c r="Y81" s="77"/>
      <c r="Z81" s="80"/>
      <c r="AA81" s="79"/>
      <c r="AB81" s="77"/>
      <c r="AC81" s="77"/>
      <c r="AD81" s="78"/>
      <c r="AE81" s="77"/>
      <c r="AF81" s="77"/>
      <c r="AG81" s="77"/>
      <c r="AH81" s="80"/>
      <c r="AI81" s="79"/>
      <c r="AJ81" s="77"/>
      <c r="AK81" s="77"/>
      <c r="AL81" s="78"/>
      <c r="AM81" s="77"/>
      <c r="AN81" s="77"/>
      <c r="AO81" s="77"/>
      <c r="AP81" s="80"/>
      <c r="AQ81" s="79"/>
      <c r="AR81" s="77"/>
      <c r="AS81" s="77"/>
      <c r="AT81" s="78"/>
      <c r="AU81" s="77"/>
      <c r="AV81" s="77"/>
      <c r="AW81" s="77"/>
      <c r="AX81" s="76"/>
    </row>
    <row r="82" spans="1:50" ht="30" customHeight="1">
      <c r="A82" s="82"/>
      <c r="B82" s="85" t="s">
        <v>150</v>
      </c>
      <c r="C82" s="84">
        <v>0.56599999999999995</v>
      </c>
      <c r="D82" s="83">
        <v>0.03</v>
      </c>
      <c r="E82" s="83">
        <v>0.03</v>
      </c>
      <c r="F82" s="78">
        <v>6.1980453474488406E-3</v>
      </c>
      <c r="G82" s="77">
        <v>0.55343125000000004</v>
      </c>
      <c r="H82" s="77">
        <v>1.6134118805884632</v>
      </c>
      <c r="I82" s="77">
        <v>0.93745952811692723</v>
      </c>
      <c r="J82" s="80">
        <v>0.99754117073115123</v>
      </c>
      <c r="K82" s="79">
        <v>-1.2568749999999906E-2</v>
      </c>
      <c r="L82" s="77"/>
      <c r="M82" s="77"/>
      <c r="N82" s="78"/>
      <c r="O82" s="77"/>
      <c r="P82" s="77"/>
      <c r="Q82" s="77"/>
      <c r="R82" s="80"/>
      <c r="S82" s="79"/>
      <c r="T82" s="77"/>
      <c r="U82" s="77"/>
      <c r="V82" s="78"/>
      <c r="W82" s="77"/>
      <c r="X82" s="77"/>
      <c r="Y82" s="77"/>
      <c r="Z82" s="80"/>
      <c r="AA82" s="79"/>
      <c r="AB82" s="77"/>
      <c r="AC82" s="77"/>
      <c r="AD82" s="78"/>
      <c r="AE82" s="77"/>
      <c r="AF82" s="77"/>
      <c r="AG82" s="77"/>
      <c r="AH82" s="80"/>
      <c r="AI82" s="79"/>
      <c r="AJ82" s="77"/>
      <c r="AK82" s="77"/>
      <c r="AL82" s="78"/>
      <c r="AM82" s="77"/>
      <c r="AN82" s="77"/>
      <c r="AO82" s="77"/>
      <c r="AP82" s="80"/>
      <c r="AQ82" s="79"/>
      <c r="AR82" s="77"/>
      <c r="AS82" s="77"/>
      <c r="AT82" s="78"/>
      <c r="AU82" s="77"/>
      <c r="AV82" s="77"/>
      <c r="AW82" s="77"/>
      <c r="AX82" s="76"/>
    </row>
    <row r="83" spans="1:50" ht="30" customHeight="1">
      <c r="A83" s="82"/>
      <c r="B83" s="85" t="s">
        <v>151</v>
      </c>
      <c r="C83" s="84">
        <v>0.56599999999999995</v>
      </c>
      <c r="D83" s="83">
        <v>0.03</v>
      </c>
      <c r="E83" s="83">
        <v>0.03</v>
      </c>
      <c r="F83" s="78">
        <v>3.6875553577036782E-3</v>
      </c>
      <c r="G83" s="77">
        <v>0.55757499999999993</v>
      </c>
      <c r="H83" s="77">
        <v>2.7118236961809918</v>
      </c>
      <c r="I83" s="77">
        <v>1.9502532081701627</v>
      </c>
      <c r="J83" s="80">
        <v>0.99999999755333502</v>
      </c>
      <c r="K83" s="79">
        <v>-8.4250000000000158E-3</v>
      </c>
      <c r="L83" s="77"/>
      <c r="M83" s="77"/>
      <c r="N83" s="78"/>
      <c r="O83" s="77"/>
      <c r="P83" s="77"/>
      <c r="Q83" s="77"/>
      <c r="R83" s="80"/>
      <c r="S83" s="79"/>
      <c r="T83" s="77"/>
      <c r="U83" s="77"/>
      <c r="V83" s="78"/>
      <c r="W83" s="77"/>
      <c r="X83" s="77"/>
      <c r="Y83" s="77"/>
      <c r="Z83" s="80"/>
      <c r="AA83" s="79"/>
      <c r="AB83" s="77"/>
      <c r="AC83" s="77"/>
      <c r="AD83" s="78"/>
      <c r="AE83" s="77"/>
      <c r="AF83" s="77"/>
      <c r="AG83" s="77"/>
      <c r="AH83" s="80"/>
      <c r="AI83" s="79"/>
      <c r="AJ83" s="77"/>
      <c r="AK83" s="77"/>
      <c r="AL83" s="78"/>
      <c r="AM83" s="77"/>
      <c r="AN83" s="77"/>
      <c r="AO83" s="77"/>
      <c r="AP83" s="80"/>
      <c r="AQ83" s="79"/>
      <c r="AR83" s="77"/>
      <c r="AS83" s="77"/>
      <c r="AT83" s="78"/>
      <c r="AU83" s="77"/>
      <c r="AV83" s="77"/>
      <c r="AW83" s="77"/>
      <c r="AX83" s="76"/>
    </row>
    <row r="84" spans="1:50" ht="30" customHeight="1">
      <c r="A84" s="82"/>
      <c r="B84" s="85" t="s">
        <v>141</v>
      </c>
      <c r="C84" s="84">
        <v>1.25</v>
      </c>
      <c r="D84" s="83">
        <v>0.1</v>
      </c>
      <c r="E84" s="83">
        <v>0.1</v>
      </c>
      <c r="F84" s="78">
        <v>8.0954730231001387E-3</v>
      </c>
      <c r="G84" s="77">
        <v>1.2351406250000003</v>
      </c>
      <c r="H84" s="77">
        <v>4.1175275661123081</v>
      </c>
      <c r="I84" s="77">
        <v>3.5056887043353213</v>
      </c>
      <c r="J84" s="80">
        <v>1</v>
      </c>
      <c r="K84" s="79">
        <v>-1.4859374999999675E-2</v>
      </c>
      <c r="L84" s="77"/>
      <c r="M84" s="77"/>
      <c r="N84" s="78"/>
      <c r="O84" s="77"/>
      <c r="P84" s="77"/>
      <c r="Q84" s="77"/>
      <c r="R84" s="80"/>
      <c r="S84" s="79"/>
      <c r="T84" s="77"/>
      <c r="U84" s="77"/>
      <c r="V84" s="78"/>
      <c r="W84" s="77"/>
      <c r="X84" s="77"/>
      <c r="Y84" s="77"/>
      <c r="Z84" s="80"/>
      <c r="AA84" s="79"/>
      <c r="AB84" s="77"/>
      <c r="AC84" s="77"/>
      <c r="AD84" s="78"/>
      <c r="AE84" s="77"/>
      <c r="AF84" s="77"/>
      <c r="AG84" s="77"/>
      <c r="AH84" s="80"/>
      <c r="AI84" s="79"/>
      <c r="AJ84" s="77"/>
      <c r="AK84" s="77"/>
      <c r="AL84" s="78"/>
      <c r="AM84" s="77"/>
      <c r="AN84" s="77"/>
      <c r="AO84" s="77"/>
      <c r="AP84" s="80"/>
      <c r="AQ84" s="79"/>
      <c r="AR84" s="77"/>
      <c r="AS84" s="77"/>
      <c r="AT84" s="78"/>
      <c r="AU84" s="77"/>
      <c r="AV84" s="77"/>
      <c r="AW84" s="77"/>
      <c r="AX84" s="76"/>
    </row>
    <row r="85" spans="1:50" ht="30" customHeight="1">
      <c r="A85" s="82"/>
      <c r="B85" s="85" t="s">
        <v>152</v>
      </c>
      <c r="C85" s="84">
        <v>1.25</v>
      </c>
      <c r="D85" s="83">
        <v>0.05</v>
      </c>
      <c r="E85" s="83">
        <v>0.05</v>
      </c>
      <c r="F85" s="78">
        <v>7.5868306953562536E-3</v>
      </c>
      <c r="G85" s="77">
        <v>1.2768749999999998</v>
      </c>
      <c r="H85" s="77">
        <v>2.1967890593456914</v>
      </c>
      <c r="I85" s="77">
        <v>1.0160149399473939</v>
      </c>
      <c r="J85" s="80">
        <v>0.9988483221486435</v>
      </c>
      <c r="K85" s="79">
        <v>2.687499999999976E-2</v>
      </c>
      <c r="L85" s="77"/>
      <c r="M85" s="77"/>
      <c r="N85" s="78"/>
      <c r="O85" s="77"/>
      <c r="P85" s="77"/>
      <c r="Q85" s="77"/>
      <c r="R85" s="80"/>
      <c r="S85" s="79"/>
      <c r="T85" s="77"/>
      <c r="U85" s="77"/>
      <c r="V85" s="78"/>
      <c r="W85" s="77"/>
      <c r="X85" s="77"/>
      <c r="Y85" s="77"/>
      <c r="Z85" s="80"/>
      <c r="AA85" s="79"/>
      <c r="AB85" s="77"/>
      <c r="AC85" s="77"/>
      <c r="AD85" s="78"/>
      <c r="AE85" s="77"/>
      <c r="AF85" s="77"/>
      <c r="AG85" s="77"/>
      <c r="AH85" s="80"/>
      <c r="AI85" s="79"/>
      <c r="AJ85" s="77"/>
      <c r="AK85" s="77"/>
      <c r="AL85" s="78"/>
      <c r="AM85" s="77"/>
      <c r="AN85" s="77"/>
      <c r="AO85" s="77"/>
      <c r="AP85" s="80"/>
      <c r="AQ85" s="79"/>
      <c r="AR85" s="77"/>
      <c r="AS85" s="77"/>
      <c r="AT85" s="78"/>
      <c r="AU85" s="77"/>
      <c r="AV85" s="77"/>
      <c r="AW85" s="77"/>
      <c r="AX85" s="76"/>
    </row>
    <row r="86" spans="1:50" ht="30" customHeight="1">
      <c r="A86" s="82" t="s">
        <v>163</v>
      </c>
      <c r="B86" s="81" t="s">
        <v>137</v>
      </c>
      <c r="C86" s="79">
        <v>1.3</v>
      </c>
      <c r="D86" s="77">
        <v>0.03</v>
      </c>
      <c r="E86" s="77">
        <v>0.03</v>
      </c>
      <c r="F86" s="78">
        <v>3.2765971234922013E-3</v>
      </c>
      <c r="G86" s="77">
        <v>1.2982437499999999</v>
      </c>
      <c r="H86" s="77">
        <v>3.0519467676703558</v>
      </c>
      <c r="I86" s="77">
        <v>2.8732807173129742</v>
      </c>
      <c r="J86" s="80">
        <v>1</v>
      </c>
      <c r="K86" s="79">
        <v>-1.7562500000001258E-3</v>
      </c>
      <c r="L86" s="77"/>
      <c r="M86" s="77"/>
      <c r="N86" s="78"/>
      <c r="O86" s="77"/>
      <c r="P86" s="77"/>
      <c r="Q86" s="77"/>
      <c r="R86" s="80"/>
      <c r="S86" s="79"/>
      <c r="T86" s="77"/>
      <c r="U86" s="77"/>
      <c r="V86" s="78"/>
      <c r="W86" s="77"/>
      <c r="X86" s="77"/>
      <c r="Y86" s="77"/>
      <c r="Z86" s="80"/>
      <c r="AA86" s="79"/>
      <c r="AB86" s="77"/>
      <c r="AC86" s="77"/>
      <c r="AD86" s="78"/>
      <c r="AE86" s="77"/>
      <c r="AF86" s="77"/>
      <c r="AG86" s="77"/>
      <c r="AH86" s="80"/>
      <c r="AI86" s="79"/>
      <c r="AJ86" s="77"/>
      <c r="AK86" s="77"/>
      <c r="AL86" s="78"/>
      <c r="AM86" s="77"/>
      <c r="AN86" s="77"/>
      <c r="AO86" s="77"/>
      <c r="AP86" s="80"/>
      <c r="AQ86" s="79"/>
      <c r="AR86" s="77"/>
      <c r="AS86" s="77"/>
      <c r="AT86" s="78"/>
      <c r="AU86" s="77"/>
      <c r="AV86" s="77"/>
      <c r="AW86" s="77"/>
      <c r="AX86" s="76"/>
    </row>
    <row r="87" spans="1:50" ht="30" customHeight="1">
      <c r="A87" s="82"/>
      <c r="B87" s="85" t="s">
        <v>142</v>
      </c>
      <c r="C87" s="84">
        <v>1</v>
      </c>
      <c r="D87" s="77">
        <v>0.04</v>
      </c>
      <c r="E87" s="77">
        <v>0.04</v>
      </c>
      <c r="F87" s="78">
        <v>3.4001363824639162E-3</v>
      </c>
      <c r="G87" s="77">
        <v>0.96431874999999989</v>
      </c>
      <c r="H87" s="77">
        <v>3.9214113298806317</v>
      </c>
      <c r="I87" s="77">
        <v>0.42338987952304186</v>
      </c>
      <c r="J87" s="80">
        <v>0.89798789495109643</v>
      </c>
      <c r="K87" s="79">
        <v>-3.5681250000000109E-2</v>
      </c>
      <c r="L87" s="77"/>
      <c r="M87" s="77"/>
      <c r="N87" s="78"/>
      <c r="O87" s="77"/>
      <c r="P87" s="77"/>
      <c r="Q87" s="77"/>
      <c r="R87" s="80"/>
      <c r="S87" s="79"/>
      <c r="T87" s="77"/>
      <c r="U87" s="77"/>
      <c r="V87" s="78"/>
      <c r="W87" s="77"/>
      <c r="X87" s="77"/>
      <c r="Y87" s="77"/>
      <c r="Z87" s="80"/>
      <c r="AA87" s="79"/>
      <c r="AB87" s="77"/>
      <c r="AC87" s="77"/>
      <c r="AD87" s="78"/>
      <c r="AE87" s="77"/>
      <c r="AF87" s="77"/>
      <c r="AG87" s="77"/>
      <c r="AH87" s="80"/>
      <c r="AI87" s="79"/>
      <c r="AJ87" s="77"/>
      <c r="AK87" s="77"/>
      <c r="AL87" s="78"/>
      <c r="AM87" s="77"/>
      <c r="AN87" s="77"/>
      <c r="AO87" s="77"/>
      <c r="AP87" s="80"/>
      <c r="AQ87" s="79"/>
      <c r="AR87" s="77"/>
      <c r="AS87" s="77"/>
      <c r="AT87" s="78"/>
      <c r="AU87" s="77"/>
      <c r="AV87" s="77"/>
      <c r="AW87" s="77"/>
      <c r="AX87" s="76"/>
    </row>
    <row r="88" spans="1:50" ht="30" customHeight="1">
      <c r="A88" s="82"/>
      <c r="B88" s="85" t="s">
        <v>143</v>
      </c>
      <c r="C88" s="84">
        <v>2.4</v>
      </c>
      <c r="D88" s="83">
        <v>0.04</v>
      </c>
      <c r="E88" s="83">
        <v>0.04</v>
      </c>
      <c r="F88" s="78">
        <v>3.3102464945738543E-3</v>
      </c>
      <c r="G88" s="77">
        <v>2.3792031250000005</v>
      </c>
      <c r="H88" s="77">
        <v>4.0278974255208189</v>
      </c>
      <c r="I88" s="77">
        <v>1.9337054437364261</v>
      </c>
      <c r="J88" s="80">
        <v>0.99999999670625617</v>
      </c>
      <c r="K88" s="79">
        <v>-2.0796874999999382E-2</v>
      </c>
      <c r="L88" s="77"/>
      <c r="M88" s="77"/>
      <c r="N88" s="78"/>
      <c r="O88" s="77"/>
      <c r="P88" s="77"/>
      <c r="Q88" s="77"/>
      <c r="R88" s="80"/>
      <c r="S88" s="79"/>
      <c r="T88" s="77"/>
      <c r="U88" s="77"/>
      <c r="V88" s="78"/>
      <c r="W88" s="77"/>
      <c r="X88" s="77"/>
      <c r="Y88" s="77"/>
      <c r="Z88" s="80"/>
      <c r="AA88" s="79"/>
      <c r="AB88" s="77"/>
      <c r="AC88" s="77"/>
      <c r="AD88" s="78"/>
      <c r="AE88" s="77"/>
      <c r="AF88" s="77"/>
      <c r="AG88" s="77"/>
      <c r="AH88" s="80"/>
      <c r="AI88" s="79"/>
      <c r="AJ88" s="77"/>
      <c r="AK88" s="77"/>
      <c r="AL88" s="78"/>
      <c r="AM88" s="77"/>
      <c r="AN88" s="77"/>
      <c r="AO88" s="77"/>
      <c r="AP88" s="80"/>
      <c r="AQ88" s="79"/>
      <c r="AR88" s="77"/>
      <c r="AS88" s="77"/>
      <c r="AT88" s="78"/>
      <c r="AU88" s="77"/>
      <c r="AV88" s="77"/>
      <c r="AW88" s="77"/>
      <c r="AX88" s="76"/>
    </row>
    <row r="89" spans="1:50" ht="30" customHeight="1">
      <c r="A89" s="82"/>
      <c r="B89" s="85" t="s">
        <v>138</v>
      </c>
      <c r="C89" s="84">
        <v>3.3</v>
      </c>
      <c r="D89" s="83">
        <v>0.05</v>
      </c>
      <c r="E89" s="83">
        <v>0.05</v>
      </c>
      <c r="F89" s="78">
        <v>3.3623568442964677E-3</v>
      </c>
      <c r="G89" s="77">
        <v>3.3167187500000006</v>
      </c>
      <c r="H89" s="77">
        <v>4.9568405254005414</v>
      </c>
      <c r="I89" s="77">
        <v>3.2993969747196519</v>
      </c>
      <c r="J89" s="80">
        <v>1</v>
      </c>
      <c r="K89" s="79">
        <v>1.6718750000000782E-2</v>
      </c>
      <c r="L89" s="77"/>
      <c r="M89" s="77"/>
      <c r="N89" s="78"/>
      <c r="O89" s="77"/>
      <c r="P89" s="77"/>
      <c r="Q89" s="77"/>
      <c r="R89" s="80"/>
      <c r="S89" s="79"/>
      <c r="T89" s="77"/>
      <c r="U89" s="77"/>
      <c r="V89" s="78"/>
      <c r="W89" s="77"/>
      <c r="X89" s="77"/>
      <c r="Y89" s="77"/>
      <c r="Z89" s="80"/>
      <c r="AA89" s="79"/>
      <c r="AB89" s="77"/>
      <c r="AC89" s="77"/>
      <c r="AD89" s="78"/>
      <c r="AE89" s="77"/>
      <c r="AF89" s="77"/>
      <c r="AG89" s="77"/>
      <c r="AH89" s="80"/>
      <c r="AI89" s="79"/>
      <c r="AJ89" s="77"/>
      <c r="AK89" s="77"/>
      <c r="AL89" s="78"/>
      <c r="AM89" s="77"/>
      <c r="AN89" s="77"/>
      <c r="AO89" s="77"/>
      <c r="AP89" s="80"/>
      <c r="AQ89" s="79"/>
      <c r="AR89" s="77"/>
      <c r="AS89" s="77"/>
      <c r="AT89" s="78"/>
      <c r="AU89" s="77"/>
      <c r="AV89" s="77"/>
      <c r="AW89" s="77"/>
      <c r="AX89" s="76"/>
    </row>
    <row r="90" spans="1:50" ht="30" customHeight="1">
      <c r="A90" s="82"/>
      <c r="B90" s="85" t="s">
        <v>140</v>
      </c>
      <c r="C90" s="84">
        <v>0.86</v>
      </c>
      <c r="D90" s="83">
        <v>0.05</v>
      </c>
      <c r="E90" s="83">
        <v>0.05</v>
      </c>
      <c r="F90" s="78">
        <v>6.9197211159540764E-3</v>
      </c>
      <c r="G90" s="77">
        <v>0.83620624999999993</v>
      </c>
      <c r="H90" s="77">
        <v>2.4085749103732077</v>
      </c>
      <c r="I90" s="77">
        <v>1.2623943248993557</v>
      </c>
      <c r="J90" s="80">
        <v>0.99992381754979265</v>
      </c>
      <c r="K90" s="79">
        <v>-2.3793750000000058E-2</v>
      </c>
      <c r="L90" s="77"/>
      <c r="M90" s="77"/>
      <c r="N90" s="78"/>
      <c r="O90" s="77"/>
      <c r="P90" s="77"/>
      <c r="Q90" s="77"/>
      <c r="R90" s="80"/>
      <c r="S90" s="79"/>
      <c r="T90" s="77"/>
      <c r="U90" s="77"/>
      <c r="V90" s="78"/>
      <c r="W90" s="77"/>
      <c r="X90" s="77"/>
      <c r="Y90" s="77"/>
      <c r="Z90" s="80"/>
      <c r="AA90" s="79"/>
      <c r="AB90" s="77"/>
      <c r="AC90" s="77"/>
      <c r="AD90" s="78"/>
      <c r="AE90" s="77"/>
      <c r="AF90" s="77"/>
      <c r="AG90" s="77"/>
      <c r="AH90" s="80"/>
      <c r="AI90" s="79"/>
      <c r="AJ90" s="77"/>
      <c r="AK90" s="77"/>
      <c r="AL90" s="78"/>
      <c r="AM90" s="77"/>
      <c r="AN90" s="77"/>
      <c r="AO90" s="77"/>
      <c r="AP90" s="80"/>
      <c r="AQ90" s="79"/>
      <c r="AR90" s="77"/>
      <c r="AS90" s="77"/>
      <c r="AT90" s="78"/>
      <c r="AU90" s="77"/>
      <c r="AV90" s="77"/>
      <c r="AW90" s="77"/>
      <c r="AX90" s="76"/>
    </row>
    <row r="91" spans="1:50" ht="30" customHeight="1">
      <c r="A91" s="82"/>
      <c r="B91" s="85" t="s">
        <v>139</v>
      </c>
      <c r="C91" s="84">
        <v>0.86</v>
      </c>
      <c r="D91" s="83">
        <v>0.05</v>
      </c>
      <c r="E91" s="83">
        <v>0.05</v>
      </c>
      <c r="F91" s="78">
        <v>7.563659268651525E-3</v>
      </c>
      <c r="G91" s="77">
        <v>0.82934062500000016</v>
      </c>
      <c r="H91" s="77">
        <v>2.2035189680930816</v>
      </c>
      <c r="I91" s="77">
        <v>0.85234868084551418</v>
      </c>
      <c r="J91" s="80">
        <v>0.99472173780820505</v>
      </c>
      <c r="K91" s="79">
        <v>-3.0659374999999822E-2</v>
      </c>
      <c r="L91" s="77"/>
      <c r="M91" s="77"/>
      <c r="N91" s="78"/>
      <c r="O91" s="77"/>
      <c r="P91" s="77"/>
      <c r="Q91" s="77"/>
      <c r="R91" s="80"/>
      <c r="S91" s="79"/>
      <c r="T91" s="77"/>
      <c r="U91" s="77"/>
      <c r="V91" s="78"/>
      <c r="W91" s="77"/>
      <c r="X91" s="77"/>
      <c r="Y91" s="77"/>
      <c r="Z91" s="80"/>
      <c r="AA91" s="79"/>
      <c r="AB91" s="77"/>
      <c r="AC91" s="77"/>
      <c r="AD91" s="78"/>
      <c r="AE91" s="77"/>
      <c r="AF91" s="77"/>
      <c r="AG91" s="77"/>
      <c r="AH91" s="80"/>
      <c r="AI91" s="79"/>
      <c r="AJ91" s="77"/>
      <c r="AK91" s="77"/>
      <c r="AL91" s="78"/>
      <c r="AM91" s="77"/>
      <c r="AN91" s="77"/>
      <c r="AO91" s="77"/>
      <c r="AP91" s="80"/>
      <c r="AQ91" s="79"/>
      <c r="AR91" s="77"/>
      <c r="AS91" s="77"/>
      <c r="AT91" s="78"/>
      <c r="AU91" s="77"/>
      <c r="AV91" s="77"/>
      <c r="AW91" s="77"/>
      <c r="AX91" s="76"/>
    </row>
    <row r="92" spans="1:50" ht="30" customHeight="1">
      <c r="A92" s="82"/>
      <c r="B92" s="85" t="s">
        <v>144</v>
      </c>
      <c r="C92" s="84">
        <v>2.9</v>
      </c>
      <c r="D92" s="83">
        <v>0.05</v>
      </c>
      <c r="E92" s="83">
        <v>0.05</v>
      </c>
      <c r="F92" s="78">
        <v>3.8563821734550071E-3</v>
      </c>
      <c r="G92" s="77">
        <v>2.8722156249999995</v>
      </c>
      <c r="H92" s="77">
        <v>4.3218399829222891</v>
      </c>
      <c r="I92" s="77">
        <v>1.9202475274121151</v>
      </c>
      <c r="J92" s="80">
        <v>0.99999999581276622</v>
      </c>
      <c r="K92" s="79">
        <v>-2.7784375000000416E-2</v>
      </c>
      <c r="L92" s="77"/>
      <c r="M92" s="77"/>
      <c r="N92" s="78"/>
      <c r="O92" s="77"/>
      <c r="P92" s="77"/>
      <c r="Q92" s="77"/>
      <c r="R92" s="80"/>
      <c r="S92" s="79"/>
      <c r="T92" s="77"/>
      <c r="U92" s="77"/>
      <c r="V92" s="78"/>
      <c r="W92" s="77"/>
      <c r="X92" s="77"/>
      <c r="Y92" s="77"/>
      <c r="Z92" s="80"/>
      <c r="AA92" s="79"/>
      <c r="AB92" s="77"/>
      <c r="AC92" s="77"/>
      <c r="AD92" s="78"/>
      <c r="AE92" s="77"/>
      <c r="AF92" s="77"/>
      <c r="AG92" s="77"/>
      <c r="AH92" s="80"/>
      <c r="AI92" s="79"/>
      <c r="AJ92" s="77"/>
      <c r="AK92" s="77"/>
      <c r="AL92" s="78"/>
      <c r="AM92" s="77"/>
      <c r="AN92" s="77"/>
      <c r="AO92" s="77"/>
      <c r="AP92" s="80"/>
      <c r="AQ92" s="79"/>
      <c r="AR92" s="77"/>
      <c r="AS92" s="77"/>
      <c r="AT92" s="78"/>
      <c r="AU92" s="77"/>
      <c r="AV92" s="77"/>
      <c r="AW92" s="77"/>
      <c r="AX92" s="76"/>
    </row>
    <row r="93" spans="1:50" ht="30" customHeight="1">
      <c r="A93" s="82"/>
      <c r="B93" s="85" t="s">
        <v>145</v>
      </c>
      <c r="C93" s="84">
        <v>0.3</v>
      </c>
      <c r="D93" s="83">
        <v>0.03</v>
      </c>
      <c r="E93" s="83">
        <v>0.03</v>
      </c>
      <c r="F93" s="78">
        <v>2.8011518368169955E-3</v>
      </c>
      <c r="G93" s="77">
        <v>0.31612499999999999</v>
      </c>
      <c r="H93" s="77">
        <v>3.5699599959433792</v>
      </c>
      <c r="I93" s="77">
        <v>1.6511064981238111</v>
      </c>
      <c r="J93" s="80">
        <v>0.99999963520981805</v>
      </c>
      <c r="K93" s="79">
        <v>1.6125E-2</v>
      </c>
      <c r="L93" s="77"/>
      <c r="M93" s="77"/>
      <c r="N93" s="78"/>
      <c r="O93" s="77"/>
      <c r="P93" s="77"/>
      <c r="Q93" s="77"/>
      <c r="R93" s="80"/>
      <c r="S93" s="79"/>
      <c r="T93" s="77"/>
      <c r="U93" s="77"/>
      <c r="V93" s="78"/>
      <c r="W93" s="77"/>
      <c r="X93" s="77"/>
      <c r="Y93" s="77"/>
      <c r="Z93" s="80"/>
      <c r="AA93" s="79"/>
      <c r="AB93" s="77"/>
      <c r="AC93" s="77"/>
      <c r="AD93" s="78"/>
      <c r="AE93" s="77"/>
      <c r="AF93" s="77"/>
      <c r="AG93" s="77"/>
      <c r="AH93" s="80"/>
      <c r="AI93" s="79"/>
      <c r="AJ93" s="77"/>
      <c r="AK93" s="77"/>
      <c r="AL93" s="78"/>
      <c r="AM93" s="77"/>
      <c r="AN93" s="77"/>
      <c r="AO93" s="77"/>
      <c r="AP93" s="80"/>
      <c r="AQ93" s="79"/>
      <c r="AR93" s="77"/>
      <c r="AS93" s="77"/>
      <c r="AT93" s="78"/>
      <c r="AU93" s="77"/>
      <c r="AV93" s="77"/>
      <c r="AW93" s="77"/>
      <c r="AX93" s="76"/>
    </row>
    <row r="94" spans="1:50" ht="30" customHeight="1">
      <c r="A94" s="82"/>
      <c r="B94" s="85" t="s">
        <v>146</v>
      </c>
      <c r="C94" s="84">
        <v>0.3</v>
      </c>
      <c r="D94" s="83">
        <v>0.03</v>
      </c>
      <c r="E94" s="83">
        <v>0.03</v>
      </c>
      <c r="F94" s="78">
        <v>3.4581702578470727E-3</v>
      </c>
      <c r="G94" s="77">
        <v>0.31410937500000002</v>
      </c>
      <c r="H94" s="77">
        <v>2.8917026214393551</v>
      </c>
      <c r="I94" s="77">
        <v>1.5316987322936537</v>
      </c>
      <c r="J94" s="80">
        <v>0.99999783725163904</v>
      </c>
      <c r="K94" s="79">
        <v>1.4109375000000035E-2</v>
      </c>
      <c r="L94" s="77"/>
      <c r="M94" s="77"/>
      <c r="N94" s="78"/>
      <c r="O94" s="77"/>
      <c r="P94" s="77"/>
      <c r="Q94" s="77"/>
      <c r="R94" s="80"/>
      <c r="S94" s="79"/>
      <c r="T94" s="77"/>
      <c r="U94" s="77"/>
      <c r="V94" s="78"/>
      <c r="W94" s="77"/>
      <c r="X94" s="77"/>
      <c r="Y94" s="77"/>
      <c r="Z94" s="80"/>
      <c r="AA94" s="79"/>
      <c r="AB94" s="77"/>
      <c r="AC94" s="77"/>
      <c r="AD94" s="78"/>
      <c r="AE94" s="77"/>
      <c r="AF94" s="77"/>
      <c r="AG94" s="77"/>
      <c r="AH94" s="80"/>
      <c r="AI94" s="79"/>
      <c r="AJ94" s="77"/>
      <c r="AK94" s="77"/>
      <c r="AL94" s="78"/>
      <c r="AM94" s="77"/>
      <c r="AN94" s="77"/>
      <c r="AO94" s="77"/>
      <c r="AP94" s="80"/>
      <c r="AQ94" s="79"/>
      <c r="AR94" s="77"/>
      <c r="AS94" s="77"/>
      <c r="AT94" s="78"/>
      <c r="AU94" s="77"/>
      <c r="AV94" s="77"/>
      <c r="AW94" s="77"/>
      <c r="AX94" s="76"/>
    </row>
    <row r="95" spans="1:50" ht="30" customHeight="1">
      <c r="A95" s="82"/>
      <c r="B95" s="85" t="s">
        <v>147</v>
      </c>
      <c r="C95" s="84">
        <v>0.25</v>
      </c>
      <c r="D95" s="83">
        <v>0.03</v>
      </c>
      <c r="E95" s="83">
        <v>0.03</v>
      </c>
      <c r="F95" s="78">
        <v>7.2071194359824564E-3</v>
      </c>
      <c r="G95" s="77">
        <v>0.231253125</v>
      </c>
      <c r="H95" s="77">
        <v>1.387516897537973</v>
      </c>
      <c r="I95" s="77">
        <v>0.52046336958689998</v>
      </c>
      <c r="J95" s="80">
        <v>0.94078413286993801</v>
      </c>
      <c r="K95" s="79">
        <v>-1.8746874999999996E-2</v>
      </c>
      <c r="L95" s="77"/>
      <c r="M95" s="77"/>
      <c r="N95" s="78"/>
      <c r="O95" s="77"/>
      <c r="P95" s="77"/>
      <c r="Q95" s="77"/>
      <c r="R95" s="80"/>
      <c r="S95" s="79"/>
      <c r="T95" s="77"/>
      <c r="U95" s="77"/>
      <c r="V95" s="78"/>
      <c r="W95" s="77"/>
      <c r="X95" s="77"/>
      <c r="Y95" s="77"/>
      <c r="Z95" s="80"/>
      <c r="AA95" s="79"/>
      <c r="AB95" s="77"/>
      <c r="AC95" s="77"/>
      <c r="AD95" s="78"/>
      <c r="AE95" s="77"/>
      <c r="AF95" s="77"/>
      <c r="AG95" s="77"/>
      <c r="AH95" s="80"/>
      <c r="AI95" s="79"/>
      <c r="AJ95" s="77"/>
      <c r="AK95" s="77"/>
      <c r="AL95" s="78"/>
      <c r="AM95" s="77"/>
      <c r="AN95" s="77"/>
      <c r="AO95" s="77"/>
      <c r="AP95" s="80"/>
      <c r="AQ95" s="79"/>
      <c r="AR95" s="77"/>
      <c r="AS95" s="77"/>
      <c r="AT95" s="78"/>
      <c r="AU95" s="77"/>
      <c r="AV95" s="77"/>
      <c r="AW95" s="77"/>
      <c r="AX95" s="76"/>
    </row>
    <row r="96" spans="1:50" ht="30" customHeight="1">
      <c r="A96" s="82"/>
      <c r="B96" s="85" t="s">
        <v>148</v>
      </c>
      <c r="C96" s="84">
        <v>0.25</v>
      </c>
      <c r="D96" s="83">
        <v>0.03</v>
      </c>
      <c r="E96" s="83">
        <v>0.03</v>
      </c>
      <c r="F96" s="78">
        <v>8.6697099702205647E-3</v>
      </c>
      <c r="G96" s="77">
        <v>0.23570000000000005</v>
      </c>
      <c r="H96" s="77">
        <v>1.1534411225229944</v>
      </c>
      <c r="I96" s="77">
        <v>0.6036341874537019</v>
      </c>
      <c r="J96" s="80">
        <v>0.96492187075952995</v>
      </c>
      <c r="K96" s="79">
        <v>-1.4299999999999952E-2</v>
      </c>
      <c r="L96" s="77"/>
      <c r="M96" s="77"/>
      <c r="N96" s="78"/>
      <c r="O96" s="77"/>
      <c r="P96" s="77"/>
      <c r="Q96" s="77"/>
      <c r="R96" s="80"/>
      <c r="S96" s="79"/>
      <c r="T96" s="77"/>
      <c r="U96" s="77"/>
      <c r="V96" s="78"/>
      <c r="W96" s="77"/>
      <c r="X96" s="77"/>
      <c r="Y96" s="77"/>
      <c r="Z96" s="80"/>
      <c r="AA96" s="79"/>
      <c r="AB96" s="77"/>
      <c r="AC96" s="77"/>
      <c r="AD96" s="78"/>
      <c r="AE96" s="77"/>
      <c r="AF96" s="77"/>
      <c r="AG96" s="77"/>
      <c r="AH96" s="80"/>
      <c r="AI96" s="79"/>
      <c r="AJ96" s="77"/>
      <c r="AK96" s="77"/>
      <c r="AL96" s="78"/>
      <c r="AM96" s="77"/>
      <c r="AN96" s="77"/>
      <c r="AO96" s="77"/>
      <c r="AP96" s="80"/>
      <c r="AQ96" s="79"/>
      <c r="AR96" s="77"/>
      <c r="AS96" s="77"/>
      <c r="AT96" s="78"/>
      <c r="AU96" s="77"/>
      <c r="AV96" s="77"/>
      <c r="AW96" s="77"/>
      <c r="AX96" s="76"/>
    </row>
    <row r="97" spans="1:50" ht="30" customHeight="1">
      <c r="A97" s="82"/>
      <c r="B97" s="85" t="s">
        <v>149</v>
      </c>
      <c r="C97" s="84">
        <v>0.25</v>
      </c>
      <c r="D97" s="83">
        <v>0.03</v>
      </c>
      <c r="E97" s="83">
        <v>0.03</v>
      </c>
      <c r="F97" s="78">
        <v>6.9287502946174364E-3</v>
      </c>
      <c r="G97" s="77">
        <v>0.23401250000000001</v>
      </c>
      <c r="H97" s="77">
        <v>1.4432617102348819</v>
      </c>
      <c r="I97" s="77">
        <v>0.67412349048887643</v>
      </c>
      <c r="J97" s="80">
        <v>0.97843095335684971</v>
      </c>
      <c r="K97" s="79">
        <v>-1.5987499999999988E-2</v>
      </c>
      <c r="L97" s="77"/>
      <c r="M97" s="77"/>
      <c r="N97" s="78"/>
      <c r="O97" s="77"/>
      <c r="P97" s="77"/>
      <c r="Q97" s="77"/>
      <c r="R97" s="80"/>
      <c r="S97" s="79"/>
      <c r="T97" s="77"/>
      <c r="U97" s="77"/>
      <c r="V97" s="78"/>
      <c r="W97" s="77"/>
      <c r="X97" s="77"/>
      <c r="Y97" s="77"/>
      <c r="Z97" s="80"/>
      <c r="AA97" s="79"/>
      <c r="AB97" s="77"/>
      <c r="AC97" s="77"/>
      <c r="AD97" s="78"/>
      <c r="AE97" s="77"/>
      <c r="AF97" s="77"/>
      <c r="AG97" s="77"/>
      <c r="AH97" s="80"/>
      <c r="AI97" s="79"/>
      <c r="AJ97" s="77"/>
      <c r="AK97" s="77"/>
      <c r="AL97" s="78"/>
      <c r="AM97" s="77"/>
      <c r="AN97" s="77"/>
      <c r="AO97" s="77"/>
      <c r="AP97" s="80"/>
      <c r="AQ97" s="79"/>
      <c r="AR97" s="77"/>
      <c r="AS97" s="77"/>
      <c r="AT97" s="78"/>
      <c r="AU97" s="77"/>
      <c r="AV97" s="77"/>
      <c r="AW97" s="77"/>
      <c r="AX97" s="76"/>
    </row>
    <row r="98" spans="1:50" ht="30" customHeight="1">
      <c r="A98" s="82"/>
      <c r="B98" s="85" t="s">
        <v>150</v>
      </c>
      <c r="C98" s="84">
        <v>0.56599999999999995</v>
      </c>
      <c r="D98" s="83">
        <v>0.03</v>
      </c>
      <c r="E98" s="83">
        <v>0.03</v>
      </c>
      <c r="F98" s="78">
        <v>8.0181422311349174E-3</v>
      </c>
      <c r="G98" s="77">
        <v>0.55653125000000003</v>
      </c>
      <c r="H98" s="77">
        <v>1.2471716903660577</v>
      </c>
      <c r="I98" s="77">
        <v>0.85353312559427463</v>
      </c>
      <c r="J98" s="80">
        <v>0.99477498391972341</v>
      </c>
      <c r="K98" s="79">
        <v>-9.4687499999999147E-3</v>
      </c>
      <c r="L98" s="77"/>
      <c r="M98" s="77"/>
      <c r="N98" s="78"/>
      <c r="O98" s="77"/>
      <c r="P98" s="77"/>
      <c r="Q98" s="77"/>
      <c r="R98" s="80"/>
      <c r="S98" s="79"/>
      <c r="T98" s="77"/>
      <c r="U98" s="77"/>
      <c r="V98" s="78"/>
      <c r="W98" s="77"/>
      <c r="X98" s="77"/>
      <c r="Y98" s="77"/>
      <c r="Z98" s="80"/>
      <c r="AA98" s="79"/>
      <c r="AB98" s="77"/>
      <c r="AC98" s="77"/>
      <c r="AD98" s="78"/>
      <c r="AE98" s="77"/>
      <c r="AF98" s="77"/>
      <c r="AG98" s="77"/>
      <c r="AH98" s="80"/>
      <c r="AI98" s="79"/>
      <c r="AJ98" s="77"/>
      <c r="AK98" s="77"/>
      <c r="AL98" s="78"/>
      <c r="AM98" s="77"/>
      <c r="AN98" s="77"/>
      <c r="AO98" s="77"/>
      <c r="AP98" s="80"/>
      <c r="AQ98" s="79"/>
      <c r="AR98" s="77"/>
      <c r="AS98" s="77"/>
      <c r="AT98" s="78"/>
      <c r="AU98" s="77"/>
      <c r="AV98" s="77"/>
      <c r="AW98" s="77"/>
      <c r="AX98" s="76"/>
    </row>
    <row r="99" spans="1:50" ht="30" customHeight="1">
      <c r="A99" s="82"/>
      <c r="B99" s="85" t="s">
        <v>151</v>
      </c>
      <c r="C99" s="84">
        <v>0.56599999999999995</v>
      </c>
      <c r="D99" s="83">
        <v>0.03</v>
      </c>
      <c r="E99" s="83">
        <v>0.03</v>
      </c>
      <c r="F99" s="78">
        <v>6.7062493423623269E-3</v>
      </c>
      <c r="G99" s="77">
        <v>0.55940937499999999</v>
      </c>
      <c r="H99" s="77">
        <v>1.4911464649594186</v>
      </c>
      <c r="I99" s="77">
        <v>1.1635602259386484</v>
      </c>
      <c r="J99" s="80">
        <v>0.99975907981810752</v>
      </c>
      <c r="K99" s="79">
        <v>-6.5906249999999611E-3</v>
      </c>
      <c r="L99" s="77"/>
      <c r="M99" s="77"/>
      <c r="N99" s="78"/>
      <c r="O99" s="77"/>
      <c r="P99" s="77"/>
      <c r="Q99" s="77"/>
      <c r="R99" s="80"/>
      <c r="S99" s="79"/>
      <c r="T99" s="77"/>
      <c r="U99" s="77"/>
      <c r="V99" s="78"/>
      <c r="W99" s="77"/>
      <c r="X99" s="77"/>
      <c r="Y99" s="77"/>
      <c r="Z99" s="80"/>
      <c r="AA99" s="79"/>
      <c r="AB99" s="77"/>
      <c r="AC99" s="77"/>
      <c r="AD99" s="78"/>
      <c r="AE99" s="77"/>
      <c r="AF99" s="77"/>
      <c r="AG99" s="77"/>
      <c r="AH99" s="80"/>
      <c r="AI99" s="79"/>
      <c r="AJ99" s="77"/>
      <c r="AK99" s="77"/>
      <c r="AL99" s="78"/>
      <c r="AM99" s="77"/>
      <c r="AN99" s="77"/>
      <c r="AO99" s="77"/>
      <c r="AP99" s="80"/>
      <c r="AQ99" s="79"/>
      <c r="AR99" s="77"/>
      <c r="AS99" s="77"/>
      <c r="AT99" s="78"/>
      <c r="AU99" s="77"/>
      <c r="AV99" s="77"/>
      <c r="AW99" s="77"/>
      <c r="AX99" s="76"/>
    </row>
    <row r="100" spans="1:50" ht="30" customHeight="1">
      <c r="A100" s="82"/>
      <c r="B100" s="85" t="s">
        <v>141</v>
      </c>
      <c r="C100" s="84">
        <v>1.25</v>
      </c>
      <c r="D100" s="83">
        <v>0.1</v>
      </c>
      <c r="E100" s="83">
        <v>0.1</v>
      </c>
      <c r="F100" s="78">
        <v>4.0857233240449873E-3</v>
      </c>
      <c r="G100" s="77">
        <v>1.2357093750000001</v>
      </c>
      <c r="H100" s="77">
        <v>8.1584901104689536</v>
      </c>
      <c r="I100" s="77">
        <v>6.9925908831197585</v>
      </c>
      <c r="J100" s="80">
        <v>1</v>
      </c>
      <c r="K100" s="79">
        <v>-1.429062499999989E-2</v>
      </c>
      <c r="L100" s="77"/>
      <c r="M100" s="77"/>
      <c r="N100" s="78"/>
      <c r="O100" s="77"/>
      <c r="P100" s="77"/>
      <c r="Q100" s="77"/>
      <c r="R100" s="80"/>
      <c r="S100" s="79"/>
      <c r="T100" s="77"/>
      <c r="U100" s="77"/>
      <c r="V100" s="78"/>
      <c r="W100" s="77"/>
      <c r="X100" s="77"/>
      <c r="Y100" s="77"/>
      <c r="Z100" s="80"/>
      <c r="AA100" s="79"/>
      <c r="AB100" s="77"/>
      <c r="AC100" s="77"/>
      <c r="AD100" s="78"/>
      <c r="AE100" s="77"/>
      <c r="AF100" s="77"/>
      <c r="AG100" s="77"/>
      <c r="AH100" s="80"/>
      <c r="AI100" s="79"/>
      <c r="AJ100" s="77"/>
      <c r="AK100" s="77"/>
      <c r="AL100" s="78"/>
      <c r="AM100" s="77"/>
      <c r="AN100" s="77"/>
      <c r="AO100" s="77"/>
      <c r="AP100" s="80"/>
      <c r="AQ100" s="79"/>
      <c r="AR100" s="77"/>
      <c r="AS100" s="77"/>
      <c r="AT100" s="78"/>
      <c r="AU100" s="77"/>
      <c r="AV100" s="77"/>
      <c r="AW100" s="77"/>
      <c r="AX100" s="76"/>
    </row>
    <row r="101" spans="1:50" ht="30" customHeight="1">
      <c r="A101" s="82"/>
      <c r="B101" s="85" t="s">
        <v>152</v>
      </c>
      <c r="C101" s="84">
        <v>1.25</v>
      </c>
      <c r="D101" s="83">
        <v>0.05</v>
      </c>
      <c r="E101" s="83">
        <v>0.05</v>
      </c>
      <c r="F101" s="78">
        <v>8.1873913437754617E-3</v>
      </c>
      <c r="G101" s="77">
        <v>1.214121875</v>
      </c>
      <c r="H101" s="77">
        <v>2.0356504247641301</v>
      </c>
      <c r="I101" s="77">
        <v>0.57494401684432106</v>
      </c>
      <c r="J101" s="80">
        <v>0.95772112803034926</v>
      </c>
      <c r="K101" s="79">
        <v>-3.5878124999999983E-2</v>
      </c>
      <c r="L101" s="77"/>
      <c r="M101" s="77"/>
      <c r="N101" s="78"/>
      <c r="O101" s="77"/>
      <c r="P101" s="77"/>
      <c r="Q101" s="77"/>
      <c r="R101" s="80"/>
      <c r="S101" s="79"/>
      <c r="T101" s="77"/>
      <c r="U101" s="77"/>
      <c r="V101" s="78"/>
      <c r="W101" s="77"/>
      <c r="X101" s="77"/>
      <c r="Y101" s="77"/>
      <c r="Z101" s="80"/>
      <c r="AA101" s="79"/>
      <c r="AB101" s="77"/>
      <c r="AC101" s="77"/>
      <c r="AD101" s="78"/>
      <c r="AE101" s="77"/>
      <c r="AF101" s="77"/>
      <c r="AG101" s="77"/>
      <c r="AH101" s="80"/>
      <c r="AI101" s="79"/>
      <c r="AJ101" s="77"/>
      <c r="AK101" s="77"/>
      <c r="AL101" s="78"/>
      <c r="AM101" s="77"/>
      <c r="AN101" s="77"/>
      <c r="AO101" s="77"/>
      <c r="AP101" s="80"/>
      <c r="AQ101" s="79"/>
      <c r="AR101" s="77"/>
      <c r="AS101" s="77"/>
      <c r="AT101" s="78"/>
      <c r="AU101" s="77"/>
      <c r="AV101" s="77"/>
      <c r="AW101" s="77"/>
      <c r="AX101" s="76"/>
    </row>
    <row r="102" spans="1:50" ht="30" customHeight="1">
      <c r="A102" s="82" t="s">
        <v>164</v>
      </c>
      <c r="B102" s="85" t="s">
        <v>137</v>
      </c>
      <c r="C102" s="84">
        <v>1.3</v>
      </c>
      <c r="D102" s="83">
        <v>0.03</v>
      </c>
      <c r="E102" s="83">
        <v>0.03</v>
      </c>
      <c r="F102" s="78">
        <v>3.3355369060486988E-3</v>
      </c>
      <c r="G102" s="77">
        <v>1.2811249999999998</v>
      </c>
      <c r="H102" s="77">
        <v>2.9980180947378816</v>
      </c>
      <c r="I102" s="77">
        <v>1.1117650434652797</v>
      </c>
      <c r="J102" s="80">
        <v>0.99957395543199101</v>
      </c>
      <c r="K102" s="79">
        <v>-1.8875000000000197E-2</v>
      </c>
      <c r="L102" s="77"/>
      <c r="M102" s="77"/>
      <c r="N102" s="78"/>
      <c r="O102" s="77"/>
      <c r="P102" s="77"/>
      <c r="Q102" s="77"/>
      <c r="R102" s="80"/>
      <c r="S102" s="79"/>
      <c r="T102" s="77"/>
      <c r="U102" s="77"/>
      <c r="V102" s="78"/>
      <c r="W102" s="77"/>
      <c r="X102" s="77"/>
      <c r="Y102" s="77"/>
      <c r="Z102" s="80"/>
      <c r="AA102" s="79"/>
      <c r="AB102" s="77"/>
      <c r="AC102" s="77"/>
      <c r="AD102" s="78"/>
      <c r="AE102" s="77"/>
      <c r="AF102" s="77"/>
      <c r="AG102" s="77"/>
      <c r="AH102" s="80"/>
      <c r="AI102" s="79"/>
      <c r="AJ102" s="77"/>
      <c r="AK102" s="77"/>
      <c r="AL102" s="78"/>
      <c r="AM102" s="77"/>
      <c r="AN102" s="77"/>
      <c r="AO102" s="77"/>
      <c r="AP102" s="80"/>
      <c r="AQ102" s="79"/>
      <c r="AR102" s="77"/>
      <c r="AS102" s="77"/>
      <c r="AT102" s="78"/>
      <c r="AU102" s="77"/>
      <c r="AV102" s="77"/>
      <c r="AW102" s="77"/>
      <c r="AX102" s="76"/>
    </row>
    <row r="103" spans="1:50" ht="30" customHeight="1">
      <c r="A103" s="82"/>
      <c r="B103" s="85" t="s">
        <v>142</v>
      </c>
      <c r="C103" s="84">
        <v>1</v>
      </c>
      <c r="D103" s="83">
        <v>0.04</v>
      </c>
      <c r="E103" s="83">
        <v>0.04</v>
      </c>
      <c r="F103" s="78">
        <v>4.1203064695755137E-3</v>
      </c>
      <c r="G103" s="77">
        <v>0.96877187499999995</v>
      </c>
      <c r="H103" s="77">
        <v>3.2360052417913918</v>
      </c>
      <c r="I103" s="77">
        <v>0.70964583700846973</v>
      </c>
      <c r="J103" s="80">
        <v>0.98337028461251053</v>
      </c>
      <c r="K103" s="79">
        <v>-3.1228125000000051E-2</v>
      </c>
      <c r="L103" s="77"/>
      <c r="M103" s="77"/>
      <c r="N103" s="78"/>
      <c r="O103" s="77"/>
      <c r="P103" s="77"/>
      <c r="Q103" s="77"/>
      <c r="R103" s="80"/>
      <c r="S103" s="79"/>
      <c r="T103" s="77"/>
      <c r="U103" s="77"/>
      <c r="V103" s="78"/>
      <c r="W103" s="77"/>
      <c r="X103" s="77"/>
      <c r="Y103" s="77"/>
      <c r="Z103" s="80"/>
      <c r="AA103" s="79"/>
      <c r="AB103" s="77"/>
      <c r="AC103" s="77"/>
      <c r="AD103" s="78"/>
      <c r="AE103" s="77"/>
      <c r="AF103" s="77"/>
      <c r="AG103" s="77"/>
      <c r="AH103" s="80"/>
      <c r="AI103" s="79"/>
      <c r="AJ103" s="77"/>
      <c r="AK103" s="77"/>
      <c r="AL103" s="78"/>
      <c r="AM103" s="77"/>
      <c r="AN103" s="77"/>
      <c r="AO103" s="77"/>
      <c r="AP103" s="80"/>
      <c r="AQ103" s="79"/>
      <c r="AR103" s="77"/>
      <c r="AS103" s="77"/>
      <c r="AT103" s="78"/>
      <c r="AU103" s="77"/>
      <c r="AV103" s="77"/>
      <c r="AW103" s="77"/>
      <c r="AX103" s="76"/>
    </row>
    <row r="104" spans="1:50" ht="30" customHeight="1">
      <c r="A104" s="82"/>
      <c r="B104" s="85" t="s">
        <v>143</v>
      </c>
      <c r="C104" s="84">
        <v>2.4</v>
      </c>
      <c r="D104" s="83">
        <v>0.04</v>
      </c>
      <c r="E104" s="83">
        <v>0.04</v>
      </c>
      <c r="F104" s="78">
        <v>4.0215034401769852E-3</v>
      </c>
      <c r="G104" s="77">
        <v>2.367709375</v>
      </c>
      <c r="H104" s="77">
        <v>3.3155096176534782</v>
      </c>
      <c r="I104" s="77">
        <v>0.63901267396494232</v>
      </c>
      <c r="J104" s="80">
        <v>0.9723834492802349</v>
      </c>
      <c r="K104" s="79">
        <v>-3.2290624999999906E-2</v>
      </c>
      <c r="L104" s="77"/>
      <c r="M104" s="77"/>
      <c r="N104" s="78"/>
      <c r="O104" s="77"/>
      <c r="P104" s="77"/>
      <c r="Q104" s="77"/>
      <c r="R104" s="80"/>
      <c r="S104" s="79"/>
      <c r="T104" s="77"/>
      <c r="U104" s="77"/>
      <c r="V104" s="78"/>
      <c r="W104" s="77"/>
      <c r="X104" s="77"/>
      <c r="Y104" s="77"/>
      <c r="Z104" s="80"/>
      <c r="AA104" s="79"/>
      <c r="AB104" s="77"/>
      <c r="AC104" s="77"/>
      <c r="AD104" s="78"/>
      <c r="AE104" s="77"/>
      <c r="AF104" s="77"/>
      <c r="AG104" s="77"/>
      <c r="AH104" s="80"/>
      <c r="AI104" s="79"/>
      <c r="AJ104" s="77"/>
      <c r="AK104" s="77"/>
      <c r="AL104" s="78"/>
      <c r="AM104" s="77"/>
      <c r="AN104" s="77"/>
      <c r="AO104" s="77"/>
      <c r="AP104" s="80"/>
      <c r="AQ104" s="79"/>
      <c r="AR104" s="77"/>
      <c r="AS104" s="77"/>
      <c r="AT104" s="78"/>
      <c r="AU104" s="77"/>
      <c r="AV104" s="77"/>
      <c r="AW104" s="77"/>
      <c r="AX104" s="76"/>
    </row>
    <row r="105" spans="1:50" ht="30" customHeight="1">
      <c r="A105" s="82"/>
      <c r="B105" s="85" t="s">
        <v>138</v>
      </c>
      <c r="C105" s="84">
        <v>3.3</v>
      </c>
      <c r="D105" s="83">
        <v>0.05</v>
      </c>
      <c r="E105" s="83">
        <v>0.05</v>
      </c>
      <c r="F105" s="78">
        <v>3.5372442344562072E-3</v>
      </c>
      <c r="G105" s="77">
        <v>3.2750625000000002</v>
      </c>
      <c r="H105" s="77">
        <v>4.7117658725165272</v>
      </c>
      <c r="I105" s="77">
        <v>2.3617726435989375</v>
      </c>
      <c r="J105" s="80">
        <v>0.99999999999930633</v>
      </c>
      <c r="K105" s="79">
        <v>-2.4937499999999613E-2</v>
      </c>
      <c r="L105" s="77"/>
      <c r="M105" s="77"/>
      <c r="N105" s="78"/>
      <c r="O105" s="77"/>
      <c r="P105" s="77"/>
      <c r="Q105" s="77"/>
      <c r="R105" s="80"/>
      <c r="S105" s="79"/>
      <c r="T105" s="77"/>
      <c r="U105" s="77"/>
      <c r="V105" s="78"/>
      <c r="W105" s="77"/>
      <c r="X105" s="77"/>
      <c r="Y105" s="77"/>
      <c r="Z105" s="80"/>
      <c r="AA105" s="79"/>
      <c r="AB105" s="77"/>
      <c r="AC105" s="77"/>
      <c r="AD105" s="78"/>
      <c r="AE105" s="77"/>
      <c r="AF105" s="77"/>
      <c r="AG105" s="77"/>
      <c r="AH105" s="80"/>
      <c r="AI105" s="79"/>
      <c r="AJ105" s="77"/>
      <c r="AK105" s="77"/>
      <c r="AL105" s="78"/>
      <c r="AM105" s="77"/>
      <c r="AN105" s="77"/>
      <c r="AO105" s="77"/>
      <c r="AP105" s="80"/>
      <c r="AQ105" s="79"/>
      <c r="AR105" s="77"/>
      <c r="AS105" s="77"/>
      <c r="AT105" s="78"/>
      <c r="AU105" s="77"/>
      <c r="AV105" s="77"/>
      <c r="AW105" s="77"/>
      <c r="AX105" s="76"/>
    </row>
    <row r="106" spans="1:50" ht="30" customHeight="1">
      <c r="A106" s="82"/>
      <c r="B106" s="85" t="s">
        <v>140</v>
      </c>
      <c r="C106" s="84">
        <v>0.86</v>
      </c>
      <c r="D106" s="83">
        <v>0.05</v>
      </c>
      <c r="E106" s="83">
        <v>0.05</v>
      </c>
      <c r="F106" s="78">
        <v>6.8883228681213774E-3</v>
      </c>
      <c r="G106" s="77">
        <v>0.82734375000000027</v>
      </c>
      <c r="H106" s="77">
        <v>2.4195536396527979</v>
      </c>
      <c r="I106" s="77">
        <v>0.83928266875457924</v>
      </c>
      <c r="J106" s="80">
        <v>0.99409628691115182</v>
      </c>
      <c r="K106" s="79">
        <v>-3.265624999999972E-2</v>
      </c>
      <c r="L106" s="77"/>
      <c r="M106" s="77"/>
      <c r="N106" s="78"/>
      <c r="O106" s="77"/>
      <c r="P106" s="77"/>
      <c r="Q106" s="77"/>
      <c r="R106" s="80"/>
      <c r="S106" s="79"/>
      <c r="T106" s="77"/>
      <c r="U106" s="77"/>
      <c r="V106" s="78"/>
      <c r="W106" s="77"/>
      <c r="X106" s="77"/>
      <c r="Y106" s="77"/>
      <c r="Z106" s="80"/>
      <c r="AA106" s="79"/>
      <c r="AB106" s="77"/>
      <c r="AC106" s="77"/>
      <c r="AD106" s="78"/>
      <c r="AE106" s="77"/>
      <c r="AF106" s="77"/>
      <c r="AG106" s="77"/>
      <c r="AH106" s="80"/>
      <c r="AI106" s="79"/>
      <c r="AJ106" s="77"/>
      <c r="AK106" s="77"/>
      <c r="AL106" s="78"/>
      <c r="AM106" s="77"/>
      <c r="AN106" s="77"/>
      <c r="AO106" s="77"/>
      <c r="AP106" s="80"/>
      <c r="AQ106" s="79"/>
      <c r="AR106" s="77"/>
      <c r="AS106" s="77"/>
      <c r="AT106" s="78"/>
      <c r="AU106" s="77"/>
      <c r="AV106" s="77"/>
      <c r="AW106" s="77"/>
      <c r="AX106" s="76"/>
    </row>
    <row r="107" spans="1:50" ht="30" customHeight="1">
      <c r="A107" s="82"/>
      <c r="B107" s="85" t="s">
        <v>139</v>
      </c>
      <c r="C107" s="84">
        <v>0.86</v>
      </c>
      <c r="D107" s="83">
        <v>0.05</v>
      </c>
      <c r="E107" s="83">
        <v>0.05</v>
      </c>
      <c r="F107" s="78">
        <v>6.3091259746906421E-3</v>
      </c>
      <c r="G107" s="77">
        <v>0.82594062499999976</v>
      </c>
      <c r="H107" s="77">
        <v>2.6416759997384434</v>
      </c>
      <c r="I107" s="77">
        <v>0.84219932966660216</v>
      </c>
      <c r="J107" s="80">
        <v>0.99424133729431041</v>
      </c>
      <c r="K107" s="79">
        <v>-3.4059375000000225E-2</v>
      </c>
      <c r="L107" s="77"/>
      <c r="M107" s="77"/>
      <c r="N107" s="78"/>
      <c r="O107" s="77"/>
      <c r="P107" s="77"/>
      <c r="Q107" s="77"/>
      <c r="R107" s="80"/>
      <c r="S107" s="79"/>
      <c r="T107" s="77"/>
      <c r="U107" s="77"/>
      <c r="V107" s="78"/>
      <c r="W107" s="77"/>
      <c r="X107" s="77"/>
      <c r="Y107" s="77"/>
      <c r="Z107" s="80"/>
      <c r="AA107" s="79"/>
      <c r="AB107" s="77"/>
      <c r="AC107" s="77"/>
      <c r="AD107" s="78"/>
      <c r="AE107" s="77"/>
      <c r="AF107" s="77"/>
      <c r="AG107" s="77"/>
      <c r="AH107" s="80"/>
      <c r="AI107" s="79"/>
      <c r="AJ107" s="77"/>
      <c r="AK107" s="77"/>
      <c r="AL107" s="78"/>
      <c r="AM107" s="77"/>
      <c r="AN107" s="77"/>
      <c r="AO107" s="77"/>
      <c r="AP107" s="80"/>
      <c r="AQ107" s="79"/>
      <c r="AR107" s="77"/>
      <c r="AS107" s="77"/>
      <c r="AT107" s="78"/>
      <c r="AU107" s="77"/>
      <c r="AV107" s="77"/>
      <c r="AW107" s="77"/>
      <c r="AX107" s="76"/>
    </row>
    <row r="108" spans="1:50" ht="30" customHeight="1">
      <c r="A108" s="82"/>
      <c r="B108" s="85" t="s">
        <v>144</v>
      </c>
      <c r="C108" s="84">
        <v>2.9</v>
      </c>
      <c r="D108" s="83">
        <v>0.05</v>
      </c>
      <c r="E108" s="83">
        <v>0.05</v>
      </c>
      <c r="F108" s="78">
        <v>3.7198451558997877E-3</v>
      </c>
      <c r="G108" s="77">
        <v>2.8571218749999998</v>
      </c>
      <c r="H108" s="77">
        <v>4.480473236965997</v>
      </c>
      <c r="I108" s="77">
        <v>0.63818740669032159</v>
      </c>
      <c r="J108" s="80">
        <v>0.9722258214595898</v>
      </c>
      <c r="K108" s="79">
        <v>-4.28781250000001E-2</v>
      </c>
      <c r="L108" s="77"/>
      <c r="M108" s="77"/>
      <c r="N108" s="78"/>
      <c r="O108" s="77"/>
      <c r="P108" s="77"/>
      <c r="Q108" s="77"/>
      <c r="R108" s="80"/>
      <c r="S108" s="79"/>
      <c r="T108" s="77"/>
      <c r="U108" s="77"/>
      <c r="V108" s="78"/>
      <c r="W108" s="77"/>
      <c r="X108" s="77"/>
      <c r="Y108" s="77"/>
      <c r="Z108" s="80"/>
      <c r="AA108" s="79"/>
      <c r="AB108" s="77"/>
      <c r="AC108" s="77"/>
      <c r="AD108" s="78"/>
      <c r="AE108" s="77"/>
      <c r="AF108" s="77"/>
      <c r="AG108" s="77"/>
      <c r="AH108" s="80"/>
      <c r="AI108" s="79"/>
      <c r="AJ108" s="77"/>
      <c r="AK108" s="77"/>
      <c r="AL108" s="78"/>
      <c r="AM108" s="77"/>
      <c r="AN108" s="77"/>
      <c r="AO108" s="77"/>
      <c r="AP108" s="80"/>
      <c r="AQ108" s="79"/>
      <c r="AR108" s="77"/>
      <c r="AS108" s="77"/>
      <c r="AT108" s="78"/>
      <c r="AU108" s="77"/>
      <c r="AV108" s="77"/>
      <c r="AW108" s="77"/>
      <c r="AX108" s="76"/>
    </row>
    <row r="109" spans="1:50" ht="30" customHeight="1">
      <c r="A109" s="82"/>
      <c r="B109" s="85" t="s">
        <v>145</v>
      </c>
      <c r="C109" s="84">
        <v>0.3</v>
      </c>
      <c r="D109" s="83">
        <v>0.03</v>
      </c>
      <c r="E109" s="83">
        <v>0.03</v>
      </c>
      <c r="F109" s="78">
        <v>3.3593154064481654E-3</v>
      </c>
      <c r="G109" s="77">
        <v>0.31401249999999997</v>
      </c>
      <c r="H109" s="77">
        <v>2.9767969928650078</v>
      </c>
      <c r="I109" s="77">
        <v>1.5863847307809773</v>
      </c>
      <c r="J109" s="80">
        <v>0.9999990279705756</v>
      </c>
      <c r="K109" s="79">
        <v>1.4012499999999983E-2</v>
      </c>
      <c r="L109" s="77"/>
      <c r="M109" s="77"/>
      <c r="N109" s="78"/>
      <c r="O109" s="77"/>
      <c r="P109" s="77"/>
      <c r="Q109" s="77"/>
      <c r="R109" s="80"/>
      <c r="S109" s="79"/>
      <c r="T109" s="77"/>
      <c r="U109" s="77"/>
      <c r="V109" s="78"/>
      <c r="W109" s="77"/>
      <c r="X109" s="77"/>
      <c r="Y109" s="77"/>
      <c r="Z109" s="80"/>
      <c r="AA109" s="79"/>
      <c r="AB109" s="77"/>
      <c r="AC109" s="77"/>
      <c r="AD109" s="78"/>
      <c r="AE109" s="77"/>
      <c r="AF109" s="77"/>
      <c r="AG109" s="77"/>
      <c r="AH109" s="80"/>
      <c r="AI109" s="79"/>
      <c r="AJ109" s="77"/>
      <c r="AK109" s="77"/>
      <c r="AL109" s="78"/>
      <c r="AM109" s="77"/>
      <c r="AN109" s="77"/>
      <c r="AO109" s="77"/>
      <c r="AP109" s="80"/>
      <c r="AQ109" s="79"/>
      <c r="AR109" s="77"/>
      <c r="AS109" s="77"/>
      <c r="AT109" s="78"/>
      <c r="AU109" s="77"/>
      <c r="AV109" s="77"/>
      <c r="AW109" s="77"/>
      <c r="AX109" s="76"/>
    </row>
    <row r="110" spans="1:50" ht="30" customHeight="1">
      <c r="A110" s="82"/>
      <c r="B110" s="85" t="s">
        <v>146</v>
      </c>
      <c r="C110" s="84">
        <v>0.3</v>
      </c>
      <c r="D110" s="83">
        <v>0.03</v>
      </c>
      <c r="E110" s="83">
        <v>0.03</v>
      </c>
      <c r="F110" s="78">
        <v>5.386407624453817E-3</v>
      </c>
      <c r="G110" s="77">
        <v>0.31208749999999996</v>
      </c>
      <c r="H110" s="77">
        <v>1.8565249229562335</v>
      </c>
      <c r="I110" s="77">
        <v>1.1085000894151187</v>
      </c>
      <c r="J110" s="80">
        <v>0.9995586999235645</v>
      </c>
      <c r="K110" s="79">
        <v>1.2087499999999973E-2</v>
      </c>
      <c r="L110" s="77"/>
      <c r="M110" s="77"/>
      <c r="N110" s="78"/>
      <c r="O110" s="77"/>
      <c r="P110" s="77"/>
      <c r="Q110" s="77"/>
      <c r="R110" s="80"/>
      <c r="S110" s="79"/>
      <c r="T110" s="77"/>
      <c r="U110" s="77"/>
      <c r="V110" s="78"/>
      <c r="W110" s="77"/>
      <c r="X110" s="77"/>
      <c r="Y110" s="77"/>
      <c r="Z110" s="80"/>
      <c r="AA110" s="79"/>
      <c r="AB110" s="77"/>
      <c r="AC110" s="77"/>
      <c r="AD110" s="78"/>
      <c r="AE110" s="77"/>
      <c r="AF110" s="77"/>
      <c r="AG110" s="77"/>
      <c r="AH110" s="80"/>
      <c r="AI110" s="79"/>
      <c r="AJ110" s="77"/>
      <c r="AK110" s="77"/>
      <c r="AL110" s="78"/>
      <c r="AM110" s="77"/>
      <c r="AN110" s="77"/>
      <c r="AO110" s="77"/>
      <c r="AP110" s="80"/>
      <c r="AQ110" s="79"/>
      <c r="AR110" s="77"/>
      <c r="AS110" s="77"/>
      <c r="AT110" s="78"/>
      <c r="AU110" s="77"/>
      <c r="AV110" s="77"/>
      <c r="AW110" s="77"/>
      <c r="AX110" s="76"/>
    </row>
    <row r="111" spans="1:50" ht="30" customHeight="1">
      <c r="A111" s="82"/>
      <c r="B111" s="85" t="s">
        <v>147</v>
      </c>
      <c r="C111" s="84">
        <v>0.25</v>
      </c>
      <c r="D111" s="83">
        <v>0.03</v>
      </c>
      <c r="E111" s="83">
        <v>0.03</v>
      </c>
      <c r="F111" s="78">
        <v>4.4688708251204683E-3</v>
      </c>
      <c r="G111" s="77">
        <v>0.22928750000000001</v>
      </c>
      <c r="H111" s="77">
        <v>2.2377017352544382</v>
      </c>
      <c r="I111" s="77">
        <v>0.69275516220585309</v>
      </c>
      <c r="J111" s="80">
        <v>0.98115754328809179</v>
      </c>
      <c r="K111" s="79">
        <v>-2.0712499999999995E-2</v>
      </c>
      <c r="L111" s="77"/>
      <c r="M111" s="77"/>
      <c r="N111" s="78"/>
      <c r="O111" s="77"/>
      <c r="P111" s="77"/>
      <c r="Q111" s="77"/>
      <c r="R111" s="80"/>
      <c r="S111" s="79"/>
      <c r="T111" s="77"/>
      <c r="U111" s="77"/>
      <c r="V111" s="78"/>
      <c r="W111" s="77"/>
      <c r="X111" s="77"/>
      <c r="Y111" s="77"/>
      <c r="Z111" s="80"/>
      <c r="AA111" s="79"/>
      <c r="AB111" s="77"/>
      <c r="AC111" s="77"/>
      <c r="AD111" s="78"/>
      <c r="AE111" s="77"/>
      <c r="AF111" s="77"/>
      <c r="AG111" s="77"/>
      <c r="AH111" s="80"/>
      <c r="AI111" s="79"/>
      <c r="AJ111" s="77"/>
      <c r="AK111" s="77"/>
      <c r="AL111" s="78"/>
      <c r="AM111" s="77"/>
      <c r="AN111" s="77"/>
      <c r="AO111" s="77"/>
      <c r="AP111" s="80"/>
      <c r="AQ111" s="79"/>
      <c r="AR111" s="77"/>
      <c r="AS111" s="77"/>
      <c r="AT111" s="78"/>
      <c r="AU111" s="77"/>
      <c r="AV111" s="77"/>
      <c r="AW111" s="77"/>
      <c r="AX111" s="76"/>
    </row>
    <row r="112" spans="1:50" ht="30" customHeight="1">
      <c r="A112" s="82"/>
      <c r="B112" s="85" t="s">
        <v>148</v>
      </c>
      <c r="C112" s="84">
        <v>0.25</v>
      </c>
      <c r="D112" s="83">
        <v>0.03</v>
      </c>
      <c r="E112" s="83">
        <v>0.03</v>
      </c>
      <c r="F112" s="78">
        <v>6.8794428459699967E-3</v>
      </c>
      <c r="G112" s="77">
        <v>0.25173124999999996</v>
      </c>
      <c r="H112" s="77">
        <v>1.4536060875711818</v>
      </c>
      <c r="I112" s="77">
        <v>1.3697209029342641</v>
      </c>
      <c r="J112" s="80">
        <v>0.99997815566504622</v>
      </c>
      <c r="K112" s="79">
        <v>1.731249999999962E-3</v>
      </c>
      <c r="L112" s="77"/>
      <c r="M112" s="77"/>
      <c r="N112" s="78"/>
      <c r="O112" s="77"/>
      <c r="P112" s="77"/>
      <c r="Q112" s="77"/>
      <c r="R112" s="80"/>
      <c r="S112" s="79"/>
      <c r="T112" s="77"/>
      <c r="U112" s="77"/>
      <c r="V112" s="78"/>
      <c r="W112" s="77"/>
      <c r="X112" s="77"/>
      <c r="Y112" s="77"/>
      <c r="Z112" s="80"/>
      <c r="AA112" s="79"/>
      <c r="AB112" s="77"/>
      <c r="AC112" s="77"/>
      <c r="AD112" s="78"/>
      <c r="AE112" s="77"/>
      <c r="AF112" s="77"/>
      <c r="AG112" s="77"/>
      <c r="AH112" s="80"/>
      <c r="AI112" s="79"/>
      <c r="AJ112" s="77"/>
      <c r="AK112" s="77"/>
      <c r="AL112" s="78"/>
      <c r="AM112" s="77"/>
      <c r="AN112" s="77"/>
      <c r="AO112" s="77"/>
      <c r="AP112" s="80"/>
      <c r="AQ112" s="79"/>
      <c r="AR112" s="77"/>
      <c r="AS112" s="77"/>
      <c r="AT112" s="78"/>
      <c r="AU112" s="77"/>
      <c r="AV112" s="77"/>
      <c r="AW112" s="77"/>
      <c r="AX112" s="76"/>
    </row>
    <row r="113" spans="1:50" ht="30" customHeight="1">
      <c r="A113" s="82"/>
      <c r="B113" s="85" t="s">
        <v>149</v>
      </c>
      <c r="C113" s="84">
        <v>0.25</v>
      </c>
      <c r="D113" s="83">
        <v>0.03</v>
      </c>
      <c r="E113" s="83">
        <v>0.03</v>
      </c>
      <c r="F113" s="78">
        <v>7.1202962685279376E-3</v>
      </c>
      <c r="G113" s="77">
        <v>0.23915937499999995</v>
      </c>
      <c r="H113" s="77">
        <v>1.4044359423919619</v>
      </c>
      <c r="I113" s="77">
        <v>0.89693716279219715</v>
      </c>
      <c r="J113" s="80">
        <v>0.99643607218707808</v>
      </c>
      <c r="K113" s="79">
        <v>-1.0840625000000048E-2</v>
      </c>
      <c r="L113" s="77"/>
      <c r="M113" s="77"/>
      <c r="N113" s="78"/>
      <c r="O113" s="77"/>
      <c r="P113" s="77"/>
      <c r="Q113" s="77"/>
      <c r="R113" s="80"/>
      <c r="S113" s="79"/>
      <c r="T113" s="77"/>
      <c r="U113" s="77"/>
      <c r="V113" s="78"/>
      <c r="W113" s="77"/>
      <c r="X113" s="77"/>
      <c r="Y113" s="77"/>
      <c r="Z113" s="80"/>
      <c r="AA113" s="79"/>
      <c r="AB113" s="77"/>
      <c r="AC113" s="77"/>
      <c r="AD113" s="78"/>
      <c r="AE113" s="77"/>
      <c r="AF113" s="77"/>
      <c r="AG113" s="77"/>
      <c r="AH113" s="80"/>
      <c r="AI113" s="79"/>
      <c r="AJ113" s="77"/>
      <c r="AK113" s="77"/>
      <c r="AL113" s="78"/>
      <c r="AM113" s="77"/>
      <c r="AN113" s="77"/>
      <c r="AO113" s="77"/>
      <c r="AP113" s="80"/>
      <c r="AQ113" s="79"/>
      <c r="AR113" s="77"/>
      <c r="AS113" s="77"/>
      <c r="AT113" s="78"/>
      <c r="AU113" s="77"/>
      <c r="AV113" s="77"/>
      <c r="AW113" s="77"/>
      <c r="AX113" s="76"/>
    </row>
    <row r="114" spans="1:50" ht="30" customHeight="1">
      <c r="A114" s="82"/>
      <c r="B114" s="85" t="s">
        <v>150</v>
      </c>
      <c r="C114" s="84">
        <v>0.56599999999999995</v>
      </c>
      <c r="D114" s="83">
        <v>0.03</v>
      </c>
      <c r="E114" s="83">
        <v>0.03</v>
      </c>
      <c r="F114" s="78">
        <v>4.6746355731688361E-3</v>
      </c>
      <c r="G114" s="77">
        <v>0.54725625000000011</v>
      </c>
      <c r="H114" s="77">
        <v>2.1392041889633808</v>
      </c>
      <c r="I114" s="77">
        <v>0.802647238400648</v>
      </c>
      <c r="J114" s="80">
        <v>0.99197862900128275</v>
      </c>
      <c r="K114" s="79">
        <v>-1.8743749999999837E-2</v>
      </c>
      <c r="L114" s="77"/>
      <c r="M114" s="77"/>
      <c r="N114" s="78"/>
      <c r="O114" s="77"/>
      <c r="P114" s="77"/>
      <c r="Q114" s="77"/>
      <c r="R114" s="80"/>
      <c r="S114" s="79"/>
      <c r="T114" s="77"/>
      <c r="U114" s="77"/>
      <c r="V114" s="78"/>
      <c r="W114" s="77"/>
      <c r="X114" s="77"/>
      <c r="Y114" s="77"/>
      <c r="Z114" s="80"/>
      <c r="AA114" s="79"/>
      <c r="AB114" s="77"/>
      <c r="AC114" s="77"/>
      <c r="AD114" s="78"/>
      <c r="AE114" s="77"/>
      <c r="AF114" s="77"/>
      <c r="AG114" s="77"/>
      <c r="AH114" s="80"/>
      <c r="AI114" s="79"/>
      <c r="AJ114" s="77"/>
      <c r="AK114" s="77"/>
      <c r="AL114" s="78"/>
      <c r="AM114" s="77"/>
      <c r="AN114" s="77"/>
      <c r="AO114" s="77"/>
      <c r="AP114" s="80"/>
      <c r="AQ114" s="79"/>
      <c r="AR114" s="77"/>
      <c r="AS114" s="77"/>
      <c r="AT114" s="78"/>
      <c r="AU114" s="77"/>
      <c r="AV114" s="77"/>
      <c r="AW114" s="77"/>
      <c r="AX114" s="76"/>
    </row>
    <row r="115" spans="1:50" ht="30" customHeight="1">
      <c r="A115" s="82"/>
      <c r="B115" s="85" t="s">
        <v>151</v>
      </c>
      <c r="C115" s="84">
        <v>0.56599999999999995</v>
      </c>
      <c r="D115" s="83">
        <v>0.03</v>
      </c>
      <c r="E115" s="83">
        <v>0.03</v>
      </c>
      <c r="F115" s="78">
        <v>6.8564301995021303E-3</v>
      </c>
      <c r="G115" s="77">
        <v>0.56159687500000011</v>
      </c>
      <c r="H115" s="77">
        <v>1.4584849125607877</v>
      </c>
      <c r="I115" s="77">
        <v>1.244421866540155</v>
      </c>
      <c r="J115" s="80">
        <v>0.99990523190747438</v>
      </c>
      <c r="K115" s="79">
        <v>-4.4031249999998412E-3</v>
      </c>
      <c r="L115" s="77"/>
      <c r="M115" s="77"/>
      <c r="N115" s="78"/>
      <c r="O115" s="77"/>
      <c r="P115" s="77"/>
      <c r="Q115" s="77"/>
      <c r="R115" s="80"/>
      <c r="S115" s="79"/>
      <c r="T115" s="77"/>
      <c r="U115" s="77"/>
      <c r="V115" s="78"/>
      <c r="W115" s="77"/>
      <c r="X115" s="77"/>
      <c r="Y115" s="77"/>
      <c r="Z115" s="80"/>
      <c r="AA115" s="79"/>
      <c r="AB115" s="77"/>
      <c r="AC115" s="77"/>
      <c r="AD115" s="78"/>
      <c r="AE115" s="77"/>
      <c r="AF115" s="77"/>
      <c r="AG115" s="77"/>
      <c r="AH115" s="80"/>
      <c r="AI115" s="79"/>
      <c r="AJ115" s="77"/>
      <c r="AK115" s="77"/>
      <c r="AL115" s="78"/>
      <c r="AM115" s="77"/>
      <c r="AN115" s="77"/>
      <c r="AO115" s="77"/>
      <c r="AP115" s="80"/>
      <c r="AQ115" s="79"/>
      <c r="AR115" s="77"/>
      <c r="AS115" s="77"/>
      <c r="AT115" s="78"/>
      <c r="AU115" s="77"/>
      <c r="AV115" s="77"/>
      <c r="AW115" s="77"/>
      <c r="AX115" s="76"/>
    </row>
    <row r="116" spans="1:50" ht="30" customHeight="1">
      <c r="A116" s="82"/>
      <c r="B116" s="85" t="s">
        <v>141</v>
      </c>
      <c r="C116" s="84">
        <v>1.25</v>
      </c>
      <c r="D116" s="83">
        <v>0.1</v>
      </c>
      <c r="E116" s="83">
        <v>0.1</v>
      </c>
      <c r="F116" s="78">
        <v>7.7996691410390688E-3</v>
      </c>
      <c r="G116" s="77">
        <v>1.2416499999999999</v>
      </c>
      <c r="H116" s="77">
        <v>4.2736855539096252</v>
      </c>
      <c r="I116" s="77">
        <v>3.9168328101581684</v>
      </c>
      <c r="J116" s="80">
        <v>1</v>
      </c>
      <c r="K116" s="79">
        <v>-8.3500000000000796E-3</v>
      </c>
      <c r="L116" s="77"/>
      <c r="M116" s="77"/>
      <c r="N116" s="78"/>
      <c r="O116" s="77"/>
      <c r="P116" s="77"/>
      <c r="Q116" s="77"/>
      <c r="R116" s="80"/>
      <c r="S116" s="79"/>
      <c r="T116" s="77"/>
      <c r="U116" s="77"/>
      <c r="V116" s="78"/>
      <c r="W116" s="77"/>
      <c r="X116" s="77"/>
      <c r="Y116" s="77"/>
      <c r="Z116" s="80"/>
      <c r="AA116" s="79"/>
      <c r="AB116" s="77"/>
      <c r="AC116" s="77"/>
      <c r="AD116" s="78"/>
      <c r="AE116" s="77"/>
      <c r="AF116" s="77"/>
      <c r="AG116" s="77"/>
      <c r="AH116" s="80"/>
      <c r="AI116" s="79"/>
      <c r="AJ116" s="77"/>
      <c r="AK116" s="77"/>
      <c r="AL116" s="78"/>
      <c r="AM116" s="77"/>
      <c r="AN116" s="77"/>
      <c r="AO116" s="77"/>
      <c r="AP116" s="80"/>
      <c r="AQ116" s="79"/>
      <c r="AR116" s="77"/>
      <c r="AS116" s="77"/>
      <c r="AT116" s="78"/>
      <c r="AU116" s="77"/>
      <c r="AV116" s="77"/>
      <c r="AW116" s="77"/>
      <c r="AX116" s="76"/>
    </row>
    <row r="117" spans="1:50" ht="30" customHeight="1">
      <c r="A117" s="82"/>
      <c r="B117" s="85" t="s">
        <v>152</v>
      </c>
      <c r="C117" s="84">
        <v>1.25</v>
      </c>
      <c r="D117" s="83">
        <v>0.05</v>
      </c>
      <c r="E117" s="83">
        <v>0.05</v>
      </c>
      <c r="F117" s="78">
        <v>4.6007318842731697E-3</v>
      </c>
      <c r="G117" s="77">
        <v>1.21066875</v>
      </c>
      <c r="H117" s="77">
        <v>3.622612029107561</v>
      </c>
      <c r="I117" s="77">
        <v>0.77297484171082553</v>
      </c>
      <c r="J117" s="80">
        <v>0.98980043546472551</v>
      </c>
      <c r="K117" s="79">
        <v>-3.933125000000004E-2</v>
      </c>
      <c r="L117" s="77"/>
      <c r="M117" s="77"/>
      <c r="N117" s="78"/>
      <c r="O117" s="77"/>
      <c r="P117" s="77"/>
      <c r="Q117" s="77"/>
      <c r="R117" s="80"/>
      <c r="S117" s="79"/>
      <c r="T117" s="77"/>
      <c r="U117" s="77"/>
      <c r="V117" s="78"/>
      <c r="W117" s="77"/>
      <c r="X117" s="77"/>
      <c r="Y117" s="77"/>
      <c r="Z117" s="80"/>
      <c r="AA117" s="79"/>
      <c r="AB117" s="77"/>
      <c r="AC117" s="77"/>
      <c r="AD117" s="78"/>
      <c r="AE117" s="77"/>
      <c r="AF117" s="77"/>
      <c r="AG117" s="77"/>
      <c r="AH117" s="80"/>
      <c r="AI117" s="79"/>
      <c r="AJ117" s="77"/>
      <c r="AK117" s="77"/>
      <c r="AL117" s="78"/>
      <c r="AM117" s="77"/>
      <c r="AN117" s="77"/>
      <c r="AO117" s="77"/>
      <c r="AP117" s="80"/>
      <c r="AQ117" s="79"/>
      <c r="AR117" s="77"/>
      <c r="AS117" s="77"/>
      <c r="AT117" s="78"/>
      <c r="AU117" s="77"/>
      <c r="AV117" s="77"/>
      <c r="AW117" s="77"/>
      <c r="AX117" s="76"/>
    </row>
    <row r="118" spans="1:50" ht="30" customHeight="1">
      <c r="A118" s="82" t="s">
        <v>165</v>
      </c>
      <c r="B118" s="85" t="s">
        <v>137</v>
      </c>
      <c r="C118" s="84">
        <v>1.3</v>
      </c>
      <c r="D118" s="83">
        <v>0.03</v>
      </c>
      <c r="E118" s="83">
        <v>0.03</v>
      </c>
      <c r="F118" s="78">
        <v>3.5068237052923012E-3</v>
      </c>
      <c r="G118" s="77">
        <v>1.296234375</v>
      </c>
      <c r="H118" s="77">
        <v>2.8515833245077506</v>
      </c>
      <c r="I118" s="77">
        <v>2.4936502092961015</v>
      </c>
      <c r="J118" s="80">
        <v>0.99999999999996314</v>
      </c>
      <c r="K118" s="79">
        <v>-3.7656249999999947E-3</v>
      </c>
      <c r="L118" s="77"/>
      <c r="M118" s="77"/>
      <c r="N118" s="78"/>
      <c r="O118" s="77"/>
      <c r="P118" s="77"/>
      <c r="Q118" s="77"/>
      <c r="R118" s="80"/>
      <c r="S118" s="79"/>
      <c r="T118" s="77"/>
      <c r="U118" s="77"/>
      <c r="V118" s="78"/>
      <c r="W118" s="77"/>
      <c r="X118" s="77"/>
      <c r="Y118" s="77"/>
      <c r="Z118" s="80"/>
      <c r="AA118" s="79"/>
      <c r="AB118" s="77"/>
      <c r="AC118" s="77"/>
      <c r="AD118" s="78"/>
      <c r="AE118" s="77"/>
      <c r="AF118" s="77"/>
      <c r="AG118" s="77"/>
      <c r="AH118" s="80"/>
      <c r="AI118" s="79"/>
      <c r="AJ118" s="77"/>
      <c r="AK118" s="77"/>
      <c r="AL118" s="78"/>
      <c r="AM118" s="77"/>
      <c r="AN118" s="77"/>
      <c r="AO118" s="77"/>
      <c r="AP118" s="80"/>
      <c r="AQ118" s="79"/>
      <c r="AR118" s="77"/>
      <c r="AS118" s="77"/>
      <c r="AT118" s="78"/>
      <c r="AU118" s="77"/>
      <c r="AV118" s="77"/>
      <c r="AW118" s="77"/>
      <c r="AX118" s="76"/>
    </row>
    <row r="119" spans="1:50" ht="30" customHeight="1">
      <c r="A119" s="82"/>
      <c r="B119" s="85" t="s">
        <v>142</v>
      </c>
      <c r="C119" s="84">
        <v>1</v>
      </c>
      <c r="D119" s="83">
        <v>0.04</v>
      </c>
      <c r="E119" s="83">
        <v>0.04</v>
      </c>
      <c r="F119" s="78">
        <v>2.9689912890060077E-3</v>
      </c>
      <c r="G119" s="77">
        <v>0.9823843750000002</v>
      </c>
      <c r="H119" s="77">
        <v>4.4908630694558989</v>
      </c>
      <c r="I119" s="77">
        <v>2.5131290755088211</v>
      </c>
      <c r="J119" s="80">
        <v>0.99999999999997635</v>
      </c>
      <c r="K119" s="79">
        <v>-1.7615624999999802E-2</v>
      </c>
      <c r="L119" s="77"/>
      <c r="M119" s="77"/>
      <c r="N119" s="78"/>
      <c r="O119" s="77"/>
      <c r="P119" s="77"/>
      <c r="Q119" s="77"/>
      <c r="R119" s="80"/>
      <c r="S119" s="79"/>
      <c r="T119" s="77"/>
      <c r="U119" s="77"/>
      <c r="V119" s="78"/>
      <c r="W119" s="77"/>
      <c r="X119" s="77"/>
      <c r="Y119" s="77"/>
      <c r="Z119" s="80"/>
      <c r="AA119" s="79"/>
      <c r="AB119" s="77"/>
      <c r="AC119" s="77"/>
      <c r="AD119" s="78"/>
      <c r="AE119" s="77"/>
      <c r="AF119" s="77"/>
      <c r="AG119" s="77"/>
      <c r="AH119" s="80"/>
      <c r="AI119" s="79"/>
      <c r="AJ119" s="77"/>
      <c r="AK119" s="77"/>
      <c r="AL119" s="78"/>
      <c r="AM119" s="77"/>
      <c r="AN119" s="77"/>
      <c r="AO119" s="77"/>
      <c r="AP119" s="80"/>
      <c r="AQ119" s="79"/>
      <c r="AR119" s="77"/>
      <c r="AS119" s="77"/>
      <c r="AT119" s="78"/>
      <c r="AU119" s="77"/>
      <c r="AV119" s="77"/>
      <c r="AW119" s="77"/>
      <c r="AX119" s="76"/>
    </row>
    <row r="120" spans="1:50" ht="30" customHeight="1">
      <c r="A120" s="82"/>
      <c r="B120" s="85" t="s">
        <v>143</v>
      </c>
      <c r="C120" s="84">
        <v>2.4</v>
      </c>
      <c r="D120" s="83">
        <v>0.04</v>
      </c>
      <c r="E120" s="83">
        <v>0.04</v>
      </c>
      <c r="F120" s="78">
        <v>4.4140526602088224E-3</v>
      </c>
      <c r="G120" s="77">
        <v>2.3726531250000007</v>
      </c>
      <c r="H120" s="77">
        <v>3.0206557011720303</v>
      </c>
      <c r="I120" s="77">
        <v>0.95551835422236975</v>
      </c>
      <c r="J120" s="80">
        <v>0.99792517017481452</v>
      </c>
      <c r="K120" s="79">
        <v>-2.7346874999999216E-2</v>
      </c>
      <c r="L120" s="77"/>
      <c r="M120" s="77"/>
      <c r="N120" s="78"/>
      <c r="O120" s="77"/>
      <c r="P120" s="77"/>
      <c r="Q120" s="77"/>
      <c r="R120" s="80"/>
      <c r="S120" s="79"/>
      <c r="T120" s="77"/>
      <c r="U120" s="77"/>
      <c r="V120" s="78"/>
      <c r="W120" s="77"/>
      <c r="X120" s="77"/>
      <c r="Y120" s="77"/>
      <c r="Z120" s="80"/>
      <c r="AA120" s="79"/>
      <c r="AB120" s="77"/>
      <c r="AC120" s="77"/>
      <c r="AD120" s="78"/>
      <c r="AE120" s="77"/>
      <c r="AF120" s="77"/>
      <c r="AG120" s="77"/>
      <c r="AH120" s="80"/>
      <c r="AI120" s="79"/>
      <c r="AJ120" s="77"/>
      <c r="AK120" s="77"/>
      <c r="AL120" s="78"/>
      <c r="AM120" s="77"/>
      <c r="AN120" s="77"/>
      <c r="AO120" s="77"/>
      <c r="AP120" s="80"/>
      <c r="AQ120" s="79"/>
      <c r="AR120" s="77"/>
      <c r="AS120" s="77"/>
      <c r="AT120" s="78"/>
      <c r="AU120" s="77"/>
      <c r="AV120" s="77"/>
      <c r="AW120" s="77"/>
      <c r="AX120" s="76"/>
    </row>
    <row r="121" spans="1:50" ht="30" customHeight="1">
      <c r="A121" s="82"/>
      <c r="B121" s="85" t="s">
        <v>138</v>
      </c>
      <c r="C121" s="84">
        <v>3.3</v>
      </c>
      <c r="D121" s="83">
        <v>0.05</v>
      </c>
      <c r="E121" s="83">
        <v>0.05</v>
      </c>
      <c r="F121" s="78">
        <v>3.860469635478482E-3</v>
      </c>
      <c r="G121" s="77">
        <v>3.2780000000000005</v>
      </c>
      <c r="H121" s="77">
        <v>4.3172640223605532</v>
      </c>
      <c r="I121" s="77">
        <v>2.4176678525219586</v>
      </c>
      <c r="J121" s="80">
        <v>0.99999999999979616</v>
      </c>
      <c r="K121" s="79">
        <v>-2.1999999999999353E-2</v>
      </c>
      <c r="L121" s="77"/>
      <c r="M121" s="77"/>
      <c r="N121" s="78"/>
      <c r="O121" s="77"/>
      <c r="P121" s="77"/>
      <c r="Q121" s="77"/>
      <c r="R121" s="80"/>
      <c r="S121" s="79"/>
      <c r="T121" s="77"/>
      <c r="U121" s="77"/>
      <c r="V121" s="78"/>
      <c r="W121" s="77"/>
      <c r="X121" s="77"/>
      <c r="Y121" s="77"/>
      <c r="Z121" s="80"/>
      <c r="AA121" s="79"/>
      <c r="AB121" s="77"/>
      <c r="AC121" s="77"/>
      <c r="AD121" s="78"/>
      <c r="AE121" s="77"/>
      <c r="AF121" s="77"/>
      <c r="AG121" s="77"/>
      <c r="AH121" s="80"/>
      <c r="AI121" s="79"/>
      <c r="AJ121" s="77"/>
      <c r="AK121" s="77"/>
      <c r="AL121" s="78"/>
      <c r="AM121" s="77"/>
      <c r="AN121" s="77"/>
      <c r="AO121" s="77"/>
      <c r="AP121" s="80"/>
      <c r="AQ121" s="79"/>
      <c r="AR121" s="77"/>
      <c r="AS121" s="77"/>
      <c r="AT121" s="78"/>
      <c r="AU121" s="77"/>
      <c r="AV121" s="77"/>
      <c r="AW121" s="77"/>
      <c r="AX121" s="76"/>
    </row>
    <row r="122" spans="1:50" ht="30" customHeight="1">
      <c r="A122" s="82"/>
      <c r="B122" s="85" t="s">
        <v>140</v>
      </c>
      <c r="C122" s="84">
        <v>0.86</v>
      </c>
      <c r="D122" s="83">
        <v>0.05</v>
      </c>
      <c r="E122" s="83">
        <v>0.05</v>
      </c>
      <c r="F122" s="78">
        <v>8.3474836849776312E-3</v>
      </c>
      <c r="G122" s="77">
        <v>0.84028749999999997</v>
      </c>
      <c r="H122" s="77">
        <v>1.9966096725244866</v>
      </c>
      <c r="I122" s="77">
        <v>1.2094463091317076</v>
      </c>
      <c r="J122" s="80">
        <v>0.99985737468525393</v>
      </c>
      <c r="K122" s="79">
        <v>-1.9712500000000022E-2</v>
      </c>
      <c r="L122" s="77"/>
      <c r="M122" s="77"/>
      <c r="N122" s="78"/>
      <c r="O122" s="77"/>
      <c r="P122" s="77"/>
      <c r="Q122" s="77"/>
      <c r="R122" s="80"/>
      <c r="S122" s="79"/>
      <c r="T122" s="77"/>
      <c r="U122" s="77"/>
      <c r="V122" s="78"/>
      <c r="W122" s="77"/>
      <c r="X122" s="77"/>
      <c r="Y122" s="77"/>
      <c r="Z122" s="80"/>
      <c r="AA122" s="79"/>
      <c r="AB122" s="77"/>
      <c r="AC122" s="77"/>
      <c r="AD122" s="78"/>
      <c r="AE122" s="77"/>
      <c r="AF122" s="77"/>
      <c r="AG122" s="77"/>
      <c r="AH122" s="80"/>
      <c r="AI122" s="79"/>
      <c r="AJ122" s="77"/>
      <c r="AK122" s="77"/>
      <c r="AL122" s="78"/>
      <c r="AM122" s="77"/>
      <c r="AN122" s="77"/>
      <c r="AO122" s="77"/>
      <c r="AP122" s="80"/>
      <c r="AQ122" s="79"/>
      <c r="AR122" s="77"/>
      <c r="AS122" s="77"/>
      <c r="AT122" s="78"/>
      <c r="AU122" s="77"/>
      <c r="AV122" s="77"/>
      <c r="AW122" s="77"/>
      <c r="AX122" s="76"/>
    </row>
    <row r="123" spans="1:50" ht="30" customHeight="1">
      <c r="A123" s="82"/>
      <c r="B123" s="85" t="s">
        <v>139</v>
      </c>
      <c r="C123" s="84">
        <v>0.86</v>
      </c>
      <c r="D123" s="83">
        <v>0.05</v>
      </c>
      <c r="E123" s="83">
        <v>0.05</v>
      </c>
      <c r="F123" s="78">
        <v>8.0261712792106359E-3</v>
      </c>
      <c r="G123" s="77">
        <v>0.8328843749999999</v>
      </c>
      <c r="H123" s="77">
        <v>2.0765401194261366</v>
      </c>
      <c r="I123" s="77">
        <v>0.95040645590984729</v>
      </c>
      <c r="J123" s="80">
        <v>0.99782240442795767</v>
      </c>
      <c r="K123" s="79">
        <v>-2.7115625000000088E-2</v>
      </c>
      <c r="L123" s="77"/>
      <c r="M123" s="77"/>
      <c r="N123" s="78"/>
      <c r="O123" s="77"/>
      <c r="P123" s="77"/>
      <c r="Q123" s="77"/>
      <c r="R123" s="80"/>
      <c r="S123" s="79"/>
      <c r="T123" s="77"/>
      <c r="U123" s="77"/>
      <c r="V123" s="78"/>
      <c r="W123" s="77"/>
      <c r="X123" s="77"/>
      <c r="Y123" s="77"/>
      <c r="Z123" s="80"/>
      <c r="AA123" s="79"/>
      <c r="AB123" s="77"/>
      <c r="AC123" s="77"/>
      <c r="AD123" s="78"/>
      <c r="AE123" s="77"/>
      <c r="AF123" s="77"/>
      <c r="AG123" s="77"/>
      <c r="AH123" s="80"/>
      <c r="AI123" s="79"/>
      <c r="AJ123" s="77"/>
      <c r="AK123" s="77"/>
      <c r="AL123" s="78"/>
      <c r="AM123" s="77"/>
      <c r="AN123" s="77"/>
      <c r="AO123" s="77"/>
      <c r="AP123" s="80"/>
      <c r="AQ123" s="79"/>
      <c r="AR123" s="77"/>
      <c r="AS123" s="77"/>
      <c r="AT123" s="78"/>
      <c r="AU123" s="77"/>
      <c r="AV123" s="77"/>
      <c r="AW123" s="77"/>
      <c r="AX123" s="76"/>
    </row>
    <row r="124" spans="1:50" ht="30" customHeight="1">
      <c r="A124" s="82"/>
      <c r="B124" s="85" t="s">
        <v>144</v>
      </c>
      <c r="C124" s="84">
        <v>2.9</v>
      </c>
      <c r="D124" s="83">
        <v>0.05</v>
      </c>
      <c r="E124" s="83">
        <v>0.05</v>
      </c>
      <c r="F124" s="78">
        <v>2.8566966457442469E-3</v>
      </c>
      <c r="G124" s="77">
        <v>2.8624156249999997</v>
      </c>
      <c r="H124" s="77">
        <v>5.8342444905712032</v>
      </c>
      <c r="I124" s="77">
        <v>1.4487158350649199</v>
      </c>
      <c r="J124" s="80">
        <v>0.99999307252918035</v>
      </c>
      <c r="K124" s="79">
        <v>-3.7584375000000225E-2</v>
      </c>
      <c r="L124" s="77"/>
      <c r="M124" s="77"/>
      <c r="N124" s="78"/>
      <c r="O124" s="77"/>
      <c r="P124" s="77"/>
      <c r="Q124" s="77"/>
      <c r="R124" s="80"/>
      <c r="S124" s="79"/>
      <c r="T124" s="77"/>
      <c r="U124" s="77"/>
      <c r="V124" s="78"/>
      <c r="W124" s="77"/>
      <c r="X124" s="77"/>
      <c r="Y124" s="77"/>
      <c r="Z124" s="80"/>
      <c r="AA124" s="79"/>
      <c r="AB124" s="77"/>
      <c r="AC124" s="77"/>
      <c r="AD124" s="78"/>
      <c r="AE124" s="77"/>
      <c r="AF124" s="77"/>
      <c r="AG124" s="77"/>
      <c r="AH124" s="80"/>
      <c r="AI124" s="79"/>
      <c r="AJ124" s="77"/>
      <c r="AK124" s="77"/>
      <c r="AL124" s="78"/>
      <c r="AM124" s="77"/>
      <c r="AN124" s="77"/>
      <c r="AO124" s="77"/>
      <c r="AP124" s="80"/>
      <c r="AQ124" s="79"/>
      <c r="AR124" s="77"/>
      <c r="AS124" s="77"/>
      <c r="AT124" s="78"/>
      <c r="AU124" s="77"/>
      <c r="AV124" s="77"/>
      <c r="AW124" s="77"/>
      <c r="AX124" s="76"/>
    </row>
    <row r="125" spans="1:50" ht="30" customHeight="1">
      <c r="A125" s="82"/>
      <c r="B125" s="85" t="s">
        <v>145</v>
      </c>
      <c r="C125" s="84">
        <v>0.3</v>
      </c>
      <c r="D125" s="83">
        <v>0.03</v>
      </c>
      <c r="E125" s="83">
        <v>0.03</v>
      </c>
      <c r="F125" s="78">
        <v>3.3789433354994482E-3</v>
      </c>
      <c r="G125" s="77">
        <v>0.31516250000000007</v>
      </c>
      <c r="H125" s="77">
        <v>2.9595050899312789</v>
      </c>
      <c r="I125" s="77">
        <v>1.4637218923951691</v>
      </c>
      <c r="J125" s="80">
        <v>0.99999436277055531</v>
      </c>
      <c r="K125" s="79">
        <v>1.5162500000000079E-2</v>
      </c>
      <c r="L125" s="77"/>
      <c r="M125" s="77"/>
      <c r="N125" s="78"/>
      <c r="O125" s="77"/>
      <c r="P125" s="77"/>
      <c r="Q125" s="77"/>
      <c r="R125" s="80"/>
      <c r="S125" s="79"/>
      <c r="T125" s="77"/>
      <c r="U125" s="77"/>
      <c r="V125" s="78"/>
      <c r="W125" s="77"/>
      <c r="X125" s="77"/>
      <c r="Y125" s="77"/>
      <c r="Z125" s="80"/>
      <c r="AA125" s="79"/>
      <c r="AB125" s="77"/>
      <c r="AC125" s="77"/>
      <c r="AD125" s="78"/>
      <c r="AE125" s="77"/>
      <c r="AF125" s="77"/>
      <c r="AG125" s="77"/>
      <c r="AH125" s="80"/>
      <c r="AI125" s="79"/>
      <c r="AJ125" s="77"/>
      <c r="AK125" s="77"/>
      <c r="AL125" s="78"/>
      <c r="AM125" s="77"/>
      <c r="AN125" s="77"/>
      <c r="AO125" s="77"/>
      <c r="AP125" s="80"/>
      <c r="AQ125" s="79"/>
      <c r="AR125" s="77"/>
      <c r="AS125" s="77"/>
      <c r="AT125" s="78"/>
      <c r="AU125" s="77"/>
      <c r="AV125" s="77"/>
      <c r="AW125" s="77"/>
      <c r="AX125" s="76"/>
    </row>
    <row r="126" spans="1:50" ht="30" customHeight="1">
      <c r="A126" s="82"/>
      <c r="B126" s="85" t="s">
        <v>146</v>
      </c>
      <c r="C126" s="84">
        <v>0.3</v>
      </c>
      <c r="D126" s="83">
        <v>0.03</v>
      </c>
      <c r="E126" s="83">
        <v>0.03</v>
      </c>
      <c r="F126" s="78">
        <v>6.5076498099073494E-3</v>
      </c>
      <c r="G126" s="77">
        <v>0.29947812500000009</v>
      </c>
      <c r="H126" s="77">
        <v>1.5366530609523321</v>
      </c>
      <c r="I126" s="77">
        <v>1.5099217004128542</v>
      </c>
      <c r="J126" s="80">
        <v>0.99999568253257265</v>
      </c>
      <c r="K126" s="79">
        <v>-5.2187499999989395E-4</v>
      </c>
      <c r="L126" s="77"/>
      <c r="M126" s="77"/>
      <c r="N126" s="78"/>
      <c r="O126" s="77"/>
      <c r="P126" s="77"/>
      <c r="Q126" s="77"/>
      <c r="R126" s="80"/>
      <c r="S126" s="79"/>
      <c r="T126" s="77"/>
      <c r="U126" s="77"/>
      <c r="V126" s="78"/>
      <c r="W126" s="77"/>
      <c r="X126" s="77"/>
      <c r="Y126" s="77"/>
      <c r="Z126" s="80"/>
      <c r="AA126" s="79"/>
      <c r="AB126" s="77"/>
      <c r="AC126" s="77"/>
      <c r="AD126" s="78"/>
      <c r="AE126" s="77"/>
      <c r="AF126" s="77"/>
      <c r="AG126" s="77"/>
      <c r="AH126" s="80"/>
      <c r="AI126" s="79"/>
      <c r="AJ126" s="77"/>
      <c r="AK126" s="77"/>
      <c r="AL126" s="78"/>
      <c r="AM126" s="77"/>
      <c r="AN126" s="77"/>
      <c r="AO126" s="77"/>
      <c r="AP126" s="80"/>
      <c r="AQ126" s="79"/>
      <c r="AR126" s="77"/>
      <c r="AS126" s="77"/>
      <c r="AT126" s="78"/>
      <c r="AU126" s="77"/>
      <c r="AV126" s="77"/>
      <c r="AW126" s="77"/>
      <c r="AX126" s="76"/>
    </row>
    <row r="127" spans="1:50" ht="30" customHeight="1">
      <c r="A127" s="82"/>
      <c r="B127" s="85" t="s">
        <v>147</v>
      </c>
      <c r="C127" s="84">
        <v>0.25</v>
      </c>
      <c r="D127" s="83">
        <v>0.03</v>
      </c>
      <c r="E127" s="83">
        <v>0.03</v>
      </c>
      <c r="F127" s="78">
        <v>5.920201030533965E-3</v>
      </c>
      <c r="G127" s="77">
        <v>0.23206562500000008</v>
      </c>
      <c r="H127" s="77">
        <v>1.6891318298862001</v>
      </c>
      <c r="I127" s="77">
        <v>0.67934770783236031</v>
      </c>
      <c r="J127" s="80">
        <v>0.97922718979888346</v>
      </c>
      <c r="K127" s="79">
        <v>-1.7934374999999919E-2</v>
      </c>
      <c r="L127" s="77"/>
      <c r="M127" s="77"/>
      <c r="N127" s="78"/>
      <c r="O127" s="77"/>
      <c r="P127" s="77"/>
      <c r="Q127" s="77"/>
      <c r="R127" s="80"/>
      <c r="S127" s="79"/>
      <c r="T127" s="77"/>
      <c r="U127" s="77"/>
      <c r="V127" s="78"/>
      <c r="W127" s="77"/>
      <c r="X127" s="77"/>
      <c r="Y127" s="77"/>
      <c r="Z127" s="80"/>
      <c r="AA127" s="79"/>
      <c r="AB127" s="77"/>
      <c r="AC127" s="77"/>
      <c r="AD127" s="78"/>
      <c r="AE127" s="77"/>
      <c r="AF127" s="77"/>
      <c r="AG127" s="77"/>
      <c r="AH127" s="80"/>
      <c r="AI127" s="79"/>
      <c r="AJ127" s="77"/>
      <c r="AK127" s="77"/>
      <c r="AL127" s="78"/>
      <c r="AM127" s="77"/>
      <c r="AN127" s="77"/>
      <c r="AO127" s="77"/>
      <c r="AP127" s="80"/>
      <c r="AQ127" s="79"/>
      <c r="AR127" s="77"/>
      <c r="AS127" s="77"/>
      <c r="AT127" s="78"/>
      <c r="AU127" s="77"/>
      <c r="AV127" s="77"/>
      <c r="AW127" s="77"/>
      <c r="AX127" s="76"/>
    </row>
    <row r="128" spans="1:50" ht="30" customHeight="1">
      <c r="A128" s="82"/>
      <c r="B128" s="85" t="s">
        <v>148</v>
      </c>
      <c r="C128" s="84">
        <v>0.25</v>
      </c>
      <c r="D128" s="83">
        <v>0.03</v>
      </c>
      <c r="E128" s="83">
        <v>0.03</v>
      </c>
      <c r="F128" s="78">
        <v>9.1971221831403903E-3</v>
      </c>
      <c r="G128" s="77">
        <v>0.24854374999999998</v>
      </c>
      <c r="H128" s="77">
        <v>1.0872966348464306</v>
      </c>
      <c r="I128" s="77">
        <v>1.0345174440299256</v>
      </c>
      <c r="J128" s="80">
        <v>0.99873109396698867</v>
      </c>
      <c r="K128" s="79">
        <v>-1.45625000000002E-3</v>
      </c>
      <c r="L128" s="77"/>
      <c r="M128" s="77"/>
      <c r="N128" s="78"/>
      <c r="O128" s="77"/>
      <c r="P128" s="77"/>
      <c r="Q128" s="77"/>
      <c r="R128" s="80"/>
      <c r="S128" s="79"/>
      <c r="T128" s="77"/>
      <c r="U128" s="77"/>
      <c r="V128" s="78"/>
      <c r="W128" s="77"/>
      <c r="X128" s="77"/>
      <c r="Y128" s="77"/>
      <c r="Z128" s="80"/>
      <c r="AA128" s="79"/>
      <c r="AB128" s="77"/>
      <c r="AC128" s="77"/>
      <c r="AD128" s="78"/>
      <c r="AE128" s="77"/>
      <c r="AF128" s="77"/>
      <c r="AG128" s="77"/>
      <c r="AH128" s="80"/>
      <c r="AI128" s="79"/>
      <c r="AJ128" s="77"/>
      <c r="AK128" s="77"/>
      <c r="AL128" s="78"/>
      <c r="AM128" s="77"/>
      <c r="AN128" s="77"/>
      <c r="AO128" s="77"/>
      <c r="AP128" s="80"/>
      <c r="AQ128" s="79"/>
      <c r="AR128" s="77"/>
      <c r="AS128" s="77"/>
      <c r="AT128" s="78"/>
      <c r="AU128" s="77"/>
      <c r="AV128" s="77"/>
      <c r="AW128" s="77"/>
      <c r="AX128" s="76"/>
    </row>
    <row r="129" spans="1:50" ht="30" customHeight="1">
      <c r="A129" s="82"/>
      <c r="B129" s="85" t="s">
        <v>149</v>
      </c>
      <c r="C129" s="84">
        <v>0.25</v>
      </c>
      <c r="D129" s="83">
        <v>0.03</v>
      </c>
      <c r="E129" s="83">
        <v>0.03</v>
      </c>
      <c r="F129" s="78">
        <v>7.6967571460009069E-3</v>
      </c>
      <c r="G129" s="77">
        <v>0.23488437500000003</v>
      </c>
      <c r="H129" s="77">
        <v>1.2992484770285133</v>
      </c>
      <c r="I129" s="77">
        <v>0.6446167183423771</v>
      </c>
      <c r="J129" s="80">
        <v>0.97343422065446084</v>
      </c>
      <c r="K129" s="79">
        <v>-1.5115624999999966E-2</v>
      </c>
      <c r="L129" s="77"/>
      <c r="M129" s="77"/>
      <c r="N129" s="78"/>
      <c r="O129" s="77"/>
      <c r="P129" s="77"/>
      <c r="Q129" s="77"/>
      <c r="R129" s="80"/>
      <c r="S129" s="79"/>
      <c r="T129" s="77"/>
      <c r="U129" s="77"/>
      <c r="V129" s="78"/>
      <c r="W129" s="77"/>
      <c r="X129" s="77"/>
      <c r="Y129" s="77"/>
      <c r="Z129" s="80"/>
      <c r="AA129" s="79"/>
      <c r="AB129" s="77"/>
      <c r="AC129" s="77"/>
      <c r="AD129" s="78"/>
      <c r="AE129" s="77"/>
      <c r="AF129" s="77"/>
      <c r="AG129" s="77"/>
      <c r="AH129" s="80"/>
      <c r="AI129" s="79"/>
      <c r="AJ129" s="77"/>
      <c r="AK129" s="77"/>
      <c r="AL129" s="78"/>
      <c r="AM129" s="77"/>
      <c r="AN129" s="77"/>
      <c r="AO129" s="77"/>
      <c r="AP129" s="80"/>
      <c r="AQ129" s="79"/>
      <c r="AR129" s="77"/>
      <c r="AS129" s="77"/>
      <c r="AT129" s="78"/>
      <c r="AU129" s="77"/>
      <c r="AV129" s="77"/>
      <c r="AW129" s="77"/>
      <c r="AX129" s="76"/>
    </row>
    <row r="130" spans="1:50" ht="30" customHeight="1">
      <c r="A130" s="82"/>
      <c r="B130" s="85" t="s">
        <v>150</v>
      </c>
      <c r="C130" s="84">
        <v>0.56599999999999995</v>
      </c>
      <c r="D130" s="83">
        <v>0.03</v>
      </c>
      <c r="E130" s="83">
        <v>0.03</v>
      </c>
      <c r="F130" s="78">
        <v>5.5577757212523383E-3</v>
      </c>
      <c r="G130" s="77">
        <v>0.54803750000000007</v>
      </c>
      <c r="H130" s="77">
        <v>1.7992809536666046</v>
      </c>
      <c r="I130" s="77">
        <v>0.72196148265873317</v>
      </c>
      <c r="J130" s="80">
        <v>0.98483999099366715</v>
      </c>
      <c r="K130" s="79">
        <v>-1.7962499999999881E-2</v>
      </c>
      <c r="L130" s="77"/>
      <c r="M130" s="77"/>
      <c r="N130" s="78"/>
      <c r="O130" s="77"/>
      <c r="P130" s="77"/>
      <c r="Q130" s="77"/>
      <c r="R130" s="80"/>
      <c r="S130" s="79"/>
      <c r="T130" s="77"/>
      <c r="U130" s="77"/>
      <c r="V130" s="78"/>
      <c r="W130" s="77"/>
      <c r="X130" s="77"/>
      <c r="Y130" s="77"/>
      <c r="Z130" s="80"/>
      <c r="AA130" s="79"/>
      <c r="AB130" s="77"/>
      <c r="AC130" s="77"/>
      <c r="AD130" s="78"/>
      <c r="AE130" s="77"/>
      <c r="AF130" s="77"/>
      <c r="AG130" s="77"/>
      <c r="AH130" s="80"/>
      <c r="AI130" s="79"/>
      <c r="AJ130" s="77"/>
      <c r="AK130" s="77"/>
      <c r="AL130" s="78"/>
      <c r="AM130" s="77"/>
      <c r="AN130" s="77"/>
      <c r="AO130" s="77"/>
      <c r="AP130" s="80"/>
      <c r="AQ130" s="79"/>
      <c r="AR130" s="77"/>
      <c r="AS130" s="77"/>
      <c r="AT130" s="78"/>
      <c r="AU130" s="77"/>
      <c r="AV130" s="77"/>
      <c r="AW130" s="77"/>
      <c r="AX130" s="76"/>
    </row>
    <row r="131" spans="1:50" ht="30" customHeight="1">
      <c r="A131" s="82"/>
      <c r="B131" s="85" t="s">
        <v>151</v>
      </c>
      <c r="C131" s="84">
        <v>0.56599999999999995</v>
      </c>
      <c r="D131" s="83">
        <v>0.03</v>
      </c>
      <c r="E131" s="83">
        <v>0.03</v>
      </c>
      <c r="F131" s="78">
        <v>6.538394668319532E-3</v>
      </c>
      <c r="G131" s="77">
        <v>0.55938124999999994</v>
      </c>
      <c r="H131" s="77">
        <v>1.5294274064630855</v>
      </c>
      <c r="I131" s="77">
        <v>1.1919974849121673</v>
      </c>
      <c r="J131" s="80">
        <v>0.99982553846049949</v>
      </c>
      <c r="K131" s="79">
        <v>-6.6187500000000066E-3</v>
      </c>
      <c r="L131" s="77"/>
      <c r="M131" s="77"/>
      <c r="N131" s="78"/>
      <c r="O131" s="77"/>
      <c r="P131" s="77"/>
      <c r="Q131" s="77"/>
      <c r="R131" s="80"/>
      <c r="S131" s="79"/>
      <c r="T131" s="77"/>
      <c r="U131" s="77"/>
      <c r="V131" s="78"/>
      <c r="W131" s="77"/>
      <c r="X131" s="77"/>
      <c r="Y131" s="77"/>
      <c r="Z131" s="80"/>
      <c r="AA131" s="79"/>
      <c r="AB131" s="77"/>
      <c r="AC131" s="77"/>
      <c r="AD131" s="78"/>
      <c r="AE131" s="77"/>
      <c r="AF131" s="77"/>
      <c r="AG131" s="77"/>
      <c r="AH131" s="80"/>
      <c r="AI131" s="79"/>
      <c r="AJ131" s="77"/>
      <c r="AK131" s="77"/>
      <c r="AL131" s="78"/>
      <c r="AM131" s="77"/>
      <c r="AN131" s="77"/>
      <c r="AO131" s="77"/>
      <c r="AP131" s="80"/>
      <c r="AQ131" s="79"/>
      <c r="AR131" s="77"/>
      <c r="AS131" s="77"/>
      <c r="AT131" s="78"/>
      <c r="AU131" s="77"/>
      <c r="AV131" s="77"/>
      <c r="AW131" s="77"/>
      <c r="AX131" s="76"/>
    </row>
    <row r="132" spans="1:50" ht="30" customHeight="1">
      <c r="A132" s="82"/>
      <c r="B132" s="85" t="s">
        <v>141</v>
      </c>
      <c r="C132" s="84">
        <v>1.25</v>
      </c>
      <c r="D132" s="83">
        <v>0.1</v>
      </c>
      <c r="E132" s="83">
        <v>0.1</v>
      </c>
      <c r="F132" s="78">
        <v>6.8492965261569812E-3</v>
      </c>
      <c r="G132" s="77">
        <v>1.2384562499999996</v>
      </c>
      <c r="H132" s="77">
        <v>4.8666798416502646</v>
      </c>
      <c r="I132" s="77">
        <v>4.304882487429742</v>
      </c>
      <c r="J132" s="80">
        <v>1</v>
      </c>
      <c r="K132" s="79">
        <v>-1.1543750000000408E-2</v>
      </c>
      <c r="L132" s="77"/>
      <c r="M132" s="77"/>
      <c r="N132" s="78"/>
      <c r="O132" s="77"/>
      <c r="P132" s="77"/>
      <c r="Q132" s="77"/>
      <c r="R132" s="80"/>
      <c r="S132" s="79"/>
      <c r="T132" s="77"/>
      <c r="U132" s="77"/>
      <c r="V132" s="78"/>
      <c r="W132" s="77"/>
      <c r="X132" s="77"/>
      <c r="Y132" s="77"/>
      <c r="Z132" s="80"/>
      <c r="AA132" s="79"/>
      <c r="AB132" s="77"/>
      <c r="AC132" s="77"/>
      <c r="AD132" s="78"/>
      <c r="AE132" s="77"/>
      <c r="AF132" s="77"/>
      <c r="AG132" s="77"/>
      <c r="AH132" s="80"/>
      <c r="AI132" s="79"/>
      <c r="AJ132" s="77"/>
      <c r="AK132" s="77"/>
      <c r="AL132" s="78"/>
      <c r="AM132" s="77"/>
      <c r="AN132" s="77"/>
      <c r="AO132" s="77"/>
      <c r="AP132" s="80"/>
      <c r="AQ132" s="79"/>
      <c r="AR132" s="77"/>
      <c r="AS132" s="77"/>
      <c r="AT132" s="78"/>
      <c r="AU132" s="77"/>
      <c r="AV132" s="77"/>
      <c r="AW132" s="77"/>
      <c r="AX132" s="76"/>
    </row>
    <row r="133" spans="1:50" ht="30" customHeight="1">
      <c r="A133" s="82"/>
      <c r="B133" s="85" t="s">
        <v>152</v>
      </c>
      <c r="C133" s="84">
        <v>1.25</v>
      </c>
      <c r="D133" s="83">
        <v>0.05</v>
      </c>
      <c r="E133" s="83">
        <v>0.05</v>
      </c>
      <c r="F133" s="78">
        <v>4.6599258871996624E-3</v>
      </c>
      <c r="G133" s="77">
        <v>1.2232156249999999</v>
      </c>
      <c r="H133" s="77">
        <v>3.5765947935885212</v>
      </c>
      <c r="I133" s="77">
        <v>1.660657670098066</v>
      </c>
      <c r="J133" s="80">
        <v>0.99999968530392436</v>
      </c>
      <c r="K133" s="79">
        <v>-2.6784375000000082E-2</v>
      </c>
      <c r="L133" s="77"/>
      <c r="M133" s="77"/>
      <c r="N133" s="78"/>
      <c r="O133" s="77"/>
      <c r="P133" s="77"/>
      <c r="Q133" s="77"/>
      <c r="R133" s="80"/>
      <c r="S133" s="79"/>
      <c r="T133" s="77"/>
      <c r="U133" s="77"/>
      <c r="V133" s="78"/>
      <c r="W133" s="77"/>
      <c r="X133" s="77"/>
      <c r="Y133" s="77"/>
      <c r="Z133" s="80"/>
      <c r="AA133" s="79"/>
      <c r="AB133" s="77"/>
      <c r="AC133" s="77"/>
      <c r="AD133" s="78"/>
      <c r="AE133" s="77"/>
      <c r="AF133" s="77"/>
      <c r="AG133" s="77"/>
      <c r="AH133" s="80"/>
      <c r="AI133" s="79"/>
      <c r="AJ133" s="77"/>
      <c r="AK133" s="77"/>
      <c r="AL133" s="78"/>
      <c r="AM133" s="77"/>
      <c r="AN133" s="77"/>
      <c r="AO133" s="77"/>
      <c r="AP133" s="80"/>
      <c r="AQ133" s="79"/>
      <c r="AR133" s="77"/>
      <c r="AS133" s="77"/>
      <c r="AT133" s="78"/>
      <c r="AU133" s="77"/>
      <c r="AV133" s="77"/>
      <c r="AW133" s="77"/>
      <c r="AX133" s="76"/>
    </row>
    <row r="134" spans="1:50" ht="30" customHeight="1">
      <c r="A134" s="82" t="s">
        <v>166</v>
      </c>
      <c r="B134" s="85" t="s">
        <v>137</v>
      </c>
      <c r="C134" s="84">
        <v>1.3</v>
      </c>
      <c r="D134" s="83">
        <v>0.03</v>
      </c>
      <c r="E134" s="83">
        <v>0.03</v>
      </c>
      <c r="F134" s="78">
        <v>4.0359361047885116E-3</v>
      </c>
      <c r="G134" s="77">
        <v>1.2949656249999995</v>
      </c>
      <c r="H134" s="77">
        <v>2.4777399196521777</v>
      </c>
      <c r="I134" s="77">
        <v>2.0619441893854979</v>
      </c>
      <c r="J134" s="80">
        <v>0.9999999996911223</v>
      </c>
      <c r="K134" s="79">
        <v>-5.0343750000005905E-3</v>
      </c>
      <c r="L134" s="77"/>
      <c r="M134" s="77"/>
      <c r="N134" s="78"/>
      <c r="O134" s="77"/>
      <c r="P134" s="77"/>
      <c r="Q134" s="77"/>
      <c r="R134" s="80"/>
      <c r="S134" s="79"/>
      <c r="T134" s="77"/>
      <c r="U134" s="77"/>
      <c r="V134" s="78"/>
      <c r="W134" s="77"/>
      <c r="X134" s="77"/>
      <c r="Y134" s="77"/>
      <c r="Z134" s="80"/>
      <c r="AA134" s="79"/>
      <c r="AB134" s="77"/>
      <c r="AC134" s="77"/>
      <c r="AD134" s="78"/>
      <c r="AE134" s="77"/>
      <c r="AF134" s="77"/>
      <c r="AG134" s="77"/>
      <c r="AH134" s="80"/>
      <c r="AI134" s="79"/>
      <c r="AJ134" s="77"/>
      <c r="AK134" s="77"/>
      <c r="AL134" s="78"/>
      <c r="AM134" s="77"/>
      <c r="AN134" s="77"/>
      <c r="AO134" s="77"/>
      <c r="AP134" s="80"/>
      <c r="AQ134" s="79"/>
      <c r="AR134" s="77"/>
      <c r="AS134" s="77"/>
      <c r="AT134" s="78"/>
      <c r="AU134" s="77"/>
      <c r="AV134" s="77"/>
      <c r="AW134" s="77"/>
      <c r="AX134" s="76"/>
    </row>
    <row r="135" spans="1:50" ht="30" customHeight="1">
      <c r="A135" s="82"/>
      <c r="B135" s="85" t="s">
        <v>142</v>
      </c>
      <c r="C135" s="84">
        <v>1</v>
      </c>
      <c r="D135" s="83">
        <v>0.04</v>
      </c>
      <c r="E135" s="83">
        <v>0.04</v>
      </c>
      <c r="F135" s="78">
        <v>3.4743167696871099E-3</v>
      </c>
      <c r="G135" s="77">
        <v>0.98705937499999985</v>
      </c>
      <c r="H135" s="77">
        <v>3.8376849945476099</v>
      </c>
      <c r="I135" s="77">
        <v>2.5961339349834049</v>
      </c>
      <c r="J135" s="80">
        <v>0.99999999999999656</v>
      </c>
      <c r="K135" s="79">
        <v>-1.294062500000015E-2</v>
      </c>
      <c r="L135" s="77"/>
      <c r="M135" s="77"/>
      <c r="N135" s="78"/>
      <c r="O135" s="77"/>
      <c r="P135" s="77"/>
      <c r="Q135" s="77"/>
      <c r="R135" s="80"/>
      <c r="S135" s="79"/>
      <c r="T135" s="77"/>
      <c r="U135" s="77"/>
      <c r="V135" s="78"/>
      <c r="W135" s="77"/>
      <c r="X135" s="77"/>
      <c r="Y135" s="77"/>
      <c r="Z135" s="80"/>
      <c r="AA135" s="79"/>
      <c r="AB135" s="77"/>
      <c r="AC135" s="77"/>
      <c r="AD135" s="78"/>
      <c r="AE135" s="77"/>
      <c r="AF135" s="77"/>
      <c r="AG135" s="77"/>
      <c r="AH135" s="80"/>
      <c r="AI135" s="79"/>
      <c r="AJ135" s="77"/>
      <c r="AK135" s="77"/>
      <c r="AL135" s="78"/>
      <c r="AM135" s="77"/>
      <c r="AN135" s="77"/>
      <c r="AO135" s="77"/>
      <c r="AP135" s="80"/>
      <c r="AQ135" s="79"/>
      <c r="AR135" s="77"/>
      <c r="AS135" s="77"/>
      <c r="AT135" s="78"/>
      <c r="AU135" s="77"/>
      <c r="AV135" s="77"/>
      <c r="AW135" s="77"/>
      <c r="AX135" s="76"/>
    </row>
    <row r="136" spans="1:50" ht="30" customHeight="1">
      <c r="A136" s="82"/>
      <c r="B136" s="85" t="s">
        <v>143</v>
      </c>
      <c r="C136" s="84">
        <v>2.4</v>
      </c>
      <c r="D136" s="83">
        <v>0.04</v>
      </c>
      <c r="E136" s="83">
        <v>0.04</v>
      </c>
      <c r="F136" s="78">
        <v>3.0876036615743868E-3</v>
      </c>
      <c r="G136" s="77">
        <v>2.3663656250000003</v>
      </c>
      <c r="H136" s="77">
        <v>4.3183435423621059</v>
      </c>
      <c r="I136" s="77">
        <v>0.6872238902962593</v>
      </c>
      <c r="J136" s="80">
        <v>0.98038049728674215</v>
      </c>
      <c r="K136" s="79">
        <v>-3.3634374999999661E-2</v>
      </c>
      <c r="L136" s="77"/>
      <c r="M136" s="77"/>
      <c r="N136" s="78"/>
      <c r="O136" s="77"/>
      <c r="P136" s="77"/>
      <c r="Q136" s="77"/>
      <c r="R136" s="80"/>
      <c r="S136" s="79"/>
      <c r="T136" s="77"/>
      <c r="U136" s="77"/>
      <c r="V136" s="78"/>
      <c r="W136" s="77"/>
      <c r="X136" s="77"/>
      <c r="Y136" s="77"/>
      <c r="Z136" s="80"/>
      <c r="AA136" s="79"/>
      <c r="AB136" s="77"/>
      <c r="AC136" s="77"/>
      <c r="AD136" s="78"/>
      <c r="AE136" s="77"/>
      <c r="AF136" s="77"/>
      <c r="AG136" s="77"/>
      <c r="AH136" s="80"/>
      <c r="AI136" s="79"/>
      <c r="AJ136" s="77"/>
      <c r="AK136" s="77"/>
      <c r="AL136" s="78"/>
      <c r="AM136" s="77"/>
      <c r="AN136" s="77"/>
      <c r="AO136" s="77"/>
      <c r="AP136" s="80"/>
      <c r="AQ136" s="79"/>
      <c r="AR136" s="77"/>
      <c r="AS136" s="77"/>
      <c r="AT136" s="78"/>
      <c r="AU136" s="77"/>
      <c r="AV136" s="77"/>
      <c r="AW136" s="77"/>
      <c r="AX136" s="76"/>
    </row>
    <row r="137" spans="1:50" ht="30" customHeight="1">
      <c r="A137" s="82"/>
      <c r="B137" s="85" t="s">
        <v>138</v>
      </c>
      <c r="C137" s="84">
        <v>3.3</v>
      </c>
      <c r="D137" s="83">
        <v>0.05</v>
      </c>
      <c r="E137" s="83">
        <v>0.05</v>
      </c>
      <c r="F137" s="78">
        <v>3.2103662739481199E-3</v>
      </c>
      <c r="G137" s="77">
        <v>3.2891250000000012</v>
      </c>
      <c r="H137" s="77">
        <v>5.1915156229727897</v>
      </c>
      <c r="I137" s="77">
        <v>4.0623609749763459</v>
      </c>
      <c r="J137" s="80">
        <v>1</v>
      </c>
      <c r="K137" s="79">
        <v>-1.0874999999998636E-2</v>
      </c>
      <c r="L137" s="77"/>
      <c r="M137" s="77"/>
      <c r="N137" s="78"/>
      <c r="O137" s="77"/>
      <c r="P137" s="77"/>
      <c r="Q137" s="77"/>
      <c r="R137" s="80"/>
      <c r="S137" s="79"/>
      <c r="T137" s="77"/>
      <c r="U137" s="77"/>
      <c r="V137" s="78"/>
      <c r="W137" s="77"/>
      <c r="X137" s="77"/>
      <c r="Y137" s="77"/>
      <c r="Z137" s="80"/>
      <c r="AA137" s="79"/>
      <c r="AB137" s="77"/>
      <c r="AC137" s="77"/>
      <c r="AD137" s="78"/>
      <c r="AE137" s="77"/>
      <c r="AF137" s="77"/>
      <c r="AG137" s="77"/>
      <c r="AH137" s="80"/>
      <c r="AI137" s="79"/>
      <c r="AJ137" s="77"/>
      <c r="AK137" s="77"/>
      <c r="AL137" s="78"/>
      <c r="AM137" s="77"/>
      <c r="AN137" s="77"/>
      <c r="AO137" s="77"/>
      <c r="AP137" s="80"/>
      <c r="AQ137" s="79"/>
      <c r="AR137" s="77"/>
      <c r="AS137" s="77"/>
      <c r="AT137" s="78"/>
      <c r="AU137" s="77"/>
      <c r="AV137" s="77"/>
      <c r="AW137" s="77"/>
      <c r="AX137" s="76"/>
    </row>
    <row r="138" spans="1:50" ht="30" customHeight="1">
      <c r="A138" s="82"/>
      <c r="B138" s="85" t="s">
        <v>140</v>
      </c>
      <c r="C138" s="84">
        <v>0.86</v>
      </c>
      <c r="D138" s="83">
        <v>0.05</v>
      </c>
      <c r="E138" s="83">
        <v>0.05</v>
      </c>
      <c r="F138" s="78">
        <v>8.2325860937085063E-3</v>
      </c>
      <c r="G138" s="77">
        <v>0.83594687499999998</v>
      </c>
      <c r="H138" s="77">
        <v>2.0244752349937349</v>
      </c>
      <c r="I138" s="77">
        <v>1.0505761172595618</v>
      </c>
      <c r="J138" s="80">
        <v>0.99918846402356554</v>
      </c>
      <c r="K138" s="79">
        <v>-2.4053125000000009E-2</v>
      </c>
      <c r="L138" s="77"/>
      <c r="M138" s="77"/>
      <c r="N138" s="78"/>
      <c r="O138" s="77"/>
      <c r="P138" s="77"/>
      <c r="Q138" s="77"/>
      <c r="R138" s="80"/>
      <c r="S138" s="79"/>
      <c r="T138" s="77"/>
      <c r="U138" s="77"/>
      <c r="V138" s="78"/>
      <c r="W138" s="77"/>
      <c r="X138" s="77"/>
      <c r="Y138" s="77"/>
      <c r="Z138" s="80"/>
      <c r="AA138" s="79"/>
      <c r="AB138" s="77"/>
      <c r="AC138" s="77"/>
      <c r="AD138" s="78"/>
      <c r="AE138" s="77"/>
      <c r="AF138" s="77"/>
      <c r="AG138" s="77"/>
      <c r="AH138" s="80"/>
      <c r="AI138" s="79"/>
      <c r="AJ138" s="77"/>
      <c r="AK138" s="77"/>
      <c r="AL138" s="78"/>
      <c r="AM138" s="77"/>
      <c r="AN138" s="77"/>
      <c r="AO138" s="77"/>
      <c r="AP138" s="80"/>
      <c r="AQ138" s="79"/>
      <c r="AR138" s="77"/>
      <c r="AS138" s="77"/>
      <c r="AT138" s="78"/>
      <c r="AU138" s="77"/>
      <c r="AV138" s="77"/>
      <c r="AW138" s="77"/>
      <c r="AX138" s="76"/>
    </row>
    <row r="139" spans="1:50" ht="30" customHeight="1">
      <c r="A139" s="82"/>
      <c r="B139" s="85" t="s">
        <v>139</v>
      </c>
      <c r="C139" s="84">
        <v>0.86</v>
      </c>
      <c r="D139" s="83">
        <v>0.05</v>
      </c>
      <c r="E139" s="83">
        <v>0.05</v>
      </c>
      <c r="F139" s="78">
        <v>6.9455362492987236E-3</v>
      </c>
      <c r="G139" s="77">
        <v>0.83357812499999995</v>
      </c>
      <c r="H139" s="77">
        <v>2.3996227315564695</v>
      </c>
      <c r="I139" s="77">
        <v>1.131572094349597</v>
      </c>
      <c r="J139" s="80">
        <v>0.99965650123478489</v>
      </c>
      <c r="K139" s="79">
        <v>-2.6421875000000039E-2</v>
      </c>
      <c r="L139" s="77"/>
      <c r="M139" s="77"/>
      <c r="N139" s="78"/>
      <c r="O139" s="77"/>
      <c r="P139" s="77"/>
      <c r="Q139" s="77"/>
      <c r="R139" s="80"/>
      <c r="S139" s="79"/>
      <c r="T139" s="77"/>
      <c r="U139" s="77"/>
      <c r="V139" s="78"/>
      <c r="W139" s="77"/>
      <c r="X139" s="77"/>
      <c r="Y139" s="77"/>
      <c r="Z139" s="80"/>
      <c r="AA139" s="79"/>
      <c r="AB139" s="77"/>
      <c r="AC139" s="77"/>
      <c r="AD139" s="78"/>
      <c r="AE139" s="77"/>
      <c r="AF139" s="77"/>
      <c r="AG139" s="77"/>
      <c r="AH139" s="80"/>
      <c r="AI139" s="79"/>
      <c r="AJ139" s="77"/>
      <c r="AK139" s="77"/>
      <c r="AL139" s="78"/>
      <c r="AM139" s="77"/>
      <c r="AN139" s="77"/>
      <c r="AO139" s="77"/>
      <c r="AP139" s="80"/>
      <c r="AQ139" s="79"/>
      <c r="AR139" s="77"/>
      <c r="AS139" s="77"/>
      <c r="AT139" s="78"/>
      <c r="AU139" s="77"/>
      <c r="AV139" s="77"/>
      <c r="AW139" s="77"/>
      <c r="AX139" s="76"/>
    </row>
    <row r="140" spans="1:50" ht="30" customHeight="1">
      <c r="A140" s="82"/>
      <c r="B140" s="85" t="s">
        <v>144</v>
      </c>
      <c r="C140" s="84">
        <v>2.9</v>
      </c>
      <c r="D140" s="83">
        <v>0.05</v>
      </c>
      <c r="E140" s="83">
        <v>0.05</v>
      </c>
      <c r="F140" s="78">
        <v>4.8636530476321837E-3</v>
      </c>
      <c r="G140" s="77">
        <v>2.8706187500000002</v>
      </c>
      <c r="H140" s="77">
        <v>3.4267795221907518</v>
      </c>
      <c r="I140" s="77">
        <v>1.413118205463425</v>
      </c>
      <c r="J140" s="80">
        <v>0.99998879183437017</v>
      </c>
      <c r="K140" s="79">
        <v>-2.9381249999999692E-2</v>
      </c>
      <c r="L140" s="77"/>
      <c r="M140" s="77"/>
      <c r="N140" s="78"/>
      <c r="O140" s="77"/>
      <c r="P140" s="77"/>
      <c r="Q140" s="77"/>
      <c r="R140" s="80"/>
      <c r="S140" s="79"/>
      <c r="T140" s="77"/>
      <c r="U140" s="77"/>
      <c r="V140" s="78"/>
      <c r="W140" s="77"/>
      <c r="X140" s="77"/>
      <c r="Y140" s="77"/>
      <c r="Z140" s="80"/>
      <c r="AA140" s="79"/>
      <c r="AB140" s="77"/>
      <c r="AC140" s="77"/>
      <c r="AD140" s="78"/>
      <c r="AE140" s="77"/>
      <c r="AF140" s="77"/>
      <c r="AG140" s="77"/>
      <c r="AH140" s="80"/>
      <c r="AI140" s="79"/>
      <c r="AJ140" s="77"/>
      <c r="AK140" s="77"/>
      <c r="AL140" s="78"/>
      <c r="AM140" s="77"/>
      <c r="AN140" s="77"/>
      <c r="AO140" s="77"/>
      <c r="AP140" s="80"/>
      <c r="AQ140" s="79"/>
      <c r="AR140" s="77"/>
      <c r="AS140" s="77"/>
      <c r="AT140" s="78"/>
      <c r="AU140" s="77"/>
      <c r="AV140" s="77"/>
      <c r="AW140" s="77"/>
      <c r="AX140" s="76"/>
    </row>
    <row r="141" spans="1:50" ht="30" customHeight="1">
      <c r="A141" s="82"/>
      <c r="B141" s="85" t="s">
        <v>145</v>
      </c>
      <c r="C141" s="84">
        <v>0.3</v>
      </c>
      <c r="D141" s="83">
        <v>0.03</v>
      </c>
      <c r="E141" s="83">
        <v>0.03</v>
      </c>
      <c r="F141" s="78">
        <v>6.142237922251827E-3</v>
      </c>
      <c r="G141" s="77">
        <v>0.31664687499999999</v>
      </c>
      <c r="H141" s="77">
        <v>1.6280710917713612</v>
      </c>
      <c r="I141" s="77">
        <v>0.72466122657698073</v>
      </c>
      <c r="J141" s="80">
        <v>0.98514681955931227</v>
      </c>
      <c r="K141" s="79">
        <v>1.6646875000000005E-2</v>
      </c>
      <c r="L141" s="77"/>
      <c r="M141" s="77"/>
      <c r="N141" s="78"/>
      <c r="O141" s="77"/>
      <c r="P141" s="77"/>
      <c r="Q141" s="77"/>
      <c r="R141" s="80"/>
      <c r="S141" s="79"/>
      <c r="T141" s="77"/>
      <c r="U141" s="77"/>
      <c r="V141" s="78"/>
      <c r="W141" s="77"/>
      <c r="X141" s="77"/>
      <c r="Y141" s="77"/>
      <c r="Z141" s="80"/>
      <c r="AA141" s="79"/>
      <c r="AB141" s="77"/>
      <c r="AC141" s="77"/>
      <c r="AD141" s="78"/>
      <c r="AE141" s="77"/>
      <c r="AF141" s="77"/>
      <c r="AG141" s="77"/>
      <c r="AH141" s="80"/>
      <c r="AI141" s="79"/>
      <c r="AJ141" s="77"/>
      <c r="AK141" s="77"/>
      <c r="AL141" s="78"/>
      <c r="AM141" s="77"/>
      <c r="AN141" s="77"/>
      <c r="AO141" s="77"/>
      <c r="AP141" s="80"/>
      <c r="AQ141" s="79"/>
      <c r="AR141" s="77"/>
      <c r="AS141" s="77"/>
      <c r="AT141" s="78"/>
      <c r="AU141" s="77"/>
      <c r="AV141" s="77"/>
      <c r="AW141" s="77"/>
      <c r="AX141" s="76"/>
    </row>
    <row r="142" spans="1:50" ht="30" customHeight="1">
      <c r="A142" s="82"/>
      <c r="B142" s="85" t="s">
        <v>146</v>
      </c>
      <c r="C142" s="84">
        <v>0.3</v>
      </c>
      <c r="D142" s="83">
        <v>0.03</v>
      </c>
      <c r="E142" s="83">
        <v>0.03</v>
      </c>
      <c r="F142" s="78">
        <v>3.5137288345261719E-3</v>
      </c>
      <c r="G142" s="77">
        <v>0.3182625</v>
      </c>
      <c r="H142" s="77">
        <v>2.8459794340813138</v>
      </c>
      <c r="I142" s="77">
        <v>1.113489453584311</v>
      </c>
      <c r="J142" s="80">
        <v>0.99958181395048107</v>
      </c>
      <c r="K142" s="79">
        <v>1.8262500000000015E-2</v>
      </c>
      <c r="L142" s="77"/>
      <c r="M142" s="77"/>
      <c r="N142" s="78"/>
      <c r="O142" s="77"/>
      <c r="P142" s="77"/>
      <c r="Q142" s="77"/>
      <c r="R142" s="80"/>
      <c r="S142" s="79"/>
      <c r="T142" s="77"/>
      <c r="U142" s="77"/>
      <c r="V142" s="78"/>
      <c r="W142" s="77"/>
      <c r="X142" s="77"/>
      <c r="Y142" s="77"/>
      <c r="Z142" s="80"/>
      <c r="AA142" s="79"/>
      <c r="AB142" s="77"/>
      <c r="AC142" s="77"/>
      <c r="AD142" s="78"/>
      <c r="AE142" s="77"/>
      <c r="AF142" s="77"/>
      <c r="AG142" s="77"/>
      <c r="AH142" s="80"/>
      <c r="AI142" s="79"/>
      <c r="AJ142" s="77"/>
      <c r="AK142" s="77"/>
      <c r="AL142" s="78"/>
      <c r="AM142" s="77"/>
      <c r="AN142" s="77"/>
      <c r="AO142" s="77"/>
      <c r="AP142" s="80"/>
      <c r="AQ142" s="79"/>
      <c r="AR142" s="77"/>
      <c r="AS142" s="77"/>
      <c r="AT142" s="78"/>
      <c r="AU142" s="77"/>
      <c r="AV142" s="77"/>
      <c r="AW142" s="77"/>
      <c r="AX142" s="76"/>
    </row>
    <row r="143" spans="1:50" ht="30" customHeight="1">
      <c r="A143" s="82"/>
      <c r="B143" s="85" t="s">
        <v>147</v>
      </c>
      <c r="C143" s="84">
        <v>0.25</v>
      </c>
      <c r="D143" s="83">
        <v>0.03</v>
      </c>
      <c r="E143" s="83">
        <v>0.03</v>
      </c>
      <c r="F143" s="78">
        <v>5.0650197831030985E-3</v>
      </c>
      <c r="G143" s="77">
        <v>0.23499062500000001</v>
      </c>
      <c r="H143" s="77">
        <v>1.9743259509785125</v>
      </c>
      <c r="I143" s="77">
        <v>0.98654599862957559</v>
      </c>
      <c r="J143" s="80">
        <v>0.99845999636954252</v>
      </c>
      <c r="K143" s="79">
        <v>-1.5009374999999991E-2</v>
      </c>
      <c r="L143" s="77"/>
      <c r="M143" s="77"/>
      <c r="N143" s="78"/>
      <c r="O143" s="77"/>
      <c r="P143" s="77"/>
      <c r="Q143" s="77"/>
      <c r="R143" s="80"/>
      <c r="S143" s="79"/>
      <c r="T143" s="77"/>
      <c r="U143" s="77"/>
      <c r="V143" s="78"/>
      <c r="W143" s="77"/>
      <c r="X143" s="77"/>
      <c r="Y143" s="77"/>
      <c r="Z143" s="80"/>
      <c r="AA143" s="79"/>
      <c r="AB143" s="77"/>
      <c r="AC143" s="77"/>
      <c r="AD143" s="78"/>
      <c r="AE143" s="77"/>
      <c r="AF143" s="77"/>
      <c r="AG143" s="77"/>
      <c r="AH143" s="80"/>
      <c r="AI143" s="79"/>
      <c r="AJ143" s="77"/>
      <c r="AK143" s="77"/>
      <c r="AL143" s="78"/>
      <c r="AM143" s="77"/>
      <c r="AN143" s="77"/>
      <c r="AO143" s="77"/>
      <c r="AP143" s="80"/>
      <c r="AQ143" s="79"/>
      <c r="AR143" s="77"/>
      <c r="AS143" s="77"/>
      <c r="AT143" s="78"/>
      <c r="AU143" s="77"/>
      <c r="AV143" s="77"/>
      <c r="AW143" s="77"/>
      <c r="AX143" s="76"/>
    </row>
    <row r="144" spans="1:50" ht="30" customHeight="1">
      <c r="A144" s="82"/>
      <c r="B144" s="85" t="s">
        <v>148</v>
      </c>
      <c r="C144" s="84">
        <v>0.25</v>
      </c>
      <c r="D144" s="83">
        <v>0.03</v>
      </c>
      <c r="E144" s="83">
        <v>0.03</v>
      </c>
      <c r="F144" s="78">
        <v>7.938673713069503E-3</v>
      </c>
      <c r="G144" s="77">
        <v>0.25829375000000004</v>
      </c>
      <c r="H144" s="77">
        <v>1.2596562551168873</v>
      </c>
      <c r="I144" s="77">
        <v>0.91141378625436331</v>
      </c>
      <c r="J144" s="80">
        <v>0.99687308565760047</v>
      </c>
      <c r="K144" s="79">
        <v>8.2937500000000441E-3</v>
      </c>
      <c r="L144" s="77"/>
      <c r="M144" s="77"/>
      <c r="N144" s="78"/>
      <c r="O144" s="77"/>
      <c r="P144" s="77"/>
      <c r="Q144" s="77"/>
      <c r="R144" s="80"/>
      <c r="S144" s="79"/>
      <c r="T144" s="77"/>
      <c r="U144" s="77"/>
      <c r="V144" s="78"/>
      <c r="W144" s="77"/>
      <c r="X144" s="77"/>
      <c r="Y144" s="77"/>
      <c r="Z144" s="80"/>
      <c r="AA144" s="79"/>
      <c r="AB144" s="77"/>
      <c r="AC144" s="77"/>
      <c r="AD144" s="78"/>
      <c r="AE144" s="77"/>
      <c r="AF144" s="77"/>
      <c r="AG144" s="77"/>
      <c r="AH144" s="80"/>
      <c r="AI144" s="79"/>
      <c r="AJ144" s="77"/>
      <c r="AK144" s="77"/>
      <c r="AL144" s="78"/>
      <c r="AM144" s="77"/>
      <c r="AN144" s="77"/>
      <c r="AO144" s="77"/>
      <c r="AP144" s="80"/>
      <c r="AQ144" s="79"/>
      <c r="AR144" s="77"/>
      <c r="AS144" s="77"/>
      <c r="AT144" s="78"/>
      <c r="AU144" s="77"/>
      <c r="AV144" s="77"/>
      <c r="AW144" s="77"/>
      <c r="AX144" s="76"/>
    </row>
    <row r="145" spans="1:50" ht="30" customHeight="1">
      <c r="A145" s="82"/>
      <c r="B145" s="85" t="s">
        <v>149</v>
      </c>
      <c r="C145" s="84">
        <v>0.25</v>
      </c>
      <c r="D145" s="83">
        <v>0.03</v>
      </c>
      <c r="E145" s="83">
        <v>0.03</v>
      </c>
      <c r="F145" s="78">
        <v>6.4274486986823634E-3</v>
      </c>
      <c r="G145" s="77">
        <v>0.25491250000000004</v>
      </c>
      <c r="H145" s="77">
        <v>1.5558272759220964</v>
      </c>
      <c r="I145" s="77">
        <v>1.3010605594898517</v>
      </c>
      <c r="J145" s="80">
        <v>0.99995250391043977</v>
      </c>
      <c r="K145" s="79">
        <v>4.9125000000000418E-3</v>
      </c>
      <c r="L145" s="77"/>
      <c r="M145" s="77"/>
      <c r="N145" s="78"/>
      <c r="O145" s="77"/>
      <c r="P145" s="77"/>
      <c r="Q145" s="77"/>
      <c r="R145" s="80"/>
      <c r="S145" s="79"/>
      <c r="T145" s="77"/>
      <c r="U145" s="77"/>
      <c r="V145" s="78"/>
      <c r="W145" s="77"/>
      <c r="X145" s="77"/>
      <c r="Y145" s="77"/>
      <c r="Z145" s="80"/>
      <c r="AA145" s="79"/>
      <c r="AB145" s="77"/>
      <c r="AC145" s="77"/>
      <c r="AD145" s="78"/>
      <c r="AE145" s="77"/>
      <c r="AF145" s="77"/>
      <c r="AG145" s="77"/>
      <c r="AH145" s="80"/>
      <c r="AI145" s="79"/>
      <c r="AJ145" s="77"/>
      <c r="AK145" s="77"/>
      <c r="AL145" s="78"/>
      <c r="AM145" s="77"/>
      <c r="AN145" s="77"/>
      <c r="AO145" s="77"/>
      <c r="AP145" s="80"/>
      <c r="AQ145" s="79"/>
      <c r="AR145" s="77"/>
      <c r="AS145" s="77"/>
      <c r="AT145" s="78"/>
      <c r="AU145" s="77"/>
      <c r="AV145" s="77"/>
      <c r="AW145" s="77"/>
      <c r="AX145" s="76"/>
    </row>
    <row r="146" spans="1:50" ht="30" customHeight="1">
      <c r="A146" s="82"/>
      <c r="B146" s="85" t="s">
        <v>150</v>
      </c>
      <c r="C146" s="84">
        <v>0.56599999999999995</v>
      </c>
      <c r="D146" s="83">
        <v>0.03</v>
      </c>
      <c r="E146" s="83">
        <v>0.03</v>
      </c>
      <c r="F146" s="78">
        <v>5.3398041222985091E-3</v>
      </c>
      <c r="G146" s="77">
        <v>0.54579375000000019</v>
      </c>
      <c r="H146" s="77">
        <v>1.872727869968295</v>
      </c>
      <c r="I146" s="77">
        <v>0.6113676192167492</v>
      </c>
      <c r="J146" s="80">
        <v>0.96668063633827128</v>
      </c>
      <c r="K146" s="79">
        <v>-2.0206249999999759E-2</v>
      </c>
      <c r="L146" s="77"/>
      <c r="M146" s="77"/>
      <c r="N146" s="78"/>
      <c r="O146" s="77"/>
      <c r="P146" s="77"/>
      <c r="Q146" s="77"/>
      <c r="R146" s="80"/>
      <c r="S146" s="79"/>
      <c r="T146" s="77"/>
      <c r="U146" s="77"/>
      <c r="V146" s="78"/>
      <c r="W146" s="77"/>
      <c r="X146" s="77"/>
      <c r="Y146" s="77"/>
      <c r="Z146" s="80"/>
      <c r="AA146" s="79"/>
      <c r="AB146" s="77"/>
      <c r="AC146" s="77"/>
      <c r="AD146" s="78"/>
      <c r="AE146" s="77"/>
      <c r="AF146" s="77"/>
      <c r="AG146" s="77"/>
      <c r="AH146" s="80"/>
      <c r="AI146" s="79"/>
      <c r="AJ146" s="77"/>
      <c r="AK146" s="77"/>
      <c r="AL146" s="78"/>
      <c r="AM146" s="77"/>
      <c r="AN146" s="77"/>
      <c r="AO146" s="77"/>
      <c r="AP146" s="80"/>
      <c r="AQ146" s="79"/>
      <c r="AR146" s="77"/>
      <c r="AS146" s="77"/>
      <c r="AT146" s="78"/>
      <c r="AU146" s="77"/>
      <c r="AV146" s="77"/>
      <c r="AW146" s="77"/>
      <c r="AX146" s="76"/>
    </row>
    <row r="147" spans="1:50" ht="30" customHeight="1">
      <c r="A147" s="82"/>
      <c r="B147" s="85" t="s">
        <v>151</v>
      </c>
      <c r="C147" s="84">
        <v>0.56599999999999995</v>
      </c>
      <c r="D147" s="83">
        <v>0.03</v>
      </c>
      <c r="E147" s="83">
        <v>0.03</v>
      </c>
      <c r="F147" s="78">
        <v>5.2745279562525825E-3</v>
      </c>
      <c r="G147" s="77">
        <v>0.5618749999999999</v>
      </c>
      <c r="H147" s="77">
        <v>1.8959042558767198</v>
      </c>
      <c r="I147" s="77">
        <v>1.6352174206936683</v>
      </c>
      <c r="J147" s="80">
        <v>0.99999953436406785</v>
      </c>
      <c r="K147" s="79">
        <v>-4.1250000000000453E-3</v>
      </c>
      <c r="L147" s="77"/>
      <c r="M147" s="77"/>
      <c r="N147" s="78"/>
      <c r="O147" s="77"/>
      <c r="P147" s="77"/>
      <c r="Q147" s="77"/>
      <c r="R147" s="80"/>
      <c r="S147" s="79"/>
      <c r="T147" s="77"/>
      <c r="U147" s="77"/>
      <c r="V147" s="78"/>
      <c r="W147" s="77"/>
      <c r="X147" s="77"/>
      <c r="Y147" s="77"/>
      <c r="Z147" s="80"/>
      <c r="AA147" s="79"/>
      <c r="AB147" s="77"/>
      <c r="AC147" s="77"/>
      <c r="AD147" s="78"/>
      <c r="AE147" s="77"/>
      <c r="AF147" s="77"/>
      <c r="AG147" s="77"/>
      <c r="AH147" s="80"/>
      <c r="AI147" s="79"/>
      <c r="AJ147" s="77"/>
      <c r="AK147" s="77"/>
      <c r="AL147" s="78"/>
      <c r="AM147" s="77"/>
      <c r="AN147" s="77"/>
      <c r="AO147" s="77"/>
      <c r="AP147" s="80"/>
      <c r="AQ147" s="79"/>
      <c r="AR147" s="77"/>
      <c r="AS147" s="77"/>
      <c r="AT147" s="78"/>
      <c r="AU147" s="77"/>
      <c r="AV147" s="77"/>
      <c r="AW147" s="77"/>
      <c r="AX147" s="76"/>
    </row>
    <row r="148" spans="1:50" ht="30" customHeight="1">
      <c r="A148" s="82"/>
      <c r="B148" s="85" t="s">
        <v>141</v>
      </c>
      <c r="C148" s="84">
        <v>1.25</v>
      </c>
      <c r="D148" s="83">
        <v>0.1</v>
      </c>
      <c r="E148" s="83">
        <v>0.1</v>
      </c>
      <c r="F148" s="78">
        <v>5.3064134962843212E-3</v>
      </c>
      <c r="G148" s="77">
        <v>1.2328062500000001</v>
      </c>
      <c r="H148" s="77">
        <v>6.2817067227561836</v>
      </c>
      <c r="I148" s="77">
        <v>5.2016457731122996</v>
      </c>
      <c r="J148" s="80">
        <v>1</v>
      </c>
      <c r="K148" s="79">
        <v>-1.7193749999999897E-2</v>
      </c>
      <c r="L148" s="77"/>
      <c r="M148" s="77"/>
      <c r="N148" s="78"/>
      <c r="O148" s="77"/>
      <c r="P148" s="77"/>
      <c r="Q148" s="77"/>
      <c r="R148" s="80"/>
      <c r="S148" s="79"/>
      <c r="T148" s="77"/>
      <c r="U148" s="77"/>
      <c r="V148" s="78"/>
      <c r="W148" s="77"/>
      <c r="X148" s="77"/>
      <c r="Y148" s="77"/>
      <c r="Z148" s="80"/>
      <c r="AA148" s="79"/>
      <c r="AB148" s="77"/>
      <c r="AC148" s="77"/>
      <c r="AD148" s="78"/>
      <c r="AE148" s="77"/>
      <c r="AF148" s="77"/>
      <c r="AG148" s="77"/>
      <c r="AH148" s="80"/>
      <c r="AI148" s="79"/>
      <c r="AJ148" s="77"/>
      <c r="AK148" s="77"/>
      <c r="AL148" s="78"/>
      <c r="AM148" s="77"/>
      <c r="AN148" s="77"/>
      <c r="AO148" s="77"/>
      <c r="AP148" s="80"/>
      <c r="AQ148" s="79"/>
      <c r="AR148" s="77"/>
      <c r="AS148" s="77"/>
      <c r="AT148" s="78"/>
      <c r="AU148" s="77"/>
      <c r="AV148" s="77"/>
      <c r="AW148" s="77"/>
      <c r="AX148" s="76"/>
    </row>
    <row r="149" spans="1:50" ht="30" customHeight="1">
      <c r="A149" s="82"/>
      <c r="B149" s="85" t="s">
        <v>152</v>
      </c>
      <c r="C149" s="84">
        <v>1.25</v>
      </c>
      <c r="D149" s="83">
        <v>0.05</v>
      </c>
      <c r="E149" s="83">
        <v>0.05</v>
      </c>
      <c r="F149" s="78">
        <v>6.4048746556695912E-3</v>
      </c>
      <c r="G149" s="77">
        <v>1.2255125000000004</v>
      </c>
      <c r="H149" s="77">
        <v>2.6021846738114318</v>
      </c>
      <c r="I149" s="77">
        <v>1.3277647298123076</v>
      </c>
      <c r="J149" s="80">
        <v>0.99996601673326613</v>
      </c>
      <c r="K149" s="79">
        <v>-2.4487499999999551E-2</v>
      </c>
      <c r="L149" s="77"/>
      <c r="M149" s="77"/>
      <c r="N149" s="78"/>
      <c r="O149" s="77"/>
      <c r="P149" s="77"/>
      <c r="Q149" s="77"/>
      <c r="R149" s="80"/>
      <c r="S149" s="79"/>
      <c r="T149" s="77"/>
      <c r="U149" s="77"/>
      <c r="V149" s="78"/>
      <c r="W149" s="77"/>
      <c r="X149" s="77"/>
      <c r="Y149" s="77"/>
      <c r="Z149" s="80"/>
      <c r="AA149" s="79"/>
      <c r="AB149" s="77"/>
      <c r="AC149" s="77"/>
      <c r="AD149" s="78"/>
      <c r="AE149" s="77"/>
      <c r="AF149" s="77"/>
      <c r="AG149" s="77"/>
      <c r="AH149" s="80"/>
      <c r="AI149" s="79"/>
      <c r="AJ149" s="77"/>
      <c r="AK149" s="77"/>
      <c r="AL149" s="78"/>
      <c r="AM149" s="77"/>
      <c r="AN149" s="77"/>
      <c r="AO149" s="77"/>
      <c r="AP149" s="80"/>
      <c r="AQ149" s="79"/>
      <c r="AR149" s="77"/>
      <c r="AS149" s="77"/>
      <c r="AT149" s="78"/>
      <c r="AU149" s="77"/>
      <c r="AV149" s="77"/>
      <c r="AW149" s="77"/>
      <c r="AX149" s="76"/>
    </row>
    <row r="150" spans="1:50" ht="30" customHeight="1">
      <c r="A150" s="82" t="s">
        <v>167</v>
      </c>
      <c r="B150" s="85" t="s">
        <v>137</v>
      </c>
      <c r="C150" s="84">
        <v>1.3</v>
      </c>
      <c r="D150" s="83">
        <v>0.03</v>
      </c>
      <c r="E150" s="83">
        <v>0.03</v>
      </c>
      <c r="F150" s="78">
        <v>5.4934335801937297E-3</v>
      </c>
      <c r="G150" s="77">
        <v>1.2855343750000001</v>
      </c>
      <c r="H150" s="77">
        <v>1.8203551301784104</v>
      </c>
      <c r="I150" s="77">
        <v>0.94260264084551337</v>
      </c>
      <c r="J150" s="80">
        <v>0.99765660410753143</v>
      </c>
      <c r="K150" s="79">
        <v>-1.4465624999999926E-2</v>
      </c>
      <c r="L150" s="77"/>
      <c r="M150" s="77"/>
      <c r="N150" s="78"/>
      <c r="O150" s="77"/>
      <c r="P150" s="77"/>
      <c r="Q150" s="77"/>
      <c r="R150" s="80"/>
      <c r="S150" s="79"/>
      <c r="T150" s="77"/>
      <c r="U150" s="77"/>
      <c r="V150" s="78"/>
      <c r="W150" s="77"/>
      <c r="X150" s="77"/>
      <c r="Y150" s="77"/>
      <c r="Z150" s="80"/>
      <c r="AA150" s="79"/>
      <c r="AB150" s="77"/>
      <c r="AC150" s="77"/>
      <c r="AD150" s="78"/>
      <c r="AE150" s="77"/>
      <c r="AF150" s="77"/>
      <c r="AG150" s="77"/>
      <c r="AH150" s="80"/>
      <c r="AI150" s="79"/>
      <c r="AJ150" s="77"/>
      <c r="AK150" s="77"/>
      <c r="AL150" s="78"/>
      <c r="AM150" s="77"/>
      <c r="AN150" s="77"/>
      <c r="AO150" s="77"/>
      <c r="AP150" s="80"/>
      <c r="AQ150" s="79"/>
      <c r="AR150" s="77"/>
      <c r="AS150" s="77"/>
      <c r="AT150" s="78"/>
      <c r="AU150" s="77"/>
      <c r="AV150" s="77"/>
      <c r="AW150" s="77"/>
      <c r="AX150" s="76"/>
    </row>
    <row r="151" spans="1:50" ht="30" customHeight="1">
      <c r="A151" s="82"/>
      <c r="B151" s="85" t="s">
        <v>142</v>
      </c>
      <c r="C151" s="84">
        <v>1</v>
      </c>
      <c r="D151" s="83">
        <v>0.04</v>
      </c>
      <c r="E151" s="83">
        <v>0.04</v>
      </c>
      <c r="F151" s="78">
        <v>3.1070533052935381E-3</v>
      </c>
      <c r="G151" s="77">
        <v>0.97790937500000019</v>
      </c>
      <c r="H151" s="77">
        <v>4.2913114205723879</v>
      </c>
      <c r="I151" s="77">
        <v>1.9213676368203629</v>
      </c>
      <c r="J151" s="80">
        <v>0.99999999589533428</v>
      </c>
      <c r="K151" s="79">
        <v>-2.2090624999999808E-2</v>
      </c>
      <c r="L151" s="77"/>
      <c r="M151" s="77"/>
      <c r="N151" s="78"/>
      <c r="O151" s="77"/>
      <c r="P151" s="77"/>
      <c r="Q151" s="77"/>
      <c r="R151" s="80"/>
      <c r="S151" s="79"/>
      <c r="T151" s="77"/>
      <c r="U151" s="77"/>
      <c r="V151" s="78"/>
      <c r="W151" s="77"/>
      <c r="X151" s="77"/>
      <c r="Y151" s="77"/>
      <c r="Z151" s="80"/>
      <c r="AA151" s="79"/>
      <c r="AB151" s="77"/>
      <c r="AC151" s="77"/>
      <c r="AD151" s="78"/>
      <c r="AE151" s="77"/>
      <c r="AF151" s="77"/>
      <c r="AG151" s="77"/>
      <c r="AH151" s="80"/>
      <c r="AI151" s="79"/>
      <c r="AJ151" s="77"/>
      <c r="AK151" s="77"/>
      <c r="AL151" s="78"/>
      <c r="AM151" s="77"/>
      <c r="AN151" s="77"/>
      <c r="AO151" s="77"/>
      <c r="AP151" s="80"/>
      <c r="AQ151" s="79"/>
      <c r="AR151" s="77"/>
      <c r="AS151" s="77"/>
      <c r="AT151" s="78"/>
      <c r="AU151" s="77"/>
      <c r="AV151" s="77"/>
      <c r="AW151" s="77"/>
      <c r="AX151" s="76"/>
    </row>
    <row r="152" spans="1:50" ht="30" customHeight="1">
      <c r="A152" s="82"/>
      <c r="B152" s="85" t="s">
        <v>143</v>
      </c>
      <c r="C152" s="84">
        <v>2.4</v>
      </c>
      <c r="D152" s="83">
        <v>0.04</v>
      </c>
      <c r="E152" s="83">
        <v>0.04</v>
      </c>
      <c r="F152" s="78">
        <v>3.3804809139643768E-3</v>
      </c>
      <c r="G152" s="77">
        <v>2.3654593749999995</v>
      </c>
      <c r="H152" s="77">
        <v>3.94421198423422</v>
      </c>
      <c r="I152" s="77">
        <v>0.53832330753567748</v>
      </c>
      <c r="J152" s="80">
        <v>0.94684139575768933</v>
      </c>
      <c r="K152" s="79">
        <v>-3.4540625000000436E-2</v>
      </c>
      <c r="L152" s="77"/>
      <c r="M152" s="77"/>
      <c r="N152" s="78"/>
      <c r="O152" s="77"/>
      <c r="P152" s="77"/>
      <c r="Q152" s="77"/>
      <c r="R152" s="80"/>
      <c r="S152" s="79"/>
      <c r="T152" s="77"/>
      <c r="U152" s="77"/>
      <c r="V152" s="78"/>
      <c r="W152" s="77"/>
      <c r="X152" s="77"/>
      <c r="Y152" s="77"/>
      <c r="Z152" s="80"/>
      <c r="AA152" s="79"/>
      <c r="AB152" s="77"/>
      <c r="AC152" s="77"/>
      <c r="AD152" s="78"/>
      <c r="AE152" s="77"/>
      <c r="AF152" s="77"/>
      <c r="AG152" s="77"/>
      <c r="AH152" s="80"/>
      <c r="AI152" s="79"/>
      <c r="AJ152" s="77"/>
      <c r="AK152" s="77"/>
      <c r="AL152" s="78"/>
      <c r="AM152" s="77"/>
      <c r="AN152" s="77"/>
      <c r="AO152" s="77"/>
      <c r="AP152" s="80"/>
      <c r="AQ152" s="79"/>
      <c r="AR152" s="77"/>
      <c r="AS152" s="77"/>
      <c r="AT152" s="78"/>
      <c r="AU152" s="77"/>
      <c r="AV152" s="77"/>
      <c r="AW152" s="77"/>
      <c r="AX152" s="76"/>
    </row>
    <row r="153" spans="1:50" ht="30" customHeight="1">
      <c r="A153" s="82"/>
      <c r="B153" s="85" t="s">
        <v>138</v>
      </c>
      <c r="C153" s="84">
        <v>3.3</v>
      </c>
      <c r="D153" s="83">
        <v>0.05</v>
      </c>
      <c r="E153" s="83">
        <v>0.05</v>
      </c>
      <c r="F153" s="78">
        <v>3.8052383249512095E-3</v>
      </c>
      <c r="G153" s="77">
        <v>3.2836875000000005</v>
      </c>
      <c r="H153" s="77">
        <v>4.3799271539399065</v>
      </c>
      <c r="I153" s="77">
        <v>2.9509759199670693</v>
      </c>
      <c r="J153" s="80">
        <v>1</v>
      </c>
      <c r="K153" s="79">
        <v>-1.6312499999999286E-2</v>
      </c>
      <c r="L153" s="77"/>
      <c r="M153" s="77"/>
      <c r="N153" s="78"/>
      <c r="O153" s="77"/>
      <c r="P153" s="77"/>
      <c r="Q153" s="77"/>
      <c r="R153" s="80"/>
      <c r="S153" s="79"/>
      <c r="T153" s="77"/>
      <c r="U153" s="77"/>
      <c r="V153" s="78"/>
      <c r="W153" s="77"/>
      <c r="X153" s="77"/>
      <c r="Y153" s="77"/>
      <c r="Z153" s="80"/>
      <c r="AA153" s="79"/>
      <c r="AB153" s="77"/>
      <c r="AC153" s="77"/>
      <c r="AD153" s="78"/>
      <c r="AE153" s="77"/>
      <c r="AF153" s="77"/>
      <c r="AG153" s="77"/>
      <c r="AH153" s="80"/>
      <c r="AI153" s="79"/>
      <c r="AJ153" s="77"/>
      <c r="AK153" s="77"/>
      <c r="AL153" s="78"/>
      <c r="AM153" s="77"/>
      <c r="AN153" s="77"/>
      <c r="AO153" s="77"/>
      <c r="AP153" s="80"/>
      <c r="AQ153" s="79"/>
      <c r="AR153" s="77"/>
      <c r="AS153" s="77"/>
      <c r="AT153" s="78"/>
      <c r="AU153" s="77"/>
      <c r="AV153" s="77"/>
      <c r="AW153" s="77"/>
      <c r="AX153" s="76"/>
    </row>
    <row r="154" spans="1:50" ht="30" customHeight="1">
      <c r="A154" s="82"/>
      <c r="B154" s="85" t="s">
        <v>140</v>
      </c>
      <c r="C154" s="84">
        <v>0.86</v>
      </c>
      <c r="D154" s="83">
        <v>0.05</v>
      </c>
      <c r="E154" s="83">
        <v>0.05</v>
      </c>
      <c r="F154" s="78">
        <v>4.6583907992685325E-3</v>
      </c>
      <c r="G154" s="77">
        <v>0.82289374999999998</v>
      </c>
      <c r="H154" s="77">
        <v>3.577773395328641</v>
      </c>
      <c r="I154" s="77">
        <v>0.92261831432037522</v>
      </c>
      <c r="J154" s="80">
        <v>0.99717867178761399</v>
      </c>
      <c r="K154" s="79">
        <v>-3.7106250000000007E-2</v>
      </c>
      <c r="L154" s="77"/>
      <c r="M154" s="77"/>
      <c r="N154" s="78"/>
      <c r="O154" s="77"/>
      <c r="P154" s="77"/>
      <c r="Q154" s="77"/>
      <c r="R154" s="80"/>
      <c r="S154" s="79"/>
      <c r="T154" s="77"/>
      <c r="U154" s="77"/>
      <c r="V154" s="78"/>
      <c r="W154" s="77"/>
      <c r="X154" s="77"/>
      <c r="Y154" s="77"/>
      <c r="Z154" s="80"/>
      <c r="AA154" s="79"/>
      <c r="AB154" s="77"/>
      <c r="AC154" s="77"/>
      <c r="AD154" s="78"/>
      <c r="AE154" s="77"/>
      <c r="AF154" s="77"/>
      <c r="AG154" s="77"/>
      <c r="AH154" s="80"/>
      <c r="AI154" s="79"/>
      <c r="AJ154" s="77"/>
      <c r="AK154" s="77"/>
      <c r="AL154" s="78"/>
      <c r="AM154" s="77"/>
      <c r="AN154" s="77"/>
      <c r="AO154" s="77"/>
      <c r="AP154" s="80"/>
      <c r="AQ154" s="79"/>
      <c r="AR154" s="77"/>
      <c r="AS154" s="77"/>
      <c r="AT154" s="78"/>
      <c r="AU154" s="77"/>
      <c r="AV154" s="77"/>
      <c r="AW154" s="77"/>
      <c r="AX154" s="76"/>
    </row>
    <row r="155" spans="1:50" ht="30" customHeight="1">
      <c r="A155" s="82"/>
      <c r="B155" s="85" t="s">
        <v>139</v>
      </c>
      <c r="C155" s="84">
        <v>0.86</v>
      </c>
      <c r="D155" s="83">
        <v>0.05</v>
      </c>
      <c r="E155" s="83">
        <v>0.05</v>
      </c>
      <c r="F155" s="78">
        <v>4.9550194491985045E-3</v>
      </c>
      <c r="G155" s="77">
        <v>0.82360624999999976</v>
      </c>
      <c r="H155" s="77">
        <v>3.3635925827420485</v>
      </c>
      <c r="I155" s="77">
        <v>0.91531763157866708</v>
      </c>
      <c r="J155" s="80">
        <v>0.99698322870167555</v>
      </c>
      <c r="K155" s="79">
        <v>-3.6393750000000225E-2</v>
      </c>
      <c r="L155" s="77"/>
      <c r="M155" s="77"/>
      <c r="N155" s="78"/>
      <c r="O155" s="77"/>
      <c r="P155" s="77"/>
      <c r="Q155" s="77"/>
      <c r="R155" s="80"/>
      <c r="S155" s="79"/>
      <c r="T155" s="77"/>
      <c r="U155" s="77"/>
      <c r="V155" s="78"/>
      <c r="W155" s="77"/>
      <c r="X155" s="77"/>
      <c r="Y155" s="77"/>
      <c r="Z155" s="80"/>
      <c r="AA155" s="79"/>
      <c r="AB155" s="77"/>
      <c r="AC155" s="77"/>
      <c r="AD155" s="78"/>
      <c r="AE155" s="77"/>
      <c r="AF155" s="77"/>
      <c r="AG155" s="77"/>
      <c r="AH155" s="80"/>
      <c r="AI155" s="79"/>
      <c r="AJ155" s="77"/>
      <c r="AK155" s="77"/>
      <c r="AL155" s="78"/>
      <c r="AM155" s="77"/>
      <c r="AN155" s="77"/>
      <c r="AO155" s="77"/>
      <c r="AP155" s="80"/>
      <c r="AQ155" s="79"/>
      <c r="AR155" s="77"/>
      <c r="AS155" s="77"/>
      <c r="AT155" s="78"/>
      <c r="AU155" s="77"/>
      <c r="AV155" s="77"/>
      <c r="AW155" s="77"/>
      <c r="AX155" s="76"/>
    </row>
    <row r="156" spans="1:50" ht="30" customHeight="1">
      <c r="A156" s="82"/>
      <c r="B156" s="85" t="s">
        <v>144</v>
      </c>
      <c r="C156" s="84">
        <v>2.9</v>
      </c>
      <c r="D156" s="83">
        <v>0.05</v>
      </c>
      <c r="E156" s="83">
        <v>0.05</v>
      </c>
      <c r="F156" s="78">
        <v>3.6783093504243842E-3</v>
      </c>
      <c r="G156" s="77">
        <v>2.8602812499999999</v>
      </c>
      <c r="H156" s="77">
        <v>4.5310671503862761</v>
      </c>
      <c r="I156" s="77">
        <v>0.93170068279816298</v>
      </c>
      <c r="J156" s="80">
        <v>0.99740583326033849</v>
      </c>
      <c r="K156" s="79">
        <v>-3.9718750000000025E-2</v>
      </c>
      <c r="L156" s="77"/>
      <c r="M156" s="77"/>
      <c r="N156" s="78"/>
      <c r="O156" s="77"/>
      <c r="P156" s="77"/>
      <c r="Q156" s="77"/>
      <c r="R156" s="80"/>
      <c r="S156" s="79"/>
      <c r="T156" s="77"/>
      <c r="U156" s="77"/>
      <c r="V156" s="78"/>
      <c r="W156" s="77"/>
      <c r="X156" s="77"/>
      <c r="Y156" s="77"/>
      <c r="Z156" s="80"/>
      <c r="AA156" s="79"/>
      <c r="AB156" s="77"/>
      <c r="AC156" s="77"/>
      <c r="AD156" s="78"/>
      <c r="AE156" s="77"/>
      <c r="AF156" s="77"/>
      <c r="AG156" s="77"/>
      <c r="AH156" s="80"/>
      <c r="AI156" s="79"/>
      <c r="AJ156" s="77"/>
      <c r="AK156" s="77"/>
      <c r="AL156" s="78"/>
      <c r="AM156" s="77"/>
      <c r="AN156" s="77"/>
      <c r="AO156" s="77"/>
      <c r="AP156" s="80"/>
      <c r="AQ156" s="79"/>
      <c r="AR156" s="77"/>
      <c r="AS156" s="77"/>
      <c r="AT156" s="78"/>
      <c r="AU156" s="77"/>
      <c r="AV156" s="77"/>
      <c r="AW156" s="77"/>
      <c r="AX156" s="76"/>
    </row>
    <row r="157" spans="1:50" ht="30" customHeight="1">
      <c r="A157" s="82"/>
      <c r="B157" s="85" t="s">
        <v>145</v>
      </c>
      <c r="C157" s="84">
        <v>0.3</v>
      </c>
      <c r="D157" s="83">
        <v>0.03</v>
      </c>
      <c r="E157" s="83">
        <v>0.03</v>
      </c>
      <c r="F157" s="78">
        <v>3.9492024000770346E-3</v>
      </c>
      <c r="G157" s="77">
        <v>0.32298437499999993</v>
      </c>
      <c r="H157" s="77">
        <v>2.53215687294349</v>
      </c>
      <c r="I157" s="77">
        <v>0.59215543539147519</v>
      </c>
      <c r="J157" s="80">
        <v>0.96217195465296512</v>
      </c>
      <c r="K157" s="79">
        <v>2.2984374999999946E-2</v>
      </c>
      <c r="L157" s="77"/>
      <c r="M157" s="77"/>
      <c r="N157" s="78"/>
      <c r="O157" s="77"/>
      <c r="P157" s="77"/>
      <c r="Q157" s="77"/>
      <c r="R157" s="80"/>
      <c r="S157" s="79"/>
      <c r="T157" s="77"/>
      <c r="U157" s="77"/>
      <c r="V157" s="78"/>
      <c r="W157" s="77"/>
      <c r="X157" s="77"/>
      <c r="Y157" s="77"/>
      <c r="Z157" s="80"/>
      <c r="AA157" s="79"/>
      <c r="AB157" s="77"/>
      <c r="AC157" s="77"/>
      <c r="AD157" s="78"/>
      <c r="AE157" s="77"/>
      <c r="AF157" s="77"/>
      <c r="AG157" s="77"/>
      <c r="AH157" s="80"/>
      <c r="AI157" s="79"/>
      <c r="AJ157" s="77"/>
      <c r="AK157" s="77"/>
      <c r="AL157" s="78"/>
      <c r="AM157" s="77"/>
      <c r="AN157" s="77"/>
      <c r="AO157" s="77"/>
      <c r="AP157" s="80"/>
      <c r="AQ157" s="79"/>
      <c r="AR157" s="77"/>
      <c r="AS157" s="77"/>
      <c r="AT157" s="78"/>
      <c r="AU157" s="77"/>
      <c r="AV157" s="77"/>
      <c r="AW157" s="77"/>
      <c r="AX157" s="76"/>
    </row>
    <row r="158" spans="1:50" ht="30" customHeight="1">
      <c r="A158" s="82"/>
      <c r="B158" s="85" t="s">
        <v>146</v>
      </c>
      <c r="C158" s="84">
        <v>0.3</v>
      </c>
      <c r="D158" s="83">
        <v>0.03</v>
      </c>
      <c r="E158" s="83">
        <v>0.03</v>
      </c>
      <c r="F158" s="78">
        <v>3.6764494069598604E-3</v>
      </c>
      <c r="G158" s="77">
        <v>0.32327187499999993</v>
      </c>
      <c r="H158" s="77">
        <v>2.7200156708450987</v>
      </c>
      <c r="I158" s="77">
        <v>0.61002018118015922</v>
      </c>
      <c r="J158" s="80">
        <v>0.96637955694384969</v>
      </c>
      <c r="K158" s="79">
        <v>2.3271874999999942E-2</v>
      </c>
      <c r="L158" s="77"/>
      <c r="M158" s="77"/>
      <c r="N158" s="78"/>
      <c r="O158" s="77"/>
      <c r="P158" s="77"/>
      <c r="Q158" s="77"/>
      <c r="R158" s="80"/>
      <c r="S158" s="79"/>
      <c r="T158" s="77"/>
      <c r="U158" s="77"/>
      <c r="V158" s="78"/>
      <c r="W158" s="77"/>
      <c r="X158" s="77"/>
      <c r="Y158" s="77"/>
      <c r="Z158" s="80"/>
      <c r="AA158" s="79"/>
      <c r="AB158" s="77"/>
      <c r="AC158" s="77"/>
      <c r="AD158" s="78"/>
      <c r="AE158" s="77"/>
      <c r="AF158" s="77"/>
      <c r="AG158" s="77"/>
      <c r="AH158" s="80"/>
      <c r="AI158" s="79"/>
      <c r="AJ158" s="77"/>
      <c r="AK158" s="77"/>
      <c r="AL158" s="78"/>
      <c r="AM158" s="77"/>
      <c r="AN158" s="77"/>
      <c r="AO158" s="77"/>
      <c r="AP158" s="80"/>
      <c r="AQ158" s="79"/>
      <c r="AR158" s="77"/>
      <c r="AS158" s="77"/>
      <c r="AT158" s="78"/>
      <c r="AU158" s="77"/>
      <c r="AV158" s="77"/>
      <c r="AW158" s="77"/>
      <c r="AX158" s="76"/>
    </row>
    <row r="159" spans="1:50" ht="30" customHeight="1">
      <c r="A159" s="82"/>
      <c r="B159" s="85" t="s">
        <v>147</v>
      </c>
      <c r="C159" s="84">
        <v>0.25</v>
      </c>
      <c r="D159" s="83">
        <v>0.03</v>
      </c>
      <c r="E159" s="83">
        <v>0.03</v>
      </c>
      <c r="F159" s="78">
        <v>5.7959072044487196E-3</v>
      </c>
      <c r="G159" s="77">
        <v>0.23321875000000003</v>
      </c>
      <c r="H159" s="77">
        <v>1.725355435698553</v>
      </c>
      <c r="I159" s="77">
        <v>0.7602347388546763</v>
      </c>
      <c r="J159" s="80">
        <v>0.98871702225332425</v>
      </c>
      <c r="K159" s="79">
        <v>-1.678124999999997E-2</v>
      </c>
      <c r="L159" s="77"/>
      <c r="M159" s="77"/>
      <c r="N159" s="78"/>
      <c r="O159" s="77"/>
      <c r="P159" s="77"/>
      <c r="Q159" s="77"/>
      <c r="R159" s="80"/>
      <c r="S159" s="79"/>
      <c r="T159" s="77"/>
      <c r="U159" s="77"/>
      <c r="V159" s="78"/>
      <c r="W159" s="77"/>
      <c r="X159" s="77"/>
      <c r="Y159" s="77"/>
      <c r="Z159" s="80"/>
      <c r="AA159" s="79"/>
      <c r="AB159" s="77"/>
      <c r="AC159" s="77"/>
      <c r="AD159" s="78"/>
      <c r="AE159" s="77"/>
      <c r="AF159" s="77"/>
      <c r="AG159" s="77"/>
      <c r="AH159" s="80"/>
      <c r="AI159" s="79"/>
      <c r="AJ159" s="77"/>
      <c r="AK159" s="77"/>
      <c r="AL159" s="78"/>
      <c r="AM159" s="77"/>
      <c r="AN159" s="77"/>
      <c r="AO159" s="77"/>
      <c r="AP159" s="80"/>
      <c r="AQ159" s="79"/>
      <c r="AR159" s="77"/>
      <c r="AS159" s="77"/>
      <c r="AT159" s="78"/>
      <c r="AU159" s="77"/>
      <c r="AV159" s="77"/>
      <c r="AW159" s="77"/>
      <c r="AX159" s="76"/>
    </row>
    <row r="160" spans="1:50" ht="30" customHeight="1">
      <c r="A160" s="82"/>
      <c r="B160" s="85" t="s">
        <v>148</v>
      </c>
      <c r="C160" s="84">
        <v>0.25</v>
      </c>
      <c r="D160" s="83">
        <v>0.03</v>
      </c>
      <c r="E160" s="83">
        <v>0.03</v>
      </c>
      <c r="F160" s="78">
        <v>8.6838350937522898E-3</v>
      </c>
      <c r="G160" s="77">
        <v>0.24034374999999997</v>
      </c>
      <c r="H160" s="77">
        <v>1.1515649355426669</v>
      </c>
      <c r="I160" s="77">
        <v>0.78090497191486941</v>
      </c>
      <c r="J160" s="80">
        <v>0.99042552001951989</v>
      </c>
      <c r="K160" s="79">
        <v>-9.6562500000000329E-3</v>
      </c>
      <c r="L160" s="77"/>
      <c r="M160" s="77"/>
      <c r="N160" s="78"/>
      <c r="O160" s="77"/>
      <c r="P160" s="77"/>
      <c r="Q160" s="77"/>
      <c r="R160" s="80"/>
      <c r="S160" s="79"/>
      <c r="T160" s="77"/>
      <c r="U160" s="77"/>
      <c r="V160" s="78"/>
      <c r="W160" s="77"/>
      <c r="X160" s="77"/>
      <c r="Y160" s="77"/>
      <c r="Z160" s="80"/>
      <c r="AA160" s="79"/>
      <c r="AB160" s="77"/>
      <c r="AC160" s="77"/>
      <c r="AD160" s="78"/>
      <c r="AE160" s="77"/>
      <c r="AF160" s="77"/>
      <c r="AG160" s="77"/>
      <c r="AH160" s="80"/>
      <c r="AI160" s="79"/>
      <c r="AJ160" s="77"/>
      <c r="AK160" s="77"/>
      <c r="AL160" s="78"/>
      <c r="AM160" s="77"/>
      <c r="AN160" s="77"/>
      <c r="AO160" s="77"/>
      <c r="AP160" s="80"/>
      <c r="AQ160" s="79"/>
      <c r="AR160" s="77"/>
      <c r="AS160" s="77"/>
      <c r="AT160" s="78"/>
      <c r="AU160" s="77"/>
      <c r="AV160" s="77"/>
      <c r="AW160" s="77"/>
      <c r="AX160" s="76"/>
    </row>
    <row r="161" spans="1:50" ht="30" customHeight="1">
      <c r="A161" s="82"/>
      <c r="B161" s="85" t="s">
        <v>149</v>
      </c>
      <c r="C161" s="84">
        <v>0.25</v>
      </c>
      <c r="D161" s="83">
        <v>0.03</v>
      </c>
      <c r="E161" s="83">
        <v>0.03</v>
      </c>
      <c r="F161" s="78">
        <v>8.6169463334120414E-3</v>
      </c>
      <c r="G161" s="77">
        <v>0.24302812500000004</v>
      </c>
      <c r="H161" s="77">
        <v>1.1605039201909846</v>
      </c>
      <c r="I161" s="77">
        <v>0.89080764457160155</v>
      </c>
      <c r="J161" s="80">
        <v>0.99622580698304009</v>
      </c>
      <c r="K161" s="79">
        <v>-6.9718749999999607E-3</v>
      </c>
      <c r="L161" s="77"/>
      <c r="M161" s="77"/>
      <c r="N161" s="78"/>
      <c r="O161" s="77"/>
      <c r="P161" s="77"/>
      <c r="Q161" s="77"/>
      <c r="R161" s="80"/>
      <c r="S161" s="79"/>
      <c r="T161" s="77"/>
      <c r="U161" s="77"/>
      <c r="V161" s="78"/>
      <c r="W161" s="77"/>
      <c r="X161" s="77"/>
      <c r="Y161" s="77"/>
      <c r="Z161" s="80"/>
      <c r="AA161" s="79"/>
      <c r="AB161" s="77"/>
      <c r="AC161" s="77"/>
      <c r="AD161" s="78"/>
      <c r="AE161" s="77"/>
      <c r="AF161" s="77"/>
      <c r="AG161" s="77"/>
      <c r="AH161" s="80"/>
      <c r="AI161" s="79"/>
      <c r="AJ161" s="77"/>
      <c r="AK161" s="77"/>
      <c r="AL161" s="78"/>
      <c r="AM161" s="77"/>
      <c r="AN161" s="77"/>
      <c r="AO161" s="77"/>
      <c r="AP161" s="80"/>
      <c r="AQ161" s="79"/>
      <c r="AR161" s="77"/>
      <c r="AS161" s="77"/>
      <c r="AT161" s="78"/>
      <c r="AU161" s="77"/>
      <c r="AV161" s="77"/>
      <c r="AW161" s="77"/>
      <c r="AX161" s="76"/>
    </row>
    <row r="162" spans="1:50" ht="30" customHeight="1">
      <c r="A162" s="82"/>
      <c r="B162" s="85" t="s">
        <v>150</v>
      </c>
      <c r="C162" s="84">
        <v>0.56599999999999995</v>
      </c>
      <c r="D162" s="83">
        <v>0.03</v>
      </c>
      <c r="E162" s="83">
        <v>0.03</v>
      </c>
      <c r="F162" s="78">
        <v>7.7825694405366059E-3</v>
      </c>
      <c r="G162" s="77">
        <v>0.54907500000000009</v>
      </c>
      <c r="H162" s="77">
        <v>1.2849226822074475</v>
      </c>
      <c r="I162" s="77">
        <v>0.56001213566208596</v>
      </c>
      <c r="J162" s="80">
        <v>0.95352488295987037</v>
      </c>
      <c r="K162" s="79">
        <v>-1.6924999999999857E-2</v>
      </c>
      <c r="L162" s="77"/>
      <c r="M162" s="77"/>
      <c r="N162" s="78"/>
      <c r="O162" s="77"/>
      <c r="P162" s="77"/>
      <c r="Q162" s="77"/>
      <c r="R162" s="80"/>
      <c r="S162" s="79"/>
      <c r="T162" s="77"/>
      <c r="U162" s="77"/>
      <c r="V162" s="78"/>
      <c r="W162" s="77"/>
      <c r="X162" s="77"/>
      <c r="Y162" s="77"/>
      <c r="Z162" s="80"/>
      <c r="AA162" s="79"/>
      <c r="AB162" s="77"/>
      <c r="AC162" s="77"/>
      <c r="AD162" s="78"/>
      <c r="AE162" s="77"/>
      <c r="AF162" s="77"/>
      <c r="AG162" s="77"/>
      <c r="AH162" s="80"/>
      <c r="AI162" s="79"/>
      <c r="AJ162" s="77"/>
      <c r="AK162" s="77"/>
      <c r="AL162" s="78"/>
      <c r="AM162" s="77"/>
      <c r="AN162" s="77"/>
      <c r="AO162" s="77"/>
      <c r="AP162" s="80"/>
      <c r="AQ162" s="79"/>
      <c r="AR162" s="77"/>
      <c r="AS162" s="77"/>
      <c r="AT162" s="78"/>
      <c r="AU162" s="77"/>
      <c r="AV162" s="77"/>
      <c r="AW162" s="77"/>
      <c r="AX162" s="76"/>
    </row>
    <row r="163" spans="1:50" ht="30" customHeight="1">
      <c r="A163" s="82"/>
      <c r="B163" s="85" t="s">
        <v>151</v>
      </c>
      <c r="C163" s="84">
        <v>0.56599999999999995</v>
      </c>
      <c r="D163" s="83">
        <v>0.03</v>
      </c>
      <c r="E163" s="83">
        <v>0.03</v>
      </c>
      <c r="F163" s="78">
        <v>5.2020118626695516E-3</v>
      </c>
      <c r="G163" s="77">
        <v>0.55686874999999991</v>
      </c>
      <c r="H163" s="77">
        <v>1.9223331787767668</v>
      </c>
      <c r="I163" s="77">
        <v>1.3372230174865867</v>
      </c>
      <c r="J163" s="80">
        <v>0.99996985450988429</v>
      </c>
      <c r="K163" s="79">
        <v>-9.1312500000000352E-3</v>
      </c>
      <c r="L163" s="77"/>
      <c r="M163" s="77"/>
      <c r="N163" s="78"/>
      <c r="O163" s="77"/>
      <c r="P163" s="77"/>
      <c r="Q163" s="77"/>
      <c r="R163" s="80"/>
      <c r="S163" s="79"/>
      <c r="T163" s="77"/>
      <c r="U163" s="77"/>
      <c r="V163" s="78"/>
      <c r="W163" s="77"/>
      <c r="X163" s="77"/>
      <c r="Y163" s="77"/>
      <c r="Z163" s="80"/>
      <c r="AA163" s="79"/>
      <c r="AB163" s="77"/>
      <c r="AC163" s="77"/>
      <c r="AD163" s="78"/>
      <c r="AE163" s="77"/>
      <c r="AF163" s="77"/>
      <c r="AG163" s="77"/>
      <c r="AH163" s="80"/>
      <c r="AI163" s="79"/>
      <c r="AJ163" s="77"/>
      <c r="AK163" s="77"/>
      <c r="AL163" s="78"/>
      <c r="AM163" s="77"/>
      <c r="AN163" s="77"/>
      <c r="AO163" s="77"/>
      <c r="AP163" s="80"/>
      <c r="AQ163" s="79"/>
      <c r="AR163" s="77"/>
      <c r="AS163" s="77"/>
      <c r="AT163" s="78"/>
      <c r="AU163" s="77"/>
      <c r="AV163" s="77"/>
      <c r="AW163" s="77"/>
      <c r="AX163" s="76"/>
    </row>
    <row r="164" spans="1:50" ht="30" customHeight="1">
      <c r="A164" s="82"/>
      <c r="B164" s="85" t="s">
        <v>141</v>
      </c>
      <c r="C164" s="84">
        <v>1.25</v>
      </c>
      <c r="D164" s="83">
        <v>0.1</v>
      </c>
      <c r="E164" s="83">
        <v>0.1</v>
      </c>
      <c r="F164" s="78">
        <v>3.1889915864908979E-3</v>
      </c>
      <c r="G164" s="77">
        <v>1.2268531249999999</v>
      </c>
      <c r="H164" s="77">
        <v>10.45262504753507</v>
      </c>
      <c r="I164" s="77">
        <v>8.033168993563427</v>
      </c>
      <c r="J164" s="80">
        <v>1</v>
      </c>
      <c r="K164" s="79">
        <v>-2.3146875000000122E-2</v>
      </c>
      <c r="L164" s="77"/>
      <c r="M164" s="77"/>
      <c r="N164" s="78"/>
      <c r="O164" s="77"/>
      <c r="P164" s="77"/>
      <c r="Q164" s="77"/>
      <c r="R164" s="80"/>
      <c r="S164" s="79"/>
      <c r="T164" s="77"/>
      <c r="U164" s="77"/>
      <c r="V164" s="78"/>
      <c r="W164" s="77"/>
      <c r="X164" s="77"/>
      <c r="Y164" s="77"/>
      <c r="Z164" s="80"/>
      <c r="AA164" s="79"/>
      <c r="AB164" s="77"/>
      <c r="AC164" s="77"/>
      <c r="AD164" s="78"/>
      <c r="AE164" s="77"/>
      <c r="AF164" s="77"/>
      <c r="AG164" s="77"/>
      <c r="AH164" s="80"/>
      <c r="AI164" s="79"/>
      <c r="AJ164" s="77"/>
      <c r="AK164" s="77"/>
      <c r="AL164" s="78"/>
      <c r="AM164" s="77"/>
      <c r="AN164" s="77"/>
      <c r="AO164" s="77"/>
      <c r="AP164" s="80"/>
      <c r="AQ164" s="79"/>
      <c r="AR164" s="77"/>
      <c r="AS164" s="77"/>
      <c r="AT164" s="78"/>
      <c r="AU164" s="77"/>
      <c r="AV164" s="77"/>
      <c r="AW164" s="77"/>
      <c r="AX164" s="76"/>
    </row>
    <row r="165" spans="1:50" ht="30" customHeight="1">
      <c r="A165" s="82"/>
      <c r="B165" s="85" t="s">
        <v>152</v>
      </c>
      <c r="C165" s="84">
        <v>1.25</v>
      </c>
      <c r="D165" s="83">
        <v>0.05</v>
      </c>
      <c r="E165" s="83">
        <v>0.05</v>
      </c>
      <c r="F165" s="78">
        <v>5.3636432911630758E-3</v>
      </c>
      <c r="G165" s="77">
        <v>1.2102312500000001</v>
      </c>
      <c r="H165" s="77">
        <v>3.1073406194118114</v>
      </c>
      <c r="I165" s="77">
        <v>0.63583957424714987</v>
      </c>
      <c r="J165" s="80">
        <v>0.97177327555128479</v>
      </c>
      <c r="K165" s="79">
        <v>-3.9768749999999908E-2</v>
      </c>
      <c r="L165" s="77"/>
      <c r="M165" s="77"/>
      <c r="N165" s="78"/>
      <c r="O165" s="77"/>
      <c r="P165" s="77"/>
      <c r="Q165" s="77"/>
      <c r="R165" s="80"/>
      <c r="S165" s="79"/>
      <c r="T165" s="77"/>
      <c r="U165" s="77"/>
      <c r="V165" s="78"/>
      <c r="W165" s="77"/>
      <c r="X165" s="77"/>
      <c r="Y165" s="77"/>
      <c r="Z165" s="80"/>
      <c r="AA165" s="79"/>
      <c r="AB165" s="77"/>
      <c r="AC165" s="77"/>
      <c r="AD165" s="78"/>
      <c r="AE165" s="77"/>
      <c r="AF165" s="77"/>
      <c r="AG165" s="77"/>
      <c r="AH165" s="80"/>
      <c r="AI165" s="79"/>
      <c r="AJ165" s="77"/>
      <c r="AK165" s="77"/>
      <c r="AL165" s="78"/>
      <c r="AM165" s="77"/>
      <c r="AN165" s="77"/>
      <c r="AO165" s="77"/>
      <c r="AP165" s="80"/>
      <c r="AQ165" s="79"/>
      <c r="AR165" s="77"/>
      <c r="AS165" s="77"/>
      <c r="AT165" s="78"/>
      <c r="AU165" s="77"/>
      <c r="AV165" s="77"/>
      <c r="AW165" s="77"/>
      <c r="AX165" s="76"/>
    </row>
    <row r="166" spans="1:50" ht="30" customHeight="1">
      <c r="A166" s="82" t="s">
        <v>168</v>
      </c>
      <c r="B166" s="85" t="s">
        <v>137</v>
      </c>
      <c r="C166" s="84">
        <v>1.3</v>
      </c>
      <c r="D166" s="83">
        <v>0.03</v>
      </c>
      <c r="E166" s="83">
        <v>0.03</v>
      </c>
      <c r="F166" s="78">
        <v>7.7354956625390863E-3</v>
      </c>
      <c r="G166" s="77">
        <v>1.2873781249999998</v>
      </c>
      <c r="H166" s="77">
        <v>1.2927419827054272</v>
      </c>
      <c r="I166" s="77">
        <v>0.74884772560674906</v>
      </c>
      <c r="J166" s="80">
        <v>0.98766536345457767</v>
      </c>
      <c r="K166" s="79">
        <v>-1.2621875000000227E-2</v>
      </c>
      <c r="L166" s="77"/>
      <c r="M166" s="77"/>
      <c r="N166" s="78"/>
      <c r="O166" s="77"/>
      <c r="P166" s="77"/>
      <c r="Q166" s="77"/>
      <c r="R166" s="80"/>
      <c r="S166" s="79"/>
      <c r="T166" s="77"/>
      <c r="U166" s="77"/>
      <c r="V166" s="78"/>
      <c r="W166" s="77"/>
      <c r="X166" s="77"/>
      <c r="Y166" s="77"/>
      <c r="Z166" s="80"/>
      <c r="AA166" s="79"/>
      <c r="AB166" s="77"/>
      <c r="AC166" s="77"/>
      <c r="AD166" s="78"/>
      <c r="AE166" s="77"/>
      <c r="AF166" s="77"/>
      <c r="AG166" s="77"/>
      <c r="AH166" s="80"/>
      <c r="AI166" s="79"/>
      <c r="AJ166" s="77"/>
      <c r="AK166" s="77"/>
      <c r="AL166" s="78"/>
      <c r="AM166" s="77"/>
      <c r="AN166" s="77"/>
      <c r="AO166" s="77"/>
      <c r="AP166" s="80"/>
      <c r="AQ166" s="79"/>
      <c r="AR166" s="77"/>
      <c r="AS166" s="77"/>
      <c r="AT166" s="78"/>
      <c r="AU166" s="77"/>
      <c r="AV166" s="77"/>
      <c r="AW166" s="77"/>
      <c r="AX166" s="76"/>
    </row>
    <row r="167" spans="1:50" ht="30" customHeight="1">
      <c r="A167" s="82"/>
      <c r="B167" s="85" t="s">
        <v>142</v>
      </c>
      <c r="C167" s="84">
        <v>1</v>
      </c>
      <c r="D167" s="83">
        <v>0.04</v>
      </c>
      <c r="E167" s="83">
        <v>0.04</v>
      </c>
      <c r="F167" s="78">
        <v>3.441721015478605E-3</v>
      </c>
      <c r="G167" s="77">
        <v>0.98176875000000008</v>
      </c>
      <c r="H167" s="77">
        <v>3.8740308332281299</v>
      </c>
      <c r="I167" s="77">
        <v>2.1083202175208804</v>
      </c>
      <c r="J167" s="80">
        <v>0.99999999987335142</v>
      </c>
      <c r="K167" s="79">
        <v>-1.8231249999999921E-2</v>
      </c>
      <c r="L167" s="77"/>
      <c r="M167" s="77"/>
      <c r="N167" s="78"/>
      <c r="O167" s="77"/>
      <c r="P167" s="77"/>
      <c r="Q167" s="77"/>
      <c r="R167" s="80"/>
      <c r="S167" s="79"/>
      <c r="T167" s="77"/>
      <c r="U167" s="77"/>
      <c r="V167" s="78"/>
      <c r="W167" s="77"/>
      <c r="X167" s="77"/>
      <c r="Y167" s="77"/>
      <c r="Z167" s="80"/>
      <c r="AA167" s="79"/>
      <c r="AB167" s="77"/>
      <c r="AC167" s="77"/>
      <c r="AD167" s="78"/>
      <c r="AE167" s="77"/>
      <c r="AF167" s="77"/>
      <c r="AG167" s="77"/>
      <c r="AH167" s="80"/>
      <c r="AI167" s="79"/>
      <c r="AJ167" s="77"/>
      <c r="AK167" s="77"/>
      <c r="AL167" s="78"/>
      <c r="AM167" s="77"/>
      <c r="AN167" s="77"/>
      <c r="AO167" s="77"/>
      <c r="AP167" s="80"/>
      <c r="AQ167" s="79"/>
      <c r="AR167" s="77"/>
      <c r="AS167" s="77"/>
      <c r="AT167" s="78"/>
      <c r="AU167" s="77"/>
      <c r="AV167" s="77"/>
      <c r="AW167" s="77"/>
      <c r="AX167" s="76"/>
    </row>
    <row r="168" spans="1:50" ht="30" customHeight="1">
      <c r="A168" s="82"/>
      <c r="B168" s="85" t="s">
        <v>143</v>
      </c>
      <c r="C168" s="84">
        <v>2.4</v>
      </c>
      <c r="D168" s="83">
        <v>0.04</v>
      </c>
      <c r="E168" s="83">
        <v>0.04</v>
      </c>
      <c r="F168" s="78">
        <v>4.4752320177732664E-3</v>
      </c>
      <c r="G168" s="77">
        <v>2.3758062499999997</v>
      </c>
      <c r="H168" s="77">
        <v>2.9793613560996084</v>
      </c>
      <c r="I168" s="77">
        <v>1.1773132608712198</v>
      </c>
      <c r="J168" s="80">
        <v>0.99979373835869523</v>
      </c>
      <c r="K168" s="79">
        <v>-2.4193750000000236E-2</v>
      </c>
      <c r="L168" s="77"/>
      <c r="M168" s="77"/>
      <c r="N168" s="78"/>
      <c r="O168" s="77"/>
      <c r="P168" s="77"/>
      <c r="Q168" s="77"/>
      <c r="R168" s="80"/>
      <c r="S168" s="79"/>
      <c r="T168" s="77"/>
      <c r="U168" s="77"/>
      <c r="V168" s="78"/>
      <c r="W168" s="77"/>
      <c r="X168" s="77"/>
      <c r="Y168" s="77"/>
      <c r="Z168" s="80"/>
      <c r="AA168" s="79"/>
      <c r="AB168" s="77"/>
      <c r="AC168" s="77"/>
      <c r="AD168" s="78"/>
      <c r="AE168" s="77"/>
      <c r="AF168" s="77"/>
      <c r="AG168" s="77"/>
      <c r="AH168" s="80"/>
      <c r="AI168" s="79"/>
      <c r="AJ168" s="77"/>
      <c r="AK168" s="77"/>
      <c r="AL168" s="78"/>
      <c r="AM168" s="77"/>
      <c r="AN168" s="77"/>
      <c r="AO168" s="77"/>
      <c r="AP168" s="80"/>
      <c r="AQ168" s="79"/>
      <c r="AR168" s="77"/>
      <c r="AS168" s="77"/>
      <c r="AT168" s="78"/>
      <c r="AU168" s="77"/>
      <c r="AV168" s="77"/>
      <c r="AW168" s="77"/>
      <c r="AX168" s="76"/>
    </row>
    <row r="169" spans="1:50" ht="30" customHeight="1">
      <c r="A169" s="82"/>
      <c r="B169" s="85" t="s">
        <v>138</v>
      </c>
      <c r="C169" s="84">
        <v>3.3</v>
      </c>
      <c r="D169" s="83">
        <v>0.05</v>
      </c>
      <c r="E169" s="83">
        <v>0.05</v>
      </c>
      <c r="F169" s="78">
        <v>3.0212620200089158E-3</v>
      </c>
      <c r="G169" s="77">
        <v>3.2789687500000015</v>
      </c>
      <c r="H169" s="77">
        <v>5.5164585382824303</v>
      </c>
      <c r="I169" s="77">
        <v>3.1960981656175647</v>
      </c>
      <c r="J169" s="80">
        <v>1</v>
      </c>
      <c r="K169" s="79">
        <v>-2.103124999999828E-2</v>
      </c>
      <c r="L169" s="77"/>
      <c r="M169" s="77"/>
      <c r="N169" s="78"/>
      <c r="O169" s="77"/>
      <c r="P169" s="77"/>
      <c r="Q169" s="77"/>
      <c r="R169" s="80"/>
      <c r="S169" s="79"/>
      <c r="T169" s="77"/>
      <c r="U169" s="77"/>
      <c r="V169" s="78"/>
      <c r="W169" s="77"/>
      <c r="X169" s="77"/>
      <c r="Y169" s="77"/>
      <c r="Z169" s="80"/>
      <c r="AA169" s="79"/>
      <c r="AB169" s="77"/>
      <c r="AC169" s="77"/>
      <c r="AD169" s="78"/>
      <c r="AE169" s="77"/>
      <c r="AF169" s="77"/>
      <c r="AG169" s="77"/>
      <c r="AH169" s="80"/>
      <c r="AI169" s="79"/>
      <c r="AJ169" s="77"/>
      <c r="AK169" s="77"/>
      <c r="AL169" s="78"/>
      <c r="AM169" s="77"/>
      <c r="AN169" s="77"/>
      <c r="AO169" s="77"/>
      <c r="AP169" s="80"/>
      <c r="AQ169" s="79"/>
      <c r="AR169" s="77"/>
      <c r="AS169" s="77"/>
      <c r="AT169" s="78"/>
      <c r="AU169" s="77"/>
      <c r="AV169" s="77"/>
      <c r="AW169" s="77"/>
      <c r="AX169" s="76"/>
    </row>
    <row r="170" spans="1:50" ht="30" customHeight="1">
      <c r="A170" s="82"/>
      <c r="B170" s="85" t="s">
        <v>140</v>
      </c>
      <c r="C170" s="84">
        <v>0.86</v>
      </c>
      <c r="D170" s="83">
        <v>0.05</v>
      </c>
      <c r="E170" s="83">
        <v>0.05</v>
      </c>
      <c r="F170" s="78">
        <v>5.2912854405052848E-3</v>
      </c>
      <c r="G170" s="77">
        <v>0.84888125000000014</v>
      </c>
      <c r="H170" s="77">
        <v>3.1498332218257947</v>
      </c>
      <c r="I170" s="77">
        <v>2.4493890591222942</v>
      </c>
      <c r="J170" s="80">
        <v>0.99999999999989952</v>
      </c>
      <c r="K170" s="79">
        <v>-1.1118749999999844E-2</v>
      </c>
      <c r="L170" s="77"/>
      <c r="M170" s="77"/>
      <c r="N170" s="78"/>
      <c r="O170" s="77"/>
      <c r="P170" s="77"/>
      <c r="Q170" s="77"/>
      <c r="R170" s="80"/>
      <c r="S170" s="79"/>
      <c r="T170" s="77"/>
      <c r="U170" s="77"/>
      <c r="V170" s="78"/>
      <c r="W170" s="77"/>
      <c r="X170" s="77"/>
      <c r="Y170" s="77"/>
      <c r="Z170" s="80"/>
      <c r="AA170" s="79"/>
      <c r="AB170" s="77"/>
      <c r="AC170" s="77"/>
      <c r="AD170" s="78"/>
      <c r="AE170" s="77"/>
      <c r="AF170" s="77"/>
      <c r="AG170" s="77"/>
      <c r="AH170" s="80"/>
      <c r="AI170" s="79"/>
      <c r="AJ170" s="77"/>
      <c r="AK170" s="77"/>
      <c r="AL170" s="78"/>
      <c r="AM170" s="77"/>
      <c r="AN170" s="77"/>
      <c r="AO170" s="77"/>
      <c r="AP170" s="80"/>
      <c r="AQ170" s="79"/>
      <c r="AR170" s="77"/>
      <c r="AS170" s="77"/>
      <c r="AT170" s="78"/>
      <c r="AU170" s="77"/>
      <c r="AV170" s="77"/>
      <c r="AW170" s="77"/>
      <c r="AX170" s="76"/>
    </row>
    <row r="171" spans="1:50" ht="30" customHeight="1">
      <c r="A171" s="82"/>
      <c r="B171" s="85" t="s">
        <v>139</v>
      </c>
      <c r="C171" s="84">
        <v>0.86</v>
      </c>
      <c r="D171" s="83">
        <v>0.05</v>
      </c>
      <c r="E171" s="83">
        <v>0.05</v>
      </c>
      <c r="F171" s="78">
        <v>3.6370849724434878E-3</v>
      </c>
      <c r="G171" s="77">
        <v>0.84535000000000016</v>
      </c>
      <c r="H171" s="77">
        <v>4.5824243296327447</v>
      </c>
      <c r="I171" s="77">
        <v>3.2397740010503675</v>
      </c>
      <c r="J171" s="80">
        <v>1</v>
      </c>
      <c r="K171" s="79">
        <v>-1.464999999999983E-2</v>
      </c>
      <c r="L171" s="77"/>
      <c r="M171" s="77"/>
      <c r="N171" s="78"/>
      <c r="O171" s="77"/>
      <c r="P171" s="77"/>
      <c r="Q171" s="77"/>
      <c r="R171" s="80"/>
      <c r="S171" s="79"/>
      <c r="T171" s="77"/>
      <c r="U171" s="77"/>
      <c r="V171" s="78"/>
      <c r="W171" s="77"/>
      <c r="X171" s="77"/>
      <c r="Y171" s="77"/>
      <c r="Z171" s="80"/>
      <c r="AA171" s="79"/>
      <c r="AB171" s="77"/>
      <c r="AC171" s="77"/>
      <c r="AD171" s="78"/>
      <c r="AE171" s="77"/>
      <c r="AF171" s="77"/>
      <c r="AG171" s="77"/>
      <c r="AH171" s="80"/>
      <c r="AI171" s="79"/>
      <c r="AJ171" s="77"/>
      <c r="AK171" s="77"/>
      <c r="AL171" s="78"/>
      <c r="AM171" s="77"/>
      <c r="AN171" s="77"/>
      <c r="AO171" s="77"/>
      <c r="AP171" s="80"/>
      <c r="AQ171" s="79"/>
      <c r="AR171" s="77"/>
      <c r="AS171" s="77"/>
      <c r="AT171" s="78"/>
      <c r="AU171" s="77"/>
      <c r="AV171" s="77"/>
      <c r="AW171" s="77"/>
      <c r="AX171" s="76"/>
    </row>
    <row r="172" spans="1:50" ht="30" customHeight="1">
      <c r="A172" s="82"/>
      <c r="B172" s="85" t="s">
        <v>144</v>
      </c>
      <c r="C172" s="84">
        <v>2.9</v>
      </c>
      <c r="D172" s="83">
        <v>0.05</v>
      </c>
      <c r="E172" s="83">
        <v>0.05</v>
      </c>
      <c r="F172" s="78">
        <v>4.5552344934506866E-3</v>
      </c>
      <c r="G172" s="77">
        <v>2.8637124999999992</v>
      </c>
      <c r="H172" s="77">
        <v>3.6587944463955036</v>
      </c>
      <c r="I172" s="77">
        <v>1.0034243769239066</v>
      </c>
      <c r="J172" s="80">
        <v>0.99869493570902335</v>
      </c>
      <c r="K172" s="79">
        <v>-3.6287500000000694E-2</v>
      </c>
      <c r="L172" s="77"/>
      <c r="M172" s="77"/>
      <c r="N172" s="78"/>
      <c r="O172" s="77"/>
      <c r="P172" s="77"/>
      <c r="Q172" s="77"/>
      <c r="R172" s="80"/>
      <c r="S172" s="79"/>
      <c r="T172" s="77"/>
      <c r="U172" s="77"/>
      <c r="V172" s="78"/>
      <c r="W172" s="77"/>
      <c r="X172" s="77"/>
      <c r="Y172" s="77"/>
      <c r="Z172" s="80"/>
      <c r="AA172" s="79"/>
      <c r="AB172" s="77"/>
      <c r="AC172" s="77"/>
      <c r="AD172" s="78"/>
      <c r="AE172" s="77"/>
      <c r="AF172" s="77"/>
      <c r="AG172" s="77"/>
      <c r="AH172" s="80"/>
      <c r="AI172" s="79"/>
      <c r="AJ172" s="77"/>
      <c r="AK172" s="77"/>
      <c r="AL172" s="78"/>
      <c r="AM172" s="77"/>
      <c r="AN172" s="77"/>
      <c r="AO172" s="77"/>
      <c r="AP172" s="80"/>
      <c r="AQ172" s="79"/>
      <c r="AR172" s="77"/>
      <c r="AS172" s="77"/>
      <c r="AT172" s="78"/>
      <c r="AU172" s="77"/>
      <c r="AV172" s="77"/>
      <c r="AW172" s="77"/>
      <c r="AX172" s="76"/>
    </row>
    <row r="173" spans="1:50" ht="30" customHeight="1">
      <c r="A173" s="82"/>
      <c r="B173" s="85" t="s">
        <v>145</v>
      </c>
      <c r="C173" s="84">
        <v>0.3</v>
      </c>
      <c r="D173" s="83">
        <v>0.03</v>
      </c>
      <c r="E173" s="83">
        <v>0.03</v>
      </c>
      <c r="F173" s="78">
        <v>2.5438096905891941E-3</v>
      </c>
      <c r="G173" s="77">
        <v>0.32342499999999996</v>
      </c>
      <c r="H173" s="77">
        <v>3.931111685357171</v>
      </c>
      <c r="I173" s="77">
        <v>0.86156864437411385</v>
      </c>
      <c r="J173" s="80">
        <v>0.99512689586151648</v>
      </c>
      <c r="K173" s="79">
        <v>2.3424999999999974E-2</v>
      </c>
      <c r="L173" s="77"/>
      <c r="M173" s="77"/>
      <c r="N173" s="78"/>
      <c r="O173" s="77"/>
      <c r="P173" s="77"/>
      <c r="Q173" s="77"/>
      <c r="R173" s="80"/>
      <c r="S173" s="79"/>
      <c r="T173" s="77"/>
      <c r="U173" s="77"/>
      <c r="V173" s="78"/>
      <c r="W173" s="77"/>
      <c r="X173" s="77"/>
      <c r="Y173" s="77"/>
      <c r="Z173" s="80"/>
      <c r="AA173" s="79"/>
      <c r="AB173" s="77"/>
      <c r="AC173" s="77"/>
      <c r="AD173" s="78"/>
      <c r="AE173" s="77"/>
      <c r="AF173" s="77"/>
      <c r="AG173" s="77"/>
      <c r="AH173" s="80"/>
      <c r="AI173" s="79"/>
      <c r="AJ173" s="77"/>
      <c r="AK173" s="77"/>
      <c r="AL173" s="78"/>
      <c r="AM173" s="77"/>
      <c r="AN173" s="77"/>
      <c r="AO173" s="77"/>
      <c r="AP173" s="80"/>
      <c r="AQ173" s="79"/>
      <c r="AR173" s="77"/>
      <c r="AS173" s="77"/>
      <c r="AT173" s="78"/>
      <c r="AU173" s="77"/>
      <c r="AV173" s="77"/>
      <c r="AW173" s="77"/>
      <c r="AX173" s="76"/>
    </row>
    <row r="174" spans="1:50" ht="30" customHeight="1">
      <c r="A174" s="82"/>
      <c r="B174" s="85" t="s">
        <v>146</v>
      </c>
      <c r="C174" s="84">
        <v>0.3</v>
      </c>
      <c r="D174" s="83">
        <v>0.03</v>
      </c>
      <c r="E174" s="83">
        <v>0.03</v>
      </c>
      <c r="F174" s="78">
        <v>3.9351176868903754E-3</v>
      </c>
      <c r="G174" s="77">
        <v>0.32224687499999999</v>
      </c>
      <c r="H174" s="77">
        <v>2.5412200588852607</v>
      </c>
      <c r="I174" s="77">
        <v>0.65674655896815781</v>
      </c>
      <c r="J174" s="80">
        <v>0.97559454587245908</v>
      </c>
      <c r="K174" s="79">
        <v>2.2246874999999999E-2</v>
      </c>
      <c r="L174" s="77"/>
      <c r="M174" s="77"/>
      <c r="N174" s="78"/>
      <c r="O174" s="77"/>
      <c r="P174" s="77"/>
      <c r="Q174" s="77"/>
      <c r="R174" s="80"/>
      <c r="S174" s="79"/>
      <c r="T174" s="77"/>
      <c r="U174" s="77"/>
      <c r="V174" s="78"/>
      <c r="W174" s="77"/>
      <c r="X174" s="77"/>
      <c r="Y174" s="77"/>
      <c r="Z174" s="80"/>
      <c r="AA174" s="79"/>
      <c r="AB174" s="77"/>
      <c r="AC174" s="77"/>
      <c r="AD174" s="78"/>
      <c r="AE174" s="77"/>
      <c r="AF174" s="77"/>
      <c r="AG174" s="77"/>
      <c r="AH174" s="80"/>
      <c r="AI174" s="79"/>
      <c r="AJ174" s="77"/>
      <c r="AK174" s="77"/>
      <c r="AL174" s="78"/>
      <c r="AM174" s="77"/>
      <c r="AN174" s="77"/>
      <c r="AO174" s="77"/>
      <c r="AP174" s="80"/>
      <c r="AQ174" s="79"/>
      <c r="AR174" s="77"/>
      <c r="AS174" s="77"/>
      <c r="AT174" s="78"/>
      <c r="AU174" s="77"/>
      <c r="AV174" s="77"/>
      <c r="AW174" s="77"/>
      <c r="AX174" s="76"/>
    </row>
    <row r="175" spans="1:50" ht="30" customHeight="1">
      <c r="A175" s="82"/>
      <c r="B175" s="85" t="s">
        <v>147</v>
      </c>
      <c r="C175" s="84">
        <v>0.25</v>
      </c>
      <c r="D175" s="83">
        <v>0.03</v>
      </c>
      <c r="E175" s="83">
        <v>0.03</v>
      </c>
      <c r="F175" s="78">
        <v>4.2661729752599886E-3</v>
      </c>
      <c r="G175" s="77">
        <v>0.23069062500000004</v>
      </c>
      <c r="H175" s="77">
        <v>2.344021224172371</v>
      </c>
      <c r="I175" s="77">
        <v>0.83530172998892771</v>
      </c>
      <c r="J175" s="80">
        <v>0.99389308172690183</v>
      </c>
      <c r="K175" s="79">
        <v>-1.9309374999999962E-2</v>
      </c>
      <c r="L175" s="77"/>
      <c r="M175" s="77"/>
      <c r="N175" s="78"/>
      <c r="O175" s="77"/>
      <c r="P175" s="77"/>
      <c r="Q175" s="77"/>
      <c r="R175" s="80"/>
      <c r="S175" s="79"/>
      <c r="T175" s="77"/>
      <c r="U175" s="77"/>
      <c r="V175" s="78"/>
      <c r="W175" s="77"/>
      <c r="X175" s="77"/>
      <c r="Y175" s="77"/>
      <c r="Z175" s="80"/>
      <c r="AA175" s="79"/>
      <c r="AB175" s="77"/>
      <c r="AC175" s="77"/>
      <c r="AD175" s="78"/>
      <c r="AE175" s="77"/>
      <c r="AF175" s="77"/>
      <c r="AG175" s="77"/>
      <c r="AH175" s="80"/>
      <c r="AI175" s="79"/>
      <c r="AJ175" s="77"/>
      <c r="AK175" s="77"/>
      <c r="AL175" s="78"/>
      <c r="AM175" s="77"/>
      <c r="AN175" s="77"/>
      <c r="AO175" s="77"/>
      <c r="AP175" s="80"/>
      <c r="AQ175" s="79"/>
      <c r="AR175" s="77"/>
      <c r="AS175" s="77"/>
      <c r="AT175" s="78"/>
      <c r="AU175" s="77"/>
      <c r="AV175" s="77"/>
      <c r="AW175" s="77"/>
      <c r="AX175" s="76"/>
    </row>
    <row r="176" spans="1:50" ht="30" customHeight="1">
      <c r="A176" s="82"/>
      <c r="B176" s="85" t="s">
        <v>148</v>
      </c>
      <c r="C176" s="84">
        <v>0.25</v>
      </c>
      <c r="D176" s="83">
        <v>0.03</v>
      </c>
      <c r="E176" s="83">
        <v>0.03</v>
      </c>
      <c r="F176" s="78">
        <v>7.9574169094604897E-3</v>
      </c>
      <c r="G176" s="77">
        <v>0.24118749999999997</v>
      </c>
      <c r="H176" s="77">
        <v>1.256689213821524</v>
      </c>
      <c r="I176" s="77">
        <v>0.88753675726144965</v>
      </c>
      <c r="J176" s="80">
        <v>0.99612260489285198</v>
      </c>
      <c r="K176" s="79">
        <v>-8.8125000000000286E-3</v>
      </c>
      <c r="L176" s="77"/>
      <c r="M176" s="77"/>
      <c r="N176" s="78"/>
      <c r="O176" s="77"/>
      <c r="P176" s="77"/>
      <c r="Q176" s="77"/>
      <c r="R176" s="80"/>
      <c r="S176" s="79"/>
      <c r="T176" s="77"/>
      <c r="U176" s="77"/>
      <c r="V176" s="78"/>
      <c r="W176" s="77"/>
      <c r="X176" s="77"/>
      <c r="Y176" s="77"/>
      <c r="Z176" s="80"/>
      <c r="AA176" s="79"/>
      <c r="AB176" s="77"/>
      <c r="AC176" s="77"/>
      <c r="AD176" s="78"/>
      <c r="AE176" s="77"/>
      <c r="AF176" s="77"/>
      <c r="AG176" s="77"/>
      <c r="AH176" s="80"/>
      <c r="AI176" s="79"/>
      <c r="AJ176" s="77"/>
      <c r="AK176" s="77"/>
      <c r="AL176" s="78"/>
      <c r="AM176" s="77"/>
      <c r="AN176" s="77"/>
      <c r="AO176" s="77"/>
      <c r="AP176" s="80"/>
      <c r="AQ176" s="79"/>
      <c r="AR176" s="77"/>
      <c r="AS176" s="77"/>
      <c r="AT176" s="78"/>
      <c r="AU176" s="77"/>
      <c r="AV176" s="77"/>
      <c r="AW176" s="77"/>
      <c r="AX176" s="76"/>
    </row>
    <row r="177" spans="1:50" ht="30" customHeight="1">
      <c r="A177" s="82"/>
      <c r="B177" s="85" t="s">
        <v>149</v>
      </c>
      <c r="C177" s="84">
        <v>0.25</v>
      </c>
      <c r="D177" s="83">
        <v>0.03</v>
      </c>
      <c r="E177" s="83">
        <v>0.03</v>
      </c>
      <c r="F177" s="78">
        <v>3.8663965364948458E-3</v>
      </c>
      <c r="G177" s="77">
        <v>0.23784687500000001</v>
      </c>
      <c r="H177" s="77">
        <v>2.5863875848248332</v>
      </c>
      <c r="I177" s="77">
        <v>1.538631197597357</v>
      </c>
      <c r="J177" s="80">
        <v>0.99999804296266503</v>
      </c>
      <c r="K177" s="79">
        <v>-1.2153124999999987E-2</v>
      </c>
      <c r="L177" s="77"/>
      <c r="M177" s="77"/>
      <c r="N177" s="78"/>
      <c r="O177" s="77"/>
      <c r="P177" s="77"/>
      <c r="Q177" s="77"/>
      <c r="R177" s="80"/>
      <c r="S177" s="79"/>
      <c r="T177" s="77"/>
      <c r="U177" s="77"/>
      <c r="V177" s="78"/>
      <c r="W177" s="77"/>
      <c r="X177" s="77"/>
      <c r="Y177" s="77"/>
      <c r="Z177" s="80"/>
      <c r="AA177" s="79"/>
      <c r="AB177" s="77"/>
      <c r="AC177" s="77"/>
      <c r="AD177" s="78"/>
      <c r="AE177" s="77"/>
      <c r="AF177" s="77"/>
      <c r="AG177" s="77"/>
      <c r="AH177" s="80"/>
      <c r="AI177" s="79"/>
      <c r="AJ177" s="77"/>
      <c r="AK177" s="77"/>
      <c r="AL177" s="78"/>
      <c r="AM177" s="77"/>
      <c r="AN177" s="77"/>
      <c r="AO177" s="77"/>
      <c r="AP177" s="80"/>
      <c r="AQ177" s="79"/>
      <c r="AR177" s="77"/>
      <c r="AS177" s="77"/>
      <c r="AT177" s="78"/>
      <c r="AU177" s="77"/>
      <c r="AV177" s="77"/>
      <c r="AW177" s="77"/>
      <c r="AX177" s="76"/>
    </row>
    <row r="178" spans="1:50" ht="30" customHeight="1">
      <c r="A178" s="82"/>
      <c r="B178" s="85" t="s">
        <v>150</v>
      </c>
      <c r="C178" s="84">
        <v>0.56599999999999995</v>
      </c>
      <c r="D178" s="83">
        <v>0.03</v>
      </c>
      <c r="E178" s="83">
        <v>0.03</v>
      </c>
      <c r="F178" s="78">
        <v>3.7390647010595388E-3</v>
      </c>
      <c r="G178" s="77">
        <v>0.55789375000000008</v>
      </c>
      <c r="H178" s="77">
        <v>2.6744656216209122</v>
      </c>
      <c r="I178" s="77">
        <v>1.9518027234454403</v>
      </c>
      <c r="J178" s="80">
        <v>0.9999999976208005</v>
      </c>
      <c r="K178" s="79">
        <v>-8.1062499999998705E-3</v>
      </c>
      <c r="L178" s="77"/>
      <c r="M178" s="77"/>
      <c r="N178" s="78"/>
      <c r="O178" s="77"/>
      <c r="P178" s="77"/>
      <c r="Q178" s="77"/>
      <c r="R178" s="80"/>
      <c r="S178" s="79"/>
      <c r="T178" s="77"/>
      <c r="U178" s="77"/>
      <c r="V178" s="78"/>
      <c r="W178" s="77"/>
      <c r="X178" s="77"/>
      <c r="Y178" s="77"/>
      <c r="Z178" s="80"/>
      <c r="AA178" s="79"/>
      <c r="AB178" s="77"/>
      <c r="AC178" s="77"/>
      <c r="AD178" s="78"/>
      <c r="AE178" s="77"/>
      <c r="AF178" s="77"/>
      <c r="AG178" s="77"/>
      <c r="AH178" s="80"/>
      <c r="AI178" s="79"/>
      <c r="AJ178" s="77"/>
      <c r="AK178" s="77"/>
      <c r="AL178" s="78"/>
      <c r="AM178" s="77"/>
      <c r="AN178" s="77"/>
      <c r="AO178" s="77"/>
      <c r="AP178" s="80"/>
      <c r="AQ178" s="79"/>
      <c r="AR178" s="77"/>
      <c r="AS178" s="77"/>
      <c r="AT178" s="78"/>
      <c r="AU178" s="77"/>
      <c r="AV178" s="77"/>
      <c r="AW178" s="77"/>
      <c r="AX178" s="76"/>
    </row>
    <row r="179" spans="1:50" ht="30" customHeight="1">
      <c r="A179" s="82"/>
      <c r="B179" s="85" t="s">
        <v>151</v>
      </c>
      <c r="C179" s="84">
        <v>0.56599999999999995</v>
      </c>
      <c r="D179" s="83">
        <v>0.03</v>
      </c>
      <c r="E179" s="83">
        <v>0.03</v>
      </c>
      <c r="F179" s="78">
        <v>3.9220517486839284E-3</v>
      </c>
      <c r="G179" s="77">
        <v>0.56074062499999999</v>
      </c>
      <c r="H179" s="77">
        <v>2.5496858891154557</v>
      </c>
      <c r="I179" s="77">
        <v>2.1026940816799065</v>
      </c>
      <c r="J179" s="80">
        <v>0.99999999985874299</v>
      </c>
      <c r="K179" s="79">
        <v>-5.2593749999999551E-3</v>
      </c>
      <c r="L179" s="77"/>
      <c r="M179" s="77"/>
      <c r="N179" s="78"/>
      <c r="O179" s="77"/>
      <c r="P179" s="77"/>
      <c r="Q179" s="77"/>
      <c r="R179" s="80"/>
      <c r="S179" s="79"/>
      <c r="T179" s="77"/>
      <c r="U179" s="77"/>
      <c r="V179" s="78"/>
      <c r="W179" s="77"/>
      <c r="X179" s="77"/>
      <c r="Y179" s="77"/>
      <c r="Z179" s="80"/>
      <c r="AA179" s="79"/>
      <c r="AB179" s="77"/>
      <c r="AC179" s="77"/>
      <c r="AD179" s="78"/>
      <c r="AE179" s="77"/>
      <c r="AF179" s="77"/>
      <c r="AG179" s="77"/>
      <c r="AH179" s="80"/>
      <c r="AI179" s="79"/>
      <c r="AJ179" s="77"/>
      <c r="AK179" s="77"/>
      <c r="AL179" s="78"/>
      <c r="AM179" s="77"/>
      <c r="AN179" s="77"/>
      <c r="AO179" s="77"/>
      <c r="AP179" s="80"/>
      <c r="AQ179" s="79"/>
      <c r="AR179" s="77"/>
      <c r="AS179" s="77"/>
      <c r="AT179" s="78"/>
      <c r="AU179" s="77"/>
      <c r="AV179" s="77"/>
      <c r="AW179" s="77"/>
      <c r="AX179" s="76"/>
    </row>
    <row r="180" spans="1:50" ht="30" customHeight="1">
      <c r="A180" s="82"/>
      <c r="B180" s="85" t="s">
        <v>141</v>
      </c>
      <c r="C180" s="84">
        <v>1.25</v>
      </c>
      <c r="D180" s="83">
        <v>0.1</v>
      </c>
      <c r="E180" s="83">
        <v>0.1</v>
      </c>
      <c r="F180" s="78">
        <v>5.8416736651132218E-3</v>
      </c>
      <c r="G180" s="77">
        <v>1.2261531250000002</v>
      </c>
      <c r="H180" s="77">
        <v>5.7061272580838871</v>
      </c>
      <c r="I180" s="77">
        <v>4.3453942235077063</v>
      </c>
      <c r="J180" s="80">
        <v>1</v>
      </c>
      <c r="K180" s="79">
        <v>-2.3846874999999823E-2</v>
      </c>
      <c r="L180" s="77"/>
      <c r="M180" s="77"/>
      <c r="N180" s="78"/>
      <c r="O180" s="77"/>
      <c r="P180" s="77"/>
      <c r="Q180" s="77"/>
      <c r="R180" s="80"/>
      <c r="S180" s="79"/>
      <c r="T180" s="77"/>
      <c r="U180" s="77"/>
      <c r="V180" s="78"/>
      <c r="W180" s="77"/>
      <c r="X180" s="77"/>
      <c r="Y180" s="77"/>
      <c r="Z180" s="80"/>
      <c r="AA180" s="79"/>
      <c r="AB180" s="77"/>
      <c r="AC180" s="77"/>
      <c r="AD180" s="78"/>
      <c r="AE180" s="77"/>
      <c r="AF180" s="77"/>
      <c r="AG180" s="77"/>
      <c r="AH180" s="80"/>
      <c r="AI180" s="79"/>
      <c r="AJ180" s="77"/>
      <c r="AK180" s="77"/>
      <c r="AL180" s="78"/>
      <c r="AM180" s="77"/>
      <c r="AN180" s="77"/>
      <c r="AO180" s="77"/>
      <c r="AP180" s="80"/>
      <c r="AQ180" s="79"/>
      <c r="AR180" s="77"/>
      <c r="AS180" s="77"/>
      <c r="AT180" s="78"/>
      <c r="AU180" s="77"/>
      <c r="AV180" s="77"/>
      <c r="AW180" s="77"/>
      <c r="AX180" s="76"/>
    </row>
    <row r="181" spans="1:50" ht="30" customHeight="1">
      <c r="A181" s="82"/>
      <c r="B181" s="85" t="s">
        <v>152</v>
      </c>
      <c r="C181" s="84">
        <v>1.25</v>
      </c>
      <c r="D181" s="83">
        <v>0.05</v>
      </c>
      <c r="E181" s="83">
        <v>0.05</v>
      </c>
      <c r="F181" s="78">
        <v>7.3866481278395939E-3</v>
      </c>
      <c r="G181" s="77">
        <v>1.2161531249999999</v>
      </c>
      <c r="H181" s="77">
        <v>2.2563233523811101</v>
      </c>
      <c r="I181" s="77">
        <v>0.72893346302862128</v>
      </c>
      <c r="J181" s="80">
        <v>0.98562145046748106</v>
      </c>
      <c r="K181" s="79">
        <v>-3.3846875000000054E-2</v>
      </c>
      <c r="L181" s="77"/>
      <c r="M181" s="77"/>
      <c r="N181" s="78"/>
      <c r="O181" s="77"/>
      <c r="P181" s="77"/>
      <c r="Q181" s="77"/>
      <c r="R181" s="80"/>
      <c r="S181" s="79"/>
      <c r="T181" s="77"/>
      <c r="U181" s="77"/>
      <c r="V181" s="78"/>
      <c r="W181" s="77"/>
      <c r="X181" s="77"/>
      <c r="Y181" s="77"/>
      <c r="Z181" s="80"/>
      <c r="AA181" s="79"/>
      <c r="AB181" s="77"/>
      <c r="AC181" s="77"/>
      <c r="AD181" s="78"/>
      <c r="AE181" s="77"/>
      <c r="AF181" s="77"/>
      <c r="AG181" s="77"/>
      <c r="AH181" s="80"/>
      <c r="AI181" s="79"/>
      <c r="AJ181" s="77"/>
      <c r="AK181" s="77"/>
      <c r="AL181" s="78"/>
      <c r="AM181" s="77"/>
      <c r="AN181" s="77"/>
      <c r="AO181" s="77"/>
      <c r="AP181" s="80"/>
      <c r="AQ181" s="79"/>
      <c r="AR181" s="77"/>
      <c r="AS181" s="77"/>
      <c r="AT181" s="78"/>
      <c r="AU181" s="77"/>
      <c r="AV181" s="77"/>
      <c r="AW181" s="77"/>
      <c r="AX181" s="76"/>
    </row>
    <row r="182" spans="1:50" ht="30" customHeight="1">
      <c r="A182" s="82" t="s">
        <v>169</v>
      </c>
      <c r="B182" s="85" t="s">
        <v>137</v>
      </c>
      <c r="C182" s="84">
        <v>1.3</v>
      </c>
      <c r="D182" s="83">
        <v>0.03</v>
      </c>
      <c r="E182" s="83">
        <v>0.03</v>
      </c>
      <c r="F182" s="78">
        <v>4.715544601326194E-3</v>
      </c>
      <c r="G182" s="77">
        <v>1.3022093749999994</v>
      </c>
      <c r="H182" s="77">
        <v>2.1206458310642677</v>
      </c>
      <c r="I182" s="77">
        <v>1.9644691016307232</v>
      </c>
      <c r="J182" s="80">
        <v>0.99999999810420626</v>
      </c>
      <c r="K182" s="79">
        <v>2.2093749999994028E-3</v>
      </c>
      <c r="L182" s="77"/>
      <c r="M182" s="77"/>
      <c r="N182" s="78"/>
      <c r="O182" s="77"/>
      <c r="P182" s="77"/>
      <c r="Q182" s="77"/>
      <c r="R182" s="80"/>
      <c r="S182" s="79"/>
      <c r="T182" s="77"/>
      <c r="U182" s="77"/>
      <c r="V182" s="78"/>
      <c r="W182" s="77"/>
      <c r="X182" s="77"/>
      <c r="Y182" s="77"/>
      <c r="Z182" s="80"/>
      <c r="AA182" s="79"/>
      <c r="AB182" s="77"/>
      <c r="AC182" s="77"/>
      <c r="AD182" s="78"/>
      <c r="AE182" s="77"/>
      <c r="AF182" s="77"/>
      <c r="AG182" s="77"/>
      <c r="AH182" s="80"/>
      <c r="AI182" s="79"/>
      <c r="AJ182" s="77"/>
      <c r="AK182" s="77"/>
      <c r="AL182" s="78"/>
      <c r="AM182" s="77"/>
      <c r="AN182" s="77"/>
      <c r="AO182" s="77"/>
      <c r="AP182" s="80"/>
      <c r="AQ182" s="79"/>
      <c r="AR182" s="77"/>
      <c r="AS182" s="77"/>
      <c r="AT182" s="78"/>
      <c r="AU182" s="77"/>
      <c r="AV182" s="77"/>
      <c r="AW182" s="77"/>
      <c r="AX182" s="76"/>
    </row>
    <row r="183" spans="1:50" ht="30" customHeight="1">
      <c r="A183" s="82"/>
      <c r="B183" s="85" t="s">
        <v>142</v>
      </c>
      <c r="C183" s="84">
        <v>1</v>
      </c>
      <c r="D183" s="83">
        <v>0.04</v>
      </c>
      <c r="E183" s="83">
        <v>0.04</v>
      </c>
      <c r="F183" s="78">
        <v>3.3354160160315826E-3</v>
      </c>
      <c r="G183" s="77">
        <v>0.96093749999999967</v>
      </c>
      <c r="H183" s="77">
        <v>3.9975023413112658</v>
      </c>
      <c r="I183" s="77">
        <v>9.3691461124452965E-2</v>
      </c>
      <c r="J183" s="80">
        <v>0.61067332571342325</v>
      </c>
      <c r="K183" s="79">
        <v>-3.9062500000000333E-2</v>
      </c>
      <c r="L183" s="77"/>
      <c r="M183" s="77"/>
      <c r="N183" s="78"/>
      <c r="O183" s="77"/>
      <c r="P183" s="77"/>
      <c r="Q183" s="77"/>
      <c r="R183" s="80"/>
      <c r="S183" s="79"/>
      <c r="T183" s="77"/>
      <c r="U183" s="77"/>
      <c r="V183" s="78"/>
      <c r="W183" s="77"/>
      <c r="X183" s="77"/>
      <c r="Y183" s="77"/>
      <c r="Z183" s="80"/>
      <c r="AA183" s="79"/>
      <c r="AB183" s="77"/>
      <c r="AC183" s="77"/>
      <c r="AD183" s="78"/>
      <c r="AE183" s="77"/>
      <c r="AF183" s="77"/>
      <c r="AG183" s="77"/>
      <c r="AH183" s="80"/>
      <c r="AI183" s="79"/>
      <c r="AJ183" s="77"/>
      <c r="AK183" s="77"/>
      <c r="AL183" s="78"/>
      <c r="AM183" s="77"/>
      <c r="AN183" s="77"/>
      <c r="AO183" s="77"/>
      <c r="AP183" s="80"/>
      <c r="AQ183" s="79"/>
      <c r="AR183" s="77"/>
      <c r="AS183" s="77"/>
      <c r="AT183" s="78"/>
      <c r="AU183" s="77"/>
      <c r="AV183" s="77"/>
      <c r="AW183" s="77"/>
      <c r="AX183" s="76"/>
    </row>
    <row r="184" spans="1:50" ht="30" customHeight="1">
      <c r="A184" s="82"/>
      <c r="B184" s="85" t="s">
        <v>143</v>
      </c>
      <c r="C184" s="84">
        <v>2.4</v>
      </c>
      <c r="D184" s="83">
        <v>0.04</v>
      </c>
      <c r="E184" s="83">
        <v>0.04</v>
      </c>
      <c r="F184" s="78">
        <v>3.9139831518419438E-3</v>
      </c>
      <c r="G184" s="77">
        <v>2.3719593749999999</v>
      </c>
      <c r="H184" s="77">
        <v>3.4065893531142564</v>
      </c>
      <c r="I184" s="77">
        <v>1.0185169886225189</v>
      </c>
      <c r="J184" s="80">
        <v>0.99887676290581018</v>
      </c>
      <c r="K184" s="79">
        <v>-2.8040625000000041E-2</v>
      </c>
      <c r="L184" s="77"/>
      <c r="M184" s="77"/>
      <c r="N184" s="78"/>
      <c r="O184" s="77"/>
      <c r="P184" s="77"/>
      <c r="Q184" s="77"/>
      <c r="R184" s="80"/>
      <c r="S184" s="79"/>
      <c r="T184" s="77"/>
      <c r="U184" s="77"/>
      <c r="V184" s="78"/>
      <c r="W184" s="77"/>
      <c r="X184" s="77"/>
      <c r="Y184" s="77"/>
      <c r="Z184" s="80"/>
      <c r="AA184" s="79"/>
      <c r="AB184" s="77"/>
      <c r="AC184" s="77"/>
      <c r="AD184" s="78"/>
      <c r="AE184" s="77"/>
      <c r="AF184" s="77"/>
      <c r="AG184" s="77"/>
      <c r="AH184" s="80"/>
      <c r="AI184" s="79"/>
      <c r="AJ184" s="77"/>
      <c r="AK184" s="77"/>
      <c r="AL184" s="78"/>
      <c r="AM184" s="77"/>
      <c r="AN184" s="77"/>
      <c r="AO184" s="77"/>
      <c r="AP184" s="80"/>
      <c r="AQ184" s="79"/>
      <c r="AR184" s="77"/>
      <c r="AS184" s="77"/>
      <c r="AT184" s="78"/>
      <c r="AU184" s="77"/>
      <c r="AV184" s="77"/>
      <c r="AW184" s="77"/>
      <c r="AX184" s="76"/>
    </row>
    <row r="185" spans="1:50" ht="30" customHeight="1">
      <c r="A185" s="82"/>
      <c r="B185" s="85" t="s">
        <v>138</v>
      </c>
      <c r="C185" s="84">
        <v>3.3</v>
      </c>
      <c r="D185" s="83">
        <v>0.05</v>
      </c>
      <c r="E185" s="83">
        <v>0.05</v>
      </c>
      <c r="F185" s="78">
        <v>3.0690967463913505E-3</v>
      </c>
      <c r="G185" s="77">
        <v>3.288250000000001</v>
      </c>
      <c r="H185" s="77">
        <v>5.4304794028612173</v>
      </c>
      <c r="I185" s="77">
        <v>4.1543167431889554</v>
      </c>
      <c r="J185" s="80">
        <v>1</v>
      </c>
      <c r="K185" s="79">
        <v>-1.1749999999998817E-2</v>
      </c>
      <c r="L185" s="77"/>
      <c r="M185" s="77"/>
      <c r="N185" s="78"/>
      <c r="O185" s="77"/>
      <c r="P185" s="77"/>
      <c r="Q185" s="77"/>
      <c r="R185" s="80"/>
      <c r="S185" s="79"/>
      <c r="T185" s="77"/>
      <c r="U185" s="77"/>
      <c r="V185" s="78"/>
      <c r="W185" s="77"/>
      <c r="X185" s="77"/>
      <c r="Y185" s="77"/>
      <c r="Z185" s="80"/>
      <c r="AA185" s="79"/>
      <c r="AB185" s="77"/>
      <c r="AC185" s="77"/>
      <c r="AD185" s="78"/>
      <c r="AE185" s="77"/>
      <c r="AF185" s="77"/>
      <c r="AG185" s="77"/>
      <c r="AH185" s="80"/>
      <c r="AI185" s="79"/>
      <c r="AJ185" s="77"/>
      <c r="AK185" s="77"/>
      <c r="AL185" s="78"/>
      <c r="AM185" s="77"/>
      <c r="AN185" s="77"/>
      <c r="AO185" s="77"/>
      <c r="AP185" s="80"/>
      <c r="AQ185" s="79"/>
      <c r="AR185" s="77"/>
      <c r="AS185" s="77"/>
      <c r="AT185" s="78"/>
      <c r="AU185" s="77"/>
      <c r="AV185" s="77"/>
      <c r="AW185" s="77"/>
      <c r="AX185" s="76"/>
    </row>
    <row r="186" spans="1:50" ht="30" customHeight="1">
      <c r="A186" s="82"/>
      <c r="B186" s="85" t="s">
        <v>140</v>
      </c>
      <c r="C186" s="84">
        <v>0.86</v>
      </c>
      <c r="D186" s="83">
        <v>0.05</v>
      </c>
      <c r="E186" s="83">
        <v>0.05</v>
      </c>
      <c r="F186" s="78">
        <v>8.4156961406801119E-3</v>
      </c>
      <c r="G186" s="77">
        <v>0.85981562499999986</v>
      </c>
      <c r="H186" s="77">
        <v>1.9804263828042359</v>
      </c>
      <c r="I186" s="77">
        <v>1.9731235605176405</v>
      </c>
      <c r="J186" s="80">
        <v>0.99999999714730015</v>
      </c>
      <c r="K186" s="79">
        <v>-1.8437500000012541E-4</v>
      </c>
      <c r="L186" s="77"/>
      <c r="M186" s="77"/>
      <c r="N186" s="78"/>
      <c r="O186" s="77"/>
      <c r="P186" s="77"/>
      <c r="Q186" s="77"/>
      <c r="R186" s="80"/>
      <c r="S186" s="79"/>
      <c r="T186" s="77"/>
      <c r="U186" s="77"/>
      <c r="V186" s="78"/>
      <c r="W186" s="77"/>
      <c r="X186" s="77"/>
      <c r="Y186" s="77"/>
      <c r="Z186" s="80"/>
      <c r="AA186" s="79"/>
      <c r="AB186" s="77"/>
      <c r="AC186" s="77"/>
      <c r="AD186" s="78"/>
      <c r="AE186" s="77"/>
      <c r="AF186" s="77"/>
      <c r="AG186" s="77"/>
      <c r="AH186" s="80"/>
      <c r="AI186" s="79"/>
      <c r="AJ186" s="77"/>
      <c r="AK186" s="77"/>
      <c r="AL186" s="78"/>
      <c r="AM186" s="77"/>
      <c r="AN186" s="77"/>
      <c r="AO186" s="77"/>
      <c r="AP186" s="80"/>
      <c r="AQ186" s="79"/>
      <c r="AR186" s="77"/>
      <c r="AS186" s="77"/>
      <c r="AT186" s="78"/>
      <c r="AU186" s="77"/>
      <c r="AV186" s="77"/>
      <c r="AW186" s="77"/>
      <c r="AX186" s="76"/>
    </row>
    <row r="187" spans="1:50" ht="30" customHeight="1">
      <c r="A187" s="82"/>
      <c r="B187" s="85" t="s">
        <v>139</v>
      </c>
      <c r="C187" s="84">
        <v>0.86</v>
      </c>
      <c r="D187" s="83">
        <v>0.05</v>
      </c>
      <c r="E187" s="83">
        <v>0.05</v>
      </c>
      <c r="F187" s="78">
        <v>8.9851888656618077E-3</v>
      </c>
      <c r="G187" s="77">
        <v>0.86008437500000001</v>
      </c>
      <c r="H187" s="77">
        <v>1.8549044339358014</v>
      </c>
      <c r="I187" s="77">
        <v>1.8517742827035339</v>
      </c>
      <c r="J187" s="80">
        <v>0.99999997370467297</v>
      </c>
      <c r="K187" s="79">
        <v>8.4375000000025402E-5</v>
      </c>
      <c r="L187" s="77"/>
      <c r="M187" s="77"/>
      <c r="N187" s="78"/>
      <c r="O187" s="77"/>
      <c r="P187" s="77"/>
      <c r="Q187" s="77"/>
      <c r="R187" s="80"/>
      <c r="S187" s="79"/>
      <c r="T187" s="77"/>
      <c r="U187" s="77"/>
      <c r="V187" s="78"/>
      <c r="W187" s="77"/>
      <c r="X187" s="77"/>
      <c r="Y187" s="77"/>
      <c r="Z187" s="80"/>
      <c r="AA187" s="79"/>
      <c r="AB187" s="77"/>
      <c r="AC187" s="77"/>
      <c r="AD187" s="78"/>
      <c r="AE187" s="77"/>
      <c r="AF187" s="77"/>
      <c r="AG187" s="77"/>
      <c r="AH187" s="80"/>
      <c r="AI187" s="79"/>
      <c r="AJ187" s="77"/>
      <c r="AK187" s="77"/>
      <c r="AL187" s="78"/>
      <c r="AM187" s="77"/>
      <c r="AN187" s="77"/>
      <c r="AO187" s="77"/>
      <c r="AP187" s="80"/>
      <c r="AQ187" s="79"/>
      <c r="AR187" s="77"/>
      <c r="AS187" s="77"/>
      <c r="AT187" s="78"/>
      <c r="AU187" s="77"/>
      <c r="AV187" s="77"/>
      <c r="AW187" s="77"/>
      <c r="AX187" s="76"/>
    </row>
    <row r="188" spans="1:50" ht="30" customHeight="1">
      <c r="A188" s="82"/>
      <c r="B188" s="85" t="s">
        <v>144</v>
      </c>
      <c r="C188" s="84">
        <v>2.9</v>
      </c>
      <c r="D188" s="83">
        <v>0.05</v>
      </c>
      <c r="E188" s="83">
        <v>0.05</v>
      </c>
      <c r="F188" s="78">
        <v>4.2025709776969209E-3</v>
      </c>
      <c r="G188" s="77">
        <v>2.8697968749999991</v>
      </c>
      <c r="H188" s="77">
        <v>3.9658263370486178</v>
      </c>
      <c r="I188" s="77">
        <v>1.5702193653251171</v>
      </c>
      <c r="J188" s="80">
        <v>0.99999876540914334</v>
      </c>
      <c r="K188" s="79">
        <v>-3.0203125000000774E-2</v>
      </c>
      <c r="L188" s="77"/>
      <c r="M188" s="77"/>
      <c r="N188" s="78"/>
      <c r="O188" s="77"/>
      <c r="P188" s="77"/>
      <c r="Q188" s="77"/>
      <c r="R188" s="80"/>
      <c r="S188" s="79"/>
      <c r="T188" s="77"/>
      <c r="U188" s="77"/>
      <c r="V188" s="78"/>
      <c r="W188" s="77"/>
      <c r="X188" s="77"/>
      <c r="Y188" s="77"/>
      <c r="Z188" s="80"/>
      <c r="AA188" s="79"/>
      <c r="AB188" s="77"/>
      <c r="AC188" s="77"/>
      <c r="AD188" s="78"/>
      <c r="AE188" s="77"/>
      <c r="AF188" s="77"/>
      <c r="AG188" s="77"/>
      <c r="AH188" s="80"/>
      <c r="AI188" s="79"/>
      <c r="AJ188" s="77"/>
      <c r="AK188" s="77"/>
      <c r="AL188" s="78"/>
      <c r="AM188" s="77"/>
      <c r="AN188" s="77"/>
      <c r="AO188" s="77"/>
      <c r="AP188" s="80"/>
      <c r="AQ188" s="79"/>
      <c r="AR188" s="77"/>
      <c r="AS188" s="77"/>
      <c r="AT188" s="78"/>
      <c r="AU188" s="77"/>
      <c r="AV188" s="77"/>
      <c r="AW188" s="77"/>
      <c r="AX188" s="76"/>
    </row>
    <row r="189" spans="1:50" ht="30" customHeight="1">
      <c r="A189" s="82"/>
      <c r="B189" s="85" t="s">
        <v>145</v>
      </c>
      <c r="C189" s="84">
        <v>0.3</v>
      </c>
      <c r="D189" s="83">
        <v>0.03</v>
      </c>
      <c r="E189" s="83">
        <v>0.03</v>
      </c>
      <c r="F189" s="78">
        <v>4.1787179215331044E-3</v>
      </c>
      <c r="G189" s="77">
        <v>0.31993437500000005</v>
      </c>
      <c r="H189" s="77">
        <v>2.3930784962702512</v>
      </c>
      <c r="I189" s="77">
        <v>0.80292769130066866</v>
      </c>
      <c r="J189" s="80">
        <v>0.99199709580971329</v>
      </c>
      <c r="K189" s="79">
        <v>1.993437500000006E-2</v>
      </c>
      <c r="L189" s="77"/>
      <c r="M189" s="77"/>
      <c r="N189" s="78"/>
      <c r="O189" s="77"/>
      <c r="P189" s="77"/>
      <c r="Q189" s="77"/>
      <c r="R189" s="80"/>
      <c r="S189" s="79"/>
      <c r="T189" s="77"/>
      <c r="U189" s="77"/>
      <c r="V189" s="78"/>
      <c r="W189" s="77"/>
      <c r="X189" s="77"/>
      <c r="Y189" s="77"/>
      <c r="Z189" s="80"/>
      <c r="AA189" s="79"/>
      <c r="AB189" s="77"/>
      <c r="AC189" s="77"/>
      <c r="AD189" s="78"/>
      <c r="AE189" s="77"/>
      <c r="AF189" s="77"/>
      <c r="AG189" s="77"/>
      <c r="AH189" s="80"/>
      <c r="AI189" s="79"/>
      <c r="AJ189" s="77"/>
      <c r="AK189" s="77"/>
      <c r="AL189" s="78"/>
      <c r="AM189" s="77"/>
      <c r="AN189" s="77"/>
      <c r="AO189" s="77"/>
      <c r="AP189" s="80"/>
      <c r="AQ189" s="79"/>
      <c r="AR189" s="77"/>
      <c r="AS189" s="77"/>
      <c r="AT189" s="78"/>
      <c r="AU189" s="77"/>
      <c r="AV189" s="77"/>
      <c r="AW189" s="77"/>
      <c r="AX189" s="76"/>
    </row>
    <row r="190" spans="1:50" ht="30" customHeight="1">
      <c r="A190" s="82"/>
      <c r="B190" s="85" t="s">
        <v>146</v>
      </c>
      <c r="C190" s="84">
        <v>0.3</v>
      </c>
      <c r="D190" s="83">
        <v>0.03</v>
      </c>
      <c r="E190" s="83">
        <v>0.03</v>
      </c>
      <c r="F190" s="78">
        <v>3.5404787697929825E-3</v>
      </c>
      <c r="G190" s="77">
        <v>0.32207187500000001</v>
      </c>
      <c r="H190" s="77">
        <v>2.824476758713824</v>
      </c>
      <c r="I190" s="77">
        <v>0.74642682675593075</v>
      </c>
      <c r="J190" s="80">
        <v>0.98743116393275665</v>
      </c>
      <c r="K190" s="79">
        <v>2.2071875000000019E-2</v>
      </c>
      <c r="L190" s="77"/>
      <c r="M190" s="77"/>
      <c r="N190" s="78"/>
      <c r="O190" s="77"/>
      <c r="P190" s="77"/>
      <c r="Q190" s="77"/>
      <c r="R190" s="80"/>
      <c r="S190" s="79"/>
      <c r="T190" s="77"/>
      <c r="U190" s="77"/>
      <c r="V190" s="78"/>
      <c r="W190" s="77"/>
      <c r="X190" s="77"/>
      <c r="Y190" s="77"/>
      <c r="Z190" s="80"/>
      <c r="AA190" s="79"/>
      <c r="AB190" s="77"/>
      <c r="AC190" s="77"/>
      <c r="AD190" s="78"/>
      <c r="AE190" s="77"/>
      <c r="AF190" s="77"/>
      <c r="AG190" s="77"/>
      <c r="AH190" s="80"/>
      <c r="AI190" s="79"/>
      <c r="AJ190" s="77"/>
      <c r="AK190" s="77"/>
      <c r="AL190" s="78"/>
      <c r="AM190" s="77"/>
      <c r="AN190" s="77"/>
      <c r="AO190" s="77"/>
      <c r="AP190" s="80"/>
      <c r="AQ190" s="79"/>
      <c r="AR190" s="77"/>
      <c r="AS190" s="77"/>
      <c r="AT190" s="78"/>
      <c r="AU190" s="77"/>
      <c r="AV190" s="77"/>
      <c r="AW190" s="77"/>
      <c r="AX190" s="76"/>
    </row>
    <row r="191" spans="1:50" ht="30" customHeight="1">
      <c r="A191" s="82"/>
      <c r="B191" s="85" t="s">
        <v>147</v>
      </c>
      <c r="C191" s="84">
        <v>0.25</v>
      </c>
      <c r="D191" s="83">
        <v>0.03</v>
      </c>
      <c r="E191" s="83">
        <v>0.03</v>
      </c>
      <c r="F191" s="78">
        <v>5.3535929674649579E-3</v>
      </c>
      <c r="G191" s="77">
        <v>0.23490312499999999</v>
      </c>
      <c r="H191" s="77">
        <v>1.8679044261998166</v>
      </c>
      <c r="I191" s="77">
        <v>0.92792043839030369</v>
      </c>
      <c r="J191" s="80">
        <v>0.9973133720245706</v>
      </c>
      <c r="K191" s="79">
        <v>-1.509687500000001E-2</v>
      </c>
      <c r="L191" s="77"/>
      <c r="M191" s="77"/>
      <c r="N191" s="78"/>
      <c r="O191" s="77"/>
      <c r="P191" s="77"/>
      <c r="Q191" s="77"/>
      <c r="R191" s="80"/>
      <c r="S191" s="79"/>
      <c r="T191" s="77"/>
      <c r="U191" s="77"/>
      <c r="V191" s="78"/>
      <c r="W191" s="77"/>
      <c r="X191" s="77"/>
      <c r="Y191" s="77"/>
      <c r="Z191" s="80"/>
      <c r="AA191" s="79"/>
      <c r="AB191" s="77"/>
      <c r="AC191" s="77"/>
      <c r="AD191" s="78"/>
      <c r="AE191" s="77"/>
      <c r="AF191" s="77"/>
      <c r="AG191" s="77"/>
      <c r="AH191" s="80"/>
      <c r="AI191" s="79"/>
      <c r="AJ191" s="77"/>
      <c r="AK191" s="77"/>
      <c r="AL191" s="78"/>
      <c r="AM191" s="77"/>
      <c r="AN191" s="77"/>
      <c r="AO191" s="77"/>
      <c r="AP191" s="80"/>
      <c r="AQ191" s="79"/>
      <c r="AR191" s="77"/>
      <c r="AS191" s="77"/>
      <c r="AT191" s="78"/>
      <c r="AU191" s="77"/>
      <c r="AV191" s="77"/>
      <c r="AW191" s="77"/>
      <c r="AX191" s="76"/>
    </row>
    <row r="192" spans="1:50" ht="30" customHeight="1">
      <c r="A192" s="82"/>
      <c r="B192" s="85" t="s">
        <v>148</v>
      </c>
      <c r="C192" s="84">
        <v>0.25</v>
      </c>
      <c r="D192" s="83">
        <v>0.03</v>
      </c>
      <c r="E192" s="83">
        <v>0.03</v>
      </c>
      <c r="F192" s="78">
        <v>4.8631586957449792E-3</v>
      </c>
      <c r="G192" s="77">
        <v>0.22874687499999993</v>
      </c>
      <c r="H192" s="77">
        <v>2.0562767175888181</v>
      </c>
      <c r="I192" s="77">
        <v>0.59953318047198489</v>
      </c>
      <c r="J192" s="80">
        <v>0.96395897501987493</v>
      </c>
      <c r="K192" s="79">
        <v>-2.1253125000000067E-2</v>
      </c>
      <c r="L192" s="77"/>
      <c r="M192" s="77"/>
      <c r="N192" s="78"/>
      <c r="O192" s="77"/>
      <c r="P192" s="77"/>
      <c r="Q192" s="77"/>
      <c r="R192" s="80"/>
      <c r="S192" s="79"/>
      <c r="T192" s="77"/>
      <c r="U192" s="77"/>
      <c r="V192" s="78"/>
      <c r="W192" s="77"/>
      <c r="X192" s="77"/>
      <c r="Y192" s="77"/>
      <c r="Z192" s="80"/>
      <c r="AA192" s="79"/>
      <c r="AB192" s="77"/>
      <c r="AC192" s="77"/>
      <c r="AD192" s="78"/>
      <c r="AE192" s="77"/>
      <c r="AF192" s="77"/>
      <c r="AG192" s="77"/>
      <c r="AH192" s="80"/>
      <c r="AI192" s="79"/>
      <c r="AJ192" s="77"/>
      <c r="AK192" s="77"/>
      <c r="AL192" s="78"/>
      <c r="AM192" s="77"/>
      <c r="AN192" s="77"/>
      <c r="AO192" s="77"/>
      <c r="AP192" s="80"/>
      <c r="AQ192" s="79"/>
      <c r="AR192" s="77"/>
      <c r="AS192" s="77"/>
      <c r="AT192" s="78"/>
      <c r="AU192" s="77"/>
      <c r="AV192" s="77"/>
      <c r="AW192" s="77"/>
      <c r="AX192" s="76"/>
    </row>
    <row r="193" spans="1:50" ht="30" customHeight="1">
      <c r="A193" s="82"/>
      <c r="B193" s="85" t="s">
        <v>149</v>
      </c>
      <c r="C193" s="84">
        <v>0.25</v>
      </c>
      <c r="D193" s="83">
        <v>0.03</v>
      </c>
      <c r="E193" s="83">
        <v>0.03</v>
      </c>
      <c r="F193" s="78">
        <v>6.8025308086936088E-3</v>
      </c>
      <c r="G193" s="77">
        <v>0.23340937500000006</v>
      </c>
      <c r="H193" s="77">
        <v>1.470041118699535</v>
      </c>
      <c r="I193" s="77">
        <v>0.65707775420205505</v>
      </c>
      <c r="J193" s="80">
        <v>0.97565139953962299</v>
      </c>
      <c r="K193" s="79">
        <v>-1.6590624999999942E-2</v>
      </c>
      <c r="L193" s="77"/>
      <c r="M193" s="77"/>
      <c r="N193" s="78"/>
      <c r="O193" s="77"/>
      <c r="P193" s="77"/>
      <c r="Q193" s="77"/>
      <c r="R193" s="80"/>
      <c r="S193" s="79"/>
      <c r="T193" s="77"/>
      <c r="U193" s="77"/>
      <c r="V193" s="78"/>
      <c r="W193" s="77"/>
      <c r="X193" s="77"/>
      <c r="Y193" s="77"/>
      <c r="Z193" s="80"/>
      <c r="AA193" s="79"/>
      <c r="AB193" s="77"/>
      <c r="AC193" s="77"/>
      <c r="AD193" s="78"/>
      <c r="AE193" s="77"/>
      <c r="AF193" s="77"/>
      <c r="AG193" s="77"/>
      <c r="AH193" s="80"/>
      <c r="AI193" s="79"/>
      <c r="AJ193" s="77"/>
      <c r="AK193" s="77"/>
      <c r="AL193" s="78"/>
      <c r="AM193" s="77"/>
      <c r="AN193" s="77"/>
      <c r="AO193" s="77"/>
      <c r="AP193" s="80"/>
      <c r="AQ193" s="79"/>
      <c r="AR193" s="77"/>
      <c r="AS193" s="77"/>
      <c r="AT193" s="78"/>
      <c r="AU193" s="77"/>
      <c r="AV193" s="77"/>
      <c r="AW193" s="77"/>
      <c r="AX193" s="76"/>
    </row>
    <row r="194" spans="1:50" ht="30" customHeight="1">
      <c r="A194" s="82"/>
      <c r="B194" s="85" t="s">
        <v>150</v>
      </c>
      <c r="C194" s="84">
        <v>0.56599999999999995</v>
      </c>
      <c r="D194" s="83">
        <v>0.03</v>
      </c>
      <c r="E194" s="83">
        <v>0.03</v>
      </c>
      <c r="F194" s="78">
        <v>7.0720143592030446E-3</v>
      </c>
      <c r="G194" s="77">
        <v>0.57056250000000008</v>
      </c>
      <c r="H194" s="77">
        <v>1.4140242782435362</v>
      </c>
      <c r="I194" s="77">
        <v>1.198974752593992</v>
      </c>
      <c r="J194" s="80">
        <v>0.99983848755669791</v>
      </c>
      <c r="K194" s="79">
        <v>4.5625000000001359E-3</v>
      </c>
      <c r="L194" s="77"/>
      <c r="M194" s="77"/>
      <c r="N194" s="78"/>
      <c r="O194" s="77"/>
      <c r="P194" s="77"/>
      <c r="Q194" s="77"/>
      <c r="R194" s="80"/>
      <c r="S194" s="79"/>
      <c r="T194" s="77"/>
      <c r="U194" s="77"/>
      <c r="V194" s="78"/>
      <c r="W194" s="77"/>
      <c r="X194" s="77"/>
      <c r="Y194" s="77"/>
      <c r="Z194" s="80"/>
      <c r="AA194" s="79"/>
      <c r="AB194" s="77"/>
      <c r="AC194" s="77"/>
      <c r="AD194" s="78"/>
      <c r="AE194" s="77"/>
      <c r="AF194" s="77"/>
      <c r="AG194" s="77"/>
      <c r="AH194" s="80"/>
      <c r="AI194" s="79"/>
      <c r="AJ194" s="77"/>
      <c r="AK194" s="77"/>
      <c r="AL194" s="78"/>
      <c r="AM194" s="77"/>
      <c r="AN194" s="77"/>
      <c r="AO194" s="77"/>
      <c r="AP194" s="80"/>
      <c r="AQ194" s="79"/>
      <c r="AR194" s="77"/>
      <c r="AS194" s="77"/>
      <c r="AT194" s="78"/>
      <c r="AU194" s="77"/>
      <c r="AV194" s="77"/>
      <c r="AW194" s="77"/>
      <c r="AX194" s="76"/>
    </row>
    <row r="195" spans="1:50" ht="30" customHeight="1">
      <c r="A195" s="82"/>
      <c r="B195" s="85" t="s">
        <v>151</v>
      </c>
      <c r="C195" s="84">
        <v>0.56599999999999995</v>
      </c>
      <c r="D195" s="83">
        <v>0.03</v>
      </c>
      <c r="E195" s="83">
        <v>0.03</v>
      </c>
      <c r="F195" s="78">
        <v>7.4316237968605888E-3</v>
      </c>
      <c r="G195" s="77">
        <v>0.57807500000000001</v>
      </c>
      <c r="H195" s="77">
        <v>1.3456009444698216</v>
      </c>
      <c r="I195" s="77">
        <v>0.8039965643207162</v>
      </c>
      <c r="J195" s="80">
        <v>0.99206712748345216</v>
      </c>
      <c r="K195" s="79">
        <v>1.2075000000000058E-2</v>
      </c>
      <c r="L195" s="77"/>
      <c r="M195" s="77"/>
      <c r="N195" s="78"/>
      <c r="O195" s="77"/>
      <c r="P195" s="77"/>
      <c r="Q195" s="77"/>
      <c r="R195" s="80"/>
      <c r="S195" s="79"/>
      <c r="T195" s="77"/>
      <c r="U195" s="77"/>
      <c r="V195" s="78"/>
      <c r="W195" s="77"/>
      <c r="X195" s="77"/>
      <c r="Y195" s="77"/>
      <c r="Z195" s="80"/>
      <c r="AA195" s="79"/>
      <c r="AB195" s="77"/>
      <c r="AC195" s="77"/>
      <c r="AD195" s="78"/>
      <c r="AE195" s="77"/>
      <c r="AF195" s="77"/>
      <c r="AG195" s="77"/>
      <c r="AH195" s="80"/>
      <c r="AI195" s="79"/>
      <c r="AJ195" s="77"/>
      <c r="AK195" s="77"/>
      <c r="AL195" s="78"/>
      <c r="AM195" s="77"/>
      <c r="AN195" s="77"/>
      <c r="AO195" s="77"/>
      <c r="AP195" s="80"/>
      <c r="AQ195" s="79"/>
      <c r="AR195" s="77"/>
      <c r="AS195" s="77"/>
      <c r="AT195" s="78"/>
      <c r="AU195" s="77"/>
      <c r="AV195" s="77"/>
      <c r="AW195" s="77"/>
      <c r="AX195" s="76"/>
    </row>
    <row r="196" spans="1:50" ht="30" customHeight="1">
      <c r="A196" s="82"/>
      <c r="B196" s="85" t="s">
        <v>141</v>
      </c>
      <c r="C196" s="84">
        <v>1.25</v>
      </c>
      <c r="D196" s="83">
        <v>0.1</v>
      </c>
      <c r="E196" s="83">
        <v>0.1</v>
      </c>
      <c r="F196" s="78">
        <v>3.1676906592821409E-3</v>
      </c>
      <c r="G196" s="77">
        <v>1.2337843749999999</v>
      </c>
      <c r="H196" s="77">
        <v>10.522913036239254</v>
      </c>
      <c r="I196" s="77">
        <v>8.8165569192065778</v>
      </c>
      <c r="J196" s="80">
        <v>1</v>
      </c>
      <c r="K196" s="79">
        <v>-1.6215625000000067E-2</v>
      </c>
      <c r="L196" s="77"/>
      <c r="M196" s="77"/>
      <c r="N196" s="78"/>
      <c r="O196" s="77"/>
      <c r="P196" s="77"/>
      <c r="Q196" s="77"/>
      <c r="R196" s="80"/>
      <c r="S196" s="79"/>
      <c r="T196" s="77"/>
      <c r="U196" s="77"/>
      <c r="V196" s="78"/>
      <c r="W196" s="77"/>
      <c r="X196" s="77"/>
      <c r="Y196" s="77"/>
      <c r="Z196" s="80"/>
      <c r="AA196" s="79"/>
      <c r="AB196" s="77"/>
      <c r="AC196" s="77"/>
      <c r="AD196" s="78"/>
      <c r="AE196" s="77"/>
      <c r="AF196" s="77"/>
      <c r="AG196" s="77"/>
      <c r="AH196" s="80"/>
      <c r="AI196" s="79"/>
      <c r="AJ196" s="77"/>
      <c r="AK196" s="77"/>
      <c r="AL196" s="78"/>
      <c r="AM196" s="77"/>
      <c r="AN196" s="77"/>
      <c r="AO196" s="77"/>
      <c r="AP196" s="80"/>
      <c r="AQ196" s="79"/>
      <c r="AR196" s="77"/>
      <c r="AS196" s="77"/>
      <c r="AT196" s="78"/>
      <c r="AU196" s="77"/>
      <c r="AV196" s="77"/>
      <c r="AW196" s="77"/>
      <c r="AX196" s="76"/>
    </row>
    <row r="197" spans="1:50" ht="30" customHeight="1">
      <c r="A197" s="82"/>
      <c r="B197" s="85" t="s">
        <v>152</v>
      </c>
      <c r="C197" s="84">
        <v>1.25</v>
      </c>
      <c r="D197" s="83">
        <v>0.05</v>
      </c>
      <c r="E197" s="83">
        <v>0.05</v>
      </c>
      <c r="F197" s="78">
        <v>4.7688463134483985E-3</v>
      </c>
      <c r="G197" s="77">
        <v>1.2365562499999998</v>
      </c>
      <c r="H197" s="77">
        <v>3.494905386165581</v>
      </c>
      <c r="I197" s="77">
        <v>2.5552127004602974</v>
      </c>
      <c r="J197" s="80">
        <v>0.99999999999999112</v>
      </c>
      <c r="K197" s="79">
        <v>-1.3443750000000199E-2</v>
      </c>
      <c r="L197" s="77"/>
      <c r="M197" s="77"/>
      <c r="N197" s="78"/>
      <c r="O197" s="77"/>
      <c r="P197" s="77"/>
      <c r="Q197" s="77"/>
      <c r="R197" s="80"/>
      <c r="S197" s="79"/>
      <c r="T197" s="77"/>
      <c r="U197" s="77"/>
      <c r="V197" s="78"/>
      <c r="W197" s="77"/>
      <c r="X197" s="77"/>
      <c r="Y197" s="77"/>
      <c r="Z197" s="80"/>
      <c r="AA197" s="79"/>
      <c r="AB197" s="77"/>
      <c r="AC197" s="77"/>
      <c r="AD197" s="78"/>
      <c r="AE197" s="77"/>
      <c r="AF197" s="77"/>
      <c r="AG197" s="77"/>
      <c r="AH197" s="80"/>
      <c r="AI197" s="79"/>
      <c r="AJ197" s="77"/>
      <c r="AK197" s="77"/>
      <c r="AL197" s="78"/>
      <c r="AM197" s="77"/>
      <c r="AN197" s="77"/>
      <c r="AO197" s="77"/>
      <c r="AP197" s="80"/>
      <c r="AQ197" s="79"/>
      <c r="AR197" s="77"/>
      <c r="AS197" s="77"/>
      <c r="AT197" s="78"/>
      <c r="AU197" s="77"/>
      <c r="AV197" s="77"/>
      <c r="AW197" s="77"/>
      <c r="AX197" s="76"/>
    </row>
    <row r="198" spans="1:50" ht="30" customHeight="1">
      <c r="A198" s="82" t="s">
        <v>170</v>
      </c>
      <c r="B198" s="85" t="s">
        <v>137</v>
      </c>
      <c r="C198" s="84">
        <v>1.3</v>
      </c>
      <c r="D198" s="83">
        <v>0.03</v>
      </c>
      <c r="E198" s="83">
        <v>0.03</v>
      </c>
      <c r="F198" s="78">
        <v>3.1193400356588942E-3</v>
      </c>
      <c r="G198" s="77">
        <v>1.2926937499999995</v>
      </c>
      <c r="H198" s="77">
        <v>3.2058063198255082</v>
      </c>
      <c r="I198" s="77">
        <v>2.4250589056846166</v>
      </c>
      <c r="J198" s="80">
        <v>0.99999999999982703</v>
      </c>
      <c r="K198" s="79">
        <v>-7.3062500000005137E-3</v>
      </c>
      <c r="L198" s="77"/>
      <c r="M198" s="77"/>
      <c r="N198" s="78"/>
      <c r="O198" s="77"/>
      <c r="P198" s="77"/>
      <c r="Q198" s="77"/>
      <c r="R198" s="80"/>
      <c r="S198" s="79"/>
      <c r="T198" s="77"/>
      <c r="U198" s="77"/>
      <c r="V198" s="78"/>
      <c r="W198" s="77"/>
      <c r="X198" s="77"/>
      <c r="Y198" s="77"/>
      <c r="Z198" s="80"/>
      <c r="AA198" s="79"/>
      <c r="AB198" s="77"/>
      <c r="AC198" s="77"/>
      <c r="AD198" s="78"/>
      <c r="AE198" s="77"/>
      <c r="AF198" s="77"/>
      <c r="AG198" s="77"/>
      <c r="AH198" s="80"/>
      <c r="AI198" s="79"/>
      <c r="AJ198" s="77"/>
      <c r="AK198" s="77"/>
      <c r="AL198" s="78"/>
      <c r="AM198" s="77"/>
      <c r="AN198" s="77"/>
      <c r="AO198" s="77"/>
      <c r="AP198" s="80"/>
      <c r="AQ198" s="79"/>
      <c r="AR198" s="77"/>
      <c r="AS198" s="77"/>
      <c r="AT198" s="78"/>
      <c r="AU198" s="77"/>
      <c r="AV198" s="77"/>
      <c r="AW198" s="77"/>
      <c r="AX198" s="76"/>
    </row>
    <row r="199" spans="1:50" ht="30" customHeight="1">
      <c r="A199" s="82"/>
      <c r="B199" s="85" t="s">
        <v>142</v>
      </c>
      <c r="C199" s="84">
        <v>1</v>
      </c>
      <c r="D199" s="83">
        <v>0.04</v>
      </c>
      <c r="E199" s="83">
        <v>0.04</v>
      </c>
      <c r="F199" s="78">
        <v>3.3128294114966742E-3</v>
      </c>
      <c r="G199" s="77">
        <v>0.97625000000000028</v>
      </c>
      <c r="H199" s="77">
        <v>4.0247569908254333</v>
      </c>
      <c r="I199" s="77">
        <v>1.6350575275228627</v>
      </c>
      <c r="J199" s="80">
        <v>0.99999953327385938</v>
      </c>
      <c r="K199" s="79">
        <v>-2.3749999999999716E-2</v>
      </c>
      <c r="L199" s="77"/>
      <c r="M199" s="77"/>
      <c r="N199" s="78"/>
      <c r="O199" s="77"/>
      <c r="P199" s="77"/>
      <c r="Q199" s="77"/>
      <c r="R199" s="80"/>
      <c r="S199" s="79"/>
      <c r="T199" s="77"/>
      <c r="U199" s="77"/>
      <c r="V199" s="78"/>
      <c r="W199" s="77"/>
      <c r="X199" s="77"/>
      <c r="Y199" s="77"/>
      <c r="Z199" s="80"/>
      <c r="AA199" s="79"/>
      <c r="AB199" s="77"/>
      <c r="AC199" s="77"/>
      <c r="AD199" s="78"/>
      <c r="AE199" s="77"/>
      <c r="AF199" s="77"/>
      <c r="AG199" s="77"/>
      <c r="AH199" s="80"/>
      <c r="AI199" s="79"/>
      <c r="AJ199" s="77"/>
      <c r="AK199" s="77"/>
      <c r="AL199" s="78"/>
      <c r="AM199" s="77"/>
      <c r="AN199" s="77"/>
      <c r="AO199" s="77"/>
      <c r="AP199" s="80"/>
      <c r="AQ199" s="79"/>
      <c r="AR199" s="77"/>
      <c r="AS199" s="77"/>
      <c r="AT199" s="78"/>
      <c r="AU199" s="77"/>
      <c r="AV199" s="77"/>
      <c r="AW199" s="77"/>
      <c r="AX199" s="76"/>
    </row>
    <row r="200" spans="1:50" ht="30" customHeight="1">
      <c r="A200" s="82"/>
      <c r="B200" s="85" t="s">
        <v>143</v>
      </c>
      <c r="C200" s="84">
        <v>2.4</v>
      </c>
      <c r="D200" s="83">
        <v>0.04</v>
      </c>
      <c r="E200" s="83">
        <v>0.04</v>
      </c>
      <c r="F200" s="78">
        <v>2.9379538084600425E-3</v>
      </c>
      <c r="G200" s="77">
        <v>2.3754937500000004</v>
      </c>
      <c r="H200" s="77">
        <v>4.5383059784463198</v>
      </c>
      <c r="I200" s="77">
        <v>1.7578844563388749</v>
      </c>
      <c r="J200" s="80">
        <v>0.99999993313280366</v>
      </c>
      <c r="K200" s="79">
        <v>-2.4506249999999508E-2</v>
      </c>
      <c r="L200" s="77"/>
      <c r="M200" s="77"/>
      <c r="N200" s="78"/>
      <c r="O200" s="77"/>
      <c r="P200" s="77"/>
      <c r="Q200" s="77"/>
      <c r="R200" s="80"/>
      <c r="S200" s="79"/>
      <c r="T200" s="77"/>
      <c r="U200" s="77"/>
      <c r="V200" s="78"/>
      <c r="W200" s="77"/>
      <c r="X200" s="77"/>
      <c r="Y200" s="77"/>
      <c r="Z200" s="80"/>
      <c r="AA200" s="79"/>
      <c r="AB200" s="77"/>
      <c r="AC200" s="77"/>
      <c r="AD200" s="78"/>
      <c r="AE200" s="77"/>
      <c r="AF200" s="77"/>
      <c r="AG200" s="77"/>
      <c r="AH200" s="80"/>
      <c r="AI200" s="79"/>
      <c r="AJ200" s="77"/>
      <c r="AK200" s="77"/>
      <c r="AL200" s="78"/>
      <c r="AM200" s="77"/>
      <c r="AN200" s="77"/>
      <c r="AO200" s="77"/>
      <c r="AP200" s="80"/>
      <c r="AQ200" s="79"/>
      <c r="AR200" s="77"/>
      <c r="AS200" s="77"/>
      <c r="AT200" s="78"/>
      <c r="AU200" s="77"/>
      <c r="AV200" s="77"/>
      <c r="AW200" s="77"/>
      <c r="AX200" s="76"/>
    </row>
    <row r="201" spans="1:50" ht="30" customHeight="1">
      <c r="A201" s="82"/>
      <c r="B201" s="85" t="s">
        <v>138</v>
      </c>
      <c r="C201" s="84">
        <v>3.3</v>
      </c>
      <c r="D201" s="83">
        <v>0.05</v>
      </c>
      <c r="E201" s="83">
        <v>0.05</v>
      </c>
      <c r="F201" s="78">
        <v>3.4604621638007755E-3</v>
      </c>
      <c r="G201" s="77">
        <v>3.27065625</v>
      </c>
      <c r="H201" s="77">
        <v>4.8163123530184437</v>
      </c>
      <c r="I201" s="77">
        <v>1.9897390408407556</v>
      </c>
      <c r="J201" s="80">
        <v>0.99999999880802648</v>
      </c>
      <c r="K201" s="79">
        <v>-2.934374999999978E-2</v>
      </c>
      <c r="L201" s="77"/>
      <c r="M201" s="77"/>
      <c r="N201" s="78"/>
      <c r="O201" s="77"/>
      <c r="P201" s="77"/>
      <c r="Q201" s="77"/>
      <c r="R201" s="80"/>
      <c r="S201" s="79"/>
      <c r="T201" s="77"/>
      <c r="U201" s="77"/>
      <c r="V201" s="78"/>
      <c r="W201" s="77"/>
      <c r="X201" s="77"/>
      <c r="Y201" s="77"/>
      <c r="Z201" s="80"/>
      <c r="AA201" s="79"/>
      <c r="AB201" s="77"/>
      <c r="AC201" s="77"/>
      <c r="AD201" s="78"/>
      <c r="AE201" s="77"/>
      <c r="AF201" s="77"/>
      <c r="AG201" s="77"/>
      <c r="AH201" s="80"/>
      <c r="AI201" s="79"/>
      <c r="AJ201" s="77"/>
      <c r="AK201" s="77"/>
      <c r="AL201" s="78"/>
      <c r="AM201" s="77"/>
      <c r="AN201" s="77"/>
      <c r="AO201" s="77"/>
      <c r="AP201" s="80"/>
      <c r="AQ201" s="79"/>
      <c r="AR201" s="77"/>
      <c r="AS201" s="77"/>
      <c r="AT201" s="78"/>
      <c r="AU201" s="77"/>
      <c r="AV201" s="77"/>
      <c r="AW201" s="77"/>
      <c r="AX201" s="76"/>
    </row>
    <row r="202" spans="1:50" ht="30" customHeight="1">
      <c r="A202" s="82"/>
      <c r="B202" s="85" t="s">
        <v>140</v>
      </c>
      <c r="C202" s="84">
        <v>0.86</v>
      </c>
      <c r="D202" s="83">
        <v>0.05</v>
      </c>
      <c r="E202" s="83">
        <v>0.05</v>
      </c>
      <c r="F202" s="78">
        <v>4.6907897058508369E-3</v>
      </c>
      <c r="G202" s="77">
        <v>0.83546874999999987</v>
      </c>
      <c r="H202" s="77">
        <v>3.5530620027323536</v>
      </c>
      <c r="I202" s="77">
        <v>1.8098409576417858</v>
      </c>
      <c r="J202" s="80">
        <v>0.9999999717475444</v>
      </c>
      <c r="K202" s="79">
        <v>-2.4531250000000115E-2</v>
      </c>
      <c r="L202" s="77"/>
      <c r="M202" s="77"/>
      <c r="N202" s="78"/>
      <c r="O202" s="77"/>
      <c r="P202" s="77"/>
      <c r="Q202" s="77"/>
      <c r="R202" s="80"/>
      <c r="S202" s="79"/>
      <c r="T202" s="77"/>
      <c r="U202" s="77"/>
      <c r="V202" s="78"/>
      <c r="W202" s="77"/>
      <c r="X202" s="77"/>
      <c r="Y202" s="77"/>
      <c r="Z202" s="80"/>
      <c r="AA202" s="79"/>
      <c r="AB202" s="77"/>
      <c r="AC202" s="77"/>
      <c r="AD202" s="78"/>
      <c r="AE202" s="77"/>
      <c r="AF202" s="77"/>
      <c r="AG202" s="77"/>
      <c r="AH202" s="80"/>
      <c r="AI202" s="79"/>
      <c r="AJ202" s="77"/>
      <c r="AK202" s="77"/>
      <c r="AL202" s="78"/>
      <c r="AM202" s="77"/>
      <c r="AN202" s="77"/>
      <c r="AO202" s="77"/>
      <c r="AP202" s="80"/>
      <c r="AQ202" s="79"/>
      <c r="AR202" s="77"/>
      <c r="AS202" s="77"/>
      <c r="AT202" s="78"/>
      <c r="AU202" s="77"/>
      <c r="AV202" s="77"/>
      <c r="AW202" s="77"/>
      <c r="AX202" s="76"/>
    </row>
    <row r="203" spans="1:50" ht="30" customHeight="1">
      <c r="A203" s="82"/>
      <c r="B203" s="85" t="s">
        <v>139</v>
      </c>
      <c r="C203" s="84">
        <v>0.86</v>
      </c>
      <c r="D203" s="83">
        <v>0.05</v>
      </c>
      <c r="E203" s="83">
        <v>0.05</v>
      </c>
      <c r="F203" s="78">
        <v>4.3859643714628986E-3</v>
      </c>
      <c r="G203" s="77">
        <v>0.82765937500000009</v>
      </c>
      <c r="H203" s="77">
        <v>3.8000004685646056</v>
      </c>
      <c r="I203" s="77">
        <v>1.3421126654911713</v>
      </c>
      <c r="J203" s="80">
        <v>0.9999716738803619</v>
      </c>
      <c r="K203" s="79">
        <v>-3.2340624999999901E-2</v>
      </c>
      <c r="L203" s="77"/>
      <c r="M203" s="77"/>
      <c r="N203" s="78"/>
      <c r="O203" s="77"/>
      <c r="P203" s="77"/>
      <c r="Q203" s="77"/>
      <c r="R203" s="80"/>
      <c r="S203" s="79"/>
      <c r="T203" s="77"/>
      <c r="U203" s="77"/>
      <c r="V203" s="78"/>
      <c r="W203" s="77"/>
      <c r="X203" s="77"/>
      <c r="Y203" s="77"/>
      <c r="Z203" s="80"/>
      <c r="AA203" s="79"/>
      <c r="AB203" s="77"/>
      <c r="AC203" s="77"/>
      <c r="AD203" s="78"/>
      <c r="AE203" s="77"/>
      <c r="AF203" s="77"/>
      <c r="AG203" s="77"/>
      <c r="AH203" s="80"/>
      <c r="AI203" s="79"/>
      <c r="AJ203" s="77"/>
      <c r="AK203" s="77"/>
      <c r="AL203" s="78"/>
      <c r="AM203" s="77"/>
      <c r="AN203" s="77"/>
      <c r="AO203" s="77"/>
      <c r="AP203" s="80"/>
      <c r="AQ203" s="79"/>
      <c r="AR203" s="77"/>
      <c r="AS203" s="77"/>
      <c r="AT203" s="78"/>
      <c r="AU203" s="77"/>
      <c r="AV203" s="77"/>
      <c r="AW203" s="77"/>
      <c r="AX203" s="76"/>
    </row>
    <row r="204" spans="1:50" ht="30" customHeight="1">
      <c r="A204" s="82"/>
      <c r="B204" s="85" t="s">
        <v>144</v>
      </c>
      <c r="C204" s="84">
        <v>2.9</v>
      </c>
      <c r="D204" s="83">
        <v>0.05</v>
      </c>
      <c r="E204" s="83">
        <v>0.05</v>
      </c>
      <c r="F204" s="78">
        <v>7.2786918356741517E-3</v>
      </c>
      <c r="G204" s="77">
        <v>2.8729250000000004</v>
      </c>
      <c r="H204" s="77">
        <v>2.2897887481621817</v>
      </c>
      <c r="I204" s="77">
        <v>1.049868141032378</v>
      </c>
      <c r="J204" s="80">
        <v>0.9991825416541581</v>
      </c>
      <c r="K204" s="79">
        <v>-2.7074999999999516E-2</v>
      </c>
      <c r="L204" s="77"/>
      <c r="M204" s="77"/>
      <c r="N204" s="78"/>
      <c r="O204" s="77"/>
      <c r="P204" s="77"/>
      <c r="Q204" s="77"/>
      <c r="R204" s="80"/>
      <c r="S204" s="79"/>
      <c r="T204" s="77"/>
      <c r="U204" s="77"/>
      <c r="V204" s="78"/>
      <c r="W204" s="77"/>
      <c r="X204" s="77"/>
      <c r="Y204" s="77"/>
      <c r="Z204" s="80"/>
      <c r="AA204" s="79"/>
      <c r="AB204" s="77"/>
      <c r="AC204" s="77"/>
      <c r="AD204" s="78"/>
      <c r="AE204" s="77"/>
      <c r="AF204" s="77"/>
      <c r="AG204" s="77"/>
      <c r="AH204" s="80"/>
      <c r="AI204" s="79"/>
      <c r="AJ204" s="77"/>
      <c r="AK204" s="77"/>
      <c r="AL204" s="78"/>
      <c r="AM204" s="77"/>
      <c r="AN204" s="77"/>
      <c r="AO204" s="77"/>
      <c r="AP204" s="80"/>
      <c r="AQ204" s="79"/>
      <c r="AR204" s="77"/>
      <c r="AS204" s="77"/>
      <c r="AT204" s="78"/>
      <c r="AU204" s="77"/>
      <c r="AV204" s="77"/>
      <c r="AW204" s="77"/>
      <c r="AX204" s="76"/>
    </row>
    <row r="205" spans="1:50" ht="30" customHeight="1">
      <c r="A205" s="82"/>
      <c r="B205" s="85" t="s">
        <v>145</v>
      </c>
      <c r="C205" s="84">
        <v>0.3</v>
      </c>
      <c r="D205" s="83">
        <v>0.03</v>
      </c>
      <c r="E205" s="83">
        <v>0.03</v>
      </c>
      <c r="F205" s="78">
        <v>2.6469017189305354E-3</v>
      </c>
      <c r="G205" s="77">
        <v>0.32236875000000009</v>
      </c>
      <c r="H205" s="77">
        <v>3.7780020045626888</v>
      </c>
      <c r="I205" s="77">
        <v>0.96102925991061816</v>
      </c>
      <c r="J205" s="80">
        <v>0.99803101156412954</v>
      </c>
      <c r="K205" s="79">
        <v>2.2368750000000104E-2</v>
      </c>
      <c r="L205" s="77"/>
      <c r="M205" s="77"/>
      <c r="N205" s="78"/>
      <c r="O205" s="77"/>
      <c r="P205" s="77"/>
      <c r="Q205" s="77"/>
      <c r="R205" s="80"/>
      <c r="S205" s="79"/>
      <c r="T205" s="77"/>
      <c r="U205" s="77"/>
      <c r="V205" s="78"/>
      <c r="W205" s="77"/>
      <c r="X205" s="77"/>
      <c r="Y205" s="77"/>
      <c r="Z205" s="80"/>
      <c r="AA205" s="79"/>
      <c r="AB205" s="77"/>
      <c r="AC205" s="77"/>
      <c r="AD205" s="78"/>
      <c r="AE205" s="77"/>
      <c r="AF205" s="77"/>
      <c r="AG205" s="77"/>
      <c r="AH205" s="80"/>
      <c r="AI205" s="79"/>
      <c r="AJ205" s="77"/>
      <c r="AK205" s="77"/>
      <c r="AL205" s="78"/>
      <c r="AM205" s="77"/>
      <c r="AN205" s="77"/>
      <c r="AO205" s="77"/>
      <c r="AP205" s="80"/>
      <c r="AQ205" s="79"/>
      <c r="AR205" s="77"/>
      <c r="AS205" s="77"/>
      <c r="AT205" s="78"/>
      <c r="AU205" s="77"/>
      <c r="AV205" s="77"/>
      <c r="AW205" s="77"/>
      <c r="AX205" s="76"/>
    </row>
    <row r="206" spans="1:50" ht="30" customHeight="1">
      <c r="A206" s="82"/>
      <c r="B206" s="85" t="s">
        <v>146</v>
      </c>
      <c r="C206" s="84">
        <v>0.3</v>
      </c>
      <c r="D206" s="83">
        <v>0.03</v>
      </c>
      <c r="E206" s="83">
        <v>0.03</v>
      </c>
      <c r="F206" s="78">
        <v>4.5923498798931756E-3</v>
      </c>
      <c r="G206" s="77">
        <v>0.31337500000000001</v>
      </c>
      <c r="H206" s="77">
        <v>2.1775344347745134</v>
      </c>
      <c r="I206" s="77">
        <v>1.2067169992708733</v>
      </c>
      <c r="J206" s="80">
        <v>0.99985278442860526</v>
      </c>
      <c r="K206" s="79">
        <v>1.3375000000000026E-2</v>
      </c>
      <c r="L206" s="77"/>
      <c r="M206" s="77"/>
      <c r="N206" s="78"/>
      <c r="O206" s="77"/>
      <c r="P206" s="77"/>
      <c r="Q206" s="77"/>
      <c r="R206" s="80"/>
      <c r="S206" s="79"/>
      <c r="T206" s="77"/>
      <c r="U206" s="77"/>
      <c r="V206" s="78"/>
      <c r="W206" s="77"/>
      <c r="X206" s="77"/>
      <c r="Y206" s="77"/>
      <c r="Z206" s="80"/>
      <c r="AA206" s="79"/>
      <c r="AB206" s="77"/>
      <c r="AC206" s="77"/>
      <c r="AD206" s="78"/>
      <c r="AE206" s="77"/>
      <c r="AF206" s="77"/>
      <c r="AG206" s="77"/>
      <c r="AH206" s="80"/>
      <c r="AI206" s="79"/>
      <c r="AJ206" s="77"/>
      <c r="AK206" s="77"/>
      <c r="AL206" s="78"/>
      <c r="AM206" s="77"/>
      <c r="AN206" s="77"/>
      <c r="AO206" s="77"/>
      <c r="AP206" s="80"/>
      <c r="AQ206" s="79"/>
      <c r="AR206" s="77"/>
      <c r="AS206" s="77"/>
      <c r="AT206" s="78"/>
      <c r="AU206" s="77"/>
      <c r="AV206" s="77"/>
      <c r="AW206" s="77"/>
      <c r="AX206" s="76"/>
    </row>
    <row r="207" spans="1:50" ht="30" customHeight="1">
      <c r="A207" s="82"/>
      <c r="B207" s="85" t="s">
        <v>147</v>
      </c>
      <c r="C207" s="84">
        <v>0.25</v>
      </c>
      <c r="D207" s="83">
        <v>0.03</v>
      </c>
      <c r="E207" s="83">
        <v>0.03</v>
      </c>
      <c r="F207" s="78">
        <v>4.1679448308372799E-3</v>
      </c>
      <c r="G207" s="77">
        <v>0.24002812500000001</v>
      </c>
      <c r="H207" s="77">
        <v>2.3992640032116617</v>
      </c>
      <c r="I207" s="77">
        <v>1.6017586454774522</v>
      </c>
      <c r="J207" s="80">
        <v>0.99999922730889945</v>
      </c>
      <c r="K207" s="79">
        <v>-9.9718749999999912E-3</v>
      </c>
      <c r="L207" s="77"/>
      <c r="M207" s="77"/>
      <c r="N207" s="78"/>
      <c r="O207" s="77"/>
      <c r="P207" s="77"/>
      <c r="Q207" s="77"/>
      <c r="R207" s="80"/>
      <c r="S207" s="79"/>
      <c r="T207" s="77"/>
      <c r="U207" s="77"/>
      <c r="V207" s="78"/>
      <c r="W207" s="77"/>
      <c r="X207" s="77"/>
      <c r="Y207" s="77"/>
      <c r="Z207" s="80"/>
      <c r="AA207" s="79"/>
      <c r="AB207" s="77"/>
      <c r="AC207" s="77"/>
      <c r="AD207" s="78"/>
      <c r="AE207" s="77"/>
      <c r="AF207" s="77"/>
      <c r="AG207" s="77"/>
      <c r="AH207" s="80"/>
      <c r="AI207" s="79"/>
      <c r="AJ207" s="77"/>
      <c r="AK207" s="77"/>
      <c r="AL207" s="78"/>
      <c r="AM207" s="77"/>
      <c r="AN207" s="77"/>
      <c r="AO207" s="77"/>
      <c r="AP207" s="80"/>
      <c r="AQ207" s="79"/>
      <c r="AR207" s="77"/>
      <c r="AS207" s="77"/>
      <c r="AT207" s="78"/>
      <c r="AU207" s="77"/>
      <c r="AV207" s="77"/>
      <c r="AW207" s="77"/>
      <c r="AX207" s="76"/>
    </row>
    <row r="208" spans="1:50" ht="30" customHeight="1">
      <c r="A208" s="82"/>
      <c r="B208" s="85" t="s">
        <v>148</v>
      </c>
      <c r="C208" s="84">
        <v>0.25</v>
      </c>
      <c r="D208" s="83">
        <v>0.03</v>
      </c>
      <c r="E208" s="83">
        <v>0.03</v>
      </c>
      <c r="F208" s="78">
        <v>3.6975962113156048E-3</v>
      </c>
      <c r="G208" s="77">
        <v>0.22824375</v>
      </c>
      <c r="H208" s="77">
        <v>2.7044597161251427</v>
      </c>
      <c r="I208" s="77">
        <v>0.74316299282688736</v>
      </c>
      <c r="J208" s="80">
        <v>0.98710930608548719</v>
      </c>
      <c r="K208" s="79">
        <v>-2.1756250000000005E-2</v>
      </c>
      <c r="L208" s="77"/>
      <c r="M208" s="77"/>
      <c r="N208" s="78"/>
      <c r="O208" s="77"/>
      <c r="P208" s="77"/>
      <c r="Q208" s="77"/>
      <c r="R208" s="80"/>
      <c r="S208" s="79"/>
      <c r="T208" s="77"/>
      <c r="U208" s="77"/>
      <c r="V208" s="78"/>
      <c r="W208" s="77"/>
      <c r="X208" s="77"/>
      <c r="Y208" s="77"/>
      <c r="Z208" s="80"/>
      <c r="AA208" s="79"/>
      <c r="AB208" s="77"/>
      <c r="AC208" s="77"/>
      <c r="AD208" s="78"/>
      <c r="AE208" s="77"/>
      <c r="AF208" s="77"/>
      <c r="AG208" s="77"/>
      <c r="AH208" s="80"/>
      <c r="AI208" s="79"/>
      <c r="AJ208" s="77"/>
      <c r="AK208" s="77"/>
      <c r="AL208" s="78"/>
      <c r="AM208" s="77"/>
      <c r="AN208" s="77"/>
      <c r="AO208" s="77"/>
      <c r="AP208" s="80"/>
      <c r="AQ208" s="79"/>
      <c r="AR208" s="77"/>
      <c r="AS208" s="77"/>
      <c r="AT208" s="78"/>
      <c r="AU208" s="77"/>
      <c r="AV208" s="77"/>
      <c r="AW208" s="77"/>
      <c r="AX208" s="76"/>
    </row>
    <row r="209" spans="1:50" ht="30" customHeight="1">
      <c r="A209" s="82"/>
      <c r="B209" s="85" t="s">
        <v>149</v>
      </c>
      <c r="C209" s="84">
        <v>0.25</v>
      </c>
      <c r="D209" s="83">
        <v>0.03</v>
      </c>
      <c r="E209" s="83">
        <v>0.03</v>
      </c>
      <c r="F209" s="78">
        <v>8.1004878387543125E-3</v>
      </c>
      <c r="G209" s="77">
        <v>0.24903749999999997</v>
      </c>
      <c r="H209" s="77">
        <v>1.2344935513831716</v>
      </c>
      <c r="I209" s="77">
        <v>1.1948868832762931</v>
      </c>
      <c r="J209" s="80">
        <v>0.99976513544413204</v>
      </c>
      <c r="K209" s="79">
        <v>-9.6250000000003277E-4</v>
      </c>
      <c r="L209" s="77"/>
      <c r="M209" s="77"/>
      <c r="N209" s="78"/>
      <c r="O209" s="77"/>
      <c r="P209" s="77"/>
      <c r="Q209" s="77"/>
      <c r="R209" s="80"/>
      <c r="S209" s="79"/>
      <c r="T209" s="77"/>
      <c r="U209" s="77"/>
      <c r="V209" s="78"/>
      <c r="W209" s="77"/>
      <c r="X209" s="77"/>
      <c r="Y209" s="77"/>
      <c r="Z209" s="80"/>
      <c r="AA209" s="79"/>
      <c r="AB209" s="77"/>
      <c r="AC209" s="77"/>
      <c r="AD209" s="78"/>
      <c r="AE209" s="77"/>
      <c r="AF209" s="77"/>
      <c r="AG209" s="77"/>
      <c r="AH209" s="80"/>
      <c r="AI209" s="79"/>
      <c r="AJ209" s="77"/>
      <c r="AK209" s="77"/>
      <c r="AL209" s="78"/>
      <c r="AM209" s="77"/>
      <c r="AN209" s="77"/>
      <c r="AO209" s="77"/>
      <c r="AP209" s="80"/>
      <c r="AQ209" s="79"/>
      <c r="AR209" s="77"/>
      <c r="AS209" s="77"/>
      <c r="AT209" s="78"/>
      <c r="AU209" s="77"/>
      <c r="AV209" s="77"/>
      <c r="AW209" s="77"/>
      <c r="AX209" s="76"/>
    </row>
    <row r="210" spans="1:50" ht="30" customHeight="1">
      <c r="A210" s="82"/>
      <c r="B210" s="85" t="s">
        <v>150</v>
      </c>
      <c r="C210" s="84">
        <v>0.56599999999999995</v>
      </c>
      <c r="D210" s="83">
        <v>0.03</v>
      </c>
      <c r="E210" s="83">
        <v>0.03</v>
      </c>
      <c r="F210" s="78">
        <v>6.1529923221249937E-3</v>
      </c>
      <c r="G210" s="77">
        <v>0.57615624999999993</v>
      </c>
      <c r="H210" s="77">
        <v>1.6252254962259427</v>
      </c>
      <c r="I210" s="77">
        <v>1.0750189480244534</v>
      </c>
      <c r="J210" s="80">
        <v>0.99937026167365628</v>
      </c>
      <c r="K210" s="79">
        <v>1.0156249999999978E-2</v>
      </c>
      <c r="L210" s="77"/>
      <c r="M210" s="77"/>
      <c r="N210" s="78"/>
      <c r="O210" s="77"/>
      <c r="P210" s="77"/>
      <c r="Q210" s="77"/>
      <c r="R210" s="80"/>
      <c r="S210" s="79"/>
      <c r="T210" s="77"/>
      <c r="U210" s="77"/>
      <c r="V210" s="78"/>
      <c r="W210" s="77"/>
      <c r="X210" s="77"/>
      <c r="Y210" s="77"/>
      <c r="Z210" s="80"/>
      <c r="AA210" s="79"/>
      <c r="AB210" s="77"/>
      <c r="AC210" s="77"/>
      <c r="AD210" s="78"/>
      <c r="AE210" s="77"/>
      <c r="AF210" s="77"/>
      <c r="AG210" s="77"/>
      <c r="AH210" s="80"/>
      <c r="AI210" s="79"/>
      <c r="AJ210" s="77"/>
      <c r="AK210" s="77"/>
      <c r="AL210" s="78"/>
      <c r="AM210" s="77"/>
      <c r="AN210" s="77"/>
      <c r="AO210" s="77"/>
      <c r="AP210" s="80"/>
      <c r="AQ210" s="79"/>
      <c r="AR210" s="77"/>
      <c r="AS210" s="77"/>
      <c r="AT210" s="78"/>
      <c r="AU210" s="77"/>
      <c r="AV210" s="77"/>
      <c r="AW210" s="77"/>
      <c r="AX210" s="76"/>
    </row>
    <row r="211" spans="1:50" ht="30" customHeight="1">
      <c r="A211" s="82"/>
      <c r="B211" s="85" t="s">
        <v>151</v>
      </c>
      <c r="C211" s="84">
        <v>0.56599999999999995</v>
      </c>
      <c r="D211" s="83">
        <v>0.03</v>
      </c>
      <c r="E211" s="83">
        <v>0.03</v>
      </c>
      <c r="F211" s="78">
        <v>6.4084338331255597E-3</v>
      </c>
      <c r="G211" s="77">
        <v>0.58288125000000002</v>
      </c>
      <c r="H211" s="77">
        <v>1.5604436685152991</v>
      </c>
      <c r="I211" s="77">
        <v>0.68236901254449989</v>
      </c>
      <c r="J211" s="80">
        <v>0.97967621192925924</v>
      </c>
      <c r="K211" s="79">
        <v>1.688125000000007E-2</v>
      </c>
      <c r="L211" s="77"/>
      <c r="M211" s="77"/>
      <c r="N211" s="78"/>
      <c r="O211" s="77"/>
      <c r="P211" s="77"/>
      <c r="Q211" s="77"/>
      <c r="R211" s="80"/>
      <c r="S211" s="79"/>
      <c r="T211" s="77"/>
      <c r="U211" s="77"/>
      <c r="V211" s="78"/>
      <c r="W211" s="77"/>
      <c r="X211" s="77"/>
      <c r="Y211" s="77"/>
      <c r="Z211" s="80"/>
      <c r="AA211" s="79"/>
      <c r="AB211" s="77"/>
      <c r="AC211" s="77"/>
      <c r="AD211" s="78"/>
      <c r="AE211" s="77"/>
      <c r="AF211" s="77"/>
      <c r="AG211" s="77"/>
      <c r="AH211" s="80"/>
      <c r="AI211" s="79"/>
      <c r="AJ211" s="77"/>
      <c r="AK211" s="77"/>
      <c r="AL211" s="78"/>
      <c r="AM211" s="77"/>
      <c r="AN211" s="77"/>
      <c r="AO211" s="77"/>
      <c r="AP211" s="80"/>
      <c r="AQ211" s="79"/>
      <c r="AR211" s="77"/>
      <c r="AS211" s="77"/>
      <c r="AT211" s="78"/>
      <c r="AU211" s="77"/>
      <c r="AV211" s="77"/>
      <c r="AW211" s="77"/>
      <c r="AX211" s="76"/>
    </row>
    <row r="212" spans="1:50" ht="30" customHeight="1">
      <c r="A212" s="82"/>
      <c r="B212" s="85" t="s">
        <v>141</v>
      </c>
      <c r="C212" s="84">
        <v>1.25</v>
      </c>
      <c r="D212" s="83">
        <v>0.1</v>
      </c>
      <c r="E212" s="83">
        <v>0.1</v>
      </c>
      <c r="F212" s="78">
        <v>3.0018744144284463E-3</v>
      </c>
      <c r="G212" s="77">
        <v>1.2433187499999998</v>
      </c>
      <c r="H212" s="77">
        <v>11.104173170308989</v>
      </c>
      <c r="I212" s="77">
        <v>10.362275600367699</v>
      </c>
      <c r="J212" s="80">
        <v>1</v>
      </c>
      <c r="K212" s="79">
        <v>-6.681250000000194E-3</v>
      </c>
      <c r="L212" s="77"/>
      <c r="M212" s="77"/>
      <c r="N212" s="78"/>
      <c r="O212" s="77"/>
      <c r="P212" s="77"/>
      <c r="Q212" s="77"/>
      <c r="R212" s="80"/>
      <c r="S212" s="79"/>
      <c r="T212" s="77"/>
      <c r="U212" s="77"/>
      <c r="V212" s="78"/>
      <c r="W212" s="77"/>
      <c r="X212" s="77"/>
      <c r="Y212" s="77"/>
      <c r="Z212" s="80"/>
      <c r="AA212" s="79"/>
      <c r="AB212" s="77"/>
      <c r="AC212" s="77"/>
      <c r="AD212" s="78"/>
      <c r="AE212" s="77"/>
      <c r="AF212" s="77"/>
      <c r="AG212" s="77"/>
      <c r="AH212" s="80"/>
      <c r="AI212" s="79"/>
      <c r="AJ212" s="77"/>
      <c r="AK212" s="77"/>
      <c r="AL212" s="78"/>
      <c r="AM212" s="77"/>
      <c r="AN212" s="77"/>
      <c r="AO212" s="77"/>
      <c r="AP212" s="80"/>
      <c r="AQ212" s="79"/>
      <c r="AR212" s="77"/>
      <c r="AS212" s="77"/>
      <c r="AT212" s="78"/>
      <c r="AU212" s="77"/>
      <c r="AV212" s="77"/>
      <c r="AW212" s="77"/>
      <c r="AX212" s="76"/>
    </row>
    <row r="213" spans="1:50" ht="30" customHeight="1">
      <c r="A213" s="82"/>
      <c r="B213" s="85" t="s">
        <v>152</v>
      </c>
      <c r="C213" s="84">
        <v>1.25</v>
      </c>
      <c r="D213" s="83">
        <v>0.05</v>
      </c>
      <c r="E213" s="83">
        <v>0.05</v>
      </c>
      <c r="F213" s="78">
        <v>6.9818168215037201E-3</v>
      </c>
      <c r="G213" s="77">
        <v>1.2134562499999997</v>
      </c>
      <c r="H213" s="77">
        <v>2.3871532428828561</v>
      </c>
      <c r="I213" s="77">
        <v>0.64244261649083501</v>
      </c>
      <c r="J213" s="80">
        <v>0.97303060750015369</v>
      </c>
      <c r="K213" s="79">
        <v>-3.6543750000000319E-2</v>
      </c>
      <c r="L213" s="77"/>
      <c r="M213" s="77"/>
      <c r="N213" s="78"/>
      <c r="O213" s="77"/>
      <c r="P213" s="77"/>
      <c r="Q213" s="77"/>
      <c r="R213" s="80"/>
      <c r="S213" s="79"/>
      <c r="T213" s="77"/>
      <c r="U213" s="77"/>
      <c r="V213" s="78"/>
      <c r="W213" s="77"/>
      <c r="X213" s="77"/>
      <c r="Y213" s="77"/>
      <c r="Z213" s="80"/>
      <c r="AA213" s="79"/>
      <c r="AB213" s="77"/>
      <c r="AC213" s="77"/>
      <c r="AD213" s="78"/>
      <c r="AE213" s="77"/>
      <c r="AF213" s="77"/>
      <c r="AG213" s="77"/>
      <c r="AH213" s="80"/>
      <c r="AI213" s="79"/>
      <c r="AJ213" s="77"/>
      <c r="AK213" s="77"/>
      <c r="AL213" s="78"/>
      <c r="AM213" s="77"/>
      <c r="AN213" s="77"/>
      <c r="AO213" s="77"/>
      <c r="AP213" s="80"/>
      <c r="AQ213" s="79"/>
      <c r="AR213" s="77"/>
      <c r="AS213" s="77"/>
      <c r="AT213" s="78"/>
      <c r="AU213" s="77"/>
      <c r="AV213" s="77"/>
      <c r="AW213" s="77"/>
      <c r="AX213" s="76"/>
    </row>
    <row r="214" spans="1:50" ht="30" customHeight="1">
      <c r="A214" s="82" t="s">
        <v>171</v>
      </c>
      <c r="B214" s="85" t="s">
        <v>137</v>
      </c>
      <c r="C214" s="84">
        <v>1.3</v>
      </c>
      <c r="D214" s="83">
        <v>0.03</v>
      </c>
      <c r="E214" s="83">
        <v>0.03</v>
      </c>
      <c r="F214" s="78">
        <v>4.1911148335958565E-3</v>
      </c>
      <c r="G214" s="77">
        <v>1.2984312499999997</v>
      </c>
      <c r="H214" s="77">
        <v>2.3860000016798146</v>
      </c>
      <c r="I214" s="77">
        <v>2.2612320849252803</v>
      </c>
      <c r="J214" s="80">
        <v>0.99999999999411804</v>
      </c>
      <c r="K214" s="79">
        <v>-1.5687500000003407E-3</v>
      </c>
      <c r="L214" s="77"/>
      <c r="M214" s="77"/>
      <c r="N214" s="78"/>
      <c r="O214" s="77"/>
      <c r="P214" s="77"/>
      <c r="Q214" s="77"/>
      <c r="R214" s="80"/>
      <c r="S214" s="79"/>
      <c r="T214" s="77"/>
      <c r="U214" s="77"/>
      <c r="V214" s="78"/>
      <c r="W214" s="77"/>
      <c r="X214" s="77"/>
      <c r="Y214" s="77"/>
      <c r="Z214" s="80"/>
      <c r="AA214" s="79"/>
      <c r="AB214" s="77"/>
      <c r="AC214" s="77"/>
      <c r="AD214" s="78"/>
      <c r="AE214" s="77"/>
      <c r="AF214" s="77"/>
      <c r="AG214" s="77"/>
      <c r="AH214" s="80"/>
      <c r="AI214" s="79"/>
      <c r="AJ214" s="77"/>
      <c r="AK214" s="77"/>
      <c r="AL214" s="78"/>
      <c r="AM214" s="77"/>
      <c r="AN214" s="77"/>
      <c r="AO214" s="77"/>
      <c r="AP214" s="80"/>
      <c r="AQ214" s="79"/>
      <c r="AR214" s="77"/>
      <c r="AS214" s="77"/>
      <c r="AT214" s="78"/>
      <c r="AU214" s="77"/>
      <c r="AV214" s="77"/>
      <c r="AW214" s="77"/>
      <c r="AX214" s="76"/>
    </row>
    <row r="215" spans="1:50" ht="30" customHeight="1">
      <c r="A215" s="82"/>
      <c r="B215" s="85" t="s">
        <v>142</v>
      </c>
      <c r="C215" s="84">
        <v>1</v>
      </c>
      <c r="D215" s="83">
        <v>0.04</v>
      </c>
      <c r="E215" s="83">
        <v>0.04</v>
      </c>
      <c r="F215" s="78">
        <v>3.4982023033036111E-3</v>
      </c>
      <c r="G215" s="77">
        <v>0.9752000000000004</v>
      </c>
      <c r="H215" s="77">
        <v>3.8114814917198161</v>
      </c>
      <c r="I215" s="77">
        <v>1.4483629668535702</v>
      </c>
      <c r="J215" s="80">
        <v>0.99999303903653969</v>
      </c>
      <c r="K215" s="79">
        <v>-2.47999999999996E-2</v>
      </c>
      <c r="L215" s="77"/>
      <c r="M215" s="77"/>
      <c r="N215" s="78"/>
      <c r="O215" s="77"/>
      <c r="P215" s="77"/>
      <c r="Q215" s="77"/>
      <c r="R215" s="80"/>
      <c r="S215" s="79"/>
      <c r="T215" s="77"/>
      <c r="U215" s="77"/>
      <c r="V215" s="78"/>
      <c r="W215" s="77"/>
      <c r="X215" s="77"/>
      <c r="Y215" s="77"/>
      <c r="Z215" s="80"/>
      <c r="AA215" s="79"/>
      <c r="AB215" s="77"/>
      <c r="AC215" s="77"/>
      <c r="AD215" s="78"/>
      <c r="AE215" s="77"/>
      <c r="AF215" s="77"/>
      <c r="AG215" s="77"/>
      <c r="AH215" s="80"/>
      <c r="AI215" s="79"/>
      <c r="AJ215" s="77"/>
      <c r="AK215" s="77"/>
      <c r="AL215" s="78"/>
      <c r="AM215" s="77"/>
      <c r="AN215" s="77"/>
      <c r="AO215" s="77"/>
      <c r="AP215" s="80"/>
      <c r="AQ215" s="79"/>
      <c r="AR215" s="77"/>
      <c r="AS215" s="77"/>
      <c r="AT215" s="78"/>
      <c r="AU215" s="77"/>
      <c r="AV215" s="77"/>
      <c r="AW215" s="77"/>
      <c r="AX215" s="76"/>
    </row>
    <row r="216" spans="1:50" ht="30" customHeight="1">
      <c r="A216" s="82"/>
      <c r="B216" s="85" t="s">
        <v>143</v>
      </c>
      <c r="C216" s="84">
        <v>2.4</v>
      </c>
      <c r="D216" s="83">
        <v>0.04</v>
      </c>
      <c r="E216" s="83">
        <v>0.04</v>
      </c>
      <c r="F216" s="78">
        <v>3.1224925424120824E-3</v>
      </c>
      <c r="G216" s="77">
        <v>2.3727187499999998</v>
      </c>
      <c r="H216" s="77">
        <v>4.2700929312815994</v>
      </c>
      <c r="I216" s="77">
        <v>1.3577561117434331</v>
      </c>
      <c r="J216" s="80">
        <v>0.99997682101932506</v>
      </c>
      <c r="K216" s="79">
        <v>-2.7281250000000146E-2</v>
      </c>
      <c r="L216" s="77"/>
      <c r="M216" s="77"/>
      <c r="N216" s="78"/>
      <c r="O216" s="77"/>
      <c r="P216" s="77"/>
      <c r="Q216" s="77"/>
      <c r="R216" s="80"/>
      <c r="S216" s="79"/>
      <c r="T216" s="77"/>
      <c r="U216" s="77"/>
      <c r="V216" s="78"/>
      <c r="W216" s="77"/>
      <c r="X216" s="77"/>
      <c r="Y216" s="77"/>
      <c r="Z216" s="80"/>
      <c r="AA216" s="79"/>
      <c r="AB216" s="77"/>
      <c r="AC216" s="77"/>
      <c r="AD216" s="78"/>
      <c r="AE216" s="77"/>
      <c r="AF216" s="77"/>
      <c r="AG216" s="77"/>
      <c r="AH216" s="80"/>
      <c r="AI216" s="79"/>
      <c r="AJ216" s="77"/>
      <c r="AK216" s="77"/>
      <c r="AL216" s="78"/>
      <c r="AM216" s="77"/>
      <c r="AN216" s="77"/>
      <c r="AO216" s="77"/>
      <c r="AP216" s="80"/>
      <c r="AQ216" s="79"/>
      <c r="AR216" s="77"/>
      <c r="AS216" s="77"/>
      <c r="AT216" s="78"/>
      <c r="AU216" s="77"/>
      <c r="AV216" s="77"/>
      <c r="AW216" s="77"/>
      <c r="AX216" s="76"/>
    </row>
    <row r="217" spans="1:50" ht="30" customHeight="1">
      <c r="A217" s="82"/>
      <c r="B217" s="85" t="s">
        <v>138</v>
      </c>
      <c r="C217" s="84">
        <v>3.3</v>
      </c>
      <c r="D217" s="83">
        <v>0.05</v>
      </c>
      <c r="E217" s="83">
        <v>0.05</v>
      </c>
      <c r="F217" s="78">
        <v>4.2102026615844883E-3</v>
      </c>
      <c r="G217" s="77">
        <v>3.2793750000000004</v>
      </c>
      <c r="H217" s="77">
        <v>3.9586376253902684</v>
      </c>
      <c r="I217" s="77">
        <v>2.3256996049168208</v>
      </c>
      <c r="J217" s="80">
        <v>0.99999999999849332</v>
      </c>
      <c r="K217" s="79">
        <v>-2.0624999999999449E-2</v>
      </c>
      <c r="L217" s="77"/>
      <c r="M217" s="77"/>
      <c r="N217" s="78"/>
      <c r="O217" s="77"/>
      <c r="P217" s="77"/>
      <c r="Q217" s="77"/>
      <c r="R217" s="80"/>
      <c r="S217" s="79"/>
      <c r="T217" s="77"/>
      <c r="U217" s="77"/>
      <c r="V217" s="78"/>
      <c r="W217" s="77"/>
      <c r="X217" s="77"/>
      <c r="Y217" s="77"/>
      <c r="Z217" s="80"/>
      <c r="AA217" s="79"/>
      <c r="AB217" s="77"/>
      <c r="AC217" s="77"/>
      <c r="AD217" s="78"/>
      <c r="AE217" s="77"/>
      <c r="AF217" s="77"/>
      <c r="AG217" s="77"/>
      <c r="AH217" s="80"/>
      <c r="AI217" s="79"/>
      <c r="AJ217" s="77"/>
      <c r="AK217" s="77"/>
      <c r="AL217" s="78"/>
      <c r="AM217" s="77"/>
      <c r="AN217" s="77"/>
      <c r="AO217" s="77"/>
      <c r="AP217" s="80"/>
      <c r="AQ217" s="79"/>
      <c r="AR217" s="77"/>
      <c r="AS217" s="77"/>
      <c r="AT217" s="78"/>
      <c r="AU217" s="77"/>
      <c r="AV217" s="77"/>
      <c r="AW217" s="77"/>
      <c r="AX217" s="76"/>
    </row>
    <row r="218" spans="1:50" ht="30" customHeight="1">
      <c r="A218" s="82"/>
      <c r="B218" s="85" t="s">
        <v>140</v>
      </c>
      <c r="C218" s="84">
        <v>0.86</v>
      </c>
      <c r="D218" s="83">
        <v>0.05</v>
      </c>
      <c r="E218" s="83">
        <v>0.05</v>
      </c>
      <c r="F218" s="78">
        <v>6.1617675250092117E-3</v>
      </c>
      <c r="G218" s="77">
        <v>0.83618124999999999</v>
      </c>
      <c r="H218" s="77">
        <v>2.704851586662508</v>
      </c>
      <c r="I218" s="77">
        <v>1.4163279120661569</v>
      </c>
      <c r="J218" s="80">
        <v>0.99998926287463219</v>
      </c>
      <c r="K218" s="79">
        <v>-2.381875E-2</v>
      </c>
      <c r="L218" s="77"/>
      <c r="M218" s="77"/>
      <c r="N218" s="78"/>
      <c r="O218" s="77"/>
      <c r="P218" s="77"/>
      <c r="Q218" s="77"/>
      <c r="R218" s="80"/>
      <c r="S218" s="79"/>
      <c r="T218" s="77"/>
      <c r="U218" s="77"/>
      <c r="V218" s="78"/>
      <c r="W218" s="77"/>
      <c r="X218" s="77"/>
      <c r="Y218" s="77"/>
      <c r="Z218" s="80"/>
      <c r="AA218" s="79"/>
      <c r="AB218" s="77"/>
      <c r="AC218" s="77"/>
      <c r="AD218" s="78"/>
      <c r="AE218" s="77"/>
      <c r="AF218" s="77"/>
      <c r="AG218" s="77"/>
      <c r="AH218" s="80"/>
      <c r="AI218" s="79"/>
      <c r="AJ218" s="77"/>
      <c r="AK218" s="77"/>
      <c r="AL218" s="78"/>
      <c r="AM218" s="77"/>
      <c r="AN218" s="77"/>
      <c r="AO218" s="77"/>
      <c r="AP218" s="80"/>
      <c r="AQ218" s="79"/>
      <c r="AR218" s="77"/>
      <c r="AS218" s="77"/>
      <c r="AT218" s="78"/>
      <c r="AU218" s="77"/>
      <c r="AV218" s="77"/>
      <c r="AW218" s="77"/>
      <c r="AX218" s="76"/>
    </row>
    <row r="219" spans="1:50" ht="30" customHeight="1">
      <c r="A219" s="82"/>
      <c r="B219" s="85" t="s">
        <v>139</v>
      </c>
      <c r="C219" s="84">
        <v>0.86</v>
      </c>
      <c r="D219" s="83">
        <v>0.05</v>
      </c>
      <c r="E219" s="83">
        <v>0.05</v>
      </c>
      <c r="F219" s="78">
        <v>7.434905009480631E-3</v>
      </c>
      <c r="G219" s="77">
        <v>0.83226562499999979</v>
      </c>
      <c r="H219" s="77">
        <v>2.2416784942664574</v>
      </c>
      <c r="I219" s="77">
        <v>0.99824745447802388</v>
      </c>
      <c r="J219" s="80">
        <v>0.99862661629608873</v>
      </c>
      <c r="K219" s="79">
        <v>-2.77343750000002E-2</v>
      </c>
      <c r="L219" s="77"/>
      <c r="M219" s="77"/>
      <c r="N219" s="78"/>
      <c r="O219" s="77"/>
      <c r="P219" s="77"/>
      <c r="Q219" s="77"/>
      <c r="R219" s="80"/>
      <c r="S219" s="79"/>
      <c r="T219" s="77"/>
      <c r="U219" s="77"/>
      <c r="V219" s="78"/>
      <c r="W219" s="77"/>
      <c r="X219" s="77"/>
      <c r="Y219" s="77"/>
      <c r="Z219" s="80"/>
      <c r="AA219" s="79"/>
      <c r="AB219" s="77"/>
      <c r="AC219" s="77"/>
      <c r="AD219" s="78"/>
      <c r="AE219" s="77"/>
      <c r="AF219" s="77"/>
      <c r="AG219" s="77"/>
      <c r="AH219" s="80"/>
      <c r="AI219" s="79"/>
      <c r="AJ219" s="77"/>
      <c r="AK219" s="77"/>
      <c r="AL219" s="78"/>
      <c r="AM219" s="77"/>
      <c r="AN219" s="77"/>
      <c r="AO219" s="77"/>
      <c r="AP219" s="80"/>
      <c r="AQ219" s="79"/>
      <c r="AR219" s="77"/>
      <c r="AS219" s="77"/>
      <c r="AT219" s="78"/>
      <c r="AU219" s="77"/>
      <c r="AV219" s="77"/>
      <c r="AW219" s="77"/>
      <c r="AX219" s="76"/>
    </row>
    <row r="220" spans="1:50" ht="30" customHeight="1">
      <c r="A220" s="82"/>
      <c r="B220" s="85" t="s">
        <v>144</v>
      </c>
      <c r="C220" s="84">
        <v>2.9</v>
      </c>
      <c r="D220" s="83">
        <v>0.05</v>
      </c>
      <c r="E220" s="83">
        <v>0.05</v>
      </c>
      <c r="F220" s="78">
        <v>3.7054232268828079E-3</v>
      </c>
      <c r="G220" s="77">
        <v>2.8648874999999996</v>
      </c>
      <c r="H220" s="77">
        <v>4.4979117488523599</v>
      </c>
      <c r="I220" s="77">
        <v>1.3392532232207499</v>
      </c>
      <c r="J220" s="80">
        <v>0.99997062296268957</v>
      </c>
      <c r="K220" s="79">
        <v>-3.5112500000000324E-2</v>
      </c>
      <c r="L220" s="77"/>
      <c r="M220" s="77"/>
      <c r="N220" s="78"/>
      <c r="O220" s="77"/>
      <c r="P220" s="77"/>
      <c r="Q220" s="77"/>
      <c r="R220" s="80"/>
      <c r="S220" s="79"/>
      <c r="T220" s="77"/>
      <c r="U220" s="77"/>
      <c r="V220" s="78"/>
      <c r="W220" s="77"/>
      <c r="X220" s="77"/>
      <c r="Y220" s="77"/>
      <c r="Z220" s="80"/>
      <c r="AA220" s="79"/>
      <c r="AB220" s="77"/>
      <c r="AC220" s="77"/>
      <c r="AD220" s="78"/>
      <c r="AE220" s="77"/>
      <c r="AF220" s="77"/>
      <c r="AG220" s="77"/>
      <c r="AH220" s="80"/>
      <c r="AI220" s="79"/>
      <c r="AJ220" s="77"/>
      <c r="AK220" s="77"/>
      <c r="AL220" s="78"/>
      <c r="AM220" s="77"/>
      <c r="AN220" s="77"/>
      <c r="AO220" s="77"/>
      <c r="AP220" s="80"/>
      <c r="AQ220" s="79"/>
      <c r="AR220" s="77"/>
      <c r="AS220" s="77"/>
      <c r="AT220" s="78"/>
      <c r="AU220" s="77"/>
      <c r="AV220" s="77"/>
      <c r="AW220" s="77"/>
      <c r="AX220" s="76"/>
    </row>
    <row r="221" spans="1:50" ht="30" customHeight="1">
      <c r="A221" s="82"/>
      <c r="B221" s="85" t="s">
        <v>145</v>
      </c>
      <c r="C221" s="84">
        <v>0.3</v>
      </c>
      <c r="D221" s="83">
        <v>0.03</v>
      </c>
      <c r="E221" s="83">
        <v>0.03</v>
      </c>
      <c r="F221" s="78">
        <v>3.7021775959039183E-3</v>
      </c>
      <c r="G221" s="77">
        <v>0.32220312499999992</v>
      </c>
      <c r="H221" s="77">
        <v>2.7011129911930669</v>
      </c>
      <c r="I221" s="77">
        <v>0.70200801177361871</v>
      </c>
      <c r="J221" s="80">
        <v>0.98239886770350338</v>
      </c>
      <c r="K221" s="79">
        <v>2.2203124999999935E-2</v>
      </c>
      <c r="L221" s="77"/>
      <c r="M221" s="77"/>
      <c r="N221" s="78"/>
      <c r="O221" s="77"/>
      <c r="P221" s="77"/>
      <c r="Q221" s="77"/>
      <c r="R221" s="80"/>
      <c r="S221" s="79"/>
      <c r="T221" s="77"/>
      <c r="U221" s="77"/>
      <c r="V221" s="78"/>
      <c r="W221" s="77"/>
      <c r="X221" s="77"/>
      <c r="Y221" s="77"/>
      <c r="Z221" s="80"/>
      <c r="AA221" s="79"/>
      <c r="AB221" s="77"/>
      <c r="AC221" s="77"/>
      <c r="AD221" s="78"/>
      <c r="AE221" s="77"/>
      <c r="AF221" s="77"/>
      <c r="AG221" s="77"/>
      <c r="AH221" s="80"/>
      <c r="AI221" s="79"/>
      <c r="AJ221" s="77"/>
      <c r="AK221" s="77"/>
      <c r="AL221" s="78"/>
      <c r="AM221" s="77"/>
      <c r="AN221" s="77"/>
      <c r="AO221" s="77"/>
      <c r="AP221" s="80"/>
      <c r="AQ221" s="79"/>
      <c r="AR221" s="77"/>
      <c r="AS221" s="77"/>
      <c r="AT221" s="78"/>
      <c r="AU221" s="77"/>
      <c r="AV221" s="77"/>
      <c r="AW221" s="77"/>
      <c r="AX221" s="76"/>
    </row>
    <row r="222" spans="1:50" ht="30" customHeight="1">
      <c r="A222" s="82"/>
      <c r="B222" s="85" t="s">
        <v>146</v>
      </c>
      <c r="C222" s="84">
        <v>0.3</v>
      </c>
      <c r="D222" s="83">
        <v>0.03</v>
      </c>
      <c r="E222" s="83">
        <v>0.03</v>
      </c>
      <c r="F222" s="78">
        <v>5.9029243709395676E-3</v>
      </c>
      <c r="G222" s="77">
        <v>0.31680000000000003</v>
      </c>
      <c r="H222" s="77">
        <v>1.6940755753589796</v>
      </c>
      <c r="I222" s="77">
        <v>0.74539325315794802</v>
      </c>
      <c r="J222" s="80">
        <v>0.98733000074785304</v>
      </c>
      <c r="K222" s="79">
        <v>1.6800000000000037E-2</v>
      </c>
      <c r="L222" s="77"/>
      <c r="M222" s="77"/>
      <c r="N222" s="78"/>
      <c r="O222" s="77"/>
      <c r="P222" s="77"/>
      <c r="Q222" s="77"/>
      <c r="R222" s="80"/>
      <c r="S222" s="79"/>
      <c r="T222" s="77"/>
      <c r="U222" s="77"/>
      <c r="V222" s="78"/>
      <c r="W222" s="77"/>
      <c r="X222" s="77"/>
      <c r="Y222" s="77"/>
      <c r="Z222" s="80"/>
      <c r="AA222" s="79"/>
      <c r="AB222" s="77"/>
      <c r="AC222" s="77"/>
      <c r="AD222" s="78"/>
      <c r="AE222" s="77"/>
      <c r="AF222" s="77"/>
      <c r="AG222" s="77"/>
      <c r="AH222" s="80"/>
      <c r="AI222" s="79"/>
      <c r="AJ222" s="77"/>
      <c r="AK222" s="77"/>
      <c r="AL222" s="78"/>
      <c r="AM222" s="77"/>
      <c r="AN222" s="77"/>
      <c r="AO222" s="77"/>
      <c r="AP222" s="80"/>
      <c r="AQ222" s="79"/>
      <c r="AR222" s="77"/>
      <c r="AS222" s="77"/>
      <c r="AT222" s="78"/>
      <c r="AU222" s="77"/>
      <c r="AV222" s="77"/>
      <c r="AW222" s="77"/>
      <c r="AX222" s="76"/>
    </row>
    <row r="223" spans="1:50" ht="30" customHeight="1">
      <c r="A223" s="82"/>
      <c r="B223" s="85" t="s">
        <v>147</v>
      </c>
      <c r="C223" s="84">
        <v>0.25</v>
      </c>
      <c r="D223" s="83">
        <v>0.03</v>
      </c>
      <c r="E223" s="83">
        <v>0.03</v>
      </c>
      <c r="F223" s="78">
        <v>5.6384302036373828E-3</v>
      </c>
      <c r="G223" s="77">
        <v>0.23796875000000001</v>
      </c>
      <c r="H223" s="77">
        <v>1.7735432804593287</v>
      </c>
      <c r="I223" s="77">
        <v>1.0622785273584521</v>
      </c>
      <c r="J223" s="80">
        <v>0.99928080741565928</v>
      </c>
      <c r="K223" s="79">
        <v>-1.2031249999999993E-2</v>
      </c>
      <c r="L223" s="77"/>
      <c r="M223" s="77"/>
      <c r="N223" s="78"/>
      <c r="O223" s="77"/>
      <c r="P223" s="77"/>
      <c r="Q223" s="77"/>
      <c r="R223" s="80"/>
      <c r="S223" s="79"/>
      <c r="T223" s="77"/>
      <c r="U223" s="77"/>
      <c r="V223" s="78"/>
      <c r="W223" s="77"/>
      <c r="X223" s="77"/>
      <c r="Y223" s="77"/>
      <c r="Z223" s="80"/>
      <c r="AA223" s="79"/>
      <c r="AB223" s="77"/>
      <c r="AC223" s="77"/>
      <c r="AD223" s="78"/>
      <c r="AE223" s="77"/>
      <c r="AF223" s="77"/>
      <c r="AG223" s="77"/>
      <c r="AH223" s="80"/>
      <c r="AI223" s="79"/>
      <c r="AJ223" s="77"/>
      <c r="AK223" s="77"/>
      <c r="AL223" s="78"/>
      <c r="AM223" s="77"/>
      <c r="AN223" s="77"/>
      <c r="AO223" s="77"/>
      <c r="AP223" s="80"/>
      <c r="AQ223" s="79"/>
      <c r="AR223" s="77"/>
      <c r="AS223" s="77"/>
      <c r="AT223" s="78"/>
      <c r="AU223" s="77"/>
      <c r="AV223" s="77"/>
      <c r="AW223" s="77"/>
      <c r="AX223" s="76"/>
    </row>
    <row r="224" spans="1:50" ht="30" customHeight="1">
      <c r="A224" s="82"/>
      <c r="B224" s="85" t="s">
        <v>148</v>
      </c>
      <c r="C224" s="84">
        <v>0.25</v>
      </c>
      <c r="D224" s="83">
        <v>0.03</v>
      </c>
      <c r="E224" s="83">
        <v>0.03</v>
      </c>
      <c r="F224" s="78">
        <v>3.0937958207750515E-3</v>
      </c>
      <c r="G224" s="77">
        <v>0.22515625000000003</v>
      </c>
      <c r="H224" s="77">
        <v>3.2322753598829363</v>
      </c>
      <c r="I224" s="77">
        <v>0.55554732747988256</v>
      </c>
      <c r="J224" s="80">
        <v>0.95220719216039729</v>
      </c>
      <c r="K224" s="79">
        <v>-2.484374999999997E-2</v>
      </c>
      <c r="L224" s="77"/>
      <c r="M224" s="77"/>
      <c r="N224" s="78"/>
      <c r="O224" s="77"/>
      <c r="P224" s="77"/>
      <c r="Q224" s="77"/>
      <c r="R224" s="80"/>
      <c r="S224" s="79"/>
      <c r="T224" s="77"/>
      <c r="U224" s="77"/>
      <c r="V224" s="78"/>
      <c r="W224" s="77"/>
      <c r="X224" s="77"/>
      <c r="Y224" s="77"/>
      <c r="Z224" s="80"/>
      <c r="AA224" s="79"/>
      <c r="AB224" s="77"/>
      <c r="AC224" s="77"/>
      <c r="AD224" s="78"/>
      <c r="AE224" s="77"/>
      <c r="AF224" s="77"/>
      <c r="AG224" s="77"/>
      <c r="AH224" s="80"/>
      <c r="AI224" s="79"/>
      <c r="AJ224" s="77"/>
      <c r="AK224" s="77"/>
      <c r="AL224" s="78"/>
      <c r="AM224" s="77"/>
      <c r="AN224" s="77"/>
      <c r="AO224" s="77"/>
      <c r="AP224" s="80"/>
      <c r="AQ224" s="79"/>
      <c r="AR224" s="77"/>
      <c r="AS224" s="77"/>
      <c r="AT224" s="78"/>
      <c r="AU224" s="77"/>
      <c r="AV224" s="77"/>
      <c r="AW224" s="77"/>
      <c r="AX224" s="76"/>
    </row>
    <row r="225" spans="1:50" ht="30" customHeight="1">
      <c r="A225" s="82"/>
      <c r="B225" s="85" t="s">
        <v>149</v>
      </c>
      <c r="C225" s="84">
        <v>0.25</v>
      </c>
      <c r="D225" s="83">
        <v>0.03</v>
      </c>
      <c r="E225" s="83">
        <v>0.03</v>
      </c>
      <c r="F225" s="78">
        <v>3.1605924694690529E-3</v>
      </c>
      <c r="G225" s="77">
        <v>0.23070312500000006</v>
      </c>
      <c r="H225" s="77">
        <v>3.1639637493915505</v>
      </c>
      <c r="I225" s="77">
        <v>1.1288099835068874</v>
      </c>
      <c r="J225" s="80">
        <v>0.99964595824442493</v>
      </c>
      <c r="K225" s="79">
        <v>-1.9296874999999936E-2</v>
      </c>
      <c r="L225" s="77"/>
      <c r="M225" s="77"/>
      <c r="N225" s="78"/>
      <c r="O225" s="77"/>
      <c r="P225" s="77"/>
      <c r="Q225" s="77"/>
      <c r="R225" s="80"/>
      <c r="S225" s="79"/>
      <c r="T225" s="77"/>
      <c r="U225" s="77"/>
      <c r="V225" s="78"/>
      <c r="W225" s="77"/>
      <c r="X225" s="77"/>
      <c r="Y225" s="77"/>
      <c r="Z225" s="80"/>
      <c r="AA225" s="79"/>
      <c r="AB225" s="77"/>
      <c r="AC225" s="77"/>
      <c r="AD225" s="78"/>
      <c r="AE225" s="77"/>
      <c r="AF225" s="77"/>
      <c r="AG225" s="77"/>
      <c r="AH225" s="80"/>
      <c r="AI225" s="79"/>
      <c r="AJ225" s="77"/>
      <c r="AK225" s="77"/>
      <c r="AL225" s="78"/>
      <c r="AM225" s="77"/>
      <c r="AN225" s="77"/>
      <c r="AO225" s="77"/>
      <c r="AP225" s="80"/>
      <c r="AQ225" s="79"/>
      <c r="AR225" s="77"/>
      <c r="AS225" s="77"/>
      <c r="AT225" s="78"/>
      <c r="AU225" s="77"/>
      <c r="AV225" s="77"/>
      <c r="AW225" s="77"/>
      <c r="AX225" s="76"/>
    </row>
    <row r="226" spans="1:50" ht="30" customHeight="1">
      <c r="A226" s="82"/>
      <c r="B226" s="85" t="s">
        <v>150</v>
      </c>
      <c r="C226" s="84">
        <v>0.56599999999999995</v>
      </c>
      <c r="D226" s="83">
        <v>0.03</v>
      </c>
      <c r="E226" s="83">
        <v>0.03</v>
      </c>
      <c r="F226" s="78">
        <v>4.8981141449969722E-3</v>
      </c>
      <c r="G226" s="77">
        <v>0.57315937500000003</v>
      </c>
      <c r="H226" s="77">
        <v>2.0416020745890946</v>
      </c>
      <c r="I226" s="77">
        <v>1.5543822461637131</v>
      </c>
      <c r="J226" s="80">
        <v>0.99999844294730833</v>
      </c>
      <c r="K226" s="79">
        <v>7.1593750000000789E-3</v>
      </c>
      <c r="L226" s="77"/>
      <c r="M226" s="77"/>
      <c r="N226" s="78"/>
      <c r="O226" s="77"/>
      <c r="P226" s="77"/>
      <c r="Q226" s="77"/>
      <c r="R226" s="80"/>
      <c r="S226" s="79"/>
      <c r="T226" s="77"/>
      <c r="U226" s="77"/>
      <c r="V226" s="78"/>
      <c r="W226" s="77"/>
      <c r="X226" s="77"/>
      <c r="Y226" s="77"/>
      <c r="Z226" s="80"/>
      <c r="AA226" s="79"/>
      <c r="AB226" s="77"/>
      <c r="AC226" s="77"/>
      <c r="AD226" s="78"/>
      <c r="AE226" s="77"/>
      <c r="AF226" s="77"/>
      <c r="AG226" s="77"/>
      <c r="AH226" s="80"/>
      <c r="AI226" s="79"/>
      <c r="AJ226" s="77"/>
      <c r="AK226" s="77"/>
      <c r="AL226" s="78"/>
      <c r="AM226" s="77"/>
      <c r="AN226" s="77"/>
      <c r="AO226" s="77"/>
      <c r="AP226" s="80"/>
      <c r="AQ226" s="79"/>
      <c r="AR226" s="77"/>
      <c r="AS226" s="77"/>
      <c r="AT226" s="78"/>
      <c r="AU226" s="77"/>
      <c r="AV226" s="77"/>
      <c r="AW226" s="77"/>
      <c r="AX226" s="76"/>
    </row>
    <row r="227" spans="1:50" ht="30" customHeight="1">
      <c r="A227" s="82"/>
      <c r="B227" s="85" t="s">
        <v>151</v>
      </c>
      <c r="C227" s="84">
        <v>0.56599999999999995</v>
      </c>
      <c r="D227" s="83">
        <v>0.03</v>
      </c>
      <c r="E227" s="83">
        <v>0.03</v>
      </c>
      <c r="F227" s="78">
        <v>3.4579253872619917E-3</v>
      </c>
      <c r="G227" s="77">
        <v>0.57567812500000004</v>
      </c>
      <c r="H227" s="77">
        <v>2.8919073953524705</v>
      </c>
      <c r="I227" s="77">
        <v>1.958966019997608</v>
      </c>
      <c r="J227" s="80">
        <v>0.99999999790987271</v>
      </c>
      <c r="K227" s="79">
        <v>9.6781250000000929E-3</v>
      </c>
      <c r="L227" s="77"/>
      <c r="M227" s="77"/>
      <c r="N227" s="78"/>
      <c r="O227" s="77"/>
      <c r="P227" s="77"/>
      <c r="Q227" s="77"/>
      <c r="R227" s="80"/>
      <c r="S227" s="79"/>
      <c r="T227" s="77"/>
      <c r="U227" s="77"/>
      <c r="V227" s="78"/>
      <c r="W227" s="77"/>
      <c r="X227" s="77"/>
      <c r="Y227" s="77"/>
      <c r="Z227" s="80"/>
      <c r="AA227" s="79"/>
      <c r="AB227" s="77"/>
      <c r="AC227" s="77"/>
      <c r="AD227" s="78"/>
      <c r="AE227" s="77"/>
      <c r="AF227" s="77"/>
      <c r="AG227" s="77"/>
      <c r="AH227" s="80"/>
      <c r="AI227" s="79"/>
      <c r="AJ227" s="77"/>
      <c r="AK227" s="77"/>
      <c r="AL227" s="78"/>
      <c r="AM227" s="77"/>
      <c r="AN227" s="77"/>
      <c r="AO227" s="77"/>
      <c r="AP227" s="80"/>
      <c r="AQ227" s="79"/>
      <c r="AR227" s="77"/>
      <c r="AS227" s="77"/>
      <c r="AT227" s="78"/>
      <c r="AU227" s="77"/>
      <c r="AV227" s="77"/>
      <c r="AW227" s="77"/>
      <c r="AX227" s="76"/>
    </row>
    <row r="228" spans="1:50" ht="30" customHeight="1">
      <c r="A228" s="82"/>
      <c r="B228" s="85" t="s">
        <v>141</v>
      </c>
      <c r="C228" s="84">
        <v>1.25</v>
      </c>
      <c r="D228" s="83">
        <v>0.1</v>
      </c>
      <c r="E228" s="83">
        <v>0.1</v>
      </c>
      <c r="F228" s="78">
        <v>3.5269798260761914E-3</v>
      </c>
      <c r="G228" s="77">
        <v>1.2201093750000001</v>
      </c>
      <c r="H228" s="77">
        <v>9.4509566192832768</v>
      </c>
      <c r="I228" s="77">
        <v>6.6260066173006429</v>
      </c>
      <c r="J228" s="80">
        <v>1</v>
      </c>
      <c r="K228" s="79">
        <v>-2.9890624999999948E-2</v>
      </c>
      <c r="L228" s="77"/>
      <c r="M228" s="77"/>
      <c r="N228" s="78"/>
      <c r="O228" s="77"/>
      <c r="P228" s="77"/>
      <c r="Q228" s="77"/>
      <c r="R228" s="80"/>
      <c r="S228" s="79"/>
      <c r="T228" s="77"/>
      <c r="U228" s="77"/>
      <c r="V228" s="78"/>
      <c r="W228" s="77"/>
      <c r="X228" s="77"/>
      <c r="Y228" s="77"/>
      <c r="Z228" s="80"/>
      <c r="AA228" s="79"/>
      <c r="AB228" s="77"/>
      <c r="AC228" s="77"/>
      <c r="AD228" s="78"/>
      <c r="AE228" s="77"/>
      <c r="AF228" s="77"/>
      <c r="AG228" s="77"/>
      <c r="AH228" s="80"/>
      <c r="AI228" s="79"/>
      <c r="AJ228" s="77"/>
      <c r="AK228" s="77"/>
      <c r="AL228" s="78"/>
      <c r="AM228" s="77"/>
      <c r="AN228" s="77"/>
      <c r="AO228" s="77"/>
      <c r="AP228" s="80"/>
      <c r="AQ228" s="79"/>
      <c r="AR228" s="77"/>
      <c r="AS228" s="77"/>
      <c r="AT228" s="78"/>
      <c r="AU228" s="77"/>
      <c r="AV228" s="77"/>
      <c r="AW228" s="77"/>
      <c r="AX228" s="76"/>
    </row>
    <row r="229" spans="1:50" ht="30" customHeight="1">
      <c r="A229" s="82"/>
      <c r="B229" s="85" t="s">
        <v>152</v>
      </c>
      <c r="C229" s="84">
        <v>1.25</v>
      </c>
      <c r="D229" s="83">
        <v>0.05</v>
      </c>
      <c r="E229" s="83">
        <v>0.05</v>
      </c>
      <c r="F229" s="78">
        <v>7.3096020588035203E-3</v>
      </c>
      <c r="G229" s="77">
        <v>1.2207437500000002</v>
      </c>
      <c r="H229" s="77">
        <v>2.2801058843680448</v>
      </c>
      <c r="I229" s="77">
        <v>0.94595892877720456</v>
      </c>
      <c r="J229" s="80">
        <v>0.99772926449707322</v>
      </c>
      <c r="K229" s="79">
        <v>-2.9256249999999762E-2</v>
      </c>
      <c r="L229" s="77"/>
      <c r="M229" s="77"/>
      <c r="N229" s="78"/>
      <c r="O229" s="77"/>
      <c r="P229" s="77"/>
      <c r="Q229" s="77"/>
      <c r="R229" s="80"/>
      <c r="S229" s="79"/>
      <c r="T229" s="77"/>
      <c r="U229" s="77"/>
      <c r="V229" s="78"/>
      <c r="W229" s="77"/>
      <c r="X229" s="77"/>
      <c r="Y229" s="77"/>
      <c r="Z229" s="80"/>
      <c r="AA229" s="79"/>
      <c r="AB229" s="77"/>
      <c r="AC229" s="77"/>
      <c r="AD229" s="78"/>
      <c r="AE229" s="77"/>
      <c r="AF229" s="77"/>
      <c r="AG229" s="77"/>
      <c r="AH229" s="80"/>
      <c r="AI229" s="79"/>
      <c r="AJ229" s="77"/>
      <c r="AK229" s="77"/>
      <c r="AL229" s="78"/>
      <c r="AM229" s="77"/>
      <c r="AN229" s="77"/>
      <c r="AO229" s="77"/>
      <c r="AP229" s="80"/>
      <c r="AQ229" s="79"/>
      <c r="AR229" s="77"/>
      <c r="AS229" s="77"/>
      <c r="AT229" s="78"/>
      <c r="AU229" s="77"/>
      <c r="AV229" s="77"/>
      <c r="AW229" s="77"/>
      <c r="AX229" s="76"/>
    </row>
    <row r="230" spans="1:50" ht="30" customHeight="1">
      <c r="A230" s="82" t="s">
        <v>172</v>
      </c>
      <c r="B230" s="85" t="s">
        <v>137</v>
      </c>
      <c r="C230" s="84">
        <v>1.3</v>
      </c>
      <c r="D230" s="83">
        <v>0.03</v>
      </c>
      <c r="E230" s="83">
        <v>0.03</v>
      </c>
      <c r="F230" s="78">
        <v>3.0244817604599319E-3</v>
      </c>
      <c r="G230" s="77">
        <v>1.2823343749999996</v>
      </c>
      <c r="H230" s="77">
        <v>3.3063515643352113</v>
      </c>
      <c r="I230" s="77">
        <v>1.3593926692115215</v>
      </c>
      <c r="J230" s="80">
        <v>0.99997730499528636</v>
      </c>
      <c r="K230" s="79">
        <v>-1.7665625000000462E-2</v>
      </c>
      <c r="L230" s="77"/>
      <c r="M230" s="77"/>
      <c r="N230" s="78"/>
      <c r="O230" s="77"/>
      <c r="P230" s="77"/>
      <c r="Q230" s="77"/>
      <c r="R230" s="80"/>
      <c r="S230" s="79"/>
      <c r="T230" s="77"/>
      <c r="U230" s="77"/>
      <c r="V230" s="78"/>
      <c r="W230" s="77"/>
      <c r="X230" s="77"/>
      <c r="Y230" s="77"/>
      <c r="Z230" s="80"/>
      <c r="AA230" s="79"/>
      <c r="AB230" s="77"/>
      <c r="AC230" s="77"/>
      <c r="AD230" s="78"/>
      <c r="AE230" s="77"/>
      <c r="AF230" s="77"/>
      <c r="AG230" s="77"/>
      <c r="AH230" s="80"/>
      <c r="AI230" s="79"/>
      <c r="AJ230" s="77"/>
      <c r="AK230" s="77"/>
      <c r="AL230" s="78"/>
      <c r="AM230" s="77"/>
      <c r="AN230" s="77"/>
      <c r="AO230" s="77"/>
      <c r="AP230" s="80"/>
      <c r="AQ230" s="79"/>
      <c r="AR230" s="77"/>
      <c r="AS230" s="77"/>
      <c r="AT230" s="78"/>
      <c r="AU230" s="77"/>
      <c r="AV230" s="77"/>
      <c r="AW230" s="77"/>
      <c r="AX230" s="76"/>
    </row>
    <row r="231" spans="1:50" ht="30" customHeight="1">
      <c r="A231" s="82"/>
      <c r="B231" s="85" t="s">
        <v>142</v>
      </c>
      <c r="C231" s="84">
        <v>1</v>
      </c>
      <c r="D231" s="83">
        <v>0.04</v>
      </c>
      <c r="E231" s="83">
        <v>0.04</v>
      </c>
      <c r="F231" s="78">
        <v>3.473627600891812E-3</v>
      </c>
      <c r="G231" s="77">
        <v>0.97993124999999992</v>
      </c>
      <c r="H231" s="77">
        <v>3.8384463924429242</v>
      </c>
      <c r="I231" s="77">
        <v>1.9126258664844449</v>
      </c>
      <c r="J231" s="80">
        <v>0.99999999520648197</v>
      </c>
      <c r="K231" s="79">
        <v>-2.006875000000008E-2</v>
      </c>
      <c r="L231" s="77"/>
      <c r="M231" s="77"/>
      <c r="N231" s="78"/>
      <c r="O231" s="77"/>
      <c r="P231" s="77"/>
      <c r="Q231" s="77"/>
      <c r="R231" s="80"/>
      <c r="S231" s="79"/>
      <c r="T231" s="77"/>
      <c r="U231" s="77"/>
      <c r="V231" s="78"/>
      <c r="W231" s="77"/>
      <c r="X231" s="77"/>
      <c r="Y231" s="77"/>
      <c r="Z231" s="80"/>
      <c r="AA231" s="79"/>
      <c r="AB231" s="77"/>
      <c r="AC231" s="77"/>
      <c r="AD231" s="78"/>
      <c r="AE231" s="77"/>
      <c r="AF231" s="77"/>
      <c r="AG231" s="77"/>
      <c r="AH231" s="80"/>
      <c r="AI231" s="79"/>
      <c r="AJ231" s="77"/>
      <c r="AK231" s="77"/>
      <c r="AL231" s="78"/>
      <c r="AM231" s="77"/>
      <c r="AN231" s="77"/>
      <c r="AO231" s="77"/>
      <c r="AP231" s="80"/>
      <c r="AQ231" s="79"/>
      <c r="AR231" s="77"/>
      <c r="AS231" s="77"/>
      <c r="AT231" s="78"/>
      <c r="AU231" s="77"/>
      <c r="AV231" s="77"/>
      <c r="AW231" s="77"/>
      <c r="AX231" s="76"/>
    </row>
    <row r="232" spans="1:50" ht="30" customHeight="1">
      <c r="A232" s="82"/>
      <c r="B232" s="85" t="s">
        <v>143</v>
      </c>
      <c r="C232" s="84">
        <v>2.4</v>
      </c>
      <c r="D232" s="83">
        <v>0.04</v>
      </c>
      <c r="E232" s="83">
        <v>0.04</v>
      </c>
      <c r="F232" s="78">
        <v>3.1976553910639449E-3</v>
      </c>
      <c r="G232" s="77">
        <v>2.3686625000000001</v>
      </c>
      <c r="H232" s="77">
        <v>4.1697217813383549</v>
      </c>
      <c r="I232" s="77">
        <v>0.90300537327111163</v>
      </c>
      <c r="J232" s="80">
        <v>0.99662584695267797</v>
      </c>
      <c r="K232" s="79">
        <v>-3.1337499999999796E-2</v>
      </c>
      <c r="L232" s="77"/>
      <c r="M232" s="77"/>
      <c r="N232" s="78"/>
      <c r="O232" s="77"/>
      <c r="P232" s="77"/>
      <c r="Q232" s="77"/>
      <c r="R232" s="80"/>
      <c r="S232" s="79"/>
      <c r="T232" s="77"/>
      <c r="U232" s="77"/>
      <c r="V232" s="78"/>
      <c r="W232" s="77"/>
      <c r="X232" s="77"/>
      <c r="Y232" s="77"/>
      <c r="Z232" s="80"/>
      <c r="AA232" s="79"/>
      <c r="AB232" s="77"/>
      <c r="AC232" s="77"/>
      <c r="AD232" s="78"/>
      <c r="AE232" s="77"/>
      <c r="AF232" s="77"/>
      <c r="AG232" s="77"/>
      <c r="AH232" s="80"/>
      <c r="AI232" s="79"/>
      <c r="AJ232" s="77"/>
      <c r="AK232" s="77"/>
      <c r="AL232" s="78"/>
      <c r="AM232" s="77"/>
      <c r="AN232" s="77"/>
      <c r="AO232" s="77"/>
      <c r="AP232" s="80"/>
      <c r="AQ232" s="79"/>
      <c r="AR232" s="77"/>
      <c r="AS232" s="77"/>
      <c r="AT232" s="78"/>
      <c r="AU232" s="77"/>
      <c r="AV232" s="77"/>
      <c r="AW232" s="77"/>
      <c r="AX232" s="76"/>
    </row>
    <row r="233" spans="1:50" ht="30" customHeight="1">
      <c r="A233" s="82"/>
      <c r="B233" s="85" t="s">
        <v>138</v>
      </c>
      <c r="C233" s="84">
        <v>3.3</v>
      </c>
      <c r="D233" s="83">
        <v>0.05</v>
      </c>
      <c r="E233" s="83">
        <v>0.05</v>
      </c>
      <c r="F233" s="78">
        <v>4.0826886697608216E-3</v>
      </c>
      <c r="G233" s="77">
        <v>3.27790625</v>
      </c>
      <c r="H233" s="77">
        <v>4.082277149886866</v>
      </c>
      <c r="I233" s="77">
        <v>2.278420934280617</v>
      </c>
      <c r="J233" s="80">
        <v>0.99999999999590727</v>
      </c>
      <c r="K233" s="79">
        <v>-2.2093749999999801E-2</v>
      </c>
      <c r="L233" s="77"/>
      <c r="M233" s="77"/>
      <c r="N233" s="78"/>
      <c r="O233" s="77"/>
      <c r="P233" s="77"/>
      <c r="Q233" s="77"/>
      <c r="R233" s="80"/>
      <c r="S233" s="79"/>
      <c r="T233" s="77"/>
      <c r="U233" s="77"/>
      <c r="V233" s="78"/>
      <c r="W233" s="77"/>
      <c r="X233" s="77"/>
      <c r="Y233" s="77"/>
      <c r="Z233" s="80"/>
      <c r="AA233" s="79"/>
      <c r="AB233" s="77"/>
      <c r="AC233" s="77"/>
      <c r="AD233" s="78"/>
      <c r="AE233" s="77"/>
      <c r="AF233" s="77"/>
      <c r="AG233" s="77"/>
      <c r="AH233" s="80"/>
      <c r="AI233" s="79"/>
      <c r="AJ233" s="77"/>
      <c r="AK233" s="77"/>
      <c r="AL233" s="78"/>
      <c r="AM233" s="77"/>
      <c r="AN233" s="77"/>
      <c r="AO233" s="77"/>
      <c r="AP233" s="80"/>
      <c r="AQ233" s="79"/>
      <c r="AR233" s="77"/>
      <c r="AS233" s="77"/>
      <c r="AT233" s="78"/>
      <c r="AU233" s="77"/>
      <c r="AV233" s="77"/>
      <c r="AW233" s="77"/>
      <c r="AX233" s="76"/>
    </row>
    <row r="234" spans="1:50" ht="30" customHeight="1">
      <c r="A234" s="82"/>
      <c r="B234" s="85" t="s">
        <v>140</v>
      </c>
      <c r="C234" s="84">
        <v>0.86</v>
      </c>
      <c r="D234" s="83">
        <v>0.05</v>
      </c>
      <c r="E234" s="83">
        <v>0.05</v>
      </c>
      <c r="F234" s="78">
        <v>3.0842733237318475E-3</v>
      </c>
      <c r="G234" s="77">
        <v>0.84058750000000004</v>
      </c>
      <c r="H234" s="77">
        <v>5.4037580062783412</v>
      </c>
      <c r="I234" s="77">
        <v>3.3057489603407832</v>
      </c>
      <c r="J234" s="80">
        <v>1</v>
      </c>
      <c r="K234" s="79">
        <v>-1.9412499999999944E-2</v>
      </c>
      <c r="L234" s="77"/>
      <c r="M234" s="77"/>
      <c r="N234" s="78"/>
      <c r="O234" s="77"/>
      <c r="P234" s="77"/>
      <c r="Q234" s="77"/>
      <c r="R234" s="80"/>
      <c r="S234" s="79"/>
      <c r="T234" s="77"/>
      <c r="U234" s="77"/>
      <c r="V234" s="78"/>
      <c r="W234" s="77"/>
      <c r="X234" s="77"/>
      <c r="Y234" s="77"/>
      <c r="Z234" s="80"/>
      <c r="AA234" s="79"/>
      <c r="AB234" s="77"/>
      <c r="AC234" s="77"/>
      <c r="AD234" s="78"/>
      <c r="AE234" s="77"/>
      <c r="AF234" s="77"/>
      <c r="AG234" s="77"/>
      <c r="AH234" s="80"/>
      <c r="AI234" s="79"/>
      <c r="AJ234" s="77"/>
      <c r="AK234" s="77"/>
      <c r="AL234" s="78"/>
      <c r="AM234" s="77"/>
      <c r="AN234" s="77"/>
      <c r="AO234" s="77"/>
      <c r="AP234" s="80"/>
      <c r="AQ234" s="79"/>
      <c r="AR234" s="77"/>
      <c r="AS234" s="77"/>
      <c r="AT234" s="78"/>
      <c r="AU234" s="77"/>
      <c r="AV234" s="77"/>
      <c r="AW234" s="77"/>
      <c r="AX234" s="76"/>
    </row>
    <row r="235" spans="1:50" ht="30" customHeight="1">
      <c r="A235" s="82"/>
      <c r="B235" s="85" t="s">
        <v>139</v>
      </c>
      <c r="C235" s="84">
        <v>0.86</v>
      </c>
      <c r="D235" s="83">
        <v>0.05</v>
      </c>
      <c r="E235" s="83">
        <v>0.05</v>
      </c>
      <c r="F235" s="78">
        <v>3.8085165599084426E-3</v>
      </c>
      <c r="G235" s="77">
        <v>0.83043124999999995</v>
      </c>
      <c r="H235" s="77">
        <v>4.3761570691627369</v>
      </c>
      <c r="I235" s="77">
        <v>1.788207182386623</v>
      </c>
      <c r="J235" s="80">
        <v>0.99999995944044007</v>
      </c>
      <c r="K235" s="79">
        <v>-2.9568750000000033E-2</v>
      </c>
      <c r="L235" s="77"/>
      <c r="M235" s="77"/>
      <c r="N235" s="78"/>
      <c r="O235" s="77"/>
      <c r="P235" s="77"/>
      <c r="Q235" s="77"/>
      <c r="R235" s="80"/>
      <c r="S235" s="79"/>
      <c r="T235" s="77"/>
      <c r="U235" s="77"/>
      <c r="V235" s="78"/>
      <c r="W235" s="77"/>
      <c r="X235" s="77"/>
      <c r="Y235" s="77"/>
      <c r="Z235" s="80"/>
      <c r="AA235" s="79"/>
      <c r="AB235" s="77"/>
      <c r="AC235" s="77"/>
      <c r="AD235" s="78"/>
      <c r="AE235" s="77"/>
      <c r="AF235" s="77"/>
      <c r="AG235" s="77"/>
      <c r="AH235" s="80"/>
      <c r="AI235" s="79"/>
      <c r="AJ235" s="77"/>
      <c r="AK235" s="77"/>
      <c r="AL235" s="78"/>
      <c r="AM235" s="77"/>
      <c r="AN235" s="77"/>
      <c r="AO235" s="77"/>
      <c r="AP235" s="80"/>
      <c r="AQ235" s="79"/>
      <c r="AR235" s="77"/>
      <c r="AS235" s="77"/>
      <c r="AT235" s="78"/>
      <c r="AU235" s="77"/>
      <c r="AV235" s="77"/>
      <c r="AW235" s="77"/>
      <c r="AX235" s="76"/>
    </row>
    <row r="236" spans="1:50" ht="30" customHeight="1">
      <c r="A236" s="82"/>
      <c r="B236" s="85" t="s">
        <v>144</v>
      </c>
      <c r="C236" s="84">
        <v>2.9</v>
      </c>
      <c r="D236" s="83">
        <v>0.05</v>
      </c>
      <c r="E236" s="83">
        <v>0.05</v>
      </c>
      <c r="F236" s="78">
        <v>4.61581695142176E-3</v>
      </c>
      <c r="G236" s="77">
        <v>2.8630062499999993</v>
      </c>
      <c r="H236" s="77">
        <v>3.6107728798762166</v>
      </c>
      <c r="I236" s="77">
        <v>0.93925229537774779</v>
      </c>
      <c r="J236" s="80">
        <v>0.99758197940548032</v>
      </c>
      <c r="K236" s="79">
        <v>-3.6993750000000603E-2</v>
      </c>
      <c r="L236" s="77"/>
      <c r="M236" s="77"/>
      <c r="N236" s="78"/>
      <c r="O236" s="77"/>
      <c r="P236" s="77"/>
      <c r="Q236" s="77"/>
      <c r="R236" s="80"/>
      <c r="S236" s="79"/>
      <c r="T236" s="77"/>
      <c r="U236" s="77"/>
      <c r="V236" s="78"/>
      <c r="W236" s="77"/>
      <c r="X236" s="77"/>
      <c r="Y236" s="77"/>
      <c r="Z236" s="80"/>
      <c r="AA236" s="79"/>
      <c r="AB236" s="77"/>
      <c r="AC236" s="77"/>
      <c r="AD236" s="78"/>
      <c r="AE236" s="77"/>
      <c r="AF236" s="77"/>
      <c r="AG236" s="77"/>
      <c r="AH236" s="80"/>
      <c r="AI236" s="79"/>
      <c r="AJ236" s="77"/>
      <c r="AK236" s="77"/>
      <c r="AL236" s="78"/>
      <c r="AM236" s="77"/>
      <c r="AN236" s="77"/>
      <c r="AO236" s="77"/>
      <c r="AP236" s="80"/>
      <c r="AQ236" s="79"/>
      <c r="AR236" s="77"/>
      <c r="AS236" s="77"/>
      <c r="AT236" s="78"/>
      <c r="AU236" s="77"/>
      <c r="AV236" s="77"/>
      <c r="AW236" s="77"/>
      <c r="AX236" s="76"/>
    </row>
    <row r="237" spans="1:50" ht="30" customHeight="1">
      <c r="A237" s="82"/>
      <c r="B237" s="85" t="s">
        <v>145</v>
      </c>
      <c r="C237" s="84">
        <v>0.3</v>
      </c>
      <c r="D237" s="83">
        <v>0.03</v>
      </c>
      <c r="E237" s="83">
        <v>0.03</v>
      </c>
      <c r="F237" s="78">
        <v>6.526928555681287E-3</v>
      </c>
      <c r="G237" s="77">
        <v>0.31932812499999996</v>
      </c>
      <c r="H237" s="77">
        <v>1.5321142118670212</v>
      </c>
      <c r="I237" s="77">
        <v>0.54501771182561265</v>
      </c>
      <c r="J237" s="80">
        <v>0.94898104538278338</v>
      </c>
      <c r="K237" s="79">
        <v>1.9328124999999974E-2</v>
      </c>
      <c r="L237" s="77"/>
      <c r="M237" s="77"/>
      <c r="N237" s="78"/>
      <c r="O237" s="77"/>
      <c r="P237" s="77"/>
      <c r="Q237" s="77"/>
      <c r="R237" s="80"/>
      <c r="S237" s="79"/>
      <c r="T237" s="77"/>
      <c r="U237" s="77"/>
      <c r="V237" s="78"/>
      <c r="W237" s="77"/>
      <c r="X237" s="77"/>
      <c r="Y237" s="77"/>
      <c r="Z237" s="80"/>
      <c r="AA237" s="79"/>
      <c r="AB237" s="77"/>
      <c r="AC237" s="77"/>
      <c r="AD237" s="78"/>
      <c r="AE237" s="77"/>
      <c r="AF237" s="77"/>
      <c r="AG237" s="77"/>
      <c r="AH237" s="80"/>
      <c r="AI237" s="79"/>
      <c r="AJ237" s="77"/>
      <c r="AK237" s="77"/>
      <c r="AL237" s="78"/>
      <c r="AM237" s="77"/>
      <c r="AN237" s="77"/>
      <c r="AO237" s="77"/>
      <c r="AP237" s="80"/>
      <c r="AQ237" s="79"/>
      <c r="AR237" s="77"/>
      <c r="AS237" s="77"/>
      <c r="AT237" s="78"/>
      <c r="AU237" s="77"/>
      <c r="AV237" s="77"/>
      <c r="AW237" s="77"/>
      <c r="AX237" s="76"/>
    </row>
    <row r="238" spans="1:50" ht="30" customHeight="1">
      <c r="A238" s="82"/>
      <c r="B238" s="85" t="s">
        <v>146</v>
      </c>
      <c r="C238" s="84">
        <v>0.3</v>
      </c>
      <c r="D238" s="83">
        <v>0.03</v>
      </c>
      <c r="E238" s="83">
        <v>0.03</v>
      </c>
      <c r="F238" s="78">
        <v>4.9135746382655563E-3</v>
      </c>
      <c r="G238" s="77">
        <v>0.30484687499999996</v>
      </c>
      <c r="H238" s="77">
        <v>2.0351782024684764</v>
      </c>
      <c r="I238" s="77">
        <v>1.7063697241321649</v>
      </c>
      <c r="J238" s="80">
        <v>0.99999984650822493</v>
      </c>
      <c r="K238" s="79">
        <v>4.8468749999999727E-3</v>
      </c>
      <c r="L238" s="77"/>
      <c r="M238" s="77"/>
      <c r="N238" s="78"/>
      <c r="O238" s="77"/>
      <c r="P238" s="77"/>
      <c r="Q238" s="77"/>
      <c r="R238" s="80"/>
      <c r="S238" s="79"/>
      <c r="T238" s="77"/>
      <c r="U238" s="77"/>
      <c r="V238" s="78"/>
      <c r="W238" s="77"/>
      <c r="X238" s="77"/>
      <c r="Y238" s="77"/>
      <c r="Z238" s="80"/>
      <c r="AA238" s="79"/>
      <c r="AB238" s="77"/>
      <c r="AC238" s="77"/>
      <c r="AD238" s="78"/>
      <c r="AE238" s="77"/>
      <c r="AF238" s="77"/>
      <c r="AG238" s="77"/>
      <c r="AH238" s="80"/>
      <c r="AI238" s="79"/>
      <c r="AJ238" s="77"/>
      <c r="AK238" s="77"/>
      <c r="AL238" s="78"/>
      <c r="AM238" s="77"/>
      <c r="AN238" s="77"/>
      <c r="AO238" s="77"/>
      <c r="AP238" s="80"/>
      <c r="AQ238" s="79"/>
      <c r="AR238" s="77"/>
      <c r="AS238" s="77"/>
      <c r="AT238" s="78"/>
      <c r="AU238" s="77"/>
      <c r="AV238" s="77"/>
      <c r="AW238" s="77"/>
      <c r="AX238" s="76"/>
    </row>
    <row r="239" spans="1:50" ht="30" customHeight="1">
      <c r="A239" s="82"/>
      <c r="B239" s="85" t="s">
        <v>147</v>
      </c>
      <c r="C239" s="84">
        <v>0.25</v>
      </c>
      <c r="D239" s="83">
        <v>0.03</v>
      </c>
      <c r="E239" s="83">
        <v>0.03</v>
      </c>
      <c r="F239" s="78">
        <v>4.9002869813920052E-3</v>
      </c>
      <c r="G239" s="77">
        <v>0.23554062500000003</v>
      </c>
      <c r="H239" s="77">
        <v>2.0406968077529499</v>
      </c>
      <c r="I239" s="77">
        <v>1.0571234609328579</v>
      </c>
      <c r="J239" s="80">
        <v>0.99924139220102437</v>
      </c>
      <c r="K239" s="79">
        <v>-1.4459374999999969E-2</v>
      </c>
      <c r="L239" s="77"/>
      <c r="M239" s="77"/>
      <c r="N239" s="78"/>
      <c r="O239" s="77"/>
      <c r="P239" s="77"/>
      <c r="Q239" s="77"/>
      <c r="R239" s="80"/>
      <c r="S239" s="79"/>
      <c r="T239" s="77"/>
      <c r="U239" s="77"/>
      <c r="V239" s="78"/>
      <c r="W239" s="77"/>
      <c r="X239" s="77"/>
      <c r="Y239" s="77"/>
      <c r="Z239" s="80"/>
      <c r="AA239" s="79"/>
      <c r="AB239" s="77"/>
      <c r="AC239" s="77"/>
      <c r="AD239" s="78"/>
      <c r="AE239" s="77"/>
      <c r="AF239" s="77"/>
      <c r="AG239" s="77"/>
      <c r="AH239" s="80"/>
      <c r="AI239" s="79"/>
      <c r="AJ239" s="77"/>
      <c r="AK239" s="77"/>
      <c r="AL239" s="78"/>
      <c r="AM239" s="77"/>
      <c r="AN239" s="77"/>
      <c r="AO239" s="77"/>
      <c r="AP239" s="80"/>
      <c r="AQ239" s="79"/>
      <c r="AR239" s="77"/>
      <c r="AS239" s="77"/>
      <c r="AT239" s="78"/>
      <c r="AU239" s="77"/>
      <c r="AV239" s="77"/>
      <c r="AW239" s="77"/>
      <c r="AX239" s="76"/>
    </row>
    <row r="240" spans="1:50" ht="30" customHeight="1">
      <c r="A240" s="82"/>
      <c r="B240" s="85" t="s">
        <v>148</v>
      </c>
      <c r="C240" s="84">
        <v>0.25</v>
      </c>
      <c r="D240" s="83">
        <v>0.03</v>
      </c>
      <c r="E240" s="83">
        <v>0.03</v>
      </c>
      <c r="F240" s="78">
        <v>2.9297813829043495E-3</v>
      </c>
      <c r="G240" s="77">
        <v>0.22826562500000008</v>
      </c>
      <c r="H240" s="77">
        <v>3.4132239553269361</v>
      </c>
      <c r="I240" s="77">
        <v>0.94041430852498253</v>
      </c>
      <c r="J240" s="80">
        <v>0.9976081018964571</v>
      </c>
      <c r="K240" s="79">
        <v>-2.1734374999999917E-2</v>
      </c>
      <c r="L240" s="77"/>
      <c r="M240" s="77"/>
      <c r="N240" s="78"/>
      <c r="O240" s="77"/>
      <c r="P240" s="77"/>
      <c r="Q240" s="77"/>
      <c r="R240" s="80"/>
      <c r="S240" s="79"/>
      <c r="T240" s="77"/>
      <c r="U240" s="77"/>
      <c r="V240" s="78"/>
      <c r="W240" s="77"/>
      <c r="X240" s="77"/>
      <c r="Y240" s="77"/>
      <c r="Z240" s="80"/>
      <c r="AA240" s="79"/>
      <c r="AB240" s="77"/>
      <c r="AC240" s="77"/>
      <c r="AD240" s="78"/>
      <c r="AE240" s="77"/>
      <c r="AF240" s="77"/>
      <c r="AG240" s="77"/>
      <c r="AH240" s="80"/>
      <c r="AI240" s="79"/>
      <c r="AJ240" s="77"/>
      <c r="AK240" s="77"/>
      <c r="AL240" s="78"/>
      <c r="AM240" s="77"/>
      <c r="AN240" s="77"/>
      <c r="AO240" s="77"/>
      <c r="AP240" s="80"/>
      <c r="AQ240" s="79"/>
      <c r="AR240" s="77"/>
      <c r="AS240" s="77"/>
      <c r="AT240" s="78"/>
      <c r="AU240" s="77"/>
      <c r="AV240" s="77"/>
      <c r="AW240" s="77"/>
      <c r="AX240" s="76"/>
    </row>
    <row r="241" spans="1:50" ht="30" customHeight="1">
      <c r="A241" s="82"/>
      <c r="B241" s="85" t="s">
        <v>149</v>
      </c>
      <c r="C241" s="84">
        <v>0.25</v>
      </c>
      <c r="D241" s="83">
        <v>0.03</v>
      </c>
      <c r="E241" s="83">
        <v>0.03</v>
      </c>
      <c r="F241" s="78">
        <v>5.7282680135869873E-3</v>
      </c>
      <c r="G241" s="77">
        <v>0.23172812500000001</v>
      </c>
      <c r="H241" s="77">
        <v>1.7457283730930213</v>
      </c>
      <c r="I241" s="77">
        <v>0.68247068585605308</v>
      </c>
      <c r="J241" s="80">
        <v>0.97969117825600738</v>
      </c>
      <c r="K241" s="79">
        <v>-1.8271874999999993E-2</v>
      </c>
      <c r="L241" s="77"/>
      <c r="M241" s="77"/>
      <c r="N241" s="78"/>
      <c r="O241" s="77"/>
      <c r="P241" s="77"/>
      <c r="Q241" s="77"/>
      <c r="R241" s="80"/>
      <c r="S241" s="79"/>
      <c r="T241" s="77"/>
      <c r="U241" s="77"/>
      <c r="V241" s="78"/>
      <c r="W241" s="77"/>
      <c r="X241" s="77"/>
      <c r="Y241" s="77"/>
      <c r="Z241" s="80"/>
      <c r="AA241" s="79"/>
      <c r="AB241" s="77"/>
      <c r="AC241" s="77"/>
      <c r="AD241" s="78"/>
      <c r="AE241" s="77"/>
      <c r="AF241" s="77"/>
      <c r="AG241" s="77"/>
      <c r="AH241" s="80"/>
      <c r="AI241" s="79"/>
      <c r="AJ241" s="77"/>
      <c r="AK241" s="77"/>
      <c r="AL241" s="78"/>
      <c r="AM241" s="77"/>
      <c r="AN241" s="77"/>
      <c r="AO241" s="77"/>
      <c r="AP241" s="80"/>
      <c r="AQ241" s="79"/>
      <c r="AR241" s="77"/>
      <c r="AS241" s="77"/>
      <c r="AT241" s="78"/>
      <c r="AU241" s="77"/>
      <c r="AV241" s="77"/>
      <c r="AW241" s="77"/>
      <c r="AX241" s="76"/>
    </row>
    <row r="242" spans="1:50" ht="30" customHeight="1">
      <c r="A242" s="82"/>
      <c r="B242" s="85" t="s">
        <v>150</v>
      </c>
      <c r="C242" s="84">
        <v>0.56599999999999995</v>
      </c>
      <c r="D242" s="83">
        <v>0.03</v>
      </c>
      <c r="E242" s="83">
        <v>0.03</v>
      </c>
      <c r="F242" s="78">
        <v>5.2722560131069074E-3</v>
      </c>
      <c r="G242" s="77">
        <v>0.58034062499999994</v>
      </c>
      <c r="H242" s="77">
        <v>1.8967212470600554</v>
      </c>
      <c r="I242" s="77">
        <v>0.99004897593936958</v>
      </c>
      <c r="J242" s="80">
        <v>0.9985117132633663</v>
      </c>
      <c r="K242" s="79">
        <v>1.4340624999999996E-2</v>
      </c>
      <c r="L242" s="77"/>
      <c r="M242" s="77"/>
      <c r="N242" s="78"/>
      <c r="O242" s="77"/>
      <c r="P242" s="77"/>
      <c r="Q242" s="77"/>
      <c r="R242" s="80"/>
      <c r="S242" s="79"/>
      <c r="T242" s="77"/>
      <c r="U242" s="77"/>
      <c r="V242" s="78"/>
      <c r="W242" s="77"/>
      <c r="X242" s="77"/>
      <c r="Y242" s="77"/>
      <c r="Z242" s="80"/>
      <c r="AA242" s="79"/>
      <c r="AB242" s="77"/>
      <c r="AC242" s="77"/>
      <c r="AD242" s="78"/>
      <c r="AE242" s="77"/>
      <c r="AF242" s="77"/>
      <c r="AG242" s="77"/>
      <c r="AH242" s="80"/>
      <c r="AI242" s="79"/>
      <c r="AJ242" s="77"/>
      <c r="AK242" s="77"/>
      <c r="AL242" s="78"/>
      <c r="AM242" s="77"/>
      <c r="AN242" s="77"/>
      <c r="AO242" s="77"/>
      <c r="AP242" s="80"/>
      <c r="AQ242" s="79"/>
      <c r="AR242" s="77"/>
      <c r="AS242" s="77"/>
      <c r="AT242" s="78"/>
      <c r="AU242" s="77"/>
      <c r="AV242" s="77"/>
      <c r="AW242" s="77"/>
      <c r="AX242" s="76"/>
    </row>
    <row r="243" spans="1:50" ht="30" customHeight="1">
      <c r="A243" s="82"/>
      <c r="B243" s="85" t="s">
        <v>151</v>
      </c>
      <c r="C243" s="84">
        <v>0.56599999999999995</v>
      </c>
      <c r="D243" s="83">
        <v>0.03</v>
      </c>
      <c r="E243" s="83">
        <v>0.03</v>
      </c>
      <c r="F243" s="78">
        <v>3.8473650388201508E-3</v>
      </c>
      <c r="G243" s="77">
        <v>0.58048124999999995</v>
      </c>
      <c r="H243" s="77">
        <v>2.5991814915141638</v>
      </c>
      <c r="I243" s="77">
        <v>1.3445349257145154</v>
      </c>
      <c r="J243" s="80">
        <v>0.99997253616397852</v>
      </c>
      <c r="K243" s="79">
        <v>1.4481250000000001E-2</v>
      </c>
      <c r="L243" s="77"/>
      <c r="M243" s="77"/>
      <c r="N243" s="78"/>
      <c r="O243" s="77"/>
      <c r="P243" s="77"/>
      <c r="Q243" s="77"/>
      <c r="R243" s="80"/>
      <c r="S243" s="79"/>
      <c r="T243" s="77"/>
      <c r="U243" s="77"/>
      <c r="V243" s="78"/>
      <c r="W243" s="77"/>
      <c r="X243" s="77"/>
      <c r="Y243" s="77"/>
      <c r="Z243" s="80"/>
      <c r="AA243" s="79"/>
      <c r="AB243" s="77"/>
      <c r="AC243" s="77"/>
      <c r="AD243" s="78"/>
      <c r="AE243" s="77"/>
      <c r="AF243" s="77"/>
      <c r="AG243" s="77"/>
      <c r="AH243" s="80"/>
      <c r="AI243" s="79"/>
      <c r="AJ243" s="77"/>
      <c r="AK243" s="77"/>
      <c r="AL243" s="78"/>
      <c r="AM243" s="77"/>
      <c r="AN243" s="77"/>
      <c r="AO243" s="77"/>
      <c r="AP243" s="80"/>
      <c r="AQ243" s="79"/>
      <c r="AR243" s="77"/>
      <c r="AS243" s="77"/>
      <c r="AT243" s="78"/>
      <c r="AU243" s="77"/>
      <c r="AV243" s="77"/>
      <c r="AW243" s="77"/>
      <c r="AX243" s="76"/>
    </row>
    <row r="244" spans="1:50" ht="30" customHeight="1">
      <c r="A244" s="82"/>
      <c r="B244" s="85" t="s">
        <v>141</v>
      </c>
      <c r="C244" s="84">
        <v>1.25</v>
      </c>
      <c r="D244" s="83">
        <v>0.1</v>
      </c>
      <c r="E244" s="83">
        <v>0.1</v>
      </c>
      <c r="F244" s="78">
        <v>3.4819103372680633E-3</v>
      </c>
      <c r="G244" s="77">
        <v>1.2302781249999999</v>
      </c>
      <c r="H244" s="77">
        <v>9.5732888284214077</v>
      </c>
      <c r="I244" s="77">
        <v>7.6852567722911642</v>
      </c>
      <c r="J244" s="80">
        <v>1</v>
      </c>
      <c r="K244" s="79">
        <v>-1.9721875000000111E-2</v>
      </c>
      <c r="L244" s="77"/>
      <c r="M244" s="77"/>
      <c r="N244" s="78"/>
      <c r="O244" s="77"/>
      <c r="P244" s="77"/>
      <c r="Q244" s="77"/>
      <c r="R244" s="80"/>
      <c r="S244" s="79"/>
      <c r="T244" s="77"/>
      <c r="U244" s="77"/>
      <c r="V244" s="78"/>
      <c r="W244" s="77"/>
      <c r="X244" s="77"/>
      <c r="Y244" s="77"/>
      <c r="Z244" s="80"/>
      <c r="AA244" s="79"/>
      <c r="AB244" s="77"/>
      <c r="AC244" s="77"/>
      <c r="AD244" s="78"/>
      <c r="AE244" s="77"/>
      <c r="AF244" s="77"/>
      <c r="AG244" s="77"/>
      <c r="AH244" s="80"/>
      <c r="AI244" s="79"/>
      <c r="AJ244" s="77"/>
      <c r="AK244" s="77"/>
      <c r="AL244" s="78"/>
      <c r="AM244" s="77"/>
      <c r="AN244" s="77"/>
      <c r="AO244" s="77"/>
      <c r="AP244" s="80"/>
      <c r="AQ244" s="79"/>
      <c r="AR244" s="77"/>
      <c r="AS244" s="77"/>
      <c r="AT244" s="78"/>
      <c r="AU244" s="77"/>
      <c r="AV244" s="77"/>
      <c r="AW244" s="77"/>
      <c r="AX244" s="76"/>
    </row>
    <row r="245" spans="1:50" ht="30" customHeight="1">
      <c r="A245" s="82"/>
      <c r="B245" s="85" t="s">
        <v>152</v>
      </c>
      <c r="C245" s="84">
        <v>1.25</v>
      </c>
      <c r="D245" s="83">
        <v>0.05</v>
      </c>
      <c r="E245" s="83">
        <v>0.05</v>
      </c>
      <c r="F245" s="78">
        <v>6.1338004584854319E-3</v>
      </c>
      <c r="G245" s="77">
        <v>1.2130687499999997</v>
      </c>
      <c r="H245" s="77">
        <v>2.7171843589418039</v>
      </c>
      <c r="I245" s="77">
        <v>0.71020406181839923</v>
      </c>
      <c r="J245" s="80">
        <v>0.98343944757415502</v>
      </c>
      <c r="K245" s="79">
        <v>-3.6931250000000304E-2</v>
      </c>
      <c r="L245" s="77"/>
      <c r="M245" s="77"/>
      <c r="N245" s="78"/>
      <c r="O245" s="77"/>
      <c r="P245" s="77"/>
      <c r="Q245" s="77"/>
      <c r="R245" s="80"/>
      <c r="S245" s="79"/>
      <c r="T245" s="77"/>
      <c r="U245" s="77"/>
      <c r="V245" s="78"/>
      <c r="W245" s="77"/>
      <c r="X245" s="77"/>
      <c r="Y245" s="77"/>
      <c r="Z245" s="80"/>
      <c r="AA245" s="79"/>
      <c r="AB245" s="77"/>
      <c r="AC245" s="77"/>
      <c r="AD245" s="78"/>
      <c r="AE245" s="77"/>
      <c r="AF245" s="77"/>
      <c r="AG245" s="77"/>
      <c r="AH245" s="80"/>
      <c r="AI245" s="79"/>
      <c r="AJ245" s="77"/>
      <c r="AK245" s="77"/>
      <c r="AL245" s="78"/>
      <c r="AM245" s="77"/>
      <c r="AN245" s="77"/>
      <c r="AO245" s="77"/>
      <c r="AP245" s="80"/>
      <c r="AQ245" s="79"/>
      <c r="AR245" s="77"/>
      <c r="AS245" s="77"/>
      <c r="AT245" s="78"/>
      <c r="AU245" s="77"/>
      <c r="AV245" s="77"/>
      <c r="AW245" s="77"/>
      <c r="AX245" s="76"/>
    </row>
    <row r="246" spans="1:50" ht="30" customHeight="1">
      <c r="A246" s="82" t="s">
        <v>173</v>
      </c>
      <c r="B246" s="85" t="s">
        <v>137</v>
      </c>
      <c r="C246" s="84">
        <v>1.3</v>
      </c>
      <c r="D246" s="83">
        <v>0.03</v>
      </c>
      <c r="E246" s="83">
        <v>0.03</v>
      </c>
      <c r="F246" s="78">
        <v>7.9311528470879279E-3</v>
      </c>
      <c r="G246" s="77">
        <v>1.2900437500000002</v>
      </c>
      <c r="H246" s="77">
        <v>1.260850748031126</v>
      </c>
      <c r="I246" s="77">
        <v>0.84240590602830112</v>
      </c>
      <c r="J246" s="80">
        <v>0.9942512543667239</v>
      </c>
      <c r="K246" s="79">
        <v>-9.9562499999998888E-3</v>
      </c>
      <c r="L246" s="77"/>
      <c r="M246" s="77"/>
      <c r="N246" s="78"/>
      <c r="O246" s="77"/>
      <c r="P246" s="77"/>
      <c r="Q246" s="77"/>
      <c r="R246" s="80"/>
      <c r="S246" s="79"/>
      <c r="T246" s="77"/>
      <c r="U246" s="77"/>
      <c r="V246" s="78"/>
      <c r="W246" s="77"/>
      <c r="X246" s="77"/>
      <c r="Y246" s="77"/>
      <c r="Z246" s="80"/>
      <c r="AA246" s="79"/>
      <c r="AB246" s="77"/>
      <c r="AC246" s="77"/>
      <c r="AD246" s="78"/>
      <c r="AE246" s="77"/>
      <c r="AF246" s="77"/>
      <c r="AG246" s="77"/>
      <c r="AH246" s="80"/>
      <c r="AI246" s="79"/>
      <c r="AJ246" s="77"/>
      <c r="AK246" s="77"/>
      <c r="AL246" s="78"/>
      <c r="AM246" s="77"/>
      <c r="AN246" s="77"/>
      <c r="AO246" s="77"/>
      <c r="AP246" s="80"/>
      <c r="AQ246" s="79"/>
      <c r="AR246" s="77"/>
      <c r="AS246" s="77"/>
      <c r="AT246" s="78"/>
      <c r="AU246" s="77"/>
      <c r="AV246" s="77"/>
      <c r="AW246" s="77"/>
      <c r="AX246" s="76"/>
    </row>
    <row r="247" spans="1:50" ht="30" customHeight="1">
      <c r="A247" s="82"/>
      <c r="B247" s="85" t="s">
        <v>142</v>
      </c>
      <c r="C247" s="84">
        <v>1</v>
      </c>
      <c r="D247" s="83">
        <v>0.04</v>
      </c>
      <c r="E247" s="83">
        <v>0.04</v>
      </c>
      <c r="F247" s="78">
        <v>3.0928377198440747E-3</v>
      </c>
      <c r="G247" s="77">
        <v>0.95638749999999995</v>
      </c>
      <c r="H247" s="77">
        <v>4.3110355411746415</v>
      </c>
      <c r="I247" s="77">
        <v>-0.38934039731233644</v>
      </c>
      <c r="J247" s="80">
        <v>0.12139910841192569</v>
      </c>
      <c r="K247" s="79">
        <v>-4.3612500000000054E-2</v>
      </c>
      <c r="L247" s="77"/>
      <c r="M247" s="77"/>
      <c r="N247" s="78"/>
      <c r="O247" s="77"/>
      <c r="P247" s="77"/>
      <c r="Q247" s="77"/>
      <c r="R247" s="80"/>
      <c r="S247" s="79"/>
      <c r="T247" s="77"/>
      <c r="U247" s="77"/>
      <c r="V247" s="78"/>
      <c r="W247" s="77"/>
      <c r="X247" s="77"/>
      <c r="Y247" s="77"/>
      <c r="Z247" s="80"/>
      <c r="AA247" s="79"/>
      <c r="AB247" s="77"/>
      <c r="AC247" s="77"/>
      <c r="AD247" s="78"/>
      <c r="AE247" s="77"/>
      <c r="AF247" s="77"/>
      <c r="AG247" s="77"/>
      <c r="AH247" s="80"/>
      <c r="AI247" s="79"/>
      <c r="AJ247" s="77"/>
      <c r="AK247" s="77"/>
      <c r="AL247" s="78"/>
      <c r="AM247" s="77"/>
      <c r="AN247" s="77"/>
      <c r="AO247" s="77"/>
      <c r="AP247" s="80"/>
      <c r="AQ247" s="79"/>
      <c r="AR247" s="77"/>
      <c r="AS247" s="77"/>
      <c r="AT247" s="78"/>
      <c r="AU247" s="77"/>
      <c r="AV247" s="77"/>
      <c r="AW247" s="77"/>
      <c r="AX247" s="76"/>
    </row>
    <row r="248" spans="1:50" ht="30" customHeight="1">
      <c r="A248" s="82"/>
      <c r="B248" s="85" t="s">
        <v>143</v>
      </c>
      <c r="C248" s="84">
        <v>2.4</v>
      </c>
      <c r="D248" s="83">
        <v>0.04</v>
      </c>
      <c r="E248" s="83">
        <v>0.04</v>
      </c>
      <c r="F248" s="78">
        <v>2.8849564624656761E-3</v>
      </c>
      <c r="G248" s="77">
        <v>2.3732656250000002</v>
      </c>
      <c r="H248" s="77">
        <v>4.6216757537955324</v>
      </c>
      <c r="I248" s="77">
        <v>1.5327354355361273</v>
      </c>
      <c r="J248" s="80">
        <v>0.99999786928048018</v>
      </c>
      <c r="K248" s="79">
        <v>-2.6734374999999755E-2</v>
      </c>
      <c r="L248" s="77"/>
      <c r="M248" s="77"/>
      <c r="N248" s="78"/>
      <c r="O248" s="77"/>
      <c r="P248" s="77"/>
      <c r="Q248" s="77"/>
      <c r="R248" s="80"/>
      <c r="S248" s="79"/>
      <c r="T248" s="77"/>
      <c r="U248" s="77"/>
      <c r="V248" s="78"/>
      <c r="W248" s="77"/>
      <c r="X248" s="77"/>
      <c r="Y248" s="77"/>
      <c r="Z248" s="80"/>
      <c r="AA248" s="79"/>
      <c r="AB248" s="77"/>
      <c r="AC248" s="77"/>
      <c r="AD248" s="78"/>
      <c r="AE248" s="77"/>
      <c r="AF248" s="77"/>
      <c r="AG248" s="77"/>
      <c r="AH248" s="80"/>
      <c r="AI248" s="79"/>
      <c r="AJ248" s="77"/>
      <c r="AK248" s="77"/>
      <c r="AL248" s="78"/>
      <c r="AM248" s="77"/>
      <c r="AN248" s="77"/>
      <c r="AO248" s="77"/>
      <c r="AP248" s="80"/>
      <c r="AQ248" s="79"/>
      <c r="AR248" s="77"/>
      <c r="AS248" s="77"/>
      <c r="AT248" s="78"/>
      <c r="AU248" s="77"/>
      <c r="AV248" s="77"/>
      <c r="AW248" s="77"/>
      <c r="AX248" s="76"/>
    </row>
    <row r="249" spans="1:50" ht="30" customHeight="1">
      <c r="A249" s="82"/>
      <c r="B249" s="85" t="s">
        <v>138</v>
      </c>
      <c r="C249" s="84">
        <v>3.3</v>
      </c>
      <c r="D249" s="83">
        <v>0.05</v>
      </c>
      <c r="E249" s="83">
        <v>0.05</v>
      </c>
      <c r="F249" s="78">
        <v>2.8781434428150933E-3</v>
      </c>
      <c r="G249" s="77">
        <v>3.2849125000000003</v>
      </c>
      <c r="H249" s="77">
        <v>5.7907699869069242</v>
      </c>
      <c r="I249" s="77">
        <v>4.0434051433578144</v>
      </c>
      <c r="J249" s="80">
        <v>1</v>
      </c>
      <c r="K249" s="79">
        <v>-1.5087499999999476E-2</v>
      </c>
      <c r="L249" s="77"/>
      <c r="M249" s="77"/>
      <c r="N249" s="78"/>
      <c r="O249" s="77"/>
      <c r="P249" s="77"/>
      <c r="Q249" s="77"/>
      <c r="R249" s="80"/>
      <c r="S249" s="79"/>
      <c r="T249" s="77"/>
      <c r="U249" s="77"/>
      <c r="V249" s="78"/>
      <c r="W249" s="77"/>
      <c r="X249" s="77"/>
      <c r="Y249" s="77"/>
      <c r="Z249" s="80"/>
      <c r="AA249" s="79"/>
      <c r="AB249" s="77"/>
      <c r="AC249" s="77"/>
      <c r="AD249" s="78"/>
      <c r="AE249" s="77"/>
      <c r="AF249" s="77"/>
      <c r="AG249" s="77"/>
      <c r="AH249" s="80"/>
      <c r="AI249" s="79"/>
      <c r="AJ249" s="77"/>
      <c r="AK249" s="77"/>
      <c r="AL249" s="78"/>
      <c r="AM249" s="77"/>
      <c r="AN249" s="77"/>
      <c r="AO249" s="77"/>
      <c r="AP249" s="80"/>
      <c r="AQ249" s="79"/>
      <c r="AR249" s="77"/>
      <c r="AS249" s="77"/>
      <c r="AT249" s="78"/>
      <c r="AU249" s="77"/>
      <c r="AV249" s="77"/>
      <c r="AW249" s="77"/>
      <c r="AX249" s="76"/>
    </row>
    <row r="250" spans="1:50" ht="30" customHeight="1">
      <c r="A250" s="82"/>
      <c r="B250" s="85" t="s">
        <v>140</v>
      </c>
      <c r="C250" s="84">
        <v>0.86</v>
      </c>
      <c r="D250" s="83">
        <v>0.05</v>
      </c>
      <c r="E250" s="83">
        <v>0.05</v>
      </c>
      <c r="F250" s="78">
        <v>6.3886870780032095E-3</v>
      </c>
      <c r="G250" s="77">
        <v>0.83881249999999996</v>
      </c>
      <c r="H250" s="77">
        <v>2.608778057709451</v>
      </c>
      <c r="I250" s="77">
        <v>1.5033083557550708</v>
      </c>
      <c r="J250" s="80">
        <v>0.99999675747357308</v>
      </c>
      <c r="K250" s="79">
        <v>-2.1187500000000026E-2</v>
      </c>
      <c r="L250" s="77"/>
      <c r="M250" s="77"/>
      <c r="N250" s="78"/>
      <c r="O250" s="77"/>
      <c r="P250" s="77"/>
      <c r="Q250" s="77"/>
      <c r="R250" s="80"/>
      <c r="S250" s="79"/>
      <c r="T250" s="77"/>
      <c r="U250" s="77"/>
      <c r="V250" s="78"/>
      <c r="W250" s="77"/>
      <c r="X250" s="77"/>
      <c r="Y250" s="77"/>
      <c r="Z250" s="80"/>
      <c r="AA250" s="79"/>
      <c r="AB250" s="77"/>
      <c r="AC250" s="77"/>
      <c r="AD250" s="78"/>
      <c r="AE250" s="77"/>
      <c r="AF250" s="77"/>
      <c r="AG250" s="77"/>
      <c r="AH250" s="80"/>
      <c r="AI250" s="79"/>
      <c r="AJ250" s="77"/>
      <c r="AK250" s="77"/>
      <c r="AL250" s="78"/>
      <c r="AM250" s="77"/>
      <c r="AN250" s="77"/>
      <c r="AO250" s="77"/>
      <c r="AP250" s="80"/>
      <c r="AQ250" s="79"/>
      <c r="AR250" s="77"/>
      <c r="AS250" s="77"/>
      <c r="AT250" s="78"/>
      <c r="AU250" s="77"/>
      <c r="AV250" s="77"/>
      <c r="AW250" s="77"/>
      <c r="AX250" s="76"/>
    </row>
    <row r="251" spans="1:50" ht="30" customHeight="1">
      <c r="A251" s="82"/>
      <c r="B251" s="85" t="s">
        <v>139</v>
      </c>
      <c r="C251" s="84">
        <v>0.86</v>
      </c>
      <c r="D251" s="83">
        <v>0.05</v>
      </c>
      <c r="E251" s="83">
        <v>0.05</v>
      </c>
      <c r="F251" s="78">
        <v>3.4023651640700541E-3</v>
      </c>
      <c r="G251" s="77">
        <v>0.82914374999999996</v>
      </c>
      <c r="H251" s="77">
        <v>4.8985531719732585</v>
      </c>
      <c r="I251" s="77">
        <v>1.8755335457192612</v>
      </c>
      <c r="J251" s="80">
        <v>0.99999999081022117</v>
      </c>
      <c r="K251" s="79">
        <v>-3.0856250000000029E-2</v>
      </c>
      <c r="L251" s="77"/>
      <c r="M251" s="77"/>
      <c r="N251" s="78"/>
      <c r="O251" s="77"/>
      <c r="P251" s="77"/>
      <c r="Q251" s="77"/>
      <c r="R251" s="80"/>
      <c r="S251" s="79"/>
      <c r="T251" s="77"/>
      <c r="U251" s="77"/>
      <c r="V251" s="78"/>
      <c r="W251" s="77"/>
      <c r="X251" s="77"/>
      <c r="Y251" s="77"/>
      <c r="Z251" s="80"/>
      <c r="AA251" s="79"/>
      <c r="AB251" s="77"/>
      <c r="AC251" s="77"/>
      <c r="AD251" s="78"/>
      <c r="AE251" s="77"/>
      <c r="AF251" s="77"/>
      <c r="AG251" s="77"/>
      <c r="AH251" s="80"/>
      <c r="AI251" s="79"/>
      <c r="AJ251" s="77"/>
      <c r="AK251" s="77"/>
      <c r="AL251" s="78"/>
      <c r="AM251" s="77"/>
      <c r="AN251" s="77"/>
      <c r="AO251" s="77"/>
      <c r="AP251" s="80"/>
      <c r="AQ251" s="79"/>
      <c r="AR251" s="77"/>
      <c r="AS251" s="77"/>
      <c r="AT251" s="78"/>
      <c r="AU251" s="77"/>
      <c r="AV251" s="77"/>
      <c r="AW251" s="77"/>
      <c r="AX251" s="76"/>
    </row>
    <row r="252" spans="1:50" ht="30" customHeight="1">
      <c r="A252" s="82"/>
      <c r="B252" s="85" t="s">
        <v>144</v>
      </c>
      <c r="C252" s="84">
        <v>2.9</v>
      </c>
      <c r="D252" s="83">
        <v>0.05</v>
      </c>
      <c r="E252" s="83">
        <v>0.05</v>
      </c>
      <c r="F252" s="78">
        <v>3.055651493280449E-3</v>
      </c>
      <c r="G252" s="77">
        <v>2.8605093749999986</v>
      </c>
      <c r="H252" s="77">
        <v>5.4543741991904353</v>
      </c>
      <c r="I252" s="77">
        <v>1.1464412769921788</v>
      </c>
      <c r="J252" s="80">
        <v>0.99970841540017186</v>
      </c>
      <c r="K252" s="79">
        <v>-3.9490625000001334E-2</v>
      </c>
      <c r="L252" s="77"/>
      <c r="M252" s="77"/>
      <c r="N252" s="78"/>
      <c r="O252" s="77"/>
      <c r="P252" s="77"/>
      <c r="Q252" s="77"/>
      <c r="R252" s="80"/>
      <c r="S252" s="79"/>
      <c r="T252" s="77"/>
      <c r="U252" s="77"/>
      <c r="V252" s="78"/>
      <c r="W252" s="77"/>
      <c r="X252" s="77"/>
      <c r="Y252" s="77"/>
      <c r="Z252" s="80"/>
      <c r="AA252" s="79"/>
      <c r="AB252" s="77"/>
      <c r="AC252" s="77"/>
      <c r="AD252" s="78"/>
      <c r="AE252" s="77"/>
      <c r="AF252" s="77"/>
      <c r="AG252" s="77"/>
      <c r="AH252" s="80"/>
      <c r="AI252" s="79"/>
      <c r="AJ252" s="77"/>
      <c r="AK252" s="77"/>
      <c r="AL252" s="78"/>
      <c r="AM252" s="77"/>
      <c r="AN252" s="77"/>
      <c r="AO252" s="77"/>
      <c r="AP252" s="80"/>
      <c r="AQ252" s="79"/>
      <c r="AR252" s="77"/>
      <c r="AS252" s="77"/>
      <c r="AT252" s="78"/>
      <c r="AU252" s="77"/>
      <c r="AV252" s="77"/>
      <c r="AW252" s="77"/>
      <c r="AX252" s="76"/>
    </row>
    <row r="253" spans="1:50" ht="30" customHeight="1">
      <c r="A253" s="82"/>
      <c r="B253" s="85" t="s">
        <v>145</v>
      </c>
      <c r="C253" s="84">
        <v>0.3</v>
      </c>
      <c r="D253" s="83">
        <v>0.03</v>
      </c>
      <c r="E253" s="83">
        <v>0.03</v>
      </c>
      <c r="F253" s="78">
        <v>3.1174182220176602E-3</v>
      </c>
      <c r="G253" s="77">
        <v>0.32309062499999985</v>
      </c>
      <c r="H253" s="77">
        <v>3.2077826226112758</v>
      </c>
      <c r="I253" s="77">
        <v>0.73879243527017147</v>
      </c>
      <c r="J253" s="80">
        <v>0.98666716369605656</v>
      </c>
      <c r="K253" s="79">
        <v>2.3090624999999865E-2</v>
      </c>
      <c r="L253" s="77"/>
      <c r="M253" s="77"/>
      <c r="N253" s="78"/>
      <c r="O253" s="77"/>
      <c r="P253" s="77"/>
      <c r="Q253" s="77"/>
      <c r="R253" s="80"/>
      <c r="S253" s="79"/>
      <c r="T253" s="77"/>
      <c r="U253" s="77"/>
      <c r="V253" s="78"/>
      <c r="W253" s="77"/>
      <c r="X253" s="77"/>
      <c r="Y253" s="77"/>
      <c r="Z253" s="80"/>
      <c r="AA253" s="79"/>
      <c r="AB253" s="77"/>
      <c r="AC253" s="77"/>
      <c r="AD253" s="78"/>
      <c r="AE253" s="77"/>
      <c r="AF253" s="77"/>
      <c r="AG253" s="77"/>
      <c r="AH253" s="80"/>
      <c r="AI253" s="79"/>
      <c r="AJ253" s="77"/>
      <c r="AK253" s="77"/>
      <c r="AL253" s="78"/>
      <c r="AM253" s="77"/>
      <c r="AN253" s="77"/>
      <c r="AO253" s="77"/>
      <c r="AP253" s="80"/>
      <c r="AQ253" s="79"/>
      <c r="AR253" s="77"/>
      <c r="AS253" s="77"/>
      <c r="AT253" s="78"/>
      <c r="AU253" s="77"/>
      <c r="AV253" s="77"/>
      <c r="AW253" s="77"/>
      <c r="AX253" s="76"/>
    </row>
    <row r="254" spans="1:50" ht="30" customHeight="1">
      <c r="A254" s="82"/>
      <c r="B254" s="85" t="s">
        <v>146</v>
      </c>
      <c r="C254" s="84">
        <v>0.3</v>
      </c>
      <c r="D254" s="83">
        <v>0.03</v>
      </c>
      <c r="E254" s="83">
        <v>0.03</v>
      </c>
      <c r="F254" s="78">
        <v>3.2384020726078737E-3</v>
      </c>
      <c r="G254" s="77">
        <v>0.32467187500000005</v>
      </c>
      <c r="H254" s="77">
        <v>3.0879426877179048</v>
      </c>
      <c r="I254" s="77">
        <v>0.54843148776655626</v>
      </c>
      <c r="J254" s="80">
        <v>0.95004544945765135</v>
      </c>
      <c r="K254" s="79">
        <v>2.4671875000000065E-2</v>
      </c>
      <c r="L254" s="77"/>
      <c r="M254" s="77"/>
      <c r="N254" s="78"/>
      <c r="O254" s="77"/>
      <c r="P254" s="77"/>
      <c r="Q254" s="77"/>
      <c r="R254" s="80"/>
      <c r="S254" s="79"/>
      <c r="T254" s="77"/>
      <c r="U254" s="77"/>
      <c r="V254" s="78"/>
      <c r="W254" s="77"/>
      <c r="X254" s="77"/>
      <c r="Y254" s="77"/>
      <c r="Z254" s="80"/>
      <c r="AA254" s="79"/>
      <c r="AB254" s="77"/>
      <c r="AC254" s="77"/>
      <c r="AD254" s="78"/>
      <c r="AE254" s="77"/>
      <c r="AF254" s="77"/>
      <c r="AG254" s="77"/>
      <c r="AH254" s="80"/>
      <c r="AI254" s="79"/>
      <c r="AJ254" s="77"/>
      <c r="AK254" s="77"/>
      <c r="AL254" s="78"/>
      <c r="AM254" s="77"/>
      <c r="AN254" s="77"/>
      <c r="AO254" s="77"/>
      <c r="AP254" s="80"/>
      <c r="AQ254" s="79"/>
      <c r="AR254" s="77"/>
      <c r="AS254" s="77"/>
      <c r="AT254" s="78"/>
      <c r="AU254" s="77"/>
      <c r="AV254" s="77"/>
      <c r="AW254" s="77"/>
      <c r="AX254" s="76"/>
    </row>
    <row r="255" spans="1:50" ht="30" customHeight="1">
      <c r="A255" s="82"/>
      <c r="B255" s="85" t="s">
        <v>147</v>
      </c>
      <c r="C255" s="84">
        <v>0.25</v>
      </c>
      <c r="D255" s="83">
        <v>0.03</v>
      </c>
      <c r="E255" s="83">
        <v>0.03</v>
      </c>
      <c r="F255" s="78">
        <v>4.3115642977402564E-3</v>
      </c>
      <c r="G255" s="77">
        <v>0.24645937500000006</v>
      </c>
      <c r="H255" s="77">
        <v>2.3193438180293695</v>
      </c>
      <c r="I255" s="77">
        <v>2.0456129278390325</v>
      </c>
      <c r="J255" s="80">
        <v>0.99999999957909769</v>
      </c>
      <c r="K255" s="79">
        <v>-3.5406249999999362E-3</v>
      </c>
      <c r="L255" s="77"/>
      <c r="M255" s="77"/>
      <c r="N255" s="78"/>
      <c r="O255" s="77"/>
      <c r="P255" s="77"/>
      <c r="Q255" s="77"/>
      <c r="R255" s="80"/>
      <c r="S255" s="79"/>
      <c r="T255" s="77"/>
      <c r="U255" s="77"/>
      <c r="V255" s="78"/>
      <c r="W255" s="77"/>
      <c r="X255" s="77"/>
      <c r="Y255" s="77"/>
      <c r="Z255" s="80"/>
      <c r="AA255" s="79"/>
      <c r="AB255" s="77"/>
      <c r="AC255" s="77"/>
      <c r="AD255" s="78"/>
      <c r="AE255" s="77"/>
      <c r="AF255" s="77"/>
      <c r="AG255" s="77"/>
      <c r="AH255" s="80"/>
      <c r="AI255" s="79"/>
      <c r="AJ255" s="77"/>
      <c r="AK255" s="77"/>
      <c r="AL255" s="78"/>
      <c r="AM255" s="77"/>
      <c r="AN255" s="77"/>
      <c r="AO255" s="77"/>
      <c r="AP255" s="80"/>
      <c r="AQ255" s="79"/>
      <c r="AR255" s="77"/>
      <c r="AS255" s="77"/>
      <c r="AT255" s="78"/>
      <c r="AU255" s="77"/>
      <c r="AV255" s="77"/>
      <c r="AW255" s="77"/>
      <c r="AX255" s="76"/>
    </row>
    <row r="256" spans="1:50" ht="30" customHeight="1">
      <c r="A256" s="82"/>
      <c r="B256" s="85" t="s">
        <v>148</v>
      </c>
      <c r="C256" s="84">
        <v>0.25</v>
      </c>
      <c r="D256" s="83">
        <v>0.03</v>
      </c>
      <c r="E256" s="83">
        <v>0.03</v>
      </c>
      <c r="F256" s="78">
        <v>4.0015269263039459E-3</v>
      </c>
      <c r="G256" s="77">
        <v>0.22629375000000013</v>
      </c>
      <c r="H256" s="77">
        <v>2.4990460352185142</v>
      </c>
      <c r="I256" s="77">
        <v>0.5242790328052277</v>
      </c>
      <c r="J256" s="80">
        <v>0.94212172847839681</v>
      </c>
      <c r="K256" s="79">
        <v>-2.3706249999999873E-2</v>
      </c>
      <c r="L256" s="77"/>
      <c r="M256" s="77"/>
      <c r="N256" s="78"/>
      <c r="O256" s="77"/>
      <c r="P256" s="77"/>
      <c r="Q256" s="77"/>
      <c r="R256" s="80"/>
      <c r="S256" s="79"/>
      <c r="T256" s="77"/>
      <c r="U256" s="77"/>
      <c r="V256" s="78"/>
      <c r="W256" s="77"/>
      <c r="X256" s="77"/>
      <c r="Y256" s="77"/>
      <c r="Z256" s="80"/>
      <c r="AA256" s="79"/>
      <c r="AB256" s="77"/>
      <c r="AC256" s="77"/>
      <c r="AD256" s="78"/>
      <c r="AE256" s="77"/>
      <c r="AF256" s="77"/>
      <c r="AG256" s="77"/>
      <c r="AH256" s="80"/>
      <c r="AI256" s="79"/>
      <c r="AJ256" s="77"/>
      <c r="AK256" s="77"/>
      <c r="AL256" s="78"/>
      <c r="AM256" s="77"/>
      <c r="AN256" s="77"/>
      <c r="AO256" s="77"/>
      <c r="AP256" s="80"/>
      <c r="AQ256" s="79"/>
      <c r="AR256" s="77"/>
      <c r="AS256" s="77"/>
      <c r="AT256" s="78"/>
      <c r="AU256" s="77"/>
      <c r="AV256" s="77"/>
      <c r="AW256" s="77"/>
      <c r="AX256" s="76"/>
    </row>
    <row r="257" spans="1:50" ht="30" customHeight="1">
      <c r="A257" s="82"/>
      <c r="B257" s="85" t="s">
        <v>149</v>
      </c>
      <c r="C257" s="84">
        <v>0.25</v>
      </c>
      <c r="D257" s="83">
        <v>0.03</v>
      </c>
      <c r="E257" s="83">
        <v>0.03</v>
      </c>
      <c r="F257" s="78">
        <v>5.1011542020946953E-3</v>
      </c>
      <c r="G257" s="77">
        <v>0.22851249999999998</v>
      </c>
      <c r="H257" s="77">
        <v>1.9603406609221279</v>
      </c>
      <c r="I257" s="77">
        <v>0.55624666253665211</v>
      </c>
      <c r="J257" s="80">
        <v>0.95241553967650194</v>
      </c>
      <c r="K257" s="79">
        <v>-2.148750000000002E-2</v>
      </c>
      <c r="L257" s="77"/>
      <c r="M257" s="77"/>
      <c r="N257" s="78"/>
      <c r="O257" s="77"/>
      <c r="P257" s="77"/>
      <c r="Q257" s="77"/>
      <c r="R257" s="80"/>
      <c r="S257" s="79"/>
      <c r="T257" s="77"/>
      <c r="U257" s="77"/>
      <c r="V257" s="78"/>
      <c r="W257" s="77"/>
      <c r="X257" s="77"/>
      <c r="Y257" s="77"/>
      <c r="Z257" s="80"/>
      <c r="AA257" s="79"/>
      <c r="AB257" s="77"/>
      <c r="AC257" s="77"/>
      <c r="AD257" s="78"/>
      <c r="AE257" s="77"/>
      <c r="AF257" s="77"/>
      <c r="AG257" s="77"/>
      <c r="AH257" s="80"/>
      <c r="AI257" s="79"/>
      <c r="AJ257" s="77"/>
      <c r="AK257" s="77"/>
      <c r="AL257" s="78"/>
      <c r="AM257" s="77"/>
      <c r="AN257" s="77"/>
      <c r="AO257" s="77"/>
      <c r="AP257" s="80"/>
      <c r="AQ257" s="79"/>
      <c r="AR257" s="77"/>
      <c r="AS257" s="77"/>
      <c r="AT257" s="78"/>
      <c r="AU257" s="77"/>
      <c r="AV257" s="77"/>
      <c r="AW257" s="77"/>
      <c r="AX257" s="76"/>
    </row>
    <row r="258" spans="1:50" ht="30" customHeight="1">
      <c r="A258" s="82"/>
      <c r="B258" s="85" t="s">
        <v>150</v>
      </c>
      <c r="C258" s="84">
        <v>0.56599999999999995</v>
      </c>
      <c r="D258" s="83">
        <v>0.03</v>
      </c>
      <c r="E258" s="83">
        <v>0.03</v>
      </c>
      <c r="F258" s="78">
        <v>6.9742028969902569E-3</v>
      </c>
      <c r="G258" s="77">
        <v>0.58367187500000006</v>
      </c>
      <c r="H258" s="77">
        <v>1.4338556172943502</v>
      </c>
      <c r="I258" s="77">
        <v>0.58922504273189225</v>
      </c>
      <c r="J258" s="80">
        <v>0.96144238485235423</v>
      </c>
      <c r="K258" s="79">
        <v>1.7671875000000115E-2</v>
      </c>
      <c r="L258" s="77"/>
      <c r="M258" s="77"/>
      <c r="N258" s="78"/>
      <c r="O258" s="77"/>
      <c r="P258" s="77"/>
      <c r="Q258" s="77"/>
      <c r="R258" s="80"/>
      <c r="S258" s="79"/>
      <c r="T258" s="77"/>
      <c r="U258" s="77"/>
      <c r="V258" s="78"/>
      <c r="W258" s="77"/>
      <c r="X258" s="77"/>
      <c r="Y258" s="77"/>
      <c r="Z258" s="80"/>
      <c r="AA258" s="79"/>
      <c r="AB258" s="77"/>
      <c r="AC258" s="77"/>
      <c r="AD258" s="78"/>
      <c r="AE258" s="77"/>
      <c r="AF258" s="77"/>
      <c r="AG258" s="77"/>
      <c r="AH258" s="80"/>
      <c r="AI258" s="79"/>
      <c r="AJ258" s="77"/>
      <c r="AK258" s="77"/>
      <c r="AL258" s="78"/>
      <c r="AM258" s="77"/>
      <c r="AN258" s="77"/>
      <c r="AO258" s="77"/>
      <c r="AP258" s="80"/>
      <c r="AQ258" s="79"/>
      <c r="AR258" s="77"/>
      <c r="AS258" s="77"/>
      <c r="AT258" s="78"/>
      <c r="AU258" s="77"/>
      <c r="AV258" s="77"/>
      <c r="AW258" s="77"/>
      <c r="AX258" s="76"/>
    </row>
    <row r="259" spans="1:50" ht="30" customHeight="1">
      <c r="A259" s="82"/>
      <c r="B259" s="85" t="s">
        <v>151</v>
      </c>
      <c r="C259" s="84">
        <v>0.56599999999999995</v>
      </c>
      <c r="D259" s="83">
        <v>0.03</v>
      </c>
      <c r="E259" s="83">
        <v>0.03</v>
      </c>
      <c r="F259" s="78">
        <v>4.508440784401155E-3</v>
      </c>
      <c r="G259" s="77">
        <v>0.57119062500000006</v>
      </c>
      <c r="H259" s="77">
        <v>2.2180617375743759</v>
      </c>
      <c r="I259" s="77">
        <v>1.8342908473544679</v>
      </c>
      <c r="J259" s="80">
        <v>0.999999981317369</v>
      </c>
      <c r="K259" s="79">
        <v>5.1906250000001153E-3</v>
      </c>
      <c r="L259" s="77"/>
      <c r="M259" s="77"/>
      <c r="N259" s="78"/>
      <c r="O259" s="77"/>
      <c r="P259" s="77"/>
      <c r="Q259" s="77"/>
      <c r="R259" s="80"/>
      <c r="S259" s="79"/>
      <c r="T259" s="77"/>
      <c r="U259" s="77"/>
      <c r="V259" s="78"/>
      <c r="W259" s="77"/>
      <c r="X259" s="77"/>
      <c r="Y259" s="77"/>
      <c r="Z259" s="80"/>
      <c r="AA259" s="79"/>
      <c r="AB259" s="77"/>
      <c r="AC259" s="77"/>
      <c r="AD259" s="78"/>
      <c r="AE259" s="77"/>
      <c r="AF259" s="77"/>
      <c r="AG259" s="77"/>
      <c r="AH259" s="80"/>
      <c r="AI259" s="79"/>
      <c r="AJ259" s="77"/>
      <c r="AK259" s="77"/>
      <c r="AL259" s="78"/>
      <c r="AM259" s="77"/>
      <c r="AN259" s="77"/>
      <c r="AO259" s="77"/>
      <c r="AP259" s="80"/>
      <c r="AQ259" s="79"/>
      <c r="AR259" s="77"/>
      <c r="AS259" s="77"/>
      <c r="AT259" s="78"/>
      <c r="AU259" s="77"/>
      <c r="AV259" s="77"/>
      <c r="AW259" s="77"/>
      <c r="AX259" s="76"/>
    </row>
    <row r="260" spans="1:50" ht="30" customHeight="1">
      <c r="A260" s="82"/>
      <c r="B260" s="85" t="s">
        <v>141</v>
      </c>
      <c r="C260" s="84">
        <v>1.25</v>
      </c>
      <c r="D260" s="83">
        <v>0.1</v>
      </c>
      <c r="E260" s="83">
        <v>0.1</v>
      </c>
      <c r="F260" s="78">
        <v>3.1083378376398022E-3</v>
      </c>
      <c r="G260" s="77">
        <v>1.229478125</v>
      </c>
      <c r="H260" s="77">
        <v>10.723845049817287</v>
      </c>
      <c r="I260" s="77">
        <v>8.5231109735000956</v>
      </c>
      <c r="J260" s="80">
        <v>1</v>
      </c>
      <c r="K260" s="79">
        <v>-2.0521875000000023E-2</v>
      </c>
      <c r="L260" s="77"/>
      <c r="M260" s="77"/>
      <c r="N260" s="78"/>
      <c r="O260" s="77"/>
      <c r="P260" s="77"/>
      <c r="Q260" s="77"/>
      <c r="R260" s="80"/>
      <c r="S260" s="79"/>
      <c r="T260" s="77"/>
      <c r="U260" s="77"/>
      <c r="V260" s="78"/>
      <c r="W260" s="77"/>
      <c r="X260" s="77"/>
      <c r="Y260" s="77"/>
      <c r="Z260" s="80"/>
      <c r="AA260" s="79"/>
      <c r="AB260" s="77"/>
      <c r="AC260" s="77"/>
      <c r="AD260" s="78"/>
      <c r="AE260" s="77"/>
      <c r="AF260" s="77"/>
      <c r="AG260" s="77"/>
      <c r="AH260" s="80"/>
      <c r="AI260" s="79"/>
      <c r="AJ260" s="77"/>
      <c r="AK260" s="77"/>
      <c r="AL260" s="78"/>
      <c r="AM260" s="77"/>
      <c r="AN260" s="77"/>
      <c r="AO260" s="77"/>
      <c r="AP260" s="80"/>
      <c r="AQ260" s="79"/>
      <c r="AR260" s="77"/>
      <c r="AS260" s="77"/>
      <c r="AT260" s="78"/>
      <c r="AU260" s="77"/>
      <c r="AV260" s="77"/>
      <c r="AW260" s="77"/>
      <c r="AX260" s="76"/>
    </row>
    <row r="261" spans="1:50" ht="30" customHeight="1">
      <c r="A261" s="82"/>
      <c r="B261" s="85" t="s">
        <v>152</v>
      </c>
      <c r="C261" s="84">
        <v>1.25</v>
      </c>
      <c r="D261" s="83">
        <v>0.05</v>
      </c>
      <c r="E261" s="83">
        <v>0.05</v>
      </c>
      <c r="F261" s="78">
        <v>3.7802743009367136E-3</v>
      </c>
      <c r="G261" s="77">
        <v>1.1903718750000001</v>
      </c>
      <c r="H261" s="77">
        <v>4.4088511414467595</v>
      </c>
      <c r="I261" s="77">
        <v>-0.84897939792483001</v>
      </c>
      <c r="J261" s="80">
        <v>5.4336339297158531E-3</v>
      </c>
      <c r="K261" s="79">
        <v>-5.9628124999999921E-2</v>
      </c>
      <c r="L261" s="77"/>
      <c r="M261" s="77"/>
      <c r="N261" s="78"/>
      <c r="O261" s="77"/>
      <c r="P261" s="77"/>
      <c r="Q261" s="77"/>
      <c r="R261" s="80"/>
      <c r="S261" s="79"/>
      <c r="T261" s="77"/>
      <c r="U261" s="77"/>
      <c r="V261" s="78"/>
      <c r="W261" s="77"/>
      <c r="X261" s="77"/>
      <c r="Y261" s="77"/>
      <c r="Z261" s="80"/>
      <c r="AA261" s="79"/>
      <c r="AB261" s="77"/>
      <c r="AC261" s="77"/>
      <c r="AD261" s="78"/>
      <c r="AE261" s="77"/>
      <c r="AF261" s="77"/>
      <c r="AG261" s="77"/>
      <c r="AH261" s="80"/>
      <c r="AI261" s="79"/>
      <c r="AJ261" s="77"/>
      <c r="AK261" s="77"/>
      <c r="AL261" s="78"/>
      <c r="AM261" s="77"/>
      <c r="AN261" s="77"/>
      <c r="AO261" s="77"/>
      <c r="AP261" s="80"/>
      <c r="AQ261" s="79"/>
      <c r="AR261" s="77"/>
      <c r="AS261" s="77"/>
      <c r="AT261" s="78"/>
      <c r="AU261" s="77"/>
      <c r="AV261" s="77"/>
      <c r="AW261" s="77"/>
      <c r="AX261" s="76"/>
    </row>
  </sheetData>
  <phoneticPr fontId="3" type="noConversion"/>
  <conditionalFormatting sqref="AP6:AP97 Z6:Z97 R6:R97 AX6:AX97 AH6:AH97 J6:J97">
    <cfRule type="cellIs" dxfId="76" priority="4" stopIfTrue="1" operator="greaterThanOrEqual">
      <formula>0.995</formula>
    </cfRule>
    <cfRule type="cellIs" dxfId="75" priority="5" stopIfTrue="1" operator="between">
      <formula>0.9</formula>
      <formula>0.995</formula>
    </cfRule>
    <cfRule type="cellIs" dxfId="74" priority="6" stopIfTrue="1" operator="lessThan">
      <formula>0.9</formula>
    </cfRule>
  </conditionalFormatting>
  <conditionalFormatting sqref="AP98:AP261 Z98:Z261 R98:R261 AX98:AX261 AH98:AH261 J98:J261">
    <cfRule type="cellIs" dxfId="73" priority="1" stopIfTrue="1" operator="greaterThanOrEqual">
      <formula>0.995</formula>
    </cfRule>
    <cfRule type="cellIs" dxfId="72" priority="2" stopIfTrue="1" operator="between">
      <formula>0.9</formula>
      <formula>0.995</formula>
    </cfRule>
    <cfRule type="cellIs" dxfId="71" priority="3" stopIfTrue="1" operator="lessThan">
      <formula>0.9</formula>
    </cfRule>
  </conditionalFormatting>
  <pageMargins left="0.75" right="0.75" top="1" bottom="1" header="0.5" footer="0.5"/>
  <pageSetup orientation="portrait" horizontalDpi="4294967292" verticalDpi="4294967292"/>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K503"/>
  <sheetViews>
    <sheetView workbookViewId="0">
      <selection activeCell="A3" sqref="A3"/>
    </sheetView>
  </sheetViews>
  <sheetFormatPr defaultColWidth="11" defaultRowHeight="12.75"/>
  <cols>
    <col min="1" max="1" width="24.875" customWidth="1"/>
    <col min="2" max="2" width="20.125" customWidth="1"/>
    <col min="3" max="3" width="17.75" customWidth="1"/>
    <col min="4" max="4" width="17.125" customWidth="1"/>
    <col min="5" max="5" width="12.125" customWidth="1"/>
    <col min="6" max="6" width="19" customWidth="1"/>
  </cols>
  <sheetData>
    <row r="2" spans="1:11" ht="15">
      <c r="A2" s="69" t="s">
        <v>44</v>
      </c>
      <c r="B2" s="70" t="s">
        <v>45</v>
      </c>
      <c r="C2" s="71" t="s">
        <v>11</v>
      </c>
      <c r="D2" s="72" t="s">
        <v>46</v>
      </c>
      <c r="E2" s="73" t="s">
        <v>47</v>
      </c>
      <c r="F2" s="73" t="s">
        <v>48</v>
      </c>
      <c r="G2" s="72" t="s">
        <v>49</v>
      </c>
      <c r="H2" s="72" t="s">
        <v>131</v>
      </c>
      <c r="I2" s="72" t="s">
        <v>61</v>
      </c>
      <c r="J2" s="72" t="s">
        <v>62</v>
      </c>
      <c r="K2" s="72" t="s">
        <v>50</v>
      </c>
    </row>
    <row r="3" spans="1:11">
      <c r="A3" s="74"/>
      <c r="C3" s="75"/>
      <c r="D3" s="44"/>
      <c r="E3" s="44"/>
      <c r="F3" s="44"/>
      <c r="G3" s="44"/>
      <c r="H3" s="44"/>
      <c r="I3" s="44"/>
      <c r="J3" s="44"/>
      <c r="K3" s="44"/>
    </row>
    <row r="4" spans="1:11">
      <c r="A4" s="74"/>
      <c r="C4" s="75"/>
      <c r="D4" s="44"/>
      <c r="E4" s="44"/>
      <c r="F4" s="44"/>
      <c r="G4" s="44"/>
      <c r="H4" s="44"/>
      <c r="I4" s="44"/>
      <c r="J4" s="44"/>
      <c r="K4" s="44"/>
    </row>
    <row r="5" spans="1:11">
      <c r="A5" s="74"/>
      <c r="C5" s="75"/>
      <c r="D5" s="44"/>
      <c r="E5" s="44"/>
      <c r="F5" s="44"/>
      <c r="G5" s="44"/>
      <c r="H5" s="44"/>
      <c r="I5" s="44"/>
      <c r="J5" s="44"/>
      <c r="K5" s="44"/>
    </row>
    <row r="6" spans="1:11">
      <c r="A6" s="74"/>
      <c r="C6" s="75"/>
      <c r="D6" s="44"/>
      <c r="E6" s="44"/>
      <c r="F6" s="44"/>
      <c r="G6" s="44"/>
      <c r="H6" s="44"/>
      <c r="I6" s="44"/>
      <c r="J6" s="44"/>
      <c r="K6" s="44"/>
    </row>
    <row r="7" spans="1:11">
      <c r="A7" s="74"/>
      <c r="C7" s="75"/>
      <c r="D7" s="44"/>
      <c r="E7" s="44"/>
      <c r="F7" s="44"/>
      <c r="G7" s="44"/>
      <c r="H7" s="44"/>
      <c r="I7" s="44"/>
      <c r="J7" s="44"/>
      <c r="K7" s="44"/>
    </row>
    <row r="8" spans="1:11">
      <c r="A8" s="74"/>
      <c r="C8" s="75"/>
      <c r="D8" s="44"/>
      <c r="E8" s="44"/>
      <c r="F8" s="44"/>
      <c r="G8" s="44"/>
      <c r="H8" s="44"/>
      <c r="I8" s="44"/>
      <c r="J8" s="44"/>
      <c r="K8" s="44"/>
    </row>
    <row r="9" spans="1:11">
      <c r="A9" s="74"/>
      <c r="C9" s="75"/>
      <c r="D9" s="44"/>
      <c r="E9" s="44"/>
      <c r="F9" s="44"/>
      <c r="G9" s="44"/>
      <c r="H9" s="44"/>
      <c r="I9" s="44"/>
      <c r="J9" s="44"/>
      <c r="K9" s="44"/>
    </row>
    <row r="10" spans="1:11">
      <c r="A10" s="74"/>
      <c r="C10" s="75"/>
      <c r="D10" s="44"/>
      <c r="E10" s="44"/>
      <c r="F10" s="44"/>
      <c r="G10" s="44"/>
      <c r="H10" s="44"/>
      <c r="I10" s="44"/>
      <c r="J10" s="44"/>
      <c r="K10" s="44"/>
    </row>
    <row r="11" spans="1:11">
      <c r="A11" s="74"/>
      <c r="C11" s="75"/>
      <c r="D11" s="44"/>
      <c r="E11" s="44"/>
      <c r="F11" s="44"/>
      <c r="G11" s="44"/>
      <c r="H11" s="44"/>
      <c r="I11" s="44"/>
      <c r="J11" s="44"/>
      <c r="K11" s="44"/>
    </row>
    <row r="12" spans="1:11">
      <c r="A12" s="74"/>
      <c r="C12" s="75"/>
      <c r="D12" s="44"/>
      <c r="E12" s="44"/>
      <c r="F12" s="44"/>
      <c r="G12" s="44"/>
      <c r="H12" s="44"/>
      <c r="I12" s="44"/>
      <c r="J12" s="44"/>
      <c r="K12" s="44"/>
    </row>
    <row r="13" spans="1:11">
      <c r="A13" s="74"/>
      <c r="C13" s="75"/>
      <c r="D13" s="44"/>
      <c r="E13" s="44"/>
      <c r="F13" s="44"/>
      <c r="G13" s="44"/>
      <c r="H13" s="44"/>
      <c r="I13" s="44"/>
      <c r="J13" s="44"/>
      <c r="K13" s="44"/>
    </row>
    <row r="14" spans="1:11">
      <c r="A14" s="74"/>
      <c r="C14" s="75"/>
      <c r="D14" s="44"/>
      <c r="E14" s="44"/>
      <c r="F14" s="44"/>
      <c r="G14" s="44"/>
      <c r="H14" s="44"/>
      <c r="I14" s="44"/>
      <c r="J14" s="44"/>
      <c r="K14" s="44"/>
    </row>
    <row r="15" spans="1:11">
      <c r="A15" s="74"/>
      <c r="C15" s="75"/>
      <c r="D15" s="44"/>
      <c r="E15" s="44"/>
      <c r="F15" s="44"/>
      <c r="G15" s="44"/>
      <c r="H15" s="44"/>
      <c r="I15" s="44"/>
      <c r="J15" s="44"/>
      <c r="K15" s="44"/>
    </row>
    <row r="16" spans="1:11">
      <c r="A16" s="74"/>
      <c r="C16" s="75"/>
      <c r="D16" s="44"/>
      <c r="E16" s="44"/>
      <c r="F16" s="44"/>
      <c r="G16" s="44"/>
      <c r="H16" s="44"/>
      <c r="I16" s="44"/>
      <c r="J16" s="44"/>
      <c r="K16" s="44"/>
    </row>
    <row r="17" spans="1:11">
      <c r="A17" s="74"/>
      <c r="C17" s="75"/>
      <c r="D17" s="44"/>
      <c r="E17" s="44"/>
      <c r="F17" s="44"/>
      <c r="G17" s="44"/>
      <c r="H17" s="44"/>
      <c r="I17" s="44"/>
      <c r="J17" s="44"/>
      <c r="K17" s="44"/>
    </row>
    <row r="18" spans="1:11">
      <c r="A18" s="74"/>
      <c r="C18" s="75"/>
      <c r="D18" s="44"/>
      <c r="E18" s="44"/>
      <c r="F18" s="44"/>
      <c r="G18" s="44"/>
      <c r="H18" s="44"/>
      <c r="I18" s="44"/>
      <c r="J18" s="44"/>
      <c r="K18" s="44"/>
    </row>
    <row r="19" spans="1:11">
      <c r="A19" s="74"/>
      <c r="C19" s="75"/>
      <c r="D19" s="44"/>
      <c r="E19" s="44"/>
      <c r="F19" s="44"/>
      <c r="G19" s="44"/>
      <c r="H19" s="44"/>
      <c r="I19" s="44"/>
      <c r="J19" s="44"/>
      <c r="K19" s="44"/>
    </row>
    <row r="20" spans="1:11">
      <c r="A20" s="74"/>
      <c r="C20" s="75"/>
      <c r="D20" s="44"/>
      <c r="E20" s="44"/>
      <c r="F20" s="44"/>
      <c r="G20" s="44"/>
      <c r="H20" s="44"/>
      <c r="I20" s="44"/>
      <c r="J20" s="44"/>
      <c r="K20" s="44"/>
    </row>
    <row r="21" spans="1:11">
      <c r="A21" s="74"/>
      <c r="C21" s="75"/>
      <c r="D21" s="44"/>
      <c r="E21" s="44"/>
      <c r="F21" s="44"/>
      <c r="G21" s="44"/>
      <c r="H21" s="44"/>
      <c r="I21" s="44"/>
      <c r="J21" s="44"/>
      <c r="K21" s="44"/>
    </row>
    <row r="22" spans="1:11">
      <c r="A22" s="74"/>
      <c r="C22" s="75"/>
      <c r="D22" s="44"/>
      <c r="E22" s="44"/>
      <c r="F22" s="44"/>
      <c r="G22" s="44"/>
      <c r="H22" s="44"/>
      <c r="I22" s="44"/>
      <c r="J22" s="44"/>
      <c r="K22" s="44"/>
    </row>
    <row r="23" spans="1:11">
      <c r="A23" s="74"/>
      <c r="C23" s="75"/>
      <c r="D23" s="44"/>
      <c r="E23" s="44"/>
      <c r="F23" s="44"/>
      <c r="G23" s="44"/>
      <c r="H23" s="44"/>
      <c r="I23" s="44"/>
      <c r="J23" s="44"/>
      <c r="K23" s="44"/>
    </row>
    <row r="24" spans="1:11">
      <c r="A24" s="74"/>
      <c r="C24" s="75"/>
      <c r="D24" s="44"/>
      <c r="E24" s="44"/>
      <c r="F24" s="44"/>
      <c r="G24" s="44"/>
      <c r="H24" s="44"/>
      <c r="I24" s="44"/>
      <c r="J24" s="44"/>
      <c r="K24" s="44"/>
    </row>
    <row r="25" spans="1:11">
      <c r="A25" s="74"/>
      <c r="C25" s="75"/>
      <c r="D25" s="44"/>
      <c r="E25" s="44"/>
      <c r="F25" s="44"/>
      <c r="G25" s="44"/>
      <c r="H25" s="44"/>
      <c r="I25" s="44"/>
      <c r="J25" s="44"/>
      <c r="K25" s="44"/>
    </row>
    <row r="26" spans="1:11">
      <c r="A26" s="74"/>
      <c r="C26" s="75"/>
      <c r="D26" s="44"/>
      <c r="E26" s="44"/>
      <c r="F26" s="44"/>
      <c r="G26" s="44"/>
      <c r="H26" s="44"/>
      <c r="I26" s="44"/>
      <c r="J26" s="44"/>
      <c r="K26" s="44"/>
    </row>
    <row r="27" spans="1:11">
      <c r="A27" s="74"/>
      <c r="C27" s="75"/>
      <c r="D27" s="44"/>
      <c r="E27" s="44"/>
      <c r="F27" s="44"/>
      <c r="G27" s="44"/>
      <c r="H27" s="44"/>
      <c r="I27" s="44"/>
      <c r="J27" s="44"/>
      <c r="K27" s="44"/>
    </row>
    <row r="28" spans="1:11">
      <c r="A28" s="74"/>
      <c r="C28" s="75"/>
      <c r="D28" s="44"/>
      <c r="E28" s="44"/>
      <c r="F28" s="44"/>
      <c r="G28" s="44"/>
      <c r="H28" s="44"/>
      <c r="I28" s="44"/>
      <c r="J28" s="44"/>
      <c r="K28" s="44"/>
    </row>
    <row r="29" spans="1:11">
      <c r="A29" s="74"/>
      <c r="C29" s="75"/>
      <c r="D29" s="44"/>
      <c r="E29" s="44"/>
      <c r="F29" s="44"/>
      <c r="G29" s="44"/>
      <c r="H29" s="44"/>
      <c r="I29" s="44"/>
      <c r="J29" s="44"/>
      <c r="K29" s="44"/>
    </row>
    <row r="30" spans="1:11">
      <c r="A30" s="74"/>
      <c r="C30" s="75"/>
      <c r="D30" s="44"/>
      <c r="E30" s="44"/>
      <c r="F30" s="44"/>
      <c r="G30" s="44"/>
      <c r="H30" s="44"/>
      <c r="I30" s="44"/>
      <c r="J30" s="44"/>
      <c r="K30" s="44"/>
    </row>
    <row r="31" spans="1:11">
      <c r="A31" s="74"/>
      <c r="C31" s="75"/>
      <c r="D31" s="44"/>
      <c r="E31" s="44"/>
      <c r="F31" s="44"/>
      <c r="G31" s="44"/>
      <c r="H31" s="44"/>
      <c r="I31" s="44"/>
      <c r="J31" s="44"/>
      <c r="K31" s="44"/>
    </row>
    <row r="32" spans="1:11">
      <c r="A32" s="74"/>
      <c r="C32" s="75"/>
      <c r="D32" s="44"/>
      <c r="E32" s="44"/>
      <c r="F32" s="44"/>
      <c r="G32" s="44"/>
      <c r="H32" s="44"/>
      <c r="I32" s="44"/>
      <c r="J32" s="44"/>
      <c r="K32" s="44"/>
    </row>
    <row r="33" spans="1:11">
      <c r="A33" s="74"/>
      <c r="C33" s="75"/>
      <c r="D33" s="44"/>
      <c r="E33" s="44"/>
      <c r="F33" s="44"/>
      <c r="G33" s="44"/>
      <c r="H33" s="44"/>
      <c r="I33" s="44"/>
      <c r="J33" s="44"/>
      <c r="K33" s="44"/>
    </row>
    <row r="34" spans="1:11">
      <c r="A34" s="74"/>
      <c r="C34" s="75"/>
      <c r="D34" s="44"/>
      <c r="E34" s="44"/>
      <c r="F34" s="44"/>
      <c r="G34" s="44"/>
      <c r="H34" s="44"/>
      <c r="I34" s="44"/>
      <c r="J34" s="44"/>
      <c r="K34" s="44"/>
    </row>
    <row r="35" spans="1:11">
      <c r="A35" s="74"/>
      <c r="C35" s="75"/>
      <c r="D35" s="44"/>
      <c r="E35" s="44"/>
      <c r="F35" s="44"/>
      <c r="G35" s="44"/>
      <c r="H35" s="44"/>
      <c r="I35" s="44"/>
      <c r="J35" s="44"/>
      <c r="K35" s="44"/>
    </row>
    <row r="36" spans="1:11">
      <c r="A36" s="74"/>
      <c r="C36" s="75"/>
      <c r="D36" s="44"/>
      <c r="E36" s="44"/>
      <c r="F36" s="44"/>
      <c r="G36" s="44"/>
      <c r="H36" s="44"/>
      <c r="I36" s="44"/>
      <c r="J36" s="44"/>
      <c r="K36" s="44"/>
    </row>
    <row r="37" spans="1:11">
      <c r="A37" s="74"/>
      <c r="C37" s="75"/>
      <c r="D37" s="44"/>
      <c r="E37" s="44"/>
      <c r="F37" s="44"/>
      <c r="G37" s="44"/>
      <c r="H37" s="44"/>
      <c r="I37" s="44"/>
      <c r="J37" s="44"/>
      <c r="K37" s="44"/>
    </row>
    <row r="38" spans="1:11">
      <c r="A38" s="74"/>
      <c r="C38" s="75"/>
      <c r="D38" s="44"/>
      <c r="E38" s="44"/>
      <c r="F38" s="44"/>
      <c r="G38" s="44"/>
      <c r="H38" s="44"/>
      <c r="I38" s="44"/>
      <c r="J38" s="44"/>
      <c r="K38" s="44"/>
    </row>
    <row r="39" spans="1:11">
      <c r="A39" s="74"/>
      <c r="C39" s="75"/>
      <c r="D39" s="44"/>
      <c r="E39" s="44"/>
      <c r="F39" s="44"/>
      <c r="G39" s="44"/>
      <c r="H39" s="44"/>
      <c r="I39" s="44"/>
      <c r="J39" s="44"/>
      <c r="K39" s="44"/>
    </row>
    <row r="40" spans="1:11">
      <c r="A40" s="74"/>
      <c r="C40" s="75"/>
      <c r="D40" s="44"/>
      <c r="E40" s="44"/>
      <c r="F40" s="44"/>
      <c r="G40" s="44"/>
      <c r="H40" s="44"/>
      <c r="I40" s="44"/>
      <c r="J40" s="44"/>
      <c r="K40" s="44"/>
    </row>
    <row r="41" spans="1:11">
      <c r="A41" s="74"/>
      <c r="C41" s="75"/>
      <c r="D41" s="44"/>
      <c r="E41" s="44"/>
      <c r="F41" s="44"/>
      <c r="G41" s="44"/>
      <c r="H41" s="44"/>
      <c r="I41" s="44"/>
      <c r="J41" s="44"/>
      <c r="K41" s="44"/>
    </row>
    <row r="42" spans="1:11">
      <c r="A42" s="74"/>
      <c r="C42" s="75"/>
      <c r="D42" s="44"/>
      <c r="E42" s="44"/>
      <c r="F42" s="44"/>
      <c r="G42" s="44"/>
      <c r="H42" s="44"/>
      <c r="I42" s="44"/>
      <c r="J42" s="44"/>
      <c r="K42" s="44"/>
    </row>
    <row r="43" spans="1:11">
      <c r="A43" s="74"/>
      <c r="C43" s="75"/>
      <c r="D43" s="44"/>
      <c r="E43" s="44"/>
      <c r="F43" s="44"/>
      <c r="G43" s="44"/>
      <c r="H43" s="44"/>
      <c r="I43" s="44"/>
      <c r="J43" s="44"/>
      <c r="K43" s="44"/>
    </row>
    <row r="44" spans="1:11">
      <c r="A44" s="74"/>
      <c r="C44" s="75"/>
      <c r="D44" s="44"/>
      <c r="E44" s="44"/>
      <c r="F44" s="44"/>
      <c r="G44" s="44"/>
      <c r="H44" s="44"/>
      <c r="I44" s="44"/>
      <c r="J44" s="44"/>
      <c r="K44" s="44"/>
    </row>
    <row r="45" spans="1:11">
      <c r="A45" s="74"/>
      <c r="C45" s="75"/>
      <c r="D45" s="44"/>
      <c r="E45" s="44"/>
      <c r="F45" s="44"/>
      <c r="G45" s="44"/>
      <c r="H45" s="44"/>
      <c r="I45" s="44"/>
      <c r="J45" s="44"/>
      <c r="K45" s="44"/>
    </row>
    <row r="46" spans="1:11">
      <c r="A46" s="74"/>
      <c r="C46" s="75"/>
      <c r="D46" s="44"/>
      <c r="E46" s="44"/>
      <c r="F46" s="44"/>
      <c r="G46" s="44"/>
      <c r="H46" s="44"/>
      <c r="I46" s="44"/>
      <c r="J46" s="44"/>
      <c r="K46" s="44"/>
    </row>
    <row r="47" spans="1:11">
      <c r="A47" s="74"/>
      <c r="C47" s="75"/>
      <c r="D47" s="44"/>
      <c r="E47" s="44"/>
      <c r="F47" s="44"/>
      <c r="G47" s="44"/>
      <c r="H47" s="44"/>
      <c r="I47" s="44"/>
      <c r="J47" s="44"/>
      <c r="K47" s="44"/>
    </row>
    <row r="48" spans="1:11">
      <c r="A48" s="74"/>
      <c r="C48" s="75"/>
      <c r="D48" s="44"/>
      <c r="E48" s="44"/>
      <c r="F48" s="44"/>
      <c r="G48" s="44"/>
      <c r="H48" s="44"/>
      <c r="I48" s="44"/>
      <c r="J48" s="44"/>
      <c r="K48" s="44"/>
    </row>
    <row r="49" spans="1:11">
      <c r="A49" s="74"/>
      <c r="C49" s="75"/>
      <c r="D49" s="44"/>
      <c r="E49" s="44"/>
      <c r="F49" s="44"/>
      <c r="G49" s="44"/>
      <c r="H49" s="44"/>
      <c r="I49" s="44"/>
      <c r="J49" s="44"/>
      <c r="K49" s="44"/>
    </row>
    <row r="50" spans="1:11">
      <c r="A50" s="74"/>
      <c r="C50" s="75"/>
      <c r="D50" s="44"/>
      <c r="E50" s="44"/>
      <c r="F50" s="44"/>
      <c r="G50" s="44"/>
      <c r="H50" s="44"/>
      <c r="I50" s="44"/>
      <c r="J50" s="44"/>
      <c r="K50" s="44"/>
    </row>
    <row r="51" spans="1:11">
      <c r="A51" s="74"/>
      <c r="C51" s="75"/>
      <c r="D51" s="44"/>
      <c r="E51" s="44"/>
      <c r="F51" s="44"/>
      <c r="G51" s="44"/>
      <c r="H51" s="44"/>
      <c r="I51" s="44"/>
      <c r="J51" s="44"/>
      <c r="K51" s="44"/>
    </row>
    <row r="52" spans="1:11">
      <c r="A52" s="74"/>
      <c r="C52" s="75"/>
      <c r="D52" s="44"/>
      <c r="E52" s="44"/>
      <c r="F52" s="44"/>
      <c r="G52" s="44"/>
      <c r="H52" s="44"/>
      <c r="I52" s="44"/>
      <c r="J52" s="44"/>
      <c r="K52" s="44"/>
    </row>
    <row r="53" spans="1:11">
      <c r="A53" s="74"/>
      <c r="C53" s="75"/>
      <c r="D53" s="44"/>
      <c r="E53" s="44"/>
      <c r="F53" s="44"/>
      <c r="G53" s="44"/>
      <c r="H53" s="44"/>
      <c r="I53" s="44"/>
      <c r="J53" s="44"/>
      <c r="K53" s="44"/>
    </row>
    <row r="54" spans="1:11">
      <c r="A54" s="74"/>
      <c r="C54" s="75"/>
      <c r="D54" s="44"/>
      <c r="E54" s="44"/>
      <c r="F54" s="44"/>
      <c r="G54" s="44"/>
      <c r="H54" s="44"/>
      <c r="I54" s="44"/>
      <c r="J54" s="44"/>
      <c r="K54" s="44"/>
    </row>
    <row r="55" spans="1:11">
      <c r="A55" s="74"/>
      <c r="C55" s="75"/>
      <c r="D55" s="44"/>
      <c r="E55" s="44"/>
      <c r="F55" s="44"/>
      <c r="G55" s="44"/>
      <c r="H55" s="44"/>
      <c r="I55" s="44"/>
      <c r="J55" s="44"/>
      <c r="K55" s="44"/>
    </row>
    <row r="56" spans="1:11">
      <c r="A56" s="74"/>
      <c r="C56" s="75"/>
      <c r="D56" s="44"/>
      <c r="E56" s="44"/>
      <c r="F56" s="44"/>
      <c r="G56" s="44"/>
      <c r="H56" s="44"/>
      <c r="I56" s="44"/>
      <c r="J56" s="44"/>
      <c r="K56" s="44"/>
    </row>
    <row r="57" spans="1:11">
      <c r="A57" s="74"/>
      <c r="C57" s="75"/>
      <c r="D57" s="44"/>
      <c r="E57" s="44"/>
      <c r="F57" s="44"/>
      <c r="G57" s="44"/>
      <c r="H57" s="44"/>
      <c r="I57" s="44"/>
      <c r="J57" s="44"/>
      <c r="K57" s="44"/>
    </row>
    <row r="58" spans="1:11">
      <c r="A58" s="74"/>
      <c r="C58" s="75"/>
      <c r="D58" s="44"/>
      <c r="E58" s="44"/>
      <c r="F58" s="44"/>
      <c r="G58" s="44"/>
      <c r="H58" s="44"/>
      <c r="I58" s="44"/>
      <c r="J58" s="44"/>
      <c r="K58" s="44"/>
    </row>
    <row r="59" spans="1:11">
      <c r="A59" s="74"/>
      <c r="C59" s="75"/>
      <c r="D59" s="44"/>
      <c r="E59" s="44"/>
      <c r="F59" s="44"/>
      <c r="G59" s="44"/>
      <c r="H59" s="44"/>
      <c r="I59" s="44"/>
      <c r="J59" s="44"/>
      <c r="K59" s="44"/>
    </row>
    <row r="60" spans="1:11">
      <c r="A60" s="74"/>
      <c r="C60" s="75"/>
      <c r="D60" s="44"/>
      <c r="E60" s="44"/>
      <c r="F60" s="44"/>
      <c r="G60" s="44"/>
      <c r="H60" s="44"/>
      <c r="I60" s="44"/>
      <c r="J60" s="44"/>
      <c r="K60" s="44"/>
    </row>
    <row r="61" spans="1:11">
      <c r="A61" s="74"/>
      <c r="C61" s="75"/>
      <c r="D61" s="44"/>
      <c r="E61" s="44"/>
      <c r="F61" s="44"/>
      <c r="G61" s="44"/>
      <c r="H61" s="44"/>
      <c r="I61" s="44"/>
      <c r="J61" s="44"/>
      <c r="K61" s="44"/>
    </row>
    <row r="62" spans="1:11">
      <c r="A62" s="74"/>
      <c r="C62" s="75"/>
      <c r="D62" s="44"/>
      <c r="E62" s="44"/>
      <c r="F62" s="44"/>
      <c r="G62" s="44"/>
      <c r="H62" s="44"/>
      <c r="I62" s="44"/>
      <c r="J62" s="44"/>
      <c r="K62" s="44"/>
    </row>
    <row r="63" spans="1:11">
      <c r="A63" s="74"/>
      <c r="C63" s="75"/>
      <c r="D63" s="44"/>
      <c r="E63" s="44"/>
      <c r="F63" s="44"/>
      <c r="G63" s="44"/>
      <c r="H63" s="44"/>
      <c r="I63" s="44"/>
      <c r="J63" s="44"/>
      <c r="K63" s="44"/>
    </row>
    <row r="64" spans="1:11">
      <c r="A64" s="74"/>
      <c r="C64" s="75"/>
      <c r="D64" s="44"/>
      <c r="E64" s="44"/>
      <c r="F64" s="44"/>
      <c r="G64" s="44"/>
      <c r="H64" s="44"/>
      <c r="I64" s="44"/>
      <c r="J64" s="44"/>
      <c r="K64" s="44"/>
    </row>
    <row r="65" spans="1:11">
      <c r="A65" s="74"/>
      <c r="C65" s="75"/>
      <c r="D65" s="44"/>
      <c r="E65" s="44"/>
      <c r="F65" s="44"/>
      <c r="G65" s="44"/>
      <c r="H65" s="44"/>
      <c r="I65" s="44"/>
      <c r="J65" s="44"/>
      <c r="K65" s="44"/>
    </row>
    <row r="66" spans="1:11">
      <c r="A66" s="74"/>
      <c r="C66" s="75"/>
      <c r="D66" s="44"/>
      <c r="E66" s="44"/>
      <c r="F66" s="44"/>
      <c r="G66" s="44"/>
      <c r="H66" s="44"/>
      <c r="I66" s="44"/>
      <c r="J66" s="44"/>
      <c r="K66" s="44"/>
    </row>
    <row r="67" spans="1:11">
      <c r="A67" s="74"/>
      <c r="C67" s="75"/>
      <c r="D67" s="44"/>
      <c r="E67" s="44"/>
      <c r="F67" s="44"/>
      <c r="G67" s="44"/>
      <c r="H67" s="44"/>
      <c r="I67" s="44"/>
      <c r="J67" s="44"/>
      <c r="K67" s="44"/>
    </row>
    <row r="68" spans="1:11">
      <c r="A68" s="74"/>
      <c r="C68" s="75"/>
      <c r="D68" s="44"/>
      <c r="E68" s="44"/>
      <c r="F68" s="44"/>
      <c r="G68" s="44"/>
      <c r="H68" s="44"/>
      <c r="I68" s="44"/>
      <c r="J68" s="44"/>
      <c r="K68" s="44"/>
    </row>
    <row r="69" spans="1:11">
      <c r="A69" s="74"/>
      <c r="C69" s="75"/>
      <c r="D69" s="44"/>
      <c r="E69" s="44"/>
      <c r="F69" s="44"/>
      <c r="G69" s="44"/>
      <c r="H69" s="44"/>
      <c r="I69" s="44"/>
      <c r="J69" s="44"/>
      <c r="K69" s="44"/>
    </row>
    <row r="70" spans="1:11">
      <c r="A70" s="74"/>
      <c r="C70" s="75"/>
      <c r="D70" s="44"/>
      <c r="E70" s="44"/>
      <c r="F70" s="44"/>
      <c r="G70" s="44"/>
      <c r="H70" s="44"/>
      <c r="I70" s="44"/>
      <c r="J70" s="44"/>
      <c r="K70" s="44"/>
    </row>
    <row r="71" spans="1:11">
      <c r="A71" s="74"/>
      <c r="C71" s="75"/>
      <c r="D71" s="44"/>
      <c r="E71" s="44"/>
      <c r="F71" s="44"/>
      <c r="G71" s="44"/>
      <c r="H71" s="44"/>
      <c r="I71" s="44"/>
      <c r="J71" s="44"/>
      <c r="K71" s="44"/>
    </row>
    <row r="72" spans="1:11">
      <c r="A72" s="74"/>
      <c r="C72" s="75"/>
      <c r="D72" s="44"/>
      <c r="E72" s="44"/>
      <c r="F72" s="44"/>
      <c r="G72" s="44"/>
      <c r="H72" s="44"/>
      <c r="I72" s="44"/>
      <c r="J72" s="44"/>
      <c r="K72" s="44"/>
    </row>
    <row r="73" spans="1:11">
      <c r="A73" s="74"/>
      <c r="C73" s="75"/>
      <c r="D73" s="44"/>
      <c r="E73" s="44"/>
      <c r="F73" s="44"/>
      <c r="G73" s="44"/>
      <c r="H73" s="44"/>
      <c r="I73" s="44"/>
      <c r="J73" s="44"/>
      <c r="K73" s="44"/>
    </row>
    <row r="74" spans="1:11">
      <c r="A74" s="74"/>
      <c r="C74" s="75"/>
      <c r="D74" s="44"/>
      <c r="E74" s="44"/>
      <c r="F74" s="44"/>
      <c r="G74" s="44"/>
      <c r="H74" s="44"/>
      <c r="I74" s="44"/>
      <c r="J74" s="44"/>
      <c r="K74" s="44"/>
    </row>
    <row r="75" spans="1:11">
      <c r="A75" s="74"/>
      <c r="C75" s="75"/>
      <c r="D75" s="44"/>
      <c r="E75" s="44"/>
      <c r="F75" s="44"/>
      <c r="G75" s="44"/>
      <c r="H75" s="44"/>
      <c r="I75" s="44"/>
      <c r="J75" s="44"/>
      <c r="K75" s="44"/>
    </row>
    <row r="76" spans="1:11">
      <c r="A76" s="74"/>
      <c r="C76" s="75"/>
      <c r="D76" s="44"/>
      <c r="E76" s="44"/>
      <c r="F76" s="44"/>
      <c r="G76" s="44"/>
      <c r="H76" s="44"/>
      <c r="I76" s="44"/>
      <c r="J76" s="44"/>
      <c r="K76" s="44"/>
    </row>
    <row r="77" spans="1:11">
      <c r="A77" s="74"/>
      <c r="C77" s="75"/>
      <c r="D77" s="44"/>
      <c r="E77" s="44"/>
      <c r="F77" s="44"/>
      <c r="G77" s="44"/>
      <c r="H77" s="44"/>
      <c r="I77" s="44"/>
      <c r="J77" s="44"/>
      <c r="K77" s="44"/>
    </row>
    <row r="78" spans="1:11">
      <c r="A78" s="74"/>
      <c r="C78" s="75"/>
      <c r="D78" s="44"/>
      <c r="E78" s="44"/>
      <c r="F78" s="44"/>
      <c r="G78" s="44"/>
      <c r="H78" s="44"/>
      <c r="I78" s="44"/>
      <c r="J78" s="44"/>
      <c r="K78" s="44"/>
    </row>
    <row r="79" spans="1:11">
      <c r="A79" s="74"/>
      <c r="C79" s="75"/>
      <c r="D79" s="44"/>
      <c r="E79" s="44"/>
      <c r="F79" s="44"/>
      <c r="G79" s="44"/>
      <c r="H79" s="44"/>
      <c r="I79" s="44"/>
      <c r="J79" s="44"/>
      <c r="K79" s="44"/>
    </row>
    <row r="80" spans="1:11">
      <c r="A80" s="74"/>
      <c r="C80" s="75"/>
      <c r="D80" s="44"/>
      <c r="E80" s="44"/>
      <c r="F80" s="44"/>
      <c r="G80" s="44"/>
      <c r="H80" s="44"/>
      <c r="I80" s="44"/>
      <c r="J80" s="44"/>
      <c r="K80" s="44"/>
    </row>
    <row r="81" spans="1:11">
      <c r="A81" s="74"/>
      <c r="C81" s="75"/>
      <c r="D81" s="44"/>
      <c r="E81" s="44"/>
      <c r="F81" s="44"/>
      <c r="G81" s="44"/>
      <c r="H81" s="44"/>
      <c r="I81" s="44"/>
      <c r="J81" s="44"/>
      <c r="K81" s="44"/>
    </row>
    <row r="82" spans="1:11">
      <c r="A82" s="74"/>
      <c r="C82" s="75"/>
      <c r="D82" s="44"/>
      <c r="E82" s="44"/>
      <c r="F82" s="44"/>
      <c r="G82" s="44"/>
      <c r="H82" s="44"/>
      <c r="I82" s="44"/>
      <c r="J82" s="44"/>
      <c r="K82" s="44"/>
    </row>
    <row r="83" spans="1:11">
      <c r="A83" s="74"/>
      <c r="C83" s="75"/>
      <c r="D83" s="44"/>
      <c r="E83" s="44"/>
      <c r="F83" s="44"/>
      <c r="G83" s="44"/>
      <c r="H83" s="44"/>
      <c r="I83" s="44"/>
      <c r="J83" s="44"/>
      <c r="K83" s="44"/>
    </row>
    <row r="84" spans="1:11">
      <c r="A84" s="74"/>
      <c r="C84" s="75"/>
      <c r="D84" s="44"/>
      <c r="E84" s="44"/>
      <c r="F84" s="44"/>
      <c r="G84" s="44"/>
      <c r="H84" s="44"/>
      <c r="I84" s="44"/>
      <c r="J84" s="44"/>
      <c r="K84" s="44"/>
    </row>
    <row r="85" spans="1:11">
      <c r="A85" s="74"/>
      <c r="C85" s="75"/>
      <c r="D85" s="44"/>
      <c r="E85" s="44"/>
      <c r="F85" s="44"/>
      <c r="G85" s="44"/>
      <c r="H85" s="44"/>
      <c r="I85" s="44"/>
      <c r="J85" s="44"/>
      <c r="K85" s="44"/>
    </row>
    <row r="86" spans="1:11">
      <c r="A86" s="74"/>
      <c r="C86" s="75"/>
      <c r="D86" s="44"/>
      <c r="E86" s="44"/>
      <c r="F86" s="44"/>
      <c r="G86" s="44"/>
      <c r="H86" s="44"/>
      <c r="I86" s="44"/>
      <c r="J86" s="44"/>
      <c r="K86" s="44"/>
    </row>
    <row r="87" spans="1:11">
      <c r="A87" s="74"/>
      <c r="C87" s="75"/>
      <c r="D87" s="44"/>
      <c r="E87" s="44"/>
      <c r="F87" s="44"/>
      <c r="G87" s="44"/>
      <c r="H87" s="44"/>
      <c r="I87" s="44"/>
      <c r="J87" s="44"/>
      <c r="K87" s="44"/>
    </row>
    <row r="88" spans="1:11">
      <c r="A88" s="74"/>
      <c r="C88" s="75"/>
      <c r="D88" s="44"/>
      <c r="E88" s="44"/>
      <c r="F88" s="44"/>
      <c r="G88" s="44"/>
      <c r="H88" s="44"/>
      <c r="I88" s="44"/>
      <c r="J88" s="44"/>
      <c r="K88" s="44"/>
    </row>
    <row r="89" spans="1:11">
      <c r="A89" s="74"/>
      <c r="C89" s="75"/>
      <c r="D89" s="44"/>
      <c r="E89" s="44"/>
      <c r="F89" s="44"/>
      <c r="G89" s="44"/>
      <c r="H89" s="44"/>
      <c r="I89" s="44"/>
      <c r="J89" s="44"/>
      <c r="K89" s="44"/>
    </row>
    <row r="90" spans="1:11">
      <c r="A90" s="74"/>
      <c r="C90" s="75"/>
      <c r="D90" s="44"/>
      <c r="E90" s="44"/>
      <c r="F90" s="44"/>
      <c r="G90" s="44"/>
      <c r="H90" s="44"/>
      <c r="I90" s="44"/>
      <c r="J90" s="44"/>
      <c r="K90" s="44"/>
    </row>
    <row r="91" spans="1:11">
      <c r="A91" s="74"/>
      <c r="C91" s="75"/>
      <c r="D91" s="44"/>
      <c r="E91" s="44"/>
      <c r="F91" s="44"/>
      <c r="G91" s="44"/>
      <c r="H91" s="44"/>
      <c r="I91" s="44"/>
      <c r="J91" s="44"/>
      <c r="K91" s="44"/>
    </row>
    <row r="92" spans="1:11">
      <c r="A92" s="74"/>
      <c r="C92" s="75"/>
      <c r="D92" s="44"/>
      <c r="E92" s="44"/>
      <c r="F92" s="44"/>
      <c r="G92" s="44"/>
      <c r="H92" s="44"/>
      <c r="I92" s="44"/>
      <c r="J92" s="44"/>
      <c r="K92" s="44"/>
    </row>
    <row r="93" spans="1:11">
      <c r="A93" s="74"/>
      <c r="C93" s="75"/>
      <c r="D93" s="44"/>
      <c r="E93" s="44"/>
      <c r="F93" s="44"/>
      <c r="G93" s="44"/>
      <c r="H93" s="44"/>
      <c r="I93" s="44"/>
      <c r="J93" s="44"/>
      <c r="K93" s="44"/>
    </row>
    <row r="94" spans="1:11">
      <c r="A94" s="74"/>
      <c r="C94" s="75"/>
      <c r="D94" s="44"/>
      <c r="E94" s="44"/>
      <c r="F94" s="44"/>
      <c r="G94" s="44"/>
      <c r="H94" s="44"/>
      <c r="I94" s="44"/>
      <c r="J94" s="44"/>
      <c r="K94" s="44"/>
    </row>
    <row r="95" spans="1:11">
      <c r="A95" s="74"/>
      <c r="C95" s="75"/>
      <c r="D95" s="44"/>
      <c r="E95" s="44"/>
      <c r="F95" s="44"/>
      <c r="G95" s="44"/>
      <c r="H95" s="44"/>
      <c r="I95" s="44"/>
      <c r="J95" s="44"/>
      <c r="K95" s="44"/>
    </row>
    <row r="96" spans="1:11">
      <c r="A96" s="74"/>
      <c r="C96" s="75"/>
      <c r="D96" s="44"/>
      <c r="E96" s="44"/>
      <c r="F96" s="44"/>
      <c r="G96" s="44"/>
      <c r="H96" s="44"/>
      <c r="I96" s="44"/>
      <c r="J96" s="44"/>
      <c r="K96" s="44"/>
    </row>
    <row r="97" spans="1:11">
      <c r="A97" s="74"/>
      <c r="C97" s="75"/>
      <c r="D97" s="44"/>
      <c r="E97" s="44"/>
      <c r="F97" s="44"/>
      <c r="G97" s="44"/>
      <c r="H97" s="44"/>
      <c r="I97" s="44"/>
      <c r="J97" s="44"/>
      <c r="K97" s="44"/>
    </row>
    <row r="98" spans="1:11">
      <c r="A98" s="74"/>
      <c r="C98" s="75"/>
      <c r="D98" s="44"/>
      <c r="E98" s="44"/>
      <c r="F98" s="44"/>
      <c r="G98" s="44"/>
      <c r="H98" s="44"/>
      <c r="I98" s="44"/>
      <c r="J98" s="44"/>
      <c r="K98" s="44"/>
    </row>
    <row r="99" spans="1:11">
      <c r="A99" s="74"/>
      <c r="C99" s="75"/>
      <c r="D99" s="44"/>
      <c r="E99" s="44"/>
      <c r="F99" s="44"/>
      <c r="G99" s="44"/>
      <c r="H99" s="44"/>
      <c r="I99" s="44"/>
      <c r="J99" s="44"/>
      <c r="K99" s="44"/>
    </row>
    <row r="100" spans="1:11">
      <c r="A100" s="74"/>
      <c r="C100" s="75"/>
      <c r="D100" s="44"/>
      <c r="E100" s="44"/>
      <c r="F100" s="44"/>
      <c r="G100" s="44"/>
      <c r="H100" s="44"/>
      <c r="I100" s="44"/>
      <c r="J100" s="44"/>
      <c r="K100" s="44"/>
    </row>
    <row r="101" spans="1:11">
      <c r="A101" s="74"/>
      <c r="C101" s="75"/>
      <c r="D101" s="44"/>
      <c r="E101" s="44"/>
      <c r="F101" s="44"/>
      <c r="G101" s="44"/>
      <c r="H101" s="44"/>
      <c r="I101" s="44"/>
      <c r="J101" s="44"/>
      <c r="K101" s="44"/>
    </row>
    <row r="102" spans="1:11">
      <c r="A102" s="74"/>
      <c r="C102" s="75"/>
      <c r="D102" s="44"/>
      <c r="E102" s="44"/>
      <c r="F102" s="44"/>
      <c r="G102" s="44"/>
      <c r="H102" s="44"/>
      <c r="I102" s="44"/>
      <c r="J102" s="44"/>
      <c r="K102" s="44"/>
    </row>
    <row r="103" spans="1:11">
      <c r="A103" s="74"/>
      <c r="C103" s="75"/>
      <c r="D103" s="44"/>
      <c r="E103" s="44"/>
      <c r="F103" s="44"/>
      <c r="G103" s="44"/>
      <c r="H103" s="44"/>
      <c r="I103" s="44"/>
      <c r="J103" s="44"/>
      <c r="K103" s="44"/>
    </row>
    <row r="104" spans="1:11">
      <c r="A104" s="74"/>
      <c r="C104" s="75"/>
      <c r="D104" s="44"/>
      <c r="E104" s="44"/>
      <c r="F104" s="44"/>
      <c r="G104" s="44"/>
      <c r="H104" s="44"/>
      <c r="I104" s="44"/>
      <c r="J104" s="44"/>
      <c r="K104" s="44"/>
    </row>
    <row r="105" spans="1:11">
      <c r="A105" s="74"/>
      <c r="C105" s="75"/>
      <c r="D105" s="44"/>
      <c r="E105" s="44"/>
      <c r="F105" s="44"/>
      <c r="G105" s="44"/>
      <c r="H105" s="44"/>
      <c r="I105" s="44"/>
      <c r="J105" s="44"/>
      <c r="K105" s="44"/>
    </row>
    <row r="106" spans="1:11">
      <c r="A106" s="74"/>
      <c r="C106" s="75"/>
      <c r="D106" s="44"/>
      <c r="E106" s="44"/>
      <c r="F106" s="44"/>
      <c r="G106" s="44"/>
      <c r="H106" s="44"/>
      <c r="I106" s="44"/>
      <c r="J106" s="44"/>
      <c r="K106" s="44"/>
    </row>
    <row r="107" spans="1:11">
      <c r="A107" s="74"/>
      <c r="C107" s="75"/>
      <c r="D107" s="44"/>
      <c r="E107" s="44"/>
      <c r="F107" s="44"/>
      <c r="G107" s="44"/>
      <c r="H107" s="44"/>
      <c r="I107" s="44"/>
      <c r="J107" s="44"/>
      <c r="K107" s="44"/>
    </row>
    <row r="108" spans="1:11">
      <c r="A108" s="74"/>
      <c r="C108" s="75"/>
      <c r="D108" s="44"/>
      <c r="E108" s="44"/>
      <c r="F108" s="44"/>
      <c r="G108" s="44"/>
      <c r="H108" s="44"/>
      <c r="I108" s="44"/>
      <c r="J108" s="44"/>
      <c r="K108" s="44"/>
    </row>
    <row r="109" spans="1:11">
      <c r="A109" s="74"/>
      <c r="C109" s="75"/>
      <c r="D109" s="44"/>
      <c r="E109" s="44"/>
      <c r="F109" s="44"/>
      <c r="G109" s="44"/>
      <c r="H109" s="44"/>
      <c r="I109" s="44"/>
      <c r="J109" s="44"/>
      <c r="K109" s="44"/>
    </row>
    <row r="110" spans="1:11">
      <c r="A110" s="74"/>
      <c r="C110" s="75"/>
      <c r="D110" s="44"/>
      <c r="E110" s="44"/>
      <c r="F110" s="44"/>
      <c r="G110" s="44"/>
      <c r="H110" s="44"/>
      <c r="I110" s="44"/>
      <c r="J110" s="44"/>
      <c r="K110" s="44"/>
    </row>
    <row r="111" spans="1:11">
      <c r="A111" s="74"/>
      <c r="C111" s="75"/>
      <c r="D111" s="44"/>
      <c r="E111" s="44"/>
      <c r="F111" s="44"/>
      <c r="G111" s="44"/>
      <c r="H111" s="44"/>
      <c r="I111" s="44"/>
      <c r="J111" s="44"/>
      <c r="K111" s="44"/>
    </row>
    <row r="112" spans="1:11">
      <c r="A112" s="74"/>
      <c r="C112" s="75"/>
      <c r="D112" s="44"/>
      <c r="E112" s="44"/>
      <c r="F112" s="44"/>
      <c r="G112" s="44"/>
      <c r="H112" s="44"/>
      <c r="I112" s="44"/>
      <c r="J112" s="44"/>
      <c r="K112" s="44"/>
    </row>
    <row r="113" spans="1:11">
      <c r="A113" s="74"/>
      <c r="C113" s="75"/>
      <c r="D113" s="44"/>
      <c r="E113" s="44"/>
      <c r="F113" s="44"/>
      <c r="G113" s="44"/>
      <c r="H113" s="44"/>
      <c r="I113" s="44"/>
      <c r="J113" s="44"/>
      <c r="K113" s="44"/>
    </row>
    <row r="114" spans="1:11">
      <c r="A114" s="74"/>
      <c r="C114" s="75"/>
      <c r="D114" s="44"/>
      <c r="E114" s="44"/>
      <c r="F114" s="44"/>
      <c r="G114" s="44"/>
      <c r="H114" s="44"/>
      <c r="I114" s="44"/>
      <c r="J114" s="44"/>
      <c r="K114" s="44"/>
    </row>
    <row r="115" spans="1:11">
      <c r="A115" s="74"/>
      <c r="C115" s="75"/>
      <c r="D115" s="44"/>
      <c r="E115" s="44"/>
      <c r="F115" s="44"/>
      <c r="G115" s="44"/>
      <c r="H115" s="44"/>
      <c r="I115" s="44"/>
      <c r="J115" s="44"/>
      <c r="K115" s="44"/>
    </row>
    <row r="116" spans="1:11">
      <c r="A116" s="74"/>
      <c r="C116" s="75"/>
      <c r="D116" s="44"/>
      <c r="E116" s="44"/>
      <c r="F116" s="44"/>
      <c r="G116" s="44"/>
      <c r="H116" s="44"/>
      <c r="I116" s="44"/>
      <c r="J116" s="44"/>
      <c r="K116" s="44"/>
    </row>
    <row r="117" spans="1:11">
      <c r="A117" s="74"/>
      <c r="C117" s="75"/>
      <c r="D117" s="44"/>
      <c r="E117" s="44"/>
      <c r="F117" s="44"/>
      <c r="G117" s="44"/>
      <c r="H117" s="44"/>
      <c r="I117" s="44"/>
      <c r="J117" s="44"/>
      <c r="K117" s="44"/>
    </row>
    <row r="118" spans="1:11">
      <c r="A118" s="74"/>
      <c r="C118" s="75"/>
      <c r="D118" s="44"/>
      <c r="E118" s="44"/>
      <c r="F118" s="44"/>
      <c r="G118" s="44"/>
      <c r="H118" s="44"/>
      <c r="I118" s="44"/>
      <c r="J118" s="44"/>
      <c r="K118" s="44"/>
    </row>
    <row r="119" spans="1:11">
      <c r="A119" s="74"/>
      <c r="C119" s="75"/>
      <c r="D119" s="44"/>
      <c r="E119" s="44"/>
      <c r="F119" s="44"/>
      <c r="G119" s="44"/>
      <c r="H119" s="44"/>
      <c r="I119" s="44"/>
      <c r="J119" s="44"/>
      <c r="K119" s="44"/>
    </row>
    <row r="120" spans="1:11">
      <c r="A120" s="74"/>
      <c r="C120" s="75"/>
      <c r="D120" s="44"/>
      <c r="E120" s="44"/>
      <c r="F120" s="44"/>
      <c r="G120" s="44"/>
      <c r="H120" s="44"/>
      <c r="I120" s="44"/>
      <c r="J120" s="44"/>
      <c r="K120" s="44"/>
    </row>
    <row r="121" spans="1:11">
      <c r="A121" s="74"/>
      <c r="C121" s="75"/>
      <c r="D121" s="44"/>
      <c r="E121" s="44"/>
      <c r="F121" s="44"/>
      <c r="G121" s="44"/>
      <c r="H121" s="44"/>
      <c r="I121" s="44"/>
      <c r="J121" s="44"/>
      <c r="K121" s="44"/>
    </row>
    <row r="122" spans="1:11">
      <c r="A122" s="74"/>
      <c r="C122" s="75"/>
      <c r="D122" s="44"/>
      <c r="E122" s="44"/>
      <c r="F122" s="44"/>
      <c r="G122" s="44"/>
      <c r="H122" s="44"/>
      <c r="I122" s="44"/>
      <c r="J122" s="44"/>
      <c r="K122" s="44"/>
    </row>
    <row r="123" spans="1:11">
      <c r="A123" s="74"/>
      <c r="C123" s="75"/>
      <c r="D123" s="44"/>
      <c r="E123" s="44"/>
      <c r="F123" s="44"/>
      <c r="G123" s="44"/>
      <c r="H123" s="44"/>
      <c r="I123" s="44"/>
      <c r="J123" s="44"/>
      <c r="K123" s="44"/>
    </row>
    <row r="124" spans="1:11">
      <c r="A124" s="74"/>
      <c r="C124" s="75"/>
      <c r="D124" s="44"/>
      <c r="E124" s="44"/>
      <c r="F124" s="44"/>
      <c r="G124" s="44"/>
      <c r="H124" s="44"/>
      <c r="I124" s="44"/>
      <c r="J124" s="44"/>
      <c r="K124" s="44"/>
    </row>
    <row r="125" spans="1:11">
      <c r="A125" s="74"/>
      <c r="C125" s="75"/>
      <c r="D125" s="44"/>
      <c r="E125" s="44"/>
      <c r="F125" s="44"/>
      <c r="G125" s="44"/>
      <c r="H125" s="44"/>
      <c r="I125" s="44"/>
      <c r="J125" s="44"/>
      <c r="K125" s="44"/>
    </row>
    <row r="126" spans="1:11">
      <c r="A126" s="74"/>
      <c r="C126" s="75"/>
      <c r="D126" s="44"/>
      <c r="E126" s="44"/>
      <c r="F126" s="44"/>
      <c r="G126" s="44"/>
      <c r="H126" s="44"/>
      <c r="I126" s="44"/>
      <c r="J126" s="44"/>
      <c r="K126" s="44"/>
    </row>
    <row r="127" spans="1:11">
      <c r="A127" s="74"/>
      <c r="C127" s="75"/>
      <c r="D127" s="44"/>
      <c r="E127" s="44"/>
      <c r="F127" s="44"/>
      <c r="G127" s="44"/>
      <c r="H127" s="44"/>
      <c r="I127" s="44"/>
      <c r="J127" s="44"/>
      <c r="K127" s="44"/>
    </row>
    <row r="128" spans="1:11">
      <c r="A128" s="74"/>
      <c r="C128" s="75"/>
      <c r="D128" s="44"/>
      <c r="E128" s="44"/>
      <c r="F128" s="44"/>
      <c r="G128" s="44"/>
      <c r="H128" s="44"/>
      <c r="I128" s="44"/>
      <c r="J128" s="44"/>
      <c r="K128" s="44"/>
    </row>
    <row r="129" spans="1:11">
      <c r="A129" s="74"/>
      <c r="C129" s="75"/>
      <c r="D129" s="44"/>
      <c r="E129" s="44"/>
      <c r="F129" s="44"/>
      <c r="G129" s="44"/>
      <c r="H129" s="44"/>
      <c r="I129" s="44"/>
      <c r="J129" s="44"/>
      <c r="K129" s="44"/>
    </row>
    <row r="130" spans="1:11">
      <c r="A130" s="74"/>
      <c r="C130" s="75"/>
      <c r="D130" s="44"/>
      <c r="E130" s="44"/>
      <c r="F130" s="44"/>
      <c r="G130" s="44"/>
      <c r="H130" s="44"/>
      <c r="I130" s="44"/>
      <c r="J130" s="44"/>
      <c r="K130" s="44"/>
    </row>
    <row r="131" spans="1:11">
      <c r="A131" s="74"/>
      <c r="C131" s="75"/>
      <c r="D131" s="44"/>
      <c r="E131" s="44"/>
      <c r="F131" s="44"/>
      <c r="G131" s="44"/>
      <c r="H131" s="44"/>
      <c r="I131" s="44"/>
      <c r="J131" s="44"/>
      <c r="K131" s="44"/>
    </row>
    <row r="132" spans="1:11">
      <c r="A132" s="74"/>
      <c r="C132" s="75"/>
      <c r="D132" s="44"/>
      <c r="E132" s="44"/>
      <c r="F132" s="44"/>
      <c r="G132" s="44"/>
      <c r="H132" s="44"/>
      <c r="I132" s="44"/>
      <c r="J132" s="44"/>
      <c r="K132" s="44"/>
    </row>
    <row r="133" spans="1:11">
      <c r="A133" s="74"/>
      <c r="C133" s="75"/>
      <c r="D133" s="44"/>
      <c r="E133" s="44"/>
      <c r="F133" s="44"/>
      <c r="G133" s="44"/>
      <c r="H133" s="44"/>
      <c r="I133" s="44"/>
      <c r="J133" s="44"/>
      <c r="K133" s="44"/>
    </row>
    <row r="134" spans="1:11">
      <c r="A134" s="74"/>
      <c r="C134" s="75"/>
      <c r="D134" s="44"/>
      <c r="E134" s="44"/>
      <c r="F134" s="44"/>
      <c r="G134" s="44"/>
      <c r="H134" s="44"/>
      <c r="I134" s="44"/>
      <c r="J134" s="44"/>
      <c r="K134" s="44"/>
    </row>
    <row r="135" spans="1:11">
      <c r="A135" s="74"/>
      <c r="C135" s="75"/>
      <c r="D135" s="44"/>
      <c r="E135" s="44"/>
      <c r="F135" s="44"/>
      <c r="G135" s="44"/>
      <c r="H135" s="44"/>
      <c r="I135" s="44"/>
      <c r="J135" s="44"/>
      <c r="K135" s="44"/>
    </row>
    <row r="136" spans="1:11">
      <c r="A136" s="74"/>
      <c r="C136" s="75"/>
      <c r="D136" s="44"/>
      <c r="E136" s="44"/>
      <c r="F136" s="44"/>
      <c r="G136" s="44"/>
      <c r="H136" s="44"/>
      <c r="I136" s="44"/>
      <c r="J136" s="44"/>
      <c r="K136" s="44"/>
    </row>
    <row r="137" spans="1:11">
      <c r="A137" s="74"/>
      <c r="C137" s="75"/>
      <c r="D137" s="44"/>
      <c r="E137" s="44"/>
      <c r="F137" s="44"/>
      <c r="G137" s="44"/>
      <c r="H137" s="44"/>
      <c r="I137" s="44"/>
      <c r="J137" s="44"/>
      <c r="K137" s="44"/>
    </row>
    <row r="138" spans="1:11">
      <c r="A138" s="74"/>
      <c r="C138" s="75"/>
      <c r="D138" s="44"/>
      <c r="E138" s="44"/>
      <c r="F138" s="44"/>
      <c r="G138" s="44"/>
      <c r="H138" s="44"/>
      <c r="I138" s="44"/>
      <c r="J138" s="44"/>
      <c r="K138" s="44"/>
    </row>
    <row r="139" spans="1:11">
      <c r="A139" s="74"/>
      <c r="C139" s="75"/>
      <c r="D139" s="44"/>
      <c r="E139" s="44"/>
      <c r="F139" s="44"/>
      <c r="G139" s="44"/>
      <c r="H139" s="44"/>
      <c r="I139" s="44"/>
      <c r="J139" s="44"/>
      <c r="K139" s="44"/>
    </row>
    <row r="140" spans="1:11">
      <c r="A140" s="74"/>
      <c r="C140" s="75"/>
      <c r="D140" s="44"/>
      <c r="E140" s="44"/>
      <c r="F140" s="44"/>
      <c r="G140" s="44"/>
      <c r="H140" s="44"/>
      <c r="I140" s="44"/>
      <c r="J140" s="44"/>
      <c r="K140" s="44"/>
    </row>
    <row r="141" spans="1:11">
      <c r="A141" s="74"/>
      <c r="C141" s="75"/>
      <c r="D141" s="44"/>
      <c r="E141" s="44"/>
      <c r="F141" s="44"/>
      <c r="G141" s="44"/>
      <c r="H141" s="44"/>
      <c r="I141" s="44"/>
      <c r="J141" s="44"/>
      <c r="K141" s="44"/>
    </row>
    <row r="142" spans="1:11">
      <c r="A142" s="74"/>
      <c r="C142" s="75"/>
      <c r="D142" s="44"/>
      <c r="E142" s="44"/>
      <c r="F142" s="44"/>
      <c r="G142" s="44"/>
      <c r="H142" s="44"/>
      <c r="I142" s="44"/>
      <c r="J142" s="44"/>
      <c r="K142" s="44"/>
    </row>
    <row r="143" spans="1:11">
      <c r="A143" s="74"/>
      <c r="C143" s="75"/>
      <c r="D143" s="44"/>
      <c r="E143" s="44"/>
      <c r="F143" s="44"/>
      <c r="G143" s="44"/>
      <c r="H143" s="44"/>
      <c r="I143" s="44"/>
      <c r="J143" s="44"/>
      <c r="K143" s="44"/>
    </row>
    <row r="144" spans="1:11">
      <c r="A144" s="74"/>
      <c r="C144" s="75"/>
      <c r="D144" s="44"/>
      <c r="E144" s="44"/>
      <c r="F144" s="44"/>
      <c r="G144" s="44"/>
      <c r="H144" s="44"/>
      <c r="I144" s="44"/>
      <c r="J144" s="44"/>
      <c r="K144" s="44"/>
    </row>
    <row r="145" spans="1:11">
      <c r="A145" s="74"/>
      <c r="C145" s="75"/>
      <c r="D145" s="44"/>
      <c r="E145" s="44"/>
      <c r="F145" s="44"/>
      <c r="G145" s="44"/>
      <c r="H145" s="44"/>
      <c r="I145" s="44"/>
      <c r="J145" s="44"/>
      <c r="K145" s="44"/>
    </row>
    <row r="146" spans="1:11">
      <c r="A146" s="74"/>
      <c r="C146" s="75"/>
      <c r="D146" s="44"/>
      <c r="E146" s="44"/>
      <c r="F146" s="44"/>
      <c r="G146" s="44"/>
      <c r="H146" s="44"/>
      <c r="I146" s="44"/>
      <c r="J146" s="44"/>
      <c r="K146" s="44"/>
    </row>
    <row r="147" spans="1:11">
      <c r="A147" s="74"/>
      <c r="C147" s="75"/>
      <c r="D147" s="44"/>
      <c r="E147" s="44"/>
      <c r="F147" s="44"/>
      <c r="G147" s="44"/>
      <c r="H147" s="44"/>
      <c r="I147" s="44"/>
      <c r="J147" s="44"/>
      <c r="K147" s="44"/>
    </row>
    <row r="148" spans="1:11">
      <c r="A148" s="74"/>
      <c r="C148" s="75"/>
      <c r="D148" s="44"/>
      <c r="E148" s="44"/>
      <c r="F148" s="44"/>
      <c r="G148" s="44"/>
      <c r="H148" s="44"/>
      <c r="I148" s="44"/>
      <c r="J148" s="44"/>
      <c r="K148" s="44"/>
    </row>
    <row r="149" spans="1:11">
      <c r="A149" s="74"/>
      <c r="C149" s="75"/>
      <c r="D149" s="44"/>
      <c r="E149" s="44"/>
      <c r="F149" s="44"/>
      <c r="G149" s="44"/>
      <c r="H149" s="44"/>
      <c r="I149" s="44"/>
      <c r="J149" s="44"/>
      <c r="K149" s="44"/>
    </row>
    <row r="150" spans="1:11">
      <c r="A150" s="74"/>
      <c r="C150" s="75"/>
      <c r="D150" s="44"/>
      <c r="E150" s="44"/>
      <c r="F150" s="44"/>
      <c r="G150" s="44"/>
      <c r="H150" s="44"/>
      <c r="I150" s="44"/>
      <c r="J150" s="44"/>
      <c r="K150" s="44"/>
    </row>
    <row r="151" spans="1:11">
      <c r="A151" s="74"/>
      <c r="C151" s="75"/>
      <c r="D151" s="44"/>
      <c r="E151" s="44"/>
      <c r="F151" s="44"/>
      <c r="G151" s="44"/>
      <c r="H151" s="44"/>
      <c r="I151" s="44"/>
      <c r="J151" s="44"/>
      <c r="K151" s="44"/>
    </row>
    <row r="152" spans="1:11">
      <c r="A152" s="74"/>
      <c r="C152" s="75"/>
      <c r="D152" s="44"/>
      <c r="E152" s="44"/>
      <c r="F152" s="44"/>
      <c r="G152" s="44"/>
      <c r="H152" s="44"/>
      <c r="I152" s="44"/>
      <c r="J152" s="44"/>
      <c r="K152" s="44"/>
    </row>
    <row r="153" spans="1:11">
      <c r="A153" s="74"/>
      <c r="C153" s="75"/>
      <c r="D153" s="44"/>
      <c r="E153" s="44"/>
      <c r="F153" s="44"/>
      <c r="G153" s="44"/>
      <c r="H153" s="44"/>
      <c r="I153" s="44"/>
      <c r="J153" s="44"/>
      <c r="K153" s="44"/>
    </row>
    <row r="154" spans="1:11">
      <c r="A154" s="74"/>
      <c r="C154" s="75"/>
      <c r="D154" s="44"/>
      <c r="E154" s="44"/>
      <c r="F154" s="44"/>
      <c r="G154" s="44"/>
      <c r="H154" s="44"/>
      <c r="I154" s="44"/>
      <c r="J154" s="44"/>
      <c r="K154" s="44"/>
    </row>
    <row r="155" spans="1:11">
      <c r="A155" s="74"/>
      <c r="C155" s="75"/>
      <c r="D155" s="44"/>
      <c r="E155" s="44"/>
      <c r="F155" s="44"/>
      <c r="G155" s="44"/>
      <c r="H155" s="44"/>
      <c r="I155" s="44"/>
      <c r="J155" s="44"/>
      <c r="K155" s="44"/>
    </row>
    <row r="156" spans="1:11">
      <c r="A156" s="74"/>
      <c r="C156" s="75"/>
      <c r="D156" s="44"/>
      <c r="E156" s="44"/>
      <c r="F156" s="44"/>
      <c r="G156" s="44"/>
      <c r="H156" s="44"/>
      <c r="I156" s="44"/>
      <c r="J156" s="44"/>
      <c r="K156" s="44"/>
    </row>
    <row r="157" spans="1:11">
      <c r="A157" s="74"/>
      <c r="C157" s="75"/>
      <c r="D157" s="44"/>
      <c r="E157" s="44"/>
      <c r="F157" s="44"/>
      <c r="G157" s="44"/>
      <c r="H157" s="44"/>
      <c r="I157" s="44"/>
      <c r="J157" s="44"/>
      <c r="K157" s="44"/>
    </row>
    <row r="158" spans="1:11">
      <c r="A158" s="74"/>
      <c r="C158" s="75"/>
      <c r="D158" s="44"/>
      <c r="E158" s="44"/>
      <c r="F158" s="44"/>
      <c r="G158" s="44"/>
      <c r="H158" s="44"/>
      <c r="I158" s="44"/>
      <c r="J158" s="44"/>
      <c r="K158" s="44"/>
    </row>
    <row r="159" spans="1:11">
      <c r="A159" s="74"/>
      <c r="C159" s="75"/>
      <c r="D159" s="44"/>
      <c r="E159" s="44"/>
      <c r="F159" s="44"/>
      <c r="G159" s="44"/>
      <c r="H159" s="44"/>
      <c r="I159" s="44"/>
      <c r="J159" s="44"/>
      <c r="K159" s="44"/>
    </row>
    <row r="160" spans="1:11">
      <c r="A160" s="74"/>
      <c r="C160" s="75"/>
      <c r="D160" s="44"/>
      <c r="E160" s="44"/>
      <c r="F160" s="44"/>
      <c r="G160" s="44"/>
      <c r="H160" s="44"/>
      <c r="I160" s="44"/>
      <c r="J160" s="44"/>
      <c r="K160" s="44"/>
    </row>
    <row r="161" spans="1:11">
      <c r="A161" s="74"/>
      <c r="C161" s="75"/>
      <c r="D161" s="44"/>
      <c r="E161" s="44"/>
      <c r="F161" s="44"/>
      <c r="G161" s="44"/>
      <c r="H161" s="44"/>
      <c r="I161" s="44"/>
      <c r="J161" s="44"/>
      <c r="K161" s="44"/>
    </row>
    <row r="162" spans="1:11">
      <c r="A162" s="74"/>
      <c r="C162" s="75"/>
      <c r="D162" s="44"/>
      <c r="E162" s="44"/>
      <c r="F162" s="44"/>
      <c r="G162" s="44"/>
      <c r="H162" s="44"/>
      <c r="I162" s="44"/>
      <c r="J162" s="44"/>
      <c r="K162" s="44"/>
    </row>
    <row r="163" spans="1:11">
      <c r="A163" s="74"/>
      <c r="C163" s="75"/>
      <c r="D163" s="44"/>
      <c r="E163" s="44"/>
      <c r="F163" s="44"/>
      <c r="G163" s="44"/>
      <c r="H163" s="44"/>
      <c r="I163" s="44"/>
      <c r="J163" s="44"/>
      <c r="K163" s="44"/>
    </row>
    <row r="164" spans="1:11">
      <c r="A164" s="74"/>
      <c r="C164" s="75"/>
      <c r="D164" s="44"/>
      <c r="E164" s="44"/>
      <c r="F164" s="44"/>
      <c r="G164" s="44"/>
      <c r="H164" s="44"/>
      <c r="I164" s="44"/>
      <c r="J164" s="44"/>
      <c r="K164" s="44"/>
    </row>
    <row r="165" spans="1:11">
      <c r="A165" s="74"/>
      <c r="C165" s="75"/>
      <c r="D165" s="44"/>
      <c r="E165" s="44"/>
      <c r="F165" s="44"/>
      <c r="G165" s="44"/>
      <c r="H165" s="44"/>
      <c r="I165" s="44"/>
      <c r="J165" s="44"/>
      <c r="K165" s="44"/>
    </row>
    <row r="166" spans="1:11">
      <c r="A166" s="74"/>
      <c r="C166" s="75"/>
      <c r="D166" s="44"/>
      <c r="E166" s="44"/>
      <c r="F166" s="44"/>
      <c r="G166" s="44"/>
      <c r="H166" s="44"/>
      <c r="I166" s="44"/>
      <c r="J166" s="44"/>
      <c r="K166" s="44"/>
    </row>
    <row r="167" spans="1:11">
      <c r="A167" s="74"/>
      <c r="C167" s="75"/>
      <c r="D167" s="44"/>
      <c r="E167" s="44"/>
      <c r="F167" s="44"/>
      <c r="G167" s="44"/>
      <c r="H167" s="44"/>
      <c r="I167" s="44"/>
      <c r="J167" s="44"/>
      <c r="K167" s="44"/>
    </row>
    <row r="168" spans="1:11">
      <c r="A168" s="74"/>
      <c r="C168" s="75"/>
      <c r="D168" s="44"/>
      <c r="E168" s="44"/>
      <c r="F168" s="44"/>
      <c r="G168" s="44"/>
      <c r="H168" s="44"/>
      <c r="I168" s="44"/>
      <c r="J168" s="44"/>
      <c r="K168" s="44"/>
    </row>
    <row r="169" spans="1:11">
      <c r="A169" s="74"/>
      <c r="C169" s="75"/>
      <c r="D169" s="44"/>
      <c r="E169" s="44"/>
      <c r="F169" s="44"/>
      <c r="G169" s="44"/>
      <c r="H169" s="44"/>
      <c r="I169" s="44"/>
      <c r="J169" s="44"/>
      <c r="K169" s="44"/>
    </row>
    <row r="170" spans="1:11">
      <c r="A170" s="74"/>
      <c r="C170" s="75"/>
      <c r="D170" s="44"/>
      <c r="E170" s="44"/>
      <c r="F170" s="44"/>
      <c r="G170" s="44"/>
      <c r="H170" s="44"/>
      <c r="I170" s="44"/>
      <c r="J170" s="44"/>
      <c r="K170" s="44"/>
    </row>
    <row r="171" spans="1:11">
      <c r="A171" s="74"/>
      <c r="C171" s="75"/>
      <c r="D171" s="44"/>
      <c r="E171" s="44"/>
      <c r="F171" s="44"/>
      <c r="G171" s="44"/>
      <c r="H171" s="44"/>
      <c r="I171" s="44"/>
      <c r="J171" s="44"/>
      <c r="K171" s="44"/>
    </row>
    <row r="172" spans="1:11">
      <c r="A172" s="74"/>
      <c r="C172" s="75"/>
      <c r="D172" s="44"/>
      <c r="E172" s="44"/>
      <c r="F172" s="44"/>
      <c r="G172" s="44"/>
      <c r="H172" s="44"/>
      <c r="I172" s="44"/>
      <c r="J172" s="44"/>
      <c r="K172" s="44"/>
    </row>
    <row r="173" spans="1:11">
      <c r="A173" s="74"/>
      <c r="C173" s="75"/>
      <c r="D173" s="44"/>
      <c r="E173" s="44"/>
      <c r="F173" s="44"/>
      <c r="G173" s="44"/>
      <c r="H173" s="44"/>
      <c r="I173" s="44"/>
      <c r="J173" s="44"/>
      <c r="K173" s="44"/>
    </row>
    <row r="174" spans="1:11">
      <c r="A174" s="74"/>
      <c r="C174" s="75"/>
      <c r="D174" s="44"/>
      <c r="E174" s="44"/>
      <c r="F174" s="44"/>
      <c r="G174" s="44"/>
      <c r="H174" s="44"/>
      <c r="I174" s="44"/>
      <c r="J174" s="44"/>
      <c r="K174" s="44"/>
    </row>
    <row r="175" spans="1:11">
      <c r="A175" s="74"/>
      <c r="C175" s="75"/>
      <c r="D175" s="44"/>
      <c r="E175" s="44"/>
      <c r="F175" s="44"/>
      <c r="G175" s="44"/>
      <c r="H175" s="44"/>
      <c r="I175" s="44"/>
      <c r="J175" s="44"/>
      <c r="K175" s="44"/>
    </row>
    <row r="176" spans="1:11">
      <c r="A176" s="74"/>
      <c r="C176" s="75"/>
      <c r="D176" s="44"/>
      <c r="E176" s="44"/>
      <c r="F176" s="44"/>
      <c r="G176" s="44"/>
      <c r="H176" s="44"/>
      <c r="I176" s="44"/>
      <c r="J176" s="44"/>
      <c r="K176" s="44"/>
    </row>
    <row r="177" spans="1:11">
      <c r="A177" s="74"/>
      <c r="C177" s="75"/>
      <c r="D177" s="44"/>
      <c r="E177" s="44"/>
      <c r="F177" s="44"/>
      <c r="G177" s="44"/>
      <c r="H177" s="44"/>
      <c r="I177" s="44"/>
      <c r="J177" s="44"/>
      <c r="K177" s="44"/>
    </row>
    <row r="178" spans="1:11">
      <c r="A178" s="74"/>
      <c r="C178" s="75"/>
      <c r="D178" s="44"/>
      <c r="E178" s="44"/>
      <c r="F178" s="44"/>
      <c r="G178" s="44"/>
      <c r="H178" s="44"/>
      <c r="I178" s="44"/>
      <c r="J178" s="44"/>
      <c r="K178" s="44"/>
    </row>
    <row r="179" spans="1:11">
      <c r="A179" s="74"/>
      <c r="C179" s="75"/>
      <c r="D179" s="44"/>
      <c r="E179" s="44"/>
      <c r="F179" s="44"/>
      <c r="G179" s="44"/>
      <c r="H179" s="44"/>
      <c r="I179" s="44"/>
      <c r="J179" s="44"/>
      <c r="K179" s="44"/>
    </row>
    <row r="180" spans="1:11">
      <c r="A180" s="74"/>
      <c r="C180" s="75"/>
      <c r="D180" s="44"/>
      <c r="E180" s="44"/>
      <c r="F180" s="44"/>
      <c r="G180" s="44"/>
      <c r="H180" s="44"/>
      <c r="I180" s="44"/>
      <c r="J180" s="44"/>
      <c r="K180" s="44"/>
    </row>
    <row r="181" spans="1:11">
      <c r="A181" s="74"/>
      <c r="C181" s="75"/>
      <c r="D181" s="44"/>
      <c r="E181" s="44"/>
      <c r="F181" s="44"/>
      <c r="G181" s="44"/>
      <c r="H181" s="44"/>
      <c r="I181" s="44"/>
      <c r="J181" s="44"/>
      <c r="K181" s="44"/>
    </row>
    <row r="182" spans="1:11">
      <c r="A182" s="74"/>
      <c r="C182" s="75"/>
      <c r="D182" s="44"/>
      <c r="E182" s="44"/>
      <c r="F182" s="44"/>
      <c r="G182" s="44"/>
      <c r="H182" s="44"/>
      <c r="I182" s="44"/>
      <c r="J182" s="44"/>
      <c r="K182" s="44"/>
    </row>
    <row r="183" spans="1:11">
      <c r="A183" s="74"/>
      <c r="C183" s="75"/>
      <c r="D183" s="44"/>
      <c r="E183" s="44"/>
      <c r="F183" s="44"/>
      <c r="G183" s="44"/>
      <c r="H183" s="44"/>
      <c r="I183" s="44"/>
      <c r="J183" s="44"/>
      <c r="K183" s="44"/>
    </row>
    <row r="184" spans="1:11">
      <c r="A184" s="74"/>
      <c r="C184" s="75"/>
      <c r="D184" s="44"/>
      <c r="E184" s="44"/>
      <c r="F184" s="44"/>
      <c r="G184" s="44"/>
      <c r="H184" s="44"/>
      <c r="I184" s="44"/>
      <c r="J184" s="44"/>
      <c r="K184" s="44"/>
    </row>
    <row r="185" spans="1:11">
      <c r="A185" s="74"/>
      <c r="C185" s="75"/>
      <c r="D185" s="44"/>
      <c r="E185" s="44"/>
      <c r="F185" s="44"/>
      <c r="G185" s="44"/>
      <c r="H185" s="44"/>
      <c r="I185" s="44"/>
      <c r="J185" s="44"/>
      <c r="K185" s="44"/>
    </row>
    <row r="186" spans="1:11">
      <c r="A186" s="74"/>
      <c r="C186" s="75"/>
      <c r="D186" s="44"/>
      <c r="E186" s="44"/>
      <c r="F186" s="44"/>
      <c r="G186" s="44"/>
      <c r="H186" s="44"/>
      <c r="I186" s="44"/>
      <c r="J186" s="44"/>
      <c r="K186" s="44"/>
    </row>
    <row r="187" spans="1:11">
      <c r="A187" s="74"/>
      <c r="C187" s="75"/>
      <c r="D187" s="44"/>
      <c r="E187" s="44"/>
      <c r="F187" s="44"/>
      <c r="G187" s="44"/>
      <c r="H187" s="44"/>
      <c r="I187" s="44"/>
      <c r="J187" s="44"/>
      <c r="K187" s="44"/>
    </row>
    <row r="188" spans="1:11">
      <c r="A188" s="74"/>
      <c r="C188" s="75"/>
      <c r="D188" s="44"/>
      <c r="E188" s="44"/>
      <c r="F188" s="44"/>
      <c r="G188" s="44"/>
      <c r="H188" s="44"/>
      <c r="I188" s="44"/>
      <c r="J188" s="44"/>
      <c r="K188" s="44"/>
    </row>
    <row r="189" spans="1:11">
      <c r="A189" s="74"/>
      <c r="C189" s="75"/>
      <c r="D189" s="44"/>
      <c r="E189" s="44"/>
      <c r="F189" s="44"/>
      <c r="G189" s="44"/>
      <c r="H189" s="44"/>
      <c r="I189" s="44"/>
      <c r="J189" s="44"/>
      <c r="K189" s="44"/>
    </row>
    <row r="190" spans="1:11">
      <c r="A190" s="74"/>
      <c r="C190" s="75"/>
      <c r="D190" s="44"/>
      <c r="E190" s="44"/>
      <c r="F190" s="44"/>
      <c r="G190" s="44"/>
      <c r="H190" s="44"/>
      <c r="I190" s="44"/>
      <c r="J190" s="44"/>
      <c r="K190" s="44"/>
    </row>
    <row r="191" spans="1:11">
      <c r="A191" s="74"/>
      <c r="C191" s="75"/>
      <c r="D191" s="44"/>
      <c r="E191" s="44"/>
      <c r="F191" s="44"/>
      <c r="G191" s="44"/>
      <c r="H191" s="44"/>
      <c r="I191" s="44"/>
      <c r="J191" s="44"/>
      <c r="K191" s="44"/>
    </row>
    <row r="192" spans="1:11">
      <c r="A192" s="74"/>
      <c r="C192" s="75"/>
      <c r="D192" s="44"/>
      <c r="E192" s="44"/>
      <c r="F192" s="44"/>
      <c r="G192" s="44"/>
      <c r="H192" s="44"/>
      <c r="I192" s="44"/>
      <c r="J192" s="44"/>
      <c r="K192" s="44"/>
    </row>
    <row r="193" spans="1:11">
      <c r="A193" s="74"/>
      <c r="C193" s="75"/>
      <c r="D193" s="44"/>
      <c r="E193" s="44"/>
      <c r="F193" s="44"/>
      <c r="G193" s="44"/>
      <c r="H193" s="44"/>
      <c r="I193" s="44"/>
      <c r="J193" s="44"/>
      <c r="K193" s="44"/>
    </row>
    <row r="194" spans="1:11">
      <c r="A194" s="74"/>
      <c r="C194" s="75"/>
      <c r="D194" s="44"/>
      <c r="E194" s="44"/>
      <c r="F194" s="44"/>
      <c r="G194" s="44"/>
      <c r="H194" s="44"/>
      <c r="I194" s="44"/>
      <c r="J194" s="44"/>
      <c r="K194" s="44"/>
    </row>
    <row r="195" spans="1:11">
      <c r="A195" s="74"/>
      <c r="C195" s="75"/>
      <c r="D195" s="44"/>
      <c r="E195" s="44"/>
      <c r="F195" s="44"/>
      <c r="G195" s="44"/>
      <c r="H195" s="44"/>
      <c r="I195" s="44"/>
      <c r="J195" s="44"/>
      <c r="K195" s="44"/>
    </row>
    <row r="196" spans="1:11">
      <c r="A196" s="74"/>
      <c r="C196" s="75"/>
      <c r="D196" s="44"/>
      <c r="E196" s="44"/>
      <c r="F196" s="44"/>
      <c r="G196" s="44"/>
      <c r="H196" s="44"/>
      <c r="I196" s="44"/>
      <c r="J196" s="44"/>
      <c r="K196" s="44"/>
    </row>
    <row r="197" spans="1:11">
      <c r="A197" s="74"/>
      <c r="C197" s="75"/>
      <c r="D197" s="44"/>
      <c r="E197" s="44"/>
      <c r="F197" s="44"/>
      <c r="G197" s="44"/>
      <c r="H197" s="44"/>
      <c r="I197" s="44"/>
      <c r="J197" s="44"/>
      <c r="K197" s="44"/>
    </row>
    <row r="198" spans="1:11">
      <c r="A198" s="74"/>
      <c r="C198" s="75"/>
      <c r="D198" s="44"/>
      <c r="E198" s="44"/>
      <c r="F198" s="44"/>
      <c r="G198" s="44"/>
      <c r="H198" s="44"/>
      <c r="I198" s="44"/>
      <c r="J198" s="44"/>
      <c r="K198" s="44"/>
    </row>
    <row r="199" spans="1:11">
      <c r="A199" s="74"/>
      <c r="C199" s="75"/>
      <c r="D199" s="44"/>
      <c r="E199" s="44"/>
      <c r="F199" s="44"/>
      <c r="G199" s="44"/>
      <c r="H199" s="44"/>
      <c r="I199" s="44"/>
      <c r="J199" s="44"/>
      <c r="K199" s="44"/>
    </row>
    <row r="200" spans="1:11">
      <c r="A200" s="74"/>
      <c r="C200" s="75"/>
      <c r="D200" s="44"/>
      <c r="E200" s="44"/>
      <c r="F200" s="44"/>
      <c r="G200" s="44"/>
      <c r="H200" s="44"/>
      <c r="I200" s="44"/>
      <c r="J200" s="44"/>
      <c r="K200" s="44"/>
    </row>
    <row r="201" spans="1:11">
      <c r="A201" s="74"/>
      <c r="C201" s="75"/>
      <c r="D201" s="44"/>
      <c r="E201" s="44"/>
      <c r="F201" s="44"/>
      <c r="G201" s="44"/>
      <c r="H201" s="44"/>
      <c r="I201" s="44"/>
      <c r="J201" s="44"/>
      <c r="K201" s="44"/>
    </row>
    <row r="202" spans="1:11">
      <c r="A202" s="74"/>
      <c r="C202" s="75"/>
      <c r="D202" s="44"/>
      <c r="E202" s="44"/>
      <c r="F202" s="44"/>
      <c r="G202" s="44"/>
      <c r="H202" s="44"/>
      <c r="I202" s="44"/>
      <c r="J202" s="44"/>
      <c r="K202" s="44"/>
    </row>
    <row r="203" spans="1:11">
      <c r="A203" s="74"/>
      <c r="C203" s="75"/>
      <c r="D203" s="44"/>
      <c r="E203" s="44"/>
      <c r="F203" s="44"/>
      <c r="G203" s="44"/>
      <c r="H203" s="44"/>
      <c r="I203" s="44"/>
      <c r="J203" s="44"/>
      <c r="K203" s="44"/>
    </row>
    <row r="204" spans="1:11">
      <c r="A204" s="74"/>
      <c r="C204" s="75"/>
      <c r="D204" s="44"/>
      <c r="E204" s="44"/>
      <c r="F204" s="44"/>
      <c r="G204" s="44"/>
      <c r="H204" s="44"/>
      <c r="I204" s="44"/>
      <c r="J204" s="44"/>
      <c r="K204" s="44"/>
    </row>
    <row r="205" spans="1:11">
      <c r="A205" s="74"/>
      <c r="C205" s="75"/>
      <c r="D205" s="44"/>
      <c r="E205" s="44"/>
      <c r="F205" s="44"/>
      <c r="G205" s="44"/>
      <c r="H205" s="44"/>
      <c r="I205" s="44"/>
      <c r="J205" s="44"/>
      <c r="K205" s="44"/>
    </row>
    <row r="206" spans="1:11">
      <c r="A206" s="74"/>
      <c r="C206" s="75"/>
      <c r="D206" s="44"/>
      <c r="E206" s="44"/>
      <c r="F206" s="44"/>
      <c r="G206" s="44"/>
      <c r="H206" s="44"/>
      <c r="I206" s="44"/>
      <c r="J206" s="44"/>
      <c r="K206" s="44"/>
    </row>
    <row r="207" spans="1:11">
      <c r="A207" s="74"/>
      <c r="C207" s="75"/>
      <c r="D207" s="44"/>
      <c r="E207" s="44"/>
      <c r="F207" s="44"/>
      <c r="G207" s="44"/>
      <c r="H207" s="44"/>
      <c r="I207" s="44"/>
      <c r="J207" s="44"/>
      <c r="K207" s="44"/>
    </row>
    <row r="208" spans="1:11">
      <c r="A208" s="74"/>
      <c r="C208" s="75"/>
      <c r="D208" s="44"/>
      <c r="E208" s="44"/>
      <c r="F208" s="44"/>
      <c r="G208" s="44"/>
      <c r="H208" s="44"/>
      <c r="I208" s="44"/>
      <c r="J208" s="44"/>
      <c r="K208" s="44"/>
    </row>
    <row r="209" spans="1:11">
      <c r="A209" s="74"/>
      <c r="C209" s="75"/>
      <c r="D209" s="44"/>
      <c r="E209" s="44"/>
      <c r="F209" s="44"/>
      <c r="G209" s="44"/>
      <c r="H209" s="44"/>
      <c r="I209" s="44"/>
      <c r="J209" s="44"/>
      <c r="K209" s="44"/>
    </row>
    <row r="210" spans="1:11">
      <c r="A210" s="74"/>
      <c r="C210" s="75"/>
      <c r="D210" s="44"/>
      <c r="E210" s="44"/>
      <c r="F210" s="44"/>
      <c r="G210" s="44"/>
      <c r="H210" s="44"/>
      <c r="I210" s="44"/>
      <c r="J210" s="44"/>
      <c r="K210" s="44"/>
    </row>
    <row r="211" spans="1:11">
      <c r="A211" s="74"/>
      <c r="C211" s="75"/>
      <c r="D211" s="44"/>
      <c r="E211" s="44"/>
      <c r="F211" s="44"/>
      <c r="G211" s="44"/>
      <c r="H211" s="44"/>
      <c r="I211" s="44"/>
      <c r="J211" s="44"/>
      <c r="K211" s="44"/>
    </row>
    <row r="212" spans="1:11">
      <c r="A212" s="74"/>
      <c r="C212" s="75"/>
      <c r="D212" s="44"/>
      <c r="E212" s="44"/>
      <c r="F212" s="44"/>
      <c r="G212" s="44"/>
      <c r="H212" s="44"/>
      <c r="I212" s="44"/>
      <c r="J212" s="44"/>
      <c r="K212" s="44"/>
    </row>
    <row r="213" spans="1:11">
      <c r="A213" s="74"/>
      <c r="C213" s="75"/>
      <c r="D213" s="44"/>
      <c r="E213" s="44"/>
      <c r="F213" s="44"/>
      <c r="G213" s="44"/>
      <c r="H213" s="44"/>
      <c r="I213" s="44"/>
      <c r="J213" s="44"/>
      <c r="K213" s="44"/>
    </row>
    <row r="214" spans="1:11">
      <c r="A214" s="74"/>
      <c r="C214" s="75"/>
      <c r="D214" s="44"/>
      <c r="E214" s="44"/>
      <c r="F214" s="44"/>
      <c r="G214" s="44"/>
      <c r="H214" s="44"/>
      <c r="I214" s="44"/>
      <c r="J214" s="44"/>
      <c r="K214" s="44"/>
    </row>
    <row r="215" spans="1:11">
      <c r="A215" s="74"/>
      <c r="C215" s="75"/>
      <c r="D215" s="44"/>
      <c r="E215" s="44"/>
      <c r="F215" s="44"/>
      <c r="G215" s="44"/>
      <c r="H215" s="44"/>
      <c r="I215" s="44"/>
      <c r="J215" s="44"/>
      <c r="K215" s="44"/>
    </row>
    <row r="216" spans="1:11">
      <c r="A216" s="74"/>
      <c r="C216" s="75"/>
      <c r="D216" s="44"/>
      <c r="E216" s="44"/>
      <c r="F216" s="44"/>
      <c r="G216" s="44"/>
      <c r="H216" s="44"/>
      <c r="I216" s="44"/>
      <c r="J216" s="44"/>
      <c r="K216" s="44"/>
    </row>
    <row r="217" spans="1:11">
      <c r="A217" s="74"/>
      <c r="C217" s="75"/>
      <c r="D217" s="44"/>
      <c r="E217" s="44"/>
      <c r="F217" s="44"/>
      <c r="G217" s="44"/>
      <c r="H217" s="44"/>
      <c r="I217" s="44"/>
      <c r="J217" s="44"/>
      <c r="K217" s="44"/>
    </row>
    <row r="218" spans="1:11">
      <c r="A218" s="74"/>
      <c r="C218" s="75"/>
      <c r="D218" s="44"/>
      <c r="E218" s="44"/>
      <c r="F218" s="44"/>
      <c r="G218" s="44"/>
      <c r="H218" s="44"/>
      <c r="I218" s="44"/>
      <c r="J218" s="44"/>
      <c r="K218" s="44"/>
    </row>
    <row r="219" spans="1:11">
      <c r="A219" s="74"/>
      <c r="C219" s="75"/>
      <c r="D219" s="44"/>
      <c r="E219" s="44"/>
      <c r="F219" s="44"/>
      <c r="G219" s="44"/>
      <c r="H219" s="44"/>
      <c r="I219" s="44"/>
      <c r="J219" s="44"/>
      <c r="K219" s="44"/>
    </row>
    <row r="220" spans="1:11">
      <c r="A220" s="74"/>
      <c r="C220" s="75"/>
      <c r="D220" s="44"/>
      <c r="E220" s="44"/>
      <c r="F220" s="44"/>
      <c r="G220" s="44"/>
      <c r="H220" s="44"/>
      <c r="I220" s="44"/>
      <c r="J220" s="44"/>
      <c r="K220" s="44"/>
    </row>
    <row r="221" spans="1:11">
      <c r="A221" s="74"/>
      <c r="C221" s="75"/>
      <c r="D221" s="44"/>
      <c r="E221" s="44"/>
      <c r="F221" s="44"/>
      <c r="G221" s="44"/>
      <c r="H221" s="44"/>
      <c r="I221" s="44"/>
      <c r="J221" s="44"/>
      <c r="K221" s="44"/>
    </row>
    <row r="222" spans="1:11">
      <c r="A222" s="74"/>
      <c r="C222" s="75"/>
      <c r="D222" s="44"/>
      <c r="E222" s="44"/>
      <c r="F222" s="44"/>
      <c r="G222" s="44"/>
      <c r="H222" s="44"/>
      <c r="I222" s="44"/>
      <c r="J222" s="44"/>
      <c r="K222" s="44"/>
    </row>
    <row r="223" spans="1:11">
      <c r="A223" s="74"/>
      <c r="C223" s="75"/>
      <c r="D223" s="44"/>
      <c r="E223" s="44"/>
      <c r="F223" s="44"/>
      <c r="G223" s="44"/>
      <c r="H223" s="44"/>
      <c r="I223" s="44"/>
      <c r="J223" s="44"/>
      <c r="K223" s="44"/>
    </row>
    <row r="224" spans="1:11">
      <c r="A224" s="74"/>
      <c r="C224" s="75"/>
      <c r="D224" s="44"/>
      <c r="E224" s="44"/>
      <c r="F224" s="44"/>
      <c r="G224" s="44"/>
      <c r="H224" s="44"/>
      <c r="I224" s="44"/>
      <c r="J224" s="44"/>
      <c r="K224" s="44"/>
    </row>
    <row r="225" spans="1:11">
      <c r="A225" s="74"/>
      <c r="C225" s="75"/>
      <c r="D225" s="44"/>
      <c r="E225" s="44"/>
      <c r="F225" s="44"/>
      <c r="G225" s="44"/>
      <c r="H225" s="44"/>
      <c r="I225" s="44"/>
      <c r="J225" s="44"/>
      <c r="K225" s="44"/>
    </row>
    <row r="226" spans="1:11">
      <c r="A226" s="74"/>
      <c r="C226" s="75"/>
      <c r="D226" s="44"/>
      <c r="E226" s="44"/>
      <c r="F226" s="44"/>
      <c r="G226" s="44"/>
      <c r="H226" s="44"/>
      <c r="I226" s="44"/>
      <c r="J226" s="44"/>
      <c r="K226" s="44"/>
    </row>
    <row r="227" spans="1:11">
      <c r="A227" s="74"/>
      <c r="C227" s="75"/>
      <c r="D227" s="44"/>
      <c r="E227" s="44"/>
      <c r="F227" s="44"/>
      <c r="G227" s="44"/>
      <c r="H227" s="44"/>
      <c r="I227" s="44"/>
      <c r="J227" s="44"/>
      <c r="K227" s="44"/>
    </row>
    <row r="228" spans="1:11">
      <c r="A228" s="74"/>
      <c r="C228" s="75"/>
      <c r="D228" s="44"/>
      <c r="E228" s="44"/>
      <c r="F228" s="44"/>
      <c r="G228" s="44"/>
      <c r="H228" s="44"/>
      <c r="I228" s="44"/>
      <c r="J228" s="44"/>
      <c r="K228" s="44"/>
    </row>
    <row r="229" spans="1:11">
      <c r="A229" s="74"/>
      <c r="C229" s="75"/>
      <c r="D229" s="44"/>
      <c r="E229" s="44"/>
      <c r="F229" s="44"/>
      <c r="G229" s="44"/>
      <c r="H229" s="44"/>
      <c r="I229" s="44"/>
      <c r="J229" s="44"/>
      <c r="K229" s="44"/>
    </row>
    <row r="230" spans="1:11">
      <c r="A230" s="74"/>
      <c r="C230" s="75"/>
      <c r="D230" s="44"/>
      <c r="E230" s="44"/>
      <c r="F230" s="44"/>
      <c r="G230" s="44"/>
      <c r="H230" s="44"/>
      <c r="I230" s="44"/>
      <c r="J230" s="44"/>
      <c r="K230" s="44"/>
    </row>
    <row r="231" spans="1:11">
      <c r="A231" s="74"/>
      <c r="C231" s="75"/>
      <c r="D231" s="44"/>
      <c r="E231" s="44"/>
      <c r="F231" s="44"/>
      <c r="G231" s="44"/>
      <c r="H231" s="44"/>
      <c r="I231" s="44"/>
      <c r="J231" s="44"/>
      <c r="K231" s="44"/>
    </row>
    <row r="232" spans="1:11">
      <c r="A232" s="74"/>
      <c r="C232" s="75"/>
      <c r="D232" s="44"/>
      <c r="E232" s="44"/>
      <c r="F232" s="44"/>
      <c r="G232" s="44"/>
      <c r="H232" s="44"/>
      <c r="I232" s="44"/>
      <c r="J232" s="44"/>
      <c r="K232" s="44"/>
    </row>
    <row r="233" spans="1:11">
      <c r="A233" s="74"/>
      <c r="C233" s="75"/>
      <c r="D233" s="44"/>
      <c r="E233" s="44"/>
      <c r="F233" s="44"/>
      <c r="G233" s="44"/>
      <c r="H233" s="44"/>
      <c r="I233" s="44"/>
      <c r="J233" s="44"/>
      <c r="K233" s="44"/>
    </row>
    <row r="234" spans="1:11">
      <c r="A234" s="74"/>
      <c r="C234" s="75"/>
      <c r="D234" s="44"/>
      <c r="E234" s="44"/>
      <c r="F234" s="44"/>
      <c r="G234" s="44"/>
      <c r="H234" s="44"/>
      <c r="I234" s="44"/>
      <c r="J234" s="44"/>
      <c r="K234" s="44"/>
    </row>
    <row r="235" spans="1:11">
      <c r="A235" s="74"/>
      <c r="C235" s="75"/>
      <c r="D235" s="44"/>
      <c r="E235" s="44"/>
      <c r="F235" s="44"/>
      <c r="G235" s="44"/>
      <c r="H235" s="44"/>
      <c r="I235" s="44"/>
      <c r="J235" s="44"/>
      <c r="K235" s="44"/>
    </row>
    <row r="236" spans="1:11">
      <c r="A236" s="74"/>
      <c r="C236" s="75"/>
      <c r="D236" s="44"/>
      <c r="E236" s="44"/>
      <c r="F236" s="44"/>
      <c r="G236" s="44"/>
      <c r="H236" s="44"/>
      <c r="I236" s="44"/>
      <c r="J236" s="44"/>
      <c r="K236" s="44"/>
    </row>
    <row r="237" spans="1:11">
      <c r="A237" s="74"/>
      <c r="C237" s="75"/>
      <c r="D237" s="44"/>
      <c r="E237" s="44"/>
      <c r="F237" s="44"/>
      <c r="G237" s="44"/>
      <c r="H237" s="44"/>
      <c r="I237" s="44"/>
      <c r="J237" s="44"/>
      <c r="K237" s="44"/>
    </row>
    <row r="238" spans="1:11">
      <c r="A238" s="74"/>
      <c r="C238" s="75"/>
      <c r="D238" s="44"/>
      <c r="E238" s="44"/>
      <c r="F238" s="44"/>
      <c r="G238" s="44"/>
      <c r="H238" s="44"/>
      <c r="I238" s="44"/>
      <c r="J238" s="44"/>
      <c r="K238" s="44"/>
    </row>
    <row r="239" spans="1:11">
      <c r="A239" s="74"/>
      <c r="C239" s="75"/>
      <c r="D239" s="44"/>
      <c r="E239" s="44"/>
      <c r="F239" s="44"/>
      <c r="G239" s="44"/>
      <c r="H239" s="44"/>
      <c r="I239" s="44"/>
      <c r="J239" s="44"/>
      <c r="K239" s="44"/>
    </row>
    <row r="240" spans="1:11">
      <c r="A240" s="74"/>
      <c r="C240" s="75"/>
      <c r="D240" s="44"/>
      <c r="E240" s="44"/>
      <c r="F240" s="44"/>
      <c r="G240" s="44"/>
      <c r="H240" s="44"/>
      <c r="I240" s="44"/>
      <c r="J240" s="44"/>
      <c r="K240" s="44"/>
    </row>
    <row r="241" spans="1:11">
      <c r="A241" s="74"/>
      <c r="C241" s="75"/>
      <c r="D241" s="44"/>
      <c r="E241" s="44"/>
      <c r="F241" s="44"/>
      <c r="G241" s="44"/>
      <c r="H241" s="44"/>
      <c r="I241" s="44"/>
      <c r="J241" s="44"/>
      <c r="K241" s="44"/>
    </row>
    <row r="242" spans="1:11">
      <c r="A242" s="74"/>
      <c r="C242" s="75"/>
      <c r="D242" s="44"/>
      <c r="E242" s="44"/>
      <c r="F242" s="44"/>
      <c r="G242" s="44"/>
      <c r="H242" s="44"/>
      <c r="I242" s="44"/>
      <c r="J242" s="44"/>
      <c r="K242" s="44"/>
    </row>
    <row r="243" spans="1:11">
      <c r="A243" s="74"/>
      <c r="C243" s="75"/>
      <c r="D243" s="44"/>
      <c r="E243" s="44"/>
      <c r="F243" s="44"/>
      <c r="G243" s="44"/>
      <c r="H243" s="44"/>
      <c r="I243" s="44"/>
      <c r="J243" s="44"/>
      <c r="K243" s="44"/>
    </row>
    <row r="244" spans="1:11">
      <c r="A244" s="74"/>
      <c r="C244" s="75"/>
      <c r="D244" s="44"/>
      <c r="E244" s="44"/>
      <c r="F244" s="44"/>
      <c r="G244" s="44"/>
      <c r="H244" s="44"/>
      <c r="I244" s="44"/>
      <c r="J244" s="44"/>
      <c r="K244" s="44"/>
    </row>
    <row r="245" spans="1:11">
      <c r="A245" s="74"/>
      <c r="C245" s="75"/>
      <c r="D245" s="44"/>
      <c r="E245" s="44"/>
      <c r="F245" s="44"/>
      <c r="G245" s="44"/>
      <c r="H245" s="44"/>
      <c r="I245" s="44"/>
      <c r="J245" s="44"/>
      <c r="K245" s="44"/>
    </row>
    <row r="246" spans="1:11">
      <c r="A246" s="74"/>
      <c r="C246" s="75"/>
      <c r="D246" s="44"/>
      <c r="E246" s="44"/>
      <c r="F246" s="44"/>
      <c r="G246" s="44"/>
      <c r="H246" s="44"/>
      <c r="I246" s="44"/>
      <c r="J246" s="44"/>
      <c r="K246" s="44"/>
    </row>
    <row r="247" spans="1:11">
      <c r="A247" s="74"/>
      <c r="C247" s="75"/>
      <c r="D247" s="44"/>
      <c r="E247" s="44"/>
      <c r="F247" s="44"/>
      <c r="G247" s="44"/>
      <c r="H247" s="44"/>
      <c r="I247" s="44"/>
      <c r="J247" s="44"/>
      <c r="K247" s="44"/>
    </row>
    <row r="248" spans="1:11">
      <c r="A248" s="74"/>
      <c r="C248" s="75"/>
      <c r="D248" s="44"/>
      <c r="E248" s="44"/>
      <c r="F248" s="44"/>
      <c r="G248" s="44"/>
      <c r="H248" s="44"/>
      <c r="I248" s="44"/>
      <c r="J248" s="44"/>
      <c r="K248" s="44"/>
    </row>
    <row r="249" spans="1:11">
      <c r="A249" s="74"/>
      <c r="C249" s="75"/>
      <c r="D249" s="44"/>
      <c r="E249" s="44"/>
      <c r="F249" s="44"/>
      <c r="G249" s="44"/>
      <c r="H249" s="44"/>
      <c r="I249" s="44"/>
      <c r="J249" s="44"/>
      <c r="K249" s="44"/>
    </row>
    <row r="250" spans="1:11">
      <c r="A250" s="74"/>
      <c r="C250" s="75"/>
      <c r="D250" s="44"/>
      <c r="E250" s="44"/>
      <c r="F250" s="44"/>
      <c r="G250" s="44"/>
      <c r="H250" s="44"/>
      <c r="I250" s="44"/>
      <c r="J250" s="44"/>
      <c r="K250" s="44"/>
    </row>
    <row r="251" spans="1:11">
      <c r="A251" s="74"/>
      <c r="C251" s="75"/>
      <c r="D251" s="44"/>
      <c r="E251" s="44"/>
      <c r="F251" s="44"/>
      <c r="G251" s="44"/>
      <c r="H251" s="44"/>
      <c r="I251" s="44"/>
      <c r="J251" s="44"/>
      <c r="K251" s="44"/>
    </row>
    <row r="252" spans="1:11">
      <c r="A252" s="74"/>
      <c r="C252" s="75"/>
      <c r="D252" s="44"/>
      <c r="E252" s="44"/>
      <c r="F252" s="44"/>
      <c r="G252" s="44"/>
      <c r="H252" s="44"/>
      <c r="I252" s="44"/>
      <c r="J252" s="44"/>
      <c r="K252" s="44"/>
    </row>
    <row r="253" spans="1:11">
      <c r="A253" s="74"/>
      <c r="C253" s="75"/>
      <c r="D253" s="44"/>
      <c r="E253" s="44"/>
      <c r="F253" s="44"/>
      <c r="G253" s="44"/>
      <c r="H253" s="44"/>
      <c r="I253" s="44"/>
      <c r="J253" s="44"/>
      <c r="K253" s="44"/>
    </row>
    <row r="254" spans="1:11">
      <c r="A254" s="74"/>
      <c r="C254" s="75"/>
      <c r="D254" s="44"/>
      <c r="E254" s="44"/>
      <c r="F254" s="44"/>
      <c r="G254" s="44"/>
      <c r="H254" s="44"/>
      <c r="I254" s="44"/>
      <c r="J254" s="44"/>
      <c r="K254" s="44"/>
    </row>
    <row r="255" spans="1:11">
      <c r="A255" s="74"/>
      <c r="C255" s="75"/>
      <c r="D255" s="44"/>
      <c r="E255" s="44"/>
      <c r="F255" s="44"/>
      <c r="G255" s="44"/>
      <c r="H255" s="44"/>
      <c r="I255" s="44"/>
      <c r="J255" s="44"/>
      <c r="K255" s="44"/>
    </row>
    <row r="256" spans="1:11">
      <c r="A256" s="74"/>
      <c r="C256" s="75"/>
      <c r="D256" s="44"/>
      <c r="E256" s="44"/>
      <c r="F256" s="44"/>
      <c r="G256" s="44"/>
      <c r="H256" s="44"/>
      <c r="I256" s="44"/>
      <c r="J256" s="44"/>
      <c r="K256" s="44"/>
    </row>
    <row r="257" spans="1:11">
      <c r="A257" s="74"/>
      <c r="C257" s="75"/>
      <c r="D257" s="44"/>
      <c r="E257" s="44"/>
      <c r="F257" s="44"/>
      <c r="G257" s="44"/>
      <c r="H257" s="44"/>
      <c r="I257" s="44"/>
      <c r="J257" s="44"/>
      <c r="K257" s="44"/>
    </row>
    <row r="258" spans="1:11">
      <c r="A258" s="74"/>
      <c r="C258" s="75"/>
      <c r="D258" s="44"/>
      <c r="E258" s="44"/>
      <c r="F258" s="44"/>
      <c r="G258" s="44"/>
      <c r="H258" s="44"/>
      <c r="I258" s="44"/>
      <c r="J258" s="44"/>
      <c r="K258" s="44"/>
    </row>
    <row r="259" spans="1:11">
      <c r="A259" s="74"/>
      <c r="C259" s="75"/>
      <c r="D259" s="44"/>
      <c r="E259" s="44"/>
      <c r="F259" s="44"/>
      <c r="G259" s="44"/>
      <c r="H259" s="44"/>
      <c r="I259" s="44"/>
      <c r="J259" s="44"/>
      <c r="K259" s="44"/>
    </row>
    <row r="260" spans="1:11">
      <c r="A260" s="74"/>
      <c r="C260" s="75"/>
      <c r="D260" s="44"/>
      <c r="E260" s="44"/>
      <c r="F260" s="44"/>
      <c r="G260" s="44"/>
      <c r="H260" s="44"/>
      <c r="I260" s="44"/>
      <c r="J260" s="44"/>
      <c r="K260" s="44"/>
    </row>
    <row r="261" spans="1:11">
      <c r="A261" s="74"/>
      <c r="C261" s="75"/>
      <c r="D261" s="44"/>
      <c r="E261" s="44"/>
      <c r="F261" s="44"/>
      <c r="G261" s="44"/>
      <c r="H261" s="44"/>
      <c r="I261" s="44"/>
      <c r="J261" s="44"/>
      <c r="K261" s="44"/>
    </row>
    <row r="262" spans="1:11">
      <c r="A262" s="74"/>
      <c r="C262" s="75"/>
      <c r="D262" s="44"/>
      <c r="E262" s="44"/>
      <c r="F262" s="44"/>
      <c r="G262" s="44"/>
      <c r="H262" s="44"/>
      <c r="I262" s="44"/>
      <c r="J262" s="44"/>
      <c r="K262" s="44"/>
    </row>
    <row r="263" spans="1:11">
      <c r="A263" s="74"/>
      <c r="C263" s="75"/>
      <c r="D263" s="44"/>
      <c r="E263" s="44"/>
      <c r="F263" s="44"/>
      <c r="G263" s="44"/>
      <c r="H263" s="44"/>
      <c r="I263" s="44"/>
      <c r="J263" s="44"/>
      <c r="K263" s="44"/>
    </row>
    <row r="264" spans="1:11">
      <c r="A264" s="74"/>
      <c r="C264" s="75"/>
      <c r="D264" s="44"/>
      <c r="E264" s="44"/>
      <c r="F264" s="44"/>
      <c r="G264" s="44"/>
      <c r="H264" s="44"/>
      <c r="I264" s="44"/>
      <c r="J264" s="44"/>
      <c r="K264" s="44"/>
    </row>
    <row r="265" spans="1:11">
      <c r="A265" s="74"/>
      <c r="C265" s="75"/>
      <c r="D265" s="44"/>
      <c r="E265" s="44"/>
      <c r="F265" s="44"/>
      <c r="G265" s="44"/>
      <c r="H265" s="44"/>
      <c r="I265" s="44"/>
      <c r="J265" s="44"/>
      <c r="K265" s="44"/>
    </row>
    <row r="266" spans="1:11">
      <c r="A266" s="74"/>
      <c r="C266" s="75"/>
      <c r="D266" s="44"/>
      <c r="E266" s="44"/>
      <c r="F266" s="44"/>
      <c r="G266" s="44"/>
      <c r="H266" s="44"/>
      <c r="I266" s="44"/>
      <c r="J266" s="44"/>
      <c r="K266" s="44"/>
    </row>
    <row r="267" spans="1:11">
      <c r="A267" s="74"/>
      <c r="C267" s="75"/>
      <c r="D267" s="44"/>
      <c r="E267" s="44"/>
      <c r="F267" s="44"/>
      <c r="G267" s="44"/>
      <c r="H267" s="44"/>
      <c r="I267" s="44"/>
      <c r="J267" s="44"/>
      <c r="K267" s="44"/>
    </row>
    <row r="268" spans="1:11">
      <c r="A268" s="74"/>
      <c r="C268" s="75"/>
      <c r="D268" s="44"/>
      <c r="E268" s="44"/>
      <c r="F268" s="44"/>
      <c r="G268" s="44"/>
      <c r="H268" s="44"/>
      <c r="I268" s="44"/>
      <c r="J268" s="44"/>
      <c r="K268" s="44"/>
    </row>
    <row r="269" spans="1:11">
      <c r="A269" s="74"/>
      <c r="C269" s="75"/>
      <c r="D269" s="44"/>
      <c r="E269" s="44"/>
      <c r="F269" s="44"/>
      <c r="G269" s="44"/>
      <c r="H269" s="44"/>
      <c r="I269" s="44"/>
      <c r="J269" s="44"/>
      <c r="K269" s="44"/>
    </row>
    <row r="270" spans="1:11">
      <c r="A270" s="74"/>
      <c r="C270" s="75"/>
      <c r="D270" s="44"/>
      <c r="E270" s="44"/>
      <c r="F270" s="44"/>
      <c r="G270" s="44"/>
      <c r="H270" s="44"/>
      <c r="I270" s="44"/>
      <c r="J270" s="44"/>
      <c r="K270" s="44"/>
    </row>
    <row r="271" spans="1:11">
      <c r="A271" s="74"/>
      <c r="C271" s="75"/>
      <c r="D271" s="44"/>
      <c r="E271" s="44"/>
      <c r="F271" s="44"/>
      <c r="G271" s="44"/>
      <c r="H271" s="44"/>
      <c r="I271" s="44"/>
      <c r="J271" s="44"/>
      <c r="K271" s="44"/>
    </row>
    <row r="272" spans="1:11">
      <c r="A272" s="74"/>
      <c r="C272" s="75"/>
      <c r="D272" s="44"/>
      <c r="E272" s="44"/>
      <c r="F272" s="44"/>
      <c r="G272" s="44"/>
      <c r="H272" s="44"/>
      <c r="I272" s="44"/>
      <c r="J272" s="44"/>
      <c r="K272" s="44"/>
    </row>
    <row r="273" spans="1:11">
      <c r="A273" s="74"/>
      <c r="C273" s="75"/>
      <c r="D273" s="44"/>
      <c r="E273" s="44"/>
      <c r="F273" s="44"/>
      <c r="G273" s="44"/>
      <c r="H273" s="44"/>
      <c r="I273" s="44"/>
      <c r="J273" s="44"/>
      <c r="K273" s="44"/>
    </row>
    <row r="274" spans="1:11">
      <c r="A274" s="74"/>
      <c r="C274" s="75"/>
      <c r="D274" s="44"/>
      <c r="E274" s="44"/>
      <c r="F274" s="44"/>
      <c r="G274" s="44"/>
      <c r="H274" s="44"/>
      <c r="I274" s="44"/>
      <c r="J274" s="44"/>
      <c r="K274" s="44"/>
    </row>
    <row r="275" spans="1:11">
      <c r="A275" s="74"/>
      <c r="C275" s="75"/>
      <c r="D275" s="44"/>
      <c r="E275" s="44"/>
      <c r="F275" s="44"/>
      <c r="G275" s="44"/>
      <c r="H275" s="44"/>
      <c r="I275" s="44"/>
      <c r="J275" s="44"/>
      <c r="K275" s="44"/>
    </row>
    <row r="276" spans="1:11">
      <c r="A276" s="74"/>
      <c r="C276" s="75"/>
      <c r="D276" s="44"/>
      <c r="E276" s="44"/>
      <c r="F276" s="44"/>
      <c r="G276" s="44"/>
      <c r="H276" s="44"/>
      <c r="I276" s="44"/>
      <c r="J276" s="44"/>
      <c r="K276" s="44"/>
    </row>
    <row r="277" spans="1:11">
      <c r="A277" s="74"/>
      <c r="C277" s="75"/>
      <c r="D277" s="44"/>
      <c r="E277" s="44"/>
      <c r="F277" s="44"/>
      <c r="G277" s="44"/>
      <c r="H277" s="44"/>
      <c r="I277" s="44"/>
      <c r="J277" s="44"/>
      <c r="K277" s="44"/>
    </row>
    <row r="278" spans="1:11">
      <c r="A278" s="74"/>
      <c r="C278" s="75"/>
      <c r="D278" s="44"/>
      <c r="E278" s="44"/>
      <c r="F278" s="44"/>
      <c r="G278" s="44"/>
      <c r="H278" s="44"/>
      <c r="I278" s="44"/>
      <c r="J278" s="44"/>
      <c r="K278" s="44"/>
    </row>
    <row r="279" spans="1:11">
      <c r="A279" s="74"/>
      <c r="C279" s="75"/>
      <c r="D279" s="44"/>
      <c r="E279" s="44"/>
      <c r="F279" s="44"/>
      <c r="G279" s="44"/>
      <c r="H279" s="44"/>
      <c r="I279" s="44"/>
      <c r="J279" s="44"/>
      <c r="K279" s="44"/>
    </row>
    <row r="280" spans="1:11">
      <c r="A280" s="74"/>
      <c r="C280" s="75"/>
      <c r="D280" s="44"/>
      <c r="E280" s="44"/>
      <c r="F280" s="44"/>
      <c r="G280" s="44"/>
      <c r="H280" s="44"/>
      <c r="I280" s="44"/>
      <c r="J280" s="44"/>
      <c r="K280" s="44"/>
    </row>
    <row r="281" spans="1:11">
      <c r="A281" s="74"/>
      <c r="C281" s="75"/>
      <c r="D281" s="44"/>
      <c r="E281" s="44"/>
      <c r="F281" s="44"/>
      <c r="G281" s="44"/>
      <c r="H281" s="44"/>
      <c r="I281" s="44"/>
      <c r="J281" s="44"/>
      <c r="K281" s="44"/>
    </row>
    <row r="282" spans="1:11">
      <c r="A282" s="74"/>
      <c r="C282" s="75"/>
      <c r="D282" s="44"/>
      <c r="E282" s="44"/>
      <c r="F282" s="44"/>
      <c r="G282" s="44"/>
      <c r="H282" s="44"/>
      <c r="I282" s="44"/>
      <c r="J282" s="44"/>
      <c r="K282" s="44"/>
    </row>
    <row r="283" spans="1:11">
      <c r="A283" s="74"/>
      <c r="C283" s="75"/>
      <c r="D283" s="44"/>
      <c r="E283" s="44"/>
      <c r="F283" s="44"/>
      <c r="G283" s="44"/>
      <c r="H283" s="44"/>
      <c r="I283" s="44"/>
      <c r="J283" s="44"/>
      <c r="K283" s="44"/>
    </row>
    <row r="284" spans="1:11">
      <c r="A284" s="74"/>
      <c r="C284" s="75"/>
      <c r="D284" s="44"/>
      <c r="E284" s="44"/>
      <c r="F284" s="44"/>
      <c r="G284" s="44"/>
      <c r="H284" s="44"/>
      <c r="I284" s="44"/>
      <c r="J284" s="44"/>
      <c r="K284" s="44"/>
    </row>
    <row r="285" spans="1:11">
      <c r="A285" s="74"/>
      <c r="C285" s="75"/>
      <c r="D285" s="44"/>
      <c r="E285" s="44"/>
      <c r="F285" s="44"/>
      <c r="G285" s="44"/>
      <c r="H285" s="44"/>
      <c r="I285" s="44"/>
      <c r="J285" s="44"/>
      <c r="K285" s="44"/>
    </row>
    <row r="286" spans="1:11">
      <c r="A286" s="74"/>
      <c r="C286" s="75"/>
      <c r="D286" s="44"/>
      <c r="E286" s="44"/>
      <c r="F286" s="44"/>
      <c r="G286" s="44"/>
      <c r="H286" s="44"/>
      <c r="I286" s="44"/>
      <c r="J286" s="44"/>
      <c r="K286" s="44"/>
    </row>
    <row r="287" spans="1:11">
      <c r="A287" s="74"/>
      <c r="C287" s="75"/>
      <c r="D287" s="44"/>
      <c r="E287" s="44"/>
      <c r="F287" s="44"/>
      <c r="G287" s="44"/>
      <c r="H287" s="44"/>
      <c r="I287" s="44"/>
      <c r="J287" s="44"/>
      <c r="K287" s="44"/>
    </row>
    <row r="288" spans="1:11">
      <c r="A288" s="74"/>
      <c r="C288" s="75"/>
      <c r="D288" s="44"/>
      <c r="E288" s="44"/>
      <c r="F288" s="44"/>
      <c r="G288" s="44"/>
      <c r="H288" s="44"/>
      <c r="I288" s="44"/>
      <c r="J288" s="44"/>
      <c r="K288" s="44"/>
    </row>
    <row r="289" spans="1:11">
      <c r="A289" s="74"/>
      <c r="C289" s="75"/>
      <c r="D289" s="44"/>
      <c r="E289" s="44"/>
      <c r="F289" s="44"/>
      <c r="G289" s="44"/>
      <c r="H289" s="44"/>
      <c r="I289" s="44"/>
      <c r="J289" s="44"/>
      <c r="K289" s="44"/>
    </row>
    <row r="290" spans="1:11">
      <c r="A290" s="74"/>
      <c r="C290" s="75"/>
      <c r="D290" s="44"/>
      <c r="E290" s="44"/>
      <c r="F290" s="44"/>
      <c r="G290" s="44"/>
      <c r="H290" s="44"/>
      <c r="I290" s="44"/>
      <c r="J290" s="44"/>
      <c r="K290" s="44"/>
    </row>
    <row r="291" spans="1:11">
      <c r="A291" s="74"/>
      <c r="C291" s="75"/>
      <c r="D291" s="44"/>
      <c r="E291" s="44"/>
      <c r="F291" s="44"/>
      <c r="G291" s="44"/>
      <c r="H291" s="44"/>
      <c r="I291" s="44"/>
      <c r="J291" s="44"/>
      <c r="K291" s="44"/>
    </row>
    <row r="292" spans="1:11">
      <c r="A292" s="74"/>
      <c r="C292" s="75"/>
      <c r="D292" s="44"/>
      <c r="E292" s="44"/>
      <c r="F292" s="44"/>
      <c r="G292" s="44"/>
      <c r="H292" s="44"/>
      <c r="I292" s="44"/>
      <c r="J292" s="44"/>
      <c r="K292" s="44"/>
    </row>
    <row r="293" spans="1:11">
      <c r="A293" s="74"/>
      <c r="C293" s="75"/>
      <c r="D293" s="44"/>
      <c r="E293" s="44"/>
      <c r="F293" s="44"/>
      <c r="G293" s="44"/>
      <c r="H293" s="44"/>
      <c r="I293" s="44"/>
      <c r="J293" s="44"/>
      <c r="K293" s="44"/>
    </row>
    <row r="294" spans="1:11">
      <c r="A294" s="74"/>
      <c r="C294" s="75"/>
      <c r="D294" s="44"/>
      <c r="E294" s="44"/>
      <c r="F294" s="44"/>
      <c r="G294" s="44"/>
      <c r="H294" s="44"/>
      <c r="I294" s="44"/>
      <c r="J294" s="44"/>
      <c r="K294" s="44"/>
    </row>
    <row r="295" spans="1:11">
      <c r="A295" s="74"/>
      <c r="C295" s="75"/>
      <c r="D295" s="44"/>
      <c r="E295" s="44"/>
      <c r="F295" s="44"/>
      <c r="G295" s="44"/>
      <c r="H295" s="44"/>
      <c r="I295" s="44"/>
      <c r="J295" s="44"/>
      <c r="K295" s="44"/>
    </row>
    <row r="296" spans="1:11">
      <c r="A296" s="74"/>
      <c r="C296" s="75"/>
      <c r="D296" s="44"/>
      <c r="E296" s="44"/>
      <c r="F296" s="44"/>
      <c r="G296" s="44"/>
      <c r="H296" s="44"/>
      <c r="I296" s="44"/>
      <c r="J296" s="44"/>
      <c r="K296" s="44"/>
    </row>
    <row r="297" spans="1:11">
      <c r="A297" s="74"/>
      <c r="C297" s="75"/>
      <c r="D297" s="44"/>
      <c r="E297" s="44"/>
      <c r="F297" s="44"/>
      <c r="G297" s="44"/>
      <c r="H297" s="44"/>
      <c r="I297" s="44"/>
      <c r="J297" s="44"/>
      <c r="K297" s="44"/>
    </row>
    <row r="298" spans="1:11">
      <c r="A298" s="74"/>
      <c r="C298" s="75"/>
      <c r="D298" s="44"/>
      <c r="E298" s="44"/>
      <c r="F298" s="44"/>
      <c r="G298" s="44"/>
      <c r="H298" s="44"/>
      <c r="I298" s="44"/>
      <c r="J298" s="44"/>
      <c r="K298" s="44"/>
    </row>
    <row r="299" spans="1:11">
      <c r="A299" s="74"/>
      <c r="C299" s="75"/>
      <c r="D299" s="44"/>
      <c r="E299" s="44"/>
      <c r="F299" s="44"/>
      <c r="G299" s="44"/>
      <c r="H299" s="44"/>
      <c r="I299" s="44"/>
      <c r="J299" s="44"/>
      <c r="K299" s="44"/>
    </row>
    <row r="300" spans="1:11">
      <c r="A300" s="74"/>
      <c r="C300" s="75"/>
      <c r="D300" s="44"/>
      <c r="E300" s="44"/>
      <c r="F300" s="44"/>
      <c r="G300" s="44"/>
      <c r="H300" s="44"/>
      <c r="I300" s="44"/>
      <c r="J300" s="44"/>
      <c r="K300" s="44"/>
    </row>
    <row r="301" spans="1:11">
      <c r="A301" s="74"/>
      <c r="C301" s="75"/>
      <c r="D301" s="44"/>
      <c r="E301" s="44"/>
      <c r="F301" s="44"/>
      <c r="G301" s="44"/>
      <c r="H301" s="44"/>
      <c r="I301" s="44"/>
      <c r="J301" s="44"/>
      <c r="K301" s="44"/>
    </row>
    <row r="302" spans="1:11">
      <c r="A302" s="74"/>
      <c r="C302" s="75"/>
      <c r="D302" s="44"/>
      <c r="E302" s="44"/>
      <c r="F302" s="44"/>
      <c r="G302" s="44"/>
      <c r="H302" s="44"/>
      <c r="I302" s="44"/>
      <c r="J302" s="44"/>
      <c r="K302" s="44"/>
    </row>
    <row r="303" spans="1:11">
      <c r="A303" s="74"/>
      <c r="C303" s="75"/>
      <c r="D303" s="44"/>
      <c r="E303" s="44"/>
      <c r="F303" s="44"/>
      <c r="G303" s="44"/>
      <c r="H303" s="44"/>
      <c r="I303" s="44"/>
      <c r="J303" s="44"/>
      <c r="K303" s="44"/>
    </row>
    <row r="304" spans="1:11">
      <c r="A304" s="74"/>
      <c r="C304" s="75"/>
      <c r="D304" s="44"/>
      <c r="E304" s="44"/>
      <c r="F304" s="44"/>
      <c r="G304" s="44"/>
      <c r="H304" s="44"/>
      <c r="I304" s="44"/>
      <c r="J304" s="44"/>
      <c r="K304" s="44"/>
    </row>
    <row r="305" spans="1:11">
      <c r="A305" s="74"/>
      <c r="C305" s="75"/>
      <c r="D305" s="44"/>
      <c r="E305" s="44"/>
      <c r="F305" s="44"/>
      <c r="G305" s="44"/>
      <c r="H305" s="44"/>
      <c r="I305" s="44"/>
      <c r="J305" s="44"/>
      <c r="K305" s="44"/>
    </row>
    <row r="306" spans="1:11">
      <c r="A306" s="74"/>
      <c r="C306" s="75"/>
      <c r="D306" s="44"/>
      <c r="E306" s="44"/>
      <c r="F306" s="44"/>
      <c r="G306" s="44"/>
      <c r="H306" s="44"/>
      <c r="I306" s="44"/>
      <c r="J306" s="44"/>
      <c r="K306" s="44"/>
    </row>
    <row r="307" spans="1:11">
      <c r="A307" s="74"/>
      <c r="C307" s="75"/>
      <c r="D307" s="44"/>
      <c r="E307" s="44"/>
      <c r="F307" s="44"/>
      <c r="G307" s="44"/>
      <c r="H307" s="44"/>
      <c r="I307" s="44"/>
      <c r="J307" s="44"/>
      <c r="K307" s="44"/>
    </row>
    <row r="308" spans="1:11">
      <c r="A308" s="74"/>
      <c r="C308" s="75"/>
      <c r="D308" s="44"/>
      <c r="E308" s="44"/>
      <c r="F308" s="44"/>
      <c r="G308" s="44"/>
      <c r="H308" s="44"/>
      <c r="I308" s="44"/>
      <c r="J308" s="44"/>
      <c r="K308" s="44"/>
    </row>
    <row r="309" spans="1:11">
      <c r="A309" s="74"/>
      <c r="C309" s="75"/>
      <c r="D309" s="44"/>
      <c r="E309" s="44"/>
      <c r="F309" s="44"/>
      <c r="G309" s="44"/>
      <c r="H309" s="44"/>
      <c r="I309" s="44"/>
      <c r="J309" s="44"/>
      <c r="K309" s="44"/>
    </row>
    <row r="310" spans="1:11">
      <c r="A310" s="74"/>
      <c r="C310" s="75"/>
      <c r="D310" s="44"/>
      <c r="E310" s="44"/>
      <c r="F310" s="44"/>
      <c r="G310" s="44"/>
      <c r="H310" s="44"/>
      <c r="I310" s="44"/>
      <c r="J310" s="44"/>
      <c r="K310" s="44"/>
    </row>
    <row r="311" spans="1:11">
      <c r="A311" s="74"/>
      <c r="C311" s="75"/>
      <c r="D311" s="44"/>
      <c r="E311" s="44"/>
      <c r="F311" s="44"/>
      <c r="G311" s="44"/>
      <c r="H311" s="44"/>
      <c r="I311" s="44"/>
      <c r="J311" s="44"/>
      <c r="K311" s="44"/>
    </row>
    <row r="312" spans="1:11">
      <c r="A312" s="74"/>
      <c r="C312" s="75"/>
      <c r="D312" s="44"/>
      <c r="E312" s="44"/>
      <c r="F312" s="44"/>
      <c r="G312" s="44"/>
      <c r="H312" s="44"/>
      <c r="I312" s="44"/>
      <c r="J312" s="44"/>
      <c r="K312" s="44"/>
    </row>
    <row r="313" spans="1:11">
      <c r="A313" s="74"/>
      <c r="C313" s="75"/>
      <c r="D313" s="44"/>
      <c r="E313" s="44"/>
      <c r="F313" s="44"/>
      <c r="G313" s="44"/>
      <c r="H313" s="44"/>
      <c r="I313" s="44"/>
      <c r="J313" s="44"/>
      <c r="K313" s="44"/>
    </row>
    <row r="314" spans="1:11">
      <c r="A314" s="74"/>
      <c r="C314" s="75"/>
      <c r="D314" s="44"/>
      <c r="E314" s="44"/>
      <c r="F314" s="44"/>
      <c r="G314" s="44"/>
      <c r="H314" s="44"/>
      <c r="I314" s="44"/>
      <c r="J314" s="44"/>
      <c r="K314" s="44"/>
    </row>
    <row r="315" spans="1:11">
      <c r="A315" s="74"/>
      <c r="C315" s="75"/>
      <c r="D315" s="44"/>
      <c r="E315" s="44"/>
      <c r="F315" s="44"/>
      <c r="G315" s="44"/>
      <c r="H315" s="44"/>
      <c r="I315" s="44"/>
      <c r="J315" s="44"/>
      <c r="K315" s="44"/>
    </row>
    <row r="316" spans="1:11">
      <c r="A316" s="74"/>
      <c r="C316" s="75"/>
      <c r="D316" s="44"/>
      <c r="E316" s="44"/>
      <c r="F316" s="44"/>
      <c r="G316" s="44"/>
      <c r="H316" s="44"/>
      <c r="I316" s="44"/>
      <c r="J316" s="44"/>
      <c r="K316" s="44"/>
    </row>
    <row r="317" spans="1:11">
      <c r="A317" s="74"/>
      <c r="C317" s="75"/>
      <c r="D317" s="44"/>
      <c r="E317" s="44"/>
      <c r="F317" s="44"/>
      <c r="G317" s="44"/>
      <c r="H317" s="44"/>
      <c r="I317" s="44"/>
      <c r="J317" s="44"/>
      <c r="K317" s="44"/>
    </row>
    <row r="318" spans="1:11">
      <c r="A318" s="74"/>
      <c r="C318" s="75"/>
      <c r="D318" s="44"/>
      <c r="E318" s="44"/>
      <c r="F318" s="44"/>
      <c r="G318" s="44"/>
      <c r="H318" s="44"/>
      <c r="I318" s="44"/>
      <c r="J318" s="44"/>
      <c r="K318" s="44"/>
    </row>
    <row r="319" spans="1:11">
      <c r="A319" s="74"/>
      <c r="C319" s="75"/>
      <c r="D319" s="44"/>
      <c r="E319" s="44"/>
      <c r="F319" s="44"/>
      <c r="G319" s="44"/>
      <c r="H319" s="44"/>
      <c r="I319" s="44"/>
      <c r="J319" s="44"/>
      <c r="K319" s="44"/>
    </row>
    <row r="320" spans="1:11">
      <c r="A320" s="74"/>
      <c r="C320" s="75"/>
      <c r="D320" s="44"/>
      <c r="E320" s="44"/>
      <c r="F320" s="44"/>
      <c r="G320" s="44"/>
      <c r="H320" s="44"/>
      <c r="I320" s="44"/>
      <c r="J320" s="44"/>
      <c r="K320" s="44"/>
    </row>
    <row r="321" spans="1:11">
      <c r="A321" s="74"/>
      <c r="C321" s="75"/>
      <c r="D321" s="44"/>
      <c r="E321" s="44"/>
      <c r="F321" s="44"/>
      <c r="G321" s="44"/>
      <c r="H321" s="44"/>
      <c r="I321" s="44"/>
      <c r="J321" s="44"/>
      <c r="K321" s="44"/>
    </row>
    <row r="322" spans="1:11">
      <c r="A322" s="74"/>
      <c r="C322" s="75"/>
      <c r="D322" s="44"/>
      <c r="E322" s="44"/>
      <c r="F322" s="44"/>
      <c r="G322" s="44"/>
      <c r="H322" s="44"/>
      <c r="I322" s="44"/>
      <c r="J322" s="44"/>
      <c r="K322" s="44"/>
    </row>
    <row r="323" spans="1:11">
      <c r="A323" s="74"/>
      <c r="C323" s="75"/>
      <c r="D323" s="44"/>
      <c r="E323" s="44"/>
      <c r="F323" s="44"/>
      <c r="G323" s="44"/>
      <c r="H323" s="44"/>
      <c r="I323" s="44"/>
      <c r="J323" s="44"/>
      <c r="K323" s="44"/>
    </row>
    <row r="324" spans="1:11">
      <c r="A324" s="74"/>
      <c r="C324" s="75"/>
      <c r="D324" s="44"/>
      <c r="E324" s="44"/>
      <c r="F324" s="44"/>
      <c r="G324" s="44"/>
      <c r="H324" s="44"/>
      <c r="I324" s="44"/>
      <c r="J324" s="44"/>
      <c r="K324" s="44"/>
    </row>
    <row r="325" spans="1:11">
      <c r="A325" s="74"/>
      <c r="C325" s="75"/>
      <c r="D325" s="44"/>
      <c r="E325" s="44"/>
      <c r="F325" s="44"/>
      <c r="G325" s="44"/>
      <c r="H325" s="44"/>
      <c r="I325" s="44"/>
      <c r="J325" s="44"/>
      <c r="K325" s="44"/>
    </row>
    <row r="326" spans="1:11">
      <c r="A326" s="74"/>
      <c r="C326" s="75"/>
      <c r="D326" s="44"/>
      <c r="E326" s="44"/>
      <c r="F326" s="44"/>
      <c r="G326" s="44"/>
      <c r="H326" s="44"/>
      <c r="I326" s="44"/>
      <c r="J326" s="44"/>
      <c r="K326" s="44"/>
    </row>
    <row r="327" spans="1:11">
      <c r="A327" s="74"/>
      <c r="C327" s="75"/>
      <c r="D327" s="44"/>
      <c r="E327" s="44"/>
      <c r="F327" s="44"/>
      <c r="G327" s="44"/>
      <c r="H327" s="44"/>
      <c r="I327" s="44"/>
      <c r="J327" s="44"/>
      <c r="K327" s="44"/>
    </row>
    <row r="328" spans="1:11">
      <c r="A328" s="74"/>
      <c r="C328" s="75"/>
      <c r="D328" s="44"/>
      <c r="E328" s="44"/>
      <c r="F328" s="44"/>
      <c r="G328" s="44"/>
      <c r="H328" s="44"/>
      <c r="I328" s="44"/>
      <c r="J328" s="44"/>
      <c r="K328" s="44"/>
    </row>
    <row r="329" spans="1:11">
      <c r="A329" s="74"/>
      <c r="C329" s="75"/>
      <c r="D329" s="44"/>
      <c r="E329" s="44"/>
      <c r="F329" s="44"/>
      <c r="G329" s="44"/>
      <c r="H329" s="44"/>
      <c r="I329" s="44"/>
      <c r="J329" s="44"/>
      <c r="K329" s="44"/>
    </row>
    <row r="330" spans="1:11">
      <c r="A330" s="74"/>
      <c r="C330" s="75"/>
      <c r="D330" s="44"/>
      <c r="E330" s="44"/>
      <c r="F330" s="44"/>
      <c r="G330" s="44"/>
      <c r="H330" s="44"/>
      <c r="I330" s="44"/>
      <c r="J330" s="44"/>
      <c r="K330" s="44"/>
    </row>
    <row r="331" spans="1:11">
      <c r="A331" s="74"/>
      <c r="C331" s="75"/>
      <c r="D331" s="44"/>
      <c r="E331" s="44"/>
      <c r="F331" s="44"/>
      <c r="G331" s="44"/>
      <c r="H331" s="44"/>
      <c r="I331" s="44"/>
      <c r="J331" s="44"/>
      <c r="K331" s="44"/>
    </row>
    <row r="332" spans="1:11">
      <c r="A332" s="74"/>
      <c r="C332" s="75"/>
      <c r="D332" s="44"/>
      <c r="E332" s="44"/>
      <c r="F332" s="44"/>
      <c r="G332" s="44"/>
      <c r="H332" s="44"/>
      <c r="I332" s="44"/>
      <c r="J332" s="44"/>
      <c r="K332" s="44"/>
    </row>
    <row r="333" spans="1:11">
      <c r="A333" s="74"/>
      <c r="C333" s="75"/>
      <c r="D333" s="44"/>
      <c r="E333" s="44"/>
      <c r="F333" s="44"/>
      <c r="G333" s="44"/>
      <c r="H333" s="44"/>
      <c r="I333" s="44"/>
      <c r="J333" s="44"/>
      <c r="K333" s="44"/>
    </row>
    <row r="334" spans="1:11">
      <c r="A334" s="74"/>
      <c r="C334" s="75"/>
      <c r="D334" s="44"/>
      <c r="E334" s="44"/>
      <c r="F334" s="44"/>
      <c r="G334" s="44"/>
      <c r="H334" s="44"/>
      <c r="I334" s="44"/>
      <c r="J334" s="44"/>
      <c r="K334" s="44"/>
    </row>
    <row r="335" spans="1:11">
      <c r="A335" s="74"/>
      <c r="C335" s="75"/>
      <c r="D335" s="44"/>
      <c r="E335" s="44"/>
      <c r="F335" s="44"/>
      <c r="G335" s="44"/>
      <c r="H335" s="44"/>
      <c r="I335" s="44"/>
      <c r="J335" s="44"/>
      <c r="K335" s="44"/>
    </row>
    <row r="336" spans="1:11">
      <c r="A336" s="74"/>
      <c r="C336" s="75"/>
      <c r="D336" s="44"/>
      <c r="E336" s="44"/>
      <c r="F336" s="44"/>
      <c r="G336" s="44"/>
      <c r="H336" s="44"/>
      <c r="I336" s="44"/>
      <c r="J336" s="44"/>
      <c r="K336" s="44"/>
    </row>
    <row r="337" spans="1:11">
      <c r="A337" s="74"/>
      <c r="C337" s="75"/>
      <c r="D337" s="44"/>
      <c r="E337" s="44"/>
      <c r="F337" s="44"/>
      <c r="G337" s="44"/>
      <c r="H337" s="44"/>
      <c r="I337" s="44"/>
      <c r="J337" s="44"/>
      <c r="K337" s="44"/>
    </row>
    <row r="338" spans="1:11">
      <c r="A338" s="74"/>
      <c r="C338" s="75"/>
      <c r="D338" s="44"/>
      <c r="E338" s="44"/>
      <c r="F338" s="44"/>
      <c r="G338" s="44"/>
      <c r="H338" s="44"/>
      <c r="I338" s="44"/>
      <c r="J338" s="44"/>
      <c r="K338" s="44"/>
    </row>
    <row r="339" spans="1:11">
      <c r="A339" s="74"/>
      <c r="C339" s="75"/>
      <c r="D339" s="44"/>
      <c r="E339" s="44"/>
      <c r="F339" s="44"/>
      <c r="G339" s="44"/>
      <c r="H339" s="44"/>
      <c r="I339" s="44"/>
      <c r="J339" s="44"/>
      <c r="K339" s="44"/>
    </row>
    <row r="340" spans="1:11">
      <c r="A340" s="74"/>
      <c r="C340" s="75"/>
      <c r="D340" s="44"/>
      <c r="E340" s="44"/>
      <c r="F340" s="44"/>
      <c r="G340" s="44"/>
      <c r="H340" s="44"/>
      <c r="I340" s="44"/>
      <c r="J340" s="44"/>
      <c r="K340" s="44"/>
    </row>
    <row r="341" spans="1:11">
      <c r="A341" s="74"/>
      <c r="C341" s="75"/>
      <c r="D341" s="44"/>
      <c r="E341" s="44"/>
      <c r="F341" s="44"/>
      <c r="G341" s="44"/>
      <c r="H341" s="44"/>
      <c r="I341" s="44"/>
      <c r="J341" s="44"/>
      <c r="K341" s="44"/>
    </row>
    <row r="342" spans="1:11">
      <c r="A342" s="74"/>
      <c r="C342" s="75"/>
      <c r="D342" s="44"/>
      <c r="E342" s="44"/>
      <c r="F342" s="44"/>
      <c r="G342" s="44"/>
      <c r="H342" s="44"/>
      <c r="I342" s="44"/>
      <c r="J342" s="44"/>
      <c r="K342" s="44"/>
    </row>
    <row r="343" spans="1:11">
      <c r="A343" s="74"/>
      <c r="C343" s="75"/>
      <c r="D343" s="44"/>
      <c r="E343" s="44"/>
      <c r="F343" s="44"/>
      <c r="G343" s="44"/>
      <c r="H343" s="44"/>
      <c r="I343" s="44"/>
      <c r="J343" s="44"/>
      <c r="K343" s="44"/>
    </row>
    <row r="344" spans="1:11">
      <c r="A344" s="74"/>
      <c r="C344" s="75"/>
      <c r="D344" s="44"/>
      <c r="E344" s="44"/>
      <c r="F344" s="44"/>
      <c r="G344" s="44"/>
      <c r="H344" s="44"/>
      <c r="I344" s="44"/>
      <c r="J344" s="44"/>
      <c r="K344" s="44"/>
    </row>
    <row r="345" spans="1:11">
      <c r="A345" s="74"/>
      <c r="C345" s="75"/>
      <c r="D345" s="44"/>
      <c r="E345" s="44"/>
      <c r="F345" s="44"/>
      <c r="G345" s="44"/>
      <c r="H345" s="44"/>
      <c r="I345" s="44"/>
      <c r="J345" s="44"/>
      <c r="K345" s="44"/>
    </row>
    <row r="346" spans="1:11">
      <c r="A346" s="74"/>
      <c r="C346" s="75"/>
      <c r="D346" s="44"/>
      <c r="E346" s="44"/>
      <c r="F346" s="44"/>
      <c r="G346" s="44"/>
      <c r="H346" s="44"/>
      <c r="I346" s="44"/>
      <c r="J346" s="44"/>
      <c r="K346" s="44"/>
    </row>
    <row r="347" spans="1:11">
      <c r="A347" s="74"/>
      <c r="C347" s="75"/>
      <c r="D347" s="44"/>
      <c r="E347" s="44"/>
      <c r="F347" s="44"/>
      <c r="G347" s="44"/>
      <c r="H347" s="44"/>
      <c r="I347" s="44"/>
      <c r="J347" s="44"/>
      <c r="K347" s="44"/>
    </row>
    <row r="348" spans="1:11">
      <c r="A348" s="74"/>
      <c r="C348" s="75"/>
      <c r="D348" s="44"/>
      <c r="E348" s="44"/>
      <c r="F348" s="44"/>
      <c r="G348" s="44"/>
      <c r="H348" s="44"/>
      <c r="I348" s="44"/>
      <c r="J348" s="44"/>
      <c r="K348" s="44"/>
    </row>
    <row r="349" spans="1:11">
      <c r="A349" s="74"/>
      <c r="C349" s="75"/>
      <c r="D349" s="44"/>
      <c r="E349" s="44"/>
      <c r="F349" s="44"/>
      <c r="G349" s="44"/>
      <c r="H349" s="44"/>
      <c r="I349" s="44"/>
      <c r="J349" s="44"/>
      <c r="K349" s="44"/>
    </row>
    <row r="350" spans="1:11">
      <c r="A350" s="74"/>
      <c r="C350" s="75"/>
      <c r="D350" s="44"/>
      <c r="E350" s="44"/>
      <c r="F350" s="44"/>
      <c r="G350" s="44"/>
      <c r="H350" s="44"/>
      <c r="I350" s="44"/>
      <c r="J350" s="44"/>
      <c r="K350" s="44"/>
    </row>
    <row r="351" spans="1:11">
      <c r="A351" s="74"/>
      <c r="C351" s="75"/>
      <c r="D351" s="44"/>
      <c r="E351" s="44"/>
      <c r="F351" s="44"/>
      <c r="G351" s="44"/>
      <c r="H351" s="44"/>
      <c r="I351" s="44"/>
      <c r="J351" s="44"/>
      <c r="K351" s="44"/>
    </row>
    <row r="352" spans="1:11">
      <c r="A352" s="74"/>
      <c r="C352" s="75"/>
      <c r="D352" s="44"/>
      <c r="E352" s="44"/>
      <c r="F352" s="44"/>
      <c r="G352" s="44"/>
      <c r="H352" s="44"/>
      <c r="I352" s="44"/>
      <c r="J352" s="44"/>
      <c r="K352" s="44"/>
    </row>
    <row r="353" spans="1:11">
      <c r="A353" s="74"/>
      <c r="C353" s="75"/>
      <c r="D353" s="44"/>
      <c r="E353" s="44"/>
      <c r="F353" s="44"/>
      <c r="G353" s="44"/>
      <c r="H353" s="44"/>
      <c r="I353" s="44"/>
      <c r="J353" s="44"/>
      <c r="K353" s="44"/>
    </row>
    <row r="354" spans="1:11">
      <c r="A354" s="74"/>
      <c r="C354" s="75"/>
      <c r="D354" s="44"/>
      <c r="E354" s="44"/>
      <c r="F354" s="44"/>
      <c r="G354" s="44"/>
      <c r="H354" s="44"/>
      <c r="I354" s="44"/>
      <c r="J354" s="44"/>
      <c r="K354" s="44"/>
    </row>
    <row r="355" spans="1:11">
      <c r="A355" s="74"/>
      <c r="C355" s="75"/>
      <c r="D355" s="44"/>
      <c r="E355" s="44"/>
      <c r="F355" s="44"/>
      <c r="G355" s="44"/>
      <c r="H355" s="44"/>
      <c r="I355" s="44"/>
      <c r="J355" s="44"/>
      <c r="K355" s="44"/>
    </row>
    <row r="356" spans="1:11">
      <c r="A356" s="74"/>
      <c r="C356" s="75"/>
      <c r="D356" s="44"/>
      <c r="E356" s="44"/>
      <c r="F356" s="44"/>
      <c r="G356" s="44"/>
      <c r="H356" s="44"/>
      <c r="I356" s="44"/>
      <c r="J356" s="44"/>
      <c r="K356" s="44"/>
    </row>
    <row r="357" spans="1:11">
      <c r="A357" s="74"/>
      <c r="C357" s="75"/>
      <c r="D357" s="44"/>
      <c r="E357" s="44"/>
      <c r="F357" s="44"/>
      <c r="G357" s="44"/>
      <c r="H357" s="44"/>
      <c r="I357" s="44"/>
      <c r="J357" s="44"/>
      <c r="K357" s="44"/>
    </row>
    <row r="358" spans="1:11">
      <c r="A358" s="74"/>
      <c r="C358" s="75"/>
      <c r="D358" s="44"/>
      <c r="E358" s="44"/>
      <c r="F358" s="44"/>
      <c r="G358" s="44"/>
      <c r="H358" s="44"/>
      <c r="I358" s="44"/>
      <c r="J358" s="44"/>
      <c r="K358" s="44"/>
    </row>
    <row r="359" spans="1:11">
      <c r="A359" s="74"/>
      <c r="C359" s="75"/>
      <c r="D359" s="44"/>
      <c r="E359" s="44"/>
      <c r="F359" s="44"/>
      <c r="G359" s="44"/>
      <c r="H359" s="44"/>
      <c r="I359" s="44"/>
      <c r="J359" s="44"/>
      <c r="K359" s="44"/>
    </row>
    <row r="360" spans="1:11">
      <c r="A360" s="74"/>
      <c r="C360" s="75"/>
      <c r="D360" s="44"/>
      <c r="E360" s="44"/>
      <c r="F360" s="44"/>
      <c r="G360" s="44"/>
      <c r="H360" s="44"/>
      <c r="I360" s="44"/>
      <c r="J360" s="44"/>
      <c r="K360" s="44"/>
    </row>
    <row r="361" spans="1:11">
      <c r="A361" s="74"/>
      <c r="C361" s="75"/>
      <c r="D361" s="44"/>
      <c r="E361" s="44"/>
      <c r="F361" s="44"/>
      <c r="G361" s="44"/>
      <c r="H361" s="44"/>
      <c r="I361" s="44"/>
      <c r="J361" s="44"/>
      <c r="K361" s="44"/>
    </row>
    <row r="362" spans="1:11">
      <c r="A362" s="74"/>
      <c r="C362" s="75"/>
      <c r="D362" s="44"/>
      <c r="E362" s="44"/>
      <c r="F362" s="44"/>
      <c r="G362" s="44"/>
      <c r="H362" s="44"/>
      <c r="I362" s="44"/>
      <c r="J362" s="44"/>
      <c r="K362" s="44"/>
    </row>
    <row r="363" spans="1:11">
      <c r="A363" s="74"/>
      <c r="C363" s="75"/>
      <c r="D363" s="44"/>
      <c r="E363" s="44"/>
      <c r="F363" s="44"/>
      <c r="G363" s="44"/>
      <c r="H363" s="44"/>
      <c r="I363" s="44"/>
      <c r="J363" s="44"/>
      <c r="K363" s="44"/>
    </row>
    <row r="364" spans="1:11">
      <c r="A364" s="74"/>
      <c r="C364" s="75"/>
      <c r="D364" s="44"/>
      <c r="E364" s="44"/>
      <c r="F364" s="44"/>
      <c r="G364" s="44"/>
      <c r="H364" s="44"/>
      <c r="I364" s="44"/>
      <c r="J364" s="44"/>
      <c r="K364" s="44"/>
    </row>
    <row r="365" spans="1:11">
      <c r="A365" s="74"/>
      <c r="C365" s="75"/>
      <c r="D365" s="44"/>
      <c r="E365" s="44"/>
      <c r="F365" s="44"/>
      <c r="G365" s="44"/>
      <c r="H365" s="44"/>
      <c r="I365" s="44"/>
      <c r="J365" s="44"/>
      <c r="K365" s="44"/>
    </row>
    <row r="366" spans="1:11">
      <c r="A366" s="74"/>
      <c r="C366" s="75"/>
      <c r="D366" s="44"/>
      <c r="E366" s="44"/>
      <c r="F366" s="44"/>
      <c r="G366" s="44"/>
      <c r="H366" s="44"/>
      <c r="I366" s="44"/>
      <c r="J366" s="44"/>
      <c r="K366" s="44"/>
    </row>
    <row r="367" spans="1:11">
      <c r="A367" s="74"/>
      <c r="C367" s="75"/>
      <c r="D367" s="44"/>
      <c r="E367" s="44"/>
      <c r="F367" s="44"/>
      <c r="G367" s="44"/>
      <c r="H367" s="44"/>
      <c r="I367" s="44"/>
      <c r="J367" s="44"/>
      <c r="K367" s="44"/>
    </row>
    <row r="368" spans="1:11">
      <c r="A368" s="74"/>
      <c r="C368" s="75"/>
      <c r="D368" s="44"/>
      <c r="E368" s="44"/>
      <c r="F368" s="44"/>
      <c r="G368" s="44"/>
      <c r="H368" s="44"/>
      <c r="I368" s="44"/>
      <c r="J368" s="44"/>
      <c r="K368" s="44"/>
    </row>
    <row r="369" spans="1:11">
      <c r="A369" s="74"/>
      <c r="C369" s="75"/>
      <c r="D369" s="44"/>
      <c r="E369" s="44"/>
      <c r="F369" s="44"/>
      <c r="G369" s="44"/>
      <c r="H369" s="44"/>
      <c r="I369" s="44"/>
      <c r="J369" s="44"/>
      <c r="K369" s="44"/>
    </row>
    <row r="370" spans="1:11">
      <c r="A370" s="74"/>
      <c r="C370" s="75"/>
      <c r="D370" s="44"/>
      <c r="E370" s="44"/>
      <c r="F370" s="44"/>
      <c r="G370" s="44"/>
      <c r="H370" s="44"/>
      <c r="I370" s="44"/>
      <c r="J370" s="44"/>
      <c r="K370" s="44"/>
    </row>
    <row r="371" spans="1:11">
      <c r="A371" s="74"/>
      <c r="C371" s="75"/>
      <c r="D371" s="44"/>
      <c r="E371" s="44"/>
      <c r="F371" s="44"/>
      <c r="G371" s="44"/>
      <c r="H371" s="44"/>
      <c r="I371" s="44"/>
      <c r="J371" s="44"/>
      <c r="K371" s="44"/>
    </row>
    <row r="372" spans="1:11">
      <c r="A372" s="74"/>
      <c r="C372" s="75"/>
      <c r="D372" s="44"/>
      <c r="E372" s="44"/>
      <c r="F372" s="44"/>
      <c r="G372" s="44"/>
      <c r="H372" s="44"/>
      <c r="I372" s="44"/>
      <c r="J372" s="44"/>
      <c r="K372" s="44"/>
    </row>
    <row r="373" spans="1:11">
      <c r="A373" s="74"/>
      <c r="C373" s="75"/>
      <c r="D373" s="44"/>
      <c r="E373" s="44"/>
      <c r="F373" s="44"/>
      <c r="G373" s="44"/>
      <c r="H373" s="44"/>
      <c r="I373" s="44"/>
      <c r="J373" s="44"/>
      <c r="K373" s="44"/>
    </row>
    <row r="374" spans="1:11">
      <c r="A374" s="74"/>
      <c r="C374" s="75"/>
      <c r="D374" s="44"/>
      <c r="E374" s="44"/>
      <c r="F374" s="44"/>
      <c r="G374" s="44"/>
      <c r="H374" s="44"/>
      <c r="I374" s="44"/>
      <c r="J374" s="44"/>
      <c r="K374" s="44"/>
    </row>
    <row r="375" spans="1:11">
      <c r="A375" s="74"/>
      <c r="C375" s="75"/>
      <c r="D375" s="44"/>
      <c r="E375" s="44"/>
      <c r="F375" s="44"/>
      <c r="G375" s="44"/>
      <c r="H375" s="44"/>
      <c r="I375" s="44"/>
      <c r="J375" s="44"/>
      <c r="K375" s="44"/>
    </row>
    <row r="376" spans="1:11">
      <c r="A376" s="74"/>
      <c r="C376" s="75"/>
      <c r="D376" s="44"/>
      <c r="E376" s="44"/>
      <c r="F376" s="44"/>
      <c r="G376" s="44"/>
      <c r="H376" s="44"/>
      <c r="I376" s="44"/>
      <c r="J376" s="44"/>
      <c r="K376" s="44"/>
    </row>
    <row r="377" spans="1:11">
      <c r="A377" s="74"/>
      <c r="C377" s="75"/>
      <c r="D377" s="44"/>
      <c r="E377" s="44"/>
      <c r="F377" s="44"/>
      <c r="G377" s="44"/>
      <c r="H377" s="44"/>
      <c r="I377" s="44"/>
      <c r="J377" s="44"/>
      <c r="K377" s="44"/>
    </row>
    <row r="378" spans="1:11">
      <c r="A378" s="74"/>
      <c r="C378" s="75"/>
      <c r="D378" s="44"/>
      <c r="E378" s="44"/>
      <c r="F378" s="44"/>
      <c r="G378" s="44"/>
      <c r="H378" s="44"/>
      <c r="I378" s="44"/>
      <c r="J378" s="44"/>
      <c r="K378" s="44"/>
    </row>
    <row r="379" spans="1:11">
      <c r="A379" s="74"/>
      <c r="C379" s="75"/>
      <c r="D379" s="44"/>
      <c r="E379" s="44"/>
      <c r="F379" s="44"/>
      <c r="G379" s="44"/>
      <c r="H379" s="44"/>
      <c r="I379" s="44"/>
      <c r="J379" s="44"/>
      <c r="K379" s="44"/>
    </row>
    <row r="380" spans="1:11">
      <c r="A380" s="74"/>
      <c r="C380" s="75"/>
      <c r="D380" s="44"/>
      <c r="E380" s="44"/>
      <c r="F380" s="44"/>
      <c r="G380" s="44"/>
      <c r="H380" s="44"/>
      <c r="I380" s="44"/>
      <c r="J380" s="44"/>
      <c r="K380" s="44"/>
    </row>
    <row r="381" spans="1:11">
      <c r="A381" s="74"/>
      <c r="C381" s="75"/>
      <c r="D381" s="44"/>
      <c r="E381" s="44"/>
      <c r="F381" s="44"/>
      <c r="G381" s="44"/>
      <c r="H381" s="44"/>
      <c r="I381" s="44"/>
      <c r="J381" s="44"/>
      <c r="K381" s="44"/>
    </row>
    <row r="382" spans="1:11">
      <c r="A382" s="74"/>
      <c r="C382" s="75"/>
      <c r="D382" s="44"/>
      <c r="E382" s="44"/>
      <c r="F382" s="44"/>
      <c r="G382" s="44"/>
      <c r="H382" s="44"/>
      <c r="I382" s="44"/>
      <c r="J382" s="44"/>
      <c r="K382" s="44"/>
    </row>
    <row r="383" spans="1:11">
      <c r="A383" s="74"/>
      <c r="C383" s="75"/>
      <c r="D383" s="44"/>
      <c r="E383" s="44"/>
      <c r="F383" s="44"/>
      <c r="G383" s="44"/>
      <c r="H383" s="44"/>
      <c r="I383" s="44"/>
      <c r="J383" s="44"/>
      <c r="K383" s="44"/>
    </row>
    <row r="384" spans="1:11">
      <c r="A384" s="74"/>
      <c r="C384" s="75"/>
      <c r="D384" s="44"/>
      <c r="E384" s="44"/>
      <c r="F384" s="44"/>
      <c r="G384" s="44"/>
      <c r="H384" s="44"/>
      <c r="I384" s="44"/>
      <c r="J384" s="44"/>
      <c r="K384" s="44"/>
    </row>
    <row r="385" spans="1:11">
      <c r="A385" s="74"/>
      <c r="C385" s="75"/>
      <c r="D385" s="44"/>
      <c r="E385" s="44"/>
      <c r="F385" s="44"/>
      <c r="G385" s="44"/>
      <c r="H385" s="44"/>
      <c r="I385" s="44"/>
      <c r="J385" s="44"/>
      <c r="K385" s="44"/>
    </row>
    <row r="386" spans="1:11">
      <c r="A386" s="74"/>
      <c r="C386" s="75"/>
      <c r="D386" s="44"/>
      <c r="E386" s="44"/>
      <c r="F386" s="44"/>
      <c r="G386" s="44"/>
      <c r="H386" s="44"/>
      <c r="I386" s="44"/>
      <c r="J386" s="44"/>
      <c r="K386" s="44"/>
    </row>
    <row r="387" spans="1:11">
      <c r="A387" s="74"/>
      <c r="C387" s="75"/>
      <c r="D387" s="44"/>
      <c r="E387" s="44"/>
      <c r="F387" s="44"/>
      <c r="G387" s="44"/>
      <c r="H387" s="44"/>
      <c r="I387" s="44"/>
      <c r="J387" s="44"/>
      <c r="K387" s="44"/>
    </row>
    <row r="388" spans="1:11">
      <c r="A388" s="74"/>
      <c r="C388" s="75"/>
      <c r="D388" s="44"/>
      <c r="E388" s="44"/>
      <c r="F388" s="44"/>
      <c r="G388" s="44"/>
      <c r="H388" s="44"/>
      <c r="I388" s="44"/>
      <c r="J388" s="44"/>
      <c r="K388" s="44"/>
    </row>
    <row r="389" spans="1:11">
      <c r="A389" s="74"/>
      <c r="C389" s="75"/>
      <c r="D389" s="44"/>
      <c r="E389" s="44"/>
      <c r="F389" s="44"/>
      <c r="G389" s="44"/>
      <c r="H389" s="44"/>
      <c r="I389" s="44"/>
      <c r="J389" s="44"/>
      <c r="K389" s="44"/>
    </row>
    <row r="390" spans="1:11">
      <c r="A390" s="74"/>
      <c r="C390" s="75"/>
      <c r="D390" s="44"/>
      <c r="E390" s="44"/>
      <c r="F390" s="44"/>
      <c r="G390" s="44"/>
      <c r="H390" s="44"/>
      <c r="I390" s="44"/>
      <c r="J390" s="44"/>
      <c r="K390" s="44"/>
    </row>
    <row r="391" spans="1:11">
      <c r="A391" s="74"/>
      <c r="C391" s="75"/>
      <c r="D391" s="44"/>
      <c r="E391" s="44"/>
      <c r="F391" s="44"/>
      <c r="G391" s="44"/>
      <c r="H391" s="44"/>
      <c r="I391" s="44"/>
      <c r="J391" s="44"/>
      <c r="K391" s="44"/>
    </row>
    <row r="392" spans="1:11">
      <c r="A392" s="74"/>
      <c r="C392" s="75"/>
      <c r="D392" s="44"/>
      <c r="E392" s="44"/>
      <c r="F392" s="44"/>
      <c r="G392" s="44"/>
      <c r="H392" s="44"/>
      <c r="I392" s="44"/>
      <c r="J392" s="44"/>
      <c r="K392" s="44"/>
    </row>
    <row r="393" spans="1:11">
      <c r="A393" s="74"/>
      <c r="C393" s="75"/>
      <c r="D393" s="44"/>
      <c r="E393" s="44"/>
      <c r="F393" s="44"/>
      <c r="G393" s="44"/>
      <c r="H393" s="44"/>
      <c r="I393" s="44"/>
      <c r="J393" s="44"/>
      <c r="K393" s="44"/>
    </row>
    <row r="394" spans="1:11">
      <c r="A394" s="74"/>
      <c r="C394" s="75"/>
      <c r="D394" s="44"/>
      <c r="E394" s="44"/>
      <c r="F394" s="44"/>
      <c r="G394" s="44"/>
      <c r="H394" s="44"/>
      <c r="I394" s="44"/>
      <c r="J394" s="44"/>
      <c r="K394" s="44"/>
    </row>
    <row r="395" spans="1:11">
      <c r="A395" s="74"/>
      <c r="C395" s="75"/>
      <c r="D395" s="44"/>
      <c r="E395" s="44"/>
      <c r="F395" s="44"/>
      <c r="G395" s="44"/>
      <c r="H395" s="44"/>
      <c r="I395" s="44"/>
      <c r="J395" s="44"/>
      <c r="K395" s="44"/>
    </row>
    <row r="396" spans="1:11">
      <c r="A396" s="74"/>
      <c r="C396" s="75"/>
      <c r="D396" s="44"/>
      <c r="E396" s="44"/>
      <c r="F396" s="44"/>
      <c r="G396" s="44"/>
      <c r="H396" s="44"/>
      <c r="I396" s="44"/>
      <c r="J396" s="44"/>
      <c r="K396" s="44"/>
    </row>
    <row r="397" spans="1:11">
      <c r="A397" s="74"/>
      <c r="C397" s="75"/>
      <c r="D397" s="44"/>
      <c r="E397" s="44"/>
      <c r="F397" s="44"/>
      <c r="G397" s="44"/>
      <c r="H397" s="44"/>
      <c r="I397" s="44"/>
      <c r="J397" s="44"/>
      <c r="K397" s="44"/>
    </row>
    <row r="398" spans="1:11">
      <c r="A398" s="74"/>
      <c r="C398" s="75"/>
      <c r="D398" s="44"/>
      <c r="E398" s="44"/>
      <c r="F398" s="44"/>
      <c r="G398" s="44"/>
      <c r="H398" s="44"/>
      <c r="I398" s="44"/>
      <c r="J398" s="44"/>
      <c r="K398" s="44"/>
    </row>
    <row r="399" spans="1:11">
      <c r="A399" s="74"/>
      <c r="C399" s="75"/>
      <c r="D399" s="44"/>
      <c r="E399" s="44"/>
      <c r="F399" s="44"/>
      <c r="G399" s="44"/>
      <c r="H399" s="44"/>
      <c r="I399" s="44"/>
      <c r="J399" s="44"/>
      <c r="K399" s="44"/>
    </row>
    <row r="400" spans="1:11">
      <c r="A400" s="74"/>
      <c r="C400" s="75"/>
      <c r="D400" s="44"/>
      <c r="E400" s="44"/>
      <c r="F400" s="44"/>
      <c r="G400" s="44"/>
      <c r="H400" s="44"/>
      <c r="I400" s="44"/>
      <c r="J400" s="44"/>
      <c r="K400" s="44"/>
    </row>
    <row r="401" spans="1:11">
      <c r="A401" s="74"/>
      <c r="C401" s="75"/>
      <c r="D401" s="44"/>
      <c r="E401" s="44"/>
      <c r="F401" s="44"/>
      <c r="G401" s="44"/>
      <c r="H401" s="44"/>
      <c r="I401" s="44"/>
      <c r="J401" s="44"/>
      <c r="K401" s="44"/>
    </row>
    <row r="402" spans="1:11">
      <c r="A402" s="74"/>
      <c r="C402" s="75"/>
      <c r="D402" s="44"/>
      <c r="E402" s="44"/>
      <c r="F402" s="44"/>
      <c r="G402" s="44"/>
      <c r="H402" s="44"/>
      <c r="I402" s="44"/>
      <c r="J402" s="44"/>
      <c r="K402" s="44"/>
    </row>
    <row r="403" spans="1:11">
      <c r="A403" s="74"/>
      <c r="C403" s="75"/>
      <c r="D403" s="44"/>
      <c r="E403" s="44"/>
      <c r="F403" s="44"/>
      <c r="G403" s="44"/>
      <c r="H403" s="44"/>
      <c r="I403" s="44"/>
      <c r="J403" s="44"/>
      <c r="K403" s="44"/>
    </row>
    <row r="404" spans="1:11">
      <c r="A404" s="74"/>
      <c r="C404" s="75"/>
      <c r="D404" s="44"/>
      <c r="E404" s="44"/>
      <c r="F404" s="44"/>
      <c r="G404" s="44"/>
      <c r="H404" s="44"/>
      <c r="I404" s="44"/>
      <c r="J404" s="44"/>
      <c r="K404" s="44"/>
    </row>
    <row r="405" spans="1:11">
      <c r="A405" s="74"/>
      <c r="C405" s="75"/>
      <c r="D405" s="44"/>
      <c r="E405" s="44"/>
      <c r="F405" s="44"/>
      <c r="G405" s="44"/>
      <c r="H405" s="44"/>
      <c r="I405" s="44"/>
      <c r="J405" s="44"/>
      <c r="K405" s="44"/>
    </row>
    <row r="406" spans="1:11">
      <c r="A406" s="74"/>
      <c r="C406" s="75"/>
      <c r="D406" s="44"/>
      <c r="E406" s="44"/>
      <c r="F406" s="44"/>
      <c r="G406" s="44"/>
      <c r="H406" s="44"/>
      <c r="I406" s="44"/>
      <c r="J406" s="44"/>
      <c r="K406" s="44"/>
    </row>
    <row r="407" spans="1:11">
      <c r="A407" s="74"/>
      <c r="C407" s="75"/>
      <c r="D407" s="44"/>
      <c r="E407" s="44"/>
      <c r="F407" s="44"/>
      <c r="G407" s="44"/>
      <c r="H407" s="44"/>
      <c r="I407" s="44"/>
      <c r="J407" s="44"/>
      <c r="K407" s="44"/>
    </row>
    <row r="408" spans="1:11">
      <c r="A408" s="74"/>
      <c r="C408" s="75"/>
      <c r="D408" s="44"/>
      <c r="E408" s="44"/>
      <c r="F408" s="44"/>
      <c r="G408" s="44"/>
      <c r="H408" s="44"/>
      <c r="I408" s="44"/>
      <c r="J408" s="44"/>
      <c r="K408" s="44"/>
    </row>
    <row r="409" spans="1:11">
      <c r="A409" s="74"/>
      <c r="C409" s="75"/>
      <c r="D409" s="44"/>
      <c r="E409" s="44"/>
      <c r="F409" s="44"/>
      <c r="G409" s="44"/>
      <c r="H409" s="44"/>
      <c r="I409" s="44"/>
      <c r="J409" s="44"/>
      <c r="K409" s="44"/>
    </row>
    <row r="410" spans="1:11">
      <c r="A410" s="74"/>
      <c r="C410" s="75"/>
      <c r="D410" s="44"/>
      <c r="E410" s="44"/>
      <c r="F410" s="44"/>
      <c r="G410" s="44"/>
      <c r="H410" s="44"/>
      <c r="I410" s="44"/>
      <c r="J410" s="44"/>
      <c r="K410" s="44"/>
    </row>
    <row r="411" spans="1:11">
      <c r="A411" s="74"/>
      <c r="C411" s="75"/>
      <c r="D411" s="44"/>
      <c r="E411" s="44"/>
      <c r="F411" s="44"/>
      <c r="G411" s="44"/>
      <c r="H411" s="44"/>
      <c r="I411" s="44"/>
      <c r="J411" s="44"/>
      <c r="K411" s="44"/>
    </row>
    <row r="412" spans="1:11">
      <c r="A412" s="74"/>
      <c r="C412" s="75"/>
      <c r="D412" s="44"/>
      <c r="E412" s="44"/>
      <c r="F412" s="44"/>
      <c r="G412" s="44"/>
      <c r="H412" s="44"/>
      <c r="I412" s="44"/>
      <c r="J412" s="44"/>
      <c r="K412" s="44"/>
    </row>
    <row r="413" spans="1:11">
      <c r="A413" s="74"/>
      <c r="C413" s="75"/>
      <c r="D413" s="44"/>
      <c r="E413" s="44"/>
      <c r="F413" s="44"/>
      <c r="G413" s="44"/>
      <c r="H413" s="44"/>
      <c r="I413" s="44"/>
      <c r="J413" s="44"/>
      <c r="K413" s="44"/>
    </row>
    <row r="414" spans="1:11">
      <c r="A414" s="74"/>
      <c r="C414" s="75"/>
      <c r="D414" s="44"/>
      <c r="E414" s="44"/>
      <c r="F414" s="44"/>
      <c r="G414" s="44"/>
      <c r="H414" s="44"/>
      <c r="I414" s="44"/>
      <c r="J414" s="44"/>
      <c r="K414" s="44"/>
    </row>
    <row r="415" spans="1:11">
      <c r="A415" s="74"/>
      <c r="C415" s="75"/>
      <c r="D415" s="44"/>
      <c r="E415" s="44"/>
      <c r="F415" s="44"/>
      <c r="G415" s="44"/>
      <c r="H415" s="44"/>
      <c r="I415" s="44"/>
      <c r="J415" s="44"/>
      <c r="K415" s="44"/>
    </row>
    <row r="416" spans="1:11">
      <c r="A416" s="74"/>
      <c r="C416" s="75"/>
      <c r="D416" s="44"/>
      <c r="E416" s="44"/>
      <c r="F416" s="44"/>
      <c r="G416" s="44"/>
      <c r="H416" s="44"/>
      <c r="I416" s="44"/>
      <c r="J416" s="44"/>
      <c r="K416" s="44"/>
    </row>
    <row r="417" spans="1:11">
      <c r="A417" s="74"/>
      <c r="C417" s="75"/>
      <c r="D417" s="44"/>
      <c r="E417" s="44"/>
      <c r="F417" s="44"/>
      <c r="G417" s="44"/>
      <c r="H417" s="44"/>
      <c r="I417" s="44"/>
      <c r="J417" s="44"/>
      <c r="K417" s="44"/>
    </row>
    <row r="418" spans="1:11">
      <c r="A418" s="74"/>
      <c r="C418" s="75"/>
      <c r="D418" s="44"/>
      <c r="E418" s="44"/>
      <c r="F418" s="44"/>
      <c r="G418" s="44"/>
      <c r="H418" s="44"/>
      <c r="I418" s="44"/>
      <c r="J418" s="44"/>
      <c r="K418" s="44"/>
    </row>
    <row r="419" spans="1:11">
      <c r="A419" s="74"/>
      <c r="C419" s="75"/>
      <c r="D419" s="44"/>
      <c r="E419" s="44"/>
      <c r="F419" s="44"/>
      <c r="G419" s="44"/>
      <c r="H419" s="44"/>
      <c r="I419" s="44"/>
      <c r="J419" s="44"/>
      <c r="K419" s="44"/>
    </row>
    <row r="420" spans="1:11">
      <c r="A420" s="74"/>
      <c r="C420" s="75"/>
      <c r="D420" s="44"/>
      <c r="E420" s="44"/>
      <c r="F420" s="44"/>
      <c r="G420" s="44"/>
      <c r="H420" s="44"/>
      <c r="I420" s="44"/>
      <c r="J420" s="44"/>
      <c r="K420" s="44"/>
    </row>
    <row r="421" spans="1:11">
      <c r="A421" s="74"/>
      <c r="C421" s="75"/>
      <c r="D421" s="44"/>
      <c r="E421" s="44"/>
      <c r="F421" s="44"/>
      <c r="G421" s="44"/>
      <c r="H421" s="44"/>
      <c r="I421" s="44"/>
      <c r="J421" s="44"/>
      <c r="K421" s="44"/>
    </row>
    <row r="422" spans="1:11">
      <c r="A422" s="74"/>
      <c r="C422" s="75"/>
      <c r="D422" s="44"/>
      <c r="E422" s="44"/>
      <c r="F422" s="44"/>
      <c r="G422" s="44"/>
      <c r="H422" s="44"/>
      <c r="I422" s="44"/>
      <c r="J422" s="44"/>
      <c r="K422" s="44"/>
    </row>
    <row r="423" spans="1:11">
      <c r="A423" s="74"/>
      <c r="C423" s="75"/>
      <c r="D423" s="44"/>
      <c r="E423" s="44"/>
      <c r="F423" s="44"/>
      <c r="G423" s="44"/>
      <c r="H423" s="44"/>
      <c r="I423" s="44"/>
      <c r="J423" s="44"/>
      <c r="K423" s="44"/>
    </row>
    <row r="424" spans="1:11">
      <c r="A424" s="74"/>
      <c r="C424" s="75"/>
      <c r="D424" s="44"/>
      <c r="E424" s="44"/>
      <c r="F424" s="44"/>
      <c r="G424" s="44"/>
      <c r="H424" s="44"/>
      <c r="I424" s="44"/>
      <c r="J424" s="44"/>
      <c r="K424" s="44"/>
    </row>
    <row r="425" spans="1:11">
      <c r="A425" s="74"/>
      <c r="C425" s="75"/>
      <c r="D425" s="44"/>
      <c r="E425" s="44"/>
      <c r="F425" s="44"/>
      <c r="G425" s="44"/>
      <c r="H425" s="44"/>
      <c r="I425" s="44"/>
      <c r="J425" s="44"/>
      <c r="K425" s="44"/>
    </row>
    <row r="426" spans="1:11">
      <c r="A426" s="74"/>
      <c r="C426" s="75"/>
      <c r="D426" s="44"/>
      <c r="E426" s="44"/>
      <c r="F426" s="44"/>
      <c r="G426" s="44"/>
      <c r="H426" s="44"/>
      <c r="I426" s="44"/>
      <c r="J426" s="44"/>
      <c r="K426" s="44"/>
    </row>
    <row r="427" spans="1:11">
      <c r="A427" s="74"/>
      <c r="C427" s="75"/>
      <c r="D427" s="44"/>
      <c r="E427" s="44"/>
      <c r="F427" s="44"/>
      <c r="G427" s="44"/>
      <c r="H427" s="44"/>
      <c r="I427" s="44"/>
      <c r="J427" s="44"/>
      <c r="K427" s="44"/>
    </row>
    <row r="428" spans="1:11">
      <c r="A428" s="74"/>
      <c r="C428" s="75"/>
      <c r="D428" s="44"/>
      <c r="E428" s="44"/>
      <c r="F428" s="44"/>
      <c r="G428" s="44"/>
      <c r="H428" s="44"/>
      <c r="I428" s="44"/>
      <c r="J428" s="44"/>
      <c r="K428" s="44"/>
    </row>
    <row r="429" spans="1:11">
      <c r="A429" s="74"/>
      <c r="C429" s="75"/>
      <c r="D429" s="44"/>
      <c r="E429" s="44"/>
      <c r="F429" s="44"/>
      <c r="G429" s="44"/>
      <c r="H429" s="44"/>
      <c r="I429" s="44"/>
      <c r="J429" s="44"/>
      <c r="K429" s="44"/>
    </row>
    <row r="430" spans="1:11">
      <c r="A430" s="74"/>
      <c r="C430" s="75"/>
      <c r="D430" s="44"/>
      <c r="E430" s="44"/>
      <c r="F430" s="44"/>
      <c r="G430" s="44"/>
      <c r="H430" s="44"/>
      <c r="I430" s="44"/>
      <c r="J430" s="44"/>
      <c r="K430" s="44"/>
    </row>
    <row r="431" spans="1:11">
      <c r="A431" s="74"/>
      <c r="C431" s="75"/>
      <c r="D431" s="44"/>
      <c r="E431" s="44"/>
      <c r="F431" s="44"/>
      <c r="G431" s="44"/>
      <c r="H431" s="44"/>
      <c r="I431" s="44"/>
      <c r="J431" s="44"/>
      <c r="K431" s="44"/>
    </row>
    <row r="432" spans="1:11">
      <c r="A432" s="74"/>
      <c r="C432" s="75"/>
      <c r="D432" s="44"/>
      <c r="E432" s="44"/>
      <c r="F432" s="44"/>
      <c r="G432" s="44"/>
      <c r="H432" s="44"/>
      <c r="I432" s="44"/>
      <c r="J432" s="44"/>
      <c r="K432" s="44"/>
    </row>
    <row r="433" spans="1:11">
      <c r="A433" s="74"/>
      <c r="C433" s="75"/>
      <c r="D433" s="44"/>
      <c r="E433" s="44"/>
      <c r="F433" s="44"/>
      <c r="G433" s="44"/>
      <c r="H433" s="44"/>
      <c r="I433" s="44"/>
      <c r="J433" s="44"/>
      <c r="K433" s="44"/>
    </row>
    <row r="434" spans="1:11">
      <c r="A434" s="74"/>
      <c r="C434" s="75"/>
      <c r="D434" s="44"/>
      <c r="E434" s="44"/>
      <c r="F434" s="44"/>
      <c r="G434" s="44"/>
      <c r="H434" s="44"/>
      <c r="I434" s="44"/>
      <c r="J434" s="44"/>
      <c r="K434" s="44"/>
    </row>
    <row r="435" spans="1:11">
      <c r="A435" s="74"/>
      <c r="C435" s="75"/>
      <c r="D435" s="44"/>
      <c r="E435" s="44"/>
      <c r="F435" s="44"/>
      <c r="G435" s="44"/>
      <c r="H435" s="44"/>
      <c r="I435" s="44"/>
      <c r="J435" s="44"/>
      <c r="K435" s="44"/>
    </row>
    <row r="436" spans="1:11">
      <c r="A436" s="74"/>
      <c r="C436" s="75"/>
      <c r="D436" s="44"/>
      <c r="E436" s="44"/>
      <c r="F436" s="44"/>
      <c r="G436" s="44"/>
      <c r="H436" s="44"/>
      <c r="I436" s="44"/>
      <c r="J436" s="44"/>
      <c r="K436" s="44"/>
    </row>
    <row r="437" spans="1:11">
      <c r="A437" s="74"/>
      <c r="C437" s="75"/>
      <c r="D437" s="44"/>
      <c r="E437" s="44"/>
      <c r="F437" s="44"/>
      <c r="G437" s="44"/>
      <c r="H437" s="44"/>
      <c r="I437" s="44"/>
      <c r="J437" s="44"/>
      <c r="K437" s="44"/>
    </row>
    <row r="438" spans="1:11">
      <c r="A438" s="74"/>
      <c r="C438" s="75"/>
      <c r="D438" s="44"/>
      <c r="E438" s="44"/>
      <c r="F438" s="44"/>
      <c r="G438" s="44"/>
      <c r="H438" s="44"/>
      <c r="I438" s="44"/>
      <c r="J438" s="44"/>
      <c r="K438" s="44"/>
    </row>
    <row r="439" spans="1:11">
      <c r="A439" s="74"/>
      <c r="C439" s="75"/>
      <c r="D439" s="44"/>
      <c r="E439" s="44"/>
      <c r="F439" s="44"/>
      <c r="G439" s="44"/>
      <c r="H439" s="44"/>
      <c r="I439" s="44"/>
      <c r="J439" s="44"/>
      <c r="K439" s="44"/>
    </row>
    <row r="440" spans="1:11">
      <c r="A440" s="74"/>
      <c r="C440" s="75"/>
      <c r="D440" s="44"/>
      <c r="E440" s="44"/>
      <c r="F440" s="44"/>
      <c r="G440" s="44"/>
      <c r="H440" s="44"/>
      <c r="I440" s="44"/>
      <c r="J440" s="44"/>
      <c r="K440" s="44"/>
    </row>
    <row r="441" spans="1:11">
      <c r="A441" s="74"/>
      <c r="C441" s="75"/>
      <c r="D441" s="44"/>
      <c r="E441" s="44"/>
      <c r="F441" s="44"/>
      <c r="G441" s="44"/>
      <c r="H441" s="44"/>
      <c r="I441" s="44"/>
      <c r="J441" s="44"/>
      <c r="K441" s="44"/>
    </row>
    <row r="442" spans="1:11">
      <c r="A442" s="74"/>
      <c r="C442" s="75"/>
      <c r="D442" s="44"/>
      <c r="E442" s="44"/>
      <c r="F442" s="44"/>
      <c r="G442" s="44"/>
      <c r="H442" s="44"/>
      <c r="I442" s="44"/>
      <c r="J442" s="44"/>
      <c r="K442" s="44"/>
    </row>
    <row r="443" spans="1:11">
      <c r="A443" s="74"/>
      <c r="C443" s="75"/>
      <c r="D443" s="44"/>
      <c r="E443" s="44"/>
      <c r="F443" s="44"/>
      <c r="G443" s="44"/>
      <c r="H443" s="44"/>
      <c r="I443" s="44"/>
      <c r="J443" s="44"/>
      <c r="K443" s="44"/>
    </row>
    <row r="444" spans="1:11">
      <c r="A444" s="74"/>
      <c r="C444" s="75"/>
      <c r="D444" s="44"/>
      <c r="E444" s="44"/>
      <c r="F444" s="44"/>
      <c r="G444" s="44"/>
      <c r="H444" s="44"/>
      <c r="I444" s="44"/>
      <c r="J444" s="44"/>
      <c r="K444" s="44"/>
    </row>
    <row r="445" spans="1:11">
      <c r="A445" s="74"/>
      <c r="C445" s="75"/>
      <c r="D445" s="44"/>
      <c r="E445" s="44"/>
      <c r="F445" s="44"/>
      <c r="G445" s="44"/>
      <c r="H445" s="44"/>
      <c r="I445" s="44"/>
      <c r="J445" s="44"/>
      <c r="K445" s="44"/>
    </row>
    <row r="446" spans="1:11">
      <c r="A446" s="74"/>
      <c r="C446" s="75"/>
      <c r="D446" s="44"/>
      <c r="E446" s="44"/>
      <c r="F446" s="44"/>
      <c r="G446" s="44"/>
      <c r="H446" s="44"/>
      <c r="I446" s="44"/>
      <c r="J446" s="44"/>
      <c r="K446" s="44"/>
    </row>
    <row r="447" spans="1:11">
      <c r="A447" s="74"/>
      <c r="C447" s="75"/>
      <c r="D447" s="44"/>
      <c r="E447" s="44"/>
      <c r="F447" s="44"/>
      <c r="G447" s="44"/>
      <c r="H447" s="44"/>
      <c r="I447" s="44"/>
      <c r="J447" s="44"/>
      <c r="K447" s="44"/>
    </row>
    <row r="448" spans="1:11">
      <c r="A448" s="74"/>
      <c r="C448" s="75"/>
      <c r="D448" s="44"/>
      <c r="E448" s="44"/>
      <c r="F448" s="44"/>
      <c r="G448" s="44"/>
      <c r="H448" s="44"/>
      <c r="I448" s="44"/>
      <c r="J448" s="44"/>
      <c r="K448" s="44"/>
    </row>
    <row r="449" spans="1:11">
      <c r="A449" s="74"/>
      <c r="C449" s="75"/>
      <c r="D449" s="44"/>
      <c r="E449" s="44"/>
      <c r="F449" s="44"/>
      <c r="G449" s="44"/>
      <c r="H449" s="44"/>
      <c r="I449" s="44"/>
      <c r="J449" s="44"/>
      <c r="K449" s="44"/>
    </row>
    <row r="450" spans="1:11">
      <c r="A450" s="74"/>
      <c r="C450" s="75"/>
      <c r="D450" s="44"/>
      <c r="E450" s="44"/>
      <c r="F450" s="44"/>
      <c r="G450" s="44"/>
      <c r="H450" s="44"/>
      <c r="I450" s="44"/>
      <c r="J450" s="44"/>
      <c r="K450" s="44"/>
    </row>
    <row r="451" spans="1:11">
      <c r="A451" s="74"/>
      <c r="C451" s="75"/>
      <c r="D451" s="44"/>
      <c r="E451" s="44"/>
      <c r="F451" s="44"/>
      <c r="G451" s="44"/>
      <c r="H451" s="44"/>
      <c r="I451" s="44"/>
      <c r="J451" s="44"/>
      <c r="K451" s="44"/>
    </row>
    <row r="452" spans="1:11">
      <c r="A452" s="74"/>
      <c r="C452" s="75"/>
      <c r="D452" s="44"/>
      <c r="E452" s="44"/>
      <c r="F452" s="44"/>
      <c r="G452" s="44"/>
      <c r="H452" s="44"/>
      <c r="I452" s="44"/>
      <c r="J452" s="44"/>
      <c r="K452" s="44"/>
    </row>
    <row r="453" spans="1:11">
      <c r="A453" s="74"/>
      <c r="C453" s="75"/>
      <c r="D453" s="44"/>
      <c r="E453" s="44"/>
      <c r="F453" s="44"/>
      <c r="G453" s="44"/>
      <c r="H453" s="44"/>
      <c r="I453" s="44"/>
      <c r="J453" s="44"/>
      <c r="K453" s="44"/>
    </row>
    <row r="454" spans="1:11">
      <c r="A454" s="74"/>
      <c r="C454" s="75"/>
      <c r="D454" s="44"/>
      <c r="E454" s="44"/>
      <c r="F454" s="44"/>
      <c r="G454" s="44"/>
      <c r="H454" s="44"/>
      <c r="I454" s="44"/>
      <c r="J454" s="44"/>
      <c r="K454" s="44"/>
    </row>
    <row r="455" spans="1:11">
      <c r="A455" s="74"/>
      <c r="C455" s="75"/>
      <c r="D455" s="44"/>
      <c r="E455" s="44"/>
      <c r="F455" s="44"/>
      <c r="G455" s="44"/>
      <c r="H455" s="44"/>
      <c r="I455" s="44"/>
      <c r="J455" s="44"/>
      <c r="K455" s="44"/>
    </row>
    <row r="456" spans="1:11">
      <c r="A456" s="74"/>
      <c r="C456" s="75"/>
      <c r="D456" s="44"/>
      <c r="E456" s="44"/>
      <c r="F456" s="44"/>
      <c r="G456" s="44"/>
      <c r="H456" s="44"/>
      <c r="I456" s="44"/>
      <c r="J456" s="44"/>
      <c r="K456" s="44"/>
    </row>
    <row r="457" spans="1:11">
      <c r="A457" s="74"/>
      <c r="C457" s="75"/>
      <c r="D457" s="44"/>
      <c r="E457" s="44"/>
      <c r="F457" s="44"/>
      <c r="G457" s="44"/>
      <c r="H457" s="44"/>
      <c r="I457" s="44"/>
      <c r="J457" s="44"/>
      <c r="K457" s="44"/>
    </row>
    <row r="458" spans="1:11">
      <c r="A458" s="74"/>
      <c r="C458" s="75"/>
      <c r="D458" s="44"/>
      <c r="E458" s="44"/>
      <c r="F458" s="44"/>
      <c r="G458" s="44"/>
      <c r="H458" s="44"/>
      <c r="I458" s="44"/>
      <c r="J458" s="44"/>
      <c r="K458" s="44"/>
    </row>
    <row r="459" spans="1:11">
      <c r="A459" s="74"/>
      <c r="C459" s="75"/>
      <c r="D459" s="44"/>
      <c r="E459" s="44"/>
      <c r="F459" s="44"/>
      <c r="G459" s="44"/>
      <c r="H459" s="44"/>
      <c r="I459" s="44"/>
      <c r="J459" s="44"/>
      <c r="K459" s="44"/>
    </row>
    <row r="460" spans="1:11">
      <c r="A460" s="74"/>
      <c r="C460" s="75"/>
      <c r="D460" s="44"/>
      <c r="E460" s="44"/>
      <c r="F460" s="44"/>
      <c r="G460" s="44"/>
      <c r="H460" s="44"/>
      <c r="I460" s="44"/>
      <c r="J460" s="44"/>
      <c r="K460" s="44"/>
    </row>
    <row r="461" spans="1:11">
      <c r="A461" s="74"/>
      <c r="C461" s="75"/>
      <c r="D461" s="44"/>
      <c r="E461" s="44"/>
      <c r="F461" s="44"/>
      <c r="G461" s="44"/>
      <c r="H461" s="44"/>
      <c r="I461" s="44"/>
      <c r="J461" s="44"/>
      <c r="K461" s="44"/>
    </row>
    <row r="462" spans="1:11">
      <c r="A462" s="74"/>
      <c r="C462" s="75"/>
      <c r="D462" s="44"/>
      <c r="E462" s="44"/>
      <c r="F462" s="44"/>
      <c r="G462" s="44"/>
      <c r="H462" s="44"/>
      <c r="I462" s="44"/>
      <c r="J462" s="44"/>
      <c r="K462" s="44"/>
    </row>
    <row r="463" spans="1:11">
      <c r="A463" s="74"/>
      <c r="C463" s="75"/>
      <c r="D463" s="44"/>
      <c r="E463" s="44"/>
      <c r="F463" s="44"/>
      <c r="G463" s="44"/>
      <c r="H463" s="44"/>
      <c r="I463" s="44"/>
      <c r="J463" s="44"/>
      <c r="K463" s="44"/>
    </row>
    <row r="464" spans="1:11">
      <c r="A464" s="74"/>
      <c r="C464" s="75"/>
      <c r="D464" s="44"/>
      <c r="E464" s="44"/>
      <c r="F464" s="44"/>
      <c r="G464" s="44"/>
      <c r="H464" s="44"/>
      <c r="I464" s="44"/>
      <c r="J464" s="44"/>
      <c r="K464" s="44"/>
    </row>
    <row r="465" spans="1:11">
      <c r="A465" s="74"/>
      <c r="C465" s="75"/>
      <c r="D465" s="44"/>
      <c r="E465" s="44"/>
      <c r="F465" s="44"/>
      <c r="G465" s="44"/>
      <c r="H465" s="44"/>
      <c r="I465" s="44"/>
      <c r="J465" s="44"/>
      <c r="K465" s="44"/>
    </row>
    <row r="466" spans="1:11">
      <c r="A466" s="74"/>
      <c r="C466" s="75"/>
      <c r="D466" s="44"/>
      <c r="E466" s="44"/>
      <c r="F466" s="44"/>
      <c r="G466" s="44"/>
      <c r="H466" s="44"/>
      <c r="I466" s="44"/>
      <c r="J466" s="44"/>
      <c r="K466" s="44"/>
    </row>
    <row r="467" spans="1:11">
      <c r="A467" s="74"/>
      <c r="C467" s="75"/>
      <c r="D467" s="44"/>
      <c r="E467" s="44"/>
      <c r="F467" s="44"/>
      <c r="G467" s="44"/>
      <c r="H467" s="44"/>
      <c r="I467" s="44"/>
      <c r="J467" s="44"/>
      <c r="K467" s="44"/>
    </row>
    <row r="468" spans="1:11">
      <c r="A468" s="74"/>
      <c r="C468" s="75"/>
      <c r="D468" s="44"/>
      <c r="E468" s="44"/>
      <c r="F468" s="44"/>
      <c r="G468" s="44"/>
      <c r="H468" s="44"/>
      <c r="I468" s="44"/>
      <c r="J468" s="44"/>
      <c r="K468" s="44"/>
    </row>
    <row r="469" spans="1:11">
      <c r="A469" s="74"/>
      <c r="C469" s="75"/>
      <c r="D469" s="44"/>
      <c r="E469" s="44"/>
      <c r="F469" s="44"/>
      <c r="G469" s="44"/>
      <c r="H469" s="44"/>
      <c r="I469" s="44"/>
      <c r="J469" s="44"/>
      <c r="K469" s="44"/>
    </row>
    <row r="470" spans="1:11">
      <c r="A470" s="74"/>
      <c r="C470" s="75"/>
      <c r="D470" s="44"/>
      <c r="E470" s="44"/>
      <c r="F470" s="44"/>
      <c r="G470" s="44"/>
      <c r="H470" s="44"/>
      <c r="I470" s="44"/>
      <c r="J470" s="44"/>
      <c r="K470" s="44"/>
    </row>
    <row r="471" spans="1:11">
      <c r="A471" s="74"/>
      <c r="C471" s="75"/>
      <c r="D471" s="44"/>
      <c r="E471" s="44"/>
      <c r="F471" s="44"/>
      <c r="G471" s="44"/>
      <c r="H471" s="44"/>
      <c r="I471" s="44"/>
      <c r="J471" s="44"/>
      <c r="K471" s="44"/>
    </row>
    <row r="472" spans="1:11">
      <c r="A472" s="74"/>
      <c r="C472" s="75"/>
      <c r="D472" s="44"/>
      <c r="E472" s="44"/>
      <c r="F472" s="44"/>
      <c r="G472" s="44"/>
      <c r="H472" s="44"/>
      <c r="I472" s="44"/>
      <c r="J472" s="44"/>
      <c r="K472" s="44"/>
    </row>
    <row r="473" spans="1:11">
      <c r="A473" s="74"/>
      <c r="C473" s="75"/>
      <c r="D473" s="44"/>
      <c r="E473" s="44"/>
      <c r="F473" s="44"/>
      <c r="G473" s="44"/>
      <c r="H473" s="44"/>
      <c r="I473" s="44"/>
      <c r="J473" s="44"/>
      <c r="K473" s="44"/>
    </row>
    <row r="474" spans="1:11">
      <c r="A474" s="74"/>
      <c r="C474" s="75"/>
      <c r="D474" s="44"/>
      <c r="E474" s="44"/>
      <c r="F474" s="44"/>
      <c r="G474" s="44"/>
      <c r="H474" s="44"/>
      <c r="I474" s="44"/>
      <c r="J474" s="44"/>
      <c r="K474" s="44"/>
    </row>
    <row r="475" spans="1:11">
      <c r="A475" s="74"/>
      <c r="C475" s="75"/>
      <c r="D475" s="44"/>
      <c r="E475" s="44"/>
      <c r="F475" s="44"/>
      <c r="G475" s="44"/>
      <c r="H475" s="44"/>
      <c r="I475" s="44"/>
      <c r="J475" s="44"/>
      <c r="K475" s="44"/>
    </row>
    <row r="476" spans="1:11">
      <c r="A476" s="74"/>
      <c r="C476" s="75"/>
      <c r="D476" s="44"/>
      <c r="E476" s="44"/>
      <c r="F476" s="44"/>
      <c r="G476" s="44"/>
      <c r="H476" s="44"/>
      <c r="I476" s="44"/>
      <c r="J476" s="44"/>
      <c r="K476" s="44"/>
    </row>
    <row r="477" spans="1:11">
      <c r="A477" s="74"/>
      <c r="C477" s="75"/>
      <c r="D477" s="44"/>
      <c r="E477" s="44"/>
      <c r="F477" s="44"/>
      <c r="G477" s="44"/>
      <c r="H477" s="44"/>
      <c r="I477" s="44"/>
      <c r="J477" s="44"/>
      <c r="K477" s="44"/>
    </row>
    <row r="478" spans="1:11">
      <c r="A478" s="74"/>
      <c r="C478" s="75"/>
      <c r="D478" s="44"/>
      <c r="E478" s="44"/>
      <c r="F478" s="44"/>
      <c r="G478" s="44"/>
      <c r="H478" s="44"/>
      <c r="I478" s="44"/>
      <c r="J478" s="44"/>
      <c r="K478" s="44"/>
    </row>
    <row r="479" spans="1:11">
      <c r="A479" s="74"/>
      <c r="C479" s="75"/>
      <c r="D479" s="44"/>
      <c r="E479" s="44"/>
      <c r="F479" s="44"/>
      <c r="G479" s="44"/>
      <c r="H479" s="44"/>
      <c r="I479" s="44"/>
      <c r="J479" s="44"/>
      <c r="K479" s="44"/>
    </row>
    <row r="480" spans="1:11">
      <c r="A480" s="74"/>
      <c r="C480" s="75"/>
      <c r="D480" s="44"/>
      <c r="E480" s="44"/>
      <c r="F480" s="44"/>
      <c r="G480" s="44"/>
      <c r="H480" s="44"/>
      <c r="I480" s="44"/>
      <c r="J480" s="44"/>
      <c r="K480" s="44"/>
    </row>
    <row r="481" spans="1:11">
      <c r="A481" s="74"/>
      <c r="C481" s="75"/>
      <c r="D481" s="44"/>
      <c r="E481" s="44"/>
      <c r="F481" s="44"/>
      <c r="G481" s="44"/>
      <c r="H481" s="44"/>
      <c r="I481" s="44"/>
      <c r="J481" s="44"/>
      <c r="K481" s="44"/>
    </row>
    <row r="482" spans="1:11">
      <c r="A482" s="74"/>
      <c r="C482" s="75"/>
      <c r="D482" s="44"/>
      <c r="E482" s="44"/>
      <c r="F482" s="44"/>
      <c r="G482" s="44"/>
      <c r="H482" s="44"/>
      <c r="I482" s="44"/>
      <c r="J482" s="44"/>
      <c r="K482" s="44"/>
    </row>
    <row r="483" spans="1:11">
      <c r="A483" s="74"/>
      <c r="C483" s="75"/>
      <c r="D483" s="44"/>
      <c r="E483" s="44"/>
      <c r="F483" s="44"/>
      <c r="G483" s="44"/>
      <c r="H483" s="44"/>
      <c r="I483" s="44"/>
      <c r="J483" s="44"/>
      <c r="K483" s="44"/>
    </row>
    <row r="484" spans="1:11">
      <c r="A484" s="74"/>
      <c r="C484" s="75"/>
      <c r="D484" s="44"/>
      <c r="E484" s="44"/>
      <c r="F484" s="44"/>
      <c r="G484" s="44"/>
      <c r="H484" s="44"/>
      <c r="I484" s="44"/>
      <c r="J484" s="44"/>
      <c r="K484" s="44"/>
    </row>
    <row r="485" spans="1:11">
      <c r="A485" s="74"/>
      <c r="C485" s="75"/>
      <c r="D485" s="44"/>
      <c r="E485" s="44"/>
      <c r="F485" s="44"/>
      <c r="G485" s="44"/>
      <c r="H485" s="44"/>
      <c r="I485" s="44"/>
      <c r="J485" s="44"/>
      <c r="K485" s="44"/>
    </row>
    <row r="486" spans="1:11">
      <c r="A486" s="74"/>
      <c r="C486" s="75"/>
      <c r="D486" s="44"/>
      <c r="E486" s="44"/>
      <c r="F486" s="44"/>
      <c r="G486" s="44"/>
      <c r="H486" s="44"/>
      <c r="I486" s="44"/>
      <c r="J486" s="44"/>
      <c r="K486" s="44"/>
    </row>
    <row r="487" spans="1:11">
      <c r="A487" s="74"/>
      <c r="C487" s="75"/>
      <c r="D487" s="44"/>
      <c r="E487" s="44"/>
      <c r="F487" s="44"/>
      <c r="G487" s="44"/>
      <c r="H487" s="44"/>
      <c r="I487" s="44"/>
      <c r="J487" s="44"/>
      <c r="K487" s="44"/>
    </row>
    <row r="488" spans="1:11">
      <c r="A488" s="74"/>
      <c r="C488" s="75"/>
      <c r="D488" s="44"/>
      <c r="E488" s="44"/>
      <c r="F488" s="44"/>
      <c r="G488" s="44"/>
      <c r="H488" s="44"/>
      <c r="I488" s="44"/>
      <c r="J488" s="44"/>
      <c r="K488" s="44"/>
    </row>
    <row r="489" spans="1:11">
      <c r="A489" s="74"/>
      <c r="C489" s="75"/>
      <c r="D489" s="44"/>
      <c r="E489" s="44"/>
      <c r="F489" s="44"/>
      <c r="G489" s="44"/>
      <c r="H489" s="44"/>
      <c r="I489" s="44"/>
      <c r="J489" s="44"/>
      <c r="K489" s="44"/>
    </row>
    <row r="490" spans="1:11">
      <c r="A490" s="74"/>
      <c r="C490" s="75"/>
      <c r="D490" s="44"/>
      <c r="E490" s="44"/>
      <c r="F490" s="44"/>
      <c r="G490" s="44"/>
      <c r="H490" s="44"/>
      <c r="I490" s="44"/>
      <c r="J490" s="44"/>
      <c r="K490" s="44"/>
    </row>
    <row r="491" spans="1:11">
      <c r="A491" s="74"/>
      <c r="C491" s="75"/>
      <c r="D491" s="44"/>
      <c r="E491" s="44"/>
      <c r="F491" s="44"/>
      <c r="G491" s="44"/>
      <c r="H491" s="44"/>
      <c r="I491" s="44"/>
      <c r="J491" s="44"/>
      <c r="K491" s="44"/>
    </row>
    <row r="492" spans="1:11">
      <c r="A492" s="74"/>
      <c r="C492" s="75"/>
      <c r="D492" s="44"/>
      <c r="E492" s="44"/>
      <c r="F492" s="44"/>
      <c r="G492" s="44"/>
      <c r="H492" s="44"/>
      <c r="I492" s="44"/>
      <c r="J492" s="44"/>
      <c r="K492" s="44"/>
    </row>
    <row r="493" spans="1:11">
      <c r="A493" s="74"/>
      <c r="C493" s="75"/>
      <c r="D493" s="44"/>
      <c r="E493" s="44"/>
      <c r="F493" s="44"/>
      <c r="G493" s="44"/>
      <c r="H493" s="44"/>
      <c r="I493" s="44"/>
      <c r="J493" s="44"/>
      <c r="K493" s="44"/>
    </row>
    <row r="494" spans="1:11">
      <c r="A494" s="74"/>
      <c r="C494" s="75"/>
      <c r="D494" s="44"/>
      <c r="E494" s="44"/>
      <c r="F494" s="44"/>
      <c r="G494" s="44"/>
      <c r="H494" s="44"/>
      <c r="I494" s="44"/>
      <c r="J494" s="44"/>
      <c r="K494" s="44"/>
    </row>
    <row r="495" spans="1:11">
      <c r="A495" s="74"/>
      <c r="C495" s="75"/>
      <c r="D495" s="44"/>
      <c r="E495" s="44"/>
      <c r="F495" s="44"/>
      <c r="G495" s="44"/>
      <c r="H495" s="44"/>
      <c r="I495" s="44"/>
      <c r="J495" s="44"/>
      <c r="K495" s="44"/>
    </row>
    <row r="496" spans="1:11">
      <c r="A496" s="74"/>
      <c r="C496" s="75"/>
      <c r="D496" s="44"/>
      <c r="E496" s="44"/>
      <c r="F496" s="44"/>
      <c r="G496" s="44"/>
      <c r="H496" s="44"/>
      <c r="I496" s="44"/>
      <c r="J496" s="44"/>
      <c r="K496" s="44"/>
    </row>
    <row r="497" spans="1:11">
      <c r="A497" s="74"/>
      <c r="C497" s="75"/>
      <c r="D497" s="44"/>
      <c r="E497" s="44"/>
      <c r="F497" s="44"/>
      <c r="G497" s="44"/>
      <c r="H497" s="44"/>
      <c r="I497" s="44"/>
      <c r="J497" s="44"/>
      <c r="K497" s="44"/>
    </row>
    <row r="498" spans="1:11">
      <c r="A498" s="74"/>
      <c r="C498" s="75"/>
      <c r="D498" s="44"/>
      <c r="E498" s="44"/>
      <c r="F498" s="44"/>
      <c r="G498" s="44"/>
      <c r="H498" s="44"/>
      <c r="I498" s="44"/>
      <c r="J498" s="44"/>
      <c r="K498" s="44"/>
    </row>
    <row r="499" spans="1:11">
      <c r="A499" s="74"/>
      <c r="C499" s="75"/>
      <c r="D499" s="44"/>
      <c r="E499" s="44"/>
      <c r="F499" s="44"/>
      <c r="G499" s="44"/>
      <c r="H499" s="44"/>
      <c r="I499" s="44"/>
      <c r="J499" s="44"/>
      <c r="K499" s="44"/>
    </row>
    <row r="500" spans="1:11">
      <c r="A500" s="74"/>
      <c r="C500" s="75"/>
      <c r="D500" s="44"/>
      <c r="E500" s="44"/>
      <c r="F500" s="44"/>
      <c r="G500" s="44"/>
      <c r="H500" s="44"/>
      <c r="I500" s="44"/>
      <c r="J500" s="44"/>
      <c r="K500" s="44"/>
    </row>
    <row r="501" spans="1:11">
      <c r="A501" s="74"/>
      <c r="C501" s="75"/>
      <c r="D501" s="44"/>
      <c r="E501" s="44"/>
      <c r="F501" s="44"/>
      <c r="G501" s="44"/>
      <c r="H501" s="44"/>
      <c r="I501" s="44"/>
      <c r="J501" s="44"/>
      <c r="K501" s="44"/>
    </row>
    <row r="502" spans="1:11">
      <c r="A502" s="74"/>
      <c r="C502" s="75"/>
      <c r="D502" s="44"/>
      <c r="E502" s="44"/>
      <c r="F502" s="44"/>
      <c r="G502" s="44"/>
      <c r="H502" s="44"/>
      <c r="I502" s="44"/>
      <c r="J502" s="44"/>
      <c r="K502" s="44"/>
    </row>
    <row r="503" spans="1:11">
      <c r="A503" s="74"/>
      <c r="C503" s="75"/>
      <c r="D503" s="44"/>
      <c r="E503" s="44"/>
      <c r="F503" s="44"/>
      <c r="G503" s="44"/>
      <c r="H503" s="44"/>
      <c r="I503" s="44"/>
      <c r="J503" s="44"/>
      <c r="K503" s="44"/>
    </row>
  </sheetData>
  <phoneticPr fontId="3" type="noConversion"/>
  <pageMargins left="0.75" right="0.75" top="1" bottom="1" header="0.5" footer="0.5"/>
  <pageSetup paperSize="0" orientation="portrait" horizontalDpi="4294967292" verticalDpi="4294967292"/>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1:IV482"/>
  <sheetViews>
    <sheetView showGridLines="0" tabSelected="1" topLeftCell="A4" zoomScale="85" zoomScaleNormal="100" workbookViewId="0">
      <pane xSplit="2" topLeftCell="C1" activePane="topRight" state="frozen"/>
      <selection activeCell="R32" activeCellId="3" sqref="C23:R24 C27:R27 C30:R30 C32:R33"/>
      <selection pane="topRight" activeCell="C34" sqref="C34"/>
    </sheetView>
  </sheetViews>
  <sheetFormatPr defaultColWidth="10.875" defaultRowHeight="12.75" customHeight="1"/>
  <cols>
    <col min="1" max="1" width="3.625" style="135" customWidth="1"/>
    <col min="2" max="2" width="14" style="135" customWidth="1"/>
    <col min="3" max="16384" width="10.875" style="135"/>
  </cols>
  <sheetData>
    <row r="1" spans="1:256" ht="24.75">
      <c r="B1" s="148" t="s">
        <v>27</v>
      </c>
      <c r="C1" s="4"/>
      <c r="D1" s="4"/>
      <c r="E1" s="4"/>
      <c r="F1" s="4"/>
      <c r="G1" s="4"/>
      <c r="H1" s="4"/>
      <c r="I1" s="4"/>
      <c r="J1" s="4"/>
      <c r="K1" s="4"/>
      <c r="L1" s="4"/>
      <c r="M1" s="4"/>
      <c r="O1" s="5"/>
      <c r="P1" s="4" t="s">
        <v>132</v>
      </c>
      <c r="S1"/>
      <c r="T1"/>
      <c r="IV1" s="130"/>
    </row>
    <row r="2" spans="1:256">
      <c r="B2" s="153" t="s">
        <v>63</v>
      </c>
      <c r="C2" s="154" t="e">
        <f>#REF!</f>
        <v>#REF!</v>
      </c>
      <c r="D2" s="155"/>
      <c r="E2" s="152" t="s">
        <v>130</v>
      </c>
      <c r="F2" s="154" t="e">
        <f>#REF!</f>
        <v>#REF!</v>
      </c>
      <c r="G2" s="139"/>
      <c r="H2" s="140" t="s">
        <v>0</v>
      </c>
      <c r="I2" s="138" t="e">
        <f>#REF!</f>
        <v>#REF!</v>
      </c>
      <c r="J2" s="139"/>
      <c r="K2" s="140" t="s">
        <v>15</v>
      </c>
      <c r="L2" s="141" t="e">
        <f>#REF!</f>
        <v>#REF!</v>
      </c>
      <c r="M2" s="139"/>
      <c r="N2"/>
      <c r="O2" s="6"/>
      <c r="P2" s="4" t="s">
        <v>107</v>
      </c>
      <c r="S2"/>
      <c r="T2"/>
      <c r="IV2" s="130"/>
    </row>
    <row r="3" spans="1:256">
      <c r="B3" s="153" t="s">
        <v>105</v>
      </c>
      <c r="C3" s="154" t="e">
        <f>#REF!</f>
        <v>#REF!</v>
      </c>
      <c r="D3" s="155"/>
      <c r="E3" s="140" t="s">
        <v>14</v>
      </c>
      <c r="F3" s="142"/>
      <c r="G3" s="139"/>
      <c r="H3" s="156" t="s">
        <v>134</v>
      </c>
      <c r="I3" s="157">
        <v>1</v>
      </c>
      <c r="J3" s="139"/>
      <c r="K3" s="140" t="s">
        <v>13</v>
      </c>
      <c r="L3" s="143" t="e">
        <f>#REF!</f>
        <v>#REF!</v>
      </c>
      <c r="M3" s="139"/>
      <c r="N3"/>
      <c r="O3" s="7"/>
      <c r="P3" s="4" t="s">
        <v>112</v>
      </c>
      <c r="S3"/>
      <c r="T3"/>
      <c r="IV3" s="130"/>
    </row>
    <row r="4" spans="1:256">
      <c r="B4" s="52"/>
      <c r="M4"/>
      <c r="N4"/>
      <c r="S4"/>
      <c r="T4"/>
      <c r="IV4" s="130"/>
    </row>
    <row r="5" spans="1:256" s="60" customFormat="1" ht="24.75" customHeight="1">
      <c r="A5" s="1"/>
      <c r="B5" s="51" t="s">
        <v>64</v>
      </c>
      <c r="C5" s="62" t="s">
        <v>157</v>
      </c>
      <c r="D5" s="62" t="s">
        <v>155</v>
      </c>
      <c r="E5" s="62" t="s">
        <v>155</v>
      </c>
      <c r="F5" s="62" t="s">
        <v>156</v>
      </c>
      <c r="G5" s="62" t="s">
        <v>156</v>
      </c>
      <c r="H5" s="62" t="s">
        <v>156</v>
      </c>
      <c r="I5" s="62" t="s">
        <v>156</v>
      </c>
      <c r="J5" s="62" t="s">
        <v>156</v>
      </c>
      <c r="K5" s="62" t="s">
        <v>156</v>
      </c>
      <c r="L5" s="62" t="s">
        <v>156</v>
      </c>
      <c r="M5" s="106" t="s">
        <v>156</v>
      </c>
      <c r="N5" s="106" t="s">
        <v>156</v>
      </c>
      <c r="O5" s="106" t="s">
        <v>156</v>
      </c>
      <c r="P5" s="106" t="s">
        <v>156</v>
      </c>
      <c r="Q5" s="106" t="s">
        <v>156</v>
      </c>
      <c r="R5" s="106" t="s">
        <v>156</v>
      </c>
      <c r="S5" s="106"/>
      <c r="T5" s="106"/>
      <c r="U5" s="106"/>
      <c r="V5" s="106"/>
      <c r="W5" s="106"/>
      <c r="X5" s="106"/>
      <c r="Y5" s="106"/>
      <c r="Z5" s="106"/>
      <c r="IV5" s="130"/>
    </row>
    <row r="6" spans="1:256" s="59" customFormat="1" ht="51" customHeight="1">
      <c r="A6" s="1"/>
      <c r="B6" s="47" t="s">
        <v>65</v>
      </c>
      <c r="C6" s="107"/>
      <c r="D6" s="107"/>
      <c r="E6" s="107"/>
      <c r="F6" s="107"/>
      <c r="G6" s="107"/>
      <c r="H6" s="107"/>
      <c r="I6" s="107"/>
      <c r="J6" s="107"/>
      <c r="K6" s="107"/>
      <c r="L6" s="107"/>
      <c r="M6" s="107"/>
      <c r="N6" s="107"/>
      <c r="O6" s="107"/>
      <c r="P6" s="107"/>
      <c r="Q6" s="107"/>
      <c r="R6" s="107"/>
      <c r="S6" s="107"/>
      <c r="T6" s="107"/>
      <c r="U6" s="107"/>
      <c r="V6" s="107"/>
      <c r="W6" s="107"/>
      <c r="X6" s="107"/>
      <c r="Y6" s="107"/>
      <c r="Z6" s="107"/>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131"/>
    </row>
    <row r="7" spans="1:256" ht="12" customHeight="1">
      <c r="B7" s="50" t="s">
        <v>66</v>
      </c>
      <c r="C7" s="108"/>
      <c r="D7" s="108"/>
      <c r="E7" s="108"/>
      <c r="F7" s="108"/>
      <c r="G7" s="108"/>
      <c r="H7" s="108"/>
      <c r="I7" s="108"/>
      <c r="J7" s="108"/>
      <c r="K7" s="108"/>
      <c r="L7" s="108"/>
      <c r="M7" s="108"/>
      <c r="N7" s="108"/>
      <c r="O7" s="108"/>
      <c r="P7" s="108"/>
      <c r="Q7" s="108"/>
      <c r="R7" s="108"/>
      <c r="S7" s="108"/>
      <c r="T7" s="108"/>
      <c r="U7" s="108"/>
      <c r="V7" s="108"/>
      <c r="W7" s="108"/>
      <c r="X7" s="108"/>
      <c r="Y7" s="108"/>
      <c r="Z7" s="108"/>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c r="HP7" s="65"/>
      <c r="HQ7" s="65"/>
      <c r="HR7" s="65"/>
      <c r="HS7" s="65"/>
      <c r="HT7" s="65"/>
      <c r="HU7" s="65"/>
      <c r="HV7" s="65"/>
      <c r="HW7" s="65"/>
      <c r="HX7" s="65"/>
      <c r="HY7" s="65"/>
      <c r="HZ7" s="65"/>
      <c r="IA7" s="65"/>
      <c r="IB7" s="65"/>
      <c r="IC7" s="65"/>
      <c r="ID7" s="65"/>
      <c r="IE7" s="65"/>
      <c r="IF7" s="65"/>
      <c r="IG7" s="65"/>
      <c r="IH7" s="65"/>
      <c r="II7" s="65"/>
      <c r="IJ7" s="65"/>
      <c r="IK7" s="65"/>
      <c r="IL7" s="65"/>
      <c r="IM7" s="65"/>
      <c r="IN7" s="65"/>
      <c r="IO7" s="65"/>
      <c r="IP7" s="65"/>
      <c r="IQ7" s="65"/>
      <c r="IR7" s="65"/>
      <c r="IS7" s="65"/>
      <c r="IT7" s="65"/>
      <c r="IU7" s="65"/>
      <c r="IV7" s="132"/>
    </row>
    <row r="8" spans="1:256" ht="12.75" customHeight="1">
      <c r="B8" s="50" t="s">
        <v>67</v>
      </c>
      <c r="C8" s="108"/>
      <c r="D8" s="108"/>
      <c r="E8" s="108"/>
      <c r="F8" s="108"/>
      <c r="G8" s="108"/>
      <c r="H8" s="108"/>
      <c r="I8" s="108"/>
      <c r="J8" s="108"/>
      <c r="K8" s="108"/>
      <c r="L8" s="108"/>
      <c r="M8" s="108"/>
      <c r="N8" s="108"/>
      <c r="O8" s="108"/>
      <c r="P8" s="108"/>
      <c r="Q8" s="108"/>
      <c r="R8" s="108"/>
      <c r="S8" s="108"/>
      <c r="T8" s="108"/>
      <c r="U8" s="108"/>
      <c r="V8" s="108"/>
      <c r="W8" s="108"/>
      <c r="X8" s="108"/>
      <c r="Y8" s="108"/>
      <c r="Z8" s="108"/>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c r="HP8" s="65"/>
      <c r="HQ8" s="65"/>
      <c r="HR8" s="65"/>
      <c r="HS8" s="65"/>
      <c r="HT8" s="65"/>
      <c r="HU8" s="65"/>
      <c r="HV8" s="65"/>
      <c r="HW8" s="65"/>
      <c r="HX8" s="65"/>
      <c r="HY8" s="65"/>
      <c r="HZ8" s="65"/>
      <c r="IA8" s="65"/>
      <c r="IB8" s="65"/>
      <c r="IC8" s="65"/>
      <c r="ID8" s="65"/>
      <c r="IE8" s="65"/>
      <c r="IF8" s="65"/>
      <c r="IG8" s="65"/>
      <c r="IH8" s="65"/>
      <c r="II8" s="65"/>
      <c r="IJ8" s="65"/>
      <c r="IK8" s="65"/>
      <c r="IL8" s="65"/>
      <c r="IM8" s="65"/>
      <c r="IN8" s="65"/>
      <c r="IO8" s="65"/>
      <c r="IP8" s="65"/>
      <c r="IQ8" s="65"/>
      <c r="IR8" s="65"/>
      <c r="IS8" s="65"/>
      <c r="IT8" s="65"/>
      <c r="IU8" s="65"/>
      <c r="IV8" s="132"/>
    </row>
    <row r="9" spans="1:256" ht="12.75" customHeight="1">
      <c r="B9" s="50" t="s">
        <v>77</v>
      </c>
      <c r="C9" s="108"/>
      <c r="D9" s="108"/>
      <c r="E9" s="108"/>
      <c r="F9" s="108"/>
      <c r="G9" s="108"/>
      <c r="H9" s="108"/>
      <c r="I9" s="108"/>
      <c r="J9" s="108"/>
      <c r="K9" s="108"/>
      <c r="L9" s="108"/>
      <c r="M9" s="108"/>
      <c r="N9" s="108"/>
      <c r="O9" s="108"/>
      <c r="P9" s="108"/>
      <c r="Q9" s="108"/>
      <c r="R9" s="108"/>
      <c r="S9" s="108"/>
      <c r="T9" s="108"/>
      <c r="U9" s="108"/>
      <c r="V9" s="108"/>
      <c r="W9" s="108"/>
      <c r="X9" s="108"/>
      <c r="Y9" s="108"/>
      <c r="Z9" s="108"/>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c r="HP9" s="65"/>
      <c r="HQ9" s="65"/>
      <c r="HR9" s="65"/>
      <c r="HS9" s="65"/>
      <c r="HT9" s="65"/>
      <c r="HU9" s="65"/>
      <c r="HV9" s="65"/>
      <c r="HW9" s="65"/>
      <c r="HX9" s="65"/>
      <c r="HY9" s="65"/>
      <c r="HZ9" s="65"/>
      <c r="IA9" s="65"/>
      <c r="IB9" s="65"/>
      <c r="IC9" s="65"/>
      <c r="ID9" s="65"/>
      <c r="IE9" s="65"/>
      <c r="IF9" s="65"/>
      <c r="IG9" s="65"/>
      <c r="IH9" s="65"/>
      <c r="II9" s="65"/>
      <c r="IJ9" s="65"/>
      <c r="IK9" s="65"/>
      <c r="IL9" s="65"/>
      <c r="IM9" s="65"/>
      <c r="IN9" s="65"/>
      <c r="IO9" s="65"/>
      <c r="IP9" s="65"/>
      <c r="IQ9" s="65"/>
      <c r="IR9" s="65"/>
      <c r="IS9" s="65"/>
      <c r="IT9" s="65"/>
      <c r="IU9" s="65"/>
      <c r="IV9" s="132"/>
    </row>
    <row r="10" spans="1:256" s="61" customFormat="1" ht="12.75" hidden="1" customHeight="1">
      <c r="A10" s="1"/>
      <c r="B10" s="50" t="s">
        <v>68</v>
      </c>
      <c r="C10" s="109" t="str">
        <f t="shared" ref="C10:Z10" si="0">IF(AND(C7="",C8="",C9=""),"",IF(C9="",C24,(C24+C9)))</f>
        <v/>
      </c>
      <c r="D10" s="109" t="str">
        <f t="shared" si="0"/>
        <v/>
      </c>
      <c r="E10" s="109" t="str">
        <f t="shared" si="0"/>
        <v/>
      </c>
      <c r="F10" s="109" t="str">
        <f t="shared" si="0"/>
        <v/>
      </c>
      <c r="G10" s="109" t="str">
        <f t="shared" si="0"/>
        <v/>
      </c>
      <c r="H10" s="109" t="str">
        <f t="shared" si="0"/>
        <v/>
      </c>
      <c r="I10" s="109" t="str">
        <f t="shared" si="0"/>
        <v/>
      </c>
      <c r="J10" s="109" t="str">
        <f t="shared" si="0"/>
        <v/>
      </c>
      <c r="K10" s="109" t="str">
        <f t="shared" si="0"/>
        <v/>
      </c>
      <c r="L10" s="109" t="str">
        <f t="shared" si="0"/>
        <v/>
      </c>
      <c r="M10" s="109" t="str">
        <f t="shared" si="0"/>
        <v/>
      </c>
      <c r="N10" s="109" t="str">
        <f t="shared" si="0"/>
        <v/>
      </c>
      <c r="O10" s="109" t="str">
        <f t="shared" si="0"/>
        <v/>
      </c>
      <c r="P10" s="109" t="str">
        <f t="shared" si="0"/>
        <v/>
      </c>
      <c r="Q10" s="109" t="str">
        <f t="shared" si="0"/>
        <v/>
      </c>
      <c r="R10" s="109" t="str">
        <f t="shared" si="0"/>
        <v/>
      </c>
      <c r="S10" s="109" t="str">
        <f t="shared" si="0"/>
        <v/>
      </c>
      <c r="T10" s="109" t="str">
        <f t="shared" si="0"/>
        <v/>
      </c>
      <c r="U10" s="109" t="str">
        <f t="shared" si="0"/>
        <v/>
      </c>
      <c r="V10" s="109" t="str">
        <f t="shared" si="0"/>
        <v/>
      </c>
      <c r="W10" s="109" t="str">
        <f t="shared" si="0"/>
        <v/>
      </c>
      <c r="X10" s="109" t="str">
        <f t="shared" si="0"/>
        <v/>
      </c>
      <c r="Y10" s="109" t="str">
        <f t="shared" si="0"/>
        <v/>
      </c>
      <c r="Z10" s="109" t="str">
        <f t="shared" si="0"/>
        <v/>
      </c>
      <c r="AA10" s="66" t="str">
        <f t="shared" ref="AA10:CL10" si="1">IF(AND(AA7="",AA8="",AA9=""),"",IF(AA9="",AA24,(AA24+AA9)))</f>
        <v/>
      </c>
      <c r="AB10" s="66" t="str">
        <f t="shared" si="1"/>
        <v/>
      </c>
      <c r="AC10" s="66" t="str">
        <f t="shared" si="1"/>
        <v/>
      </c>
      <c r="AD10" s="66" t="str">
        <f t="shared" si="1"/>
        <v/>
      </c>
      <c r="AE10" s="66" t="str">
        <f t="shared" si="1"/>
        <v/>
      </c>
      <c r="AF10" s="66" t="str">
        <f t="shared" si="1"/>
        <v/>
      </c>
      <c r="AG10" s="66" t="str">
        <f t="shared" si="1"/>
        <v/>
      </c>
      <c r="AH10" s="66" t="str">
        <f t="shared" si="1"/>
        <v/>
      </c>
      <c r="AI10" s="66" t="str">
        <f t="shared" si="1"/>
        <v/>
      </c>
      <c r="AJ10" s="66" t="str">
        <f t="shared" si="1"/>
        <v/>
      </c>
      <c r="AK10" s="66" t="str">
        <f t="shared" si="1"/>
        <v/>
      </c>
      <c r="AL10" s="66" t="str">
        <f t="shared" si="1"/>
        <v/>
      </c>
      <c r="AM10" s="66" t="str">
        <f t="shared" si="1"/>
        <v/>
      </c>
      <c r="AN10" s="66" t="str">
        <f t="shared" si="1"/>
        <v/>
      </c>
      <c r="AO10" s="66" t="str">
        <f t="shared" si="1"/>
        <v/>
      </c>
      <c r="AP10" s="66" t="str">
        <f t="shared" si="1"/>
        <v/>
      </c>
      <c r="AQ10" s="66" t="str">
        <f t="shared" si="1"/>
        <v/>
      </c>
      <c r="AR10" s="66" t="str">
        <f t="shared" si="1"/>
        <v/>
      </c>
      <c r="AS10" s="66" t="str">
        <f t="shared" si="1"/>
        <v/>
      </c>
      <c r="AT10" s="66" t="str">
        <f t="shared" si="1"/>
        <v/>
      </c>
      <c r="AU10" s="66" t="str">
        <f t="shared" si="1"/>
        <v/>
      </c>
      <c r="AV10" s="66" t="str">
        <f t="shared" si="1"/>
        <v/>
      </c>
      <c r="AW10" s="66" t="str">
        <f t="shared" si="1"/>
        <v/>
      </c>
      <c r="AX10" s="66" t="str">
        <f t="shared" si="1"/>
        <v/>
      </c>
      <c r="AY10" s="66" t="str">
        <f t="shared" si="1"/>
        <v/>
      </c>
      <c r="AZ10" s="66" t="str">
        <f t="shared" si="1"/>
        <v/>
      </c>
      <c r="BA10" s="66" t="str">
        <f t="shared" si="1"/>
        <v/>
      </c>
      <c r="BB10" s="66" t="str">
        <f t="shared" si="1"/>
        <v/>
      </c>
      <c r="BC10" s="66" t="str">
        <f t="shared" si="1"/>
        <v/>
      </c>
      <c r="BD10" s="66" t="str">
        <f t="shared" si="1"/>
        <v/>
      </c>
      <c r="BE10" s="66" t="str">
        <f t="shared" si="1"/>
        <v/>
      </c>
      <c r="BF10" s="66" t="str">
        <f t="shared" si="1"/>
        <v/>
      </c>
      <c r="BG10" s="66" t="str">
        <f t="shared" si="1"/>
        <v/>
      </c>
      <c r="BH10" s="66" t="str">
        <f t="shared" si="1"/>
        <v/>
      </c>
      <c r="BI10" s="66" t="str">
        <f t="shared" si="1"/>
        <v/>
      </c>
      <c r="BJ10" s="66" t="str">
        <f t="shared" si="1"/>
        <v/>
      </c>
      <c r="BK10" s="66" t="str">
        <f t="shared" si="1"/>
        <v/>
      </c>
      <c r="BL10" s="66" t="str">
        <f t="shared" si="1"/>
        <v/>
      </c>
      <c r="BM10" s="66" t="str">
        <f t="shared" si="1"/>
        <v/>
      </c>
      <c r="BN10" s="66" t="str">
        <f t="shared" si="1"/>
        <v/>
      </c>
      <c r="BO10" s="66" t="str">
        <f t="shared" si="1"/>
        <v/>
      </c>
      <c r="BP10" s="66" t="str">
        <f t="shared" si="1"/>
        <v/>
      </c>
      <c r="BQ10" s="66" t="str">
        <f t="shared" si="1"/>
        <v/>
      </c>
      <c r="BR10" s="66" t="str">
        <f t="shared" si="1"/>
        <v/>
      </c>
      <c r="BS10" s="66" t="str">
        <f t="shared" si="1"/>
        <v/>
      </c>
      <c r="BT10" s="66" t="str">
        <f t="shared" si="1"/>
        <v/>
      </c>
      <c r="BU10" s="66" t="str">
        <f t="shared" si="1"/>
        <v/>
      </c>
      <c r="BV10" s="66" t="str">
        <f t="shared" si="1"/>
        <v/>
      </c>
      <c r="BW10" s="66" t="str">
        <f t="shared" si="1"/>
        <v/>
      </c>
      <c r="BX10" s="66" t="str">
        <f t="shared" si="1"/>
        <v/>
      </c>
      <c r="BY10" s="66" t="str">
        <f t="shared" si="1"/>
        <v/>
      </c>
      <c r="BZ10" s="66" t="str">
        <f t="shared" si="1"/>
        <v/>
      </c>
      <c r="CA10" s="66" t="str">
        <f t="shared" si="1"/>
        <v/>
      </c>
      <c r="CB10" s="66" t="str">
        <f t="shared" si="1"/>
        <v/>
      </c>
      <c r="CC10" s="66" t="str">
        <f t="shared" si="1"/>
        <v/>
      </c>
      <c r="CD10" s="66" t="str">
        <f t="shared" si="1"/>
        <v/>
      </c>
      <c r="CE10" s="66" t="str">
        <f t="shared" si="1"/>
        <v/>
      </c>
      <c r="CF10" s="66" t="str">
        <f t="shared" si="1"/>
        <v/>
      </c>
      <c r="CG10" s="66" t="str">
        <f t="shared" si="1"/>
        <v/>
      </c>
      <c r="CH10" s="66" t="str">
        <f t="shared" si="1"/>
        <v/>
      </c>
      <c r="CI10" s="66" t="str">
        <f t="shared" si="1"/>
        <v/>
      </c>
      <c r="CJ10" s="66" t="str">
        <f t="shared" si="1"/>
        <v/>
      </c>
      <c r="CK10" s="66" t="str">
        <f t="shared" si="1"/>
        <v/>
      </c>
      <c r="CL10" s="66" t="str">
        <f t="shared" si="1"/>
        <v/>
      </c>
      <c r="CM10" s="66" t="str">
        <f t="shared" ref="CM10:EX10" si="2">IF(AND(CM7="",CM8="",CM9=""),"",IF(CM9="",CM24,(CM24+CM9)))</f>
        <v/>
      </c>
      <c r="CN10" s="66" t="str">
        <f t="shared" si="2"/>
        <v/>
      </c>
      <c r="CO10" s="66" t="str">
        <f t="shared" si="2"/>
        <v/>
      </c>
      <c r="CP10" s="66" t="str">
        <f t="shared" si="2"/>
        <v/>
      </c>
      <c r="CQ10" s="66" t="str">
        <f t="shared" si="2"/>
        <v/>
      </c>
      <c r="CR10" s="66" t="str">
        <f t="shared" si="2"/>
        <v/>
      </c>
      <c r="CS10" s="66" t="str">
        <f t="shared" si="2"/>
        <v/>
      </c>
      <c r="CT10" s="66" t="str">
        <f t="shared" si="2"/>
        <v/>
      </c>
      <c r="CU10" s="66" t="str">
        <f t="shared" si="2"/>
        <v/>
      </c>
      <c r="CV10" s="66" t="str">
        <f t="shared" si="2"/>
        <v/>
      </c>
      <c r="CW10" s="66" t="str">
        <f t="shared" si="2"/>
        <v/>
      </c>
      <c r="CX10" s="66" t="str">
        <f t="shared" si="2"/>
        <v/>
      </c>
      <c r="CY10" s="66" t="str">
        <f t="shared" si="2"/>
        <v/>
      </c>
      <c r="CZ10" s="66" t="str">
        <f t="shared" si="2"/>
        <v/>
      </c>
      <c r="DA10" s="66" t="str">
        <f t="shared" si="2"/>
        <v/>
      </c>
      <c r="DB10" s="66" t="str">
        <f t="shared" si="2"/>
        <v/>
      </c>
      <c r="DC10" s="66" t="str">
        <f t="shared" si="2"/>
        <v/>
      </c>
      <c r="DD10" s="66" t="str">
        <f t="shared" si="2"/>
        <v/>
      </c>
      <c r="DE10" s="66" t="str">
        <f t="shared" si="2"/>
        <v/>
      </c>
      <c r="DF10" s="66" t="str">
        <f t="shared" si="2"/>
        <v/>
      </c>
      <c r="DG10" s="66" t="str">
        <f t="shared" si="2"/>
        <v/>
      </c>
      <c r="DH10" s="66" t="str">
        <f t="shared" si="2"/>
        <v/>
      </c>
      <c r="DI10" s="66" t="str">
        <f t="shared" si="2"/>
        <v/>
      </c>
      <c r="DJ10" s="66" t="str">
        <f t="shared" si="2"/>
        <v/>
      </c>
      <c r="DK10" s="66" t="str">
        <f t="shared" si="2"/>
        <v/>
      </c>
      <c r="DL10" s="66" t="str">
        <f t="shared" si="2"/>
        <v/>
      </c>
      <c r="DM10" s="66" t="str">
        <f t="shared" si="2"/>
        <v/>
      </c>
      <c r="DN10" s="66" t="str">
        <f t="shared" si="2"/>
        <v/>
      </c>
      <c r="DO10" s="66" t="str">
        <f t="shared" si="2"/>
        <v/>
      </c>
      <c r="DP10" s="66" t="str">
        <f t="shared" si="2"/>
        <v/>
      </c>
      <c r="DQ10" s="66" t="str">
        <f t="shared" si="2"/>
        <v/>
      </c>
      <c r="DR10" s="66" t="str">
        <f t="shared" si="2"/>
        <v/>
      </c>
      <c r="DS10" s="66" t="str">
        <f t="shared" si="2"/>
        <v/>
      </c>
      <c r="DT10" s="66" t="str">
        <f t="shared" si="2"/>
        <v/>
      </c>
      <c r="DU10" s="66" t="str">
        <f t="shared" si="2"/>
        <v/>
      </c>
      <c r="DV10" s="66" t="str">
        <f t="shared" si="2"/>
        <v/>
      </c>
      <c r="DW10" s="66" t="str">
        <f t="shared" si="2"/>
        <v/>
      </c>
      <c r="DX10" s="66" t="str">
        <f t="shared" si="2"/>
        <v/>
      </c>
      <c r="DY10" s="66" t="str">
        <f t="shared" si="2"/>
        <v/>
      </c>
      <c r="DZ10" s="66" t="str">
        <f t="shared" si="2"/>
        <v/>
      </c>
      <c r="EA10" s="66" t="str">
        <f t="shared" si="2"/>
        <v/>
      </c>
      <c r="EB10" s="66" t="str">
        <f t="shared" si="2"/>
        <v/>
      </c>
      <c r="EC10" s="66" t="str">
        <f t="shared" si="2"/>
        <v/>
      </c>
      <c r="ED10" s="66" t="str">
        <f t="shared" si="2"/>
        <v/>
      </c>
      <c r="EE10" s="66" t="str">
        <f t="shared" si="2"/>
        <v/>
      </c>
      <c r="EF10" s="66" t="str">
        <f t="shared" si="2"/>
        <v/>
      </c>
      <c r="EG10" s="66" t="str">
        <f t="shared" si="2"/>
        <v/>
      </c>
      <c r="EH10" s="66" t="str">
        <f t="shared" si="2"/>
        <v/>
      </c>
      <c r="EI10" s="66" t="str">
        <f t="shared" si="2"/>
        <v/>
      </c>
      <c r="EJ10" s="66" t="str">
        <f t="shared" si="2"/>
        <v/>
      </c>
      <c r="EK10" s="66" t="str">
        <f t="shared" si="2"/>
        <v/>
      </c>
      <c r="EL10" s="66" t="str">
        <f t="shared" si="2"/>
        <v/>
      </c>
      <c r="EM10" s="66" t="str">
        <f t="shared" si="2"/>
        <v/>
      </c>
      <c r="EN10" s="66" t="str">
        <f t="shared" si="2"/>
        <v/>
      </c>
      <c r="EO10" s="66" t="str">
        <f t="shared" si="2"/>
        <v/>
      </c>
      <c r="EP10" s="66" t="str">
        <f t="shared" si="2"/>
        <v/>
      </c>
      <c r="EQ10" s="66" t="str">
        <f t="shared" si="2"/>
        <v/>
      </c>
      <c r="ER10" s="66" t="str">
        <f t="shared" si="2"/>
        <v/>
      </c>
      <c r="ES10" s="66" t="str">
        <f t="shared" si="2"/>
        <v/>
      </c>
      <c r="ET10" s="66" t="str">
        <f t="shared" si="2"/>
        <v/>
      </c>
      <c r="EU10" s="66" t="str">
        <f t="shared" si="2"/>
        <v/>
      </c>
      <c r="EV10" s="66" t="str">
        <f t="shared" si="2"/>
        <v/>
      </c>
      <c r="EW10" s="66" t="str">
        <f t="shared" si="2"/>
        <v/>
      </c>
      <c r="EX10" s="66" t="str">
        <f t="shared" si="2"/>
        <v/>
      </c>
      <c r="EY10" s="66" t="str">
        <f t="shared" ref="EY10:HJ10" si="3">IF(AND(EY7="",EY8="",EY9=""),"",IF(EY9="",EY24,(EY24+EY9)))</f>
        <v/>
      </c>
      <c r="EZ10" s="66" t="str">
        <f t="shared" si="3"/>
        <v/>
      </c>
      <c r="FA10" s="66" t="str">
        <f t="shared" si="3"/>
        <v/>
      </c>
      <c r="FB10" s="66" t="str">
        <f t="shared" si="3"/>
        <v/>
      </c>
      <c r="FC10" s="66" t="str">
        <f t="shared" si="3"/>
        <v/>
      </c>
      <c r="FD10" s="66" t="str">
        <f t="shared" si="3"/>
        <v/>
      </c>
      <c r="FE10" s="66" t="str">
        <f t="shared" si="3"/>
        <v/>
      </c>
      <c r="FF10" s="66" t="str">
        <f t="shared" si="3"/>
        <v/>
      </c>
      <c r="FG10" s="66" t="str">
        <f t="shared" si="3"/>
        <v/>
      </c>
      <c r="FH10" s="66" t="str">
        <f t="shared" si="3"/>
        <v/>
      </c>
      <c r="FI10" s="66" t="str">
        <f t="shared" si="3"/>
        <v/>
      </c>
      <c r="FJ10" s="66" t="str">
        <f t="shared" si="3"/>
        <v/>
      </c>
      <c r="FK10" s="66" t="str">
        <f t="shared" si="3"/>
        <v/>
      </c>
      <c r="FL10" s="66" t="str">
        <f t="shared" si="3"/>
        <v/>
      </c>
      <c r="FM10" s="66" t="str">
        <f t="shared" si="3"/>
        <v/>
      </c>
      <c r="FN10" s="66" t="str">
        <f t="shared" si="3"/>
        <v/>
      </c>
      <c r="FO10" s="66" t="str">
        <f t="shared" si="3"/>
        <v/>
      </c>
      <c r="FP10" s="66" t="str">
        <f t="shared" si="3"/>
        <v/>
      </c>
      <c r="FQ10" s="66" t="str">
        <f t="shared" si="3"/>
        <v/>
      </c>
      <c r="FR10" s="66" t="str">
        <f t="shared" si="3"/>
        <v/>
      </c>
      <c r="FS10" s="66" t="str">
        <f t="shared" si="3"/>
        <v/>
      </c>
      <c r="FT10" s="66" t="str">
        <f t="shared" si="3"/>
        <v/>
      </c>
      <c r="FU10" s="66" t="str">
        <f t="shared" si="3"/>
        <v/>
      </c>
      <c r="FV10" s="66" t="str">
        <f t="shared" si="3"/>
        <v/>
      </c>
      <c r="FW10" s="66" t="str">
        <f t="shared" si="3"/>
        <v/>
      </c>
      <c r="FX10" s="66" t="str">
        <f t="shared" si="3"/>
        <v/>
      </c>
      <c r="FY10" s="66" t="str">
        <f t="shared" si="3"/>
        <v/>
      </c>
      <c r="FZ10" s="66" t="str">
        <f t="shared" si="3"/>
        <v/>
      </c>
      <c r="GA10" s="66" t="str">
        <f t="shared" si="3"/>
        <v/>
      </c>
      <c r="GB10" s="66" t="str">
        <f t="shared" si="3"/>
        <v/>
      </c>
      <c r="GC10" s="66" t="str">
        <f t="shared" si="3"/>
        <v/>
      </c>
      <c r="GD10" s="66" t="str">
        <f t="shared" si="3"/>
        <v/>
      </c>
      <c r="GE10" s="66" t="str">
        <f t="shared" si="3"/>
        <v/>
      </c>
      <c r="GF10" s="66" t="str">
        <f t="shared" si="3"/>
        <v/>
      </c>
      <c r="GG10" s="66" t="str">
        <f t="shared" si="3"/>
        <v/>
      </c>
      <c r="GH10" s="66" t="str">
        <f t="shared" si="3"/>
        <v/>
      </c>
      <c r="GI10" s="66" t="str">
        <f t="shared" si="3"/>
        <v/>
      </c>
      <c r="GJ10" s="66" t="str">
        <f t="shared" si="3"/>
        <v/>
      </c>
      <c r="GK10" s="66" t="str">
        <f t="shared" si="3"/>
        <v/>
      </c>
      <c r="GL10" s="66" t="str">
        <f t="shared" si="3"/>
        <v/>
      </c>
      <c r="GM10" s="66" t="str">
        <f t="shared" si="3"/>
        <v/>
      </c>
      <c r="GN10" s="66" t="str">
        <f t="shared" si="3"/>
        <v/>
      </c>
      <c r="GO10" s="66" t="str">
        <f t="shared" si="3"/>
        <v/>
      </c>
      <c r="GP10" s="66" t="str">
        <f t="shared" si="3"/>
        <v/>
      </c>
      <c r="GQ10" s="66" t="str">
        <f t="shared" si="3"/>
        <v/>
      </c>
      <c r="GR10" s="66" t="str">
        <f t="shared" si="3"/>
        <v/>
      </c>
      <c r="GS10" s="66" t="str">
        <f t="shared" si="3"/>
        <v/>
      </c>
      <c r="GT10" s="66" t="str">
        <f t="shared" si="3"/>
        <v/>
      </c>
      <c r="GU10" s="66" t="str">
        <f t="shared" si="3"/>
        <v/>
      </c>
      <c r="GV10" s="66" t="str">
        <f t="shared" si="3"/>
        <v/>
      </c>
      <c r="GW10" s="66" t="str">
        <f t="shared" si="3"/>
        <v/>
      </c>
      <c r="GX10" s="66" t="str">
        <f t="shared" si="3"/>
        <v/>
      </c>
      <c r="GY10" s="66" t="str">
        <f t="shared" si="3"/>
        <v/>
      </c>
      <c r="GZ10" s="66" t="str">
        <f t="shared" si="3"/>
        <v/>
      </c>
      <c r="HA10" s="66" t="str">
        <f t="shared" si="3"/>
        <v/>
      </c>
      <c r="HB10" s="66" t="str">
        <f t="shared" si="3"/>
        <v/>
      </c>
      <c r="HC10" s="66" t="str">
        <f t="shared" si="3"/>
        <v/>
      </c>
      <c r="HD10" s="66" t="str">
        <f t="shared" si="3"/>
        <v/>
      </c>
      <c r="HE10" s="66" t="str">
        <f t="shared" si="3"/>
        <v/>
      </c>
      <c r="HF10" s="66" t="str">
        <f t="shared" si="3"/>
        <v/>
      </c>
      <c r="HG10" s="66" t="str">
        <f t="shared" si="3"/>
        <v/>
      </c>
      <c r="HH10" s="66" t="str">
        <f t="shared" si="3"/>
        <v/>
      </c>
      <c r="HI10" s="66" t="str">
        <f t="shared" si="3"/>
        <v/>
      </c>
      <c r="HJ10" s="66" t="str">
        <f t="shared" si="3"/>
        <v/>
      </c>
      <c r="HK10" s="66" t="str">
        <f t="shared" ref="HK10:IV10" si="4">IF(AND(HK7="",HK8="",HK9=""),"",IF(HK9="",HK24,(HK24+HK9)))</f>
        <v/>
      </c>
      <c r="HL10" s="66" t="str">
        <f t="shared" si="4"/>
        <v/>
      </c>
      <c r="HM10" s="66" t="str">
        <f t="shared" si="4"/>
        <v/>
      </c>
      <c r="HN10" s="66" t="str">
        <f t="shared" si="4"/>
        <v/>
      </c>
      <c r="HO10" s="66" t="str">
        <f t="shared" si="4"/>
        <v/>
      </c>
      <c r="HP10" s="66" t="str">
        <f t="shared" si="4"/>
        <v/>
      </c>
      <c r="HQ10" s="66" t="str">
        <f t="shared" si="4"/>
        <v/>
      </c>
      <c r="HR10" s="66" t="str">
        <f t="shared" si="4"/>
        <v/>
      </c>
      <c r="HS10" s="66" t="str">
        <f t="shared" si="4"/>
        <v/>
      </c>
      <c r="HT10" s="66" t="str">
        <f t="shared" si="4"/>
        <v/>
      </c>
      <c r="HU10" s="66" t="str">
        <f t="shared" si="4"/>
        <v/>
      </c>
      <c r="HV10" s="66" t="str">
        <f t="shared" si="4"/>
        <v/>
      </c>
      <c r="HW10" s="66" t="str">
        <f t="shared" si="4"/>
        <v/>
      </c>
      <c r="HX10" s="66" t="str">
        <f t="shared" si="4"/>
        <v/>
      </c>
      <c r="HY10" s="66" t="str">
        <f t="shared" si="4"/>
        <v/>
      </c>
      <c r="HZ10" s="66" t="str">
        <f t="shared" si="4"/>
        <v/>
      </c>
      <c r="IA10" s="66" t="str">
        <f t="shared" si="4"/>
        <v/>
      </c>
      <c r="IB10" s="66" t="str">
        <f t="shared" si="4"/>
        <v/>
      </c>
      <c r="IC10" s="66" t="str">
        <f t="shared" si="4"/>
        <v/>
      </c>
      <c r="ID10" s="66" t="str">
        <f t="shared" si="4"/>
        <v/>
      </c>
      <c r="IE10" s="66" t="str">
        <f t="shared" si="4"/>
        <v/>
      </c>
      <c r="IF10" s="66" t="str">
        <f t="shared" si="4"/>
        <v/>
      </c>
      <c r="IG10" s="66" t="str">
        <f t="shared" si="4"/>
        <v/>
      </c>
      <c r="IH10" s="66" t="str">
        <f t="shared" si="4"/>
        <v/>
      </c>
      <c r="II10" s="66" t="str">
        <f t="shared" si="4"/>
        <v/>
      </c>
      <c r="IJ10" s="66" t="str">
        <f t="shared" si="4"/>
        <v/>
      </c>
      <c r="IK10" s="66" t="str">
        <f t="shared" si="4"/>
        <v/>
      </c>
      <c r="IL10" s="66" t="str">
        <f t="shared" si="4"/>
        <v/>
      </c>
      <c r="IM10" s="66" t="str">
        <f t="shared" si="4"/>
        <v/>
      </c>
      <c r="IN10" s="66" t="str">
        <f t="shared" si="4"/>
        <v/>
      </c>
      <c r="IO10" s="66" t="str">
        <f t="shared" si="4"/>
        <v/>
      </c>
      <c r="IP10" s="66" t="str">
        <f t="shared" si="4"/>
        <v/>
      </c>
      <c r="IQ10" s="66" t="str">
        <f t="shared" si="4"/>
        <v/>
      </c>
      <c r="IR10" s="66" t="str">
        <f t="shared" si="4"/>
        <v/>
      </c>
      <c r="IS10" s="66" t="str">
        <f t="shared" si="4"/>
        <v/>
      </c>
      <c r="IT10" s="66" t="str">
        <f t="shared" si="4"/>
        <v/>
      </c>
      <c r="IU10" s="66" t="str">
        <f t="shared" si="4"/>
        <v/>
      </c>
      <c r="IV10" s="133" t="str">
        <f t="shared" si="4"/>
        <v/>
      </c>
    </row>
    <row r="11" spans="1:256" s="61" customFormat="1" ht="12.75" hidden="1" customHeight="1">
      <c r="A11" s="1"/>
      <c r="B11" s="50" t="s">
        <v>69</v>
      </c>
      <c r="C11" s="110" t="str">
        <f t="shared" ref="C11:Z11" si="5">IF(AND(C7="",C8="",C9=""),"",IF(C7="",C21,(C16+ABS(C7))))</f>
        <v/>
      </c>
      <c r="D11" s="110" t="str">
        <f t="shared" si="5"/>
        <v/>
      </c>
      <c r="E11" s="110" t="str">
        <f t="shared" si="5"/>
        <v/>
      </c>
      <c r="F11" s="110" t="str">
        <f t="shared" si="5"/>
        <v/>
      </c>
      <c r="G11" s="110" t="str">
        <f t="shared" si="5"/>
        <v/>
      </c>
      <c r="H11" s="110" t="str">
        <f t="shared" si="5"/>
        <v/>
      </c>
      <c r="I11" s="110" t="str">
        <f t="shared" si="5"/>
        <v/>
      </c>
      <c r="J11" s="110" t="str">
        <f t="shared" si="5"/>
        <v/>
      </c>
      <c r="K11" s="110" t="str">
        <f t="shared" si="5"/>
        <v/>
      </c>
      <c r="L11" s="110" t="str">
        <f t="shared" si="5"/>
        <v/>
      </c>
      <c r="M11" s="110" t="str">
        <f t="shared" si="5"/>
        <v/>
      </c>
      <c r="N11" s="110" t="str">
        <f t="shared" si="5"/>
        <v/>
      </c>
      <c r="O11" s="110" t="str">
        <f t="shared" si="5"/>
        <v/>
      </c>
      <c r="P11" s="110" t="str">
        <f t="shared" si="5"/>
        <v/>
      </c>
      <c r="Q11" s="110" t="str">
        <f t="shared" si="5"/>
        <v/>
      </c>
      <c r="R11" s="110" t="str">
        <f t="shared" si="5"/>
        <v/>
      </c>
      <c r="S11" s="110" t="str">
        <f t="shared" si="5"/>
        <v/>
      </c>
      <c r="T11" s="110" t="str">
        <f t="shared" si="5"/>
        <v/>
      </c>
      <c r="U11" s="110" t="str">
        <f t="shared" si="5"/>
        <v/>
      </c>
      <c r="V11" s="110" t="str">
        <f t="shared" si="5"/>
        <v/>
      </c>
      <c r="W11" s="110" t="str">
        <f t="shared" si="5"/>
        <v/>
      </c>
      <c r="X11" s="110" t="str">
        <f t="shared" si="5"/>
        <v/>
      </c>
      <c r="Y11" s="110" t="str">
        <f t="shared" si="5"/>
        <v/>
      </c>
      <c r="Z11" s="110" t="str">
        <f t="shared" si="5"/>
        <v/>
      </c>
      <c r="AA11" s="66" t="str">
        <f t="shared" ref="AA11:CL11" si="6">IF(AND(AA7="",AA8="",AA9=""),"",IF(AA7="",AA21,(AA16+ABS(AA7))))</f>
        <v/>
      </c>
      <c r="AB11" s="66" t="str">
        <f t="shared" si="6"/>
        <v/>
      </c>
      <c r="AC11" s="66" t="str">
        <f t="shared" si="6"/>
        <v/>
      </c>
      <c r="AD11" s="66" t="str">
        <f t="shared" si="6"/>
        <v/>
      </c>
      <c r="AE11" s="66" t="str">
        <f t="shared" si="6"/>
        <v/>
      </c>
      <c r="AF11" s="66" t="str">
        <f t="shared" si="6"/>
        <v/>
      </c>
      <c r="AG11" s="66" t="str">
        <f t="shared" si="6"/>
        <v/>
      </c>
      <c r="AH11" s="66" t="str">
        <f t="shared" si="6"/>
        <v/>
      </c>
      <c r="AI11" s="66" t="str">
        <f t="shared" si="6"/>
        <v/>
      </c>
      <c r="AJ11" s="66" t="str">
        <f t="shared" si="6"/>
        <v/>
      </c>
      <c r="AK11" s="66" t="str">
        <f t="shared" si="6"/>
        <v/>
      </c>
      <c r="AL11" s="66" t="str">
        <f t="shared" si="6"/>
        <v/>
      </c>
      <c r="AM11" s="66" t="str">
        <f t="shared" si="6"/>
        <v/>
      </c>
      <c r="AN11" s="66" t="str">
        <f t="shared" si="6"/>
        <v/>
      </c>
      <c r="AO11" s="66" t="str">
        <f t="shared" si="6"/>
        <v/>
      </c>
      <c r="AP11" s="66" t="str">
        <f t="shared" si="6"/>
        <v/>
      </c>
      <c r="AQ11" s="66" t="str">
        <f t="shared" si="6"/>
        <v/>
      </c>
      <c r="AR11" s="66" t="str">
        <f t="shared" si="6"/>
        <v/>
      </c>
      <c r="AS11" s="66" t="str">
        <f t="shared" si="6"/>
        <v/>
      </c>
      <c r="AT11" s="66" t="str">
        <f t="shared" si="6"/>
        <v/>
      </c>
      <c r="AU11" s="66" t="str">
        <f t="shared" si="6"/>
        <v/>
      </c>
      <c r="AV11" s="66" t="str">
        <f t="shared" si="6"/>
        <v/>
      </c>
      <c r="AW11" s="66" t="str">
        <f t="shared" si="6"/>
        <v/>
      </c>
      <c r="AX11" s="66" t="str">
        <f t="shared" si="6"/>
        <v/>
      </c>
      <c r="AY11" s="66" t="str">
        <f t="shared" si="6"/>
        <v/>
      </c>
      <c r="AZ11" s="66" t="str">
        <f t="shared" si="6"/>
        <v/>
      </c>
      <c r="BA11" s="66" t="str">
        <f t="shared" si="6"/>
        <v/>
      </c>
      <c r="BB11" s="66" t="str">
        <f t="shared" si="6"/>
        <v/>
      </c>
      <c r="BC11" s="66" t="str">
        <f t="shared" si="6"/>
        <v/>
      </c>
      <c r="BD11" s="66" t="str">
        <f t="shared" si="6"/>
        <v/>
      </c>
      <c r="BE11" s="66" t="str">
        <f t="shared" si="6"/>
        <v/>
      </c>
      <c r="BF11" s="66" t="str">
        <f t="shared" si="6"/>
        <v/>
      </c>
      <c r="BG11" s="66" t="str">
        <f t="shared" si="6"/>
        <v/>
      </c>
      <c r="BH11" s="66" t="str">
        <f t="shared" si="6"/>
        <v/>
      </c>
      <c r="BI11" s="66" t="str">
        <f t="shared" si="6"/>
        <v/>
      </c>
      <c r="BJ11" s="66" t="str">
        <f t="shared" si="6"/>
        <v/>
      </c>
      <c r="BK11" s="66" t="str">
        <f t="shared" si="6"/>
        <v/>
      </c>
      <c r="BL11" s="66" t="str">
        <f t="shared" si="6"/>
        <v/>
      </c>
      <c r="BM11" s="66" t="str">
        <f t="shared" si="6"/>
        <v/>
      </c>
      <c r="BN11" s="66" t="str">
        <f t="shared" si="6"/>
        <v/>
      </c>
      <c r="BO11" s="66" t="str">
        <f t="shared" si="6"/>
        <v/>
      </c>
      <c r="BP11" s="66" t="str">
        <f t="shared" si="6"/>
        <v/>
      </c>
      <c r="BQ11" s="66" t="str">
        <f t="shared" si="6"/>
        <v/>
      </c>
      <c r="BR11" s="66" t="str">
        <f t="shared" si="6"/>
        <v/>
      </c>
      <c r="BS11" s="66" t="str">
        <f t="shared" si="6"/>
        <v/>
      </c>
      <c r="BT11" s="66" t="str">
        <f t="shared" si="6"/>
        <v/>
      </c>
      <c r="BU11" s="66" t="str">
        <f t="shared" si="6"/>
        <v/>
      </c>
      <c r="BV11" s="66" t="str">
        <f t="shared" si="6"/>
        <v/>
      </c>
      <c r="BW11" s="66" t="str">
        <f t="shared" si="6"/>
        <v/>
      </c>
      <c r="BX11" s="66" t="str">
        <f t="shared" si="6"/>
        <v/>
      </c>
      <c r="BY11" s="66" t="str">
        <f t="shared" si="6"/>
        <v/>
      </c>
      <c r="BZ11" s="66" t="str">
        <f t="shared" si="6"/>
        <v/>
      </c>
      <c r="CA11" s="66" t="str">
        <f t="shared" si="6"/>
        <v/>
      </c>
      <c r="CB11" s="66" t="str">
        <f t="shared" si="6"/>
        <v/>
      </c>
      <c r="CC11" s="66" t="str">
        <f t="shared" si="6"/>
        <v/>
      </c>
      <c r="CD11" s="66" t="str">
        <f t="shared" si="6"/>
        <v/>
      </c>
      <c r="CE11" s="66" t="str">
        <f t="shared" si="6"/>
        <v/>
      </c>
      <c r="CF11" s="66" t="str">
        <f t="shared" si="6"/>
        <v/>
      </c>
      <c r="CG11" s="66" t="str">
        <f t="shared" si="6"/>
        <v/>
      </c>
      <c r="CH11" s="66" t="str">
        <f t="shared" si="6"/>
        <v/>
      </c>
      <c r="CI11" s="66" t="str">
        <f t="shared" si="6"/>
        <v/>
      </c>
      <c r="CJ11" s="66" t="str">
        <f t="shared" si="6"/>
        <v/>
      </c>
      <c r="CK11" s="66" t="str">
        <f t="shared" si="6"/>
        <v/>
      </c>
      <c r="CL11" s="66" t="str">
        <f t="shared" si="6"/>
        <v/>
      </c>
      <c r="CM11" s="66" t="str">
        <f t="shared" ref="CM11:EX11" si="7">IF(AND(CM7="",CM8="",CM9=""),"",IF(CM7="",CM21,(CM16+ABS(CM7))))</f>
        <v/>
      </c>
      <c r="CN11" s="66" t="str">
        <f t="shared" si="7"/>
        <v/>
      </c>
      <c r="CO11" s="66" t="str">
        <f t="shared" si="7"/>
        <v/>
      </c>
      <c r="CP11" s="66" t="str">
        <f t="shared" si="7"/>
        <v/>
      </c>
      <c r="CQ11" s="66" t="str">
        <f t="shared" si="7"/>
        <v/>
      </c>
      <c r="CR11" s="66" t="str">
        <f t="shared" si="7"/>
        <v/>
      </c>
      <c r="CS11" s="66" t="str">
        <f t="shared" si="7"/>
        <v/>
      </c>
      <c r="CT11" s="66" t="str">
        <f t="shared" si="7"/>
        <v/>
      </c>
      <c r="CU11" s="66" t="str">
        <f t="shared" si="7"/>
        <v/>
      </c>
      <c r="CV11" s="66" t="str">
        <f t="shared" si="7"/>
        <v/>
      </c>
      <c r="CW11" s="66" t="str">
        <f t="shared" si="7"/>
        <v/>
      </c>
      <c r="CX11" s="66" t="str">
        <f t="shared" si="7"/>
        <v/>
      </c>
      <c r="CY11" s="66" t="str">
        <f t="shared" si="7"/>
        <v/>
      </c>
      <c r="CZ11" s="66" t="str">
        <f t="shared" si="7"/>
        <v/>
      </c>
      <c r="DA11" s="66" t="str">
        <f t="shared" si="7"/>
        <v/>
      </c>
      <c r="DB11" s="66" t="str">
        <f t="shared" si="7"/>
        <v/>
      </c>
      <c r="DC11" s="66" t="str">
        <f t="shared" si="7"/>
        <v/>
      </c>
      <c r="DD11" s="66" t="str">
        <f t="shared" si="7"/>
        <v/>
      </c>
      <c r="DE11" s="66" t="str">
        <f t="shared" si="7"/>
        <v/>
      </c>
      <c r="DF11" s="66" t="str">
        <f t="shared" si="7"/>
        <v/>
      </c>
      <c r="DG11" s="66" t="str">
        <f t="shared" si="7"/>
        <v/>
      </c>
      <c r="DH11" s="66" t="str">
        <f t="shared" si="7"/>
        <v/>
      </c>
      <c r="DI11" s="66" t="str">
        <f t="shared" si="7"/>
        <v/>
      </c>
      <c r="DJ11" s="66" t="str">
        <f t="shared" si="7"/>
        <v/>
      </c>
      <c r="DK11" s="66" t="str">
        <f t="shared" si="7"/>
        <v/>
      </c>
      <c r="DL11" s="66" t="str">
        <f t="shared" si="7"/>
        <v/>
      </c>
      <c r="DM11" s="66" t="str">
        <f t="shared" si="7"/>
        <v/>
      </c>
      <c r="DN11" s="66" t="str">
        <f t="shared" si="7"/>
        <v/>
      </c>
      <c r="DO11" s="66" t="str">
        <f t="shared" si="7"/>
        <v/>
      </c>
      <c r="DP11" s="66" t="str">
        <f t="shared" si="7"/>
        <v/>
      </c>
      <c r="DQ11" s="66" t="str">
        <f t="shared" si="7"/>
        <v/>
      </c>
      <c r="DR11" s="66" t="str">
        <f t="shared" si="7"/>
        <v/>
      </c>
      <c r="DS11" s="66" t="str">
        <f t="shared" si="7"/>
        <v/>
      </c>
      <c r="DT11" s="66" t="str">
        <f t="shared" si="7"/>
        <v/>
      </c>
      <c r="DU11" s="66" t="str">
        <f t="shared" si="7"/>
        <v/>
      </c>
      <c r="DV11" s="66" t="str">
        <f t="shared" si="7"/>
        <v/>
      </c>
      <c r="DW11" s="66" t="str">
        <f t="shared" si="7"/>
        <v/>
      </c>
      <c r="DX11" s="66" t="str">
        <f t="shared" si="7"/>
        <v/>
      </c>
      <c r="DY11" s="66" t="str">
        <f t="shared" si="7"/>
        <v/>
      </c>
      <c r="DZ11" s="66" t="str">
        <f t="shared" si="7"/>
        <v/>
      </c>
      <c r="EA11" s="66" t="str">
        <f t="shared" si="7"/>
        <v/>
      </c>
      <c r="EB11" s="66" t="str">
        <f t="shared" si="7"/>
        <v/>
      </c>
      <c r="EC11" s="66" t="str">
        <f t="shared" si="7"/>
        <v/>
      </c>
      <c r="ED11" s="66" t="str">
        <f t="shared" si="7"/>
        <v/>
      </c>
      <c r="EE11" s="66" t="str">
        <f t="shared" si="7"/>
        <v/>
      </c>
      <c r="EF11" s="66" t="str">
        <f t="shared" si="7"/>
        <v/>
      </c>
      <c r="EG11" s="66" t="str">
        <f t="shared" si="7"/>
        <v/>
      </c>
      <c r="EH11" s="66" t="str">
        <f t="shared" si="7"/>
        <v/>
      </c>
      <c r="EI11" s="66" t="str">
        <f t="shared" si="7"/>
        <v/>
      </c>
      <c r="EJ11" s="66" t="str">
        <f t="shared" si="7"/>
        <v/>
      </c>
      <c r="EK11" s="66" t="str">
        <f t="shared" si="7"/>
        <v/>
      </c>
      <c r="EL11" s="66" t="str">
        <f t="shared" si="7"/>
        <v/>
      </c>
      <c r="EM11" s="66" t="str">
        <f t="shared" si="7"/>
        <v/>
      </c>
      <c r="EN11" s="66" t="str">
        <f t="shared" si="7"/>
        <v/>
      </c>
      <c r="EO11" s="66" t="str">
        <f t="shared" si="7"/>
        <v/>
      </c>
      <c r="EP11" s="66" t="str">
        <f t="shared" si="7"/>
        <v/>
      </c>
      <c r="EQ11" s="66" t="str">
        <f t="shared" si="7"/>
        <v/>
      </c>
      <c r="ER11" s="66" t="str">
        <f t="shared" si="7"/>
        <v/>
      </c>
      <c r="ES11" s="66" t="str">
        <f t="shared" si="7"/>
        <v/>
      </c>
      <c r="ET11" s="66" t="str">
        <f t="shared" si="7"/>
        <v/>
      </c>
      <c r="EU11" s="66" t="str">
        <f t="shared" si="7"/>
        <v/>
      </c>
      <c r="EV11" s="66" t="str">
        <f t="shared" si="7"/>
        <v/>
      </c>
      <c r="EW11" s="66" t="str">
        <f t="shared" si="7"/>
        <v/>
      </c>
      <c r="EX11" s="66" t="str">
        <f t="shared" si="7"/>
        <v/>
      </c>
      <c r="EY11" s="66" t="str">
        <f t="shared" ref="EY11:HJ11" si="8">IF(AND(EY7="",EY8="",EY9=""),"",IF(EY7="",EY21,(EY16+ABS(EY7))))</f>
        <v/>
      </c>
      <c r="EZ11" s="66" t="str">
        <f t="shared" si="8"/>
        <v/>
      </c>
      <c r="FA11" s="66" t="str">
        <f t="shared" si="8"/>
        <v/>
      </c>
      <c r="FB11" s="66" t="str">
        <f t="shared" si="8"/>
        <v/>
      </c>
      <c r="FC11" s="66" t="str">
        <f t="shared" si="8"/>
        <v/>
      </c>
      <c r="FD11" s="66" t="str">
        <f t="shared" si="8"/>
        <v/>
      </c>
      <c r="FE11" s="66" t="str">
        <f t="shared" si="8"/>
        <v/>
      </c>
      <c r="FF11" s="66" t="str">
        <f t="shared" si="8"/>
        <v/>
      </c>
      <c r="FG11" s="66" t="str">
        <f t="shared" si="8"/>
        <v/>
      </c>
      <c r="FH11" s="66" t="str">
        <f t="shared" si="8"/>
        <v/>
      </c>
      <c r="FI11" s="66" t="str">
        <f t="shared" si="8"/>
        <v/>
      </c>
      <c r="FJ11" s="66" t="str">
        <f t="shared" si="8"/>
        <v/>
      </c>
      <c r="FK11" s="66" t="str">
        <f t="shared" si="8"/>
        <v/>
      </c>
      <c r="FL11" s="66" t="str">
        <f t="shared" si="8"/>
        <v/>
      </c>
      <c r="FM11" s="66" t="str">
        <f t="shared" si="8"/>
        <v/>
      </c>
      <c r="FN11" s="66" t="str">
        <f t="shared" si="8"/>
        <v/>
      </c>
      <c r="FO11" s="66" t="str">
        <f t="shared" si="8"/>
        <v/>
      </c>
      <c r="FP11" s="66" t="str">
        <f t="shared" si="8"/>
        <v/>
      </c>
      <c r="FQ11" s="66" t="str">
        <f t="shared" si="8"/>
        <v/>
      </c>
      <c r="FR11" s="66" t="str">
        <f t="shared" si="8"/>
        <v/>
      </c>
      <c r="FS11" s="66" t="str">
        <f t="shared" si="8"/>
        <v/>
      </c>
      <c r="FT11" s="66" t="str">
        <f t="shared" si="8"/>
        <v/>
      </c>
      <c r="FU11" s="66" t="str">
        <f t="shared" si="8"/>
        <v/>
      </c>
      <c r="FV11" s="66" t="str">
        <f t="shared" si="8"/>
        <v/>
      </c>
      <c r="FW11" s="66" t="str">
        <f t="shared" si="8"/>
        <v/>
      </c>
      <c r="FX11" s="66" t="str">
        <f t="shared" si="8"/>
        <v/>
      </c>
      <c r="FY11" s="66" t="str">
        <f t="shared" si="8"/>
        <v/>
      </c>
      <c r="FZ11" s="66" t="str">
        <f t="shared" si="8"/>
        <v/>
      </c>
      <c r="GA11" s="66" t="str">
        <f t="shared" si="8"/>
        <v/>
      </c>
      <c r="GB11" s="66" t="str">
        <f t="shared" si="8"/>
        <v/>
      </c>
      <c r="GC11" s="66" t="str">
        <f t="shared" si="8"/>
        <v/>
      </c>
      <c r="GD11" s="66" t="str">
        <f t="shared" si="8"/>
        <v/>
      </c>
      <c r="GE11" s="66" t="str">
        <f t="shared" si="8"/>
        <v/>
      </c>
      <c r="GF11" s="66" t="str">
        <f t="shared" si="8"/>
        <v/>
      </c>
      <c r="GG11" s="66" t="str">
        <f t="shared" si="8"/>
        <v/>
      </c>
      <c r="GH11" s="66" t="str">
        <f t="shared" si="8"/>
        <v/>
      </c>
      <c r="GI11" s="66" t="str">
        <f t="shared" si="8"/>
        <v/>
      </c>
      <c r="GJ11" s="66" t="str">
        <f t="shared" si="8"/>
        <v/>
      </c>
      <c r="GK11" s="66" t="str">
        <f t="shared" si="8"/>
        <v/>
      </c>
      <c r="GL11" s="66" t="str">
        <f t="shared" si="8"/>
        <v/>
      </c>
      <c r="GM11" s="66" t="str">
        <f t="shared" si="8"/>
        <v/>
      </c>
      <c r="GN11" s="66" t="str">
        <f t="shared" si="8"/>
        <v/>
      </c>
      <c r="GO11" s="66" t="str">
        <f t="shared" si="8"/>
        <v/>
      </c>
      <c r="GP11" s="66" t="str">
        <f t="shared" si="8"/>
        <v/>
      </c>
      <c r="GQ11" s="66" t="str">
        <f t="shared" si="8"/>
        <v/>
      </c>
      <c r="GR11" s="66" t="str">
        <f t="shared" si="8"/>
        <v/>
      </c>
      <c r="GS11" s="66" t="str">
        <f t="shared" si="8"/>
        <v/>
      </c>
      <c r="GT11" s="66" t="str">
        <f t="shared" si="8"/>
        <v/>
      </c>
      <c r="GU11" s="66" t="str">
        <f t="shared" si="8"/>
        <v/>
      </c>
      <c r="GV11" s="66" t="str">
        <f t="shared" si="8"/>
        <v/>
      </c>
      <c r="GW11" s="66" t="str">
        <f t="shared" si="8"/>
        <v/>
      </c>
      <c r="GX11" s="66" t="str">
        <f t="shared" si="8"/>
        <v/>
      </c>
      <c r="GY11" s="66" t="str">
        <f t="shared" si="8"/>
        <v/>
      </c>
      <c r="GZ11" s="66" t="str">
        <f t="shared" si="8"/>
        <v/>
      </c>
      <c r="HA11" s="66" t="str">
        <f t="shared" si="8"/>
        <v/>
      </c>
      <c r="HB11" s="66" t="str">
        <f t="shared" si="8"/>
        <v/>
      </c>
      <c r="HC11" s="66" t="str">
        <f t="shared" si="8"/>
        <v/>
      </c>
      <c r="HD11" s="66" t="str">
        <f t="shared" si="8"/>
        <v/>
      </c>
      <c r="HE11" s="66" t="str">
        <f t="shared" si="8"/>
        <v/>
      </c>
      <c r="HF11" s="66" t="str">
        <f t="shared" si="8"/>
        <v/>
      </c>
      <c r="HG11" s="66" t="str">
        <f t="shared" si="8"/>
        <v/>
      </c>
      <c r="HH11" s="66" t="str">
        <f t="shared" si="8"/>
        <v/>
      </c>
      <c r="HI11" s="66" t="str">
        <f t="shared" si="8"/>
        <v/>
      </c>
      <c r="HJ11" s="66" t="str">
        <f t="shared" si="8"/>
        <v/>
      </c>
      <c r="HK11" s="66" t="str">
        <f t="shared" ref="HK11:IV11" si="9">IF(AND(HK7="",HK8="",HK9=""),"",IF(HK7="",HK21,(HK16+ABS(HK7))))</f>
        <v/>
      </c>
      <c r="HL11" s="66" t="str">
        <f t="shared" si="9"/>
        <v/>
      </c>
      <c r="HM11" s="66" t="str">
        <f t="shared" si="9"/>
        <v/>
      </c>
      <c r="HN11" s="66" t="str">
        <f t="shared" si="9"/>
        <v/>
      </c>
      <c r="HO11" s="66" t="str">
        <f t="shared" si="9"/>
        <v/>
      </c>
      <c r="HP11" s="66" t="str">
        <f t="shared" si="9"/>
        <v/>
      </c>
      <c r="HQ11" s="66" t="str">
        <f t="shared" si="9"/>
        <v/>
      </c>
      <c r="HR11" s="66" t="str">
        <f t="shared" si="9"/>
        <v/>
      </c>
      <c r="HS11" s="66" t="str">
        <f t="shared" si="9"/>
        <v/>
      </c>
      <c r="HT11" s="66" t="str">
        <f t="shared" si="9"/>
        <v/>
      </c>
      <c r="HU11" s="66" t="str">
        <f t="shared" si="9"/>
        <v/>
      </c>
      <c r="HV11" s="66" t="str">
        <f t="shared" si="9"/>
        <v/>
      </c>
      <c r="HW11" s="66" t="str">
        <f t="shared" si="9"/>
        <v/>
      </c>
      <c r="HX11" s="66" t="str">
        <f t="shared" si="9"/>
        <v/>
      </c>
      <c r="HY11" s="66" t="str">
        <f t="shared" si="9"/>
        <v/>
      </c>
      <c r="HZ11" s="66" t="str">
        <f t="shared" si="9"/>
        <v/>
      </c>
      <c r="IA11" s="66" t="str">
        <f t="shared" si="9"/>
        <v/>
      </c>
      <c r="IB11" s="66" t="str">
        <f t="shared" si="9"/>
        <v/>
      </c>
      <c r="IC11" s="66" t="str">
        <f t="shared" si="9"/>
        <v/>
      </c>
      <c r="ID11" s="66" t="str">
        <f t="shared" si="9"/>
        <v/>
      </c>
      <c r="IE11" s="66" t="str">
        <f t="shared" si="9"/>
        <v/>
      </c>
      <c r="IF11" s="66" t="str">
        <f t="shared" si="9"/>
        <v/>
      </c>
      <c r="IG11" s="66" t="str">
        <f t="shared" si="9"/>
        <v/>
      </c>
      <c r="IH11" s="66" t="str">
        <f t="shared" si="9"/>
        <v/>
      </c>
      <c r="II11" s="66" t="str">
        <f t="shared" si="9"/>
        <v/>
      </c>
      <c r="IJ11" s="66" t="str">
        <f t="shared" si="9"/>
        <v/>
      </c>
      <c r="IK11" s="66" t="str">
        <f t="shared" si="9"/>
        <v/>
      </c>
      <c r="IL11" s="66" t="str">
        <f t="shared" si="9"/>
        <v/>
      </c>
      <c r="IM11" s="66" t="str">
        <f t="shared" si="9"/>
        <v/>
      </c>
      <c r="IN11" s="66" t="str">
        <f t="shared" si="9"/>
        <v/>
      </c>
      <c r="IO11" s="66" t="str">
        <f t="shared" si="9"/>
        <v/>
      </c>
      <c r="IP11" s="66" t="str">
        <f t="shared" si="9"/>
        <v/>
      </c>
      <c r="IQ11" s="66" t="str">
        <f t="shared" si="9"/>
        <v/>
      </c>
      <c r="IR11" s="66" t="str">
        <f t="shared" si="9"/>
        <v/>
      </c>
      <c r="IS11" s="66" t="str">
        <f t="shared" si="9"/>
        <v/>
      </c>
      <c r="IT11" s="66" t="str">
        <f t="shared" si="9"/>
        <v/>
      </c>
      <c r="IU11" s="66" t="str">
        <f t="shared" si="9"/>
        <v/>
      </c>
      <c r="IV11" s="133" t="str">
        <f t="shared" si="9"/>
        <v/>
      </c>
    </row>
    <row r="12" spans="1:256" s="61" customFormat="1" ht="12.75" hidden="1" customHeight="1">
      <c r="A12" s="1"/>
      <c r="B12" s="50" t="s">
        <v>70</v>
      </c>
      <c r="C12" s="110" t="str">
        <f t="shared" ref="C12:Z12" si="10">IF(AND(C7="",C8="",C9=""),"",IF(C8="",C22,(C16-ABS(C8))))</f>
        <v/>
      </c>
      <c r="D12" s="110" t="str">
        <f t="shared" si="10"/>
        <v/>
      </c>
      <c r="E12" s="110" t="str">
        <f t="shared" si="10"/>
        <v/>
      </c>
      <c r="F12" s="110" t="str">
        <f t="shared" si="10"/>
        <v/>
      </c>
      <c r="G12" s="110" t="str">
        <f t="shared" si="10"/>
        <v/>
      </c>
      <c r="H12" s="110" t="str">
        <f t="shared" si="10"/>
        <v/>
      </c>
      <c r="I12" s="110" t="str">
        <f t="shared" si="10"/>
        <v/>
      </c>
      <c r="J12" s="110" t="str">
        <f t="shared" si="10"/>
        <v/>
      </c>
      <c r="K12" s="110" t="str">
        <f t="shared" si="10"/>
        <v/>
      </c>
      <c r="L12" s="110" t="str">
        <f t="shared" si="10"/>
        <v/>
      </c>
      <c r="M12" s="110" t="str">
        <f t="shared" si="10"/>
        <v/>
      </c>
      <c r="N12" s="110" t="str">
        <f t="shared" si="10"/>
        <v/>
      </c>
      <c r="O12" s="110" t="str">
        <f t="shared" si="10"/>
        <v/>
      </c>
      <c r="P12" s="110" t="str">
        <f t="shared" si="10"/>
        <v/>
      </c>
      <c r="Q12" s="110" t="str">
        <f t="shared" si="10"/>
        <v/>
      </c>
      <c r="R12" s="110" t="str">
        <f t="shared" si="10"/>
        <v/>
      </c>
      <c r="S12" s="110" t="str">
        <f t="shared" si="10"/>
        <v/>
      </c>
      <c r="T12" s="110" t="str">
        <f t="shared" si="10"/>
        <v/>
      </c>
      <c r="U12" s="110" t="str">
        <f t="shared" si="10"/>
        <v/>
      </c>
      <c r="V12" s="110" t="str">
        <f t="shared" si="10"/>
        <v/>
      </c>
      <c r="W12" s="110" t="str">
        <f t="shared" si="10"/>
        <v/>
      </c>
      <c r="X12" s="110" t="str">
        <f t="shared" si="10"/>
        <v/>
      </c>
      <c r="Y12" s="110" t="str">
        <f t="shared" si="10"/>
        <v/>
      </c>
      <c r="Z12" s="110" t="str">
        <f t="shared" si="10"/>
        <v/>
      </c>
      <c r="AA12" s="66" t="str">
        <f t="shared" ref="AA12:CL12" si="11">IF(AND(AA7="",AA8="",AA9=""),"",IF(AA8="",AA22,(AA16-ABS(AA8))))</f>
        <v/>
      </c>
      <c r="AB12" s="66" t="str">
        <f t="shared" si="11"/>
        <v/>
      </c>
      <c r="AC12" s="66" t="str">
        <f t="shared" si="11"/>
        <v/>
      </c>
      <c r="AD12" s="66" t="str">
        <f t="shared" si="11"/>
        <v/>
      </c>
      <c r="AE12" s="66" t="str">
        <f t="shared" si="11"/>
        <v/>
      </c>
      <c r="AF12" s="66" t="str">
        <f t="shared" si="11"/>
        <v/>
      </c>
      <c r="AG12" s="66" t="str">
        <f t="shared" si="11"/>
        <v/>
      </c>
      <c r="AH12" s="66" t="str">
        <f t="shared" si="11"/>
        <v/>
      </c>
      <c r="AI12" s="66" t="str">
        <f t="shared" si="11"/>
        <v/>
      </c>
      <c r="AJ12" s="66" t="str">
        <f t="shared" si="11"/>
        <v/>
      </c>
      <c r="AK12" s="66" t="str">
        <f t="shared" si="11"/>
        <v/>
      </c>
      <c r="AL12" s="66" t="str">
        <f t="shared" si="11"/>
        <v/>
      </c>
      <c r="AM12" s="66" t="str">
        <f t="shared" si="11"/>
        <v/>
      </c>
      <c r="AN12" s="66" t="str">
        <f t="shared" si="11"/>
        <v/>
      </c>
      <c r="AO12" s="66" t="str">
        <f t="shared" si="11"/>
        <v/>
      </c>
      <c r="AP12" s="66" t="str">
        <f t="shared" si="11"/>
        <v/>
      </c>
      <c r="AQ12" s="66" t="str">
        <f t="shared" si="11"/>
        <v/>
      </c>
      <c r="AR12" s="66" t="str">
        <f t="shared" si="11"/>
        <v/>
      </c>
      <c r="AS12" s="66" t="str">
        <f t="shared" si="11"/>
        <v/>
      </c>
      <c r="AT12" s="66" t="str">
        <f t="shared" si="11"/>
        <v/>
      </c>
      <c r="AU12" s="66" t="str">
        <f t="shared" si="11"/>
        <v/>
      </c>
      <c r="AV12" s="66" t="str">
        <f t="shared" si="11"/>
        <v/>
      </c>
      <c r="AW12" s="66" t="str">
        <f t="shared" si="11"/>
        <v/>
      </c>
      <c r="AX12" s="66" t="str">
        <f t="shared" si="11"/>
        <v/>
      </c>
      <c r="AY12" s="66" t="str">
        <f t="shared" si="11"/>
        <v/>
      </c>
      <c r="AZ12" s="66" t="str">
        <f t="shared" si="11"/>
        <v/>
      </c>
      <c r="BA12" s="66" t="str">
        <f t="shared" si="11"/>
        <v/>
      </c>
      <c r="BB12" s="66" t="str">
        <f t="shared" si="11"/>
        <v/>
      </c>
      <c r="BC12" s="66" t="str">
        <f t="shared" si="11"/>
        <v/>
      </c>
      <c r="BD12" s="66" t="str">
        <f t="shared" si="11"/>
        <v/>
      </c>
      <c r="BE12" s="66" t="str">
        <f t="shared" si="11"/>
        <v/>
      </c>
      <c r="BF12" s="66" t="str">
        <f t="shared" si="11"/>
        <v/>
      </c>
      <c r="BG12" s="66" t="str">
        <f t="shared" si="11"/>
        <v/>
      </c>
      <c r="BH12" s="66" t="str">
        <f t="shared" si="11"/>
        <v/>
      </c>
      <c r="BI12" s="66" t="str">
        <f t="shared" si="11"/>
        <v/>
      </c>
      <c r="BJ12" s="66" t="str">
        <f t="shared" si="11"/>
        <v/>
      </c>
      <c r="BK12" s="66" t="str">
        <f t="shared" si="11"/>
        <v/>
      </c>
      <c r="BL12" s="66" t="str">
        <f t="shared" si="11"/>
        <v/>
      </c>
      <c r="BM12" s="66" t="str">
        <f t="shared" si="11"/>
        <v/>
      </c>
      <c r="BN12" s="66" t="str">
        <f t="shared" si="11"/>
        <v/>
      </c>
      <c r="BO12" s="66" t="str">
        <f t="shared" si="11"/>
        <v/>
      </c>
      <c r="BP12" s="66" t="str">
        <f t="shared" si="11"/>
        <v/>
      </c>
      <c r="BQ12" s="66" t="str">
        <f t="shared" si="11"/>
        <v/>
      </c>
      <c r="BR12" s="66" t="str">
        <f t="shared" si="11"/>
        <v/>
      </c>
      <c r="BS12" s="66" t="str">
        <f t="shared" si="11"/>
        <v/>
      </c>
      <c r="BT12" s="66" t="str">
        <f t="shared" si="11"/>
        <v/>
      </c>
      <c r="BU12" s="66" t="str">
        <f t="shared" si="11"/>
        <v/>
      </c>
      <c r="BV12" s="66" t="str">
        <f t="shared" si="11"/>
        <v/>
      </c>
      <c r="BW12" s="66" t="str">
        <f t="shared" si="11"/>
        <v/>
      </c>
      <c r="BX12" s="66" t="str">
        <f t="shared" si="11"/>
        <v/>
      </c>
      <c r="BY12" s="66" t="str">
        <f t="shared" si="11"/>
        <v/>
      </c>
      <c r="BZ12" s="66" t="str">
        <f t="shared" si="11"/>
        <v/>
      </c>
      <c r="CA12" s="66" t="str">
        <f t="shared" si="11"/>
        <v/>
      </c>
      <c r="CB12" s="66" t="str">
        <f t="shared" si="11"/>
        <v/>
      </c>
      <c r="CC12" s="66" t="str">
        <f t="shared" si="11"/>
        <v/>
      </c>
      <c r="CD12" s="66" t="str">
        <f t="shared" si="11"/>
        <v/>
      </c>
      <c r="CE12" s="66" t="str">
        <f t="shared" si="11"/>
        <v/>
      </c>
      <c r="CF12" s="66" t="str">
        <f t="shared" si="11"/>
        <v/>
      </c>
      <c r="CG12" s="66" t="str">
        <f t="shared" si="11"/>
        <v/>
      </c>
      <c r="CH12" s="66" t="str">
        <f t="shared" si="11"/>
        <v/>
      </c>
      <c r="CI12" s="66" t="str">
        <f t="shared" si="11"/>
        <v/>
      </c>
      <c r="CJ12" s="66" t="str">
        <f t="shared" si="11"/>
        <v/>
      </c>
      <c r="CK12" s="66" t="str">
        <f t="shared" si="11"/>
        <v/>
      </c>
      <c r="CL12" s="66" t="str">
        <f t="shared" si="11"/>
        <v/>
      </c>
      <c r="CM12" s="66" t="str">
        <f t="shared" ref="CM12:EX12" si="12">IF(AND(CM7="",CM8="",CM9=""),"",IF(CM8="",CM22,(CM16-ABS(CM8))))</f>
        <v/>
      </c>
      <c r="CN12" s="66" t="str">
        <f t="shared" si="12"/>
        <v/>
      </c>
      <c r="CO12" s="66" t="str">
        <f t="shared" si="12"/>
        <v/>
      </c>
      <c r="CP12" s="66" t="str">
        <f t="shared" si="12"/>
        <v/>
      </c>
      <c r="CQ12" s="66" t="str">
        <f t="shared" si="12"/>
        <v/>
      </c>
      <c r="CR12" s="66" t="str">
        <f t="shared" si="12"/>
        <v/>
      </c>
      <c r="CS12" s="66" t="str">
        <f t="shared" si="12"/>
        <v/>
      </c>
      <c r="CT12" s="66" t="str">
        <f t="shared" si="12"/>
        <v/>
      </c>
      <c r="CU12" s="66" t="str">
        <f t="shared" si="12"/>
        <v/>
      </c>
      <c r="CV12" s="66" t="str">
        <f t="shared" si="12"/>
        <v/>
      </c>
      <c r="CW12" s="66" t="str">
        <f t="shared" si="12"/>
        <v/>
      </c>
      <c r="CX12" s="66" t="str">
        <f t="shared" si="12"/>
        <v/>
      </c>
      <c r="CY12" s="66" t="str">
        <f t="shared" si="12"/>
        <v/>
      </c>
      <c r="CZ12" s="66" t="str">
        <f t="shared" si="12"/>
        <v/>
      </c>
      <c r="DA12" s="66" t="str">
        <f t="shared" si="12"/>
        <v/>
      </c>
      <c r="DB12" s="66" t="str">
        <f t="shared" si="12"/>
        <v/>
      </c>
      <c r="DC12" s="66" t="str">
        <f t="shared" si="12"/>
        <v/>
      </c>
      <c r="DD12" s="66" t="str">
        <f t="shared" si="12"/>
        <v/>
      </c>
      <c r="DE12" s="66" t="str">
        <f t="shared" si="12"/>
        <v/>
      </c>
      <c r="DF12" s="66" t="str">
        <f t="shared" si="12"/>
        <v/>
      </c>
      <c r="DG12" s="66" t="str">
        <f t="shared" si="12"/>
        <v/>
      </c>
      <c r="DH12" s="66" t="str">
        <f t="shared" si="12"/>
        <v/>
      </c>
      <c r="DI12" s="66" t="str">
        <f t="shared" si="12"/>
        <v/>
      </c>
      <c r="DJ12" s="66" t="str">
        <f t="shared" si="12"/>
        <v/>
      </c>
      <c r="DK12" s="66" t="str">
        <f t="shared" si="12"/>
        <v/>
      </c>
      <c r="DL12" s="66" t="str">
        <f t="shared" si="12"/>
        <v/>
      </c>
      <c r="DM12" s="66" t="str">
        <f t="shared" si="12"/>
        <v/>
      </c>
      <c r="DN12" s="66" t="str">
        <f t="shared" si="12"/>
        <v/>
      </c>
      <c r="DO12" s="66" t="str">
        <f t="shared" si="12"/>
        <v/>
      </c>
      <c r="DP12" s="66" t="str">
        <f t="shared" si="12"/>
        <v/>
      </c>
      <c r="DQ12" s="66" t="str">
        <f t="shared" si="12"/>
        <v/>
      </c>
      <c r="DR12" s="66" t="str">
        <f t="shared" si="12"/>
        <v/>
      </c>
      <c r="DS12" s="66" t="str">
        <f t="shared" si="12"/>
        <v/>
      </c>
      <c r="DT12" s="66" t="str">
        <f t="shared" si="12"/>
        <v/>
      </c>
      <c r="DU12" s="66" t="str">
        <f t="shared" si="12"/>
        <v/>
      </c>
      <c r="DV12" s="66" t="str">
        <f t="shared" si="12"/>
        <v/>
      </c>
      <c r="DW12" s="66" t="str">
        <f t="shared" si="12"/>
        <v/>
      </c>
      <c r="DX12" s="66" t="str">
        <f t="shared" si="12"/>
        <v/>
      </c>
      <c r="DY12" s="66" t="str">
        <f t="shared" si="12"/>
        <v/>
      </c>
      <c r="DZ12" s="66" t="str">
        <f t="shared" si="12"/>
        <v/>
      </c>
      <c r="EA12" s="66" t="str">
        <f t="shared" si="12"/>
        <v/>
      </c>
      <c r="EB12" s="66" t="str">
        <f t="shared" si="12"/>
        <v/>
      </c>
      <c r="EC12" s="66" t="str">
        <f t="shared" si="12"/>
        <v/>
      </c>
      <c r="ED12" s="66" t="str">
        <f t="shared" si="12"/>
        <v/>
      </c>
      <c r="EE12" s="66" t="str">
        <f t="shared" si="12"/>
        <v/>
      </c>
      <c r="EF12" s="66" t="str">
        <f t="shared" si="12"/>
        <v/>
      </c>
      <c r="EG12" s="66" t="str">
        <f t="shared" si="12"/>
        <v/>
      </c>
      <c r="EH12" s="66" t="str">
        <f t="shared" si="12"/>
        <v/>
      </c>
      <c r="EI12" s="66" t="str">
        <f t="shared" si="12"/>
        <v/>
      </c>
      <c r="EJ12" s="66" t="str">
        <f t="shared" si="12"/>
        <v/>
      </c>
      <c r="EK12" s="66" t="str">
        <f t="shared" si="12"/>
        <v/>
      </c>
      <c r="EL12" s="66" t="str">
        <f t="shared" si="12"/>
        <v/>
      </c>
      <c r="EM12" s="66" t="str">
        <f t="shared" si="12"/>
        <v/>
      </c>
      <c r="EN12" s="66" t="str">
        <f t="shared" si="12"/>
        <v/>
      </c>
      <c r="EO12" s="66" t="str">
        <f t="shared" si="12"/>
        <v/>
      </c>
      <c r="EP12" s="66" t="str">
        <f t="shared" si="12"/>
        <v/>
      </c>
      <c r="EQ12" s="66" t="str">
        <f t="shared" si="12"/>
        <v/>
      </c>
      <c r="ER12" s="66" t="str">
        <f t="shared" si="12"/>
        <v/>
      </c>
      <c r="ES12" s="66" t="str">
        <f t="shared" si="12"/>
        <v/>
      </c>
      <c r="ET12" s="66" t="str">
        <f t="shared" si="12"/>
        <v/>
      </c>
      <c r="EU12" s="66" t="str">
        <f t="shared" si="12"/>
        <v/>
      </c>
      <c r="EV12" s="66" t="str">
        <f t="shared" si="12"/>
        <v/>
      </c>
      <c r="EW12" s="66" t="str">
        <f t="shared" si="12"/>
        <v/>
      </c>
      <c r="EX12" s="66" t="str">
        <f t="shared" si="12"/>
        <v/>
      </c>
      <c r="EY12" s="66" t="str">
        <f t="shared" ref="EY12:HJ12" si="13">IF(AND(EY7="",EY8="",EY9=""),"",IF(EY8="",EY22,(EY16-ABS(EY8))))</f>
        <v/>
      </c>
      <c r="EZ12" s="66" t="str">
        <f t="shared" si="13"/>
        <v/>
      </c>
      <c r="FA12" s="66" t="str">
        <f t="shared" si="13"/>
        <v/>
      </c>
      <c r="FB12" s="66" t="str">
        <f t="shared" si="13"/>
        <v/>
      </c>
      <c r="FC12" s="66" t="str">
        <f t="shared" si="13"/>
        <v/>
      </c>
      <c r="FD12" s="66" t="str">
        <f t="shared" si="13"/>
        <v/>
      </c>
      <c r="FE12" s="66" t="str">
        <f t="shared" si="13"/>
        <v/>
      </c>
      <c r="FF12" s="66" t="str">
        <f t="shared" si="13"/>
        <v/>
      </c>
      <c r="FG12" s="66" t="str">
        <f t="shared" si="13"/>
        <v/>
      </c>
      <c r="FH12" s="66" t="str">
        <f t="shared" si="13"/>
        <v/>
      </c>
      <c r="FI12" s="66" t="str">
        <f t="shared" si="13"/>
        <v/>
      </c>
      <c r="FJ12" s="66" t="str">
        <f t="shared" si="13"/>
        <v/>
      </c>
      <c r="FK12" s="66" t="str">
        <f t="shared" si="13"/>
        <v/>
      </c>
      <c r="FL12" s="66" t="str">
        <f t="shared" si="13"/>
        <v/>
      </c>
      <c r="FM12" s="66" t="str">
        <f t="shared" si="13"/>
        <v/>
      </c>
      <c r="FN12" s="66" t="str">
        <f t="shared" si="13"/>
        <v/>
      </c>
      <c r="FO12" s="66" t="str">
        <f t="shared" si="13"/>
        <v/>
      </c>
      <c r="FP12" s="66" t="str">
        <f t="shared" si="13"/>
        <v/>
      </c>
      <c r="FQ12" s="66" t="str">
        <f t="shared" si="13"/>
        <v/>
      </c>
      <c r="FR12" s="66" t="str">
        <f t="shared" si="13"/>
        <v/>
      </c>
      <c r="FS12" s="66" t="str">
        <f t="shared" si="13"/>
        <v/>
      </c>
      <c r="FT12" s="66" t="str">
        <f t="shared" si="13"/>
        <v/>
      </c>
      <c r="FU12" s="66" t="str">
        <f t="shared" si="13"/>
        <v/>
      </c>
      <c r="FV12" s="66" t="str">
        <f t="shared" si="13"/>
        <v/>
      </c>
      <c r="FW12" s="66" t="str">
        <f t="shared" si="13"/>
        <v/>
      </c>
      <c r="FX12" s="66" t="str">
        <f t="shared" si="13"/>
        <v/>
      </c>
      <c r="FY12" s="66" t="str">
        <f t="shared" si="13"/>
        <v/>
      </c>
      <c r="FZ12" s="66" t="str">
        <f t="shared" si="13"/>
        <v/>
      </c>
      <c r="GA12" s="66" t="str">
        <f t="shared" si="13"/>
        <v/>
      </c>
      <c r="GB12" s="66" t="str">
        <f t="shared" si="13"/>
        <v/>
      </c>
      <c r="GC12" s="66" t="str">
        <f t="shared" si="13"/>
        <v/>
      </c>
      <c r="GD12" s="66" t="str">
        <f t="shared" si="13"/>
        <v/>
      </c>
      <c r="GE12" s="66" t="str">
        <f t="shared" si="13"/>
        <v/>
      </c>
      <c r="GF12" s="66" t="str">
        <f t="shared" si="13"/>
        <v/>
      </c>
      <c r="GG12" s="66" t="str">
        <f t="shared" si="13"/>
        <v/>
      </c>
      <c r="GH12" s="66" t="str">
        <f t="shared" si="13"/>
        <v/>
      </c>
      <c r="GI12" s="66" t="str">
        <f t="shared" si="13"/>
        <v/>
      </c>
      <c r="GJ12" s="66" t="str">
        <f t="shared" si="13"/>
        <v/>
      </c>
      <c r="GK12" s="66" t="str">
        <f t="shared" si="13"/>
        <v/>
      </c>
      <c r="GL12" s="66" t="str">
        <f t="shared" si="13"/>
        <v/>
      </c>
      <c r="GM12" s="66" t="str">
        <f t="shared" si="13"/>
        <v/>
      </c>
      <c r="GN12" s="66" t="str">
        <f t="shared" si="13"/>
        <v/>
      </c>
      <c r="GO12" s="66" t="str">
        <f t="shared" si="13"/>
        <v/>
      </c>
      <c r="GP12" s="66" t="str">
        <f t="shared" si="13"/>
        <v/>
      </c>
      <c r="GQ12" s="66" t="str">
        <f t="shared" si="13"/>
        <v/>
      </c>
      <c r="GR12" s="66" t="str">
        <f t="shared" si="13"/>
        <v/>
      </c>
      <c r="GS12" s="66" t="str">
        <f t="shared" si="13"/>
        <v/>
      </c>
      <c r="GT12" s="66" t="str">
        <f t="shared" si="13"/>
        <v/>
      </c>
      <c r="GU12" s="66" t="str">
        <f t="shared" si="13"/>
        <v/>
      </c>
      <c r="GV12" s="66" t="str">
        <f t="shared" si="13"/>
        <v/>
      </c>
      <c r="GW12" s="66" t="str">
        <f t="shared" si="13"/>
        <v/>
      </c>
      <c r="GX12" s="66" t="str">
        <f t="shared" si="13"/>
        <v/>
      </c>
      <c r="GY12" s="66" t="str">
        <f t="shared" si="13"/>
        <v/>
      </c>
      <c r="GZ12" s="66" t="str">
        <f t="shared" si="13"/>
        <v/>
      </c>
      <c r="HA12" s="66" t="str">
        <f t="shared" si="13"/>
        <v/>
      </c>
      <c r="HB12" s="66" t="str">
        <f t="shared" si="13"/>
        <v/>
      </c>
      <c r="HC12" s="66" t="str">
        <f t="shared" si="13"/>
        <v/>
      </c>
      <c r="HD12" s="66" t="str">
        <f t="shared" si="13"/>
        <v/>
      </c>
      <c r="HE12" s="66" t="str">
        <f t="shared" si="13"/>
        <v/>
      </c>
      <c r="HF12" s="66" t="str">
        <f t="shared" si="13"/>
        <v/>
      </c>
      <c r="HG12" s="66" t="str">
        <f t="shared" si="13"/>
        <v/>
      </c>
      <c r="HH12" s="66" t="str">
        <f t="shared" si="13"/>
        <v/>
      </c>
      <c r="HI12" s="66" t="str">
        <f t="shared" si="13"/>
        <v/>
      </c>
      <c r="HJ12" s="66" t="str">
        <f t="shared" si="13"/>
        <v/>
      </c>
      <c r="HK12" s="66" t="str">
        <f t="shared" ref="HK12:IV12" si="14">IF(AND(HK7="",HK8="",HK9=""),"",IF(HK8="",HK22,(HK16-ABS(HK8))))</f>
        <v/>
      </c>
      <c r="HL12" s="66" t="str">
        <f t="shared" si="14"/>
        <v/>
      </c>
      <c r="HM12" s="66" t="str">
        <f t="shared" si="14"/>
        <v/>
      </c>
      <c r="HN12" s="66" t="str">
        <f t="shared" si="14"/>
        <v/>
      </c>
      <c r="HO12" s="66" t="str">
        <f t="shared" si="14"/>
        <v/>
      </c>
      <c r="HP12" s="66" t="str">
        <f t="shared" si="14"/>
        <v/>
      </c>
      <c r="HQ12" s="66" t="str">
        <f t="shared" si="14"/>
        <v/>
      </c>
      <c r="HR12" s="66" t="str">
        <f t="shared" si="14"/>
        <v/>
      </c>
      <c r="HS12" s="66" t="str">
        <f t="shared" si="14"/>
        <v/>
      </c>
      <c r="HT12" s="66" t="str">
        <f t="shared" si="14"/>
        <v/>
      </c>
      <c r="HU12" s="66" t="str">
        <f t="shared" si="14"/>
        <v/>
      </c>
      <c r="HV12" s="66" t="str">
        <f t="shared" si="14"/>
        <v/>
      </c>
      <c r="HW12" s="66" t="str">
        <f t="shared" si="14"/>
        <v/>
      </c>
      <c r="HX12" s="66" t="str">
        <f t="shared" si="14"/>
        <v/>
      </c>
      <c r="HY12" s="66" t="str">
        <f t="shared" si="14"/>
        <v/>
      </c>
      <c r="HZ12" s="66" t="str">
        <f t="shared" si="14"/>
        <v/>
      </c>
      <c r="IA12" s="66" t="str">
        <f t="shared" si="14"/>
        <v/>
      </c>
      <c r="IB12" s="66" t="str">
        <f t="shared" si="14"/>
        <v/>
      </c>
      <c r="IC12" s="66" t="str">
        <f t="shared" si="14"/>
        <v/>
      </c>
      <c r="ID12" s="66" t="str">
        <f t="shared" si="14"/>
        <v/>
      </c>
      <c r="IE12" s="66" t="str">
        <f t="shared" si="14"/>
        <v/>
      </c>
      <c r="IF12" s="66" t="str">
        <f t="shared" si="14"/>
        <v/>
      </c>
      <c r="IG12" s="66" t="str">
        <f t="shared" si="14"/>
        <v/>
      </c>
      <c r="IH12" s="66" t="str">
        <f t="shared" si="14"/>
        <v/>
      </c>
      <c r="II12" s="66" t="str">
        <f t="shared" si="14"/>
        <v/>
      </c>
      <c r="IJ12" s="66" t="str">
        <f t="shared" si="14"/>
        <v/>
      </c>
      <c r="IK12" s="66" t="str">
        <f t="shared" si="14"/>
        <v/>
      </c>
      <c r="IL12" s="66" t="str">
        <f t="shared" si="14"/>
        <v/>
      </c>
      <c r="IM12" s="66" t="str">
        <f t="shared" si="14"/>
        <v/>
      </c>
      <c r="IN12" s="66" t="str">
        <f t="shared" si="14"/>
        <v/>
      </c>
      <c r="IO12" s="66" t="str">
        <f t="shared" si="14"/>
        <v/>
      </c>
      <c r="IP12" s="66" t="str">
        <f t="shared" si="14"/>
        <v/>
      </c>
      <c r="IQ12" s="66" t="str">
        <f t="shared" si="14"/>
        <v/>
      </c>
      <c r="IR12" s="66" t="str">
        <f t="shared" si="14"/>
        <v/>
      </c>
      <c r="IS12" s="66" t="str">
        <f t="shared" si="14"/>
        <v/>
      </c>
      <c r="IT12" s="66" t="str">
        <f t="shared" si="14"/>
        <v/>
      </c>
      <c r="IU12" s="66" t="str">
        <f t="shared" si="14"/>
        <v/>
      </c>
      <c r="IV12" s="133" t="str">
        <f t="shared" si="14"/>
        <v/>
      </c>
    </row>
    <row r="13" spans="1:256" s="61" customFormat="1" ht="12.75" customHeight="1">
      <c r="A13" s="1"/>
      <c r="B13" s="50" t="s">
        <v>71</v>
      </c>
      <c r="C13" s="111" t="str">
        <f>IF(AND(C7="",C8="",C9=""),"",IF(C14="DoubleSides",NORMSDIST((C11-C10)/C23)-NORMSDIST((C12-C10)/C23),IF(C14="SingleSide-USL",NORMSDIST((C11-C10)/C23),IF(C14="SingleSide-LSL",1-NORMSDIST((C12-C10)/C23),IF(C14="Actual Yield (n&gt;=100)",IF(COUNT(C35:C65536)&gt;=100,(COUNTIF(C35:C65536,"&lt;="&amp;C11)-COUNTIF(C35:C65536,"&lt;"&amp;C12))/COUNT(C35:C65536),"Too Few Records"),IF(C14="Go/NoGo Gauge (n&gt;=100)",IF(COUNTA(C35:C65536)&gt;=100,COUNTIF(C35:C65536,"OK")/COUNTA(C35:C65536),"Too Few Records"),"Error"))))))</f>
        <v/>
      </c>
      <c r="D13" s="111" t="str">
        <f t="shared" ref="D13:BO13" si="15">IF(AND(D7="",D8="",D9=""),"",IF(D14="DoubleSides",NORMSDIST((D11-D10)/D23)-NORMSDIST((D12-D10)/D23),IF(D14="SingleSide-USL",NORMSDIST((D11-D10)/D23),IF(D14="SingleSide-LSL",1-NORMSDIST((D12-D10)/D23),IF(D14="Actual Yield (n&gt;=100)",IF(COUNT(D35:D65536)&gt;=100,(COUNTIF(D35:D65536,"&lt;="&amp;D11)-COUNTIF(D35:D65536,"&lt;"&amp;D12))/COUNT(D35:D65536),"Too Few Records"),IF(D14="Go/NoGo Gauge (n&gt;=100)",IF(COUNTA(D35:D65536)&gt;=100,COUNTIF(D35:D65536,"OK")/COUNTA(D35:D65536),"Too Few Records"),"Error"))))))</f>
        <v/>
      </c>
      <c r="E13" s="111" t="str">
        <f t="shared" si="15"/>
        <v/>
      </c>
      <c r="F13" s="111" t="str">
        <f t="shared" si="15"/>
        <v/>
      </c>
      <c r="G13" s="111" t="str">
        <f t="shared" si="15"/>
        <v/>
      </c>
      <c r="H13" s="111" t="str">
        <f t="shared" si="15"/>
        <v/>
      </c>
      <c r="I13" s="111" t="str">
        <f t="shared" si="15"/>
        <v/>
      </c>
      <c r="J13" s="111" t="str">
        <f t="shared" si="15"/>
        <v/>
      </c>
      <c r="K13" s="111" t="str">
        <f t="shared" si="15"/>
        <v/>
      </c>
      <c r="L13" s="111" t="str">
        <f t="shared" si="15"/>
        <v/>
      </c>
      <c r="M13" s="111" t="str">
        <f t="shared" si="15"/>
        <v/>
      </c>
      <c r="N13" s="111" t="str">
        <f t="shared" si="15"/>
        <v/>
      </c>
      <c r="O13" s="111" t="str">
        <f t="shared" si="15"/>
        <v/>
      </c>
      <c r="P13" s="111" t="str">
        <f t="shared" si="15"/>
        <v/>
      </c>
      <c r="Q13" s="111" t="str">
        <f t="shared" si="15"/>
        <v/>
      </c>
      <c r="R13" s="111" t="str">
        <f t="shared" si="15"/>
        <v/>
      </c>
      <c r="S13" s="111" t="str">
        <f t="shared" si="15"/>
        <v/>
      </c>
      <c r="T13" s="111" t="str">
        <f t="shared" si="15"/>
        <v/>
      </c>
      <c r="U13" s="111" t="str">
        <f t="shared" si="15"/>
        <v/>
      </c>
      <c r="V13" s="111" t="str">
        <f t="shared" si="15"/>
        <v/>
      </c>
      <c r="W13" s="111" t="str">
        <f t="shared" si="15"/>
        <v/>
      </c>
      <c r="X13" s="111" t="str">
        <f t="shared" si="15"/>
        <v/>
      </c>
      <c r="Y13" s="111" t="str">
        <f t="shared" si="15"/>
        <v/>
      </c>
      <c r="Z13" s="111" t="str">
        <f t="shared" si="15"/>
        <v/>
      </c>
      <c r="AA13" s="66" t="str">
        <f t="shared" si="15"/>
        <v/>
      </c>
      <c r="AB13" s="66" t="str">
        <f t="shared" si="15"/>
        <v/>
      </c>
      <c r="AC13" s="66" t="str">
        <f t="shared" si="15"/>
        <v/>
      </c>
      <c r="AD13" s="66" t="str">
        <f t="shared" si="15"/>
        <v/>
      </c>
      <c r="AE13" s="66" t="str">
        <f t="shared" si="15"/>
        <v/>
      </c>
      <c r="AF13" s="66" t="str">
        <f t="shared" si="15"/>
        <v/>
      </c>
      <c r="AG13" s="66" t="str">
        <f t="shared" si="15"/>
        <v/>
      </c>
      <c r="AH13" s="66" t="str">
        <f t="shared" si="15"/>
        <v/>
      </c>
      <c r="AI13" s="66" t="str">
        <f t="shared" si="15"/>
        <v/>
      </c>
      <c r="AJ13" s="66" t="str">
        <f t="shared" si="15"/>
        <v/>
      </c>
      <c r="AK13" s="66" t="str">
        <f t="shared" si="15"/>
        <v/>
      </c>
      <c r="AL13" s="66" t="str">
        <f t="shared" si="15"/>
        <v/>
      </c>
      <c r="AM13" s="66" t="str">
        <f t="shared" si="15"/>
        <v/>
      </c>
      <c r="AN13" s="66" t="str">
        <f t="shared" si="15"/>
        <v/>
      </c>
      <c r="AO13" s="66" t="str">
        <f t="shared" si="15"/>
        <v/>
      </c>
      <c r="AP13" s="66" t="str">
        <f t="shared" si="15"/>
        <v/>
      </c>
      <c r="AQ13" s="66" t="str">
        <f t="shared" si="15"/>
        <v/>
      </c>
      <c r="AR13" s="66" t="str">
        <f t="shared" si="15"/>
        <v/>
      </c>
      <c r="AS13" s="66" t="str">
        <f t="shared" si="15"/>
        <v/>
      </c>
      <c r="AT13" s="66" t="str">
        <f t="shared" si="15"/>
        <v/>
      </c>
      <c r="AU13" s="66" t="str">
        <f t="shared" si="15"/>
        <v/>
      </c>
      <c r="AV13" s="66" t="str">
        <f t="shared" si="15"/>
        <v/>
      </c>
      <c r="AW13" s="66" t="str">
        <f t="shared" si="15"/>
        <v/>
      </c>
      <c r="AX13" s="66" t="str">
        <f t="shared" si="15"/>
        <v/>
      </c>
      <c r="AY13" s="66" t="str">
        <f t="shared" si="15"/>
        <v/>
      </c>
      <c r="AZ13" s="66" t="str">
        <f t="shared" si="15"/>
        <v/>
      </c>
      <c r="BA13" s="66" t="str">
        <f t="shared" si="15"/>
        <v/>
      </c>
      <c r="BB13" s="66" t="str">
        <f t="shared" si="15"/>
        <v/>
      </c>
      <c r="BC13" s="66" t="str">
        <f t="shared" si="15"/>
        <v/>
      </c>
      <c r="BD13" s="66" t="str">
        <f t="shared" si="15"/>
        <v/>
      </c>
      <c r="BE13" s="66" t="str">
        <f t="shared" si="15"/>
        <v/>
      </c>
      <c r="BF13" s="66" t="str">
        <f t="shared" si="15"/>
        <v/>
      </c>
      <c r="BG13" s="66" t="str">
        <f t="shared" si="15"/>
        <v/>
      </c>
      <c r="BH13" s="66" t="str">
        <f t="shared" si="15"/>
        <v/>
      </c>
      <c r="BI13" s="66" t="str">
        <f t="shared" si="15"/>
        <v/>
      </c>
      <c r="BJ13" s="66" t="str">
        <f t="shared" si="15"/>
        <v/>
      </c>
      <c r="BK13" s="66" t="str">
        <f t="shared" si="15"/>
        <v/>
      </c>
      <c r="BL13" s="66" t="str">
        <f t="shared" si="15"/>
        <v/>
      </c>
      <c r="BM13" s="66" t="str">
        <f t="shared" si="15"/>
        <v/>
      </c>
      <c r="BN13" s="66" t="str">
        <f t="shared" si="15"/>
        <v/>
      </c>
      <c r="BO13" s="66" t="str">
        <f t="shared" si="15"/>
        <v/>
      </c>
      <c r="BP13" s="66" t="str">
        <f t="shared" ref="BP13:EA13" si="16">IF(AND(BP7="",BP8="",BP9=""),"",IF(BP14="DoubleSides",NORMSDIST((BP11-BP10)/BP23)-NORMSDIST((BP12-BP10)/BP23),IF(BP14="SingleSide-USL",NORMSDIST((BP11-BP10)/BP23),IF(BP14="SingleSide-LSL",1-NORMSDIST((BP12-BP10)/BP23),IF(BP14="Actual Yield (n&gt;=100)",IF(COUNT(BP35:BP65536)&gt;=100,(COUNTIF(BP35:BP65536,"&lt;="&amp;BP11)-COUNTIF(BP35:BP65536,"&lt;"&amp;BP12))/COUNT(BP35:BP65536),"Too Few Records"),IF(BP14="Go/NoGo Gauge (n&gt;=100)",IF(COUNTA(BP35:BP65536)&gt;=100,COUNTIF(BP35:BP65536,"OK")/COUNTA(BP35:BP65536),"Too Few Records"),"Error"))))))</f>
        <v/>
      </c>
      <c r="BQ13" s="66" t="str">
        <f t="shared" si="16"/>
        <v/>
      </c>
      <c r="BR13" s="66" t="str">
        <f t="shared" si="16"/>
        <v/>
      </c>
      <c r="BS13" s="66" t="str">
        <f t="shared" si="16"/>
        <v/>
      </c>
      <c r="BT13" s="66" t="str">
        <f t="shared" si="16"/>
        <v/>
      </c>
      <c r="BU13" s="66" t="str">
        <f t="shared" si="16"/>
        <v/>
      </c>
      <c r="BV13" s="66" t="str">
        <f t="shared" si="16"/>
        <v/>
      </c>
      <c r="BW13" s="66" t="str">
        <f t="shared" si="16"/>
        <v/>
      </c>
      <c r="BX13" s="66" t="str">
        <f t="shared" si="16"/>
        <v/>
      </c>
      <c r="BY13" s="66" t="str">
        <f t="shared" si="16"/>
        <v/>
      </c>
      <c r="BZ13" s="66" t="str">
        <f t="shared" si="16"/>
        <v/>
      </c>
      <c r="CA13" s="66" t="str">
        <f t="shared" si="16"/>
        <v/>
      </c>
      <c r="CB13" s="66" t="str">
        <f t="shared" si="16"/>
        <v/>
      </c>
      <c r="CC13" s="66" t="str">
        <f t="shared" si="16"/>
        <v/>
      </c>
      <c r="CD13" s="66" t="str">
        <f t="shared" si="16"/>
        <v/>
      </c>
      <c r="CE13" s="66" t="str">
        <f t="shared" si="16"/>
        <v/>
      </c>
      <c r="CF13" s="66" t="str">
        <f t="shared" si="16"/>
        <v/>
      </c>
      <c r="CG13" s="66" t="str">
        <f t="shared" si="16"/>
        <v/>
      </c>
      <c r="CH13" s="66" t="str">
        <f t="shared" si="16"/>
        <v/>
      </c>
      <c r="CI13" s="66" t="str">
        <f t="shared" si="16"/>
        <v/>
      </c>
      <c r="CJ13" s="66" t="str">
        <f t="shared" si="16"/>
        <v/>
      </c>
      <c r="CK13" s="66" t="str">
        <f t="shared" si="16"/>
        <v/>
      </c>
      <c r="CL13" s="66" t="str">
        <f t="shared" si="16"/>
        <v/>
      </c>
      <c r="CM13" s="66" t="str">
        <f t="shared" si="16"/>
        <v/>
      </c>
      <c r="CN13" s="66" t="str">
        <f t="shared" si="16"/>
        <v/>
      </c>
      <c r="CO13" s="66" t="str">
        <f t="shared" si="16"/>
        <v/>
      </c>
      <c r="CP13" s="66" t="str">
        <f t="shared" si="16"/>
        <v/>
      </c>
      <c r="CQ13" s="66" t="str">
        <f t="shared" si="16"/>
        <v/>
      </c>
      <c r="CR13" s="66" t="str">
        <f t="shared" si="16"/>
        <v/>
      </c>
      <c r="CS13" s="66" t="str">
        <f t="shared" si="16"/>
        <v/>
      </c>
      <c r="CT13" s="66" t="str">
        <f t="shared" si="16"/>
        <v/>
      </c>
      <c r="CU13" s="66" t="str">
        <f t="shared" si="16"/>
        <v/>
      </c>
      <c r="CV13" s="66" t="str">
        <f t="shared" si="16"/>
        <v/>
      </c>
      <c r="CW13" s="66" t="str">
        <f t="shared" si="16"/>
        <v/>
      </c>
      <c r="CX13" s="66" t="str">
        <f t="shared" si="16"/>
        <v/>
      </c>
      <c r="CY13" s="66" t="str">
        <f t="shared" si="16"/>
        <v/>
      </c>
      <c r="CZ13" s="66" t="str">
        <f t="shared" si="16"/>
        <v/>
      </c>
      <c r="DA13" s="66" t="str">
        <f t="shared" si="16"/>
        <v/>
      </c>
      <c r="DB13" s="66" t="str">
        <f t="shared" si="16"/>
        <v/>
      </c>
      <c r="DC13" s="66" t="str">
        <f t="shared" si="16"/>
        <v/>
      </c>
      <c r="DD13" s="66" t="str">
        <f t="shared" si="16"/>
        <v/>
      </c>
      <c r="DE13" s="66" t="str">
        <f t="shared" si="16"/>
        <v/>
      </c>
      <c r="DF13" s="66" t="str">
        <f t="shared" si="16"/>
        <v/>
      </c>
      <c r="DG13" s="66" t="str">
        <f t="shared" si="16"/>
        <v/>
      </c>
      <c r="DH13" s="66" t="str">
        <f t="shared" si="16"/>
        <v/>
      </c>
      <c r="DI13" s="66" t="str">
        <f t="shared" si="16"/>
        <v/>
      </c>
      <c r="DJ13" s="66" t="str">
        <f t="shared" si="16"/>
        <v/>
      </c>
      <c r="DK13" s="66" t="str">
        <f t="shared" si="16"/>
        <v/>
      </c>
      <c r="DL13" s="66" t="str">
        <f t="shared" si="16"/>
        <v/>
      </c>
      <c r="DM13" s="66" t="str">
        <f t="shared" si="16"/>
        <v/>
      </c>
      <c r="DN13" s="66" t="str">
        <f t="shared" si="16"/>
        <v/>
      </c>
      <c r="DO13" s="66" t="str">
        <f t="shared" si="16"/>
        <v/>
      </c>
      <c r="DP13" s="66" t="str">
        <f t="shared" si="16"/>
        <v/>
      </c>
      <c r="DQ13" s="66" t="str">
        <f t="shared" si="16"/>
        <v/>
      </c>
      <c r="DR13" s="66" t="str">
        <f t="shared" si="16"/>
        <v/>
      </c>
      <c r="DS13" s="66" t="str">
        <f t="shared" si="16"/>
        <v/>
      </c>
      <c r="DT13" s="66" t="str">
        <f t="shared" si="16"/>
        <v/>
      </c>
      <c r="DU13" s="66" t="str">
        <f t="shared" si="16"/>
        <v/>
      </c>
      <c r="DV13" s="66" t="str">
        <f t="shared" si="16"/>
        <v/>
      </c>
      <c r="DW13" s="66" t="str">
        <f t="shared" si="16"/>
        <v/>
      </c>
      <c r="DX13" s="66" t="str">
        <f t="shared" si="16"/>
        <v/>
      </c>
      <c r="DY13" s="66" t="str">
        <f t="shared" si="16"/>
        <v/>
      </c>
      <c r="DZ13" s="66" t="str">
        <f t="shared" si="16"/>
        <v/>
      </c>
      <c r="EA13" s="66" t="str">
        <f t="shared" si="16"/>
        <v/>
      </c>
      <c r="EB13" s="66" t="str">
        <f t="shared" ref="EB13:GM13" si="17">IF(AND(EB7="",EB8="",EB9=""),"",IF(EB14="DoubleSides",NORMSDIST((EB11-EB10)/EB23)-NORMSDIST((EB12-EB10)/EB23),IF(EB14="SingleSide-USL",NORMSDIST((EB11-EB10)/EB23),IF(EB14="SingleSide-LSL",1-NORMSDIST((EB12-EB10)/EB23),IF(EB14="Actual Yield (n&gt;=100)",IF(COUNT(EB35:EB65536)&gt;=100,(COUNTIF(EB35:EB65536,"&lt;="&amp;EB11)-COUNTIF(EB35:EB65536,"&lt;"&amp;EB12))/COUNT(EB35:EB65536),"Too Few Records"),IF(EB14="Go/NoGo Gauge (n&gt;=100)",IF(COUNTA(EB35:EB65536)&gt;=100,COUNTIF(EB35:EB65536,"OK")/COUNTA(EB35:EB65536),"Too Few Records"),"Error"))))))</f>
        <v/>
      </c>
      <c r="EC13" s="66" t="str">
        <f t="shared" si="17"/>
        <v/>
      </c>
      <c r="ED13" s="66" t="str">
        <f t="shared" si="17"/>
        <v/>
      </c>
      <c r="EE13" s="66" t="str">
        <f t="shared" si="17"/>
        <v/>
      </c>
      <c r="EF13" s="66" t="str">
        <f t="shared" si="17"/>
        <v/>
      </c>
      <c r="EG13" s="66" t="str">
        <f t="shared" si="17"/>
        <v/>
      </c>
      <c r="EH13" s="66" t="str">
        <f t="shared" si="17"/>
        <v/>
      </c>
      <c r="EI13" s="66" t="str">
        <f t="shared" si="17"/>
        <v/>
      </c>
      <c r="EJ13" s="66" t="str">
        <f t="shared" si="17"/>
        <v/>
      </c>
      <c r="EK13" s="66" t="str">
        <f t="shared" si="17"/>
        <v/>
      </c>
      <c r="EL13" s="66" t="str">
        <f t="shared" si="17"/>
        <v/>
      </c>
      <c r="EM13" s="66" t="str">
        <f t="shared" si="17"/>
        <v/>
      </c>
      <c r="EN13" s="66" t="str">
        <f t="shared" si="17"/>
        <v/>
      </c>
      <c r="EO13" s="66" t="str">
        <f t="shared" si="17"/>
        <v/>
      </c>
      <c r="EP13" s="66" t="str">
        <f t="shared" si="17"/>
        <v/>
      </c>
      <c r="EQ13" s="66" t="str">
        <f t="shared" si="17"/>
        <v/>
      </c>
      <c r="ER13" s="66" t="str">
        <f t="shared" si="17"/>
        <v/>
      </c>
      <c r="ES13" s="66" t="str">
        <f t="shared" si="17"/>
        <v/>
      </c>
      <c r="ET13" s="66" t="str">
        <f t="shared" si="17"/>
        <v/>
      </c>
      <c r="EU13" s="66" t="str">
        <f t="shared" si="17"/>
        <v/>
      </c>
      <c r="EV13" s="66" t="str">
        <f t="shared" si="17"/>
        <v/>
      </c>
      <c r="EW13" s="66" t="str">
        <f t="shared" si="17"/>
        <v/>
      </c>
      <c r="EX13" s="66" t="str">
        <f t="shared" si="17"/>
        <v/>
      </c>
      <c r="EY13" s="66" t="str">
        <f t="shared" si="17"/>
        <v/>
      </c>
      <c r="EZ13" s="66" t="str">
        <f t="shared" si="17"/>
        <v/>
      </c>
      <c r="FA13" s="66" t="str">
        <f t="shared" si="17"/>
        <v/>
      </c>
      <c r="FB13" s="66" t="str">
        <f t="shared" si="17"/>
        <v/>
      </c>
      <c r="FC13" s="66" t="str">
        <f t="shared" si="17"/>
        <v/>
      </c>
      <c r="FD13" s="66" t="str">
        <f t="shared" si="17"/>
        <v/>
      </c>
      <c r="FE13" s="66" t="str">
        <f t="shared" si="17"/>
        <v/>
      </c>
      <c r="FF13" s="66" t="str">
        <f t="shared" si="17"/>
        <v/>
      </c>
      <c r="FG13" s="66" t="str">
        <f t="shared" si="17"/>
        <v/>
      </c>
      <c r="FH13" s="66" t="str">
        <f t="shared" si="17"/>
        <v/>
      </c>
      <c r="FI13" s="66" t="str">
        <f t="shared" si="17"/>
        <v/>
      </c>
      <c r="FJ13" s="66" t="str">
        <f t="shared" si="17"/>
        <v/>
      </c>
      <c r="FK13" s="66" t="str">
        <f t="shared" si="17"/>
        <v/>
      </c>
      <c r="FL13" s="66" t="str">
        <f t="shared" si="17"/>
        <v/>
      </c>
      <c r="FM13" s="66" t="str">
        <f t="shared" si="17"/>
        <v/>
      </c>
      <c r="FN13" s="66" t="str">
        <f t="shared" si="17"/>
        <v/>
      </c>
      <c r="FO13" s="66" t="str">
        <f t="shared" si="17"/>
        <v/>
      </c>
      <c r="FP13" s="66" t="str">
        <f t="shared" si="17"/>
        <v/>
      </c>
      <c r="FQ13" s="66" t="str">
        <f t="shared" si="17"/>
        <v/>
      </c>
      <c r="FR13" s="66" t="str">
        <f t="shared" si="17"/>
        <v/>
      </c>
      <c r="FS13" s="66" t="str">
        <f t="shared" si="17"/>
        <v/>
      </c>
      <c r="FT13" s="66" t="str">
        <f t="shared" si="17"/>
        <v/>
      </c>
      <c r="FU13" s="66" t="str">
        <f t="shared" si="17"/>
        <v/>
      </c>
      <c r="FV13" s="66" t="str">
        <f t="shared" si="17"/>
        <v/>
      </c>
      <c r="FW13" s="66" t="str">
        <f t="shared" si="17"/>
        <v/>
      </c>
      <c r="FX13" s="66" t="str">
        <f t="shared" si="17"/>
        <v/>
      </c>
      <c r="FY13" s="66" t="str">
        <f t="shared" si="17"/>
        <v/>
      </c>
      <c r="FZ13" s="66" t="str">
        <f t="shared" si="17"/>
        <v/>
      </c>
      <c r="GA13" s="66" t="str">
        <f t="shared" si="17"/>
        <v/>
      </c>
      <c r="GB13" s="66" t="str">
        <f t="shared" si="17"/>
        <v/>
      </c>
      <c r="GC13" s="66" t="str">
        <f t="shared" si="17"/>
        <v/>
      </c>
      <c r="GD13" s="66" t="str">
        <f t="shared" si="17"/>
        <v/>
      </c>
      <c r="GE13" s="66" t="str">
        <f t="shared" si="17"/>
        <v/>
      </c>
      <c r="GF13" s="66" t="str">
        <f t="shared" si="17"/>
        <v/>
      </c>
      <c r="GG13" s="66" t="str">
        <f t="shared" si="17"/>
        <v/>
      </c>
      <c r="GH13" s="66" t="str">
        <f t="shared" si="17"/>
        <v/>
      </c>
      <c r="GI13" s="66" t="str">
        <f t="shared" si="17"/>
        <v/>
      </c>
      <c r="GJ13" s="66" t="str">
        <f t="shared" si="17"/>
        <v/>
      </c>
      <c r="GK13" s="66" t="str">
        <f t="shared" si="17"/>
        <v/>
      </c>
      <c r="GL13" s="66" t="str">
        <f t="shared" si="17"/>
        <v/>
      </c>
      <c r="GM13" s="66" t="str">
        <f t="shared" si="17"/>
        <v/>
      </c>
      <c r="GN13" s="66" t="str">
        <f t="shared" ref="GN13:IV13" si="18">IF(AND(GN7="",GN8="",GN9=""),"",IF(GN14="DoubleSides",NORMSDIST((GN11-GN10)/GN23)-NORMSDIST((GN12-GN10)/GN23),IF(GN14="SingleSide-USL",NORMSDIST((GN11-GN10)/GN23),IF(GN14="SingleSide-LSL",1-NORMSDIST((GN12-GN10)/GN23),IF(GN14="Actual Yield (n&gt;=100)",IF(COUNT(GN35:GN65536)&gt;=100,(COUNTIF(GN35:GN65536,"&lt;="&amp;GN11)-COUNTIF(GN35:GN65536,"&lt;"&amp;GN12))/COUNT(GN35:GN65536),"Too Few Records"),IF(GN14="Go/NoGo Gauge (n&gt;=100)",IF(COUNTA(GN35:GN65536)&gt;=100,COUNTIF(GN35:GN65536,"OK")/COUNTA(GN35:GN65536),"Too Few Records"),"Error"))))))</f>
        <v/>
      </c>
      <c r="GO13" s="66" t="str">
        <f t="shared" si="18"/>
        <v/>
      </c>
      <c r="GP13" s="66" t="str">
        <f t="shared" si="18"/>
        <v/>
      </c>
      <c r="GQ13" s="66" t="str">
        <f t="shared" si="18"/>
        <v/>
      </c>
      <c r="GR13" s="66" t="str">
        <f t="shared" si="18"/>
        <v/>
      </c>
      <c r="GS13" s="66" t="str">
        <f t="shared" si="18"/>
        <v/>
      </c>
      <c r="GT13" s="66" t="str">
        <f t="shared" si="18"/>
        <v/>
      </c>
      <c r="GU13" s="66" t="str">
        <f t="shared" si="18"/>
        <v/>
      </c>
      <c r="GV13" s="66" t="str">
        <f t="shared" si="18"/>
        <v/>
      </c>
      <c r="GW13" s="66" t="str">
        <f t="shared" si="18"/>
        <v/>
      </c>
      <c r="GX13" s="66" t="str">
        <f t="shared" si="18"/>
        <v/>
      </c>
      <c r="GY13" s="66" t="str">
        <f t="shared" si="18"/>
        <v/>
      </c>
      <c r="GZ13" s="66" t="str">
        <f t="shared" si="18"/>
        <v/>
      </c>
      <c r="HA13" s="66" t="str">
        <f t="shared" si="18"/>
        <v/>
      </c>
      <c r="HB13" s="66" t="str">
        <f t="shared" si="18"/>
        <v/>
      </c>
      <c r="HC13" s="66" t="str">
        <f t="shared" si="18"/>
        <v/>
      </c>
      <c r="HD13" s="66" t="str">
        <f t="shared" si="18"/>
        <v/>
      </c>
      <c r="HE13" s="66" t="str">
        <f t="shared" si="18"/>
        <v/>
      </c>
      <c r="HF13" s="66" t="str">
        <f t="shared" si="18"/>
        <v/>
      </c>
      <c r="HG13" s="66" t="str">
        <f t="shared" si="18"/>
        <v/>
      </c>
      <c r="HH13" s="66" t="str">
        <f t="shared" si="18"/>
        <v/>
      </c>
      <c r="HI13" s="66" t="str">
        <f t="shared" si="18"/>
        <v/>
      </c>
      <c r="HJ13" s="66" t="str">
        <f t="shared" si="18"/>
        <v/>
      </c>
      <c r="HK13" s="66" t="str">
        <f t="shared" si="18"/>
        <v/>
      </c>
      <c r="HL13" s="66" t="str">
        <f t="shared" si="18"/>
        <v/>
      </c>
      <c r="HM13" s="66" t="str">
        <f t="shared" si="18"/>
        <v/>
      </c>
      <c r="HN13" s="66" t="str">
        <f t="shared" si="18"/>
        <v/>
      </c>
      <c r="HO13" s="66" t="str">
        <f t="shared" si="18"/>
        <v/>
      </c>
      <c r="HP13" s="66" t="str">
        <f t="shared" si="18"/>
        <v/>
      </c>
      <c r="HQ13" s="66" t="str">
        <f t="shared" si="18"/>
        <v/>
      </c>
      <c r="HR13" s="66" t="str">
        <f t="shared" si="18"/>
        <v/>
      </c>
      <c r="HS13" s="66" t="str">
        <f t="shared" si="18"/>
        <v/>
      </c>
      <c r="HT13" s="66" t="str">
        <f t="shared" si="18"/>
        <v/>
      </c>
      <c r="HU13" s="66" t="str">
        <f t="shared" si="18"/>
        <v/>
      </c>
      <c r="HV13" s="66" t="str">
        <f t="shared" si="18"/>
        <v/>
      </c>
      <c r="HW13" s="66" t="str">
        <f t="shared" si="18"/>
        <v/>
      </c>
      <c r="HX13" s="66" t="str">
        <f t="shared" si="18"/>
        <v/>
      </c>
      <c r="HY13" s="66" t="str">
        <f t="shared" si="18"/>
        <v/>
      </c>
      <c r="HZ13" s="66" t="str">
        <f t="shared" si="18"/>
        <v/>
      </c>
      <c r="IA13" s="66" t="str">
        <f t="shared" si="18"/>
        <v/>
      </c>
      <c r="IB13" s="66" t="str">
        <f t="shared" si="18"/>
        <v/>
      </c>
      <c r="IC13" s="66" t="str">
        <f t="shared" si="18"/>
        <v/>
      </c>
      <c r="ID13" s="66" t="str">
        <f t="shared" si="18"/>
        <v/>
      </c>
      <c r="IE13" s="66" t="str">
        <f t="shared" si="18"/>
        <v/>
      </c>
      <c r="IF13" s="66" t="str">
        <f t="shared" si="18"/>
        <v/>
      </c>
      <c r="IG13" s="66" t="str">
        <f t="shared" si="18"/>
        <v/>
      </c>
      <c r="IH13" s="66" t="str">
        <f t="shared" si="18"/>
        <v/>
      </c>
      <c r="II13" s="66" t="str">
        <f t="shared" si="18"/>
        <v/>
      </c>
      <c r="IJ13" s="66" t="str">
        <f t="shared" si="18"/>
        <v/>
      </c>
      <c r="IK13" s="66" t="str">
        <f t="shared" si="18"/>
        <v/>
      </c>
      <c r="IL13" s="66" t="str">
        <f t="shared" si="18"/>
        <v/>
      </c>
      <c r="IM13" s="66" t="str">
        <f t="shared" si="18"/>
        <v/>
      </c>
      <c r="IN13" s="66" t="str">
        <f t="shared" si="18"/>
        <v/>
      </c>
      <c r="IO13" s="66" t="str">
        <f t="shared" si="18"/>
        <v/>
      </c>
      <c r="IP13" s="66" t="str">
        <f t="shared" si="18"/>
        <v/>
      </c>
      <c r="IQ13" s="66" t="str">
        <f t="shared" si="18"/>
        <v/>
      </c>
      <c r="IR13" s="66" t="str">
        <f t="shared" si="18"/>
        <v/>
      </c>
      <c r="IS13" s="66" t="str">
        <f t="shared" si="18"/>
        <v/>
      </c>
      <c r="IT13" s="66" t="str">
        <f t="shared" si="18"/>
        <v/>
      </c>
      <c r="IU13" s="66" t="str">
        <f t="shared" si="18"/>
        <v/>
      </c>
      <c r="IV13" s="66" t="str">
        <f t="shared" si="18"/>
        <v/>
      </c>
    </row>
    <row r="14" spans="1:256" s="63" customFormat="1" ht="24.75" customHeight="1">
      <c r="A14" s="1"/>
      <c r="B14" s="50" t="s">
        <v>72</v>
      </c>
      <c r="C14" s="62" t="s">
        <v>129</v>
      </c>
      <c r="D14" s="62" t="s">
        <v>129</v>
      </c>
      <c r="E14" s="62" t="s">
        <v>129</v>
      </c>
      <c r="F14" s="62" t="s">
        <v>129</v>
      </c>
      <c r="G14" s="62" t="s">
        <v>129</v>
      </c>
      <c r="H14" s="62" t="s">
        <v>129</v>
      </c>
      <c r="I14" s="62" t="s">
        <v>129</v>
      </c>
      <c r="J14" s="62" t="s">
        <v>129</v>
      </c>
      <c r="K14" s="62" t="s">
        <v>129</v>
      </c>
      <c r="L14" s="62" t="s">
        <v>129</v>
      </c>
      <c r="M14" s="62" t="s">
        <v>129</v>
      </c>
      <c r="N14" s="62" t="s">
        <v>129</v>
      </c>
      <c r="O14" s="62" t="s">
        <v>129</v>
      </c>
      <c r="P14" s="62" t="s">
        <v>129</v>
      </c>
      <c r="Q14" s="62" t="s">
        <v>129</v>
      </c>
      <c r="R14" s="62" t="s">
        <v>129</v>
      </c>
      <c r="S14" s="62"/>
      <c r="T14" s="62"/>
      <c r="U14" s="62"/>
      <c r="V14" s="62"/>
      <c r="W14" s="62"/>
      <c r="X14" s="62"/>
      <c r="Y14" s="62"/>
      <c r="Z14" s="62"/>
      <c r="IV14" s="134"/>
    </row>
    <row r="15" spans="1:256" ht="12.75" customHeight="1">
      <c r="B15" s="150" t="s">
        <v>11</v>
      </c>
      <c r="C15" s="144" t="s">
        <v>174</v>
      </c>
      <c r="D15" s="144" t="s">
        <v>175</v>
      </c>
      <c r="E15" s="144" t="s">
        <v>179</v>
      </c>
      <c r="F15" s="144" t="s">
        <v>138</v>
      </c>
      <c r="G15" s="144" t="s">
        <v>178</v>
      </c>
      <c r="H15" s="144" t="s">
        <v>139</v>
      </c>
      <c r="I15" s="144" t="s">
        <v>144</v>
      </c>
      <c r="J15" s="144" t="s">
        <v>145</v>
      </c>
      <c r="K15" s="144" t="s">
        <v>146</v>
      </c>
      <c r="L15" s="144" t="s">
        <v>147</v>
      </c>
      <c r="M15" s="144" t="s">
        <v>148</v>
      </c>
      <c r="N15" s="144" t="s">
        <v>149</v>
      </c>
      <c r="O15" s="144" t="s">
        <v>150</v>
      </c>
      <c r="P15" s="144" t="s">
        <v>151</v>
      </c>
      <c r="Q15" s="2" t="s">
        <v>141</v>
      </c>
      <c r="R15" s="2" t="s">
        <v>152</v>
      </c>
      <c r="S15" s="2"/>
      <c r="T15" s="2"/>
      <c r="U15" s="2"/>
      <c r="V15" s="2"/>
      <c r="W15" s="2"/>
      <c r="X15" s="2"/>
      <c r="Y15" s="2"/>
      <c r="Z15" s="2"/>
    </row>
    <row r="16" spans="1:256" ht="12.75" customHeight="1">
      <c r="B16" s="49" t="s">
        <v>12</v>
      </c>
      <c r="C16" s="145">
        <v>1.3</v>
      </c>
      <c r="D16" s="145">
        <v>1</v>
      </c>
      <c r="E16" s="145">
        <v>2.4</v>
      </c>
      <c r="F16" s="145">
        <v>3.3</v>
      </c>
      <c r="G16" s="145">
        <v>0.86</v>
      </c>
      <c r="H16" s="145">
        <v>0.86</v>
      </c>
      <c r="I16" s="145">
        <v>2.9</v>
      </c>
      <c r="J16" s="145">
        <v>0.3</v>
      </c>
      <c r="K16" s="145">
        <v>0.3</v>
      </c>
      <c r="L16" s="145">
        <v>0.25</v>
      </c>
      <c r="M16" s="145">
        <v>0.25</v>
      </c>
      <c r="N16" s="145">
        <v>0.25</v>
      </c>
      <c r="O16" s="145">
        <v>0.56599999999999995</v>
      </c>
      <c r="P16" s="145">
        <v>0.56599999999999995</v>
      </c>
      <c r="Q16" s="3">
        <v>1.25</v>
      </c>
      <c r="R16" s="3">
        <v>1.25</v>
      </c>
      <c r="S16" s="48"/>
      <c r="T16" s="48"/>
      <c r="U16" s="48"/>
      <c r="V16" s="48"/>
      <c r="W16" s="48"/>
      <c r="X16" s="48"/>
      <c r="Y16" s="48"/>
      <c r="Z16" s="48"/>
    </row>
    <row r="17" spans="2:26" ht="12.75" customHeight="1">
      <c r="B17" s="47" t="s">
        <v>26</v>
      </c>
      <c r="C17" s="146">
        <v>0.03</v>
      </c>
      <c r="D17" s="146">
        <v>0.04</v>
      </c>
      <c r="E17" s="146">
        <v>0.04</v>
      </c>
      <c r="F17" s="146">
        <v>0.05</v>
      </c>
      <c r="G17" s="146">
        <v>0.05</v>
      </c>
      <c r="H17" s="146">
        <v>0.05</v>
      </c>
      <c r="I17" s="146">
        <v>0.05</v>
      </c>
      <c r="J17" s="146">
        <v>0.03</v>
      </c>
      <c r="K17" s="145">
        <v>0.03</v>
      </c>
      <c r="L17" s="145">
        <v>0.03</v>
      </c>
      <c r="M17" s="145">
        <v>0.03</v>
      </c>
      <c r="N17" s="145">
        <v>0.03</v>
      </c>
      <c r="O17" s="145">
        <v>0.03</v>
      </c>
      <c r="P17" s="145">
        <v>0.03</v>
      </c>
      <c r="Q17" s="3">
        <v>0.1</v>
      </c>
      <c r="R17" s="3">
        <v>0.05</v>
      </c>
      <c r="S17" s="48"/>
      <c r="T17" s="48"/>
      <c r="U17" s="48"/>
      <c r="V17" s="48"/>
      <c r="W17" s="48"/>
      <c r="X17" s="48"/>
      <c r="Y17" s="48"/>
      <c r="Z17" s="48"/>
    </row>
    <row r="18" spans="2:26" ht="12.75" customHeight="1">
      <c r="B18" s="47" t="s">
        <v>125</v>
      </c>
      <c r="C18" s="146">
        <v>0.03</v>
      </c>
      <c r="D18" s="146">
        <v>0.04</v>
      </c>
      <c r="E18" s="146">
        <v>0.04</v>
      </c>
      <c r="F18" s="146">
        <v>0.05</v>
      </c>
      <c r="G18" s="146">
        <v>0.05</v>
      </c>
      <c r="H18" s="146">
        <v>0.05</v>
      </c>
      <c r="I18" s="146">
        <v>0.05</v>
      </c>
      <c r="J18" s="146">
        <v>0.03</v>
      </c>
      <c r="K18" s="145">
        <v>0.03</v>
      </c>
      <c r="L18" s="145">
        <v>0.03</v>
      </c>
      <c r="M18" s="145">
        <v>0.03</v>
      </c>
      <c r="N18" s="145">
        <v>0.03</v>
      </c>
      <c r="O18" s="145">
        <v>0.03</v>
      </c>
      <c r="P18" s="145">
        <v>0.03</v>
      </c>
      <c r="Q18" s="3">
        <v>0.1</v>
      </c>
      <c r="R18" s="3">
        <v>0.05</v>
      </c>
      <c r="S18" s="48"/>
      <c r="T18" s="48"/>
      <c r="U18" s="48"/>
      <c r="V18" s="48"/>
      <c r="W18" s="48"/>
      <c r="X18" s="48"/>
      <c r="Y18" s="48"/>
      <c r="Z18" s="48"/>
    </row>
    <row r="19" spans="2:26" ht="12.75" customHeight="1">
      <c r="B19" s="151" t="s">
        <v>73</v>
      </c>
      <c r="C19" s="145" t="s">
        <v>176</v>
      </c>
      <c r="D19" s="145" t="s">
        <v>176</v>
      </c>
      <c r="E19" s="145" t="s">
        <v>136</v>
      </c>
      <c r="F19" s="145" t="s">
        <v>154</v>
      </c>
      <c r="G19" s="145" t="s">
        <v>177</v>
      </c>
      <c r="H19" s="145" t="s">
        <v>136</v>
      </c>
      <c r="I19" s="145" t="s">
        <v>136</v>
      </c>
      <c r="J19" s="145" t="s">
        <v>136</v>
      </c>
      <c r="K19" s="145" t="s">
        <v>136</v>
      </c>
      <c r="L19" s="145" t="s">
        <v>136</v>
      </c>
      <c r="M19" s="145" t="s">
        <v>136</v>
      </c>
      <c r="N19" s="145" t="s">
        <v>136</v>
      </c>
      <c r="O19" s="145" t="s">
        <v>136</v>
      </c>
      <c r="P19" s="145" t="s">
        <v>136</v>
      </c>
      <c r="Q19" s="3" t="s">
        <v>136</v>
      </c>
      <c r="R19" s="3" t="s">
        <v>136</v>
      </c>
      <c r="S19" s="3"/>
      <c r="T19" s="3"/>
      <c r="U19" s="3"/>
      <c r="V19" s="3"/>
      <c r="W19" s="3"/>
      <c r="X19" s="3"/>
      <c r="Y19" s="3"/>
      <c r="Z19" s="3"/>
    </row>
    <row r="20" spans="2:26" ht="12.75" customHeight="1">
      <c r="B20" s="47" t="s">
        <v>74</v>
      </c>
      <c r="C20" s="3"/>
      <c r="D20" s="3"/>
      <c r="E20" s="3"/>
      <c r="F20" s="3"/>
      <c r="G20" s="3"/>
      <c r="H20" s="3"/>
      <c r="I20" s="3"/>
      <c r="J20" s="3"/>
      <c r="K20" s="3"/>
      <c r="L20" s="3"/>
      <c r="M20" s="3"/>
      <c r="N20" s="3"/>
      <c r="O20" s="3"/>
      <c r="P20" s="3"/>
      <c r="Q20" s="3"/>
      <c r="R20" s="3"/>
      <c r="S20" s="3"/>
      <c r="T20" s="3"/>
      <c r="U20" s="3"/>
      <c r="V20" s="3"/>
      <c r="W20" s="3"/>
      <c r="X20" s="3"/>
      <c r="Y20" s="3"/>
      <c r="Z20" s="3"/>
    </row>
    <row r="21" spans="2:26" ht="12.75" customHeight="1">
      <c r="B21" s="47" t="s">
        <v>126</v>
      </c>
      <c r="C21" s="10">
        <f t="shared" ref="C21:Z21" si="19">C16+ABS(C17)</f>
        <v>1.33</v>
      </c>
      <c r="D21" s="10">
        <f t="shared" si="19"/>
        <v>1.04</v>
      </c>
      <c r="E21" s="10">
        <f t="shared" si="19"/>
        <v>2.44</v>
      </c>
      <c r="F21" s="10">
        <f t="shared" si="19"/>
        <v>3.3499999999999996</v>
      </c>
      <c r="G21" s="10">
        <f t="shared" si="19"/>
        <v>0.91</v>
      </c>
      <c r="H21" s="10">
        <f t="shared" si="19"/>
        <v>0.91</v>
      </c>
      <c r="I21" s="10">
        <f t="shared" si="19"/>
        <v>2.9499999999999997</v>
      </c>
      <c r="J21" s="10">
        <f t="shared" si="19"/>
        <v>0.32999999999999996</v>
      </c>
      <c r="K21" s="10">
        <f t="shared" si="19"/>
        <v>0.32999999999999996</v>
      </c>
      <c r="L21" s="10">
        <f t="shared" si="19"/>
        <v>0.28000000000000003</v>
      </c>
      <c r="M21" s="10">
        <f t="shared" si="19"/>
        <v>0.28000000000000003</v>
      </c>
      <c r="N21" s="10">
        <f t="shared" si="19"/>
        <v>0.28000000000000003</v>
      </c>
      <c r="O21" s="10">
        <f t="shared" si="19"/>
        <v>0.59599999999999997</v>
      </c>
      <c r="P21" s="10">
        <f t="shared" si="19"/>
        <v>0.59599999999999997</v>
      </c>
      <c r="Q21" s="10">
        <f t="shared" si="19"/>
        <v>1.35</v>
      </c>
      <c r="R21" s="10">
        <f t="shared" si="19"/>
        <v>1.3</v>
      </c>
      <c r="S21" s="10">
        <f t="shared" si="19"/>
        <v>0</v>
      </c>
      <c r="T21" s="10">
        <f t="shared" si="19"/>
        <v>0</v>
      </c>
      <c r="U21" s="10">
        <f t="shared" si="19"/>
        <v>0</v>
      </c>
      <c r="V21" s="10">
        <f t="shared" si="19"/>
        <v>0</v>
      </c>
      <c r="W21" s="10">
        <f t="shared" si="19"/>
        <v>0</v>
      </c>
      <c r="X21" s="10">
        <f t="shared" si="19"/>
        <v>0</v>
      </c>
      <c r="Y21" s="10">
        <f t="shared" si="19"/>
        <v>0</v>
      </c>
      <c r="Z21" s="10">
        <f t="shared" si="19"/>
        <v>0</v>
      </c>
    </row>
    <row r="22" spans="2:26" ht="12.75" customHeight="1">
      <c r="B22" s="47" t="s">
        <v>127</v>
      </c>
      <c r="C22" s="10">
        <f t="shared" ref="C22:Z22" si="20">C16-ABS(C18)</f>
        <v>1.27</v>
      </c>
      <c r="D22" s="10">
        <f t="shared" si="20"/>
        <v>0.96</v>
      </c>
      <c r="E22" s="10">
        <f t="shared" si="20"/>
        <v>2.36</v>
      </c>
      <c r="F22" s="10">
        <f t="shared" si="20"/>
        <v>3.25</v>
      </c>
      <c r="G22" s="10">
        <f t="shared" si="20"/>
        <v>0.80999999999999994</v>
      </c>
      <c r="H22" s="10">
        <f t="shared" si="20"/>
        <v>0.80999999999999994</v>
      </c>
      <c r="I22" s="10">
        <f t="shared" si="20"/>
        <v>2.85</v>
      </c>
      <c r="J22" s="10">
        <f t="shared" si="20"/>
        <v>0.27</v>
      </c>
      <c r="K22" s="10">
        <f t="shared" si="20"/>
        <v>0.27</v>
      </c>
      <c r="L22" s="10">
        <f t="shared" si="20"/>
        <v>0.22</v>
      </c>
      <c r="M22" s="10">
        <f t="shared" si="20"/>
        <v>0.22</v>
      </c>
      <c r="N22" s="10">
        <f t="shared" si="20"/>
        <v>0.22</v>
      </c>
      <c r="O22" s="10">
        <f t="shared" si="20"/>
        <v>0.53599999999999992</v>
      </c>
      <c r="P22" s="10">
        <f t="shared" si="20"/>
        <v>0.53599999999999992</v>
      </c>
      <c r="Q22" s="10">
        <f t="shared" si="20"/>
        <v>1.1499999999999999</v>
      </c>
      <c r="R22" s="10">
        <f t="shared" si="20"/>
        <v>1.2</v>
      </c>
      <c r="S22" s="10">
        <f t="shared" si="20"/>
        <v>0</v>
      </c>
      <c r="T22" s="10">
        <f t="shared" si="20"/>
        <v>0</v>
      </c>
      <c r="U22" s="10">
        <f t="shared" si="20"/>
        <v>0</v>
      </c>
      <c r="V22" s="10">
        <f t="shared" si="20"/>
        <v>0</v>
      </c>
      <c r="W22" s="10">
        <f t="shared" si="20"/>
        <v>0</v>
      </c>
      <c r="X22" s="10">
        <f t="shared" si="20"/>
        <v>0</v>
      </c>
      <c r="Y22" s="10">
        <f t="shared" si="20"/>
        <v>0</v>
      </c>
      <c r="Z22" s="10">
        <f t="shared" si="20"/>
        <v>0</v>
      </c>
    </row>
    <row r="23" spans="2:26" ht="12.75" customHeight="1">
      <c r="B23" s="45" t="s">
        <v>24</v>
      </c>
      <c r="C23" s="11" t="e">
        <f t="shared" ref="C23:Z23" si="21">STDEV(C35:C65536)</f>
        <v>#DIV/0!</v>
      </c>
      <c r="D23" s="11" t="e">
        <f t="shared" si="21"/>
        <v>#DIV/0!</v>
      </c>
      <c r="E23" s="11" t="e">
        <f t="shared" si="21"/>
        <v>#DIV/0!</v>
      </c>
      <c r="F23" s="11">
        <f t="shared" si="21"/>
        <v>3.4588595920360056E-3</v>
      </c>
      <c r="G23" s="11" t="e">
        <f t="shared" si="21"/>
        <v>#DIV/0!</v>
      </c>
      <c r="H23" s="11">
        <f t="shared" si="21"/>
        <v>6.4112803814083989E-3</v>
      </c>
      <c r="I23" s="11">
        <f t="shared" si="21"/>
        <v>3.5777031287432507E-3</v>
      </c>
      <c r="J23" s="11">
        <f t="shared" si="21"/>
        <v>6.6006895717478399E-3</v>
      </c>
      <c r="K23" s="11">
        <f t="shared" si="21"/>
        <v>4.3029797908711092E-3</v>
      </c>
      <c r="L23" s="11">
        <f t="shared" si="21"/>
        <v>8.1579567334300208E-3</v>
      </c>
      <c r="M23" s="11">
        <f t="shared" si="21"/>
        <v>6.3807042790568367E-3</v>
      </c>
      <c r="N23" s="11">
        <f t="shared" si="21"/>
        <v>7.0501858817865132E-3</v>
      </c>
      <c r="O23" s="11">
        <f t="shared" si="21"/>
        <v>6.7359621052875971E-3</v>
      </c>
      <c r="P23" s="11">
        <f t="shared" si="21"/>
        <v>6.2403441540743497E-3</v>
      </c>
      <c r="Q23" s="11">
        <f t="shared" si="21"/>
        <v>6.5295165742609591E-3</v>
      </c>
      <c r="R23" s="11">
        <f t="shared" si="21"/>
        <v>4.9396509198198664E-3</v>
      </c>
      <c r="S23" s="11" t="e">
        <f t="shared" si="21"/>
        <v>#DIV/0!</v>
      </c>
      <c r="T23" s="11" t="e">
        <f t="shared" si="21"/>
        <v>#DIV/0!</v>
      </c>
      <c r="U23" s="11" t="e">
        <f t="shared" si="21"/>
        <v>#DIV/0!</v>
      </c>
      <c r="V23" s="11" t="e">
        <f t="shared" si="21"/>
        <v>#DIV/0!</v>
      </c>
      <c r="W23" s="11" t="e">
        <f t="shared" si="21"/>
        <v>#DIV/0!</v>
      </c>
      <c r="X23" s="11" t="e">
        <f t="shared" si="21"/>
        <v>#DIV/0!</v>
      </c>
      <c r="Y23" s="11" t="e">
        <f t="shared" si="21"/>
        <v>#DIV/0!</v>
      </c>
      <c r="Z23" s="11" t="e">
        <f t="shared" si="21"/>
        <v>#DIV/0!</v>
      </c>
    </row>
    <row r="24" spans="2:26" ht="12.75" customHeight="1">
      <c r="B24" s="46" t="s">
        <v>131</v>
      </c>
      <c r="C24" s="12" t="e">
        <f t="shared" ref="C24:Z24" si="22">AVERAGE(C35:C65536)</f>
        <v>#DIV/0!</v>
      </c>
      <c r="D24" s="12" t="e">
        <f t="shared" si="22"/>
        <v>#DIV/0!</v>
      </c>
      <c r="E24" s="12" t="e">
        <f t="shared" si="22"/>
        <v>#DIV/0!</v>
      </c>
      <c r="F24" s="12">
        <f t="shared" si="22"/>
        <v>3.3081874999999994</v>
      </c>
      <c r="G24" s="12" t="e">
        <f t="shared" si="22"/>
        <v>#DIV/0!</v>
      </c>
      <c r="H24" s="12">
        <f t="shared" si="22"/>
        <v>0.86435000000000017</v>
      </c>
      <c r="I24" s="12">
        <f t="shared" si="22"/>
        <v>2.8706937499999992</v>
      </c>
      <c r="J24" s="12">
        <f t="shared" si="22"/>
        <v>0.31648437499999987</v>
      </c>
      <c r="K24" s="12">
        <f t="shared" si="22"/>
        <v>0.32197187500000002</v>
      </c>
      <c r="L24" s="12">
        <f t="shared" si="22"/>
        <v>0.24884999999999988</v>
      </c>
      <c r="M24" s="12">
        <f t="shared" si="22"/>
        <v>0.24968750000000003</v>
      </c>
      <c r="N24" s="12">
        <f t="shared" si="22"/>
        <v>0.23384375000000002</v>
      </c>
      <c r="O24" s="12">
        <f t="shared" si="22"/>
        <v>0.56553125000000004</v>
      </c>
      <c r="P24" s="12">
        <f t="shared" si="22"/>
        <v>0.56379374999999998</v>
      </c>
      <c r="Q24" s="12">
        <f t="shared" si="22"/>
        <v>1.235565625</v>
      </c>
      <c r="R24" s="12">
        <f t="shared" si="22"/>
        <v>1.2230281249999999</v>
      </c>
      <c r="S24" s="12" t="e">
        <f t="shared" si="22"/>
        <v>#DIV/0!</v>
      </c>
      <c r="T24" s="12" t="e">
        <f t="shared" si="22"/>
        <v>#DIV/0!</v>
      </c>
      <c r="U24" s="12" t="e">
        <f t="shared" si="22"/>
        <v>#DIV/0!</v>
      </c>
      <c r="V24" s="12" t="e">
        <f t="shared" si="22"/>
        <v>#DIV/0!</v>
      </c>
      <c r="W24" s="12" t="e">
        <f t="shared" si="22"/>
        <v>#DIV/0!</v>
      </c>
      <c r="X24" s="12" t="e">
        <f t="shared" si="22"/>
        <v>#DIV/0!</v>
      </c>
      <c r="Y24" s="12" t="e">
        <f t="shared" si="22"/>
        <v>#DIV/0!</v>
      </c>
      <c r="Z24" s="12" t="e">
        <f t="shared" si="22"/>
        <v>#DIV/0!</v>
      </c>
    </row>
    <row r="25" spans="2:26" ht="12.75" customHeight="1">
      <c r="B25" s="45" t="s">
        <v>128</v>
      </c>
      <c r="C25" s="112">
        <f t="shared" ref="C25:Z25" si="23">MAX(C35:C65536)</f>
        <v>0</v>
      </c>
      <c r="D25" s="112">
        <f t="shared" si="23"/>
        <v>0</v>
      </c>
      <c r="E25" s="112">
        <f t="shared" si="23"/>
        <v>0</v>
      </c>
      <c r="F25" s="112">
        <f t="shared" si="23"/>
        <v>3.3130000000000002</v>
      </c>
      <c r="G25" s="112">
        <f t="shared" si="23"/>
        <v>0</v>
      </c>
      <c r="H25" s="112">
        <f t="shared" si="23"/>
        <v>0.87559999999999993</v>
      </c>
      <c r="I25" s="112">
        <f t="shared" si="23"/>
        <v>2.8772000000000002</v>
      </c>
      <c r="J25" s="112">
        <f t="shared" si="23"/>
        <v>0.32619999999999999</v>
      </c>
      <c r="K25" s="112">
        <f t="shared" si="23"/>
        <v>0.32800000000000001</v>
      </c>
      <c r="L25" s="112">
        <f t="shared" si="23"/>
        <v>0.26179999999999998</v>
      </c>
      <c r="M25" s="112">
        <f t="shared" si="23"/>
        <v>0.25929999999999997</v>
      </c>
      <c r="N25" s="112">
        <f t="shared" si="23"/>
        <v>0.245</v>
      </c>
      <c r="O25" s="112">
        <f t="shared" si="23"/>
        <v>0.57799999999999996</v>
      </c>
      <c r="P25" s="112">
        <f t="shared" si="23"/>
        <v>0.57150000000000001</v>
      </c>
      <c r="Q25" s="112">
        <f t="shared" si="23"/>
        <v>1.2470000000000001</v>
      </c>
      <c r="R25" s="112">
        <f t="shared" si="23"/>
        <v>1.2307999999999999</v>
      </c>
      <c r="S25" s="112">
        <f t="shared" si="23"/>
        <v>0</v>
      </c>
      <c r="T25" s="112">
        <f t="shared" si="23"/>
        <v>0</v>
      </c>
      <c r="U25" s="112">
        <f t="shared" si="23"/>
        <v>0</v>
      </c>
      <c r="V25" s="112">
        <f t="shared" si="23"/>
        <v>0</v>
      </c>
      <c r="W25" s="112">
        <f t="shared" si="23"/>
        <v>0</v>
      </c>
      <c r="X25" s="112">
        <f t="shared" si="23"/>
        <v>0</v>
      </c>
      <c r="Y25" s="112">
        <f t="shared" si="23"/>
        <v>0</v>
      </c>
      <c r="Z25" s="112">
        <f t="shared" si="23"/>
        <v>0</v>
      </c>
    </row>
    <row r="26" spans="2:26" ht="12.75" customHeight="1">
      <c r="B26" s="45" t="s">
        <v>23</v>
      </c>
      <c r="C26" s="112">
        <f t="shared" ref="C26:Z26" si="24">MIN(C35:C65536)</f>
        <v>0</v>
      </c>
      <c r="D26" s="112">
        <f t="shared" si="24"/>
        <v>0</v>
      </c>
      <c r="E26" s="112">
        <f t="shared" si="24"/>
        <v>0</v>
      </c>
      <c r="F26" s="112">
        <f t="shared" si="24"/>
        <v>3.3029999999999999</v>
      </c>
      <c r="G26" s="112">
        <f t="shared" si="24"/>
        <v>0</v>
      </c>
      <c r="H26" s="112">
        <f t="shared" si="24"/>
        <v>0.85360000000000003</v>
      </c>
      <c r="I26" s="112">
        <f t="shared" si="24"/>
        <v>2.8654999999999999</v>
      </c>
      <c r="J26" s="112">
        <f t="shared" si="24"/>
        <v>0.3054</v>
      </c>
      <c r="K26" s="112">
        <f t="shared" si="24"/>
        <v>0.31540000000000001</v>
      </c>
      <c r="L26" s="112">
        <f t="shared" si="24"/>
        <v>0.23499999999999999</v>
      </c>
      <c r="M26" s="112">
        <f t="shared" si="24"/>
        <v>0.2404</v>
      </c>
      <c r="N26" s="112">
        <f t="shared" si="24"/>
        <v>0.221</v>
      </c>
      <c r="O26" s="112">
        <f t="shared" si="24"/>
        <v>0.55430000000000001</v>
      </c>
      <c r="P26" s="112">
        <f t="shared" si="24"/>
        <v>0.55320000000000003</v>
      </c>
      <c r="Q26" s="112">
        <f t="shared" si="24"/>
        <v>1.2245999999999999</v>
      </c>
      <c r="R26" s="112">
        <f t="shared" si="24"/>
        <v>1.2162999999999999</v>
      </c>
      <c r="S26" s="112">
        <f t="shared" si="24"/>
        <v>0</v>
      </c>
      <c r="T26" s="112">
        <f t="shared" si="24"/>
        <v>0</v>
      </c>
      <c r="U26" s="112">
        <f t="shared" si="24"/>
        <v>0</v>
      </c>
      <c r="V26" s="112">
        <f t="shared" si="24"/>
        <v>0</v>
      </c>
      <c r="W26" s="112">
        <f t="shared" si="24"/>
        <v>0</v>
      </c>
      <c r="X26" s="112">
        <f t="shared" si="24"/>
        <v>0</v>
      </c>
      <c r="Y26" s="112">
        <f t="shared" si="24"/>
        <v>0</v>
      </c>
      <c r="Z26" s="112">
        <f t="shared" si="24"/>
        <v>0</v>
      </c>
    </row>
    <row r="27" spans="2:26" ht="12.75" customHeight="1">
      <c r="B27" s="45" t="s">
        <v>61</v>
      </c>
      <c r="C27" s="13" t="e">
        <f t="shared" ref="C27:Z27" si="25">((C21)-(C22))/(6*C23)</f>
        <v>#DIV/0!</v>
      </c>
      <c r="D27" s="13" t="e">
        <f t="shared" si="25"/>
        <v>#DIV/0!</v>
      </c>
      <c r="E27" s="13" t="e">
        <f t="shared" si="25"/>
        <v>#DIV/0!</v>
      </c>
      <c r="F27" s="13">
        <f t="shared" si="25"/>
        <v>4.8185438648742673</v>
      </c>
      <c r="G27" s="13" t="e">
        <f t="shared" si="25"/>
        <v>#DIV/0!</v>
      </c>
      <c r="H27" s="13">
        <f t="shared" si="25"/>
        <v>2.5995847436336001</v>
      </c>
      <c r="I27" s="13">
        <f t="shared" si="25"/>
        <v>4.6584822907095571</v>
      </c>
      <c r="J27" s="13">
        <f t="shared" si="25"/>
        <v>1.5149932277987774</v>
      </c>
      <c r="K27" s="13">
        <f t="shared" si="25"/>
        <v>2.3239709424653276</v>
      </c>
      <c r="L27" s="13">
        <f t="shared" si="25"/>
        <v>1.2257971360673661</v>
      </c>
      <c r="M27" s="13">
        <f t="shared" si="25"/>
        <v>1.5672251153877568</v>
      </c>
      <c r="N27" s="13">
        <f t="shared" si="25"/>
        <v>1.4184023184174557</v>
      </c>
      <c r="O27" s="13">
        <f t="shared" si="25"/>
        <v>1.4845689218100271</v>
      </c>
      <c r="P27" s="13">
        <f t="shared" si="25"/>
        <v>1.6024757213864498</v>
      </c>
      <c r="Q27" s="13">
        <f t="shared" si="25"/>
        <v>5.1050231597131956</v>
      </c>
      <c r="R27" s="13">
        <f t="shared" si="25"/>
        <v>3.3740575877119801</v>
      </c>
      <c r="S27" s="13" t="e">
        <f t="shared" si="25"/>
        <v>#DIV/0!</v>
      </c>
      <c r="T27" s="13" t="e">
        <f t="shared" si="25"/>
        <v>#DIV/0!</v>
      </c>
      <c r="U27" s="13" t="e">
        <f t="shared" si="25"/>
        <v>#DIV/0!</v>
      </c>
      <c r="V27" s="13" t="e">
        <f t="shared" si="25"/>
        <v>#DIV/0!</v>
      </c>
      <c r="W27" s="13" t="e">
        <f t="shared" si="25"/>
        <v>#DIV/0!</v>
      </c>
      <c r="X27" s="13" t="e">
        <f t="shared" si="25"/>
        <v>#DIV/0!</v>
      </c>
      <c r="Y27" s="13" t="e">
        <f t="shared" si="25"/>
        <v>#DIV/0!</v>
      </c>
      <c r="Z27" s="13" t="e">
        <f t="shared" si="25"/>
        <v>#DIV/0!</v>
      </c>
    </row>
    <row r="28" spans="2:26" ht="12.75" customHeight="1">
      <c r="B28" s="45" t="s">
        <v>75</v>
      </c>
      <c r="C28" s="13" t="e">
        <f t="shared" ref="C28:Z28" si="26">(C24-C22)/(3*C23)</f>
        <v>#DIV/0!</v>
      </c>
      <c r="D28" s="13" t="e">
        <f t="shared" si="26"/>
        <v>#DIV/0!</v>
      </c>
      <c r="E28" s="13" t="e">
        <f t="shared" si="26"/>
        <v>#DIV/0!</v>
      </c>
      <c r="F28" s="13">
        <f t="shared" si="26"/>
        <v>5.6075804227473904</v>
      </c>
      <c r="G28" s="13" t="e">
        <f t="shared" si="26"/>
        <v>#DIV/0!</v>
      </c>
      <c r="H28" s="13">
        <f t="shared" si="26"/>
        <v>2.825748616329733</v>
      </c>
      <c r="I28" s="13">
        <f t="shared" si="26"/>
        <v>1.9280293580673378</v>
      </c>
      <c r="J28" s="13">
        <f t="shared" si="26"/>
        <v>2.3474504441152884</v>
      </c>
      <c r="K28" s="13">
        <f t="shared" si="26"/>
        <v>4.0260375775146775</v>
      </c>
      <c r="L28" s="13">
        <f t="shared" si="26"/>
        <v>1.1788082458514446</v>
      </c>
      <c r="M28" s="13">
        <f t="shared" si="26"/>
        <v>1.5508998537691354</v>
      </c>
      <c r="N28" s="13">
        <f t="shared" si="26"/>
        <v>0.65453356985305544</v>
      </c>
      <c r="O28" s="13">
        <f t="shared" si="26"/>
        <v>1.4613725324067501</v>
      </c>
      <c r="P28" s="13">
        <f t="shared" si="26"/>
        <v>1.4846269860428232</v>
      </c>
      <c r="Q28" s="13">
        <f t="shared" si="26"/>
        <v>4.3681449730033446</v>
      </c>
      <c r="R28" s="13">
        <f t="shared" si="26"/>
        <v>1.5539643977405944</v>
      </c>
      <c r="S28" s="13" t="e">
        <f t="shared" si="26"/>
        <v>#DIV/0!</v>
      </c>
      <c r="T28" s="13" t="e">
        <f t="shared" si="26"/>
        <v>#DIV/0!</v>
      </c>
      <c r="U28" s="13" t="e">
        <f t="shared" si="26"/>
        <v>#DIV/0!</v>
      </c>
      <c r="V28" s="13" t="e">
        <f t="shared" si="26"/>
        <v>#DIV/0!</v>
      </c>
      <c r="W28" s="13" t="e">
        <f t="shared" si="26"/>
        <v>#DIV/0!</v>
      </c>
      <c r="X28" s="13" t="e">
        <f t="shared" si="26"/>
        <v>#DIV/0!</v>
      </c>
      <c r="Y28" s="13" t="e">
        <f t="shared" si="26"/>
        <v>#DIV/0!</v>
      </c>
      <c r="Z28" s="13" t="e">
        <f t="shared" si="26"/>
        <v>#DIV/0!</v>
      </c>
    </row>
    <row r="29" spans="2:26" ht="12.75" customHeight="1">
      <c r="B29" s="45" t="s">
        <v>76</v>
      </c>
      <c r="C29" s="13" t="e">
        <f t="shared" ref="C29:Z29" si="27">(C21-C24)/(3*C23)</f>
        <v>#DIV/0!</v>
      </c>
      <c r="D29" s="13" t="e">
        <f t="shared" si="27"/>
        <v>#DIV/0!</v>
      </c>
      <c r="E29" s="13" t="e">
        <f t="shared" si="27"/>
        <v>#DIV/0!</v>
      </c>
      <c r="F29" s="13">
        <f t="shared" si="27"/>
        <v>4.0295073070011451</v>
      </c>
      <c r="G29" s="13" t="e">
        <f t="shared" si="27"/>
        <v>#DIV/0!</v>
      </c>
      <c r="H29" s="13">
        <f t="shared" si="27"/>
        <v>2.3734208709374673</v>
      </c>
      <c r="I29" s="13">
        <f t="shared" si="27"/>
        <v>7.3889352233517762</v>
      </c>
      <c r="J29" s="13">
        <f t="shared" si="27"/>
        <v>0.68253601148226672</v>
      </c>
      <c r="K29" s="13">
        <f t="shared" si="27"/>
        <v>0.62190430741597813</v>
      </c>
      <c r="L29" s="13">
        <f t="shared" si="27"/>
        <v>1.2727860262832873</v>
      </c>
      <c r="M29" s="13">
        <f t="shared" si="27"/>
        <v>1.5835503770063781</v>
      </c>
      <c r="N29" s="13">
        <f t="shared" si="27"/>
        <v>2.1822710669818557</v>
      </c>
      <c r="O29" s="13">
        <f t="shared" si="27"/>
        <v>1.5077653112133043</v>
      </c>
      <c r="P29" s="13">
        <f t="shared" si="27"/>
        <v>1.7203244567300764</v>
      </c>
      <c r="Q29" s="13">
        <f t="shared" si="27"/>
        <v>5.8419013464230458</v>
      </c>
      <c r="R29" s="13">
        <f t="shared" si="27"/>
        <v>5.1941507776833653</v>
      </c>
      <c r="S29" s="13" t="e">
        <f t="shared" si="27"/>
        <v>#DIV/0!</v>
      </c>
      <c r="T29" s="13" t="e">
        <f t="shared" si="27"/>
        <v>#DIV/0!</v>
      </c>
      <c r="U29" s="13" t="e">
        <f t="shared" si="27"/>
        <v>#DIV/0!</v>
      </c>
      <c r="V29" s="13" t="e">
        <f t="shared" si="27"/>
        <v>#DIV/0!</v>
      </c>
      <c r="W29" s="13" t="e">
        <f t="shared" si="27"/>
        <v>#DIV/0!</v>
      </c>
      <c r="X29" s="13" t="e">
        <f t="shared" si="27"/>
        <v>#DIV/0!</v>
      </c>
      <c r="Y29" s="13" t="e">
        <f t="shared" si="27"/>
        <v>#DIV/0!</v>
      </c>
      <c r="Z29" s="13" t="e">
        <f t="shared" si="27"/>
        <v>#DIV/0!</v>
      </c>
    </row>
    <row r="30" spans="2:26" ht="12.75" customHeight="1">
      <c r="B30" s="45" t="s">
        <v>62</v>
      </c>
      <c r="C30" s="13" t="e">
        <f t="shared" ref="C30:Z30" si="28">MIN((C21-C24)/(3*C23),(C24-C22)/(3*C23))</f>
        <v>#DIV/0!</v>
      </c>
      <c r="D30" s="13" t="e">
        <f t="shared" si="28"/>
        <v>#DIV/0!</v>
      </c>
      <c r="E30" s="13" t="e">
        <f t="shared" si="28"/>
        <v>#DIV/0!</v>
      </c>
      <c r="F30" s="13">
        <f t="shared" si="28"/>
        <v>4.0295073070011451</v>
      </c>
      <c r="G30" s="13" t="e">
        <f t="shared" si="28"/>
        <v>#DIV/0!</v>
      </c>
      <c r="H30" s="13">
        <f t="shared" si="28"/>
        <v>2.3734208709374673</v>
      </c>
      <c r="I30" s="13">
        <f t="shared" si="28"/>
        <v>1.9280293580673378</v>
      </c>
      <c r="J30" s="13">
        <f t="shared" si="28"/>
        <v>0.68253601148226672</v>
      </c>
      <c r="K30" s="13">
        <f t="shared" si="28"/>
        <v>0.62190430741597813</v>
      </c>
      <c r="L30" s="13">
        <f t="shared" si="28"/>
        <v>1.1788082458514446</v>
      </c>
      <c r="M30" s="13">
        <f t="shared" si="28"/>
        <v>1.5508998537691354</v>
      </c>
      <c r="N30" s="13">
        <f t="shared" si="28"/>
        <v>0.65453356985305544</v>
      </c>
      <c r="O30" s="13">
        <f t="shared" si="28"/>
        <v>1.4613725324067501</v>
      </c>
      <c r="P30" s="13">
        <f t="shared" si="28"/>
        <v>1.4846269860428232</v>
      </c>
      <c r="Q30" s="13">
        <f t="shared" si="28"/>
        <v>4.3681449730033446</v>
      </c>
      <c r="R30" s="13">
        <f t="shared" si="28"/>
        <v>1.5539643977405944</v>
      </c>
      <c r="S30" s="13" t="e">
        <f t="shared" si="28"/>
        <v>#DIV/0!</v>
      </c>
      <c r="T30" s="13" t="e">
        <f t="shared" si="28"/>
        <v>#DIV/0!</v>
      </c>
      <c r="U30" s="13" t="e">
        <f t="shared" si="28"/>
        <v>#DIV/0!</v>
      </c>
      <c r="V30" s="13" t="e">
        <f t="shared" si="28"/>
        <v>#DIV/0!</v>
      </c>
      <c r="W30" s="13" t="e">
        <f t="shared" si="28"/>
        <v>#DIV/0!</v>
      </c>
      <c r="X30" s="13" t="e">
        <f t="shared" si="28"/>
        <v>#DIV/0!</v>
      </c>
      <c r="Y30" s="13" t="e">
        <f t="shared" si="28"/>
        <v>#DIV/0!</v>
      </c>
      <c r="Z30" s="13" t="e">
        <f t="shared" si="28"/>
        <v>#DIV/0!</v>
      </c>
    </row>
    <row r="31" spans="2:26" ht="12.75" customHeight="1" collapsed="1">
      <c r="B31" s="8"/>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2:26" ht="12.75" customHeight="1">
      <c r="B32" s="105" t="s">
        <v>79</v>
      </c>
      <c r="C32" s="129" t="e">
        <f>IF(C14="DoubleSides",NORMSDIST((C21-C24)/C23)-NORMSDIST((C22-C24)/C23),IF(C14="SingleSide-USL",NORMSDIST((C21-C24)/C23),IF(C14="SingleSide-LSL",1-NORMSDIST((C22-C24)/C23),IF(C14="Actual Yield (n&gt;=100)",IF(COUNT(C35:C65536)&gt;=100,(COUNTIF(C35:C65536,"&lt;="&amp;C21)-COUNTIF(C35:C65536,"&lt;"&amp;C22))/COUNT(C35:C65536),"Too Few Records"),IF(C14="Go/NoGo Gauge (n&gt;=100)",IF(COUNTA(C35:C65536)&gt;=100, COUNTIF(C35:C65536,"OK")/COUNTA(C35:C65536),"Too Few Records"),"Error")))))</f>
        <v>#DIV/0!</v>
      </c>
      <c r="D32" s="129" t="e">
        <f t="shared" ref="D32:Z32" si="29">IF(D14="DoubleSides",NORMSDIST((D21-D24)/D23)-NORMSDIST((D22-D24)/D23),IF(D14="SingleSide-USL",NORMSDIST((D21-D24)/D23),IF(D14="SingleSide-LSL",1-NORMSDIST((D22-D24)/D23),IF(D14="Actual Yield (n&gt;=100)",IF(COUNT(D35:D65536)&gt;=100,(COUNTIF(D35:D65536,"&lt;="&amp;D21)-COUNTIF(D35:D65536,"&lt;"&amp;D22))/COUNT(D35:D65536),"Too Few Records"),IF(D14="Go/NoGo Gauge (n&gt;=100)",IF(COUNTA(D35:D65536)&gt;=100, COUNTIF(D35:D65536,"OK")/COUNTA(D35:D65536),"Too Few Records"),"Error")))))</f>
        <v>#DIV/0!</v>
      </c>
      <c r="E32" s="129" t="e">
        <f t="shared" si="29"/>
        <v>#DIV/0!</v>
      </c>
      <c r="F32" s="129">
        <f t="shared" si="29"/>
        <v>1</v>
      </c>
      <c r="G32" s="129" t="e">
        <f t="shared" si="29"/>
        <v>#DIV/0!</v>
      </c>
      <c r="H32" s="129">
        <f t="shared" si="29"/>
        <v>0.99999999999946143</v>
      </c>
      <c r="I32" s="129">
        <f t="shared" si="29"/>
        <v>0.99999999635466308</v>
      </c>
      <c r="J32" s="129">
        <f t="shared" si="29"/>
        <v>0.97970078926647974</v>
      </c>
      <c r="K32" s="129">
        <f t="shared" si="29"/>
        <v>0.96895922961809711</v>
      </c>
      <c r="L32" s="129">
        <f t="shared" si="29"/>
        <v>0.99973003755998946</v>
      </c>
      <c r="M32" s="129">
        <f t="shared" si="29"/>
        <v>0.99999734809947749</v>
      </c>
      <c r="N32" s="129">
        <f t="shared" si="29"/>
        <v>0.97521179244134537</v>
      </c>
      <c r="O32" s="129">
        <f t="shared" si="29"/>
        <v>0.99999113295630904</v>
      </c>
      <c r="P32" s="129">
        <f t="shared" si="29"/>
        <v>0.9999956605719631</v>
      </c>
      <c r="Q32" s="129">
        <f t="shared" si="29"/>
        <v>1</v>
      </c>
      <c r="R32" s="129">
        <f t="shared" si="29"/>
        <v>0.99999843343105521</v>
      </c>
      <c r="S32" s="129" t="str">
        <f t="shared" si="29"/>
        <v>Error</v>
      </c>
      <c r="T32" s="129" t="str">
        <f t="shared" si="29"/>
        <v>Error</v>
      </c>
      <c r="U32" s="129" t="str">
        <f t="shared" si="29"/>
        <v>Error</v>
      </c>
      <c r="V32" s="129" t="str">
        <f t="shared" si="29"/>
        <v>Error</v>
      </c>
      <c r="W32" s="129" t="str">
        <f t="shared" si="29"/>
        <v>Error</v>
      </c>
      <c r="X32" s="129" t="str">
        <f t="shared" si="29"/>
        <v>Error</v>
      </c>
      <c r="Y32" s="129" t="str">
        <f t="shared" si="29"/>
        <v>Error</v>
      </c>
      <c r="Z32" s="129" t="str">
        <f t="shared" si="29"/>
        <v>Error</v>
      </c>
    </row>
    <row r="33" spans="2:26" ht="12.75" customHeight="1">
      <c r="B33" s="105" t="s">
        <v>80</v>
      </c>
      <c r="C33" s="12" t="e">
        <f>C24-(C21+C22)/2</f>
        <v>#DIV/0!</v>
      </c>
      <c r="D33" s="12" t="e">
        <f t="shared" ref="D33:Z33" si="30">D24-(D21+D22)/2</f>
        <v>#DIV/0!</v>
      </c>
      <c r="E33" s="12" t="e">
        <f t="shared" si="30"/>
        <v>#DIV/0!</v>
      </c>
      <c r="F33" s="12">
        <f t="shared" si="30"/>
        <v>8.1874999999995701E-3</v>
      </c>
      <c r="G33" s="12" t="e">
        <f t="shared" si="30"/>
        <v>#DIV/0!</v>
      </c>
      <c r="H33" s="12">
        <f t="shared" si="30"/>
        <v>4.3500000000001871E-3</v>
      </c>
      <c r="I33" s="12">
        <f t="shared" si="30"/>
        <v>-2.9306250000000755E-2</v>
      </c>
      <c r="J33" s="12">
        <f t="shared" si="30"/>
        <v>1.6484374999999885E-2</v>
      </c>
      <c r="K33" s="12">
        <f t="shared" si="30"/>
        <v>2.197187500000003E-2</v>
      </c>
      <c r="L33" s="12">
        <f t="shared" si="30"/>
        <v>-1.1500000000001231E-3</v>
      </c>
      <c r="M33" s="12">
        <f t="shared" si="30"/>
        <v>-3.1249999999996558E-4</v>
      </c>
      <c r="N33" s="12">
        <f t="shared" si="30"/>
        <v>-1.6156249999999983E-2</v>
      </c>
      <c r="O33" s="12">
        <f t="shared" si="30"/>
        <v>-4.6874999999990674E-4</v>
      </c>
      <c r="P33" s="12">
        <f t="shared" si="30"/>
        <v>-2.2062499999999652E-3</v>
      </c>
      <c r="Q33" s="12">
        <f t="shared" si="30"/>
        <v>-1.4434374999999999E-2</v>
      </c>
      <c r="R33" s="12">
        <f t="shared" si="30"/>
        <v>-2.697187500000009E-2</v>
      </c>
      <c r="S33" s="12" t="e">
        <f t="shared" si="30"/>
        <v>#DIV/0!</v>
      </c>
      <c r="T33" s="12" t="e">
        <f t="shared" si="30"/>
        <v>#DIV/0!</v>
      </c>
      <c r="U33" s="12" t="e">
        <f t="shared" si="30"/>
        <v>#DIV/0!</v>
      </c>
      <c r="V33" s="12" t="e">
        <f t="shared" si="30"/>
        <v>#DIV/0!</v>
      </c>
      <c r="W33" s="12" t="e">
        <f t="shared" si="30"/>
        <v>#DIV/0!</v>
      </c>
      <c r="X33" s="12" t="e">
        <f t="shared" si="30"/>
        <v>#DIV/0!</v>
      </c>
      <c r="Y33" s="12" t="e">
        <f t="shared" si="30"/>
        <v>#DIV/0!</v>
      </c>
      <c r="Z33" s="12" t="e">
        <f t="shared" si="30"/>
        <v>#DIV/0!</v>
      </c>
    </row>
    <row r="34" spans="2:26" ht="12.75" customHeight="1">
      <c r="B34" s="149"/>
      <c r="C34" s="14"/>
      <c r="D34" s="14"/>
      <c r="E34" s="14"/>
      <c r="F34" s="14"/>
      <c r="G34" s="14"/>
      <c r="H34" s="14"/>
      <c r="I34" s="14"/>
      <c r="J34" s="14"/>
      <c r="K34" s="14"/>
      <c r="L34" s="14"/>
      <c r="M34" s="14"/>
      <c r="N34" s="14"/>
      <c r="O34" s="14"/>
      <c r="P34" s="14"/>
      <c r="Q34" s="14"/>
      <c r="R34" s="14"/>
      <c r="S34" s="14"/>
      <c r="T34" s="14"/>
      <c r="U34" s="15"/>
      <c r="V34" s="14"/>
      <c r="W34" s="14"/>
      <c r="X34" s="14"/>
      <c r="Y34" s="14"/>
      <c r="Z34" s="14"/>
    </row>
    <row r="35" spans="2:26" ht="12.75" customHeight="1">
      <c r="B35" s="113">
        <v>1</v>
      </c>
      <c r="C35" s="147"/>
      <c r="D35" s="147"/>
      <c r="E35" s="147"/>
      <c r="F35" s="147">
        <v>3.3109999999999999</v>
      </c>
      <c r="G35" s="147"/>
      <c r="H35" s="147">
        <v>0.85589999999999999</v>
      </c>
      <c r="I35" s="147">
        <v>2.8654999999999999</v>
      </c>
      <c r="J35" s="147">
        <v>0.32400000000000001</v>
      </c>
      <c r="K35" s="147">
        <v>0.31540000000000001</v>
      </c>
      <c r="L35" s="147">
        <v>0.25740000000000002</v>
      </c>
      <c r="M35" s="147">
        <v>0.25269999999999998</v>
      </c>
      <c r="N35" s="147">
        <v>0.221</v>
      </c>
      <c r="O35" s="147">
        <v>0.57450000000000001</v>
      </c>
      <c r="P35" s="147">
        <v>0.55320000000000003</v>
      </c>
      <c r="Q35" s="147">
        <v>1.2336</v>
      </c>
      <c r="R35" s="147">
        <v>1.2189000000000001</v>
      </c>
      <c r="S35" s="114"/>
      <c r="T35" s="114"/>
      <c r="U35" s="114"/>
      <c r="V35" s="114"/>
      <c r="W35" s="114"/>
      <c r="X35" s="114"/>
      <c r="Y35" s="114"/>
      <c r="Z35" s="114"/>
    </row>
    <row r="36" spans="2:26" ht="12.75" customHeight="1">
      <c r="B36" s="113">
        <v>2</v>
      </c>
      <c r="C36" s="147"/>
      <c r="D36" s="147"/>
      <c r="E36" s="147"/>
      <c r="F36" s="147">
        <v>3.3090000000000002</v>
      </c>
      <c r="G36" s="147"/>
      <c r="H36" s="147">
        <v>0.87559999999999993</v>
      </c>
      <c r="I36" s="147">
        <v>2.8685</v>
      </c>
      <c r="J36" s="147">
        <v>0.31380000000000002</v>
      </c>
      <c r="K36" s="147">
        <v>0.31559999999999999</v>
      </c>
      <c r="L36" s="147">
        <v>0.2354</v>
      </c>
      <c r="M36" s="147">
        <v>0.24110000000000001</v>
      </c>
      <c r="N36" s="147">
        <v>0.2359</v>
      </c>
      <c r="O36" s="147">
        <v>0.55520000000000003</v>
      </c>
      <c r="P36" s="147">
        <v>0.56179999999999997</v>
      </c>
      <c r="Q36" s="147">
        <v>1.2339</v>
      </c>
      <c r="R36" s="147">
        <v>1.2188000000000001</v>
      </c>
      <c r="S36" s="114"/>
      <c r="T36" s="114"/>
      <c r="U36" s="114"/>
      <c r="V36" s="114"/>
      <c r="W36" s="114"/>
      <c r="X36" s="114"/>
      <c r="Y36" s="114"/>
      <c r="Z36" s="114"/>
    </row>
    <row r="37" spans="2:26" ht="12.75" customHeight="1">
      <c r="B37" s="113">
        <v>3</v>
      </c>
      <c r="C37" s="147"/>
      <c r="D37" s="147"/>
      <c r="E37" s="147"/>
      <c r="F37" s="147">
        <v>3.3130000000000002</v>
      </c>
      <c r="G37" s="147"/>
      <c r="H37" s="147">
        <v>0.86409999999999998</v>
      </c>
      <c r="I37" s="147">
        <v>2.8658999999999999</v>
      </c>
      <c r="J37" s="147">
        <v>0.308</v>
      </c>
      <c r="K37" s="147">
        <v>0.32619999999999999</v>
      </c>
      <c r="L37" s="147">
        <v>0.24560000000000001</v>
      </c>
      <c r="M37" s="147">
        <v>0.24260000000000001</v>
      </c>
      <c r="N37" s="147">
        <v>0.24199999999999999</v>
      </c>
      <c r="O37" s="147">
        <v>0.55430000000000001</v>
      </c>
      <c r="P37" s="147">
        <v>0.55410000000000004</v>
      </c>
      <c r="Q37" s="147">
        <v>1.2335</v>
      </c>
      <c r="R37" s="147">
        <v>1.2307999999999999</v>
      </c>
      <c r="S37" s="114"/>
      <c r="T37" s="114"/>
      <c r="U37" s="114"/>
      <c r="V37" s="114"/>
      <c r="W37" s="114"/>
      <c r="X37" s="114"/>
      <c r="Y37" s="114"/>
      <c r="Z37" s="114"/>
    </row>
    <row r="38" spans="2:26" ht="12.75" customHeight="1">
      <c r="B38" s="113">
        <v>4</v>
      </c>
      <c r="C38" s="147"/>
      <c r="D38" s="147"/>
      <c r="E38" s="147"/>
      <c r="F38" s="147">
        <v>3.31</v>
      </c>
      <c r="G38" s="147"/>
      <c r="H38" s="147">
        <v>0.86890000000000001</v>
      </c>
      <c r="I38" s="147">
        <v>2.8772000000000002</v>
      </c>
      <c r="J38" s="147">
        <v>0.3054</v>
      </c>
      <c r="K38" s="147">
        <v>0.32440000000000002</v>
      </c>
      <c r="L38" s="147">
        <v>0.25340000000000001</v>
      </c>
      <c r="M38" s="147">
        <v>0.25119999999999998</v>
      </c>
      <c r="N38" s="147">
        <v>0.22309999999999999</v>
      </c>
      <c r="O38" s="147">
        <v>0.57799999999999996</v>
      </c>
      <c r="P38" s="147">
        <v>0.57150000000000001</v>
      </c>
      <c r="Q38" s="147">
        <v>1.2363</v>
      </c>
      <c r="R38" s="147">
        <v>1.2250000000000001</v>
      </c>
      <c r="S38" s="114"/>
      <c r="T38" s="114"/>
      <c r="U38" s="114"/>
      <c r="V38" s="114"/>
      <c r="W38" s="114"/>
      <c r="X38" s="114"/>
      <c r="Y38" s="114"/>
      <c r="Z38" s="114"/>
    </row>
    <row r="39" spans="2:26" ht="12.75" customHeight="1">
      <c r="B39" s="113">
        <v>5</v>
      </c>
      <c r="C39" s="147"/>
      <c r="D39" s="147"/>
      <c r="E39" s="147"/>
      <c r="F39" s="147">
        <v>3.3029999999999999</v>
      </c>
      <c r="G39" s="147"/>
      <c r="H39" s="147">
        <v>0.86559999999999993</v>
      </c>
      <c r="I39" s="147">
        <v>2.8702999999999999</v>
      </c>
      <c r="J39" s="147">
        <v>0.3231</v>
      </c>
      <c r="K39" s="147">
        <v>0.3246</v>
      </c>
      <c r="L39" s="147">
        <v>0.25800000000000001</v>
      </c>
      <c r="M39" s="147">
        <v>0.2404</v>
      </c>
      <c r="N39" s="147">
        <v>0.23300000000000001</v>
      </c>
      <c r="O39" s="147">
        <v>0.56159999999999999</v>
      </c>
      <c r="P39" s="147">
        <v>0.55679999999999996</v>
      </c>
      <c r="Q39" s="147">
        <v>1.2470000000000001</v>
      </c>
      <c r="R39" s="147">
        <v>1.2294</v>
      </c>
      <c r="S39" s="114"/>
      <c r="T39" s="114"/>
      <c r="U39" s="114"/>
      <c r="V39" s="114"/>
      <c r="W39" s="114"/>
      <c r="X39" s="114"/>
      <c r="Y39" s="114"/>
      <c r="Z39" s="114"/>
    </row>
    <row r="40" spans="2:26" ht="12.75" customHeight="1">
      <c r="B40" s="113">
        <v>6</v>
      </c>
      <c r="C40" s="147"/>
      <c r="D40" s="147"/>
      <c r="E40" s="147"/>
      <c r="F40" s="147">
        <v>3.3109999999999999</v>
      </c>
      <c r="G40" s="147"/>
      <c r="H40" s="147">
        <v>0.85850000000000004</v>
      </c>
      <c r="I40" s="147">
        <v>2.8687999999999998</v>
      </c>
      <c r="J40" s="147">
        <v>0.32350000000000001</v>
      </c>
      <c r="K40" s="147">
        <v>0.32519999999999999</v>
      </c>
      <c r="L40" s="147">
        <v>0.25059999999999999</v>
      </c>
      <c r="M40" s="147">
        <v>0.2417</v>
      </c>
      <c r="N40" s="147">
        <v>0.24210000000000001</v>
      </c>
      <c r="O40" s="147">
        <v>0.56659999999999999</v>
      </c>
      <c r="P40" s="147">
        <v>0.56950000000000001</v>
      </c>
      <c r="Q40" s="147">
        <v>1.2245999999999999</v>
      </c>
      <c r="R40" s="147">
        <v>1.23</v>
      </c>
      <c r="S40" s="114"/>
      <c r="T40" s="114"/>
      <c r="U40" s="114"/>
      <c r="V40" s="114"/>
      <c r="W40" s="114"/>
      <c r="X40" s="114"/>
      <c r="Y40" s="114"/>
      <c r="Z40" s="114"/>
    </row>
    <row r="41" spans="2:26" ht="12.75" customHeight="1">
      <c r="B41" s="113">
        <v>7</v>
      </c>
      <c r="C41" s="147"/>
      <c r="D41" s="147"/>
      <c r="E41" s="147"/>
      <c r="F41" s="147">
        <v>3.3029999999999999</v>
      </c>
      <c r="G41" s="147"/>
      <c r="H41" s="147">
        <v>0.86499999999999999</v>
      </c>
      <c r="I41" s="147">
        <v>2.8714</v>
      </c>
      <c r="J41" s="147">
        <v>0.32619999999999999</v>
      </c>
      <c r="K41" s="147">
        <v>0.32669999999999999</v>
      </c>
      <c r="L41" s="147">
        <v>0.26179999999999998</v>
      </c>
      <c r="M41" s="147">
        <v>0.25929999999999997</v>
      </c>
      <c r="N41" s="147">
        <v>0.245</v>
      </c>
      <c r="O41" s="147">
        <v>0.56810000000000005</v>
      </c>
      <c r="P41" s="147">
        <v>0.56969999999999998</v>
      </c>
      <c r="Q41" s="147">
        <v>1.2292000000000001</v>
      </c>
      <c r="R41" s="147">
        <v>1.2162999999999999</v>
      </c>
      <c r="S41" s="114"/>
      <c r="T41" s="114"/>
      <c r="U41" s="114"/>
      <c r="V41" s="114"/>
      <c r="W41" s="114"/>
      <c r="X41" s="114"/>
      <c r="Y41" s="114"/>
      <c r="Z41" s="114"/>
    </row>
    <row r="42" spans="2:26" ht="12.75" customHeight="1">
      <c r="B42" s="113">
        <v>8</v>
      </c>
      <c r="C42" s="147"/>
      <c r="D42" s="147"/>
      <c r="E42" s="147"/>
      <c r="F42" s="147">
        <v>3.3130000000000002</v>
      </c>
      <c r="G42" s="147"/>
      <c r="H42" s="147">
        <v>0.85360000000000003</v>
      </c>
      <c r="I42" s="147">
        <v>2.8666</v>
      </c>
      <c r="J42" s="147">
        <v>0.32150000000000001</v>
      </c>
      <c r="K42" s="147">
        <v>0.32800000000000001</v>
      </c>
      <c r="L42" s="147">
        <v>0.255</v>
      </c>
      <c r="M42" s="147">
        <v>0.24099999999999999</v>
      </c>
      <c r="N42" s="147">
        <v>0.22589999999999999</v>
      </c>
      <c r="O42" s="147">
        <v>0.56469999999999998</v>
      </c>
      <c r="P42" s="147">
        <v>0.57079999999999997</v>
      </c>
      <c r="Q42" s="147">
        <v>1.2270000000000001</v>
      </c>
      <c r="R42" s="147">
        <v>1.2306999999999999</v>
      </c>
      <c r="S42" s="114"/>
      <c r="T42" s="114"/>
      <c r="U42" s="114"/>
      <c r="V42" s="114"/>
      <c r="W42" s="114"/>
      <c r="X42" s="114"/>
      <c r="Y42" s="114"/>
      <c r="Z42" s="114"/>
    </row>
    <row r="43" spans="2:26" ht="12.75" customHeight="1">
      <c r="B43" s="113">
        <v>9</v>
      </c>
      <c r="C43" s="147"/>
      <c r="D43" s="147"/>
      <c r="E43" s="147"/>
      <c r="F43" s="147">
        <v>3.3109999999999999</v>
      </c>
      <c r="G43" s="147"/>
      <c r="H43" s="147">
        <v>0.873</v>
      </c>
      <c r="I43" s="147">
        <v>2.8679999999999999</v>
      </c>
      <c r="J43" s="147">
        <v>0.318</v>
      </c>
      <c r="K43" s="147">
        <v>0.317</v>
      </c>
      <c r="L43" s="147">
        <v>0.23499999999999999</v>
      </c>
      <c r="M43" s="147">
        <v>0.25800000000000001</v>
      </c>
      <c r="N43" s="147">
        <v>0.23499999999999999</v>
      </c>
      <c r="O43" s="147">
        <v>0.57699999999999996</v>
      </c>
      <c r="P43" s="147">
        <v>0.56100000000000005</v>
      </c>
      <c r="Q43" s="147">
        <v>1.232</v>
      </c>
      <c r="R43" s="147">
        <v>1.226</v>
      </c>
      <c r="S43" s="114"/>
      <c r="T43" s="114"/>
      <c r="U43" s="114"/>
      <c r="V43" s="114"/>
      <c r="W43" s="114"/>
      <c r="X43" s="114"/>
      <c r="Y43" s="114"/>
      <c r="Z43" s="114"/>
    </row>
    <row r="44" spans="2:26" ht="12.75" customHeight="1">
      <c r="B44" s="113">
        <v>10</v>
      </c>
      <c r="C44" s="147"/>
      <c r="D44" s="147"/>
      <c r="E44" s="147"/>
      <c r="F44" s="147">
        <v>3.3079999999999998</v>
      </c>
      <c r="G44" s="147"/>
      <c r="H44" s="147">
        <v>0.86299999999999999</v>
      </c>
      <c r="I44" s="147">
        <v>2.871</v>
      </c>
      <c r="J44" s="147">
        <v>0.32100000000000001</v>
      </c>
      <c r="K44" s="147">
        <v>0.32400000000000001</v>
      </c>
      <c r="L44" s="147">
        <v>0.23799999999999999</v>
      </c>
      <c r="M44" s="147">
        <v>0.246</v>
      </c>
      <c r="N44" s="147">
        <v>0.22700000000000001</v>
      </c>
      <c r="O44" s="147">
        <v>0.56000000000000005</v>
      </c>
      <c r="P44" s="147">
        <v>0.55500000000000005</v>
      </c>
      <c r="Q44" s="147">
        <v>1.242</v>
      </c>
      <c r="R44" s="147">
        <v>1.22</v>
      </c>
      <c r="S44" s="114"/>
      <c r="T44" s="114"/>
      <c r="U44" s="114"/>
      <c r="V44" s="114"/>
      <c r="W44" s="114"/>
      <c r="X44" s="114"/>
      <c r="Y44" s="114"/>
      <c r="Z44" s="114"/>
    </row>
    <row r="45" spans="2:26" ht="12.75" customHeight="1">
      <c r="B45" s="113">
        <v>11</v>
      </c>
      <c r="C45" s="147"/>
      <c r="D45" s="147"/>
      <c r="E45" s="147"/>
      <c r="F45" s="147">
        <v>3.3069999999999999</v>
      </c>
      <c r="G45" s="147"/>
      <c r="H45" s="147">
        <v>0.85599999999999998</v>
      </c>
      <c r="I45" s="147">
        <v>2.8690000000000002</v>
      </c>
      <c r="J45" s="147">
        <v>0.32</v>
      </c>
      <c r="K45" s="147">
        <v>0.32300000000000001</v>
      </c>
      <c r="L45" s="147">
        <v>0.246</v>
      </c>
      <c r="M45" s="147">
        <v>0.249</v>
      </c>
      <c r="N45" s="147">
        <v>0.22600000000000001</v>
      </c>
      <c r="O45" s="147">
        <v>0.56000000000000005</v>
      </c>
      <c r="P45" s="147">
        <v>0.55600000000000005</v>
      </c>
      <c r="Q45" s="147">
        <v>1.2390000000000001</v>
      </c>
      <c r="R45" s="147">
        <v>1.23</v>
      </c>
      <c r="S45" s="114"/>
      <c r="T45" s="114"/>
      <c r="U45" s="114"/>
      <c r="V45" s="114"/>
      <c r="W45" s="114"/>
      <c r="X45" s="114"/>
      <c r="Y45" s="114"/>
      <c r="Z45" s="114"/>
    </row>
    <row r="46" spans="2:26" ht="12.75" customHeight="1">
      <c r="B46" s="113">
        <v>12</v>
      </c>
      <c r="C46" s="147"/>
      <c r="D46" s="147"/>
      <c r="E46" s="147"/>
      <c r="F46" s="147">
        <v>3.3109999999999999</v>
      </c>
      <c r="G46" s="147"/>
      <c r="H46" s="147">
        <v>0.86799999999999999</v>
      </c>
      <c r="I46" s="147">
        <v>2.8719999999999999</v>
      </c>
      <c r="J46" s="147">
        <v>0.32500000000000001</v>
      </c>
      <c r="K46" s="147">
        <v>0.32700000000000001</v>
      </c>
      <c r="L46" s="147">
        <v>0.25700000000000001</v>
      </c>
      <c r="M46" s="147">
        <v>0.245</v>
      </c>
      <c r="N46" s="147">
        <v>0.23599999999999999</v>
      </c>
      <c r="O46" s="147">
        <v>0.57399999999999995</v>
      </c>
      <c r="P46" s="147">
        <v>0.55500000000000005</v>
      </c>
      <c r="Q46" s="147">
        <v>1.238</v>
      </c>
      <c r="R46" s="147">
        <v>1.222</v>
      </c>
      <c r="S46" s="114"/>
      <c r="T46" s="114"/>
      <c r="U46" s="114"/>
      <c r="V46" s="114"/>
      <c r="W46" s="114"/>
      <c r="X46" s="114"/>
      <c r="Y46" s="114"/>
      <c r="Z46" s="114"/>
    </row>
    <row r="47" spans="2:26" ht="12.75" customHeight="1">
      <c r="B47" s="113">
        <v>13</v>
      </c>
      <c r="C47" s="147"/>
      <c r="D47" s="147"/>
      <c r="E47" s="147"/>
      <c r="F47" s="147">
        <v>3.3050000000000002</v>
      </c>
      <c r="G47" s="147"/>
      <c r="H47" s="147">
        <v>0.85499999999999998</v>
      </c>
      <c r="I47" s="147">
        <v>2.8679999999999999</v>
      </c>
      <c r="J47" s="147">
        <v>0.32</v>
      </c>
      <c r="K47" s="147">
        <v>0.318</v>
      </c>
      <c r="L47" s="147">
        <v>0.26100000000000001</v>
      </c>
      <c r="M47" s="147">
        <v>0.254</v>
      </c>
      <c r="N47" s="147">
        <v>0.22600000000000001</v>
      </c>
      <c r="O47" s="147">
        <v>0.56200000000000006</v>
      </c>
      <c r="P47" s="147">
        <v>0.56599999999999995</v>
      </c>
      <c r="Q47" s="147">
        <v>1.238</v>
      </c>
      <c r="R47" s="147">
        <v>1.228</v>
      </c>
      <c r="S47" s="114"/>
      <c r="T47" s="114"/>
      <c r="U47" s="114"/>
      <c r="V47" s="114"/>
      <c r="W47" s="114"/>
      <c r="X47" s="114"/>
      <c r="Y47" s="114"/>
      <c r="Z47" s="114"/>
    </row>
    <row r="48" spans="2:26" ht="12.75" customHeight="1">
      <c r="B48" s="113">
        <v>14</v>
      </c>
      <c r="C48" s="147"/>
      <c r="D48" s="147"/>
      <c r="E48" s="147"/>
      <c r="F48" s="147">
        <v>3.3050000000000002</v>
      </c>
      <c r="G48" s="147"/>
      <c r="H48" s="147">
        <v>0.875</v>
      </c>
      <c r="I48" s="147">
        <v>2.8730000000000002</v>
      </c>
      <c r="J48" s="147">
        <v>0.32100000000000001</v>
      </c>
      <c r="K48" s="147">
        <v>0.32700000000000001</v>
      </c>
      <c r="L48" s="147">
        <v>0.254</v>
      </c>
      <c r="M48" s="147">
        <v>0.24099999999999999</v>
      </c>
      <c r="N48" s="147">
        <v>0.24299999999999999</v>
      </c>
      <c r="O48" s="147">
        <v>0.55500000000000005</v>
      </c>
      <c r="P48" s="147">
        <v>0.55600000000000005</v>
      </c>
      <c r="Q48" s="147">
        <v>1.2470000000000001</v>
      </c>
      <c r="R48" s="147">
        <v>1.2230000000000001</v>
      </c>
      <c r="S48" s="114"/>
      <c r="T48" s="114"/>
      <c r="U48" s="114"/>
      <c r="V48" s="114"/>
      <c r="W48" s="114"/>
      <c r="X48" s="114"/>
      <c r="Y48" s="114"/>
      <c r="Z48" s="114"/>
    </row>
    <row r="49" spans="2:26" ht="12.75" customHeight="1">
      <c r="B49" s="113">
        <v>15</v>
      </c>
      <c r="C49" s="147"/>
      <c r="D49" s="147"/>
      <c r="E49" s="147"/>
      <c r="F49" s="147">
        <v>3.306</v>
      </c>
      <c r="G49" s="147"/>
      <c r="H49" s="147">
        <v>0.86099999999999999</v>
      </c>
      <c r="I49" s="147">
        <v>2.8690000000000002</v>
      </c>
      <c r="J49" s="147">
        <v>0.313</v>
      </c>
      <c r="K49" s="147">
        <v>0.317</v>
      </c>
      <c r="L49" s="147">
        <v>0.24299999999999999</v>
      </c>
      <c r="M49" s="147">
        <v>0.25700000000000001</v>
      </c>
      <c r="N49" s="147">
        <v>0.24199999999999999</v>
      </c>
      <c r="O49" s="147">
        <v>0.56999999999999995</v>
      </c>
      <c r="P49" s="147">
        <v>0.56599999999999995</v>
      </c>
      <c r="Q49" s="147">
        <v>1.2310000000000001</v>
      </c>
      <c r="R49" s="147">
        <v>1.224</v>
      </c>
      <c r="S49" s="114"/>
      <c r="T49" s="114"/>
      <c r="U49" s="114"/>
      <c r="V49" s="114"/>
      <c r="W49" s="114"/>
      <c r="X49" s="114"/>
      <c r="Y49" s="114"/>
      <c r="Z49" s="114"/>
    </row>
    <row r="50" spans="2:26" ht="12.75" customHeight="1">
      <c r="B50" s="113">
        <v>16</v>
      </c>
      <c r="C50" s="147"/>
      <c r="D50" s="147"/>
      <c r="E50" s="147"/>
      <c r="F50" s="147">
        <v>3.3119999999999998</v>
      </c>
      <c r="G50" s="147"/>
      <c r="H50" s="147">
        <v>0.87</v>
      </c>
      <c r="I50" s="147">
        <v>2.8719999999999999</v>
      </c>
      <c r="J50" s="147">
        <v>0.30599999999999999</v>
      </c>
      <c r="K50" s="147">
        <v>0.316</v>
      </c>
      <c r="L50" s="147">
        <v>0.24399999999999999</v>
      </c>
      <c r="M50" s="147">
        <v>0.253</v>
      </c>
      <c r="N50" s="147">
        <v>0.23899999999999999</v>
      </c>
      <c r="O50" s="147">
        <v>0.55800000000000005</v>
      </c>
      <c r="P50" s="147">
        <v>0.56499999999999995</v>
      </c>
      <c r="Q50" s="147">
        <v>1.236</v>
      </c>
      <c r="R50" s="147">
        <v>1.22</v>
      </c>
      <c r="S50" s="114"/>
      <c r="T50" s="114"/>
      <c r="U50" s="114"/>
      <c r="V50" s="114"/>
      <c r="W50" s="114"/>
      <c r="X50" s="114"/>
      <c r="Y50" s="114"/>
      <c r="Z50" s="114"/>
    </row>
    <row r="51" spans="2:26" ht="12.75" customHeight="1">
      <c r="B51" s="113">
        <v>17</v>
      </c>
      <c r="C51" s="147"/>
      <c r="D51" s="147"/>
      <c r="E51" s="147"/>
      <c r="F51" s="147">
        <v>3.31</v>
      </c>
      <c r="G51" s="147"/>
      <c r="H51" s="147">
        <v>0.87</v>
      </c>
      <c r="I51" s="147">
        <v>2.8730000000000002</v>
      </c>
      <c r="J51" s="147">
        <v>0.30599999999999999</v>
      </c>
      <c r="K51" s="147">
        <v>0.32</v>
      </c>
      <c r="L51" s="147">
        <v>0.25700000000000001</v>
      </c>
      <c r="M51" s="147">
        <v>0.25800000000000001</v>
      </c>
      <c r="N51" s="147">
        <v>0.23200000000000001</v>
      </c>
      <c r="O51" s="147">
        <v>0.56100000000000005</v>
      </c>
      <c r="P51" s="147">
        <v>0.56799999999999995</v>
      </c>
      <c r="Q51" s="147">
        <v>1.226</v>
      </c>
      <c r="R51" s="147">
        <v>1.222</v>
      </c>
      <c r="S51" s="114"/>
      <c r="T51" s="114"/>
      <c r="U51" s="114"/>
      <c r="V51" s="114"/>
      <c r="W51" s="114"/>
      <c r="X51" s="114"/>
      <c r="Y51" s="114"/>
      <c r="Z51" s="114"/>
    </row>
    <row r="52" spans="2:26" ht="12.75" customHeight="1">
      <c r="B52" s="113">
        <v>18</v>
      </c>
      <c r="C52" s="147"/>
      <c r="D52" s="147"/>
      <c r="E52" s="147"/>
      <c r="F52" s="147">
        <v>3.3050000000000002</v>
      </c>
      <c r="G52" s="147"/>
      <c r="H52" s="147">
        <v>0.86099999999999999</v>
      </c>
      <c r="I52" s="147">
        <v>2.8769999999999998</v>
      </c>
      <c r="J52" s="147">
        <v>0.312</v>
      </c>
      <c r="K52" s="147">
        <v>0.318</v>
      </c>
      <c r="L52" s="147">
        <v>0.24299999999999999</v>
      </c>
      <c r="M52" s="147">
        <v>0.251</v>
      </c>
      <c r="N52" s="147">
        <v>0.24299999999999999</v>
      </c>
      <c r="O52" s="147">
        <v>0.56299999999999994</v>
      </c>
      <c r="P52" s="147">
        <v>0.56999999999999995</v>
      </c>
      <c r="Q52" s="147">
        <v>1.238</v>
      </c>
      <c r="R52" s="147">
        <v>1.218</v>
      </c>
      <c r="S52" s="114"/>
      <c r="T52" s="114"/>
      <c r="U52" s="114"/>
      <c r="V52" s="114"/>
      <c r="W52" s="114"/>
      <c r="X52" s="114"/>
      <c r="Y52" s="114"/>
      <c r="Z52" s="114"/>
    </row>
    <row r="53" spans="2:26" ht="12.75" customHeight="1">
      <c r="B53" s="113">
        <v>19</v>
      </c>
      <c r="C53" s="147"/>
      <c r="D53" s="147"/>
      <c r="E53" s="147"/>
      <c r="F53" s="147">
        <v>3.3090000000000002</v>
      </c>
      <c r="G53" s="147"/>
      <c r="H53" s="147">
        <v>0.87</v>
      </c>
      <c r="I53" s="147">
        <v>2.875</v>
      </c>
      <c r="J53" s="147">
        <v>0.32100000000000001</v>
      </c>
      <c r="K53" s="147">
        <v>0.32600000000000001</v>
      </c>
      <c r="L53" s="147">
        <v>0.25700000000000001</v>
      </c>
      <c r="M53" s="147">
        <v>0.25900000000000001</v>
      </c>
      <c r="N53" s="147">
        <v>0.224</v>
      </c>
      <c r="O53" s="147">
        <v>0.57199999999999995</v>
      </c>
      <c r="P53" s="147">
        <v>0.56999999999999995</v>
      </c>
      <c r="Q53" s="147">
        <v>1.2450000000000001</v>
      </c>
      <c r="R53" s="147">
        <v>1.23</v>
      </c>
      <c r="S53" s="114"/>
      <c r="T53" s="114"/>
      <c r="U53" s="114"/>
      <c r="V53" s="114"/>
      <c r="W53" s="114"/>
      <c r="X53" s="114"/>
      <c r="Y53" s="114"/>
      <c r="Z53" s="114"/>
    </row>
    <row r="54" spans="2:26" ht="12.75" customHeight="1">
      <c r="B54" s="113">
        <v>20</v>
      </c>
      <c r="C54" s="147"/>
      <c r="D54" s="147"/>
      <c r="E54" s="147"/>
      <c r="F54" s="147">
        <v>3.3130000000000002</v>
      </c>
      <c r="G54" s="147"/>
      <c r="H54" s="147">
        <v>0.873</v>
      </c>
      <c r="I54" s="147">
        <v>2.8690000000000002</v>
      </c>
      <c r="J54" s="147">
        <v>0.316</v>
      </c>
      <c r="K54" s="147">
        <v>0.317</v>
      </c>
      <c r="L54" s="147">
        <v>0.24099999999999999</v>
      </c>
      <c r="M54" s="147">
        <v>0.254</v>
      </c>
      <c r="N54" s="147">
        <v>0.24099999999999999</v>
      </c>
      <c r="O54" s="147">
        <v>0.56799999999999995</v>
      </c>
      <c r="P54" s="147">
        <v>0.55500000000000005</v>
      </c>
      <c r="Q54" s="147">
        <v>1.2250000000000001</v>
      </c>
      <c r="R54" s="147">
        <v>1.218</v>
      </c>
      <c r="S54" s="114"/>
      <c r="T54" s="114"/>
      <c r="U54" s="114"/>
      <c r="V54" s="114"/>
      <c r="W54" s="114"/>
      <c r="X54" s="114"/>
      <c r="Y54" s="114"/>
      <c r="Z54" s="114"/>
    </row>
    <row r="55" spans="2:26" ht="12.75" customHeight="1">
      <c r="B55" s="113">
        <v>21</v>
      </c>
      <c r="C55" s="147"/>
      <c r="D55" s="147"/>
      <c r="E55" s="147"/>
      <c r="F55" s="147">
        <v>3.3090000000000002</v>
      </c>
      <c r="G55" s="147"/>
      <c r="H55" s="147">
        <v>0.86099999999999999</v>
      </c>
      <c r="I55" s="147">
        <v>2.867</v>
      </c>
      <c r="J55" s="147">
        <v>0.315</v>
      </c>
      <c r="K55" s="147">
        <v>0.32400000000000001</v>
      </c>
      <c r="L55" s="147">
        <v>0.249</v>
      </c>
      <c r="M55" s="147">
        <v>0.245</v>
      </c>
      <c r="N55" s="147">
        <v>0.22700000000000001</v>
      </c>
      <c r="O55" s="147">
        <v>0.56799999999999995</v>
      </c>
      <c r="P55" s="147">
        <v>0.56200000000000006</v>
      </c>
      <c r="Q55" s="147">
        <v>1.2270000000000001</v>
      </c>
      <c r="R55" s="147">
        <v>1.2250000000000001</v>
      </c>
      <c r="S55" s="114"/>
      <c r="T55" s="114"/>
      <c r="U55" s="114"/>
      <c r="V55" s="114"/>
      <c r="W55" s="114"/>
      <c r="X55" s="114"/>
      <c r="Y55" s="114"/>
      <c r="Z55" s="114"/>
    </row>
    <row r="56" spans="2:26" ht="12.75" customHeight="1">
      <c r="B56" s="113">
        <v>22</v>
      </c>
      <c r="C56" s="147"/>
      <c r="D56" s="147"/>
      <c r="E56" s="147"/>
      <c r="F56" s="147">
        <v>3.3029999999999999</v>
      </c>
      <c r="G56" s="147"/>
      <c r="H56" s="147">
        <v>0.85699999999999998</v>
      </c>
      <c r="I56" s="147">
        <v>2.8740000000000001</v>
      </c>
      <c r="J56" s="147">
        <v>0.31</v>
      </c>
      <c r="K56" s="147">
        <v>0.32500000000000001</v>
      </c>
      <c r="L56" s="147">
        <v>0.25600000000000001</v>
      </c>
      <c r="M56" s="147">
        <v>0.25900000000000001</v>
      </c>
      <c r="N56" s="147">
        <v>0.23899999999999999</v>
      </c>
      <c r="O56" s="147">
        <v>0.56100000000000005</v>
      </c>
      <c r="P56" s="147">
        <v>0.56799999999999995</v>
      </c>
      <c r="Q56" s="147">
        <v>1.2430000000000001</v>
      </c>
      <c r="R56" s="147">
        <v>1.218</v>
      </c>
      <c r="S56" s="114"/>
      <c r="T56" s="114"/>
      <c r="U56" s="114"/>
      <c r="V56" s="114"/>
      <c r="W56" s="114"/>
      <c r="X56" s="114"/>
      <c r="Y56" s="114"/>
      <c r="Z56" s="114"/>
    </row>
    <row r="57" spans="2:26" ht="12.75" customHeight="1">
      <c r="B57" s="113">
        <v>23</v>
      </c>
      <c r="C57" s="147"/>
      <c r="D57" s="147"/>
      <c r="E57" s="147"/>
      <c r="F57" s="147">
        <v>3.3090000000000002</v>
      </c>
      <c r="G57" s="147"/>
      <c r="H57" s="147">
        <v>0.86799999999999999</v>
      </c>
      <c r="I57" s="147">
        <v>2.8679999999999999</v>
      </c>
      <c r="J57" s="147">
        <v>0.31900000000000001</v>
      </c>
      <c r="K57" s="147">
        <v>0.316</v>
      </c>
      <c r="L57" s="147">
        <v>0.247</v>
      </c>
      <c r="M57" s="147">
        <v>0.251</v>
      </c>
      <c r="N57" s="147">
        <v>0.23899999999999999</v>
      </c>
      <c r="O57" s="147">
        <v>0.56999999999999995</v>
      </c>
      <c r="P57" s="147">
        <v>0.56699999999999995</v>
      </c>
      <c r="Q57" s="147">
        <v>1.2310000000000001</v>
      </c>
      <c r="R57" s="147">
        <v>1.2250000000000001</v>
      </c>
      <c r="S57" s="114"/>
      <c r="T57" s="114"/>
      <c r="U57" s="114"/>
      <c r="V57" s="114"/>
      <c r="W57" s="114"/>
      <c r="X57" s="114"/>
      <c r="Y57" s="114"/>
      <c r="Z57" s="114"/>
    </row>
    <row r="58" spans="2:26" ht="12.75" customHeight="1">
      <c r="B58" s="113">
        <v>24</v>
      </c>
      <c r="C58" s="147"/>
      <c r="D58" s="147"/>
      <c r="E58" s="147"/>
      <c r="F58" s="147">
        <v>3.3119999999999998</v>
      </c>
      <c r="G58" s="147"/>
      <c r="H58" s="147">
        <v>0.872</v>
      </c>
      <c r="I58" s="147">
        <v>2.8660000000000001</v>
      </c>
      <c r="J58" s="147">
        <v>0.32100000000000001</v>
      </c>
      <c r="K58" s="147">
        <v>0.32300000000000001</v>
      </c>
      <c r="L58" s="147">
        <v>0.24399999999999999</v>
      </c>
      <c r="M58" s="147">
        <v>0.249</v>
      </c>
      <c r="N58" s="147">
        <v>0.23200000000000001</v>
      </c>
      <c r="O58" s="147">
        <v>0.57499999999999996</v>
      </c>
      <c r="P58" s="147">
        <v>0.56999999999999995</v>
      </c>
      <c r="Q58" s="147">
        <v>1.246</v>
      </c>
      <c r="R58" s="147">
        <v>1.2170000000000001</v>
      </c>
      <c r="S58" s="114"/>
      <c r="T58" s="114"/>
      <c r="U58" s="114"/>
      <c r="V58" s="114"/>
      <c r="W58" s="114"/>
      <c r="X58" s="114"/>
      <c r="Y58" s="114"/>
      <c r="Z58" s="114"/>
    </row>
    <row r="59" spans="2:26" ht="12.75" customHeight="1">
      <c r="B59" s="113">
        <v>25</v>
      </c>
      <c r="C59" s="147"/>
      <c r="D59" s="147"/>
      <c r="E59" s="147"/>
      <c r="F59" s="147">
        <v>3.3090000000000002</v>
      </c>
      <c r="G59" s="147"/>
      <c r="H59" s="147">
        <v>0.85599999999999998</v>
      </c>
      <c r="I59" s="147">
        <v>2.871</v>
      </c>
      <c r="J59" s="147">
        <v>0.313</v>
      </c>
      <c r="K59" s="147">
        <v>0.318</v>
      </c>
      <c r="L59" s="147">
        <v>0.247</v>
      </c>
      <c r="M59" s="147">
        <v>0.24299999999999999</v>
      </c>
      <c r="N59" s="147">
        <v>0.23</v>
      </c>
      <c r="O59" s="147">
        <v>0.56599999999999995</v>
      </c>
      <c r="P59" s="147">
        <v>0.56999999999999995</v>
      </c>
      <c r="Q59" s="147">
        <v>1.2290000000000001</v>
      </c>
      <c r="R59" s="147">
        <v>1.2170000000000001</v>
      </c>
      <c r="S59" s="114"/>
      <c r="T59" s="114"/>
      <c r="U59" s="114"/>
      <c r="V59" s="114"/>
      <c r="W59" s="114"/>
      <c r="X59" s="114"/>
      <c r="Y59" s="114"/>
      <c r="Z59" s="114"/>
    </row>
    <row r="60" spans="2:26" ht="12.75" customHeight="1">
      <c r="B60" s="113">
        <v>26</v>
      </c>
      <c r="C60" s="147"/>
      <c r="D60" s="147"/>
      <c r="E60" s="147"/>
      <c r="F60" s="147">
        <v>3.3119999999999998</v>
      </c>
      <c r="G60" s="147"/>
      <c r="H60" s="147">
        <v>0.86099999999999999</v>
      </c>
      <c r="I60" s="147">
        <v>2.875</v>
      </c>
      <c r="J60" s="147">
        <v>0.309</v>
      </c>
      <c r="K60" s="147">
        <v>0.32100000000000001</v>
      </c>
      <c r="L60" s="147">
        <v>0.254</v>
      </c>
      <c r="M60" s="147">
        <v>0.252</v>
      </c>
      <c r="N60" s="147">
        <v>0.23100000000000001</v>
      </c>
      <c r="O60" s="147">
        <v>0.55800000000000005</v>
      </c>
      <c r="P60" s="147">
        <v>0.56599999999999995</v>
      </c>
      <c r="Q60" s="147">
        <v>1.234</v>
      </c>
      <c r="R60" s="147">
        <v>1.2270000000000001</v>
      </c>
      <c r="S60" s="114"/>
      <c r="T60" s="114"/>
      <c r="U60" s="114"/>
      <c r="V60" s="114"/>
      <c r="W60" s="114"/>
      <c r="X60" s="114"/>
      <c r="Y60" s="114"/>
      <c r="Z60" s="114"/>
    </row>
    <row r="61" spans="2:26" ht="12.75" customHeight="1">
      <c r="B61" s="113">
        <v>27</v>
      </c>
      <c r="C61" s="147"/>
      <c r="D61" s="147"/>
      <c r="E61" s="147"/>
      <c r="F61" s="147">
        <v>3.306</v>
      </c>
      <c r="G61" s="147"/>
      <c r="H61" s="147">
        <v>0.86399999999999999</v>
      </c>
      <c r="I61" s="147">
        <v>2.8679999999999999</v>
      </c>
      <c r="J61" s="147">
        <v>0.32100000000000001</v>
      </c>
      <c r="K61" s="147">
        <v>0.32300000000000001</v>
      </c>
      <c r="L61" s="147">
        <v>0.25700000000000001</v>
      </c>
      <c r="M61" s="147">
        <v>0.24099999999999999</v>
      </c>
      <c r="N61" s="147">
        <v>0.23400000000000001</v>
      </c>
      <c r="O61" s="147">
        <v>0.56999999999999995</v>
      </c>
      <c r="P61" s="147">
        <v>0.56899999999999995</v>
      </c>
      <c r="Q61" s="147">
        <v>1.2410000000000001</v>
      </c>
      <c r="R61" s="147">
        <v>1.23</v>
      </c>
      <c r="S61" s="114"/>
      <c r="T61" s="114"/>
      <c r="U61" s="114"/>
      <c r="V61" s="114"/>
      <c r="W61" s="114"/>
      <c r="X61" s="114"/>
      <c r="Y61" s="114"/>
      <c r="Z61" s="114"/>
    </row>
    <row r="62" spans="2:26" ht="12.75" customHeight="1">
      <c r="B62" s="113">
        <v>28</v>
      </c>
      <c r="C62" s="147"/>
      <c r="D62" s="147"/>
      <c r="E62" s="147"/>
      <c r="F62" s="147">
        <v>3.3039999999999998</v>
      </c>
      <c r="G62" s="147"/>
      <c r="H62" s="147">
        <v>0.86899999999999999</v>
      </c>
      <c r="I62" s="147">
        <v>2.8769999999999998</v>
      </c>
      <c r="J62" s="147">
        <v>0.30599999999999999</v>
      </c>
      <c r="K62" s="147">
        <v>0.316</v>
      </c>
      <c r="L62" s="147">
        <v>0.23599999999999999</v>
      </c>
      <c r="M62" s="147">
        <v>0.25800000000000001</v>
      </c>
      <c r="N62" s="147">
        <v>0.24299999999999999</v>
      </c>
      <c r="O62" s="147">
        <v>0.56699999999999995</v>
      </c>
      <c r="P62" s="147">
        <v>0.56899999999999995</v>
      </c>
      <c r="Q62" s="147">
        <v>1.2430000000000001</v>
      </c>
      <c r="R62" s="147">
        <v>1.2230000000000001</v>
      </c>
      <c r="S62" s="114"/>
      <c r="T62" s="114"/>
      <c r="U62" s="114"/>
      <c r="V62" s="114"/>
      <c r="W62" s="114"/>
      <c r="X62" s="114"/>
      <c r="Y62" s="114"/>
      <c r="Z62" s="114"/>
    </row>
    <row r="63" spans="2:26" ht="12.75" customHeight="1">
      <c r="B63" s="113">
        <v>29</v>
      </c>
      <c r="C63" s="147"/>
      <c r="D63" s="147"/>
      <c r="E63" s="147"/>
      <c r="F63" s="147">
        <v>3.3119999999999998</v>
      </c>
      <c r="G63" s="147"/>
      <c r="H63" s="147">
        <v>0.85599999999999998</v>
      </c>
      <c r="I63" s="147">
        <v>2.8719999999999999</v>
      </c>
      <c r="J63" s="147">
        <v>0.32500000000000001</v>
      </c>
      <c r="K63" s="147">
        <v>0.32600000000000001</v>
      </c>
      <c r="L63" s="147">
        <v>0.246</v>
      </c>
      <c r="M63" s="147">
        <v>0.25</v>
      </c>
      <c r="N63" s="147">
        <v>0.22600000000000001</v>
      </c>
      <c r="O63" s="147">
        <v>0.57099999999999995</v>
      </c>
      <c r="P63" s="147">
        <v>0.57099999999999995</v>
      </c>
      <c r="Q63" s="147">
        <v>1.232</v>
      </c>
      <c r="R63" s="147">
        <v>1.2170000000000001</v>
      </c>
      <c r="S63" s="114"/>
      <c r="T63" s="114"/>
      <c r="U63" s="114"/>
      <c r="V63" s="114"/>
      <c r="W63" s="114"/>
      <c r="X63" s="114"/>
      <c r="Y63" s="114"/>
      <c r="Z63" s="114"/>
    </row>
    <row r="64" spans="2:26" ht="12.75" customHeight="1">
      <c r="B64" s="113">
        <v>30</v>
      </c>
      <c r="C64" s="147"/>
      <c r="D64" s="147"/>
      <c r="E64" s="147"/>
      <c r="F64" s="147">
        <v>3.3039999999999998</v>
      </c>
      <c r="G64" s="147"/>
      <c r="H64" s="147">
        <v>0.86</v>
      </c>
      <c r="I64" s="147">
        <v>2.871</v>
      </c>
      <c r="J64" s="147">
        <v>0.30599999999999999</v>
      </c>
      <c r="K64" s="147">
        <v>0.32600000000000001</v>
      </c>
      <c r="L64" s="147">
        <v>0.23599999999999999</v>
      </c>
      <c r="M64" s="147">
        <v>0.24399999999999999</v>
      </c>
      <c r="N64" s="147">
        <v>0.23400000000000001</v>
      </c>
      <c r="O64" s="147">
        <v>0.55900000000000005</v>
      </c>
      <c r="P64" s="147">
        <v>0.55500000000000005</v>
      </c>
      <c r="Q64" s="147">
        <v>1.2390000000000001</v>
      </c>
      <c r="R64" s="147">
        <v>1.22</v>
      </c>
      <c r="S64" s="114"/>
      <c r="T64" s="114"/>
      <c r="U64" s="114"/>
      <c r="V64" s="114"/>
      <c r="W64" s="114"/>
      <c r="X64" s="114"/>
      <c r="Y64" s="114"/>
      <c r="Z64" s="114"/>
    </row>
    <row r="65" spans="2:256" ht="12.75" customHeight="1">
      <c r="B65" s="113">
        <v>31</v>
      </c>
      <c r="C65" s="147"/>
      <c r="D65" s="147"/>
      <c r="E65" s="147"/>
      <c r="F65" s="147">
        <v>3.3039999999999998</v>
      </c>
      <c r="G65" s="147"/>
      <c r="H65" s="147">
        <v>0.86399999999999999</v>
      </c>
      <c r="I65" s="147">
        <v>2.8769999999999998</v>
      </c>
      <c r="J65" s="147">
        <v>0.318</v>
      </c>
      <c r="K65" s="147">
        <v>0.32800000000000001</v>
      </c>
      <c r="L65" s="147">
        <v>0.25700000000000001</v>
      </c>
      <c r="M65" s="147">
        <v>0.255</v>
      </c>
      <c r="N65" s="147">
        <v>0.22700000000000001</v>
      </c>
      <c r="O65" s="147">
        <v>0.55800000000000005</v>
      </c>
      <c r="P65" s="147">
        <v>0.56100000000000005</v>
      </c>
      <c r="Q65" s="147">
        <v>1.234</v>
      </c>
      <c r="R65" s="147">
        <v>1.22</v>
      </c>
      <c r="S65" s="114"/>
      <c r="T65" s="114"/>
      <c r="U65" s="114"/>
      <c r="V65" s="114"/>
      <c r="W65" s="114"/>
      <c r="X65" s="114"/>
      <c r="Y65" s="114"/>
      <c r="Z65" s="114"/>
    </row>
    <row r="66" spans="2:256" ht="12.75" customHeight="1">
      <c r="B66" s="113">
        <v>32</v>
      </c>
      <c r="C66" s="147"/>
      <c r="D66" s="147"/>
      <c r="E66" s="147"/>
      <c r="F66" s="147">
        <v>3.3029999999999999</v>
      </c>
      <c r="G66" s="147"/>
      <c r="H66" s="147">
        <v>0.86899999999999999</v>
      </c>
      <c r="I66" s="147">
        <v>2.8660000000000001</v>
      </c>
      <c r="J66" s="147">
        <v>0.32</v>
      </c>
      <c r="K66" s="147">
        <v>0.32100000000000001</v>
      </c>
      <c r="L66" s="147">
        <v>0.24099999999999999</v>
      </c>
      <c r="M66" s="147">
        <v>0.248</v>
      </c>
      <c r="N66" s="147">
        <v>0.23899999999999999</v>
      </c>
      <c r="O66" s="147">
        <v>0.57099999999999995</v>
      </c>
      <c r="P66" s="147">
        <v>0.56299999999999994</v>
      </c>
      <c r="Q66" s="147">
        <v>1.2370000000000001</v>
      </c>
      <c r="R66" s="147">
        <v>1.2170000000000001</v>
      </c>
      <c r="S66" s="114"/>
      <c r="T66" s="114"/>
      <c r="U66" s="114"/>
      <c r="V66" s="114"/>
      <c r="W66" s="114"/>
      <c r="X66" s="114"/>
      <c r="Y66" s="114"/>
      <c r="Z66" s="114"/>
    </row>
    <row r="67" spans="2:256" s="4" customFormat="1" ht="12.75" customHeight="1">
      <c r="IV67" s="136"/>
    </row>
    <row r="68" spans="2:256" s="4" customFormat="1" ht="12.75" customHeight="1">
      <c r="IV68" s="136"/>
    </row>
    <row r="69" spans="2:256" s="4" customFormat="1" ht="12.75" customHeight="1">
      <c r="IV69" s="136"/>
    </row>
    <row r="70" spans="2:256" s="4" customFormat="1" ht="12.75" customHeight="1">
      <c r="IV70" s="136"/>
    </row>
    <row r="71" spans="2:256" s="4" customFormat="1" ht="12.75" customHeight="1">
      <c r="IV71" s="136"/>
    </row>
    <row r="72" spans="2:256" s="4" customFormat="1" ht="12.75" customHeight="1">
      <c r="IV72" s="136"/>
    </row>
    <row r="73" spans="2:256" s="4" customFormat="1" ht="12.75" customHeight="1">
      <c r="IV73" s="136"/>
    </row>
    <row r="74" spans="2:256" s="4" customFormat="1" ht="12.75" customHeight="1">
      <c r="IV74" s="136"/>
    </row>
    <row r="75" spans="2:256" s="4" customFormat="1" ht="12.75" customHeight="1">
      <c r="IV75" s="136"/>
    </row>
    <row r="76" spans="2:256" s="4" customFormat="1" ht="12.75" customHeight="1">
      <c r="IV76" s="136"/>
    </row>
    <row r="77" spans="2:256" s="4" customFormat="1" ht="12.75" customHeight="1">
      <c r="IV77" s="136"/>
    </row>
    <row r="78" spans="2:256" s="4" customFormat="1" ht="12.75" customHeight="1">
      <c r="IV78" s="136"/>
    </row>
    <row r="79" spans="2:256" s="4" customFormat="1" ht="12.75" customHeight="1">
      <c r="IV79" s="136"/>
    </row>
    <row r="80" spans="2:256" s="4" customFormat="1" ht="12.75" customHeight="1">
      <c r="IV80" s="136"/>
    </row>
    <row r="81" spans="256:256" s="4" customFormat="1" ht="12.75" customHeight="1">
      <c r="IV81" s="136"/>
    </row>
    <row r="82" spans="256:256" s="4" customFormat="1" ht="12.75" customHeight="1">
      <c r="IV82" s="136"/>
    </row>
    <row r="83" spans="256:256" s="4" customFormat="1" ht="12.75" customHeight="1">
      <c r="IV83" s="136"/>
    </row>
    <row r="84" spans="256:256" s="4" customFormat="1" ht="12.75" customHeight="1">
      <c r="IV84" s="136"/>
    </row>
    <row r="85" spans="256:256" s="4" customFormat="1" ht="12.75" customHeight="1">
      <c r="IV85" s="136"/>
    </row>
    <row r="86" spans="256:256" s="4" customFormat="1" ht="12.75" customHeight="1">
      <c r="IV86" s="136"/>
    </row>
    <row r="87" spans="256:256" s="4" customFormat="1" ht="12.75" customHeight="1">
      <c r="IV87" s="136"/>
    </row>
    <row r="88" spans="256:256" s="4" customFormat="1" ht="12.75" customHeight="1">
      <c r="IV88" s="136"/>
    </row>
    <row r="89" spans="256:256" s="4" customFormat="1" ht="12.75" customHeight="1">
      <c r="IV89" s="136"/>
    </row>
    <row r="90" spans="256:256" s="4" customFormat="1" ht="12.75" customHeight="1">
      <c r="IV90" s="136"/>
    </row>
    <row r="91" spans="256:256" s="4" customFormat="1" ht="12.75" customHeight="1">
      <c r="IV91" s="136"/>
    </row>
    <row r="92" spans="256:256" s="4" customFormat="1" ht="12.75" customHeight="1">
      <c r="IV92" s="136"/>
    </row>
    <row r="93" spans="256:256" s="4" customFormat="1" ht="12.75" customHeight="1">
      <c r="IV93" s="136"/>
    </row>
    <row r="94" spans="256:256" s="4" customFormat="1" ht="12.75" customHeight="1">
      <c r="IV94" s="136"/>
    </row>
    <row r="95" spans="256:256" s="4" customFormat="1" ht="12.75" customHeight="1">
      <c r="IV95" s="136"/>
    </row>
    <row r="96" spans="256:256" s="4" customFormat="1" ht="12.75" customHeight="1">
      <c r="IV96" s="136"/>
    </row>
    <row r="97" spans="256:256" s="4" customFormat="1" ht="12.75" customHeight="1">
      <c r="IV97" s="136"/>
    </row>
    <row r="98" spans="256:256" s="4" customFormat="1" ht="12.75" customHeight="1">
      <c r="IV98" s="136"/>
    </row>
    <row r="99" spans="256:256" s="4" customFormat="1" ht="12.75" customHeight="1">
      <c r="IV99" s="136"/>
    </row>
    <row r="100" spans="256:256" s="4" customFormat="1" ht="12.75" customHeight="1">
      <c r="IV100" s="136"/>
    </row>
    <row r="101" spans="256:256" s="4" customFormat="1" ht="12.75" customHeight="1">
      <c r="IV101" s="136"/>
    </row>
    <row r="102" spans="256:256" s="4" customFormat="1" ht="12.75" customHeight="1">
      <c r="IV102" s="136"/>
    </row>
    <row r="103" spans="256:256" s="4" customFormat="1" ht="12.75" customHeight="1">
      <c r="IV103" s="136"/>
    </row>
    <row r="104" spans="256:256" s="4" customFormat="1" ht="12.75" customHeight="1">
      <c r="IV104" s="136"/>
    </row>
    <row r="105" spans="256:256" s="4" customFormat="1" ht="12.75" customHeight="1">
      <c r="IV105" s="136"/>
    </row>
    <row r="106" spans="256:256" s="4" customFormat="1" ht="12.75" customHeight="1">
      <c r="IV106" s="136"/>
    </row>
    <row r="107" spans="256:256" s="4" customFormat="1" ht="12.75" customHeight="1">
      <c r="IV107" s="136"/>
    </row>
    <row r="108" spans="256:256" s="4" customFormat="1" ht="12.75" customHeight="1">
      <c r="IV108" s="136"/>
    </row>
    <row r="109" spans="256:256" s="4" customFormat="1" ht="12.75" customHeight="1">
      <c r="IV109" s="136"/>
    </row>
    <row r="110" spans="256:256" s="4" customFormat="1" ht="12.75" customHeight="1">
      <c r="IV110" s="136"/>
    </row>
    <row r="111" spans="256:256" s="4" customFormat="1" ht="12.75" customHeight="1">
      <c r="IV111" s="136"/>
    </row>
    <row r="112" spans="256:256" s="4" customFormat="1" ht="12.75" customHeight="1">
      <c r="IV112" s="136"/>
    </row>
    <row r="113" spans="256:256" s="4" customFormat="1" ht="12.75" customHeight="1">
      <c r="IV113" s="136"/>
    </row>
    <row r="114" spans="256:256" s="4" customFormat="1" ht="12.75" customHeight="1">
      <c r="IV114" s="136"/>
    </row>
    <row r="115" spans="256:256" s="4" customFormat="1" ht="12.75" customHeight="1">
      <c r="IV115" s="136"/>
    </row>
    <row r="116" spans="256:256" s="4" customFormat="1" ht="12.75" customHeight="1">
      <c r="IV116" s="136"/>
    </row>
    <row r="117" spans="256:256" s="4" customFormat="1" ht="12.75" customHeight="1">
      <c r="IV117" s="136"/>
    </row>
    <row r="118" spans="256:256" s="4" customFormat="1" ht="12.75" customHeight="1">
      <c r="IV118" s="136"/>
    </row>
    <row r="119" spans="256:256" s="4" customFormat="1" ht="12.75" customHeight="1">
      <c r="IV119" s="136"/>
    </row>
    <row r="120" spans="256:256" s="4" customFormat="1" ht="12.75" customHeight="1">
      <c r="IV120" s="136"/>
    </row>
    <row r="121" spans="256:256" s="4" customFormat="1" ht="12.75" customHeight="1">
      <c r="IV121" s="136"/>
    </row>
    <row r="122" spans="256:256" s="4" customFormat="1" ht="12.75" customHeight="1">
      <c r="IV122" s="136"/>
    </row>
    <row r="123" spans="256:256" s="4" customFormat="1" ht="12.75" customHeight="1">
      <c r="IV123" s="136"/>
    </row>
    <row r="124" spans="256:256" s="4" customFormat="1" ht="12.75" customHeight="1">
      <c r="IV124" s="136"/>
    </row>
    <row r="125" spans="256:256" s="4" customFormat="1" ht="12.75" customHeight="1">
      <c r="IV125" s="136"/>
    </row>
    <row r="126" spans="256:256" s="4" customFormat="1" ht="12.75" customHeight="1">
      <c r="IV126" s="136"/>
    </row>
    <row r="127" spans="256:256" s="4" customFormat="1" ht="12.75" customHeight="1">
      <c r="IV127" s="136"/>
    </row>
    <row r="128" spans="256:256" s="4" customFormat="1" ht="12.75" customHeight="1">
      <c r="IV128" s="136"/>
    </row>
    <row r="129" spans="256:256" s="4" customFormat="1" ht="12.75" customHeight="1">
      <c r="IV129" s="136"/>
    </row>
    <row r="130" spans="256:256" s="4" customFormat="1" ht="12.75" customHeight="1">
      <c r="IV130" s="136"/>
    </row>
    <row r="131" spans="256:256" s="4" customFormat="1" ht="12.75" customHeight="1">
      <c r="IV131" s="136"/>
    </row>
    <row r="132" spans="256:256" s="4" customFormat="1" ht="12.75" customHeight="1">
      <c r="IV132" s="136"/>
    </row>
    <row r="133" spans="256:256" s="4" customFormat="1" ht="12.75" customHeight="1">
      <c r="IV133" s="136"/>
    </row>
    <row r="134" spans="256:256" s="4" customFormat="1" ht="12.75" customHeight="1">
      <c r="IV134" s="136"/>
    </row>
    <row r="135" spans="256:256" s="4" customFormat="1" ht="12.75" customHeight="1">
      <c r="IV135" s="136"/>
    </row>
    <row r="136" spans="256:256" s="4" customFormat="1" ht="12.75" customHeight="1">
      <c r="IV136" s="136"/>
    </row>
    <row r="137" spans="256:256" s="4" customFormat="1" ht="12.75" customHeight="1">
      <c r="IV137" s="136"/>
    </row>
    <row r="138" spans="256:256" s="4" customFormat="1" ht="12.75" customHeight="1">
      <c r="IV138" s="136"/>
    </row>
    <row r="139" spans="256:256" s="4" customFormat="1" ht="12.75" customHeight="1">
      <c r="IV139" s="136"/>
    </row>
    <row r="140" spans="256:256" s="4" customFormat="1" ht="12.75" customHeight="1">
      <c r="IV140" s="136"/>
    </row>
    <row r="141" spans="256:256" s="4" customFormat="1" ht="12.75" customHeight="1">
      <c r="IV141" s="136"/>
    </row>
    <row r="142" spans="256:256" s="4" customFormat="1" ht="12.75" customHeight="1">
      <c r="IV142" s="136"/>
    </row>
    <row r="143" spans="256:256" s="4" customFormat="1" ht="12.75" customHeight="1">
      <c r="IV143" s="136"/>
    </row>
    <row r="144" spans="256:256" s="4" customFormat="1" ht="12.75" customHeight="1">
      <c r="IV144" s="136"/>
    </row>
    <row r="145" spans="256:256" s="4" customFormat="1" ht="12.75" customHeight="1">
      <c r="IV145" s="136"/>
    </row>
    <row r="146" spans="256:256" s="4" customFormat="1" ht="12.75" customHeight="1">
      <c r="IV146" s="136"/>
    </row>
    <row r="147" spans="256:256" s="4" customFormat="1" ht="12.75" customHeight="1">
      <c r="IV147" s="136"/>
    </row>
    <row r="148" spans="256:256" s="4" customFormat="1" ht="12.75" customHeight="1">
      <c r="IV148" s="136"/>
    </row>
    <row r="149" spans="256:256" s="4" customFormat="1" ht="12.75" customHeight="1">
      <c r="IV149" s="136"/>
    </row>
    <row r="150" spans="256:256" s="4" customFormat="1" ht="12.75" customHeight="1">
      <c r="IV150" s="136"/>
    </row>
    <row r="151" spans="256:256" s="4" customFormat="1" ht="12.75" customHeight="1">
      <c r="IV151" s="136"/>
    </row>
    <row r="152" spans="256:256" s="4" customFormat="1" ht="12.75" customHeight="1">
      <c r="IV152" s="136"/>
    </row>
    <row r="153" spans="256:256" s="4" customFormat="1" ht="12.75" customHeight="1">
      <c r="IV153" s="136"/>
    </row>
    <row r="154" spans="256:256" s="4" customFormat="1" ht="12.75" customHeight="1">
      <c r="IV154" s="136"/>
    </row>
    <row r="155" spans="256:256" s="4" customFormat="1" ht="12.75" customHeight="1">
      <c r="IV155" s="136"/>
    </row>
    <row r="156" spans="256:256" s="4" customFormat="1" ht="12.75" customHeight="1">
      <c r="IV156" s="136"/>
    </row>
    <row r="157" spans="256:256" s="4" customFormat="1" ht="12.75" customHeight="1">
      <c r="IV157" s="136"/>
    </row>
    <row r="158" spans="256:256" s="4" customFormat="1" ht="12.75" customHeight="1">
      <c r="IV158" s="136"/>
    </row>
    <row r="159" spans="256:256" s="4" customFormat="1" ht="12.75" customHeight="1">
      <c r="IV159" s="136"/>
    </row>
    <row r="160" spans="256:256" s="4" customFormat="1" ht="12.75" customHeight="1">
      <c r="IV160" s="136"/>
    </row>
    <row r="161" spans="256:256" s="4" customFormat="1" ht="12.75" customHeight="1">
      <c r="IV161" s="136"/>
    </row>
    <row r="162" spans="256:256" s="4" customFormat="1" ht="12.75" customHeight="1">
      <c r="IV162" s="136"/>
    </row>
    <row r="163" spans="256:256" s="4" customFormat="1" ht="12.75" customHeight="1">
      <c r="IV163" s="136"/>
    </row>
    <row r="164" spans="256:256" s="4" customFormat="1" ht="12.75" customHeight="1">
      <c r="IV164" s="136"/>
    </row>
    <row r="165" spans="256:256" s="4" customFormat="1" ht="12.75" customHeight="1">
      <c r="IV165" s="136"/>
    </row>
    <row r="166" spans="256:256" s="4" customFormat="1" ht="12.75" customHeight="1">
      <c r="IV166" s="136"/>
    </row>
    <row r="167" spans="256:256" s="4" customFormat="1" ht="12.75" customHeight="1">
      <c r="IV167" s="136"/>
    </row>
    <row r="168" spans="256:256" s="4" customFormat="1" ht="12.75" customHeight="1">
      <c r="IV168" s="136"/>
    </row>
    <row r="169" spans="256:256" s="4" customFormat="1" ht="12.75" customHeight="1">
      <c r="IV169" s="136"/>
    </row>
    <row r="170" spans="256:256" s="4" customFormat="1" ht="12.75" customHeight="1">
      <c r="IV170" s="136"/>
    </row>
    <row r="171" spans="256:256" s="4" customFormat="1" ht="12.75" customHeight="1">
      <c r="IV171" s="136"/>
    </row>
    <row r="172" spans="256:256" s="4" customFormat="1" ht="12.75" customHeight="1">
      <c r="IV172" s="136"/>
    </row>
    <row r="173" spans="256:256" s="4" customFormat="1" ht="12.75" customHeight="1">
      <c r="IV173" s="136"/>
    </row>
    <row r="174" spans="256:256" s="4" customFormat="1" ht="12.75" customHeight="1">
      <c r="IV174" s="136"/>
    </row>
    <row r="175" spans="256:256" s="4" customFormat="1" ht="12.75" customHeight="1">
      <c r="IV175" s="136"/>
    </row>
    <row r="176" spans="256:256" s="4" customFormat="1" ht="12.75" customHeight="1">
      <c r="IV176" s="136"/>
    </row>
    <row r="177" spans="256:256" s="4" customFormat="1" ht="12.75" customHeight="1">
      <c r="IV177" s="136"/>
    </row>
    <row r="178" spans="256:256" s="4" customFormat="1" ht="12.75" customHeight="1">
      <c r="IV178" s="136"/>
    </row>
    <row r="179" spans="256:256" s="4" customFormat="1" ht="12.75" customHeight="1">
      <c r="IV179" s="136"/>
    </row>
    <row r="180" spans="256:256" s="4" customFormat="1" ht="12.75" customHeight="1">
      <c r="IV180" s="136"/>
    </row>
    <row r="181" spans="256:256" s="4" customFormat="1" ht="12.75" customHeight="1">
      <c r="IV181" s="136"/>
    </row>
    <row r="182" spans="256:256" s="4" customFormat="1" ht="12.75" customHeight="1">
      <c r="IV182" s="136"/>
    </row>
    <row r="183" spans="256:256" s="4" customFormat="1" ht="12.75" customHeight="1">
      <c r="IV183" s="136"/>
    </row>
    <row r="184" spans="256:256" s="4" customFormat="1" ht="12.75" customHeight="1">
      <c r="IV184" s="136"/>
    </row>
    <row r="185" spans="256:256" s="4" customFormat="1" ht="12.75" customHeight="1">
      <c r="IV185" s="136"/>
    </row>
    <row r="186" spans="256:256" s="4" customFormat="1" ht="12.75" customHeight="1">
      <c r="IV186" s="136"/>
    </row>
    <row r="187" spans="256:256" s="4" customFormat="1" ht="12.75" customHeight="1">
      <c r="IV187" s="136"/>
    </row>
    <row r="188" spans="256:256" s="4" customFormat="1" ht="12.75" customHeight="1">
      <c r="IV188" s="136"/>
    </row>
    <row r="189" spans="256:256" s="4" customFormat="1" ht="12.75" customHeight="1">
      <c r="IV189" s="136"/>
    </row>
    <row r="190" spans="256:256" s="4" customFormat="1" ht="12.75" customHeight="1">
      <c r="IV190" s="136"/>
    </row>
    <row r="191" spans="256:256" s="4" customFormat="1" ht="12.75" customHeight="1">
      <c r="IV191" s="136"/>
    </row>
    <row r="192" spans="256:256" s="4" customFormat="1" ht="12.75" customHeight="1">
      <c r="IV192" s="136"/>
    </row>
    <row r="193" spans="256:256" s="4" customFormat="1" ht="12.75" customHeight="1">
      <c r="IV193" s="136"/>
    </row>
    <row r="194" spans="256:256" s="4" customFormat="1" ht="12.75" customHeight="1">
      <c r="IV194" s="136"/>
    </row>
    <row r="195" spans="256:256" s="4" customFormat="1" ht="12.75" customHeight="1">
      <c r="IV195" s="136"/>
    </row>
    <row r="196" spans="256:256" s="4" customFormat="1" ht="12.75" customHeight="1">
      <c r="IV196" s="136"/>
    </row>
    <row r="197" spans="256:256" s="4" customFormat="1" ht="12.75" customHeight="1">
      <c r="IV197" s="136"/>
    </row>
    <row r="198" spans="256:256" s="4" customFormat="1" ht="12.75" customHeight="1">
      <c r="IV198" s="136"/>
    </row>
    <row r="199" spans="256:256" s="4" customFormat="1" ht="12.75" customHeight="1">
      <c r="IV199" s="136"/>
    </row>
    <row r="200" spans="256:256" s="4" customFormat="1" ht="12.75" customHeight="1">
      <c r="IV200" s="136"/>
    </row>
    <row r="201" spans="256:256" s="4" customFormat="1" ht="12.75" customHeight="1">
      <c r="IV201" s="136"/>
    </row>
    <row r="202" spans="256:256" s="4" customFormat="1" ht="12.75" customHeight="1">
      <c r="IV202" s="136"/>
    </row>
    <row r="203" spans="256:256" s="4" customFormat="1" ht="12.75" customHeight="1">
      <c r="IV203" s="136"/>
    </row>
    <row r="204" spans="256:256" s="4" customFormat="1" ht="12.75" customHeight="1">
      <c r="IV204" s="136"/>
    </row>
    <row r="205" spans="256:256" s="4" customFormat="1" ht="12.75" customHeight="1">
      <c r="IV205" s="136"/>
    </row>
    <row r="206" spans="256:256" s="4" customFormat="1" ht="12.75" customHeight="1">
      <c r="IV206" s="136"/>
    </row>
    <row r="207" spans="256:256" s="4" customFormat="1" ht="12.75" customHeight="1">
      <c r="IV207" s="136"/>
    </row>
    <row r="208" spans="256:256" s="4" customFormat="1" ht="12.75" customHeight="1">
      <c r="IV208" s="136"/>
    </row>
    <row r="209" spans="256:256" s="4" customFormat="1" ht="12.75" customHeight="1">
      <c r="IV209" s="136"/>
    </row>
    <row r="210" spans="256:256" s="4" customFormat="1" ht="12.75" customHeight="1">
      <c r="IV210" s="136"/>
    </row>
    <row r="211" spans="256:256" s="4" customFormat="1" ht="12.75" customHeight="1">
      <c r="IV211" s="136"/>
    </row>
    <row r="212" spans="256:256" s="4" customFormat="1" ht="12.75" customHeight="1">
      <c r="IV212" s="136"/>
    </row>
    <row r="213" spans="256:256" s="4" customFormat="1" ht="12.75" customHeight="1">
      <c r="IV213" s="136"/>
    </row>
    <row r="214" spans="256:256" s="4" customFormat="1" ht="12.75" customHeight="1">
      <c r="IV214" s="136"/>
    </row>
    <row r="215" spans="256:256" s="4" customFormat="1" ht="12.75" customHeight="1">
      <c r="IV215" s="136"/>
    </row>
    <row r="216" spans="256:256" s="4" customFormat="1" ht="12.75" customHeight="1">
      <c r="IV216" s="136"/>
    </row>
    <row r="217" spans="256:256" s="4" customFormat="1" ht="12.75" customHeight="1">
      <c r="IV217" s="136"/>
    </row>
    <row r="218" spans="256:256" s="4" customFormat="1" ht="12.75" customHeight="1">
      <c r="IV218" s="136"/>
    </row>
    <row r="219" spans="256:256" s="4" customFormat="1" ht="12.75" customHeight="1">
      <c r="IV219" s="136"/>
    </row>
    <row r="220" spans="256:256" s="4" customFormat="1" ht="12.75" customHeight="1">
      <c r="IV220" s="136"/>
    </row>
    <row r="221" spans="256:256" s="4" customFormat="1" ht="12.75" customHeight="1">
      <c r="IV221" s="136"/>
    </row>
    <row r="222" spans="256:256" s="4" customFormat="1" ht="12.75" customHeight="1">
      <c r="IV222" s="136"/>
    </row>
    <row r="223" spans="256:256" s="4" customFormat="1" ht="12.75" customHeight="1">
      <c r="IV223" s="136"/>
    </row>
    <row r="224" spans="256:256" s="4" customFormat="1" ht="12.75" customHeight="1">
      <c r="IV224" s="136"/>
    </row>
    <row r="225" spans="256:256" s="4" customFormat="1" ht="12.75" customHeight="1">
      <c r="IV225" s="136"/>
    </row>
    <row r="226" spans="256:256" s="4" customFormat="1" ht="12.75" customHeight="1">
      <c r="IV226" s="136"/>
    </row>
    <row r="227" spans="256:256" s="4" customFormat="1" ht="12.75" customHeight="1">
      <c r="IV227" s="136"/>
    </row>
    <row r="228" spans="256:256" s="4" customFormat="1" ht="12.75" customHeight="1">
      <c r="IV228" s="136"/>
    </row>
    <row r="229" spans="256:256" s="4" customFormat="1" ht="12.75" customHeight="1">
      <c r="IV229" s="136"/>
    </row>
    <row r="230" spans="256:256" s="4" customFormat="1" ht="12.75" customHeight="1">
      <c r="IV230" s="136"/>
    </row>
    <row r="231" spans="256:256" s="4" customFormat="1" ht="12.75" customHeight="1">
      <c r="IV231" s="136"/>
    </row>
    <row r="232" spans="256:256" s="4" customFormat="1" ht="12.75" customHeight="1">
      <c r="IV232" s="136"/>
    </row>
    <row r="233" spans="256:256" s="4" customFormat="1" ht="12.75" customHeight="1">
      <c r="IV233" s="136"/>
    </row>
    <row r="234" spans="256:256" s="4" customFormat="1" ht="12.75" customHeight="1">
      <c r="IV234" s="136"/>
    </row>
    <row r="235" spans="256:256" s="4" customFormat="1" ht="12.75" customHeight="1">
      <c r="IV235" s="136"/>
    </row>
    <row r="236" spans="256:256" s="4" customFormat="1" ht="12.75" customHeight="1">
      <c r="IV236" s="136"/>
    </row>
    <row r="237" spans="256:256" s="4" customFormat="1" ht="12.75" customHeight="1">
      <c r="IV237" s="136"/>
    </row>
    <row r="238" spans="256:256" s="4" customFormat="1" ht="12.75" customHeight="1">
      <c r="IV238" s="136"/>
    </row>
    <row r="239" spans="256:256" s="4" customFormat="1" ht="12.75" customHeight="1">
      <c r="IV239" s="136"/>
    </row>
    <row r="240" spans="256:256" s="4" customFormat="1" ht="12.75" customHeight="1">
      <c r="IV240" s="136"/>
    </row>
    <row r="241" spans="256:256" s="4" customFormat="1" ht="12.75" customHeight="1">
      <c r="IV241" s="136"/>
    </row>
    <row r="242" spans="256:256" s="4" customFormat="1" ht="12.75" customHeight="1">
      <c r="IV242" s="136"/>
    </row>
    <row r="243" spans="256:256" s="4" customFormat="1" ht="12.75" customHeight="1">
      <c r="IV243" s="136"/>
    </row>
    <row r="244" spans="256:256" s="4" customFormat="1" ht="12.75" customHeight="1">
      <c r="IV244" s="136"/>
    </row>
    <row r="245" spans="256:256" s="4" customFormat="1" ht="12.75" customHeight="1">
      <c r="IV245" s="136"/>
    </row>
    <row r="246" spans="256:256" s="4" customFormat="1" ht="12.75" customHeight="1">
      <c r="IV246" s="136"/>
    </row>
    <row r="247" spans="256:256" s="4" customFormat="1" ht="12.75" customHeight="1">
      <c r="IV247" s="136"/>
    </row>
    <row r="248" spans="256:256" s="4" customFormat="1" ht="12.75" customHeight="1">
      <c r="IV248" s="136"/>
    </row>
    <row r="249" spans="256:256" s="4" customFormat="1" ht="12.75" customHeight="1">
      <c r="IV249" s="136"/>
    </row>
    <row r="250" spans="256:256" s="4" customFormat="1" ht="12.75" customHeight="1">
      <c r="IV250" s="136"/>
    </row>
    <row r="251" spans="256:256" s="4" customFormat="1" ht="12.75" customHeight="1">
      <c r="IV251" s="136"/>
    </row>
    <row r="252" spans="256:256" s="4" customFormat="1" ht="12.75" customHeight="1">
      <c r="IV252" s="136"/>
    </row>
    <row r="253" spans="256:256" s="4" customFormat="1" ht="12.75" customHeight="1">
      <c r="IV253" s="136"/>
    </row>
    <row r="254" spans="256:256" s="4" customFormat="1" ht="12.75" customHeight="1">
      <c r="IV254" s="136"/>
    </row>
    <row r="255" spans="256:256" s="4" customFormat="1" ht="12.75" customHeight="1">
      <c r="IV255" s="136"/>
    </row>
    <row r="256" spans="256:256" s="4" customFormat="1" ht="12.75" customHeight="1">
      <c r="IV256" s="136"/>
    </row>
    <row r="257" spans="256:256" s="4" customFormat="1" ht="12.75" customHeight="1">
      <c r="IV257" s="136"/>
    </row>
    <row r="258" spans="256:256" s="4" customFormat="1" ht="12.75" customHeight="1">
      <c r="IV258" s="136"/>
    </row>
    <row r="259" spans="256:256" s="4" customFormat="1" ht="12.75" customHeight="1">
      <c r="IV259" s="136"/>
    </row>
    <row r="260" spans="256:256" s="4" customFormat="1" ht="12.75" customHeight="1">
      <c r="IV260" s="136"/>
    </row>
    <row r="261" spans="256:256" s="4" customFormat="1" ht="12.75" customHeight="1">
      <c r="IV261" s="136"/>
    </row>
    <row r="262" spans="256:256" s="4" customFormat="1" ht="12.75" customHeight="1">
      <c r="IV262" s="136"/>
    </row>
    <row r="263" spans="256:256" s="4" customFormat="1" ht="12.75" customHeight="1">
      <c r="IV263" s="136"/>
    </row>
    <row r="264" spans="256:256" s="4" customFormat="1" ht="12.75" customHeight="1">
      <c r="IV264" s="136"/>
    </row>
    <row r="265" spans="256:256" s="4" customFormat="1" ht="12.75" customHeight="1">
      <c r="IV265" s="136"/>
    </row>
    <row r="266" spans="256:256" s="4" customFormat="1" ht="12.75" customHeight="1">
      <c r="IV266" s="136"/>
    </row>
    <row r="267" spans="256:256" s="4" customFormat="1" ht="12.75" customHeight="1">
      <c r="IV267" s="136"/>
    </row>
    <row r="268" spans="256:256" s="4" customFormat="1" ht="12.75" customHeight="1">
      <c r="IV268" s="136"/>
    </row>
    <row r="269" spans="256:256" s="4" customFormat="1" ht="12.75" customHeight="1">
      <c r="IV269" s="136"/>
    </row>
    <row r="270" spans="256:256" s="4" customFormat="1" ht="12.75" customHeight="1">
      <c r="IV270" s="136"/>
    </row>
    <row r="271" spans="256:256" s="4" customFormat="1" ht="12.75" customHeight="1">
      <c r="IV271" s="136"/>
    </row>
    <row r="272" spans="256:256" s="4" customFormat="1" ht="12.75" customHeight="1">
      <c r="IV272" s="136"/>
    </row>
    <row r="273" spans="256:256" s="4" customFormat="1" ht="12.75" customHeight="1">
      <c r="IV273" s="136"/>
    </row>
    <row r="274" spans="256:256" s="4" customFormat="1" ht="12.75" customHeight="1">
      <c r="IV274" s="136"/>
    </row>
    <row r="275" spans="256:256" s="4" customFormat="1" ht="12.75" customHeight="1">
      <c r="IV275" s="136"/>
    </row>
    <row r="276" spans="256:256" s="4" customFormat="1" ht="12.75" customHeight="1">
      <c r="IV276" s="136"/>
    </row>
    <row r="277" spans="256:256" s="4" customFormat="1" ht="12.75" customHeight="1">
      <c r="IV277" s="136"/>
    </row>
    <row r="278" spans="256:256" s="4" customFormat="1" ht="12.75" customHeight="1">
      <c r="IV278" s="136"/>
    </row>
    <row r="279" spans="256:256" s="4" customFormat="1" ht="12.75" customHeight="1">
      <c r="IV279" s="136"/>
    </row>
    <row r="280" spans="256:256" s="4" customFormat="1" ht="12.75" customHeight="1">
      <c r="IV280" s="136"/>
    </row>
    <row r="281" spans="256:256" s="4" customFormat="1" ht="12.75" customHeight="1">
      <c r="IV281" s="136"/>
    </row>
    <row r="282" spans="256:256" s="4" customFormat="1" ht="12.75" customHeight="1">
      <c r="IV282" s="136"/>
    </row>
    <row r="283" spans="256:256" s="4" customFormat="1" ht="12.75" customHeight="1">
      <c r="IV283" s="136"/>
    </row>
    <row r="284" spans="256:256" s="4" customFormat="1" ht="12.75" customHeight="1">
      <c r="IV284" s="136"/>
    </row>
    <row r="285" spans="256:256" s="4" customFormat="1" ht="12.75" customHeight="1">
      <c r="IV285" s="136"/>
    </row>
    <row r="286" spans="256:256" s="4" customFormat="1" ht="12.75" customHeight="1">
      <c r="IV286" s="136"/>
    </row>
    <row r="287" spans="256:256" s="4" customFormat="1" ht="12.75" customHeight="1">
      <c r="IV287" s="136"/>
    </row>
    <row r="288" spans="256:256" s="4" customFormat="1" ht="12.75" customHeight="1">
      <c r="IV288" s="136"/>
    </row>
    <row r="289" spans="256:256" s="4" customFormat="1" ht="12.75" customHeight="1">
      <c r="IV289" s="136"/>
    </row>
    <row r="290" spans="256:256" s="4" customFormat="1" ht="12.75" customHeight="1">
      <c r="IV290" s="136"/>
    </row>
    <row r="291" spans="256:256" s="4" customFormat="1" ht="12.75" customHeight="1">
      <c r="IV291" s="136"/>
    </row>
    <row r="292" spans="256:256" s="4" customFormat="1" ht="12.75" customHeight="1">
      <c r="IV292" s="136"/>
    </row>
    <row r="293" spans="256:256" s="4" customFormat="1" ht="12.75" customHeight="1">
      <c r="IV293" s="136"/>
    </row>
    <row r="294" spans="256:256" s="4" customFormat="1" ht="12.75" customHeight="1">
      <c r="IV294" s="136"/>
    </row>
    <row r="295" spans="256:256" s="4" customFormat="1" ht="12.75" customHeight="1">
      <c r="IV295" s="136"/>
    </row>
    <row r="296" spans="256:256" s="4" customFormat="1" ht="12.75" customHeight="1">
      <c r="IV296" s="136"/>
    </row>
    <row r="297" spans="256:256" s="4" customFormat="1" ht="12.75" customHeight="1">
      <c r="IV297" s="136"/>
    </row>
    <row r="298" spans="256:256" s="4" customFormat="1" ht="12.75" customHeight="1">
      <c r="IV298" s="136"/>
    </row>
    <row r="299" spans="256:256" s="4" customFormat="1" ht="12.75" customHeight="1">
      <c r="IV299" s="136"/>
    </row>
    <row r="300" spans="256:256" s="4" customFormat="1" ht="12.75" customHeight="1">
      <c r="IV300" s="136"/>
    </row>
    <row r="301" spans="256:256" s="4" customFormat="1" ht="12.75" customHeight="1">
      <c r="IV301" s="136"/>
    </row>
    <row r="302" spans="256:256" s="4" customFormat="1" ht="12.75" customHeight="1">
      <c r="IV302" s="136"/>
    </row>
    <row r="303" spans="256:256" s="4" customFormat="1" ht="12.75" customHeight="1">
      <c r="IV303" s="136"/>
    </row>
    <row r="304" spans="256:256" s="4" customFormat="1" ht="12.75" customHeight="1">
      <c r="IV304" s="136"/>
    </row>
    <row r="305" spans="256:256" s="4" customFormat="1" ht="12.75" customHeight="1">
      <c r="IV305" s="136"/>
    </row>
    <row r="306" spans="256:256" s="4" customFormat="1" ht="12.75" customHeight="1">
      <c r="IV306" s="136"/>
    </row>
    <row r="307" spans="256:256" s="4" customFormat="1" ht="12.75" customHeight="1">
      <c r="IV307" s="136"/>
    </row>
    <row r="308" spans="256:256" s="4" customFormat="1" ht="12.75" customHeight="1">
      <c r="IV308" s="136"/>
    </row>
    <row r="309" spans="256:256" s="4" customFormat="1" ht="12.75" customHeight="1">
      <c r="IV309" s="136"/>
    </row>
    <row r="310" spans="256:256" s="4" customFormat="1" ht="12.75" customHeight="1">
      <c r="IV310" s="136"/>
    </row>
    <row r="311" spans="256:256" s="4" customFormat="1" ht="12.75" customHeight="1">
      <c r="IV311" s="136"/>
    </row>
    <row r="312" spans="256:256" s="4" customFormat="1" ht="12.75" customHeight="1">
      <c r="IV312" s="136"/>
    </row>
    <row r="313" spans="256:256" s="4" customFormat="1" ht="12.75" customHeight="1">
      <c r="IV313" s="136"/>
    </row>
    <row r="314" spans="256:256" s="4" customFormat="1" ht="12.75" customHeight="1">
      <c r="IV314" s="136"/>
    </row>
    <row r="315" spans="256:256" s="4" customFormat="1" ht="12.75" customHeight="1">
      <c r="IV315" s="136"/>
    </row>
    <row r="316" spans="256:256" s="4" customFormat="1" ht="12.75" customHeight="1">
      <c r="IV316" s="136"/>
    </row>
    <row r="317" spans="256:256" s="4" customFormat="1" ht="12.75" customHeight="1">
      <c r="IV317" s="136"/>
    </row>
    <row r="318" spans="256:256" s="4" customFormat="1" ht="12.75" customHeight="1">
      <c r="IV318" s="136"/>
    </row>
    <row r="319" spans="256:256" s="4" customFormat="1" ht="12.75" customHeight="1">
      <c r="IV319" s="136"/>
    </row>
    <row r="320" spans="256:256" s="4" customFormat="1" ht="12.75" customHeight="1">
      <c r="IV320" s="136"/>
    </row>
    <row r="321" spans="256:256" s="4" customFormat="1" ht="12.75" customHeight="1">
      <c r="IV321" s="136"/>
    </row>
    <row r="322" spans="256:256" s="4" customFormat="1" ht="12.75" customHeight="1">
      <c r="IV322" s="136"/>
    </row>
    <row r="323" spans="256:256" s="4" customFormat="1" ht="12.75" customHeight="1">
      <c r="IV323" s="136"/>
    </row>
    <row r="324" spans="256:256" s="4" customFormat="1" ht="12.75" customHeight="1">
      <c r="IV324" s="136"/>
    </row>
    <row r="325" spans="256:256" s="4" customFormat="1" ht="12.75" customHeight="1">
      <c r="IV325" s="136"/>
    </row>
    <row r="326" spans="256:256" s="4" customFormat="1" ht="12.75" customHeight="1">
      <c r="IV326" s="136"/>
    </row>
    <row r="327" spans="256:256" s="4" customFormat="1" ht="12.75" customHeight="1">
      <c r="IV327" s="136"/>
    </row>
    <row r="328" spans="256:256" s="4" customFormat="1" ht="12.75" customHeight="1">
      <c r="IV328" s="136"/>
    </row>
    <row r="329" spans="256:256" s="4" customFormat="1" ht="12.75" customHeight="1">
      <c r="IV329" s="136"/>
    </row>
    <row r="330" spans="256:256" s="4" customFormat="1" ht="12.75" customHeight="1">
      <c r="IV330" s="136"/>
    </row>
    <row r="331" spans="256:256" s="4" customFormat="1" ht="12.75" customHeight="1">
      <c r="IV331" s="136"/>
    </row>
    <row r="332" spans="256:256" s="4" customFormat="1" ht="12.75" customHeight="1">
      <c r="IV332" s="136"/>
    </row>
    <row r="333" spans="256:256" s="4" customFormat="1" ht="12.75" customHeight="1">
      <c r="IV333" s="136"/>
    </row>
    <row r="334" spans="256:256" s="4" customFormat="1" ht="12.75" customHeight="1">
      <c r="IV334" s="136"/>
    </row>
    <row r="335" spans="256:256" s="4" customFormat="1" ht="12.75" customHeight="1">
      <c r="IV335" s="136"/>
    </row>
    <row r="336" spans="256:256" s="4" customFormat="1" ht="12.75" customHeight="1">
      <c r="IV336" s="136"/>
    </row>
    <row r="337" spans="256:256" s="4" customFormat="1" ht="12.75" customHeight="1">
      <c r="IV337" s="136"/>
    </row>
    <row r="338" spans="256:256" s="4" customFormat="1" ht="12.75" customHeight="1">
      <c r="IV338" s="136"/>
    </row>
    <row r="339" spans="256:256" s="4" customFormat="1" ht="12.75" customHeight="1">
      <c r="IV339" s="136"/>
    </row>
    <row r="340" spans="256:256" s="4" customFormat="1" ht="12.75" customHeight="1">
      <c r="IV340" s="136"/>
    </row>
    <row r="341" spans="256:256" s="4" customFormat="1" ht="12.75" customHeight="1">
      <c r="IV341" s="136"/>
    </row>
    <row r="342" spans="256:256" s="4" customFormat="1" ht="12.75" customHeight="1">
      <c r="IV342" s="136"/>
    </row>
    <row r="343" spans="256:256" s="4" customFormat="1" ht="12.75" customHeight="1">
      <c r="IV343" s="136"/>
    </row>
    <row r="344" spans="256:256" s="4" customFormat="1" ht="12.75" customHeight="1">
      <c r="IV344" s="136"/>
    </row>
    <row r="345" spans="256:256" s="4" customFormat="1" ht="12.75" customHeight="1">
      <c r="IV345" s="136"/>
    </row>
    <row r="346" spans="256:256" s="4" customFormat="1" ht="12.75" customHeight="1">
      <c r="IV346" s="136"/>
    </row>
    <row r="347" spans="256:256" s="4" customFormat="1" ht="12.75" customHeight="1">
      <c r="IV347" s="136"/>
    </row>
    <row r="348" spans="256:256" s="4" customFormat="1" ht="12.75" customHeight="1">
      <c r="IV348" s="136"/>
    </row>
    <row r="349" spans="256:256" s="4" customFormat="1" ht="12.75" customHeight="1">
      <c r="IV349" s="136"/>
    </row>
    <row r="350" spans="256:256" s="4" customFormat="1" ht="12.75" customHeight="1">
      <c r="IV350" s="136"/>
    </row>
    <row r="351" spans="256:256" s="4" customFormat="1" ht="12.75" customHeight="1">
      <c r="IV351" s="136"/>
    </row>
    <row r="352" spans="256:256" s="4" customFormat="1" ht="12.75" customHeight="1">
      <c r="IV352" s="136"/>
    </row>
    <row r="353" spans="256:256" s="4" customFormat="1" ht="12.75" customHeight="1">
      <c r="IV353" s="136"/>
    </row>
    <row r="354" spans="256:256" s="4" customFormat="1" ht="12.75" customHeight="1">
      <c r="IV354" s="136"/>
    </row>
    <row r="355" spans="256:256" s="4" customFormat="1" ht="12.75" customHeight="1">
      <c r="IV355" s="136"/>
    </row>
    <row r="356" spans="256:256" s="4" customFormat="1" ht="12.75" customHeight="1">
      <c r="IV356" s="136"/>
    </row>
    <row r="357" spans="256:256" s="4" customFormat="1" ht="12.75" customHeight="1">
      <c r="IV357" s="136"/>
    </row>
    <row r="358" spans="256:256" s="4" customFormat="1" ht="12.75" customHeight="1">
      <c r="IV358" s="136"/>
    </row>
    <row r="359" spans="256:256" s="4" customFormat="1" ht="12.75" customHeight="1">
      <c r="IV359" s="136"/>
    </row>
    <row r="360" spans="256:256" s="4" customFormat="1" ht="12.75" customHeight="1">
      <c r="IV360" s="136"/>
    </row>
    <row r="361" spans="256:256" s="4" customFormat="1" ht="12.75" customHeight="1">
      <c r="IV361" s="136"/>
    </row>
    <row r="362" spans="256:256" s="4" customFormat="1" ht="12.75" customHeight="1">
      <c r="IV362" s="136"/>
    </row>
    <row r="363" spans="256:256" s="4" customFormat="1" ht="12.75" customHeight="1">
      <c r="IV363" s="136"/>
    </row>
    <row r="364" spans="256:256" s="4" customFormat="1" ht="12.75" customHeight="1">
      <c r="IV364" s="136"/>
    </row>
    <row r="365" spans="256:256" s="4" customFormat="1" ht="12.75" customHeight="1">
      <c r="IV365" s="136"/>
    </row>
    <row r="366" spans="256:256" s="4" customFormat="1" ht="12.75" customHeight="1">
      <c r="IV366" s="136"/>
    </row>
    <row r="367" spans="256:256" s="4" customFormat="1" ht="12.75" customHeight="1">
      <c r="IV367" s="136"/>
    </row>
    <row r="368" spans="256:256" s="4" customFormat="1" ht="12.75" customHeight="1">
      <c r="IV368" s="136"/>
    </row>
    <row r="369" spans="256:256" s="4" customFormat="1" ht="12.75" customHeight="1">
      <c r="IV369" s="136"/>
    </row>
    <row r="370" spans="256:256" s="4" customFormat="1" ht="12.75" customHeight="1">
      <c r="IV370" s="136"/>
    </row>
    <row r="371" spans="256:256" s="4" customFormat="1" ht="12.75" customHeight="1">
      <c r="IV371" s="136"/>
    </row>
    <row r="372" spans="256:256" s="4" customFormat="1" ht="12.75" customHeight="1">
      <c r="IV372" s="136"/>
    </row>
    <row r="373" spans="256:256" s="4" customFormat="1" ht="12.75" customHeight="1">
      <c r="IV373" s="136"/>
    </row>
    <row r="374" spans="256:256" s="4" customFormat="1" ht="12.75" customHeight="1">
      <c r="IV374" s="136"/>
    </row>
    <row r="375" spans="256:256" s="4" customFormat="1" ht="12.75" customHeight="1">
      <c r="IV375" s="136"/>
    </row>
    <row r="376" spans="256:256" s="4" customFormat="1" ht="12.75" customHeight="1">
      <c r="IV376" s="136"/>
    </row>
    <row r="377" spans="256:256" s="4" customFormat="1" ht="12.75" customHeight="1">
      <c r="IV377" s="136"/>
    </row>
    <row r="378" spans="256:256" s="4" customFormat="1" ht="12.75" customHeight="1">
      <c r="IV378" s="136"/>
    </row>
    <row r="379" spans="256:256" s="4" customFormat="1" ht="12.75" customHeight="1">
      <c r="IV379" s="136"/>
    </row>
    <row r="380" spans="256:256" s="4" customFormat="1" ht="12.75" customHeight="1">
      <c r="IV380" s="136"/>
    </row>
    <row r="381" spans="256:256" s="4" customFormat="1" ht="12.75" customHeight="1">
      <c r="IV381" s="136"/>
    </row>
    <row r="382" spans="256:256" s="4" customFormat="1" ht="12.75" customHeight="1">
      <c r="IV382" s="136"/>
    </row>
    <row r="383" spans="256:256" s="4" customFormat="1" ht="12.75" customHeight="1">
      <c r="IV383" s="136"/>
    </row>
    <row r="384" spans="256:256" s="4" customFormat="1" ht="12.75" customHeight="1">
      <c r="IV384" s="136"/>
    </row>
    <row r="385" spans="256:256" s="4" customFormat="1" ht="12.75" customHeight="1">
      <c r="IV385" s="136"/>
    </row>
    <row r="386" spans="256:256" s="4" customFormat="1" ht="12.75" customHeight="1">
      <c r="IV386" s="136"/>
    </row>
    <row r="387" spans="256:256" s="4" customFormat="1" ht="12.75" customHeight="1">
      <c r="IV387" s="136"/>
    </row>
    <row r="388" spans="256:256" s="4" customFormat="1" ht="12.75" customHeight="1">
      <c r="IV388" s="136"/>
    </row>
    <row r="389" spans="256:256" s="4" customFormat="1" ht="12.75" customHeight="1">
      <c r="IV389" s="136"/>
    </row>
    <row r="390" spans="256:256" s="4" customFormat="1" ht="12.75" customHeight="1">
      <c r="IV390" s="136"/>
    </row>
    <row r="391" spans="256:256" s="4" customFormat="1" ht="12.75" customHeight="1">
      <c r="IV391" s="136"/>
    </row>
    <row r="392" spans="256:256" s="4" customFormat="1" ht="12.75" customHeight="1">
      <c r="IV392" s="136"/>
    </row>
    <row r="393" spans="256:256" s="4" customFormat="1" ht="12.75" customHeight="1">
      <c r="IV393" s="136"/>
    </row>
    <row r="394" spans="256:256" s="4" customFormat="1" ht="12.75" customHeight="1">
      <c r="IV394" s="136"/>
    </row>
    <row r="395" spans="256:256" s="4" customFormat="1" ht="12.75" customHeight="1">
      <c r="IV395" s="136"/>
    </row>
    <row r="396" spans="256:256" s="4" customFormat="1" ht="12.75" customHeight="1">
      <c r="IV396" s="136"/>
    </row>
    <row r="397" spans="256:256" s="4" customFormat="1" ht="12.75" customHeight="1">
      <c r="IV397" s="136"/>
    </row>
    <row r="398" spans="256:256" s="4" customFormat="1" ht="12.75" customHeight="1">
      <c r="IV398" s="136"/>
    </row>
    <row r="399" spans="256:256" s="4" customFormat="1" ht="12.75" customHeight="1">
      <c r="IV399" s="136"/>
    </row>
    <row r="400" spans="256:256" s="4" customFormat="1" ht="12.75" customHeight="1">
      <c r="IV400" s="136"/>
    </row>
    <row r="401" spans="256:256" s="4" customFormat="1" ht="12.75" customHeight="1">
      <c r="IV401" s="136"/>
    </row>
    <row r="402" spans="256:256" s="4" customFormat="1" ht="12.75" customHeight="1">
      <c r="IV402" s="136"/>
    </row>
    <row r="403" spans="256:256" s="4" customFormat="1" ht="12.75" customHeight="1">
      <c r="IV403" s="136"/>
    </row>
    <row r="404" spans="256:256" s="4" customFormat="1" ht="12.75" customHeight="1">
      <c r="IV404" s="136"/>
    </row>
    <row r="405" spans="256:256" s="4" customFormat="1" ht="12.75" customHeight="1">
      <c r="IV405" s="136"/>
    </row>
    <row r="406" spans="256:256" s="4" customFormat="1" ht="12.75" customHeight="1">
      <c r="IV406" s="136"/>
    </row>
    <row r="407" spans="256:256" s="4" customFormat="1" ht="12.75" customHeight="1">
      <c r="IV407" s="136"/>
    </row>
    <row r="408" spans="256:256" s="4" customFormat="1" ht="12.75" customHeight="1">
      <c r="IV408" s="136"/>
    </row>
    <row r="409" spans="256:256" s="4" customFormat="1" ht="12.75" customHeight="1">
      <c r="IV409" s="136"/>
    </row>
    <row r="410" spans="256:256" s="4" customFormat="1" ht="12.75" customHeight="1">
      <c r="IV410" s="136"/>
    </row>
    <row r="411" spans="256:256" s="4" customFormat="1" ht="12.75" customHeight="1">
      <c r="IV411" s="136"/>
    </row>
    <row r="412" spans="256:256" s="4" customFormat="1" ht="12.75" customHeight="1">
      <c r="IV412" s="136"/>
    </row>
    <row r="413" spans="256:256" s="4" customFormat="1" ht="12.75" customHeight="1">
      <c r="IV413" s="136"/>
    </row>
    <row r="414" spans="256:256" s="4" customFormat="1" ht="12.75" customHeight="1">
      <c r="IV414" s="136"/>
    </row>
    <row r="415" spans="256:256" s="4" customFormat="1" ht="12.75" customHeight="1">
      <c r="IV415" s="136"/>
    </row>
    <row r="416" spans="256:256" s="4" customFormat="1" ht="12.75" customHeight="1">
      <c r="IV416" s="136"/>
    </row>
    <row r="417" spans="256:256" s="4" customFormat="1" ht="12.75" customHeight="1">
      <c r="IV417" s="136"/>
    </row>
    <row r="418" spans="256:256" s="4" customFormat="1" ht="12.75" customHeight="1">
      <c r="IV418" s="136"/>
    </row>
    <row r="419" spans="256:256" s="4" customFormat="1" ht="12.75" customHeight="1">
      <c r="IV419" s="136"/>
    </row>
    <row r="420" spans="256:256" s="4" customFormat="1" ht="12.75" customHeight="1">
      <c r="IV420" s="136"/>
    </row>
    <row r="421" spans="256:256" s="4" customFormat="1" ht="12.75" customHeight="1">
      <c r="IV421" s="136"/>
    </row>
    <row r="422" spans="256:256" s="4" customFormat="1" ht="12.75" customHeight="1">
      <c r="IV422" s="136"/>
    </row>
    <row r="423" spans="256:256" s="4" customFormat="1" ht="12.75" customHeight="1">
      <c r="IV423" s="136"/>
    </row>
    <row r="424" spans="256:256" s="4" customFormat="1" ht="12.75" customHeight="1">
      <c r="IV424" s="136"/>
    </row>
    <row r="425" spans="256:256" s="4" customFormat="1" ht="12.75" customHeight="1">
      <c r="IV425" s="136"/>
    </row>
    <row r="426" spans="256:256" s="4" customFormat="1" ht="12.75" customHeight="1">
      <c r="IV426" s="136"/>
    </row>
    <row r="427" spans="256:256" s="4" customFormat="1" ht="12.75" customHeight="1">
      <c r="IV427" s="136"/>
    </row>
    <row r="428" spans="256:256" s="4" customFormat="1" ht="12.75" customHeight="1">
      <c r="IV428" s="136"/>
    </row>
    <row r="429" spans="256:256" s="4" customFormat="1" ht="12.75" customHeight="1">
      <c r="IV429" s="136"/>
    </row>
    <row r="430" spans="256:256" s="4" customFormat="1" ht="12.75" customHeight="1">
      <c r="IV430" s="136"/>
    </row>
    <row r="431" spans="256:256" s="4" customFormat="1" ht="12.75" customHeight="1">
      <c r="IV431" s="136"/>
    </row>
    <row r="432" spans="256:256" s="4" customFormat="1" ht="12.75" customHeight="1">
      <c r="IV432" s="136"/>
    </row>
    <row r="433" spans="256:256" s="4" customFormat="1" ht="12.75" customHeight="1">
      <c r="IV433" s="136"/>
    </row>
    <row r="434" spans="256:256" s="4" customFormat="1" ht="12.75" customHeight="1">
      <c r="IV434" s="136"/>
    </row>
    <row r="435" spans="256:256" s="4" customFormat="1" ht="12.75" customHeight="1">
      <c r="IV435" s="136"/>
    </row>
    <row r="436" spans="256:256" s="4" customFormat="1" ht="12.75" customHeight="1">
      <c r="IV436" s="136"/>
    </row>
    <row r="437" spans="256:256" s="4" customFormat="1" ht="12.75" customHeight="1">
      <c r="IV437" s="136"/>
    </row>
    <row r="438" spans="256:256" s="4" customFormat="1" ht="12.75" customHeight="1">
      <c r="IV438" s="136"/>
    </row>
    <row r="439" spans="256:256" s="4" customFormat="1" ht="12.75" customHeight="1">
      <c r="IV439" s="136"/>
    </row>
    <row r="440" spans="256:256" s="4" customFormat="1" ht="12.75" customHeight="1">
      <c r="IV440" s="136"/>
    </row>
    <row r="441" spans="256:256" s="4" customFormat="1" ht="12.75" customHeight="1">
      <c r="IV441" s="136"/>
    </row>
    <row r="442" spans="256:256" s="4" customFormat="1" ht="12.75" customHeight="1">
      <c r="IV442" s="136"/>
    </row>
    <row r="443" spans="256:256" s="4" customFormat="1" ht="12.75" customHeight="1">
      <c r="IV443" s="136"/>
    </row>
    <row r="444" spans="256:256" s="4" customFormat="1" ht="12.75" customHeight="1">
      <c r="IV444" s="136"/>
    </row>
    <row r="445" spans="256:256" s="4" customFormat="1" ht="12.75" customHeight="1">
      <c r="IV445" s="136"/>
    </row>
    <row r="446" spans="256:256" s="4" customFormat="1" ht="12.75" customHeight="1">
      <c r="IV446" s="136"/>
    </row>
    <row r="447" spans="256:256" s="4" customFormat="1" ht="12.75" customHeight="1">
      <c r="IV447" s="136"/>
    </row>
    <row r="448" spans="256:256" s="4" customFormat="1" ht="12.75" customHeight="1">
      <c r="IV448" s="136"/>
    </row>
    <row r="449" spans="256:256" s="4" customFormat="1" ht="12.75" customHeight="1">
      <c r="IV449" s="136"/>
    </row>
    <row r="450" spans="256:256" s="4" customFormat="1" ht="12.75" customHeight="1">
      <c r="IV450" s="136"/>
    </row>
    <row r="451" spans="256:256" s="4" customFormat="1" ht="12.75" customHeight="1">
      <c r="IV451" s="136"/>
    </row>
    <row r="452" spans="256:256" s="4" customFormat="1" ht="12.75" customHeight="1">
      <c r="IV452" s="136"/>
    </row>
    <row r="453" spans="256:256" s="4" customFormat="1" ht="12.75" customHeight="1">
      <c r="IV453" s="136"/>
    </row>
    <row r="454" spans="256:256" s="4" customFormat="1" ht="12.75" customHeight="1">
      <c r="IV454" s="136"/>
    </row>
    <row r="455" spans="256:256" s="4" customFormat="1" ht="12.75" customHeight="1">
      <c r="IV455" s="136"/>
    </row>
    <row r="456" spans="256:256" s="4" customFormat="1" ht="12.75" customHeight="1">
      <c r="IV456" s="136"/>
    </row>
    <row r="457" spans="256:256" s="4" customFormat="1" ht="12.75" customHeight="1">
      <c r="IV457" s="136"/>
    </row>
    <row r="458" spans="256:256" s="4" customFormat="1" ht="12.75" customHeight="1">
      <c r="IV458" s="136"/>
    </row>
    <row r="459" spans="256:256" s="4" customFormat="1" ht="12.75" customHeight="1">
      <c r="IV459" s="136"/>
    </row>
    <row r="460" spans="256:256" s="4" customFormat="1" ht="12.75" customHeight="1">
      <c r="IV460" s="136"/>
    </row>
    <row r="461" spans="256:256" s="4" customFormat="1" ht="12.75" customHeight="1">
      <c r="IV461" s="136"/>
    </row>
    <row r="462" spans="256:256" s="4" customFormat="1" ht="12.75" customHeight="1">
      <c r="IV462" s="136"/>
    </row>
    <row r="463" spans="256:256" s="4" customFormat="1" ht="12.75" customHeight="1">
      <c r="IV463" s="136"/>
    </row>
    <row r="464" spans="256:256" s="4" customFormat="1" ht="12.75" customHeight="1">
      <c r="IV464" s="136"/>
    </row>
    <row r="465" spans="256:256" s="4" customFormat="1" ht="12.75" customHeight="1">
      <c r="IV465" s="136"/>
    </row>
    <row r="466" spans="256:256" s="4" customFormat="1" ht="12.75" customHeight="1">
      <c r="IV466" s="136"/>
    </row>
    <row r="467" spans="256:256" s="4" customFormat="1" ht="12.75" customHeight="1">
      <c r="IV467" s="136"/>
    </row>
    <row r="468" spans="256:256" s="4" customFormat="1" ht="12.75" customHeight="1">
      <c r="IV468" s="136"/>
    </row>
    <row r="469" spans="256:256" s="4" customFormat="1" ht="12.75" customHeight="1">
      <c r="IV469" s="136"/>
    </row>
    <row r="470" spans="256:256" s="4" customFormat="1" ht="12.75" customHeight="1">
      <c r="IV470" s="136"/>
    </row>
    <row r="471" spans="256:256" s="4" customFormat="1" ht="12.75" customHeight="1">
      <c r="IV471" s="136"/>
    </row>
    <row r="472" spans="256:256" s="4" customFormat="1" ht="12.75" customHeight="1">
      <c r="IV472" s="136"/>
    </row>
    <row r="473" spans="256:256" s="4" customFormat="1" ht="12.75" customHeight="1">
      <c r="IV473" s="136"/>
    </row>
    <row r="474" spans="256:256" s="4" customFormat="1" ht="12.75" customHeight="1">
      <c r="IV474" s="136"/>
    </row>
    <row r="475" spans="256:256" s="4" customFormat="1" ht="12.75" customHeight="1">
      <c r="IV475" s="136"/>
    </row>
    <row r="476" spans="256:256" s="4" customFormat="1" ht="12.75" customHeight="1">
      <c r="IV476" s="136"/>
    </row>
    <row r="477" spans="256:256" s="4" customFormat="1" ht="12.75" customHeight="1">
      <c r="IV477" s="136"/>
    </row>
    <row r="478" spans="256:256" s="4" customFormat="1" ht="12.75" customHeight="1">
      <c r="IV478" s="136"/>
    </row>
    <row r="479" spans="256:256" s="4" customFormat="1" ht="12.75" customHeight="1">
      <c r="IV479" s="136"/>
    </row>
    <row r="480" spans="256:256" s="4" customFormat="1" ht="12.75" customHeight="1">
      <c r="IV480" s="136"/>
    </row>
    <row r="481" spans="256:256" s="4" customFormat="1" ht="12.75" customHeight="1">
      <c r="IV481" s="136"/>
    </row>
    <row r="482" spans="256:256" s="4" customFormat="1" ht="12.75" customHeight="1">
      <c r="IV482" s="136"/>
    </row>
  </sheetData>
  <sheetProtection password="90EA" sheet="1" objects="1" scenarios="1" formatCells="0" autoFilter="0"/>
  <phoneticPr fontId="3" type="noConversion"/>
  <conditionalFormatting sqref="C27:Z30">
    <cfRule type="cellIs" dxfId="70" priority="12" stopIfTrue="1" operator="lessThan">
      <formula>1.33</formula>
    </cfRule>
    <cfRule type="cellIs" dxfId="69" priority="13" stopIfTrue="1" operator="greaterThanOrEqual">
      <formula>1.33</formula>
    </cfRule>
  </conditionalFormatting>
  <conditionalFormatting sqref="C14:Z14">
    <cfRule type="cellIs" dxfId="68" priority="14" stopIfTrue="1" operator="equal">
      <formula>"Single Side"</formula>
    </cfRule>
  </conditionalFormatting>
  <conditionalFormatting sqref="C32:Z32">
    <cfRule type="cellIs" dxfId="67" priority="15" stopIfTrue="1" operator="greaterThanOrEqual">
      <formula>0.995</formula>
    </cfRule>
    <cfRule type="cellIs" dxfId="66" priority="16" stopIfTrue="1" operator="between">
      <formula>0.9</formula>
      <formula>0.995</formula>
    </cfRule>
    <cfRule type="cellIs" dxfId="65" priority="17" stopIfTrue="1" operator="lessThan">
      <formula>0.9</formula>
    </cfRule>
  </conditionalFormatting>
  <conditionalFormatting sqref="C25:Z26 C35:Z66">
    <cfRule type="cellIs" dxfId="64" priority="24" stopIfTrue="1" operator="between">
      <formula>C$21</formula>
      <formula>C$22</formula>
    </cfRule>
    <cfRule type="cellIs" dxfId="63" priority="25" stopIfTrue="1" operator="greaterThan">
      <formula>C$21</formula>
    </cfRule>
    <cfRule type="cellIs" dxfId="62" priority="26" stopIfTrue="1" operator="lessThan">
      <formula>C$22</formula>
    </cfRule>
  </conditionalFormatting>
  <conditionalFormatting sqref="C35:P66">
    <cfRule type="cellIs" dxfId="61" priority="6" stopIfTrue="1" operator="between">
      <formula>C$21</formula>
      <formula>C$22</formula>
    </cfRule>
    <cfRule type="cellIs" dxfId="60" priority="7" stopIfTrue="1" operator="greaterThan">
      <formula>C$21</formula>
    </cfRule>
    <cfRule type="cellIs" dxfId="59" priority="8" stopIfTrue="1" operator="lessThan">
      <formula>C$22</formula>
    </cfRule>
  </conditionalFormatting>
  <conditionalFormatting sqref="Q35:R66">
    <cfRule type="cellIs" dxfId="58" priority="1" stopIfTrue="1" operator="between">
      <formula>Q$21</formula>
      <formula>Q$22</formula>
    </cfRule>
    <cfRule type="cellIs" dxfId="57" priority="2" stopIfTrue="1" operator="greaterThan">
      <formula>Q$21</formula>
    </cfRule>
    <cfRule type="cellIs" dxfId="56" priority="3" stopIfTrue="1" operator="lessThan">
      <formula>Q$22</formula>
    </cfRule>
  </conditionalFormatting>
  <dataValidations count="3">
    <dataValidation type="custom" allowBlank="1" showInputMessage="1" showErrorMessage="1" error="-Dim No. already exists! You can input the Dim No. with different suffix. _x000a_-同样的尺寸编码已经存在，你可以在尺寸编码后加上不同后缀。 " sqref="C15:IV15" xr:uid="{00000000-0002-0000-0200-000000000000}">
      <formula1>COUNTIF($C$15:$IV$15,C15)=1</formula1>
    </dataValidation>
    <dataValidation type="list" allowBlank="1" showErrorMessage="1" prompt="Select &quot;Double Sides&quot; or &quot;Single Side&quot; from drop down list" sqref="C14" xr:uid="{00000000-0002-0000-0200-000002000000}">
      <formula1>"DoubleSides,SingleSide-USL,SingleSide-LSL,Actual Yield (n&gt;=100),Go/NoGo Gauge (n&gt;=100)"</formula1>
    </dataValidation>
    <dataValidation type="list" allowBlank="1" showInputMessage="1" showErrorMessage="1" sqref="D14:IV14" xr:uid="{00000000-0002-0000-0200-000003000000}">
      <formula1>"DoubleSides,SingleSide-USL,SingleSide-LSL,Actual Yield (n&gt;=100),Go/NoGo Gauge (n&gt;=100)"</formula1>
    </dataValidation>
  </dataValidations>
  <printOptions horizontalCentered="1" verticalCentered="1"/>
  <pageMargins left="0.5" right="0.5" top="0.5" bottom="0.5" header="0.5" footer="0.5"/>
  <pageSetup paperSize="9" scale="40" orientation="landscape" horizontalDpi="4294967292" verticalDpi="4294967292"/>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rgb="FF00B050"/>
  </sheetPr>
  <dimension ref="A1:IV482"/>
  <sheetViews>
    <sheetView showGridLines="0" topLeftCell="A4" zoomScale="85" zoomScaleNormal="100" workbookViewId="0">
      <pane xSplit="2" topLeftCell="C1" activePane="topRight" state="frozen"/>
      <selection activeCell="R32" activeCellId="3" sqref="C23:R24 C27:R27 C30:R30 C32:R33"/>
      <selection pane="topRight" activeCell="C34" sqref="C34"/>
    </sheetView>
  </sheetViews>
  <sheetFormatPr defaultColWidth="10.875" defaultRowHeight="12.75" customHeight="1"/>
  <cols>
    <col min="1" max="1" width="3.625" style="135" customWidth="1"/>
    <col min="2" max="2" width="14" style="135" customWidth="1"/>
    <col min="3" max="16384" width="10.875" style="135"/>
  </cols>
  <sheetData>
    <row r="1" spans="1:256" ht="24.75">
      <c r="B1" s="148" t="s">
        <v>27</v>
      </c>
      <c r="C1" s="4"/>
      <c r="D1" s="4"/>
      <c r="E1" s="4"/>
      <c r="F1" s="4"/>
      <c r="G1" s="4"/>
      <c r="H1" s="4"/>
      <c r="I1" s="4"/>
      <c r="J1" s="4"/>
      <c r="K1" s="4"/>
      <c r="L1" s="4"/>
      <c r="M1" s="4"/>
      <c r="O1" s="5"/>
      <c r="P1" s="4" t="s">
        <v>132</v>
      </c>
      <c r="S1"/>
      <c r="T1"/>
      <c r="IV1" s="130"/>
    </row>
    <row r="2" spans="1:256">
      <c r="B2" s="137" t="s">
        <v>63</v>
      </c>
      <c r="C2" s="138" t="e">
        <f>#REF!</f>
        <v>#REF!</v>
      </c>
      <c r="D2" s="139"/>
      <c r="E2" s="140" t="s">
        <v>130</v>
      </c>
      <c r="F2" s="138" t="e">
        <f>#REF!</f>
        <v>#REF!</v>
      </c>
      <c r="G2" s="139"/>
      <c r="H2" s="140" t="s">
        <v>0</v>
      </c>
      <c r="I2" s="138" t="e">
        <f>#REF!</f>
        <v>#REF!</v>
      </c>
      <c r="J2" s="139"/>
      <c r="K2" s="140" t="s">
        <v>15</v>
      </c>
      <c r="L2" s="141" t="e">
        <f>#REF!</f>
        <v>#REF!</v>
      </c>
      <c r="M2" s="139"/>
      <c r="N2"/>
      <c r="O2" s="6"/>
      <c r="P2" s="4" t="s">
        <v>107</v>
      </c>
      <c r="S2"/>
      <c r="T2"/>
      <c r="IV2" s="130"/>
    </row>
    <row r="3" spans="1:256">
      <c r="B3" s="137" t="s">
        <v>105</v>
      </c>
      <c r="C3" s="138" t="e">
        <f>#REF!</f>
        <v>#REF!</v>
      </c>
      <c r="D3" s="139"/>
      <c r="E3" s="140" t="s">
        <v>14</v>
      </c>
      <c r="F3" s="142"/>
      <c r="G3" s="139"/>
      <c r="H3" s="140" t="s">
        <v>134</v>
      </c>
      <c r="I3" s="142">
        <v>2</v>
      </c>
      <c r="J3" s="139"/>
      <c r="K3" s="140" t="s">
        <v>13</v>
      </c>
      <c r="L3" s="143" t="e">
        <f>#REF!</f>
        <v>#REF!</v>
      </c>
      <c r="M3" s="139"/>
      <c r="N3"/>
      <c r="O3" s="7"/>
      <c r="P3" s="4" t="s">
        <v>112</v>
      </c>
      <c r="S3"/>
      <c r="T3"/>
      <c r="IV3" s="130"/>
    </row>
    <row r="4" spans="1:256">
      <c r="B4" s="52"/>
      <c r="M4"/>
      <c r="N4"/>
      <c r="S4"/>
      <c r="T4"/>
      <c r="IV4" s="130"/>
    </row>
    <row r="5" spans="1:256" s="60" customFormat="1" ht="24.75" customHeight="1">
      <c r="A5" s="1"/>
      <c r="B5" s="51" t="s">
        <v>64</v>
      </c>
      <c r="C5" s="106" t="s">
        <v>156</v>
      </c>
      <c r="D5" s="106" t="s">
        <v>135</v>
      </c>
      <c r="E5" s="106" t="s">
        <v>135</v>
      </c>
      <c r="F5" s="106" t="s">
        <v>156</v>
      </c>
      <c r="G5" s="106" t="s">
        <v>156</v>
      </c>
      <c r="H5" s="106" t="s">
        <v>156</v>
      </c>
      <c r="I5" s="106" t="s">
        <v>156</v>
      </c>
      <c r="J5" s="106" t="s">
        <v>156</v>
      </c>
      <c r="K5" s="106" t="s">
        <v>156</v>
      </c>
      <c r="L5" s="106" t="s">
        <v>156</v>
      </c>
      <c r="M5" s="106" t="s">
        <v>156</v>
      </c>
      <c r="N5" s="106" t="s">
        <v>156</v>
      </c>
      <c r="O5" s="106" t="s">
        <v>156</v>
      </c>
      <c r="P5" s="106" t="s">
        <v>156</v>
      </c>
      <c r="Q5" s="106" t="s">
        <v>156</v>
      </c>
      <c r="R5" s="106" t="s">
        <v>156</v>
      </c>
      <c r="S5" s="106"/>
      <c r="T5" s="106"/>
      <c r="U5" s="106"/>
      <c r="V5" s="106"/>
      <c r="W5" s="106"/>
      <c r="X5" s="106"/>
      <c r="Y5" s="106"/>
      <c r="Z5" s="106"/>
      <c r="IV5" s="130"/>
    </row>
    <row r="6" spans="1:256" s="59" customFormat="1" ht="51" customHeight="1">
      <c r="A6" s="1"/>
      <c r="B6" s="47" t="s">
        <v>65</v>
      </c>
      <c r="C6" s="107"/>
      <c r="D6" s="107"/>
      <c r="E6" s="107"/>
      <c r="F6" s="107"/>
      <c r="G6" s="107"/>
      <c r="H6" s="107"/>
      <c r="I6" s="107"/>
      <c r="J6" s="107"/>
      <c r="K6" s="107"/>
      <c r="L6" s="107"/>
      <c r="M6" s="107"/>
      <c r="N6" s="107"/>
      <c r="O6" s="107"/>
      <c r="P6" s="107"/>
      <c r="Q6" s="107"/>
      <c r="R6" s="107"/>
      <c r="S6" s="107"/>
      <c r="T6" s="107"/>
      <c r="U6" s="107"/>
      <c r="V6" s="107"/>
      <c r="W6" s="107"/>
      <c r="X6" s="107"/>
      <c r="Y6" s="107"/>
      <c r="Z6" s="107"/>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131"/>
    </row>
    <row r="7" spans="1:256" ht="12" customHeight="1">
      <c r="B7" s="50" t="s">
        <v>66</v>
      </c>
      <c r="C7" s="108"/>
      <c r="D7" s="108"/>
      <c r="E7" s="108"/>
      <c r="F7" s="108"/>
      <c r="G7" s="108"/>
      <c r="H7" s="108"/>
      <c r="I7" s="108"/>
      <c r="J7" s="108"/>
      <c r="K7" s="108"/>
      <c r="L7" s="108"/>
      <c r="M7" s="108"/>
      <c r="N7" s="108"/>
      <c r="O7" s="108"/>
      <c r="P7" s="108"/>
      <c r="Q7" s="108"/>
      <c r="R7" s="108"/>
      <c r="S7" s="108"/>
      <c r="T7" s="108"/>
      <c r="U7" s="108"/>
      <c r="V7" s="108"/>
      <c r="W7" s="108"/>
      <c r="X7" s="108"/>
      <c r="Y7" s="108"/>
      <c r="Z7" s="108"/>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c r="HP7" s="65"/>
      <c r="HQ7" s="65"/>
      <c r="HR7" s="65"/>
      <c r="HS7" s="65"/>
      <c r="HT7" s="65"/>
      <c r="HU7" s="65"/>
      <c r="HV7" s="65"/>
      <c r="HW7" s="65"/>
      <c r="HX7" s="65"/>
      <c r="HY7" s="65"/>
      <c r="HZ7" s="65"/>
      <c r="IA7" s="65"/>
      <c r="IB7" s="65"/>
      <c r="IC7" s="65"/>
      <c r="ID7" s="65"/>
      <c r="IE7" s="65"/>
      <c r="IF7" s="65"/>
      <c r="IG7" s="65"/>
      <c r="IH7" s="65"/>
      <c r="II7" s="65"/>
      <c r="IJ7" s="65"/>
      <c r="IK7" s="65"/>
      <c r="IL7" s="65"/>
      <c r="IM7" s="65"/>
      <c r="IN7" s="65"/>
      <c r="IO7" s="65"/>
      <c r="IP7" s="65"/>
      <c r="IQ7" s="65"/>
      <c r="IR7" s="65"/>
      <c r="IS7" s="65"/>
      <c r="IT7" s="65"/>
      <c r="IU7" s="65"/>
      <c r="IV7" s="132"/>
    </row>
    <row r="8" spans="1:256" ht="12.75" customHeight="1">
      <c r="B8" s="50" t="s">
        <v>67</v>
      </c>
      <c r="C8" s="108"/>
      <c r="D8" s="108"/>
      <c r="E8" s="108"/>
      <c r="F8" s="108"/>
      <c r="G8" s="108"/>
      <c r="H8" s="108"/>
      <c r="I8" s="108"/>
      <c r="J8" s="108"/>
      <c r="K8" s="108"/>
      <c r="L8" s="108"/>
      <c r="M8" s="108"/>
      <c r="N8" s="108"/>
      <c r="O8" s="108"/>
      <c r="P8" s="108"/>
      <c r="Q8" s="108"/>
      <c r="R8" s="108"/>
      <c r="S8" s="108"/>
      <c r="T8" s="108"/>
      <c r="U8" s="108"/>
      <c r="V8" s="108"/>
      <c r="W8" s="108"/>
      <c r="X8" s="108"/>
      <c r="Y8" s="108"/>
      <c r="Z8" s="108"/>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c r="HP8" s="65"/>
      <c r="HQ8" s="65"/>
      <c r="HR8" s="65"/>
      <c r="HS8" s="65"/>
      <c r="HT8" s="65"/>
      <c r="HU8" s="65"/>
      <c r="HV8" s="65"/>
      <c r="HW8" s="65"/>
      <c r="HX8" s="65"/>
      <c r="HY8" s="65"/>
      <c r="HZ8" s="65"/>
      <c r="IA8" s="65"/>
      <c r="IB8" s="65"/>
      <c r="IC8" s="65"/>
      <c r="ID8" s="65"/>
      <c r="IE8" s="65"/>
      <c r="IF8" s="65"/>
      <c r="IG8" s="65"/>
      <c r="IH8" s="65"/>
      <c r="II8" s="65"/>
      <c r="IJ8" s="65"/>
      <c r="IK8" s="65"/>
      <c r="IL8" s="65"/>
      <c r="IM8" s="65"/>
      <c r="IN8" s="65"/>
      <c r="IO8" s="65"/>
      <c r="IP8" s="65"/>
      <c r="IQ8" s="65"/>
      <c r="IR8" s="65"/>
      <c r="IS8" s="65"/>
      <c r="IT8" s="65"/>
      <c r="IU8" s="65"/>
      <c r="IV8" s="132"/>
    </row>
    <row r="9" spans="1:256" ht="12.75" customHeight="1">
      <c r="B9" s="50" t="s">
        <v>77</v>
      </c>
      <c r="C9" s="108"/>
      <c r="D9" s="108"/>
      <c r="E9" s="108"/>
      <c r="F9" s="108"/>
      <c r="G9" s="108"/>
      <c r="H9" s="108"/>
      <c r="I9" s="108"/>
      <c r="J9" s="108"/>
      <c r="K9" s="108"/>
      <c r="L9" s="108"/>
      <c r="M9" s="108"/>
      <c r="N9" s="108"/>
      <c r="O9" s="108"/>
      <c r="P9" s="108"/>
      <c r="Q9" s="108"/>
      <c r="R9" s="108"/>
      <c r="S9" s="108"/>
      <c r="T9" s="108"/>
      <c r="U9" s="108"/>
      <c r="V9" s="108"/>
      <c r="W9" s="108"/>
      <c r="X9" s="108"/>
      <c r="Y9" s="108"/>
      <c r="Z9" s="108"/>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c r="HP9" s="65"/>
      <c r="HQ9" s="65"/>
      <c r="HR9" s="65"/>
      <c r="HS9" s="65"/>
      <c r="HT9" s="65"/>
      <c r="HU9" s="65"/>
      <c r="HV9" s="65"/>
      <c r="HW9" s="65"/>
      <c r="HX9" s="65"/>
      <c r="HY9" s="65"/>
      <c r="HZ9" s="65"/>
      <c r="IA9" s="65"/>
      <c r="IB9" s="65"/>
      <c r="IC9" s="65"/>
      <c r="ID9" s="65"/>
      <c r="IE9" s="65"/>
      <c r="IF9" s="65"/>
      <c r="IG9" s="65"/>
      <c r="IH9" s="65"/>
      <c r="II9" s="65"/>
      <c r="IJ9" s="65"/>
      <c r="IK9" s="65"/>
      <c r="IL9" s="65"/>
      <c r="IM9" s="65"/>
      <c r="IN9" s="65"/>
      <c r="IO9" s="65"/>
      <c r="IP9" s="65"/>
      <c r="IQ9" s="65"/>
      <c r="IR9" s="65"/>
      <c r="IS9" s="65"/>
      <c r="IT9" s="65"/>
      <c r="IU9" s="65"/>
      <c r="IV9" s="132"/>
    </row>
    <row r="10" spans="1:256" s="61" customFormat="1" ht="12.75" hidden="1" customHeight="1">
      <c r="A10" s="1"/>
      <c r="B10" s="50" t="s">
        <v>68</v>
      </c>
      <c r="C10" s="109" t="str">
        <f t="shared" ref="C10:BN10" si="0">IF(AND(C7="",C8="",C9=""),"",IF(C9="",C24,(C24+C9)))</f>
        <v/>
      </c>
      <c r="D10" s="109" t="str">
        <f t="shared" si="0"/>
        <v/>
      </c>
      <c r="E10" s="109" t="str">
        <f t="shared" si="0"/>
        <v/>
      </c>
      <c r="F10" s="109" t="str">
        <f t="shared" si="0"/>
        <v/>
      </c>
      <c r="G10" s="109" t="str">
        <f t="shared" si="0"/>
        <v/>
      </c>
      <c r="H10" s="109" t="str">
        <f t="shared" si="0"/>
        <v/>
      </c>
      <c r="I10" s="109" t="str">
        <f t="shared" si="0"/>
        <v/>
      </c>
      <c r="J10" s="109" t="str">
        <f t="shared" si="0"/>
        <v/>
      </c>
      <c r="K10" s="109" t="str">
        <f t="shared" si="0"/>
        <v/>
      </c>
      <c r="L10" s="109" t="str">
        <f t="shared" si="0"/>
        <v/>
      </c>
      <c r="M10" s="109" t="str">
        <f t="shared" si="0"/>
        <v/>
      </c>
      <c r="N10" s="109" t="str">
        <f t="shared" si="0"/>
        <v/>
      </c>
      <c r="O10" s="109" t="str">
        <f t="shared" si="0"/>
        <v/>
      </c>
      <c r="P10" s="109" t="str">
        <f t="shared" si="0"/>
        <v/>
      </c>
      <c r="Q10" s="109" t="str">
        <f t="shared" si="0"/>
        <v/>
      </c>
      <c r="R10" s="109" t="str">
        <f t="shared" si="0"/>
        <v/>
      </c>
      <c r="S10" s="109" t="str">
        <f t="shared" si="0"/>
        <v/>
      </c>
      <c r="T10" s="109" t="str">
        <f t="shared" si="0"/>
        <v/>
      </c>
      <c r="U10" s="109" t="str">
        <f t="shared" si="0"/>
        <v/>
      </c>
      <c r="V10" s="109" t="str">
        <f t="shared" si="0"/>
        <v/>
      </c>
      <c r="W10" s="109" t="str">
        <f t="shared" si="0"/>
        <v/>
      </c>
      <c r="X10" s="109" t="str">
        <f t="shared" si="0"/>
        <v/>
      </c>
      <c r="Y10" s="109" t="str">
        <f t="shared" si="0"/>
        <v/>
      </c>
      <c r="Z10" s="109" t="str">
        <f t="shared" si="0"/>
        <v/>
      </c>
      <c r="AA10" s="66" t="str">
        <f t="shared" si="0"/>
        <v/>
      </c>
      <c r="AB10" s="66" t="str">
        <f t="shared" si="0"/>
        <v/>
      </c>
      <c r="AC10" s="66" t="str">
        <f t="shared" si="0"/>
        <v/>
      </c>
      <c r="AD10" s="66" t="str">
        <f t="shared" si="0"/>
        <v/>
      </c>
      <c r="AE10" s="66" t="str">
        <f t="shared" si="0"/>
        <v/>
      </c>
      <c r="AF10" s="66" t="str">
        <f t="shared" si="0"/>
        <v/>
      </c>
      <c r="AG10" s="66" t="str">
        <f t="shared" si="0"/>
        <v/>
      </c>
      <c r="AH10" s="66" t="str">
        <f t="shared" si="0"/>
        <v/>
      </c>
      <c r="AI10" s="66" t="str">
        <f t="shared" si="0"/>
        <v/>
      </c>
      <c r="AJ10" s="66" t="str">
        <f t="shared" si="0"/>
        <v/>
      </c>
      <c r="AK10" s="66" t="str">
        <f t="shared" si="0"/>
        <v/>
      </c>
      <c r="AL10" s="66" t="str">
        <f t="shared" si="0"/>
        <v/>
      </c>
      <c r="AM10" s="66" t="str">
        <f t="shared" si="0"/>
        <v/>
      </c>
      <c r="AN10" s="66" t="str">
        <f t="shared" si="0"/>
        <v/>
      </c>
      <c r="AO10" s="66" t="str">
        <f t="shared" si="0"/>
        <v/>
      </c>
      <c r="AP10" s="66" t="str">
        <f t="shared" si="0"/>
        <v/>
      </c>
      <c r="AQ10" s="66" t="str">
        <f t="shared" si="0"/>
        <v/>
      </c>
      <c r="AR10" s="66" t="str">
        <f t="shared" si="0"/>
        <v/>
      </c>
      <c r="AS10" s="66" t="str">
        <f t="shared" si="0"/>
        <v/>
      </c>
      <c r="AT10" s="66" t="str">
        <f t="shared" si="0"/>
        <v/>
      </c>
      <c r="AU10" s="66" t="str">
        <f t="shared" si="0"/>
        <v/>
      </c>
      <c r="AV10" s="66" t="str">
        <f t="shared" si="0"/>
        <v/>
      </c>
      <c r="AW10" s="66" t="str">
        <f t="shared" si="0"/>
        <v/>
      </c>
      <c r="AX10" s="66" t="str">
        <f t="shared" si="0"/>
        <v/>
      </c>
      <c r="AY10" s="66" t="str">
        <f t="shared" si="0"/>
        <v/>
      </c>
      <c r="AZ10" s="66" t="str">
        <f t="shared" si="0"/>
        <v/>
      </c>
      <c r="BA10" s="66" t="str">
        <f t="shared" si="0"/>
        <v/>
      </c>
      <c r="BB10" s="66" t="str">
        <f t="shared" si="0"/>
        <v/>
      </c>
      <c r="BC10" s="66" t="str">
        <f t="shared" si="0"/>
        <v/>
      </c>
      <c r="BD10" s="66" t="str">
        <f t="shared" si="0"/>
        <v/>
      </c>
      <c r="BE10" s="66" t="str">
        <f t="shared" si="0"/>
        <v/>
      </c>
      <c r="BF10" s="66" t="str">
        <f t="shared" si="0"/>
        <v/>
      </c>
      <c r="BG10" s="66" t="str">
        <f t="shared" si="0"/>
        <v/>
      </c>
      <c r="BH10" s="66" t="str">
        <f t="shared" si="0"/>
        <v/>
      </c>
      <c r="BI10" s="66" t="str">
        <f t="shared" si="0"/>
        <v/>
      </c>
      <c r="BJ10" s="66" t="str">
        <f t="shared" si="0"/>
        <v/>
      </c>
      <c r="BK10" s="66" t="str">
        <f t="shared" si="0"/>
        <v/>
      </c>
      <c r="BL10" s="66" t="str">
        <f t="shared" si="0"/>
        <v/>
      </c>
      <c r="BM10" s="66" t="str">
        <f t="shared" si="0"/>
        <v/>
      </c>
      <c r="BN10" s="66" t="str">
        <f t="shared" si="0"/>
        <v/>
      </c>
      <c r="BO10" s="66" t="str">
        <f t="shared" ref="BO10:DZ10" si="1">IF(AND(BO7="",BO8="",BO9=""),"",IF(BO9="",BO24,(BO24+BO9)))</f>
        <v/>
      </c>
      <c r="BP10" s="66" t="str">
        <f t="shared" si="1"/>
        <v/>
      </c>
      <c r="BQ10" s="66" t="str">
        <f t="shared" si="1"/>
        <v/>
      </c>
      <c r="BR10" s="66" t="str">
        <f t="shared" si="1"/>
        <v/>
      </c>
      <c r="BS10" s="66" t="str">
        <f t="shared" si="1"/>
        <v/>
      </c>
      <c r="BT10" s="66" t="str">
        <f t="shared" si="1"/>
        <v/>
      </c>
      <c r="BU10" s="66" t="str">
        <f t="shared" si="1"/>
        <v/>
      </c>
      <c r="BV10" s="66" t="str">
        <f t="shared" si="1"/>
        <v/>
      </c>
      <c r="BW10" s="66" t="str">
        <f t="shared" si="1"/>
        <v/>
      </c>
      <c r="BX10" s="66" t="str">
        <f t="shared" si="1"/>
        <v/>
      </c>
      <c r="BY10" s="66" t="str">
        <f t="shared" si="1"/>
        <v/>
      </c>
      <c r="BZ10" s="66" t="str">
        <f t="shared" si="1"/>
        <v/>
      </c>
      <c r="CA10" s="66" t="str">
        <f t="shared" si="1"/>
        <v/>
      </c>
      <c r="CB10" s="66" t="str">
        <f t="shared" si="1"/>
        <v/>
      </c>
      <c r="CC10" s="66" t="str">
        <f t="shared" si="1"/>
        <v/>
      </c>
      <c r="CD10" s="66" t="str">
        <f t="shared" si="1"/>
        <v/>
      </c>
      <c r="CE10" s="66" t="str">
        <f t="shared" si="1"/>
        <v/>
      </c>
      <c r="CF10" s="66" t="str">
        <f t="shared" si="1"/>
        <v/>
      </c>
      <c r="CG10" s="66" t="str">
        <f t="shared" si="1"/>
        <v/>
      </c>
      <c r="CH10" s="66" t="str">
        <f t="shared" si="1"/>
        <v/>
      </c>
      <c r="CI10" s="66" t="str">
        <f t="shared" si="1"/>
        <v/>
      </c>
      <c r="CJ10" s="66" t="str">
        <f t="shared" si="1"/>
        <v/>
      </c>
      <c r="CK10" s="66" t="str">
        <f t="shared" si="1"/>
        <v/>
      </c>
      <c r="CL10" s="66" t="str">
        <f t="shared" si="1"/>
        <v/>
      </c>
      <c r="CM10" s="66" t="str">
        <f t="shared" si="1"/>
        <v/>
      </c>
      <c r="CN10" s="66" t="str">
        <f t="shared" si="1"/>
        <v/>
      </c>
      <c r="CO10" s="66" t="str">
        <f t="shared" si="1"/>
        <v/>
      </c>
      <c r="CP10" s="66" t="str">
        <f t="shared" si="1"/>
        <v/>
      </c>
      <c r="CQ10" s="66" t="str">
        <f t="shared" si="1"/>
        <v/>
      </c>
      <c r="CR10" s="66" t="str">
        <f t="shared" si="1"/>
        <v/>
      </c>
      <c r="CS10" s="66" t="str">
        <f t="shared" si="1"/>
        <v/>
      </c>
      <c r="CT10" s="66" t="str">
        <f t="shared" si="1"/>
        <v/>
      </c>
      <c r="CU10" s="66" t="str">
        <f t="shared" si="1"/>
        <v/>
      </c>
      <c r="CV10" s="66" t="str">
        <f t="shared" si="1"/>
        <v/>
      </c>
      <c r="CW10" s="66" t="str">
        <f t="shared" si="1"/>
        <v/>
      </c>
      <c r="CX10" s="66" t="str">
        <f t="shared" si="1"/>
        <v/>
      </c>
      <c r="CY10" s="66" t="str">
        <f t="shared" si="1"/>
        <v/>
      </c>
      <c r="CZ10" s="66" t="str">
        <f t="shared" si="1"/>
        <v/>
      </c>
      <c r="DA10" s="66" t="str">
        <f t="shared" si="1"/>
        <v/>
      </c>
      <c r="DB10" s="66" t="str">
        <f t="shared" si="1"/>
        <v/>
      </c>
      <c r="DC10" s="66" t="str">
        <f t="shared" si="1"/>
        <v/>
      </c>
      <c r="DD10" s="66" t="str">
        <f t="shared" si="1"/>
        <v/>
      </c>
      <c r="DE10" s="66" t="str">
        <f t="shared" si="1"/>
        <v/>
      </c>
      <c r="DF10" s="66" t="str">
        <f t="shared" si="1"/>
        <v/>
      </c>
      <c r="DG10" s="66" t="str">
        <f t="shared" si="1"/>
        <v/>
      </c>
      <c r="DH10" s="66" t="str">
        <f t="shared" si="1"/>
        <v/>
      </c>
      <c r="DI10" s="66" t="str">
        <f t="shared" si="1"/>
        <v/>
      </c>
      <c r="DJ10" s="66" t="str">
        <f t="shared" si="1"/>
        <v/>
      </c>
      <c r="DK10" s="66" t="str">
        <f t="shared" si="1"/>
        <v/>
      </c>
      <c r="DL10" s="66" t="str">
        <f t="shared" si="1"/>
        <v/>
      </c>
      <c r="DM10" s="66" t="str">
        <f t="shared" si="1"/>
        <v/>
      </c>
      <c r="DN10" s="66" t="str">
        <f t="shared" si="1"/>
        <v/>
      </c>
      <c r="DO10" s="66" t="str">
        <f t="shared" si="1"/>
        <v/>
      </c>
      <c r="DP10" s="66" t="str">
        <f t="shared" si="1"/>
        <v/>
      </c>
      <c r="DQ10" s="66" t="str">
        <f t="shared" si="1"/>
        <v/>
      </c>
      <c r="DR10" s="66" t="str">
        <f t="shared" si="1"/>
        <v/>
      </c>
      <c r="DS10" s="66" t="str">
        <f t="shared" si="1"/>
        <v/>
      </c>
      <c r="DT10" s="66" t="str">
        <f t="shared" si="1"/>
        <v/>
      </c>
      <c r="DU10" s="66" t="str">
        <f t="shared" si="1"/>
        <v/>
      </c>
      <c r="DV10" s="66" t="str">
        <f t="shared" si="1"/>
        <v/>
      </c>
      <c r="DW10" s="66" t="str">
        <f t="shared" si="1"/>
        <v/>
      </c>
      <c r="DX10" s="66" t="str">
        <f t="shared" si="1"/>
        <v/>
      </c>
      <c r="DY10" s="66" t="str">
        <f t="shared" si="1"/>
        <v/>
      </c>
      <c r="DZ10" s="66" t="str">
        <f t="shared" si="1"/>
        <v/>
      </c>
      <c r="EA10" s="66" t="str">
        <f t="shared" ref="EA10:GL10" si="2">IF(AND(EA7="",EA8="",EA9=""),"",IF(EA9="",EA24,(EA24+EA9)))</f>
        <v/>
      </c>
      <c r="EB10" s="66" t="str">
        <f t="shared" si="2"/>
        <v/>
      </c>
      <c r="EC10" s="66" t="str">
        <f t="shared" si="2"/>
        <v/>
      </c>
      <c r="ED10" s="66" t="str">
        <f t="shared" si="2"/>
        <v/>
      </c>
      <c r="EE10" s="66" t="str">
        <f t="shared" si="2"/>
        <v/>
      </c>
      <c r="EF10" s="66" t="str">
        <f t="shared" si="2"/>
        <v/>
      </c>
      <c r="EG10" s="66" t="str">
        <f t="shared" si="2"/>
        <v/>
      </c>
      <c r="EH10" s="66" t="str">
        <f t="shared" si="2"/>
        <v/>
      </c>
      <c r="EI10" s="66" t="str">
        <f t="shared" si="2"/>
        <v/>
      </c>
      <c r="EJ10" s="66" t="str">
        <f t="shared" si="2"/>
        <v/>
      </c>
      <c r="EK10" s="66" t="str">
        <f t="shared" si="2"/>
        <v/>
      </c>
      <c r="EL10" s="66" t="str">
        <f t="shared" si="2"/>
        <v/>
      </c>
      <c r="EM10" s="66" t="str">
        <f t="shared" si="2"/>
        <v/>
      </c>
      <c r="EN10" s="66" t="str">
        <f t="shared" si="2"/>
        <v/>
      </c>
      <c r="EO10" s="66" t="str">
        <f t="shared" si="2"/>
        <v/>
      </c>
      <c r="EP10" s="66" t="str">
        <f t="shared" si="2"/>
        <v/>
      </c>
      <c r="EQ10" s="66" t="str">
        <f t="shared" si="2"/>
        <v/>
      </c>
      <c r="ER10" s="66" t="str">
        <f t="shared" si="2"/>
        <v/>
      </c>
      <c r="ES10" s="66" t="str">
        <f t="shared" si="2"/>
        <v/>
      </c>
      <c r="ET10" s="66" t="str">
        <f t="shared" si="2"/>
        <v/>
      </c>
      <c r="EU10" s="66" t="str">
        <f t="shared" si="2"/>
        <v/>
      </c>
      <c r="EV10" s="66" t="str">
        <f t="shared" si="2"/>
        <v/>
      </c>
      <c r="EW10" s="66" t="str">
        <f t="shared" si="2"/>
        <v/>
      </c>
      <c r="EX10" s="66" t="str">
        <f t="shared" si="2"/>
        <v/>
      </c>
      <c r="EY10" s="66" t="str">
        <f t="shared" si="2"/>
        <v/>
      </c>
      <c r="EZ10" s="66" t="str">
        <f t="shared" si="2"/>
        <v/>
      </c>
      <c r="FA10" s="66" t="str">
        <f t="shared" si="2"/>
        <v/>
      </c>
      <c r="FB10" s="66" t="str">
        <f t="shared" si="2"/>
        <v/>
      </c>
      <c r="FC10" s="66" t="str">
        <f t="shared" si="2"/>
        <v/>
      </c>
      <c r="FD10" s="66" t="str">
        <f t="shared" si="2"/>
        <v/>
      </c>
      <c r="FE10" s="66" t="str">
        <f t="shared" si="2"/>
        <v/>
      </c>
      <c r="FF10" s="66" t="str">
        <f t="shared" si="2"/>
        <v/>
      </c>
      <c r="FG10" s="66" t="str">
        <f t="shared" si="2"/>
        <v/>
      </c>
      <c r="FH10" s="66" t="str">
        <f t="shared" si="2"/>
        <v/>
      </c>
      <c r="FI10" s="66" t="str">
        <f t="shared" si="2"/>
        <v/>
      </c>
      <c r="FJ10" s="66" t="str">
        <f t="shared" si="2"/>
        <v/>
      </c>
      <c r="FK10" s="66" t="str">
        <f t="shared" si="2"/>
        <v/>
      </c>
      <c r="FL10" s="66" t="str">
        <f t="shared" si="2"/>
        <v/>
      </c>
      <c r="FM10" s="66" t="str">
        <f t="shared" si="2"/>
        <v/>
      </c>
      <c r="FN10" s="66" t="str">
        <f t="shared" si="2"/>
        <v/>
      </c>
      <c r="FO10" s="66" t="str">
        <f t="shared" si="2"/>
        <v/>
      </c>
      <c r="FP10" s="66" t="str">
        <f t="shared" si="2"/>
        <v/>
      </c>
      <c r="FQ10" s="66" t="str">
        <f t="shared" si="2"/>
        <v/>
      </c>
      <c r="FR10" s="66" t="str">
        <f t="shared" si="2"/>
        <v/>
      </c>
      <c r="FS10" s="66" t="str">
        <f t="shared" si="2"/>
        <v/>
      </c>
      <c r="FT10" s="66" t="str">
        <f t="shared" si="2"/>
        <v/>
      </c>
      <c r="FU10" s="66" t="str">
        <f t="shared" si="2"/>
        <v/>
      </c>
      <c r="FV10" s="66" t="str">
        <f t="shared" si="2"/>
        <v/>
      </c>
      <c r="FW10" s="66" t="str">
        <f t="shared" si="2"/>
        <v/>
      </c>
      <c r="FX10" s="66" t="str">
        <f t="shared" si="2"/>
        <v/>
      </c>
      <c r="FY10" s="66" t="str">
        <f t="shared" si="2"/>
        <v/>
      </c>
      <c r="FZ10" s="66" t="str">
        <f t="shared" si="2"/>
        <v/>
      </c>
      <c r="GA10" s="66" t="str">
        <f t="shared" si="2"/>
        <v/>
      </c>
      <c r="GB10" s="66" t="str">
        <f t="shared" si="2"/>
        <v/>
      </c>
      <c r="GC10" s="66" t="str">
        <f t="shared" si="2"/>
        <v/>
      </c>
      <c r="GD10" s="66" t="str">
        <f t="shared" si="2"/>
        <v/>
      </c>
      <c r="GE10" s="66" t="str">
        <f t="shared" si="2"/>
        <v/>
      </c>
      <c r="GF10" s="66" t="str">
        <f t="shared" si="2"/>
        <v/>
      </c>
      <c r="GG10" s="66" t="str">
        <f t="shared" si="2"/>
        <v/>
      </c>
      <c r="GH10" s="66" t="str">
        <f t="shared" si="2"/>
        <v/>
      </c>
      <c r="GI10" s="66" t="str">
        <f t="shared" si="2"/>
        <v/>
      </c>
      <c r="GJ10" s="66" t="str">
        <f t="shared" si="2"/>
        <v/>
      </c>
      <c r="GK10" s="66" t="str">
        <f t="shared" si="2"/>
        <v/>
      </c>
      <c r="GL10" s="66" t="str">
        <f t="shared" si="2"/>
        <v/>
      </c>
      <c r="GM10" s="66" t="str">
        <f t="shared" ref="GM10:IV10" si="3">IF(AND(GM7="",GM8="",GM9=""),"",IF(GM9="",GM24,(GM24+GM9)))</f>
        <v/>
      </c>
      <c r="GN10" s="66" t="str">
        <f t="shared" si="3"/>
        <v/>
      </c>
      <c r="GO10" s="66" t="str">
        <f t="shared" si="3"/>
        <v/>
      </c>
      <c r="GP10" s="66" t="str">
        <f t="shared" si="3"/>
        <v/>
      </c>
      <c r="GQ10" s="66" t="str">
        <f t="shared" si="3"/>
        <v/>
      </c>
      <c r="GR10" s="66" t="str">
        <f t="shared" si="3"/>
        <v/>
      </c>
      <c r="GS10" s="66" t="str">
        <f t="shared" si="3"/>
        <v/>
      </c>
      <c r="GT10" s="66" t="str">
        <f t="shared" si="3"/>
        <v/>
      </c>
      <c r="GU10" s="66" t="str">
        <f t="shared" si="3"/>
        <v/>
      </c>
      <c r="GV10" s="66" t="str">
        <f t="shared" si="3"/>
        <v/>
      </c>
      <c r="GW10" s="66" t="str">
        <f t="shared" si="3"/>
        <v/>
      </c>
      <c r="GX10" s="66" t="str">
        <f t="shared" si="3"/>
        <v/>
      </c>
      <c r="GY10" s="66" t="str">
        <f t="shared" si="3"/>
        <v/>
      </c>
      <c r="GZ10" s="66" t="str">
        <f t="shared" si="3"/>
        <v/>
      </c>
      <c r="HA10" s="66" t="str">
        <f t="shared" si="3"/>
        <v/>
      </c>
      <c r="HB10" s="66" t="str">
        <f t="shared" si="3"/>
        <v/>
      </c>
      <c r="HC10" s="66" t="str">
        <f t="shared" si="3"/>
        <v/>
      </c>
      <c r="HD10" s="66" t="str">
        <f t="shared" si="3"/>
        <v/>
      </c>
      <c r="HE10" s="66" t="str">
        <f t="shared" si="3"/>
        <v/>
      </c>
      <c r="HF10" s="66" t="str">
        <f t="shared" si="3"/>
        <v/>
      </c>
      <c r="HG10" s="66" t="str">
        <f t="shared" si="3"/>
        <v/>
      </c>
      <c r="HH10" s="66" t="str">
        <f t="shared" si="3"/>
        <v/>
      </c>
      <c r="HI10" s="66" t="str">
        <f t="shared" si="3"/>
        <v/>
      </c>
      <c r="HJ10" s="66" t="str">
        <f t="shared" si="3"/>
        <v/>
      </c>
      <c r="HK10" s="66" t="str">
        <f t="shared" si="3"/>
        <v/>
      </c>
      <c r="HL10" s="66" t="str">
        <f t="shared" si="3"/>
        <v/>
      </c>
      <c r="HM10" s="66" t="str">
        <f t="shared" si="3"/>
        <v/>
      </c>
      <c r="HN10" s="66" t="str">
        <f t="shared" si="3"/>
        <v/>
      </c>
      <c r="HO10" s="66" t="str">
        <f t="shared" si="3"/>
        <v/>
      </c>
      <c r="HP10" s="66" t="str">
        <f t="shared" si="3"/>
        <v/>
      </c>
      <c r="HQ10" s="66" t="str">
        <f t="shared" si="3"/>
        <v/>
      </c>
      <c r="HR10" s="66" t="str">
        <f t="shared" si="3"/>
        <v/>
      </c>
      <c r="HS10" s="66" t="str">
        <f t="shared" si="3"/>
        <v/>
      </c>
      <c r="HT10" s="66" t="str">
        <f t="shared" si="3"/>
        <v/>
      </c>
      <c r="HU10" s="66" t="str">
        <f t="shared" si="3"/>
        <v/>
      </c>
      <c r="HV10" s="66" t="str">
        <f t="shared" si="3"/>
        <v/>
      </c>
      <c r="HW10" s="66" t="str">
        <f t="shared" si="3"/>
        <v/>
      </c>
      <c r="HX10" s="66" t="str">
        <f t="shared" si="3"/>
        <v/>
      </c>
      <c r="HY10" s="66" t="str">
        <f t="shared" si="3"/>
        <v/>
      </c>
      <c r="HZ10" s="66" t="str">
        <f t="shared" si="3"/>
        <v/>
      </c>
      <c r="IA10" s="66" t="str">
        <f t="shared" si="3"/>
        <v/>
      </c>
      <c r="IB10" s="66" t="str">
        <f t="shared" si="3"/>
        <v/>
      </c>
      <c r="IC10" s="66" t="str">
        <f t="shared" si="3"/>
        <v/>
      </c>
      <c r="ID10" s="66" t="str">
        <f t="shared" si="3"/>
        <v/>
      </c>
      <c r="IE10" s="66" t="str">
        <f t="shared" si="3"/>
        <v/>
      </c>
      <c r="IF10" s="66" t="str">
        <f t="shared" si="3"/>
        <v/>
      </c>
      <c r="IG10" s="66" t="str">
        <f t="shared" si="3"/>
        <v/>
      </c>
      <c r="IH10" s="66" t="str">
        <f t="shared" si="3"/>
        <v/>
      </c>
      <c r="II10" s="66" t="str">
        <f t="shared" si="3"/>
        <v/>
      </c>
      <c r="IJ10" s="66" t="str">
        <f t="shared" si="3"/>
        <v/>
      </c>
      <c r="IK10" s="66" t="str">
        <f t="shared" si="3"/>
        <v/>
      </c>
      <c r="IL10" s="66" t="str">
        <f t="shared" si="3"/>
        <v/>
      </c>
      <c r="IM10" s="66" t="str">
        <f t="shared" si="3"/>
        <v/>
      </c>
      <c r="IN10" s="66" t="str">
        <f t="shared" si="3"/>
        <v/>
      </c>
      <c r="IO10" s="66" t="str">
        <f t="shared" si="3"/>
        <v/>
      </c>
      <c r="IP10" s="66" t="str">
        <f t="shared" si="3"/>
        <v/>
      </c>
      <c r="IQ10" s="66" t="str">
        <f t="shared" si="3"/>
        <v/>
      </c>
      <c r="IR10" s="66" t="str">
        <f t="shared" si="3"/>
        <v/>
      </c>
      <c r="IS10" s="66" t="str">
        <f t="shared" si="3"/>
        <v/>
      </c>
      <c r="IT10" s="66" t="str">
        <f t="shared" si="3"/>
        <v/>
      </c>
      <c r="IU10" s="66" t="str">
        <f t="shared" si="3"/>
        <v/>
      </c>
      <c r="IV10" s="133" t="str">
        <f t="shared" si="3"/>
        <v/>
      </c>
    </row>
    <row r="11" spans="1:256" s="61" customFormat="1" ht="12.75" hidden="1" customHeight="1">
      <c r="A11" s="1"/>
      <c r="B11" s="50" t="s">
        <v>69</v>
      </c>
      <c r="C11" s="110" t="str">
        <f t="shared" ref="C11:BN11" si="4">IF(AND(C7="",C8="",C9=""),"",IF(C7="",C21,(C16+ABS(C7))))</f>
        <v/>
      </c>
      <c r="D11" s="110" t="str">
        <f t="shared" si="4"/>
        <v/>
      </c>
      <c r="E11" s="110" t="str">
        <f t="shared" si="4"/>
        <v/>
      </c>
      <c r="F11" s="110" t="str">
        <f t="shared" si="4"/>
        <v/>
      </c>
      <c r="G11" s="110" t="str">
        <f t="shared" si="4"/>
        <v/>
      </c>
      <c r="H11" s="110" t="str">
        <f t="shared" si="4"/>
        <v/>
      </c>
      <c r="I11" s="110" t="str">
        <f t="shared" si="4"/>
        <v/>
      </c>
      <c r="J11" s="110" t="str">
        <f t="shared" si="4"/>
        <v/>
      </c>
      <c r="K11" s="110" t="str">
        <f t="shared" si="4"/>
        <v/>
      </c>
      <c r="L11" s="110" t="str">
        <f t="shared" si="4"/>
        <v/>
      </c>
      <c r="M11" s="110" t="str">
        <f t="shared" si="4"/>
        <v/>
      </c>
      <c r="N11" s="110" t="str">
        <f t="shared" si="4"/>
        <v/>
      </c>
      <c r="O11" s="110" t="str">
        <f t="shared" si="4"/>
        <v/>
      </c>
      <c r="P11" s="110" t="str">
        <f t="shared" si="4"/>
        <v/>
      </c>
      <c r="Q11" s="110" t="str">
        <f t="shared" si="4"/>
        <v/>
      </c>
      <c r="R11" s="110" t="str">
        <f t="shared" si="4"/>
        <v/>
      </c>
      <c r="S11" s="110" t="str">
        <f t="shared" si="4"/>
        <v/>
      </c>
      <c r="T11" s="110" t="str">
        <f t="shared" si="4"/>
        <v/>
      </c>
      <c r="U11" s="110" t="str">
        <f t="shared" si="4"/>
        <v/>
      </c>
      <c r="V11" s="110" t="str">
        <f t="shared" si="4"/>
        <v/>
      </c>
      <c r="W11" s="110" t="str">
        <f t="shared" si="4"/>
        <v/>
      </c>
      <c r="X11" s="110" t="str">
        <f t="shared" si="4"/>
        <v/>
      </c>
      <c r="Y11" s="110" t="str">
        <f t="shared" si="4"/>
        <v/>
      </c>
      <c r="Z11" s="110" t="str">
        <f t="shared" si="4"/>
        <v/>
      </c>
      <c r="AA11" s="66" t="str">
        <f t="shared" si="4"/>
        <v/>
      </c>
      <c r="AB11" s="66" t="str">
        <f t="shared" si="4"/>
        <v/>
      </c>
      <c r="AC11" s="66" t="str">
        <f t="shared" si="4"/>
        <v/>
      </c>
      <c r="AD11" s="66" t="str">
        <f t="shared" si="4"/>
        <v/>
      </c>
      <c r="AE11" s="66" t="str">
        <f t="shared" si="4"/>
        <v/>
      </c>
      <c r="AF11" s="66" t="str">
        <f t="shared" si="4"/>
        <v/>
      </c>
      <c r="AG11" s="66" t="str">
        <f t="shared" si="4"/>
        <v/>
      </c>
      <c r="AH11" s="66" t="str">
        <f t="shared" si="4"/>
        <v/>
      </c>
      <c r="AI11" s="66" t="str">
        <f t="shared" si="4"/>
        <v/>
      </c>
      <c r="AJ11" s="66" t="str">
        <f t="shared" si="4"/>
        <v/>
      </c>
      <c r="AK11" s="66" t="str">
        <f t="shared" si="4"/>
        <v/>
      </c>
      <c r="AL11" s="66" t="str">
        <f t="shared" si="4"/>
        <v/>
      </c>
      <c r="AM11" s="66" t="str">
        <f t="shared" si="4"/>
        <v/>
      </c>
      <c r="AN11" s="66" t="str">
        <f t="shared" si="4"/>
        <v/>
      </c>
      <c r="AO11" s="66" t="str">
        <f t="shared" si="4"/>
        <v/>
      </c>
      <c r="AP11" s="66" t="str">
        <f t="shared" si="4"/>
        <v/>
      </c>
      <c r="AQ11" s="66" t="str">
        <f t="shared" si="4"/>
        <v/>
      </c>
      <c r="AR11" s="66" t="str">
        <f t="shared" si="4"/>
        <v/>
      </c>
      <c r="AS11" s="66" t="str">
        <f t="shared" si="4"/>
        <v/>
      </c>
      <c r="AT11" s="66" t="str">
        <f t="shared" si="4"/>
        <v/>
      </c>
      <c r="AU11" s="66" t="str">
        <f t="shared" si="4"/>
        <v/>
      </c>
      <c r="AV11" s="66" t="str">
        <f t="shared" si="4"/>
        <v/>
      </c>
      <c r="AW11" s="66" t="str">
        <f t="shared" si="4"/>
        <v/>
      </c>
      <c r="AX11" s="66" t="str">
        <f t="shared" si="4"/>
        <v/>
      </c>
      <c r="AY11" s="66" t="str">
        <f t="shared" si="4"/>
        <v/>
      </c>
      <c r="AZ11" s="66" t="str">
        <f t="shared" si="4"/>
        <v/>
      </c>
      <c r="BA11" s="66" t="str">
        <f t="shared" si="4"/>
        <v/>
      </c>
      <c r="BB11" s="66" t="str">
        <f t="shared" si="4"/>
        <v/>
      </c>
      <c r="BC11" s="66" t="str">
        <f t="shared" si="4"/>
        <v/>
      </c>
      <c r="BD11" s="66" t="str">
        <f t="shared" si="4"/>
        <v/>
      </c>
      <c r="BE11" s="66" t="str">
        <f t="shared" si="4"/>
        <v/>
      </c>
      <c r="BF11" s="66" t="str">
        <f t="shared" si="4"/>
        <v/>
      </c>
      <c r="BG11" s="66" t="str">
        <f t="shared" si="4"/>
        <v/>
      </c>
      <c r="BH11" s="66" t="str">
        <f t="shared" si="4"/>
        <v/>
      </c>
      <c r="BI11" s="66" t="str">
        <f t="shared" si="4"/>
        <v/>
      </c>
      <c r="BJ11" s="66" t="str">
        <f t="shared" si="4"/>
        <v/>
      </c>
      <c r="BK11" s="66" t="str">
        <f t="shared" si="4"/>
        <v/>
      </c>
      <c r="BL11" s="66" t="str">
        <f t="shared" si="4"/>
        <v/>
      </c>
      <c r="BM11" s="66" t="str">
        <f t="shared" si="4"/>
        <v/>
      </c>
      <c r="BN11" s="66" t="str">
        <f t="shared" si="4"/>
        <v/>
      </c>
      <c r="BO11" s="66" t="str">
        <f t="shared" ref="BO11:DZ11" si="5">IF(AND(BO7="",BO8="",BO9=""),"",IF(BO7="",BO21,(BO16+ABS(BO7))))</f>
        <v/>
      </c>
      <c r="BP11" s="66" t="str">
        <f t="shared" si="5"/>
        <v/>
      </c>
      <c r="BQ11" s="66" t="str">
        <f t="shared" si="5"/>
        <v/>
      </c>
      <c r="BR11" s="66" t="str">
        <f t="shared" si="5"/>
        <v/>
      </c>
      <c r="BS11" s="66" t="str">
        <f t="shared" si="5"/>
        <v/>
      </c>
      <c r="BT11" s="66" t="str">
        <f t="shared" si="5"/>
        <v/>
      </c>
      <c r="BU11" s="66" t="str">
        <f t="shared" si="5"/>
        <v/>
      </c>
      <c r="BV11" s="66" t="str">
        <f t="shared" si="5"/>
        <v/>
      </c>
      <c r="BW11" s="66" t="str">
        <f t="shared" si="5"/>
        <v/>
      </c>
      <c r="BX11" s="66" t="str">
        <f t="shared" si="5"/>
        <v/>
      </c>
      <c r="BY11" s="66" t="str">
        <f t="shared" si="5"/>
        <v/>
      </c>
      <c r="BZ11" s="66" t="str">
        <f t="shared" si="5"/>
        <v/>
      </c>
      <c r="CA11" s="66" t="str">
        <f t="shared" si="5"/>
        <v/>
      </c>
      <c r="CB11" s="66" t="str">
        <f t="shared" si="5"/>
        <v/>
      </c>
      <c r="CC11" s="66" t="str">
        <f t="shared" si="5"/>
        <v/>
      </c>
      <c r="CD11" s="66" t="str">
        <f t="shared" si="5"/>
        <v/>
      </c>
      <c r="CE11" s="66" t="str">
        <f t="shared" si="5"/>
        <v/>
      </c>
      <c r="CF11" s="66" t="str">
        <f t="shared" si="5"/>
        <v/>
      </c>
      <c r="CG11" s="66" t="str">
        <f t="shared" si="5"/>
        <v/>
      </c>
      <c r="CH11" s="66" t="str">
        <f t="shared" si="5"/>
        <v/>
      </c>
      <c r="CI11" s="66" t="str">
        <f t="shared" si="5"/>
        <v/>
      </c>
      <c r="CJ11" s="66" t="str">
        <f t="shared" si="5"/>
        <v/>
      </c>
      <c r="CK11" s="66" t="str">
        <f t="shared" si="5"/>
        <v/>
      </c>
      <c r="CL11" s="66" t="str">
        <f t="shared" si="5"/>
        <v/>
      </c>
      <c r="CM11" s="66" t="str">
        <f t="shared" si="5"/>
        <v/>
      </c>
      <c r="CN11" s="66" t="str">
        <f t="shared" si="5"/>
        <v/>
      </c>
      <c r="CO11" s="66" t="str">
        <f t="shared" si="5"/>
        <v/>
      </c>
      <c r="CP11" s="66" t="str">
        <f t="shared" si="5"/>
        <v/>
      </c>
      <c r="CQ11" s="66" t="str">
        <f t="shared" si="5"/>
        <v/>
      </c>
      <c r="CR11" s="66" t="str">
        <f t="shared" si="5"/>
        <v/>
      </c>
      <c r="CS11" s="66" t="str">
        <f t="shared" si="5"/>
        <v/>
      </c>
      <c r="CT11" s="66" t="str">
        <f t="shared" si="5"/>
        <v/>
      </c>
      <c r="CU11" s="66" t="str">
        <f t="shared" si="5"/>
        <v/>
      </c>
      <c r="CV11" s="66" t="str">
        <f t="shared" si="5"/>
        <v/>
      </c>
      <c r="CW11" s="66" t="str">
        <f t="shared" si="5"/>
        <v/>
      </c>
      <c r="CX11" s="66" t="str">
        <f t="shared" si="5"/>
        <v/>
      </c>
      <c r="CY11" s="66" t="str">
        <f t="shared" si="5"/>
        <v/>
      </c>
      <c r="CZ11" s="66" t="str">
        <f t="shared" si="5"/>
        <v/>
      </c>
      <c r="DA11" s="66" t="str">
        <f t="shared" si="5"/>
        <v/>
      </c>
      <c r="DB11" s="66" t="str">
        <f t="shared" si="5"/>
        <v/>
      </c>
      <c r="DC11" s="66" t="str">
        <f t="shared" si="5"/>
        <v/>
      </c>
      <c r="DD11" s="66" t="str">
        <f t="shared" si="5"/>
        <v/>
      </c>
      <c r="DE11" s="66" t="str">
        <f t="shared" si="5"/>
        <v/>
      </c>
      <c r="DF11" s="66" t="str">
        <f t="shared" si="5"/>
        <v/>
      </c>
      <c r="DG11" s="66" t="str">
        <f t="shared" si="5"/>
        <v/>
      </c>
      <c r="DH11" s="66" t="str">
        <f t="shared" si="5"/>
        <v/>
      </c>
      <c r="DI11" s="66" t="str">
        <f t="shared" si="5"/>
        <v/>
      </c>
      <c r="DJ11" s="66" t="str">
        <f t="shared" si="5"/>
        <v/>
      </c>
      <c r="DK11" s="66" t="str">
        <f t="shared" si="5"/>
        <v/>
      </c>
      <c r="DL11" s="66" t="str">
        <f t="shared" si="5"/>
        <v/>
      </c>
      <c r="DM11" s="66" t="str">
        <f t="shared" si="5"/>
        <v/>
      </c>
      <c r="DN11" s="66" t="str">
        <f t="shared" si="5"/>
        <v/>
      </c>
      <c r="DO11" s="66" t="str">
        <f t="shared" si="5"/>
        <v/>
      </c>
      <c r="DP11" s="66" t="str">
        <f t="shared" si="5"/>
        <v/>
      </c>
      <c r="DQ11" s="66" t="str">
        <f t="shared" si="5"/>
        <v/>
      </c>
      <c r="DR11" s="66" t="str">
        <f t="shared" si="5"/>
        <v/>
      </c>
      <c r="DS11" s="66" t="str">
        <f t="shared" si="5"/>
        <v/>
      </c>
      <c r="DT11" s="66" t="str">
        <f t="shared" si="5"/>
        <v/>
      </c>
      <c r="DU11" s="66" t="str">
        <f t="shared" si="5"/>
        <v/>
      </c>
      <c r="DV11" s="66" t="str">
        <f t="shared" si="5"/>
        <v/>
      </c>
      <c r="DW11" s="66" t="str">
        <f t="shared" si="5"/>
        <v/>
      </c>
      <c r="DX11" s="66" t="str">
        <f t="shared" si="5"/>
        <v/>
      </c>
      <c r="DY11" s="66" t="str">
        <f t="shared" si="5"/>
        <v/>
      </c>
      <c r="DZ11" s="66" t="str">
        <f t="shared" si="5"/>
        <v/>
      </c>
      <c r="EA11" s="66" t="str">
        <f t="shared" ref="EA11:GL11" si="6">IF(AND(EA7="",EA8="",EA9=""),"",IF(EA7="",EA21,(EA16+ABS(EA7))))</f>
        <v/>
      </c>
      <c r="EB11" s="66" t="str">
        <f t="shared" si="6"/>
        <v/>
      </c>
      <c r="EC11" s="66" t="str">
        <f t="shared" si="6"/>
        <v/>
      </c>
      <c r="ED11" s="66" t="str">
        <f t="shared" si="6"/>
        <v/>
      </c>
      <c r="EE11" s="66" t="str">
        <f t="shared" si="6"/>
        <v/>
      </c>
      <c r="EF11" s="66" t="str">
        <f t="shared" si="6"/>
        <v/>
      </c>
      <c r="EG11" s="66" t="str">
        <f t="shared" si="6"/>
        <v/>
      </c>
      <c r="EH11" s="66" t="str">
        <f t="shared" si="6"/>
        <v/>
      </c>
      <c r="EI11" s="66" t="str">
        <f t="shared" si="6"/>
        <v/>
      </c>
      <c r="EJ11" s="66" t="str">
        <f t="shared" si="6"/>
        <v/>
      </c>
      <c r="EK11" s="66" t="str">
        <f t="shared" si="6"/>
        <v/>
      </c>
      <c r="EL11" s="66" t="str">
        <f t="shared" si="6"/>
        <v/>
      </c>
      <c r="EM11" s="66" t="str">
        <f t="shared" si="6"/>
        <v/>
      </c>
      <c r="EN11" s="66" t="str">
        <f t="shared" si="6"/>
        <v/>
      </c>
      <c r="EO11" s="66" t="str">
        <f t="shared" si="6"/>
        <v/>
      </c>
      <c r="EP11" s="66" t="str">
        <f t="shared" si="6"/>
        <v/>
      </c>
      <c r="EQ11" s="66" t="str">
        <f t="shared" si="6"/>
        <v/>
      </c>
      <c r="ER11" s="66" t="str">
        <f t="shared" si="6"/>
        <v/>
      </c>
      <c r="ES11" s="66" t="str">
        <f t="shared" si="6"/>
        <v/>
      </c>
      <c r="ET11" s="66" t="str">
        <f t="shared" si="6"/>
        <v/>
      </c>
      <c r="EU11" s="66" t="str">
        <f t="shared" si="6"/>
        <v/>
      </c>
      <c r="EV11" s="66" t="str">
        <f t="shared" si="6"/>
        <v/>
      </c>
      <c r="EW11" s="66" t="str">
        <f t="shared" si="6"/>
        <v/>
      </c>
      <c r="EX11" s="66" t="str">
        <f t="shared" si="6"/>
        <v/>
      </c>
      <c r="EY11" s="66" t="str">
        <f t="shared" si="6"/>
        <v/>
      </c>
      <c r="EZ11" s="66" t="str">
        <f t="shared" si="6"/>
        <v/>
      </c>
      <c r="FA11" s="66" t="str">
        <f t="shared" si="6"/>
        <v/>
      </c>
      <c r="FB11" s="66" t="str">
        <f t="shared" si="6"/>
        <v/>
      </c>
      <c r="FC11" s="66" t="str">
        <f t="shared" si="6"/>
        <v/>
      </c>
      <c r="FD11" s="66" t="str">
        <f t="shared" si="6"/>
        <v/>
      </c>
      <c r="FE11" s="66" t="str">
        <f t="shared" si="6"/>
        <v/>
      </c>
      <c r="FF11" s="66" t="str">
        <f t="shared" si="6"/>
        <v/>
      </c>
      <c r="FG11" s="66" t="str">
        <f t="shared" si="6"/>
        <v/>
      </c>
      <c r="FH11" s="66" t="str">
        <f t="shared" si="6"/>
        <v/>
      </c>
      <c r="FI11" s="66" t="str">
        <f t="shared" si="6"/>
        <v/>
      </c>
      <c r="FJ11" s="66" t="str">
        <f t="shared" si="6"/>
        <v/>
      </c>
      <c r="FK11" s="66" t="str">
        <f t="shared" si="6"/>
        <v/>
      </c>
      <c r="FL11" s="66" t="str">
        <f t="shared" si="6"/>
        <v/>
      </c>
      <c r="FM11" s="66" t="str">
        <f t="shared" si="6"/>
        <v/>
      </c>
      <c r="FN11" s="66" t="str">
        <f t="shared" si="6"/>
        <v/>
      </c>
      <c r="FO11" s="66" t="str">
        <f t="shared" si="6"/>
        <v/>
      </c>
      <c r="FP11" s="66" t="str">
        <f t="shared" si="6"/>
        <v/>
      </c>
      <c r="FQ11" s="66" t="str">
        <f t="shared" si="6"/>
        <v/>
      </c>
      <c r="FR11" s="66" t="str">
        <f t="shared" si="6"/>
        <v/>
      </c>
      <c r="FS11" s="66" t="str">
        <f t="shared" si="6"/>
        <v/>
      </c>
      <c r="FT11" s="66" t="str">
        <f t="shared" si="6"/>
        <v/>
      </c>
      <c r="FU11" s="66" t="str">
        <f t="shared" si="6"/>
        <v/>
      </c>
      <c r="FV11" s="66" t="str">
        <f t="shared" si="6"/>
        <v/>
      </c>
      <c r="FW11" s="66" t="str">
        <f t="shared" si="6"/>
        <v/>
      </c>
      <c r="FX11" s="66" t="str">
        <f t="shared" si="6"/>
        <v/>
      </c>
      <c r="FY11" s="66" t="str">
        <f t="shared" si="6"/>
        <v/>
      </c>
      <c r="FZ11" s="66" t="str">
        <f t="shared" si="6"/>
        <v/>
      </c>
      <c r="GA11" s="66" t="str">
        <f t="shared" si="6"/>
        <v/>
      </c>
      <c r="GB11" s="66" t="str">
        <f t="shared" si="6"/>
        <v/>
      </c>
      <c r="GC11" s="66" t="str">
        <f t="shared" si="6"/>
        <v/>
      </c>
      <c r="GD11" s="66" t="str">
        <f t="shared" si="6"/>
        <v/>
      </c>
      <c r="GE11" s="66" t="str">
        <f t="shared" si="6"/>
        <v/>
      </c>
      <c r="GF11" s="66" t="str">
        <f t="shared" si="6"/>
        <v/>
      </c>
      <c r="GG11" s="66" t="str">
        <f t="shared" si="6"/>
        <v/>
      </c>
      <c r="GH11" s="66" t="str">
        <f t="shared" si="6"/>
        <v/>
      </c>
      <c r="GI11" s="66" t="str">
        <f t="shared" si="6"/>
        <v/>
      </c>
      <c r="GJ11" s="66" t="str">
        <f t="shared" si="6"/>
        <v/>
      </c>
      <c r="GK11" s="66" t="str">
        <f t="shared" si="6"/>
        <v/>
      </c>
      <c r="GL11" s="66" t="str">
        <f t="shared" si="6"/>
        <v/>
      </c>
      <c r="GM11" s="66" t="str">
        <f t="shared" ref="GM11:IV11" si="7">IF(AND(GM7="",GM8="",GM9=""),"",IF(GM7="",GM21,(GM16+ABS(GM7))))</f>
        <v/>
      </c>
      <c r="GN11" s="66" t="str">
        <f t="shared" si="7"/>
        <v/>
      </c>
      <c r="GO11" s="66" t="str">
        <f t="shared" si="7"/>
        <v/>
      </c>
      <c r="GP11" s="66" t="str">
        <f t="shared" si="7"/>
        <v/>
      </c>
      <c r="GQ11" s="66" t="str">
        <f t="shared" si="7"/>
        <v/>
      </c>
      <c r="GR11" s="66" t="str">
        <f t="shared" si="7"/>
        <v/>
      </c>
      <c r="GS11" s="66" t="str">
        <f t="shared" si="7"/>
        <v/>
      </c>
      <c r="GT11" s="66" t="str">
        <f t="shared" si="7"/>
        <v/>
      </c>
      <c r="GU11" s="66" t="str">
        <f t="shared" si="7"/>
        <v/>
      </c>
      <c r="GV11" s="66" t="str">
        <f t="shared" si="7"/>
        <v/>
      </c>
      <c r="GW11" s="66" t="str">
        <f t="shared" si="7"/>
        <v/>
      </c>
      <c r="GX11" s="66" t="str">
        <f t="shared" si="7"/>
        <v/>
      </c>
      <c r="GY11" s="66" t="str">
        <f t="shared" si="7"/>
        <v/>
      </c>
      <c r="GZ11" s="66" t="str">
        <f t="shared" si="7"/>
        <v/>
      </c>
      <c r="HA11" s="66" t="str">
        <f t="shared" si="7"/>
        <v/>
      </c>
      <c r="HB11" s="66" t="str">
        <f t="shared" si="7"/>
        <v/>
      </c>
      <c r="HC11" s="66" t="str">
        <f t="shared" si="7"/>
        <v/>
      </c>
      <c r="HD11" s="66" t="str">
        <f t="shared" si="7"/>
        <v/>
      </c>
      <c r="HE11" s="66" t="str">
        <f t="shared" si="7"/>
        <v/>
      </c>
      <c r="HF11" s="66" t="str">
        <f t="shared" si="7"/>
        <v/>
      </c>
      <c r="HG11" s="66" t="str">
        <f t="shared" si="7"/>
        <v/>
      </c>
      <c r="HH11" s="66" t="str">
        <f t="shared" si="7"/>
        <v/>
      </c>
      <c r="HI11" s="66" t="str">
        <f t="shared" si="7"/>
        <v/>
      </c>
      <c r="HJ11" s="66" t="str">
        <f t="shared" si="7"/>
        <v/>
      </c>
      <c r="HK11" s="66" t="str">
        <f t="shared" si="7"/>
        <v/>
      </c>
      <c r="HL11" s="66" t="str">
        <f t="shared" si="7"/>
        <v/>
      </c>
      <c r="HM11" s="66" t="str">
        <f t="shared" si="7"/>
        <v/>
      </c>
      <c r="HN11" s="66" t="str">
        <f t="shared" si="7"/>
        <v/>
      </c>
      <c r="HO11" s="66" t="str">
        <f t="shared" si="7"/>
        <v/>
      </c>
      <c r="HP11" s="66" t="str">
        <f t="shared" si="7"/>
        <v/>
      </c>
      <c r="HQ11" s="66" t="str">
        <f t="shared" si="7"/>
        <v/>
      </c>
      <c r="HR11" s="66" t="str">
        <f t="shared" si="7"/>
        <v/>
      </c>
      <c r="HS11" s="66" t="str">
        <f t="shared" si="7"/>
        <v/>
      </c>
      <c r="HT11" s="66" t="str">
        <f t="shared" si="7"/>
        <v/>
      </c>
      <c r="HU11" s="66" t="str">
        <f t="shared" si="7"/>
        <v/>
      </c>
      <c r="HV11" s="66" t="str">
        <f t="shared" si="7"/>
        <v/>
      </c>
      <c r="HW11" s="66" t="str">
        <f t="shared" si="7"/>
        <v/>
      </c>
      <c r="HX11" s="66" t="str">
        <f t="shared" si="7"/>
        <v/>
      </c>
      <c r="HY11" s="66" t="str">
        <f t="shared" si="7"/>
        <v/>
      </c>
      <c r="HZ11" s="66" t="str">
        <f t="shared" si="7"/>
        <v/>
      </c>
      <c r="IA11" s="66" t="str">
        <f t="shared" si="7"/>
        <v/>
      </c>
      <c r="IB11" s="66" t="str">
        <f t="shared" si="7"/>
        <v/>
      </c>
      <c r="IC11" s="66" t="str">
        <f t="shared" si="7"/>
        <v/>
      </c>
      <c r="ID11" s="66" t="str">
        <f t="shared" si="7"/>
        <v/>
      </c>
      <c r="IE11" s="66" t="str">
        <f t="shared" si="7"/>
        <v/>
      </c>
      <c r="IF11" s="66" t="str">
        <f t="shared" si="7"/>
        <v/>
      </c>
      <c r="IG11" s="66" t="str">
        <f t="shared" si="7"/>
        <v/>
      </c>
      <c r="IH11" s="66" t="str">
        <f t="shared" si="7"/>
        <v/>
      </c>
      <c r="II11" s="66" t="str">
        <f t="shared" si="7"/>
        <v/>
      </c>
      <c r="IJ11" s="66" t="str">
        <f t="shared" si="7"/>
        <v/>
      </c>
      <c r="IK11" s="66" t="str">
        <f t="shared" si="7"/>
        <v/>
      </c>
      <c r="IL11" s="66" t="str">
        <f t="shared" si="7"/>
        <v/>
      </c>
      <c r="IM11" s="66" t="str">
        <f t="shared" si="7"/>
        <v/>
      </c>
      <c r="IN11" s="66" t="str">
        <f t="shared" si="7"/>
        <v/>
      </c>
      <c r="IO11" s="66" t="str">
        <f t="shared" si="7"/>
        <v/>
      </c>
      <c r="IP11" s="66" t="str">
        <f t="shared" si="7"/>
        <v/>
      </c>
      <c r="IQ11" s="66" t="str">
        <f t="shared" si="7"/>
        <v/>
      </c>
      <c r="IR11" s="66" t="str">
        <f t="shared" si="7"/>
        <v/>
      </c>
      <c r="IS11" s="66" t="str">
        <f t="shared" si="7"/>
        <v/>
      </c>
      <c r="IT11" s="66" t="str">
        <f t="shared" si="7"/>
        <v/>
      </c>
      <c r="IU11" s="66" t="str">
        <f t="shared" si="7"/>
        <v/>
      </c>
      <c r="IV11" s="133" t="str">
        <f t="shared" si="7"/>
        <v/>
      </c>
    </row>
    <row r="12" spans="1:256" s="61" customFormat="1" ht="12.75" hidden="1" customHeight="1">
      <c r="A12" s="1"/>
      <c r="B12" s="50" t="s">
        <v>70</v>
      </c>
      <c r="C12" s="110" t="str">
        <f t="shared" ref="C12:BN12" si="8">IF(AND(C7="",C8="",C9=""),"",IF(C8="",C22,(C16-ABS(C8))))</f>
        <v/>
      </c>
      <c r="D12" s="110" t="str">
        <f t="shared" si="8"/>
        <v/>
      </c>
      <c r="E12" s="110" t="str">
        <f t="shared" si="8"/>
        <v/>
      </c>
      <c r="F12" s="110" t="str">
        <f t="shared" si="8"/>
        <v/>
      </c>
      <c r="G12" s="110" t="str">
        <f t="shared" si="8"/>
        <v/>
      </c>
      <c r="H12" s="110" t="str">
        <f t="shared" si="8"/>
        <v/>
      </c>
      <c r="I12" s="110" t="str">
        <f t="shared" si="8"/>
        <v/>
      </c>
      <c r="J12" s="110" t="str">
        <f t="shared" si="8"/>
        <v/>
      </c>
      <c r="K12" s="110" t="str">
        <f t="shared" si="8"/>
        <v/>
      </c>
      <c r="L12" s="110" t="str">
        <f t="shared" si="8"/>
        <v/>
      </c>
      <c r="M12" s="110" t="str">
        <f t="shared" si="8"/>
        <v/>
      </c>
      <c r="N12" s="110" t="str">
        <f t="shared" si="8"/>
        <v/>
      </c>
      <c r="O12" s="110" t="str">
        <f t="shared" si="8"/>
        <v/>
      </c>
      <c r="P12" s="110" t="str">
        <f t="shared" si="8"/>
        <v/>
      </c>
      <c r="Q12" s="110" t="str">
        <f t="shared" si="8"/>
        <v/>
      </c>
      <c r="R12" s="110" t="str">
        <f t="shared" si="8"/>
        <v/>
      </c>
      <c r="S12" s="110" t="str">
        <f t="shared" si="8"/>
        <v/>
      </c>
      <c r="T12" s="110" t="str">
        <f t="shared" si="8"/>
        <v/>
      </c>
      <c r="U12" s="110" t="str">
        <f t="shared" si="8"/>
        <v/>
      </c>
      <c r="V12" s="110" t="str">
        <f t="shared" si="8"/>
        <v/>
      </c>
      <c r="W12" s="110" t="str">
        <f t="shared" si="8"/>
        <v/>
      </c>
      <c r="X12" s="110" t="str">
        <f t="shared" si="8"/>
        <v/>
      </c>
      <c r="Y12" s="110" t="str">
        <f t="shared" si="8"/>
        <v/>
      </c>
      <c r="Z12" s="110" t="str">
        <f t="shared" si="8"/>
        <v/>
      </c>
      <c r="AA12" s="66" t="str">
        <f t="shared" si="8"/>
        <v/>
      </c>
      <c r="AB12" s="66" t="str">
        <f t="shared" si="8"/>
        <v/>
      </c>
      <c r="AC12" s="66" t="str">
        <f t="shared" si="8"/>
        <v/>
      </c>
      <c r="AD12" s="66" t="str">
        <f t="shared" si="8"/>
        <v/>
      </c>
      <c r="AE12" s="66" t="str">
        <f t="shared" si="8"/>
        <v/>
      </c>
      <c r="AF12" s="66" t="str">
        <f t="shared" si="8"/>
        <v/>
      </c>
      <c r="AG12" s="66" t="str">
        <f t="shared" si="8"/>
        <v/>
      </c>
      <c r="AH12" s="66" t="str">
        <f t="shared" si="8"/>
        <v/>
      </c>
      <c r="AI12" s="66" t="str">
        <f t="shared" si="8"/>
        <v/>
      </c>
      <c r="AJ12" s="66" t="str">
        <f t="shared" si="8"/>
        <v/>
      </c>
      <c r="AK12" s="66" t="str">
        <f t="shared" si="8"/>
        <v/>
      </c>
      <c r="AL12" s="66" t="str">
        <f t="shared" si="8"/>
        <v/>
      </c>
      <c r="AM12" s="66" t="str">
        <f t="shared" si="8"/>
        <v/>
      </c>
      <c r="AN12" s="66" t="str">
        <f t="shared" si="8"/>
        <v/>
      </c>
      <c r="AO12" s="66" t="str">
        <f t="shared" si="8"/>
        <v/>
      </c>
      <c r="AP12" s="66" t="str">
        <f t="shared" si="8"/>
        <v/>
      </c>
      <c r="AQ12" s="66" t="str">
        <f t="shared" si="8"/>
        <v/>
      </c>
      <c r="AR12" s="66" t="str">
        <f t="shared" si="8"/>
        <v/>
      </c>
      <c r="AS12" s="66" t="str">
        <f t="shared" si="8"/>
        <v/>
      </c>
      <c r="AT12" s="66" t="str">
        <f t="shared" si="8"/>
        <v/>
      </c>
      <c r="AU12" s="66" t="str">
        <f t="shared" si="8"/>
        <v/>
      </c>
      <c r="AV12" s="66" t="str">
        <f t="shared" si="8"/>
        <v/>
      </c>
      <c r="AW12" s="66" t="str">
        <f t="shared" si="8"/>
        <v/>
      </c>
      <c r="AX12" s="66" t="str">
        <f t="shared" si="8"/>
        <v/>
      </c>
      <c r="AY12" s="66" t="str">
        <f t="shared" si="8"/>
        <v/>
      </c>
      <c r="AZ12" s="66" t="str">
        <f t="shared" si="8"/>
        <v/>
      </c>
      <c r="BA12" s="66" t="str">
        <f t="shared" si="8"/>
        <v/>
      </c>
      <c r="BB12" s="66" t="str">
        <f t="shared" si="8"/>
        <v/>
      </c>
      <c r="BC12" s="66" t="str">
        <f t="shared" si="8"/>
        <v/>
      </c>
      <c r="BD12" s="66" t="str">
        <f t="shared" si="8"/>
        <v/>
      </c>
      <c r="BE12" s="66" t="str">
        <f t="shared" si="8"/>
        <v/>
      </c>
      <c r="BF12" s="66" t="str">
        <f t="shared" si="8"/>
        <v/>
      </c>
      <c r="BG12" s="66" t="str">
        <f t="shared" si="8"/>
        <v/>
      </c>
      <c r="BH12" s="66" t="str">
        <f t="shared" si="8"/>
        <v/>
      </c>
      <c r="BI12" s="66" t="str">
        <f t="shared" si="8"/>
        <v/>
      </c>
      <c r="BJ12" s="66" t="str">
        <f t="shared" si="8"/>
        <v/>
      </c>
      <c r="BK12" s="66" t="str">
        <f t="shared" si="8"/>
        <v/>
      </c>
      <c r="BL12" s="66" t="str">
        <f t="shared" si="8"/>
        <v/>
      </c>
      <c r="BM12" s="66" t="str">
        <f t="shared" si="8"/>
        <v/>
      </c>
      <c r="BN12" s="66" t="str">
        <f t="shared" si="8"/>
        <v/>
      </c>
      <c r="BO12" s="66" t="str">
        <f t="shared" ref="BO12:DZ12" si="9">IF(AND(BO7="",BO8="",BO9=""),"",IF(BO8="",BO22,(BO16-ABS(BO8))))</f>
        <v/>
      </c>
      <c r="BP12" s="66" t="str">
        <f t="shared" si="9"/>
        <v/>
      </c>
      <c r="BQ12" s="66" t="str">
        <f t="shared" si="9"/>
        <v/>
      </c>
      <c r="BR12" s="66" t="str">
        <f t="shared" si="9"/>
        <v/>
      </c>
      <c r="BS12" s="66" t="str">
        <f t="shared" si="9"/>
        <v/>
      </c>
      <c r="BT12" s="66" t="str">
        <f t="shared" si="9"/>
        <v/>
      </c>
      <c r="BU12" s="66" t="str">
        <f t="shared" si="9"/>
        <v/>
      </c>
      <c r="BV12" s="66" t="str">
        <f t="shared" si="9"/>
        <v/>
      </c>
      <c r="BW12" s="66" t="str">
        <f t="shared" si="9"/>
        <v/>
      </c>
      <c r="BX12" s="66" t="str">
        <f t="shared" si="9"/>
        <v/>
      </c>
      <c r="BY12" s="66" t="str">
        <f t="shared" si="9"/>
        <v/>
      </c>
      <c r="BZ12" s="66" t="str">
        <f t="shared" si="9"/>
        <v/>
      </c>
      <c r="CA12" s="66" t="str">
        <f t="shared" si="9"/>
        <v/>
      </c>
      <c r="CB12" s="66" t="str">
        <f t="shared" si="9"/>
        <v/>
      </c>
      <c r="CC12" s="66" t="str">
        <f t="shared" si="9"/>
        <v/>
      </c>
      <c r="CD12" s="66" t="str">
        <f t="shared" si="9"/>
        <v/>
      </c>
      <c r="CE12" s="66" t="str">
        <f t="shared" si="9"/>
        <v/>
      </c>
      <c r="CF12" s="66" t="str">
        <f t="shared" si="9"/>
        <v/>
      </c>
      <c r="CG12" s="66" t="str">
        <f t="shared" si="9"/>
        <v/>
      </c>
      <c r="CH12" s="66" t="str">
        <f t="shared" si="9"/>
        <v/>
      </c>
      <c r="CI12" s="66" t="str">
        <f t="shared" si="9"/>
        <v/>
      </c>
      <c r="CJ12" s="66" t="str">
        <f t="shared" si="9"/>
        <v/>
      </c>
      <c r="CK12" s="66" t="str">
        <f t="shared" si="9"/>
        <v/>
      </c>
      <c r="CL12" s="66" t="str">
        <f t="shared" si="9"/>
        <v/>
      </c>
      <c r="CM12" s="66" t="str">
        <f t="shared" si="9"/>
        <v/>
      </c>
      <c r="CN12" s="66" t="str">
        <f t="shared" si="9"/>
        <v/>
      </c>
      <c r="CO12" s="66" t="str">
        <f t="shared" si="9"/>
        <v/>
      </c>
      <c r="CP12" s="66" t="str">
        <f t="shared" si="9"/>
        <v/>
      </c>
      <c r="CQ12" s="66" t="str">
        <f t="shared" si="9"/>
        <v/>
      </c>
      <c r="CR12" s="66" t="str">
        <f t="shared" si="9"/>
        <v/>
      </c>
      <c r="CS12" s="66" t="str">
        <f t="shared" si="9"/>
        <v/>
      </c>
      <c r="CT12" s="66" t="str">
        <f t="shared" si="9"/>
        <v/>
      </c>
      <c r="CU12" s="66" t="str">
        <f t="shared" si="9"/>
        <v/>
      </c>
      <c r="CV12" s="66" t="str">
        <f t="shared" si="9"/>
        <v/>
      </c>
      <c r="CW12" s="66" t="str">
        <f t="shared" si="9"/>
        <v/>
      </c>
      <c r="CX12" s="66" t="str">
        <f t="shared" si="9"/>
        <v/>
      </c>
      <c r="CY12" s="66" t="str">
        <f t="shared" si="9"/>
        <v/>
      </c>
      <c r="CZ12" s="66" t="str">
        <f t="shared" si="9"/>
        <v/>
      </c>
      <c r="DA12" s="66" t="str">
        <f t="shared" si="9"/>
        <v/>
      </c>
      <c r="DB12" s="66" t="str">
        <f t="shared" si="9"/>
        <v/>
      </c>
      <c r="DC12" s="66" t="str">
        <f t="shared" si="9"/>
        <v/>
      </c>
      <c r="DD12" s="66" t="str">
        <f t="shared" si="9"/>
        <v/>
      </c>
      <c r="DE12" s="66" t="str">
        <f t="shared" si="9"/>
        <v/>
      </c>
      <c r="DF12" s="66" t="str">
        <f t="shared" si="9"/>
        <v/>
      </c>
      <c r="DG12" s="66" t="str">
        <f t="shared" si="9"/>
        <v/>
      </c>
      <c r="DH12" s="66" t="str">
        <f t="shared" si="9"/>
        <v/>
      </c>
      <c r="DI12" s="66" t="str">
        <f t="shared" si="9"/>
        <v/>
      </c>
      <c r="DJ12" s="66" t="str">
        <f t="shared" si="9"/>
        <v/>
      </c>
      <c r="DK12" s="66" t="str">
        <f t="shared" si="9"/>
        <v/>
      </c>
      <c r="DL12" s="66" t="str">
        <f t="shared" si="9"/>
        <v/>
      </c>
      <c r="DM12" s="66" t="str">
        <f t="shared" si="9"/>
        <v/>
      </c>
      <c r="DN12" s="66" t="str">
        <f t="shared" si="9"/>
        <v/>
      </c>
      <c r="DO12" s="66" t="str">
        <f t="shared" si="9"/>
        <v/>
      </c>
      <c r="DP12" s="66" t="str">
        <f t="shared" si="9"/>
        <v/>
      </c>
      <c r="DQ12" s="66" t="str">
        <f t="shared" si="9"/>
        <v/>
      </c>
      <c r="DR12" s="66" t="str">
        <f t="shared" si="9"/>
        <v/>
      </c>
      <c r="DS12" s="66" t="str">
        <f t="shared" si="9"/>
        <v/>
      </c>
      <c r="DT12" s="66" t="str">
        <f t="shared" si="9"/>
        <v/>
      </c>
      <c r="DU12" s="66" t="str">
        <f t="shared" si="9"/>
        <v/>
      </c>
      <c r="DV12" s="66" t="str">
        <f t="shared" si="9"/>
        <v/>
      </c>
      <c r="DW12" s="66" t="str">
        <f t="shared" si="9"/>
        <v/>
      </c>
      <c r="DX12" s="66" t="str">
        <f t="shared" si="9"/>
        <v/>
      </c>
      <c r="DY12" s="66" t="str">
        <f t="shared" si="9"/>
        <v/>
      </c>
      <c r="DZ12" s="66" t="str">
        <f t="shared" si="9"/>
        <v/>
      </c>
      <c r="EA12" s="66" t="str">
        <f t="shared" ref="EA12:GL12" si="10">IF(AND(EA7="",EA8="",EA9=""),"",IF(EA8="",EA22,(EA16-ABS(EA8))))</f>
        <v/>
      </c>
      <c r="EB12" s="66" t="str">
        <f t="shared" si="10"/>
        <v/>
      </c>
      <c r="EC12" s="66" t="str">
        <f t="shared" si="10"/>
        <v/>
      </c>
      <c r="ED12" s="66" t="str">
        <f t="shared" si="10"/>
        <v/>
      </c>
      <c r="EE12" s="66" t="str">
        <f t="shared" si="10"/>
        <v/>
      </c>
      <c r="EF12" s="66" t="str">
        <f t="shared" si="10"/>
        <v/>
      </c>
      <c r="EG12" s="66" t="str">
        <f t="shared" si="10"/>
        <v/>
      </c>
      <c r="EH12" s="66" t="str">
        <f t="shared" si="10"/>
        <v/>
      </c>
      <c r="EI12" s="66" t="str">
        <f t="shared" si="10"/>
        <v/>
      </c>
      <c r="EJ12" s="66" t="str">
        <f t="shared" si="10"/>
        <v/>
      </c>
      <c r="EK12" s="66" t="str">
        <f t="shared" si="10"/>
        <v/>
      </c>
      <c r="EL12" s="66" t="str">
        <f t="shared" si="10"/>
        <v/>
      </c>
      <c r="EM12" s="66" t="str">
        <f t="shared" si="10"/>
        <v/>
      </c>
      <c r="EN12" s="66" t="str">
        <f t="shared" si="10"/>
        <v/>
      </c>
      <c r="EO12" s="66" t="str">
        <f t="shared" si="10"/>
        <v/>
      </c>
      <c r="EP12" s="66" t="str">
        <f t="shared" si="10"/>
        <v/>
      </c>
      <c r="EQ12" s="66" t="str">
        <f t="shared" si="10"/>
        <v/>
      </c>
      <c r="ER12" s="66" t="str">
        <f t="shared" si="10"/>
        <v/>
      </c>
      <c r="ES12" s="66" t="str">
        <f t="shared" si="10"/>
        <v/>
      </c>
      <c r="ET12" s="66" t="str">
        <f t="shared" si="10"/>
        <v/>
      </c>
      <c r="EU12" s="66" t="str">
        <f t="shared" si="10"/>
        <v/>
      </c>
      <c r="EV12" s="66" t="str">
        <f t="shared" si="10"/>
        <v/>
      </c>
      <c r="EW12" s="66" t="str">
        <f t="shared" si="10"/>
        <v/>
      </c>
      <c r="EX12" s="66" t="str">
        <f t="shared" si="10"/>
        <v/>
      </c>
      <c r="EY12" s="66" t="str">
        <f t="shared" si="10"/>
        <v/>
      </c>
      <c r="EZ12" s="66" t="str">
        <f t="shared" si="10"/>
        <v/>
      </c>
      <c r="FA12" s="66" t="str">
        <f t="shared" si="10"/>
        <v/>
      </c>
      <c r="FB12" s="66" t="str">
        <f t="shared" si="10"/>
        <v/>
      </c>
      <c r="FC12" s="66" t="str">
        <f t="shared" si="10"/>
        <v/>
      </c>
      <c r="FD12" s="66" t="str">
        <f t="shared" si="10"/>
        <v/>
      </c>
      <c r="FE12" s="66" t="str">
        <f t="shared" si="10"/>
        <v/>
      </c>
      <c r="FF12" s="66" t="str">
        <f t="shared" si="10"/>
        <v/>
      </c>
      <c r="FG12" s="66" t="str">
        <f t="shared" si="10"/>
        <v/>
      </c>
      <c r="FH12" s="66" t="str">
        <f t="shared" si="10"/>
        <v/>
      </c>
      <c r="FI12" s="66" t="str">
        <f t="shared" si="10"/>
        <v/>
      </c>
      <c r="FJ12" s="66" t="str">
        <f t="shared" si="10"/>
        <v/>
      </c>
      <c r="FK12" s="66" t="str">
        <f t="shared" si="10"/>
        <v/>
      </c>
      <c r="FL12" s="66" t="str">
        <f t="shared" si="10"/>
        <v/>
      </c>
      <c r="FM12" s="66" t="str">
        <f t="shared" si="10"/>
        <v/>
      </c>
      <c r="FN12" s="66" t="str">
        <f t="shared" si="10"/>
        <v/>
      </c>
      <c r="FO12" s="66" t="str">
        <f t="shared" si="10"/>
        <v/>
      </c>
      <c r="FP12" s="66" t="str">
        <f t="shared" si="10"/>
        <v/>
      </c>
      <c r="FQ12" s="66" t="str">
        <f t="shared" si="10"/>
        <v/>
      </c>
      <c r="FR12" s="66" t="str">
        <f t="shared" si="10"/>
        <v/>
      </c>
      <c r="FS12" s="66" t="str">
        <f t="shared" si="10"/>
        <v/>
      </c>
      <c r="FT12" s="66" t="str">
        <f t="shared" si="10"/>
        <v/>
      </c>
      <c r="FU12" s="66" t="str">
        <f t="shared" si="10"/>
        <v/>
      </c>
      <c r="FV12" s="66" t="str">
        <f t="shared" si="10"/>
        <v/>
      </c>
      <c r="FW12" s="66" t="str">
        <f t="shared" si="10"/>
        <v/>
      </c>
      <c r="FX12" s="66" t="str">
        <f t="shared" si="10"/>
        <v/>
      </c>
      <c r="FY12" s="66" t="str">
        <f t="shared" si="10"/>
        <v/>
      </c>
      <c r="FZ12" s="66" t="str">
        <f t="shared" si="10"/>
        <v/>
      </c>
      <c r="GA12" s="66" t="str">
        <f t="shared" si="10"/>
        <v/>
      </c>
      <c r="GB12" s="66" t="str">
        <f t="shared" si="10"/>
        <v/>
      </c>
      <c r="GC12" s="66" t="str">
        <f t="shared" si="10"/>
        <v/>
      </c>
      <c r="GD12" s="66" t="str">
        <f t="shared" si="10"/>
        <v/>
      </c>
      <c r="GE12" s="66" t="str">
        <f t="shared" si="10"/>
        <v/>
      </c>
      <c r="GF12" s="66" t="str">
        <f t="shared" si="10"/>
        <v/>
      </c>
      <c r="GG12" s="66" t="str">
        <f t="shared" si="10"/>
        <v/>
      </c>
      <c r="GH12" s="66" t="str">
        <f t="shared" si="10"/>
        <v/>
      </c>
      <c r="GI12" s="66" t="str">
        <f t="shared" si="10"/>
        <v/>
      </c>
      <c r="GJ12" s="66" t="str">
        <f t="shared" si="10"/>
        <v/>
      </c>
      <c r="GK12" s="66" t="str">
        <f t="shared" si="10"/>
        <v/>
      </c>
      <c r="GL12" s="66" t="str">
        <f t="shared" si="10"/>
        <v/>
      </c>
      <c r="GM12" s="66" t="str">
        <f t="shared" ref="GM12:IV12" si="11">IF(AND(GM7="",GM8="",GM9=""),"",IF(GM8="",GM22,(GM16-ABS(GM8))))</f>
        <v/>
      </c>
      <c r="GN12" s="66" t="str">
        <f t="shared" si="11"/>
        <v/>
      </c>
      <c r="GO12" s="66" t="str">
        <f t="shared" si="11"/>
        <v/>
      </c>
      <c r="GP12" s="66" t="str">
        <f t="shared" si="11"/>
        <v/>
      </c>
      <c r="GQ12" s="66" t="str">
        <f t="shared" si="11"/>
        <v/>
      </c>
      <c r="GR12" s="66" t="str">
        <f t="shared" si="11"/>
        <v/>
      </c>
      <c r="GS12" s="66" t="str">
        <f t="shared" si="11"/>
        <v/>
      </c>
      <c r="GT12" s="66" t="str">
        <f t="shared" si="11"/>
        <v/>
      </c>
      <c r="GU12" s="66" t="str">
        <f t="shared" si="11"/>
        <v/>
      </c>
      <c r="GV12" s="66" t="str">
        <f t="shared" si="11"/>
        <v/>
      </c>
      <c r="GW12" s="66" t="str">
        <f t="shared" si="11"/>
        <v/>
      </c>
      <c r="GX12" s="66" t="str">
        <f t="shared" si="11"/>
        <v/>
      </c>
      <c r="GY12" s="66" t="str">
        <f t="shared" si="11"/>
        <v/>
      </c>
      <c r="GZ12" s="66" t="str">
        <f t="shared" si="11"/>
        <v/>
      </c>
      <c r="HA12" s="66" t="str">
        <f t="shared" si="11"/>
        <v/>
      </c>
      <c r="HB12" s="66" t="str">
        <f t="shared" si="11"/>
        <v/>
      </c>
      <c r="HC12" s="66" t="str">
        <f t="shared" si="11"/>
        <v/>
      </c>
      <c r="HD12" s="66" t="str">
        <f t="shared" si="11"/>
        <v/>
      </c>
      <c r="HE12" s="66" t="str">
        <f t="shared" si="11"/>
        <v/>
      </c>
      <c r="HF12" s="66" t="str">
        <f t="shared" si="11"/>
        <v/>
      </c>
      <c r="HG12" s="66" t="str">
        <f t="shared" si="11"/>
        <v/>
      </c>
      <c r="HH12" s="66" t="str">
        <f t="shared" si="11"/>
        <v/>
      </c>
      <c r="HI12" s="66" t="str">
        <f t="shared" si="11"/>
        <v/>
      </c>
      <c r="HJ12" s="66" t="str">
        <f t="shared" si="11"/>
        <v/>
      </c>
      <c r="HK12" s="66" t="str">
        <f t="shared" si="11"/>
        <v/>
      </c>
      <c r="HL12" s="66" t="str">
        <f t="shared" si="11"/>
        <v/>
      </c>
      <c r="HM12" s="66" t="str">
        <f t="shared" si="11"/>
        <v/>
      </c>
      <c r="HN12" s="66" t="str">
        <f t="shared" si="11"/>
        <v/>
      </c>
      <c r="HO12" s="66" t="str">
        <f t="shared" si="11"/>
        <v/>
      </c>
      <c r="HP12" s="66" t="str">
        <f t="shared" si="11"/>
        <v/>
      </c>
      <c r="HQ12" s="66" t="str">
        <f t="shared" si="11"/>
        <v/>
      </c>
      <c r="HR12" s="66" t="str">
        <f t="shared" si="11"/>
        <v/>
      </c>
      <c r="HS12" s="66" t="str">
        <f t="shared" si="11"/>
        <v/>
      </c>
      <c r="HT12" s="66" t="str">
        <f t="shared" si="11"/>
        <v/>
      </c>
      <c r="HU12" s="66" t="str">
        <f t="shared" si="11"/>
        <v/>
      </c>
      <c r="HV12" s="66" t="str">
        <f t="shared" si="11"/>
        <v/>
      </c>
      <c r="HW12" s="66" t="str">
        <f t="shared" si="11"/>
        <v/>
      </c>
      <c r="HX12" s="66" t="str">
        <f t="shared" si="11"/>
        <v/>
      </c>
      <c r="HY12" s="66" t="str">
        <f t="shared" si="11"/>
        <v/>
      </c>
      <c r="HZ12" s="66" t="str">
        <f t="shared" si="11"/>
        <v/>
      </c>
      <c r="IA12" s="66" t="str">
        <f t="shared" si="11"/>
        <v/>
      </c>
      <c r="IB12" s="66" t="str">
        <f t="shared" si="11"/>
        <v/>
      </c>
      <c r="IC12" s="66" t="str">
        <f t="shared" si="11"/>
        <v/>
      </c>
      <c r="ID12" s="66" t="str">
        <f t="shared" si="11"/>
        <v/>
      </c>
      <c r="IE12" s="66" t="str">
        <f t="shared" si="11"/>
        <v/>
      </c>
      <c r="IF12" s="66" t="str">
        <f t="shared" si="11"/>
        <v/>
      </c>
      <c r="IG12" s="66" t="str">
        <f t="shared" si="11"/>
        <v/>
      </c>
      <c r="IH12" s="66" t="str">
        <f t="shared" si="11"/>
        <v/>
      </c>
      <c r="II12" s="66" t="str">
        <f t="shared" si="11"/>
        <v/>
      </c>
      <c r="IJ12" s="66" t="str">
        <f t="shared" si="11"/>
        <v/>
      </c>
      <c r="IK12" s="66" t="str">
        <f t="shared" si="11"/>
        <v/>
      </c>
      <c r="IL12" s="66" t="str">
        <f t="shared" si="11"/>
        <v/>
      </c>
      <c r="IM12" s="66" t="str">
        <f t="shared" si="11"/>
        <v/>
      </c>
      <c r="IN12" s="66" t="str">
        <f t="shared" si="11"/>
        <v/>
      </c>
      <c r="IO12" s="66" t="str">
        <f t="shared" si="11"/>
        <v/>
      </c>
      <c r="IP12" s="66" t="str">
        <f t="shared" si="11"/>
        <v/>
      </c>
      <c r="IQ12" s="66" t="str">
        <f t="shared" si="11"/>
        <v/>
      </c>
      <c r="IR12" s="66" t="str">
        <f t="shared" si="11"/>
        <v/>
      </c>
      <c r="IS12" s="66" t="str">
        <f t="shared" si="11"/>
        <v/>
      </c>
      <c r="IT12" s="66" t="str">
        <f t="shared" si="11"/>
        <v/>
      </c>
      <c r="IU12" s="66" t="str">
        <f t="shared" si="11"/>
        <v/>
      </c>
      <c r="IV12" s="133" t="str">
        <f t="shared" si="11"/>
        <v/>
      </c>
    </row>
    <row r="13" spans="1:256" s="61" customFormat="1" ht="12.75" customHeight="1">
      <c r="A13" s="1"/>
      <c r="B13" s="50" t="s">
        <v>71</v>
      </c>
      <c r="C13" s="111" t="str">
        <f>IF(AND(C7="",C8="",C9=""),"",IF(C14="DoubleSides",NORMSDIST((C11-C10)/C23)-NORMSDIST((C12-C10)/C23),IF(C14="SingleSide-USL",NORMSDIST((C11-C10)/C23),IF(C14="SingleSide-LSL",1-NORMSDIST((C12-C10)/C23),IF(C14="Actual Yield (n&gt;=100)",IF(COUNT(C35:C65536)&gt;=100,(COUNTIF(C35:C65536,"&lt;="&amp;C11)-COUNTIF(C35:C65536,"&lt;"&amp;C12))/COUNT(C35:C65536),"Too Few Records"),IF(C14="Go/NoGo Gauge (n&gt;=100)",IF(COUNTA(C35:C65536)&gt;=100,COUNTIF(C35:C65536,"OK")/COUNTA(C35:C65536),"Too Few Records"),"Error"))))))</f>
        <v/>
      </c>
      <c r="D13" s="111" t="str">
        <f t="shared" ref="D13:BO13" si="12">IF(AND(D7="",D8="",D9=""),"",IF(D14="DoubleSides",NORMSDIST((D11-D10)/D23)-NORMSDIST((D12-D10)/D23),IF(D14="SingleSide-USL",NORMSDIST((D11-D10)/D23),IF(D14="SingleSide-LSL",1-NORMSDIST((D12-D10)/D23),IF(D14="Actual Yield (n&gt;=100)",IF(COUNT(D35:D65536)&gt;=100,(COUNTIF(D35:D65536,"&lt;="&amp;D11)-COUNTIF(D35:D65536,"&lt;"&amp;D12))/COUNT(D35:D65536),"Too Few Records"),IF(D14="Go/NoGo Gauge (n&gt;=100)",IF(COUNTA(D35:D65536)&gt;=100,COUNTIF(D35:D65536,"OK")/COUNTA(D35:D65536),"Too Few Records"),"Error"))))))</f>
        <v/>
      </c>
      <c r="E13" s="111" t="str">
        <f t="shared" si="12"/>
        <v/>
      </c>
      <c r="F13" s="111" t="str">
        <f t="shared" si="12"/>
        <v/>
      </c>
      <c r="G13" s="111" t="str">
        <f t="shared" si="12"/>
        <v/>
      </c>
      <c r="H13" s="111" t="str">
        <f t="shared" si="12"/>
        <v/>
      </c>
      <c r="I13" s="111" t="str">
        <f t="shared" si="12"/>
        <v/>
      </c>
      <c r="J13" s="111" t="str">
        <f t="shared" si="12"/>
        <v/>
      </c>
      <c r="K13" s="111" t="str">
        <f t="shared" si="12"/>
        <v/>
      </c>
      <c r="L13" s="111" t="str">
        <f t="shared" si="12"/>
        <v/>
      </c>
      <c r="M13" s="111" t="str">
        <f t="shared" si="12"/>
        <v/>
      </c>
      <c r="N13" s="111" t="str">
        <f t="shared" si="12"/>
        <v/>
      </c>
      <c r="O13" s="111" t="str">
        <f t="shared" si="12"/>
        <v/>
      </c>
      <c r="P13" s="111" t="str">
        <f t="shared" si="12"/>
        <v/>
      </c>
      <c r="Q13" s="111" t="str">
        <f t="shared" si="12"/>
        <v/>
      </c>
      <c r="R13" s="111" t="str">
        <f t="shared" si="12"/>
        <v/>
      </c>
      <c r="S13" s="111" t="str">
        <f t="shared" si="12"/>
        <v/>
      </c>
      <c r="T13" s="111" t="str">
        <f t="shared" si="12"/>
        <v/>
      </c>
      <c r="U13" s="111" t="str">
        <f t="shared" si="12"/>
        <v/>
      </c>
      <c r="V13" s="111" t="str">
        <f t="shared" si="12"/>
        <v/>
      </c>
      <c r="W13" s="111" t="str">
        <f t="shared" si="12"/>
        <v/>
      </c>
      <c r="X13" s="111" t="str">
        <f t="shared" si="12"/>
        <v/>
      </c>
      <c r="Y13" s="111" t="str">
        <f t="shared" si="12"/>
        <v/>
      </c>
      <c r="Z13" s="111" t="str">
        <f t="shared" si="12"/>
        <v/>
      </c>
      <c r="AA13" s="66" t="str">
        <f t="shared" si="12"/>
        <v/>
      </c>
      <c r="AB13" s="66" t="str">
        <f t="shared" si="12"/>
        <v/>
      </c>
      <c r="AC13" s="66" t="str">
        <f t="shared" si="12"/>
        <v/>
      </c>
      <c r="AD13" s="66" t="str">
        <f t="shared" si="12"/>
        <v/>
      </c>
      <c r="AE13" s="66" t="str">
        <f t="shared" si="12"/>
        <v/>
      </c>
      <c r="AF13" s="66" t="str">
        <f t="shared" si="12"/>
        <v/>
      </c>
      <c r="AG13" s="66" t="str">
        <f t="shared" si="12"/>
        <v/>
      </c>
      <c r="AH13" s="66" t="str">
        <f t="shared" si="12"/>
        <v/>
      </c>
      <c r="AI13" s="66" t="str">
        <f t="shared" si="12"/>
        <v/>
      </c>
      <c r="AJ13" s="66" t="str">
        <f t="shared" si="12"/>
        <v/>
      </c>
      <c r="AK13" s="66" t="str">
        <f t="shared" si="12"/>
        <v/>
      </c>
      <c r="AL13" s="66" t="str">
        <f t="shared" si="12"/>
        <v/>
      </c>
      <c r="AM13" s="66" t="str">
        <f t="shared" si="12"/>
        <v/>
      </c>
      <c r="AN13" s="66" t="str">
        <f t="shared" si="12"/>
        <v/>
      </c>
      <c r="AO13" s="66" t="str">
        <f t="shared" si="12"/>
        <v/>
      </c>
      <c r="AP13" s="66" t="str">
        <f t="shared" si="12"/>
        <v/>
      </c>
      <c r="AQ13" s="66" t="str">
        <f t="shared" si="12"/>
        <v/>
      </c>
      <c r="AR13" s="66" t="str">
        <f t="shared" si="12"/>
        <v/>
      </c>
      <c r="AS13" s="66" t="str">
        <f t="shared" si="12"/>
        <v/>
      </c>
      <c r="AT13" s="66" t="str">
        <f t="shared" si="12"/>
        <v/>
      </c>
      <c r="AU13" s="66" t="str">
        <f t="shared" si="12"/>
        <v/>
      </c>
      <c r="AV13" s="66" t="str">
        <f t="shared" si="12"/>
        <v/>
      </c>
      <c r="AW13" s="66" t="str">
        <f t="shared" si="12"/>
        <v/>
      </c>
      <c r="AX13" s="66" t="str">
        <f t="shared" si="12"/>
        <v/>
      </c>
      <c r="AY13" s="66" t="str">
        <f t="shared" si="12"/>
        <v/>
      </c>
      <c r="AZ13" s="66" t="str">
        <f t="shared" si="12"/>
        <v/>
      </c>
      <c r="BA13" s="66" t="str">
        <f t="shared" si="12"/>
        <v/>
      </c>
      <c r="BB13" s="66" t="str">
        <f t="shared" si="12"/>
        <v/>
      </c>
      <c r="BC13" s="66" t="str">
        <f t="shared" si="12"/>
        <v/>
      </c>
      <c r="BD13" s="66" t="str">
        <f t="shared" si="12"/>
        <v/>
      </c>
      <c r="BE13" s="66" t="str">
        <f t="shared" si="12"/>
        <v/>
      </c>
      <c r="BF13" s="66" t="str">
        <f t="shared" si="12"/>
        <v/>
      </c>
      <c r="BG13" s="66" t="str">
        <f t="shared" si="12"/>
        <v/>
      </c>
      <c r="BH13" s="66" t="str">
        <f t="shared" si="12"/>
        <v/>
      </c>
      <c r="BI13" s="66" t="str">
        <f t="shared" si="12"/>
        <v/>
      </c>
      <c r="BJ13" s="66" t="str">
        <f t="shared" si="12"/>
        <v/>
      </c>
      <c r="BK13" s="66" t="str">
        <f t="shared" si="12"/>
        <v/>
      </c>
      <c r="BL13" s="66" t="str">
        <f t="shared" si="12"/>
        <v/>
      </c>
      <c r="BM13" s="66" t="str">
        <f t="shared" si="12"/>
        <v/>
      </c>
      <c r="BN13" s="66" t="str">
        <f t="shared" si="12"/>
        <v/>
      </c>
      <c r="BO13" s="66" t="str">
        <f t="shared" si="12"/>
        <v/>
      </c>
      <c r="BP13" s="66" t="str">
        <f t="shared" ref="BP13:EA13" si="13">IF(AND(BP7="",BP8="",BP9=""),"",IF(BP14="DoubleSides",NORMSDIST((BP11-BP10)/BP23)-NORMSDIST((BP12-BP10)/BP23),IF(BP14="SingleSide-USL",NORMSDIST((BP11-BP10)/BP23),IF(BP14="SingleSide-LSL",1-NORMSDIST((BP12-BP10)/BP23),IF(BP14="Actual Yield (n&gt;=100)",IF(COUNT(BP35:BP65536)&gt;=100,(COUNTIF(BP35:BP65536,"&lt;="&amp;BP11)-COUNTIF(BP35:BP65536,"&lt;"&amp;BP12))/COUNT(BP35:BP65536),"Too Few Records"),IF(BP14="Go/NoGo Gauge (n&gt;=100)",IF(COUNTA(BP35:BP65536)&gt;=100,COUNTIF(BP35:BP65536,"OK")/COUNTA(BP35:BP65536),"Too Few Records"),"Error"))))))</f>
        <v/>
      </c>
      <c r="BQ13" s="66" t="str">
        <f t="shared" si="13"/>
        <v/>
      </c>
      <c r="BR13" s="66" t="str">
        <f t="shared" si="13"/>
        <v/>
      </c>
      <c r="BS13" s="66" t="str">
        <f t="shared" si="13"/>
        <v/>
      </c>
      <c r="BT13" s="66" t="str">
        <f t="shared" si="13"/>
        <v/>
      </c>
      <c r="BU13" s="66" t="str">
        <f t="shared" si="13"/>
        <v/>
      </c>
      <c r="BV13" s="66" t="str">
        <f t="shared" si="13"/>
        <v/>
      </c>
      <c r="BW13" s="66" t="str">
        <f t="shared" si="13"/>
        <v/>
      </c>
      <c r="BX13" s="66" t="str">
        <f t="shared" si="13"/>
        <v/>
      </c>
      <c r="BY13" s="66" t="str">
        <f t="shared" si="13"/>
        <v/>
      </c>
      <c r="BZ13" s="66" t="str">
        <f t="shared" si="13"/>
        <v/>
      </c>
      <c r="CA13" s="66" t="str">
        <f t="shared" si="13"/>
        <v/>
      </c>
      <c r="CB13" s="66" t="str">
        <f t="shared" si="13"/>
        <v/>
      </c>
      <c r="CC13" s="66" t="str">
        <f t="shared" si="13"/>
        <v/>
      </c>
      <c r="CD13" s="66" t="str">
        <f t="shared" si="13"/>
        <v/>
      </c>
      <c r="CE13" s="66" t="str">
        <f t="shared" si="13"/>
        <v/>
      </c>
      <c r="CF13" s="66" t="str">
        <f t="shared" si="13"/>
        <v/>
      </c>
      <c r="CG13" s="66" t="str">
        <f t="shared" si="13"/>
        <v/>
      </c>
      <c r="CH13" s="66" t="str">
        <f t="shared" si="13"/>
        <v/>
      </c>
      <c r="CI13" s="66" t="str">
        <f t="shared" si="13"/>
        <v/>
      </c>
      <c r="CJ13" s="66" t="str">
        <f t="shared" si="13"/>
        <v/>
      </c>
      <c r="CK13" s="66" t="str">
        <f t="shared" si="13"/>
        <v/>
      </c>
      <c r="CL13" s="66" t="str">
        <f t="shared" si="13"/>
        <v/>
      </c>
      <c r="CM13" s="66" t="str">
        <f t="shared" si="13"/>
        <v/>
      </c>
      <c r="CN13" s="66" t="str">
        <f t="shared" si="13"/>
        <v/>
      </c>
      <c r="CO13" s="66" t="str">
        <f t="shared" si="13"/>
        <v/>
      </c>
      <c r="CP13" s="66" t="str">
        <f t="shared" si="13"/>
        <v/>
      </c>
      <c r="CQ13" s="66" t="str">
        <f t="shared" si="13"/>
        <v/>
      </c>
      <c r="CR13" s="66" t="str">
        <f t="shared" si="13"/>
        <v/>
      </c>
      <c r="CS13" s="66" t="str">
        <f t="shared" si="13"/>
        <v/>
      </c>
      <c r="CT13" s="66" t="str">
        <f t="shared" si="13"/>
        <v/>
      </c>
      <c r="CU13" s="66" t="str">
        <f t="shared" si="13"/>
        <v/>
      </c>
      <c r="CV13" s="66" t="str">
        <f t="shared" si="13"/>
        <v/>
      </c>
      <c r="CW13" s="66" t="str">
        <f t="shared" si="13"/>
        <v/>
      </c>
      <c r="CX13" s="66" t="str">
        <f t="shared" si="13"/>
        <v/>
      </c>
      <c r="CY13" s="66" t="str">
        <f t="shared" si="13"/>
        <v/>
      </c>
      <c r="CZ13" s="66" t="str">
        <f t="shared" si="13"/>
        <v/>
      </c>
      <c r="DA13" s="66" t="str">
        <f t="shared" si="13"/>
        <v/>
      </c>
      <c r="DB13" s="66" t="str">
        <f t="shared" si="13"/>
        <v/>
      </c>
      <c r="DC13" s="66" t="str">
        <f t="shared" si="13"/>
        <v/>
      </c>
      <c r="DD13" s="66" t="str">
        <f t="shared" si="13"/>
        <v/>
      </c>
      <c r="DE13" s="66" t="str">
        <f t="shared" si="13"/>
        <v/>
      </c>
      <c r="DF13" s="66" t="str">
        <f t="shared" si="13"/>
        <v/>
      </c>
      <c r="DG13" s="66" t="str">
        <f t="shared" si="13"/>
        <v/>
      </c>
      <c r="DH13" s="66" t="str">
        <f t="shared" si="13"/>
        <v/>
      </c>
      <c r="DI13" s="66" t="str">
        <f t="shared" si="13"/>
        <v/>
      </c>
      <c r="DJ13" s="66" t="str">
        <f t="shared" si="13"/>
        <v/>
      </c>
      <c r="DK13" s="66" t="str">
        <f t="shared" si="13"/>
        <v/>
      </c>
      <c r="DL13" s="66" t="str">
        <f t="shared" si="13"/>
        <v/>
      </c>
      <c r="DM13" s="66" t="str">
        <f t="shared" si="13"/>
        <v/>
      </c>
      <c r="DN13" s="66" t="str">
        <f t="shared" si="13"/>
        <v/>
      </c>
      <c r="DO13" s="66" t="str">
        <f t="shared" si="13"/>
        <v/>
      </c>
      <c r="DP13" s="66" t="str">
        <f t="shared" si="13"/>
        <v/>
      </c>
      <c r="DQ13" s="66" t="str">
        <f t="shared" si="13"/>
        <v/>
      </c>
      <c r="DR13" s="66" t="str">
        <f t="shared" si="13"/>
        <v/>
      </c>
      <c r="DS13" s="66" t="str">
        <f t="shared" si="13"/>
        <v/>
      </c>
      <c r="DT13" s="66" t="str">
        <f t="shared" si="13"/>
        <v/>
      </c>
      <c r="DU13" s="66" t="str">
        <f t="shared" si="13"/>
        <v/>
      </c>
      <c r="DV13" s="66" t="str">
        <f t="shared" si="13"/>
        <v/>
      </c>
      <c r="DW13" s="66" t="str">
        <f t="shared" si="13"/>
        <v/>
      </c>
      <c r="DX13" s="66" t="str">
        <f t="shared" si="13"/>
        <v/>
      </c>
      <c r="DY13" s="66" t="str">
        <f t="shared" si="13"/>
        <v/>
      </c>
      <c r="DZ13" s="66" t="str">
        <f t="shared" si="13"/>
        <v/>
      </c>
      <c r="EA13" s="66" t="str">
        <f t="shared" si="13"/>
        <v/>
      </c>
      <c r="EB13" s="66" t="str">
        <f t="shared" ref="EB13:GM13" si="14">IF(AND(EB7="",EB8="",EB9=""),"",IF(EB14="DoubleSides",NORMSDIST((EB11-EB10)/EB23)-NORMSDIST((EB12-EB10)/EB23),IF(EB14="SingleSide-USL",NORMSDIST((EB11-EB10)/EB23),IF(EB14="SingleSide-LSL",1-NORMSDIST((EB12-EB10)/EB23),IF(EB14="Actual Yield (n&gt;=100)",IF(COUNT(EB35:EB65536)&gt;=100,(COUNTIF(EB35:EB65536,"&lt;="&amp;EB11)-COUNTIF(EB35:EB65536,"&lt;"&amp;EB12))/COUNT(EB35:EB65536),"Too Few Records"),IF(EB14="Go/NoGo Gauge (n&gt;=100)",IF(COUNTA(EB35:EB65536)&gt;=100,COUNTIF(EB35:EB65536,"OK")/COUNTA(EB35:EB65536),"Too Few Records"),"Error"))))))</f>
        <v/>
      </c>
      <c r="EC13" s="66" t="str">
        <f t="shared" si="14"/>
        <v/>
      </c>
      <c r="ED13" s="66" t="str">
        <f t="shared" si="14"/>
        <v/>
      </c>
      <c r="EE13" s="66" t="str">
        <f t="shared" si="14"/>
        <v/>
      </c>
      <c r="EF13" s="66" t="str">
        <f t="shared" si="14"/>
        <v/>
      </c>
      <c r="EG13" s="66" t="str">
        <f t="shared" si="14"/>
        <v/>
      </c>
      <c r="EH13" s="66" t="str">
        <f t="shared" si="14"/>
        <v/>
      </c>
      <c r="EI13" s="66" t="str">
        <f t="shared" si="14"/>
        <v/>
      </c>
      <c r="EJ13" s="66" t="str">
        <f t="shared" si="14"/>
        <v/>
      </c>
      <c r="EK13" s="66" t="str">
        <f t="shared" si="14"/>
        <v/>
      </c>
      <c r="EL13" s="66" t="str">
        <f t="shared" si="14"/>
        <v/>
      </c>
      <c r="EM13" s="66" t="str">
        <f t="shared" si="14"/>
        <v/>
      </c>
      <c r="EN13" s="66" t="str">
        <f t="shared" si="14"/>
        <v/>
      </c>
      <c r="EO13" s="66" t="str">
        <f t="shared" si="14"/>
        <v/>
      </c>
      <c r="EP13" s="66" t="str">
        <f t="shared" si="14"/>
        <v/>
      </c>
      <c r="EQ13" s="66" t="str">
        <f t="shared" si="14"/>
        <v/>
      </c>
      <c r="ER13" s="66" t="str">
        <f t="shared" si="14"/>
        <v/>
      </c>
      <c r="ES13" s="66" t="str">
        <f t="shared" si="14"/>
        <v/>
      </c>
      <c r="ET13" s="66" t="str">
        <f t="shared" si="14"/>
        <v/>
      </c>
      <c r="EU13" s="66" t="str">
        <f t="shared" si="14"/>
        <v/>
      </c>
      <c r="EV13" s="66" t="str">
        <f t="shared" si="14"/>
        <v/>
      </c>
      <c r="EW13" s="66" t="str">
        <f t="shared" si="14"/>
        <v/>
      </c>
      <c r="EX13" s="66" t="str">
        <f t="shared" si="14"/>
        <v/>
      </c>
      <c r="EY13" s="66" t="str">
        <f t="shared" si="14"/>
        <v/>
      </c>
      <c r="EZ13" s="66" t="str">
        <f t="shared" si="14"/>
        <v/>
      </c>
      <c r="FA13" s="66" t="str">
        <f t="shared" si="14"/>
        <v/>
      </c>
      <c r="FB13" s="66" t="str">
        <f t="shared" si="14"/>
        <v/>
      </c>
      <c r="FC13" s="66" t="str">
        <f t="shared" si="14"/>
        <v/>
      </c>
      <c r="FD13" s="66" t="str">
        <f t="shared" si="14"/>
        <v/>
      </c>
      <c r="FE13" s="66" t="str">
        <f t="shared" si="14"/>
        <v/>
      </c>
      <c r="FF13" s="66" t="str">
        <f t="shared" si="14"/>
        <v/>
      </c>
      <c r="FG13" s="66" t="str">
        <f t="shared" si="14"/>
        <v/>
      </c>
      <c r="FH13" s="66" t="str">
        <f t="shared" si="14"/>
        <v/>
      </c>
      <c r="FI13" s="66" t="str">
        <f t="shared" si="14"/>
        <v/>
      </c>
      <c r="FJ13" s="66" t="str">
        <f t="shared" si="14"/>
        <v/>
      </c>
      <c r="FK13" s="66" t="str">
        <f t="shared" si="14"/>
        <v/>
      </c>
      <c r="FL13" s="66" t="str">
        <f t="shared" si="14"/>
        <v/>
      </c>
      <c r="FM13" s="66" t="str">
        <f t="shared" si="14"/>
        <v/>
      </c>
      <c r="FN13" s="66" t="str">
        <f t="shared" si="14"/>
        <v/>
      </c>
      <c r="FO13" s="66" t="str">
        <f t="shared" si="14"/>
        <v/>
      </c>
      <c r="FP13" s="66" t="str">
        <f t="shared" si="14"/>
        <v/>
      </c>
      <c r="FQ13" s="66" t="str">
        <f t="shared" si="14"/>
        <v/>
      </c>
      <c r="FR13" s="66" t="str">
        <f t="shared" si="14"/>
        <v/>
      </c>
      <c r="FS13" s="66" t="str">
        <f t="shared" si="14"/>
        <v/>
      </c>
      <c r="FT13" s="66" t="str">
        <f t="shared" si="14"/>
        <v/>
      </c>
      <c r="FU13" s="66" t="str">
        <f t="shared" si="14"/>
        <v/>
      </c>
      <c r="FV13" s="66" t="str">
        <f t="shared" si="14"/>
        <v/>
      </c>
      <c r="FW13" s="66" t="str">
        <f t="shared" si="14"/>
        <v/>
      </c>
      <c r="FX13" s="66" t="str">
        <f t="shared" si="14"/>
        <v/>
      </c>
      <c r="FY13" s="66" t="str">
        <f t="shared" si="14"/>
        <v/>
      </c>
      <c r="FZ13" s="66" t="str">
        <f t="shared" si="14"/>
        <v/>
      </c>
      <c r="GA13" s="66" t="str">
        <f t="shared" si="14"/>
        <v/>
      </c>
      <c r="GB13" s="66" t="str">
        <f t="shared" si="14"/>
        <v/>
      </c>
      <c r="GC13" s="66" t="str">
        <f t="shared" si="14"/>
        <v/>
      </c>
      <c r="GD13" s="66" t="str">
        <f t="shared" si="14"/>
        <v/>
      </c>
      <c r="GE13" s="66" t="str">
        <f t="shared" si="14"/>
        <v/>
      </c>
      <c r="GF13" s="66" t="str">
        <f t="shared" si="14"/>
        <v/>
      </c>
      <c r="GG13" s="66" t="str">
        <f t="shared" si="14"/>
        <v/>
      </c>
      <c r="GH13" s="66" t="str">
        <f t="shared" si="14"/>
        <v/>
      </c>
      <c r="GI13" s="66" t="str">
        <f t="shared" si="14"/>
        <v/>
      </c>
      <c r="GJ13" s="66" t="str">
        <f t="shared" si="14"/>
        <v/>
      </c>
      <c r="GK13" s="66" t="str">
        <f t="shared" si="14"/>
        <v/>
      </c>
      <c r="GL13" s="66" t="str">
        <f t="shared" si="14"/>
        <v/>
      </c>
      <c r="GM13" s="66" t="str">
        <f t="shared" si="14"/>
        <v/>
      </c>
      <c r="GN13" s="66" t="str">
        <f t="shared" ref="GN13:IV13" si="15">IF(AND(GN7="",GN8="",GN9=""),"",IF(GN14="DoubleSides",NORMSDIST((GN11-GN10)/GN23)-NORMSDIST((GN12-GN10)/GN23),IF(GN14="SingleSide-USL",NORMSDIST((GN11-GN10)/GN23),IF(GN14="SingleSide-LSL",1-NORMSDIST((GN12-GN10)/GN23),IF(GN14="Actual Yield (n&gt;=100)",IF(COUNT(GN35:GN65536)&gt;=100,(COUNTIF(GN35:GN65536,"&lt;="&amp;GN11)-COUNTIF(GN35:GN65536,"&lt;"&amp;GN12))/COUNT(GN35:GN65536),"Too Few Records"),IF(GN14="Go/NoGo Gauge (n&gt;=100)",IF(COUNTA(GN35:GN65536)&gt;=100,COUNTIF(GN35:GN65536,"OK")/COUNTA(GN35:GN65536),"Too Few Records"),"Error"))))))</f>
        <v/>
      </c>
      <c r="GO13" s="66" t="str">
        <f t="shared" si="15"/>
        <v/>
      </c>
      <c r="GP13" s="66" t="str">
        <f t="shared" si="15"/>
        <v/>
      </c>
      <c r="GQ13" s="66" t="str">
        <f t="shared" si="15"/>
        <v/>
      </c>
      <c r="GR13" s="66" t="str">
        <f t="shared" si="15"/>
        <v/>
      </c>
      <c r="GS13" s="66" t="str">
        <f t="shared" si="15"/>
        <v/>
      </c>
      <c r="GT13" s="66" t="str">
        <f t="shared" si="15"/>
        <v/>
      </c>
      <c r="GU13" s="66" t="str">
        <f t="shared" si="15"/>
        <v/>
      </c>
      <c r="GV13" s="66" t="str">
        <f t="shared" si="15"/>
        <v/>
      </c>
      <c r="GW13" s="66" t="str">
        <f t="shared" si="15"/>
        <v/>
      </c>
      <c r="GX13" s="66" t="str">
        <f t="shared" si="15"/>
        <v/>
      </c>
      <c r="GY13" s="66" t="str">
        <f t="shared" si="15"/>
        <v/>
      </c>
      <c r="GZ13" s="66" t="str">
        <f t="shared" si="15"/>
        <v/>
      </c>
      <c r="HA13" s="66" t="str">
        <f t="shared" si="15"/>
        <v/>
      </c>
      <c r="HB13" s="66" t="str">
        <f t="shared" si="15"/>
        <v/>
      </c>
      <c r="HC13" s="66" t="str">
        <f t="shared" si="15"/>
        <v/>
      </c>
      <c r="HD13" s="66" t="str">
        <f t="shared" si="15"/>
        <v/>
      </c>
      <c r="HE13" s="66" t="str">
        <f t="shared" si="15"/>
        <v/>
      </c>
      <c r="HF13" s="66" t="str">
        <f t="shared" si="15"/>
        <v/>
      </c>
      <c r="HG13" s="66" t="str">
        <f t="shared" si="15"/>
        <v/>
      </c>
      <c r="HH13" s="66" t="str">
        <f t="shared" si="15"/>
        <v/>
      </c>
      <c r="HI13" s="66" t="str">
        <f t="shared" si="15"/>
        <v/>
      </c>
      <c r="HJ13" s="66" t="str">
        <f t="shared" si="15"/>
        <v/>
      </c>
      <c r="HK13" s="66" t="str">
        <f t="shared" si="15"/>
        <v/>
      </c>
      <c r="HL13" s="66" t="str">
        <f t="shared" si="15"/>
        <v/>
      </c>
      <c r="HM13" s="66" t="str">
        <f t="shared" si="15"/>
        <v/>
      </c>
      <c r="HN13" s="66" t="str">
        <f t="shared" si="15"/>
        <v/>
      </c>
      <c r="HO13" s="66" t="str">
        <f t="shared" si="15"/>
        <v/>
      </c>
      <c r="HP13" s="66" t="str">
        <f t="shared" si="15"/>
        <v/>
      </c>
      <c r="HQ13" s="66" t="str">
        <f t="shared" si="15"/>
        <v/>
      </c>
      <c r="HR13" s="66" t="str">
        <f t="shared" si="15"/>
        <v/>
      </c>
      <c r="HS13" s="66" t="str">
        <f t="shared" si="15"/>
        <v/>
      </c>
      <c r="HT13" s="66" t="str">
        <f t="shared" si="15"/>
        <v/>
      </c>
      <c r="HU13" s="66" t="str">
        <f t="shared" si="15"/>
        <v/>
      </c>
      <c r="HV13" s="66" t="str">
        <f t="shared" si="15"/>
        <v/>
      </c>
      <c r="HW13" s="66" t="str">
        <f t="shared" si="15"/>
        <v/>
      </c>
      <c r="HX13" s="66" t="str">
        <f t="shared" si="15"/>
        <v/>
      </c>
      <c r="HY13" s="66" t="str">
        <f t="shared" si="15"/>
        <v/>
      </c>
      <c r="HZ13" s="66" t="str">
        <f t="shared" si="15"/>
        <v/>
      </c>
      <c r="IA13" s="66" t="str">
        <f t="shared" si="15"/>
        <v/>
      </c>
      <c r="IB13" s="66" t="str">
        <f t="shared" si="15"/>
        <v/>
      </c>
      <c r="IC13" s="66" t="str">
        <f t="shared" si="15"/>
        <v/>
      </c>
      <c r="ID13" s="66" t="str">
        <f t="shared" si="15"/>
        <v/>
      </c>
      <c r="IE13" s="66" t="str">
        <f t="shared" si="15"/>
        <v/>
      </c>
      <c r="IF13" s="66" t="str">
        <f t="shared" si="15"/>
        <v/>
      </c>
      <c r="IG13" s="66" t="str">
        <f t="shared" si="15"/>
        <v/>
      </c>
      <c r="IH13" s="66" t="str">
        <f t="shared" si="15"/>
        <v/>
      </c>
      <c r="II13" s="66" t="str">
        <f t="shared" si="15"/>
        <v/>
      </c>
      <c r="IJ13" s="66" t="str">
        <f t="shared" si="15"/>
        <v/>
      </c>
      <c r="IK13" s="66" t="str">
        <f t="shared" si="15"/>
        <v/>
      </c>
      <c r="IL13" s="66" t="str">
        <f t="shared" si="15"/>
        <v/>
      </c>
      <c r="IM13" s="66" t="str">
        <f t="shared" si="15"/>
        <v/>
      </c>
      <c r="IN13" s="66" t="str">
        <f t="shared" si="15"/>
        <v/>
      </c>
      <c r="IO13" s="66" t="str">
        <f t="shared" si="15"/>
        <v/>
      </c>
      <c r="IP13" s="66" t="str">
        <f t="shared" si="15"/>
        <v/>
      </c>
      <c r="IQ13" s="66" t="str">
        <f t="shared" si="15"/>
        <v/>
      </c>
      <c r="IR13" s="66" t="str">
        <f t="shared" si="15"/>
        <v/>
      </c>
      <c r="IS13" s="66" t="str">
        <f t="shared" si="15"/>
        <v/>
      </c>
      <c r="IT13" s="66" t="str">
        <f t="shared" si="15"/>
        <v/>
      </c>
      <c r="IU13" s="66" t="str">
        <f t="shared" si="15"/>
        <v/>
      </c>
      <c r="IV13" s="66" t="str">
        <f t="shared" si="15"/>
        <v/>
      </c>
    </row>
    <row r="14" spans="1:256" s="63" customFormat="1" ht="24.75" customHeight="1">
      <c r="A14" s="1"/>
      <c r="B14" s="50" t="s">
        <v>72</v>
      </c>
      <c r="C14" s="62" t="s">
        <v>129</v>
      </c>
      <c r="D14" s="62" t="s">
        <v>129</v>
      </c>
      <c r="E14" s="62" t="s">
        <v>129</v>
      </c>
      <c r="F14" s="62" t="s">
        <v>129</v>
      </c>
      <c r="G14" s="62" t="s">
        <v>129</v>
      </c>
      <c r="H14" s="62" t="s">
        <v>129</v>
      </c>
      <c r="I14" s="62" t="s">
        <v>129</v>
      </c>
      <c r="J14" s="62" t="s">
        <v>129</v>
      </c>
      <c r="K14" s="62" t="s">
        <v>129</v>
      </c>
      <c r="L14" s="62" t="s">
        <v>129</v>
      </c>
      <c r="M14" s="62" t="s">
        <v>129</v>
      </c>
      <c r="N14" s="62" t="s">
        <v>129</v>
      </c>
      <c r="O14" s="62" t="s">
        <v>129</v>
      </c>
      <c r="P14" s="62" t="s">
        <v>129</v>
      </c>
      <c r="Q14" s="62" t="s">
        <v>129</v>
      </c>
      <c r="R14" s="62" t="s">
        <v>129</v>
      </c>
      <c r="S14" s="62"/>
      <c r="T14" s="62"/>
      <c r="U14" s="62"/>
      <c r="V14" s="62"/>
      <c r="W14" s="62"/>
      <c r="X14" s="62"/>
      <c r="Y14" s="62"/>
      <c r="Z14" s="62"/>
      <c r="IV14" s="134"/>
    </row>
    <row r="15" spans="1:256" ht="12.75" customHeight="1">
      <c r="B15" s="150" t="s">
        <v>11</v>
      </c>
      <c r="C15" s="144" t="s">
        <v>180</v>
      </c>
      <c r="D15" s="144" t="s">
        <v>142</v>
      </c>
      <c r="E15" s="144" t="s">
        <v>181</v>
      </c>
      <c r="F15" s="144" t="s">
        <v>138</v>
      </c>
      <c r="G15" s="144" t="s">
        <v>182</v>
      </c>
      <c r="H15" s="144" t="s">
        <v>139</v>
      </c>
      <c r="I15" s="144" t="s">
        <v>144</v>
      </c>
      <c r="J15" s="144" t="s">
        <v>145</v>
      </c>
      <c r="K15" s="144" t="s">
        <v>146</v>
      </c>
      <c r="L15" s="144" t="s">
        <v>147</v>
      </c>
      <c r="M15" s="144" t="s">
        <v>148</v>
      </c>
      <c r="N15" s="144" t="s">
        <v>149</v>
      </c>
      <c r="O15" s="144" t="s">
        <v>150</v>
      </c>
      <c r="P15" s="144" t="s">
        <v>151</v>
      </c>
      <c r="Q15" s="2" t="s">
        <v>141</v>
      </c>
      <c r="R15" s="2" t="s">
        <v>152</v>
      </c>
      <c r="S15" s="2"/>
      <c r="T15" s="2"/>
      <c r="U15" s="2"/>
      <c r="V15" s="2"/>
      <c r="W15" s="2"/>
      <c r="X15" s="2"/>
      <c r="Y15" s="2"/>
      <c r="Z15" s="2"/>
    </row>
    <row r="16" spans="1:256" ht="12.75" customHeight="1">
      <c r="B16" s="49" t="s">
        <v>12</v>
      </c>
      <c r="C16" s="145">
        <v>1.3</v>
      </c>
      <c r="D16" s="145">
        <v>1</v>
      </c>
      <c r="E16" s="145">
        <v>2.4</v>
      </c>
      <c r="F16" s="145">
        <v>3.3</v>
      </c>
      <c r="G16" s="145">
        <v>0.86</v>
      </c>
      <c r="H16" s="145">
        <v>0.86</v>
      </c>
      <c r="I16" s="145">
        <v>2.9</v>
      </c>
      <c r="J16" s="145">
        <v>0.3</v>
      </c>
      <c r="K16" s="145">
        <v>0.3</v>
      </c>
      <c r="L16" s="145">
        <v>0.25</v>
      </c>
      <c r="M16" s="145">
        <v>0.25</v>
      </c>
      <c r="N16" s="145">
        <v>0.25</v>
      </c>
      <c r="O16" s="145">
        <v>0.56599999999999995</v>
      </c>
      <c r="P16" s="145">
        <v>0.56599999999999995</v>
      </c>
      <c r="Q16" s="3">
        <v>1.25</v>
      </c>
      <c r="R16" s="3">
        <v>1.25</v>
      </c>
      <c r="S16" s="48"/>
      <c r="T16" s="48"/>
      <c r="U16" s="48"/>
      <c r="V16" s="48"/>
      <c r="W16" s="48"/>
      <c r="X16" s="48"/>
      <c r="Y16" s="48"/>
      <c r="Z16" s="48"/>
    </row>
    <row r="17" spans="2:26" ht="12.75" customHeight="1">
      <c r="B17" s="47" t="s">
        <v>26</v>
      </c>
      <c r="C17" s="146">
        <v>0.03</v>
      </c>
      <c r="D17" s="146">
        <v>0.04</v>
      </c>
      <c r="E17" s="146">
        <v>0.04</v>
      </c>
      <c r="F17" s="146">
        <v>0.05</v>
      </c>
      <c r="G17" s="146">
        <v>0.05</v>
      </c>
      <c r="H17" s="146">
        <v>0.05</v>
      </c>
      <c r="I17" s="146">
        <v>0.05</v>
      </c>
      <c r="J17" s="146">
        <v>0.03</v>
      </c>
      <c r="K17" s="145">
        <v>0.03</v>
      </c>
      <c r="L17" s="145">
        <v>0.03</v>
      </c>
      <c r="M17" s="145">
        <v>0.03</v>
      </c>
      <c r="N17" s="145">
        <v>0.03</v>
      </c>
      <c r="O17" s="145">
        <v>0.03</v>
      </c>
      <c r="P17" s="145">
        <v>0.03</v>
      </c>
      <c r="Q17" s="3">
        <v>0.1</v>
      </c>
      <c r="R17" s="3">
        <v>0.05</v>
      </c>
      <c r="S17" s="48"/>
      <c r="T17" s="48"/>
      <c r="U17" s="48"/>
      <c r="V17" s="48"/>
      <c r="W17" s="48"/>
      <c r="X17" s="48"/>
      <c r="Y17" s="48"/>
      <c r="Z17" s="48"/>
    </row>
    <row r="18" spans="2:26" ht="12.75" customHeight="1">
      <c r="B18" s="47" t="s">
        <v>125</v>
      </c>
      <c r="C18" s="146">
        <v>0.03</v>
      </c>
      <c r="D18" s="146">
        <v>0.04</v>
      </c>
      <c r="E18" s="146">
        <v>0.04</v>
      </c>
      <c r="F18" s="146">
        <v>0.05</v>
      </c>
      <c r="G18" s="146">
        <v>0.05</v>
      </c>
      <c r="H18" s="146">
        <v>0.05</v>
      </c>
      <c r="I18" s="146">
        <v>0.05</v>
      </c>
      <c r="J18" s="146">
        <v>0.03</v>
      </c>
      <c r="K18" s="145">
        <v>0.03</v>
      </c>
      <c r="L18" s="145">
        <v>0.03</v>
      </c>
      <c r="M18" s="145">
        <v>0.03</v>
      </c>
      <c r="N18" s="145">
        <v>0.03</v>
      </c>
      <c r="O18" s="145">
        <v>0.03</v>
      </c>
      <c r="P18" s="145">
        <v>0.03</v>
      </c>
      <c r="Q18" s="3">
        <v>0.1</v>
      </c>
      <c r="R18" s="3">
        <v>0.05</v>
      </c>
      <c r="S18" s="48"/>
      <c r="T18" s="48"/>
      <c r="U18" s="48"/>
      <c r="V18" s="48"/>
      <c r="W18" s="48"/>
      <c r="X18" s="48"/>
      <c r="Y18" s="48"/>
      <c r="Z18" s="48"/>
    </row>
    <row r="19" spans="2:26" ht="12.75" customHeight="1">
      <c r="B19" s="151" t="s">
        <v>73</v>
      </c>
      <c r="C19" s="145" t="s">
        <v>183</v>
      </c>
      <c r="D19" s="145" t="s">
        <v>136</v>
      </c>
      <c r="E19" s="145" t="s">
        <v>136</v>
      </c>
      <c r="F19" s="145" t="s">
        <v>153</v>
      </c>
      <c r="G19" s="145" t="s">
        <v>184</v>
      </c>
      <c r="H19" s="145" t="s">
        <v>136</v>
      </c>
      <c r="I19" s="145" t="s">
        <v>136</v>
      </c>
      <c r="J19" s="145" t="s">
        <v>136</v>
      </c>
      <c r="K19" s="145" t="s">
        <v>136</v>
      </c>
      <c r="L19" s="145" t="s">
        <v>136</v>
      </c>
      <c r="M19" s="145" t="s">
        <v>136</v>
      </c>
      <c r="N19" s="145" t="s">
        <v>136</v>
      </c>
      <c r="O19" s="145" t="s">
        <v>136</v>
      </c>
      <c r="P19" s="145" t="s">
        <v>136</v>
      </c>
      <c r="Q19" s="3" t="s">
        <v>136</v>
      </c>
      <c r="R19" s="3" t="s">
        <v>136</v>
      </c>
      <c r="S19" s="3"/>
      <c r="T19" s="3"/>
      <c r="U19" s="3"/>
      <c r="V19" s="3"/>
      <c r="W19" s="3"/>
      <c r="X19" s="3"/>
      <c r="Y19" s="3"/>
      <c r="Z19" s="3"/>
    </row>
    <row r="20" spans="2:26" ht="12.75" customHeight="1">
      <c r="B20" s="47" t="s">
        <v>74</v>
      </c>
      <c r="C20" s="3"/>
      <c r="D20" s="3"/>
      <c r="E20" s="3"/>
      <c r="F20" s="3"/>
      <c r="G20" s="3"/>
      <c r="H20" s="3"/>
      <c r="I20" s="3"/>
      <c r="J20" s="3"/>
      <c r="K20" s="3"/>
      <c r="L20" s="3"/>
      <c r="M20" s="3"/>
      <c r="N20" s="3"/>
      <c r="O20" s="3"/>
      <c r="P20" s="3"/>
      <c r="Q20" s="3"/>
      <c r="R20" s="3"/>
      <c r="S20" s="3"/>
      <c r="T20" s="3"/>
      <c r="U20" s="3"/>
      <c r="V20" s="3"/>
      <c r="W20" s="3"/>
      <c r="X20" s="3"/>
      <c r="Y20" s="3"/>
      <c r="Z20" s="3"/>
    </row>
    <row r="21" spans="2:26" ht="12.75" customHeight="1">
      <c r="B21" s="47" t="s">
        <v>126</v>
      </c>
      <c r="C21" s="10">
        <f t="shared" ref="C21:Z21" si="16">C16+ABS(C17)</f>
        <v>1.33</v>
      </c>
      <c r="D21" s="10">
        <f t="shared" si="16"/>
        <v>1.04</v>
      </c>
      <c r="E21" s="10">
        <f t="shared" si="16"/>
        <v>2.44</v>
      </c>
      <c r="F21" s="10">
        <f t="shared" si="16"/>
        <v>3.3499999999999996</v>
      </c>
      <c r="G21" s="10">
        <f t="shared" si="16"/>
        <v>0.91</v>
      </c>
      <c r="H21" s="10">
        <f t="shared" si="16"/>
        <v>0.91</v>
      </c>
      <c r="I21" s="10">
        <f t="shared" si="16"/>
        <v>2.9499999999999997</v>
      </c>
      <c r="J21" s="10">
        <f t="shared" si="16"/>
        <v>0.32999999999999996</v>
      </c>
      <c r="K21" s="10">
        <f t="shared" si="16"/>
        <v>0.32999999999999996</v>
      </c>
      <c r="L21" s="10">
        <f t="shared" si="16"/>
        <v>0.28000000000000003</v>
      </c>
      <c r="M21" s="10">
        <f t="shared" si="16"/>
        <v>0.28000000000000003</v>
      </c>
      <c r="N21" s="10">
        <f t="shared" si="16"/>
        <v>0.28000000000000003</v>
      </c>
      <c r="O21" s="10">
        <f t="shared" si="16"/>
        <v>0.59599999999999997</v>
      </c>
      <c r="P21" s="10">
        <f t="shared" si="16"/>
        <v>0.59599999999999997</v>
      </c>
      <c r="Q21" s="10">
        <f t="shared" si="16"/>
        <v>1.35</v>
      </c>
      <c r="R21" s="10">
        <f t="shared" si="16"/>
        <v>1.3</v>
      </c>
      <c r="S21" s="10">
        <f t="shared" si="16"/>
        <v>0</v>
      </c>
      <c r="T21" s="10">
        <f t="shared" si="16"/>
        <v>0</v>
      </c>
      <c r="U21" s="10">
        <f t="shared" si="16"/>
        <v>0</v>
      </c>
      <c r="V21" s="10">
        <f t="shared" si="16"/>
        <v>0</v>
      </c>
      <c r="W21" s="10">
        <f t="shared" si="16"/>
        <v>0</v>
      </c>
      <c r="X21" s="10">
        <f t="shared" si="16"/>
        <v>0</v>
      </c>
      <c r="Y21" s="10">
        <f t="shared" si="16"/>
        <v>0</v>
      </c>
      <c r="Z21" s="10">
        <f t="shared" si="16"/>
        <v>0</v>
      </c>
    </row>
    <row r="22" spans="2:26" ht="12.75" customHeight="1">
      <c r="B22" s="47" t="s">
        <v>127</v>
      </c>
      <c r="C22" s="10">
        <f t="shared" ref="C22:Z22" si="17">C16-ABS(C18)</f>
        <v>1.27</v>
      </c>
      <c r="D22" s="10">
        <f t="shared" si="17"/>
        <v>0.96</v>
      </c>
      <c r="E22" s="10">
        <f t="shared" si="17"/>
        <v>2.36</v>
      </c>
      <c r="F22" s="10">
        <f t="shared" si="17"/>
        <v>3.25</v>
      </c>
      <c r="G22" s="10">
        <f t="shared" si="17"/>
        <v>0.80999999999999994</v>
      </c>
      <c r="H22" s="10">
        <f t="shared" si="17"/>
        <v>0.80999999999999994</v>
      </c>
      <c r="I22" s="10">
        <f t="shared" si="17"/>
        <v>2.85</v>
      </c>
      <c r="J22" s="10">
        <f t="shared" si="17"/>
        <v>0.27</v>
      </c>
      <c r="K22" s="10">
        <f t="shared" si="17"/>
        <v>0.27</v>
      </c>
      <c r="L22" s="10">
        <f t="shared" si="17"/>
        <v>0.22</v>
      </c>
      <c r="M22" s="10">
        <f t="shared" si="17"/>
        <v>0.22</v>
      </c>
      <c r="N22" s="10">
        <f t="shared" si="17"/>
        <v>0.22</v>
      </c>
      <c r="O22" s="10">
        <f t="shared" si="17"/>
        <v>0.53599999999999992</v>
      </c>
      <c r="P22" s="10">
        <f t="shared" si="17"/>
        <v>0.53599999999999992</v>
      </c>
      <c r="Q22" s="10">
        <f t="shared" si="17"/>
        <v>1.1499999999999999</v>
      </c>
      <c r="R22" s="10">
        <f t="shared" si="17"/>
        <v>1.2</v>
      </c>
      <c r="S22" s="10">
        <f t="shared" si="17"/>
        <v>0</v>
      </c>
      <c r="T22" s="10">
        <f t="shared" si="17"/>
        <v>0</v>
      </c>
      <c r="U22" s="10">
        <f t="shared" si="17"/>
        <v>0</v>
      </c>
      <c r="V22" s="10">
        <f t="shared" si="17"/>
        <v>0</v>
      </c>
      <c r="W22" s="10">
        <f t="shared" si="17"/>
        <v>0</v>
      </c>
      <c r="X22" s="10">
        <f t="shared" si="17"/>
        <v>0</v>
      </c>
      <c r="Y22" s="10">
        <f t="shared" si="17"/>
        <v>0</v>
      </c>
      <c r="Z22" s="10">
        <f t="shared" si="17"/>
        <v>0</v>
      </c>
    </row>
    <row r="23" spans="2:26" ht="12.75" customHeight="1">
      <c r="B23" s="45" t="s">
        <v>24</v>
      </c>
      <c r="C23" s="11" t="e">
        <f t="shared" ref="C23:Z23" si="18">STDEV(C35:C65536)</f>
        <v>#DIV/0!</v>
      </c>
      <c r="D23" s="11">
        <f t="shared" si="18"/>
        <v>3.6295160967784916E-3</v>
      </c>
      <c r="E23" s="11" t="e">
        <f t="shared" si="18"/>
        <v>#DIV/0!</v>
      </c>
      <c r="F23" s="11">
        <f t="shared" si="18"/>
        <v>3.6455894695707788E-3</v>
      </c>
      <c r="G23" s="11" t="e">
        <f t="shared" si="18"/>
        <v>#DIV/0!</v>
      </c>
      <c r="H23" s="11">
        <f t="shared" si="18"/>
        <v>7.3074393158505807E-3</v>
      </c>
      <c r="I23" s="11">
        <f t="shared" si="18"/>
        <v>3.5522581981679538E-3</v>
      </c>
      <c r="J23" s="11">
        <f t="shared" si="18"/>
        <v>3.0424881053124539E-3</v>
      </c>
      <c r="K23" s="11">
        <f t="shared" si="18"/>
        <v>5.4652337774275996E-3</v>
      </c>
      <c r="L23" s="11">
        <f t="shared" si="18"/>
        <v>6.7972836130419838E-3</v>
      </c>
      <c r="M23" s="11">
        <f t="shared" si="18"/>
        <v>7.821500943944782E-3</v>
      </c>
      <c r="N23" s="11">
        <f t="shared" si="18"/>
        <v>8.418201645934412E-3</v>
      </c>
      <c r="O23" s="11">
        <f t="shared" si="18"/>
        <v>5.969572545079539E-3</v>
      </c>
      <c r="P23" s="11">
        <f t="shared" si="18"/>
        <v>4.3424712378567201E-3</v>
      </c>
      <c r="Q23" s="11">
        <f t="shared" si="18"/>
        <v>3.5175123518136017E-3</v>
      </c>
      <c r="R23" s="11">
        <f t="shared" si="18"/>
        <v>4.9687886740227743E-3</v>
      </c>
      <c r="S23" s="11" t="e">
        <f t="shared" si="18"/>
        <v>#DIV/0!</v>
      </c>
      <c r="T23" s="11" t="e">
        <f t="shared" si="18"/>
        <v>#DIV/0!</v>
      </c>
      <c r="U23" s="11" t="e">
        <f t="shared" si="18"/>
        <v>#DIV/0!</v>
      </c>
      <c r="V23" s="11" t="e">
        <f t="shared" si="18"/>
        <v>#DIV/0!</v>
      </c>
      <c r="W23" s="11" t="e">
        <f t="shared" si="18"/>
        <v>#DIV/0!</v>
      </c>
      <c r="X23" s="11" t="e">
        <f t="shared" si="18"/>
        <v>#DIV/0!</v>
      </c>
      <c r="Y23" s="11" t="e">
        <f t="shared" si="18"/>
        <v>#DIV/0!</v>
      </c>
      <c r="Z23" s="11" t="e">
        <f t="shared" si="18"/>
        <v>#DIV/0!</v>
      </c>
    </row>
    <row r="24" spans="2:26" ht="12.75" customHeight="1">
      <c r="B24" s="46" t="s">
        <v>131</v>
      </c>
      <c r="C24" s="12" t="e">
        <f t="shared" ref="C24:Z24" si="19">AVERAGE(C35:C65536)</f>
        <v>#DIV/0!</v>
      </c>
      <c r="D24" s="12">
        <f t="shared" si="19"/>
        <v>0.96586250000000018</v>
      </c>
      <c r="E24" s="12" t="e">
        <f t="shared" si="19"/>
        <v>#DIV/0!</v>
      </c>
      <c r="F24" s="12">
        <f t="shared" si="19"/>
        <v>3.2937499999999997</v>
      </c>
      <c r="G24" s="12" t="e">
        <f t="shared" si="19"/>
        <v>#DIV/0!</v>
      </c>
      <c r="H24" s="12">
        <f t="shared" si="19"/>
        <v>0.87069374999999993</v>
      </c>
      <c r="I24" s="12">
        <f t="shared" si="19"/>
        <v>2.8587218749999996</v>
      </c>
      <c r="J24" s="12">
        <f t="shared" si="19"/>
        <v>0.32279374999999999</v>
      </c>
      <c r="K24" s="12">
        <f t="shared" si="19"/>
        <v>0.32133437500000001</v>
      </c>
      <c r="L24" s="12">
        <f t="shared" si="19"/>
        <v>0.26626250000000007</v>
      </c>
      <c r="M24" s="12">
        <f t="shared" si="19"/>
        <v>0.251334375</v>
      </c>
      <c r="N24" s="12">
        <f t="shared" si="19"/>
        <v>0.23420312499999998</v>
      </c>
      <c r="O24" s="12">
        <f t="shared" si="19"/>
        <v>0.56749687500000012</v>
      </c>
      <c r="P24" s="12">
        <f t="shared" si="19"/>
        <v>0.56966875000000017</v>
      </c>
      <c r="Q24" s="12">
        <f t="shared" si="19"/>
        <v>1.2297531249999998</v>
      </c>
      <c r="R24" s="12">
        <f t="shared" si="19"/>
        <v>1.2263781249999997</v>
      </c>
      <c r="S24" s="12" t="e">
        <f t="shared" si="19"/>
        <v>#DIV/0!</v>
      </c>
      <c r="T24" s="12" t="e">
        <f t="shared" si="19"/>
        <v>#DIV/0!</v>
      </c>
      <c r="U24" s="12" t="e">
        <f t="shared" si="19"/>
        <v>#DIV/0!</v>
      </c>
      <c r="V24" s="12" t="e">
        <f t="shared" si="19"/>
        <v>#DIV/0!</v>
      </c>
      <c r="W24" s="12" t="e">
        <f t="shared" si="19"/>
        <v>#DIV/0!</v>
      </c>
      <c r="X24" s="12" t="e">
        <f t="shared" si="19"/>
        <v>#DIV/0!</v>
      </c>
      <c r="Y24" s="12" t="e">
        <f t="shared" si="19"/>
        <v>#DIV/0!</v>
      </c>
      <c r="Z24" s="12" t="e">
        <f t="shared" si="19"/>
        <v>#DIV/0!</v>
      </c>
    </row>
    <row r="25" spans="2:26" ht="12.75" customHeight="1">
      <c r="B25" s="45" t="s">
        <v>128</v>
      </c>
      <c r="C25" s="112">
        <f t="shared" ref="C25:Z25" si="20">MAX(C35:C65536)</f>
        <v>0</v>
      </c>
      <c r="D25" s="112">
        <f t="shared" si="20"/>
        <v>0.97250000000000003</v>
      </c>
      <c r="E25" s="112">
        <f t="shared" si="20"/>
        <v>0</v>
      </c>
      <c r="F25" s="112">
        <f t="shared" si="20"/>
        <v>3.2989999999999999</v>
      </c>
      <c r="G25" s="112">
        <f t="shared" si="20"/>
        <v>0</v>
      </c>
      <c r="H25" s="112">
        <f t="shared" si="20"/>
        <v>0.88470000000000004</v>
      </c>
      <c r="I25" s="112">
        <f t="shared" si="20"/>
        <v>2.8645999999999998</v>
      </c>
      <c r="J25" s="112">
        <f t="shared" si="20"/>
        <v>0.32840000000000003</v>
      </c>
      <c r="K25" s="112">
        <f t="shared" si="20"/>
        <v>0.33</v>
      </c>
      <c r="L25" s="112">
        <f t="shared" si="20"/>
        <v>0.27589999999999998</v>
      </c>
      <c r="M25" s="112">
        <f t="shared" si="20"/>
        <v>0.26300000000000001</v>
      </c>
      <c r="N25" s="112">
        <f t="shared" si="20"/>
        <v>0.251</v>
      </c>
      <c r="O25" s="112">
        <f t="shared" si="20"/>
        <v>0.57799999999999996</v>
      </c>
      <c r="P25" s="112">
        <f t="shared" si="20"/>
        <v>0.57630000000000003</v>
      </c>
      <c r="Q25" s="112">
        <f t="shared" si="20"/>
        <v>1.2354000000000001</v>
      </c>
      <c r="R25" s="112">
        <f t="shared" si="20"/>
        <v>1.2351000000000001</v>
      </c>
      <c r="S25" s="112">
        <f t="shared" si="20"/>
        <v>0</v>
      </c>
      <c r="T25" s="112">
        <f t="shared" si="20"/>
        <v>0</v>
      </c>
      <c r="U25" s="112">
        <f t="shared" si="20"/>
        <v>0</v>
      </c>
      <c r="V25" s="112">
        <f t="shared" si="20"/>
        <v>0</v>
      </c>
      <c r="W25" s="112">
        <f t="shared" si="20"/>
        <v>0</v>
      </c>
      <c r="X25" s="112">
        <f t="shared" si="20"/>
        <v>0</v>
      </c>
      <c r="Y25" s="112">
        <f t="shared" si="20"/>
        <v>0</v>
      </c>
      <c r="Z25" s="112">
        <f t="shared" si="20"/>
        <v>0</v>
      </c>
    </row>
    <row r="26" spans="2:26" ht="12.75" customHeight="1">
      <c r="B26" s="45" t="s">
        <v>23</v>
      </c>
      <c r="C26" s="112">
        <f t="shared" ref="C26:Z26" si="21">MIN(C35:C65536)</f>
        <v>0</v>
      </c>
      <c r="D26" s="112">
        <f t="shared" si="21"/>
        <v>0.96020000000000005</v>
      </c>
      <c r="E26" s="112">
        <f t="shared" si="21"/>
        <v>0</v>
      </c>
      <c r="F26" s="112">
        <f t="shared" si="21"/>
        <v>3.2879999999999998</v>
      </c>
      <c r="G26" s="112">
        <f t="shared" si="21"/>
        <v>0</v>
      </c>
      <c r="H26" s="112">
        <f t="shared" si="21"/>
        <v>0.85919999999999996</v>
      </c>
      <c r="I26" s="112">
        <f t="shared" si="21"/>
        <v>2.8538000000000001</v>
      </c>
      <c r="J26" s="112">
        <f t="shared" si="21"/>
        <v>0.318</v>
      </c>
      <c r="K26" s="112">
        <f t="shared" si="21"/>
        <v>0.31169999999999998</v>
      </c>
      <c r="L26" s="112">
        <f t="shared" si="21"/>
        <v>0.2545</v>
      </c>
      <c r="M26" s="112">
        <f t="shared" si="21"/>
        <v>0.23599999999999999</v>
      </c>
      <c r="N26" s="112">
        <f t="shared" si="21"/>
        <v>0.22170000000000001</v>
      </c>
      <c r="O26" s="112">
        <f t="shared" si="21"/>
        <v>0.55840000000000001</v>
      </c>
      <c r="P26" s="112">
        <f t="shared" si="21"/>
        <v>0.56169999999999998</v>
      </c>
      <c r="Q26" s="112">
        <f t="shared" si="21"/>
        <v>1.2232000000000001</v>
      </c>
      <c r="R26" s="112">
        <f t="shared" si="21"/>
        <v>1.2182999999999999</v>
      </c>
      <c r="S26" s="112">
        <f t="shared" si="21"/>
        <v>0</v>
      </c>
      <c r="T26" s="112">
        <f t="shared" si="21"/>
        <v>0</v>
      </c>
      <c r="U26" s="112">
        <f t="shared" si="21"/>
        <v>0</v>
      </c>
      <c r="V26" s="112">
        <f t="shared" si="21"/>
        <v>0</v>
      </c>
      <c r="W26" s="112">
        <f t="shared" si="21"/>
        <v>0</v>
      </c>
      <c r="X26" s="112">
        <f t="shared" si="21"/>
        <v>0</v>
      </c>
      <c r="Y26" s="112">
        <f t="shared" si="21"/>
        <v>0</v>
      </c>
      <c r="Z26" s="112">
        <f t="shared" si="21"/>
        <v>0</v>
      </c>
    </row>
    <row r="27" spans="2:26" ht="12.75" customHeight="1">
      <c r="B27" s="45" t="s">
        <v>61</v>
      </c>
      <c r="C27" s="13" t="e">
        <f t="shared" ref="C27:Z27" si="22">((C21)-(C22))/(6*C23)</f>
        <v>#DIV/0!</v>
      </c>
      <c r="D27" s="13">
        <f t="shared" si="22"/>
        <v>3.6735842954844107</v>
      </c>
      <c r="E27" s="13" t="e">
        <f t="shared" si="22"/>
        <v>#DIV/0!</v>
      </c>
      <c r="F27" s="13">
        <f t="shared" si="22"/>
        <v>4.5717343671801016</v>
      </c>
      <c r="G27" s="13" t="e">
        <f t="shared" si="22"/>
        <v>#DIV/0!</v>
      </c>
      <c r="H27" s="13">
        <f t="shared" si="22"/>
        <v>2.2807807148688846</v>
      </c>
      <c r="I27" s="13">
        <f t="shared" si="22"/>
        <v>4.6918511371899418</v>
      </c>
      <c r="J27" s="13">
        <f t="shared" si="22"/>
        <v>3.2867835974573261</v>
      </c>
      <c r="K27" s="13">
        <f t="shared" si="22"/>
        <v>1.8297478950126147</v>
      </c>
      <c r="L27" s="13">
        <f t="shared" si="22"/>
        <v>1.4711759239842443</v>
      </c>
      <c r="M27" s="13">
        <f t="shared" si="22"/>
        <v>1.2785269824382959</v>
      </c>
      <c r="N27" s="13">
        <f t="shared" si="22"/>
        <v>1.1879021696789034</v>
      </c>
      <c r="O27" s="13">
        <f t="shared" si="22"/>
        <v>1.6751618184525754</v>
      </c>
      <c r="P27" s="13">
        <f t="shared" si="22"/>
        <v>2.302836208291303</v>
      </c>
      <c r="Q27" s="13">
        <f t="shared" si="22"/>
        <v>9.4763941102145548</v>
      </c>
      <c r="R27" s="13">
        <f t="shared" si="22"/>
        <v>3.3542715861113899</v>
      </c>
      <c r="S27" s="13" t="e">
        <f t="shared" si="22"/>
        <v>#DIV/0!</v>
      </c>
      <c r="T27" s="13" t="e">
        <f t="shared" si="22"/>
        <v>#DIV/0!</v>
      </c>
      <c r="U27" s="13" t="e">
        <f t="shared" si="22"/>
        <v>#DIV/0!</v>
      </c>
      <c r="V27" s="13" t="e">
        <f t="shared" si="22"/>
        <v>#DIV/0!</v>
      </c>
      <c r="W27" s="13" t="e">
        <f t="shared" si="22"/>
        <v>#DIV/0!</v>
      </c>
      <c r="X27" s="13" t="e">
        <f t="shared" si="22"/>
        <v>#DIV/0!</v>
      </c>
      <c r="Y27" s="13" t="e">
        <f t="shared" si="22"/>
        <v>#DIV/0!</v>
      </c>
      <c r="Z27" s="13" t="e">
        <f t="shared" si="22"/>
        <v>#DIV/0!</v>
      </c>
    </row>
    <row r="28" spans="2:26" ht="12.75" customHeight="1">
      <c r="B28" s="45" t="s">
        <v>75</v>
      </c>
      <c r="C28" s="13" t="e">
        <f t="shared" ref="C28:Z28" si="23">(C24-C22)/(3*C23)</f>
        <v>#DIV/0!</v>
      </c>
      <c r="D28" s="13">
        <f t="shared" si="23"/>
        <v>0.53840969830695318</v>
      </c>
      <c r="E28" s="13" t="e">
        <f t="shared" si="23"/>
        <v>#DIV/0!</v>
      </c>
      <c r="F28" s="13">
        <f t="shared" si="23"/>
        <v>4.0002675712825795</v>
      </c>
      <c r="G28" s="13" t="e">
        <f t="shared" si="23"/>
        <v>#DIV/0!</v>
      </c>
      <c r="H28" s="13">
        <f t="shared" si="23"/>
        <v>2.7685826902614648</v>
      </c>
      <c r="I28" s="13">
        <f t="shared" si="23"/>
        <v>0.81843478274353076</v>
      </c>
      <c r="J28" s="13">
        <f t="shared" si="23"/>
        <v>5.7840543849420927</v>
      </c>
      <c r="K28" s="13">
        <f t="shared" si="23"/>
        <v>3.1309654866012755</v>
      </c>
      <c r="L28" s="13">
        <f t="shared" si="23"/>
        <v>2.2686758727773726</v>
      </c>
      <c r="M28" s="13">
        <f t="shared" si="23"/>
        <v>1.3353947971779985</v>
      </c>
      <c r="N28" s="13">
        <f t="shared" si="23"/>
        <v>0.56239743345735493</v>
      </c>
      <c r="O28" s="13">
        <f t="shared" si="23"/>
        <v>1.7587454133524585</v>
      </c>
      <c r="P28" s="13">
        <f t="shared" si="23"/>
        <v>2.5844538862636099</v>
      </c>
      <c r="Q28" s="13">
        <f t="shared" si="23"/>
        <v>7.5577204402120328</v>
      </c>
      <c r="R28" s="13">
        <f t="shared" si="23"/>
        <v>1.7695879036478681</v>
      </c>
      <c r="S28" s="13" t="e">
        <f t="shared" si="23"/>
        <v>#DIV/0!</v>
      </c>
      <c r="T28" s="13" t="e">
        <f t="shared" si="23"/>
        <v>#DIV/0!</v>
      </c>
      <c r="U28" s="13" t="e">
        <f t="shared" si="23"/>
        <v>#DIV/0!</v>
      </c>
      <c r="V28" s="13" t="e">
        <f t="shared" si="23"/>
        <v>#DIV/0!</v>
      </c>
      <c r="W28" s="13" t="e">
        <f t="shared" si="23"/>
        <v>#DIV/0!</v>
      </c>
      <c r="X28" s="13" t="e">
        <f t="shared" si="23"/>
        <v>#DIV/0!</v>
      </c>
      <c r="Y28" s="13" t="e">
        <f t="shared" si="23"/>
        <v>#DIV/0!</v>
      </c>
      <c r="Z28" s="13" t="e">
        <f t="shared" si="23"/>
        <v>#DIV/0!</v>
      </c>
    </row>
    <row r="29" spans="2:26" ht="12.75" customHeight="1">
      <c r="B29" s="45" t="s">
        <v>76</v>
      </c>
      <c r="C29" s="13" t="e">
        <f t="shared" ref="C29:Z29" si="24">(C21-C24)/(3*C23)</f>
        <v>#DIV/0!</v>
      </c>
      <c r="D29" s="13">
        <f t="shared" si="24"/>
        <v>6.808758892661869</v>
      </c>
      <c r="E29" s="13" t="e">
        <f t="shared" si="24"/>
        <v>#DIV/0!</v>
      </c>
      <c r="F29" s="13">
        <f t="shared" si="24"/>
        <v>5.1432011630776246</v>
      </c>
      <c r="G29" s="13" t="e">
        <f t="shared" si="24"/>
        <v>#DIV/0!</v>
      </c>
      <c r="H29" s="13">
        <f t="shared" si="24"/>
        <v>1.7929787394763048</v>
      </c>
      <c r="I29" s="13">
        <f t="shared" si="24"/>
        <v>8.5652674916363516</v>
      </c>
      <c r="J29" s="13">
        <f t="shared" si="24"/>
        <v>0.78951280997255924</v>
      </c>
      <c r="K29" s="13">
        <f t="shared" si="24"/>
        <v>0.52853030342395402</v>
      </c>
      <c r="L29" s="13">
        <f t="shared" si="24"/>
        <v>0.67367597519111622</v>
      </c>
      <c r="M29" s="13">
        <f t="shared" si="24"/>
        <v>1.2216591676985931</v>
      </c>
      <c r="N29" s="13">
        <f t="shared" si="24"/>
        <v>1.8134069059004518</v>
      </c>
      <c r="O29" s="13">
        <f t="shared" si="24"/>
        <v>1.5915782235526925</v>
      </c>
      <c r="P29" s="13">
        <f t="shared" si="24"/>
        <v>2.0212185303189956</v>
      </c>
      <c r="Q29" s="13">
        <f t="shared" si="24"/>
        <v>11.395067780217078</v>
      </c>
      <c r="R29" s="13">
        <f t="shared" si="24"/>
        <v>4.9389552685749116</v>
      </c>
      <c r="S29" s="13" t="e">
        <f t="shared" si="24"/>
        <v>#DIV/0!</v>
      </c>
      <c r="T29" s="13" t="e">
        <f t="shared" si="24"/>
        <v>#DIV/0!</v>
      </c>
      <c r="U29" s="13" t="e">
        <f t="shared" si="24"/>
        <v>#DIV/0!</v>
      </c>
      <c r="V29" s="13" t="e">
        <f t="shared" si="24"/>
        <v>#DIV/0!</v>
      </c>
      <c r="W29" s="13" t="e">
        <f t="shared" si="24"/>
        <v>#DIV/0!</v>
      </c>
      <c r="X29" s="13" t="e">
        <f t="shared" si="24"/>
        <v>#DIV/0!</v>
      </c>
      <c r="Y29" s="13" t="e">
        <f t="shared" si="24"/>
        <v>#DIV/0!</v>
      </c>
      <c r="Z29" s="13" t="e">
        <f t="shared" si="24"/>
        <v>#DIV/0!</v>
      </c>
    </row>
    <row r="30" spans="2:26" ht="12.75" customHeight="1">
      <c r="B30" s="45" t="s">
        <v>62</v>
      </c>
      <c r="C30" s="13" t="e">
        <f t="shared" ref="C30:Z30" si="25">MIN((C21-C24)/(3*C23),(C24-C22)/(3*C23))</f>
        <v>#DIV/0!</v>
      </c>
      <c r="D30" s="13">
        <f t="shared" si="25"/>
        <v>0.53840969830695318</v>
      </c>
      <c r="E30" s="13" t="e">
        <f t="shared" si="25"/>
        <v>#DIV/0!</v>
      </c>
      <c r="F30" s="13">
        <f t="shared" si="25"/>
        <v>4.0002675712825795</v>
      </c>
      <c r="G30" s="13" t="e">
        <f t="shared" si="25"/>
        <v>#DIV/0!</v>
      </c>
      <c r="H30" s="13">
        <f t="shared" si="25"/>
        <v>1.7929787394763048</v>
      </c>
      <c r="I30" s="13">
        <f t="shared" si="25"/>
        <v>0.81843478274353076</v>
      </c>
      <c r="J30" s="13">
        <f t="shared" si="25"/>
        <v>0.78951280997255924</v>
      </c>
      <c r="K30" s="13">
        <f t="shared" si="25"/>
        <v>0.52853030342395402</v>
      </c>
      <c r="L30" s="13">
        <f t="shared" si="25"/>
        <v>0.67367597519111622</v>
      </c>
      <c r="M30" s="13">
        <f t="shared" si="25"/>
        <v>1.2216591676985931</v>
      </c>
      <c r="N30" s="13">
        <f t="shared" si="25"/>
        <v>0.56239743345735493</v>
      </c>
      <c r="O30" s="13">
        <f t="shared" si="25"/>
        <v>1.5915782235526925</v>
      </c>
      <c r="P30" s="13">
        <f t="shared" si="25"/>
        <v>2.0212185303189956</v>
      </c>
      <c r="Q30" s="13">
        <f t="shared" si="25"/>
        <v>7.5577204402120328</v>
      </c>
      <c r="R30" s="13">
        <f t="shared" si="25"/>
        <v>1.7695879036478681</v>
      </c>
      <c r="S30" s="13" t="e">
        <f t="shared" si="25"/>
        <v>#DIV/0!</v>
      </c>
      <c r="T30" s="13" t="e">
        <f t="shared" si="25"/>
        <v>#DIV/0!</v>
      </c>
      <c r="U30" s="13" t="e">
        <f t="shared" si="25"/>
        <v>#DIV/0!</v>
      </c>
      <c r="V30" s="13" t="e">
        <f t="shared" si="25"/>
        <v>#DIV/0!</v>
      </c>
      <c r="W30" s="13" t="e">
        <f t="shared" si="25"/>
        <v>#DIV/0!</v>
      </c>
      <c r="X30" s="13" t="e">
        <f t="shared" si="25"/>
        <v>#DIV/0!</v>
      </c>
      <c r="Y30" s="13" t="e">
        <f t="shared" si="25"/>
        <v>#DIV/0!</v>
      </c>
      <c r="Z30" s="13" t="e">
        <f t="shared" si="25"/>
        <v>#DIV/0!</v>
      </c>
    </row>
    <row r="31" spans="2:26" ht="12.75" customHeight="1" collapsed="1">
      <c r="B31" s="8"/>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2:26" ht="12.75" customHeight="1">
      <c r="B32" s="105" t="s">
        <v>79</v>
      </c>
      <c r="C32" s="129" t="e">
        <f>IF(C14="DoubleSides",NORMSDIST((C21-C24)/C23)-NORMSDIST((C22-C24)/C23),IF(C14="SingleSide-USL",NORMSDIST((C21-C24)/C23),IF(C14="SingleSide-LSL",1-NORMSDIST((C22-C24)/C23),IF(C14="Actual Yield (n&gt;=100)",IF(COUNT(C35:C65536)&gt;=100,(COUNTIF(C35:C65536,"&lt;="&amp;C21)-COUNTIF(C35:C65536,"&lt;"&amp;C22))/COUNT(C35:C65536),"Too Few Records"),IF(C14="Go/NoGo Gauge (n&gt;=100)",IF(COUNTA(C35:C65536)&gt;=100, COUNTIF(C35:C65536,"OK")/COUNTA(C35:C65536),"Too Few Records"),"Error")))))</f>
        <v>#DIV/0!</v>
      </c>
      <c r="D32" s="129">
        <f t="shared" ref="D32:Z32" si="26">IF(D14="DoubleSides",NORMSDIST((D21-D24)/D23)-NORMSDIST((D22-D24)/D23),IF(D14="SingleSide-USL",NORMSDIST((D21-D24)/D23),IF(D14="SingleSide-LSL",1-NORMSDIST((D22-D24)/D23),IF(D14="Actual Yield (n&gt;=100)",IF(COUNT(D35:D65536)&gt;=100,(COUNTIF(D35:D65536,"&lt;="&amp;D21)-COUNTIF(D35:D65536,"&lt;"&amp;D22))/COUNT(D35:D65536),"Too Few Records"),IF(D14="Go/NoGo Gauge (n&gt;=100)",IF(COUNTA(D35:D65536)&gt;=100, COUNTIF(D35:D65536,"OK")/COUNTA(D35:D65536),"Too Few Records"),"Error")))))</f>
        <v>0.94686945397116196</v>
      </c>
      <c r="E32" s="129" t="e">
        <f t="shared" si="26"/>
        <v>#DIV/0!</v>
      </c>
      <c r="F32" s="129">
        <f t="shared" si="26"/>
        <v>1</v>
      </c>
      <c r="G32" s="129" t="e">
        <f t="shared" si="26"/>
        <v>#DIV/0!</v>
      </c>
      <c r="H32" s="129">
        <f t="shared" si="26"/>
        <v>0.99999996253637713</v>
      </c>
      <c r="I32" s="129">
        <f t="shared" si="26"/>
        <v>0.99296173223515027</v>
      </c>
      <c r="J32" s="129">
        <f t="shared" si="26"/>
        <v>0.99107073751041586</v>
      </c>
      <c r="K32" s="129">
        <f t="shared" si="26"/>
        <v>0.94358393023459985</v>
      </c>
      <c r="L32" s="129">
        <f t="shared" si="26"/>
        <v>0.97836156280438069</v>
      </c>
      <c r="M32" s="129">
        <f t="shared" si="26"/>
        <v>0.99984546609551117</v>
      </c>
      <c r="N32" s="129">
        <f t="shared" si="26"/>
        <v>0.95421678266809229</v>
      </c>
      <c r="O32" s="129">
        <f t="shared" si="26"/>
        <v>0.99999903434625503</v>
      </c>
      <c r="P32" s="129">
        <f t="shared" si="26"/>
        <v>0.99999999933468586</v>
      </c>
      <c r="Q32" s="129">
        <f t="shared" si="26"/>
        <v>1</v>
      </c>
      <c r="R32" s="129">
        <f t="shared" si="26"/>
        <v>0.9999999448143464</v>
      </c>
      <c r="S32" s="129" t="str">
        <f t="shared" si="26"/>
        <v>Error</v>
      </c>
      <c r="T32" s="129" t="str">
        <f t="shared" si="26"/>
        <v>Error</v>
      </c>
      <c r="U32" s="129" t="str">
        <f t="shared" si="26"/>
        <v>Error</v>
      </c>
      <c r="V32" s="129" t="str">
        <f t="shared" si="26"/>
        <v>Error</v>
      </c>
      <c r="W32" s="129" t="str">
        <f t="shared" si="26"/>
        <v>Error</v>
      </c>
      <c r="X32" s="129" t="str">
        <f t="shared" si="26"/>
        <v>Error</v>
      </c>
      <c r="Y32" s="129" t="str">
        <f t="shared" si="26"/>
        <v>Error</v>
      </c>
      <c r="Z32" s="129" t="str">
        <f t="shared" si="26"/>
        <v>Error</v>
      </c>
    </row>
    <row r="33" spans="2:26" ht="12.75" customHeight="1">
      <c r="B33" s="105" t="s">
        <v>78</v>
      </c>
      <c r="C33" s="12" t="e">
        <f>C24-(C21+C22)/2</f>
        <v>#DIV/0!</v>
      </c>
      <c r="D33" s="12">
        <f t="shared" ref="D33:Z33" si="27">D24-(D21+D22)/2</f>
        <v>-3.4137499999999821E-2</v>
      </c>
      <c r="E33" s="12" t="e">
        <f t="shared" si="27"/>
        <v>#DIV/0!</v>
      </c>
      <c r="F33" s="12">
        <f t="shared" si="27"/>
        <v>-6.2500000000000888E-3</v>
      </c>
      <c r="G33" s="12" t="e">
        <f t="shared" si="27"/>
        <v>#DIV/0!</v>
      </c>
      <c r="H33" s="12">
        <f t="shared" si="27"/>
        <v>1.0693749999999946E-2</v>
      </c>
      <c r="I33" s="12">
        <f t="shared" si="27"/>
        <v>-4.1278125000000276E-2</v>
      </c>
      <c r="J33" s="12">
        <f t="shared" si="27"/>
        <v>2.2793750000000002E-2</v>
      </c>
      <c r="K33" s="12">
        <f t="shared" si="27"/>
        <v>2.1334375000000017E-2</v>
      </c>
      <c r="L33" s="12">
        <f t="shared" si="27"/>
        <v>1.6262500000000069E-2</v>
      </c>
      <c r="M33" s="12">
        <f t="shared" si="27"/>
        <v>1.3343749999999988E-3</v>
      </c>
      <c r="N33" s="12">
        <f t="shared" si="27"/>
        <v>-1.5796875000000016E-2</v>
      </c>
      <c r="O33" s="12">
        <f t="shared" si="27"/>
        <v>1.4968750000001751E-3</v>
      </c>
      <c r="P33" s="12">
        <f t="shared" si="27"/>
        <v>3.6687500000002204E-3</v>
      </c>
      <c r="Q33" s="12">
        <f t="shared" si="27"/>
        <v>-2.024687500000022E-2</v>
      </c>
      <c r="R33" s="12">
        <f t="shared" si="27"/>
        <v>-2.3621875000000347E-2</v>
      </c>
      <c r="S33" s="12" t="e">
        <f t="shared" si="27"/>
        <v>#DIV/0!</v>
      </c>
      <c r="T33" s="12" t="e">
        <f t="shared" si="27"/>
        <v>#DIV/0!</v>
      </c>
      <c r="U33" s="12" t="e">
        <f t="shared" si="27"/>
        <v>#DIV/0!</v>
      </c>
      <c r="V33" s="12" t="e">
        <f t="shared" si="27"/>
        <v>#DIV/0!</v>
      </c>
      <c r="W33" s="12" t="e">
        <f t="shared" si="27"/>
        <v>#DIV/0!</v>
      </c>
      <c r="X33" s="12" t="e">
        <f t="shared" si="27"/>
        <v>#DIV/0!</v>
      </c>
      <c r="Y33" s="12" t="e">
        <f t="shared" si="27"/>
        <v>#DIV/0!</v>
      </c>
      <c r="Z33" s="12" t="e">
        <f t="shared" si="27"/>
        <v>#DIV/0!</v>
      </c>
    </row>
    <row r="34" spans="2:26" ht="12.75" customHeight="1">
      <c r="B34" s="149"/>
      <c r="C34" s="14"/>
      <c r="D34" s="14"/>
      <c r="E34" s="14"/>
      <c r="F34" s="14"/>
      <c r="G34" s="14"/>
      <c r="H34" s="14"/>
      <c r="I34" s="14"/>
      <c r="J34" s="14"/>
      <c r="K34" s="14"/>
      <c r="L34" s="14"/>
      <c r="M34" s="14"/>
      <c r="N34" s="14"/>
      <c r="O34" s="14"/>
      <c r="P34" s="14"/>
      <c r="Q34" s="14"/>
      <c r="R34" s="14"/>
      <c r="S34" s="14"/>
      <c r="T34" s="14"/>
      <c r="U34" s="15"/>
      <c r="V34" s="14"/>
      <c r="W34" s="14"/>
      <c r="X34" s="14"/>
      <c r="Y34" s="14"/>
      <c r="Z34" s="14"/>
    </row>
    <row r="35" spans="2:26" ht="12.75" customHeight="1">
      <c r="B35" s="113">
        <v>1</v>
      </c>
      <c r="C35" s="147"/>
      <c r="D35" s="147">
        <v>0.96079999999999999</v>
      </c>
      <c r="E35" s="147"/>
      <c r="F35" s="147">
        <v>3.2930000000000001</v>
      </c>
      <c r="G35" s="147"/>
      <c r="H35" s="147">
        <v>0.87660000000000005</v>
      </c>
      <c r="I35" s="147">
        <v>2.8645999999999998</v>
      </c>
      <c r="J35" s="147">
        <v>0.31809999999999999</v>
      </c>
      <c r="K35" s="147">
        <v>0.33</v>
      </c>
      <c r="L35" s="147">
        <v>0.27589999999999998</v>
      </c>
      <c r="M35" s="147">
        <v>0.25819999999999999</v>
      </c>
      <c r="N35" s="147">
        <v>0.2223</v>
      </c>
      <c r="O35" s="147">
        <v>0.55910000000000004</v>
      </c>
      <c r="P35" s="147">
        <v>0.56599999999999995</v>
      </c>
      <c r="Q35" s="147">
        <v>1.2294</v>
      </c>
      <c r="R35" s="147">
        <v>1.2351000000000001</v>
      </c>
      <c r="S35" s="114"/>
      <c r="T35" s="114"/>
      <c r="U35" s="114"/>
      <c r="V35" s="114"/>
      <c r="W35" s="114"/>
      <c r="X35" s="114"/>
      <c r="Y35" s="114"/>
      <c r="Z35" s="114"/>
    </row>
    <row r="36" spans="2:26" ht="12.75" customHeight="1">
      <c r="B36" s="113">
        <v>2</v>
      </c>
      <c r="C36" s="147"/>
      <c r="D36" s="147">
        <v>0.96679999999999999</v>
      </c>
      <c r="E36" s="147"/>
      <c r="F36" s="147">
        <v>3.2970000000000002</v>
      </c>
      <c r="G36" s="147"/>
      <c r="H36" s="147">
        <v>0.86750000000000005</v>
      </c>
      <c r="I36" s="147">
        <v>2.8538000000000001</v>
      </c>
      <c r="J36" s="147">
        <v>0.32490000000000002</v>
      </c>
      <c r="K36" s="147">
        <v>0.3236</v>
      </c>
      <c r="L36" s="147">
        <v>0.2742</v>
      </c>
      <c r="M36" s="147">
        <v>0.23599999999999999</v>
      </c>
      <c r="N36" s="147">
        <v>0.22939999999999999</v>
      </c>
      <c r="O36" s="147">
        <v>0.56740000000000002</v>
      </c>
      <c r="P36" s="147">
        <v>0.56220000000000003</v>
      </c>
      <c r="Q36" s="147">
        <v>1.2232000000000001</v>
      </c>
      <c r="R36" s="147">
        <v>1.2232000000000001</v>
      </c>
      <c r="S36" s="114"/>
      <c r="T36" s="114"/>
      <c r="U36" s="114"/>
      <c r="V36" s="114"/>
      <c r="W36" s="114"/>
      <c r="X36" s="114"/>
      <c r="Y36" s="114"/>
      <c r="Z36" s="114"/>
    </row>
    <row r="37" spans="2:26" ht="12.75" customHeight="1">
      <c r="B37" s="113">
        <v>3</v>
      </c>
      <c r="C37" s="147"/>
      <c r="D37" s="147">
        <v>0.96599999999999997</v>
      </c>
      <c r="E37" s="147"/>
      <c r="F37" s="147">
        <v>3.2890000000000001</v>
      </c>
      <c r="G37" s="147"/>
      <c r="H37" s="147">
        <v>0.88470000000000004</v>
      </c>
      <c r="I37" s="147">
        <v>2.8570000000000002</v>
      </c>
      <c r="J37" s="147">
        <v>0.32</v>
      </c>
      <c r="K37" s="147">
        <v>0.3135</v>
      </c>
      <c r="L37" s="147">
        <v>0.27250000000000002</v>
      </c>
      <c r="M37" s="147">
        <v>0.26100000000000001</v>
      </c>
      <c r="N37" s="147">
        <v>0.22170000000000001</v>
      </c>
      <c r="O37" s="147">
        <v>0.56310000000000004</v>
      </c>
      <c r="P37" s="147">
        <v>0.57630000000000003</v>
      </c>
      <c r="Q37" s="147">
        <v>1.2272000000000001</v>
      </c>
      <c r="R37" s="147">
        <v>1.2262999999999999</v>
      </c>
      <c r="S37" s="114"/>
      <c r="T37" s="114"/>
      <c r="U37" s="114"/>
      <c r="V37" s="114"/>
      <c r="W37" s="114"/>
      <c r="X37" s="114"/>
      <c r="Y37" s="114"/>
      <c r="Z37" s="114"/>
    </row>
    <row r="38" spans="2:26" ht="12.75" customHeight="1">
      <c r="B38" s="113">
        <v>4</v>
      </c>
      <c r="C38" s="147"/>
      <c r="D38" s="147">
        <v>0.96079999999999999</v>
      </c>
      <c r="E38" s="147"/>
      <c r="F38" s="147">
        <v>3.2930000000000001</v>
      </c>
      <c r="G38" s="147"/>
      <c r="H38" s="147">
        <v>0.85919999999999996</v>
      </c>
      <c r="I38" s="147">
        <v>2.8540999999999999</v>
      </c>
      <c r="J38" s="147">
        <v>0.32400000000000001</v>
      </c>
      <c r="K38" s="147">
        <v>0.31780000000000003</v>
      </c>
      <c r="L38" s="147">
        <v>0.26600000000000001</v>
      </c>
      <c r="M38" s="147">
        <v>0.25009999999999999</v>
      </c>
      <c r="N38" s="147">
        <v>0.251</v>
      </c>
      <c r="O38" s="147">
        <v>0.57130000000000003</v>
      </c>
      <c r="P38" s="147">
        <v>0.56169999999999998</v>
      </c>
      <c r="Q38" s="147">
        <v>1.2291000000000001</v>
      </c>
      <c r="R38" s="147">
        <v>1.2282</v>
      </c>
      <c r="S38" s="114"/>
      <c r="T38" s="114"/>
      <c r="U38" s="114"/>
      <c r="V38" s="114"/>
      <c r="W38" s="114"/>
      <c r="X38" s="114"/>
      <c r="Y38" s="114"/>
      <c r="Z38" s="114"/>
    </row>
    <row r="39" spans="2:26" ht="12.75" customHeight="1">
      <c r="B39" s="113">
        <v>5</v>
      </c>
      <c r="C39" s="147"/>
      <c r="D39" s="147">
        <v>0.96109999999999995</v>
      </c>
      <c r="E39" s="147"/>
      <c r="F39" s="147">
        <v>3.2879999999999998</v>
      </c>
      <c r="G39" s="147"/>
      <c r="H39" s="147">
        <v>0.878</v>
      </c>
      <c r="I39" s="147">
        <v>2.8555000000000001</v>
      </c>
      <c r="J39" s="147">
        <v>0.32840000000000003</v>
      </c>
      <c r="K39" s="147">
        <v>0.31869999999999998</v>
      </c>
      <c r="L39" s="147">
        <v>0.27150000000000002</v>
      </c>
      <c r="M39" s="147">
        <v>0.23649999999999999</v>
      </c>
      <c r="N39" s="147">
        <v>0.2329</v>
      </c>
      <c r="O39" s="147">
        <v>0.55840000000000001</v>
      </c>
      <c r="P39" s="147">
        <v>0.57110000000000005</v>
      </c>
      <c r="Q39" s="147">
        <v>1.2335</v>
      </c>
      <c r="R39" s="147">
        <v>1.2239</v>
      </c>
      <c r="S39" s="114"/>
      <c r="T39" s="114"/>
      <c r="U39" s="114"/>
      <c r="V39" s="114"/>
      <c r="W39" s="114"/>
      <c r="X39" s="114"/>
      <c r="Y39" s="114"/>
      <c r="Z39" s="114"/>
    </row>
    <row r="40" spans="2:26" ht="12.75" customHeight="1">
      <c r="B40" s="113">
        <v>6</v>
      </c>
      <c r="C40" s="147"/>
      <c r="D40" s="147">
        <v>0.96020000000000005</v>
      </c>
      <c r="E40" s="147"/>
      <c r="F40" s="147">
        <v>3.2989999999999999</v>
      </c>
      <c r="G40" s="147"/>
      <c r="H40" s="147">
        <v>0.88249999999999995</v>
      </c>
      <c r="I40" s="147">
        <v>2.8593000000000002</v>
      </c>
      <c r="J40" s="147">
        <v>0.3201</v>
      </c>
      <c r="K40" s="147">
        <v>0.31719999999999998</v>
      </c>
      <c r="L40" s="147">
        <v>0.2581</v>
      </c>
      <c r="M40" s="147">
        <v>0.25469999999999998</v>
      </c>
      <c r="N40" s="147">
        <v>0.2341</v>
      </c>
      <c r="O40" s="147">
        <v>0.57799999999999996</v>
      </c>
      <c r="P40" s="147">
        <v>0.57020000000000004</v>
      </c>
      <c r="Q40" s="147">
        <v>1.2297</v>
      </c>
      <c r="R40" s="147">
        <v>1.2203999999999999</v>
      </c>
      <c r="S40" s="114"/>
      <c r="T40" s="114"/>
      <c r="U40" s="114"/>
      <c r="V40" s="114"/>
      <c r="W40" s="114"/>
      <c r="X40" s="114"/>
      <c r="Y40" s="114"/>
      <c r="Z40" s="114"/>
    </row>
    <row r="41" spans="2:26" ht="12.75" customHeight="1">
      <c r="B41" s="113">
        <v>7</v>
      </c>
      <c r="C41" s="147"/>
      <c r="D41" s="147">
        <v>0.96040000000000003</v>
      </c>
      <c r="E41" s="147"/>
      <c r="F41" s="147">
        <v>3.2890000000000001</v>
      </c>
      <c r="G41" s="147"/>
      <c r="H41" s="147">
        <v>0.86460000000000004</v>
      </c>
      <c r="I41" s="147">
        <v>2.8571</v>
      </c>
      <c r="J41" s="147">
        <v>0.32369999999999999</v>
      </c>
      <c r="K41" s="147">
        <v>0.32119999999999999</v>
      </c>
      <c r="L41" s="147">
        <v>0.26569999999999999</v>
      </c>
      <c r="M41" s="147">
        <v>0.23719999999999999</v>
      </c>
      <c r="N41" s="147">
        <v>0.2346</v>
      </c>
      <c r="O41" s="147">
        <v>0.56430000000000002</v>
      </c>
      <c r="P41" s="147">
        <v>0.57040000000000002</v>
      </c>
      <c r="Q41" s="147">
        <v>1.2276</v>
      </c>
      <c r="R41" s="147">
        <v>1.2186999999999999</v>
      </c>
      <c r="S41" s="114"/>
      <c r="T41" s="114"/>
      <c r="U41" s="114"/>
      <c r="V41" s="114"/>
      <c r="W41" s="114"/>
      <c r="X41" s="114"/>
      <c r="Y41" s="114"/>
      <c r="Z41" s="114"/>
    </row>
    <row r="42" spans="2:26" ht="12.75" customHeight="1">
      <c r="B42" s="113">
        <v>8</v>
      </c>
      <c r="C42" s="147"/>
      <c r="D42" s="147">
        <v>0.97250000000000003</v>
      </c>
      <c r="E42" s="147"/>
      <c r="F42" s="147">
        <v>3.2919999999999998</v>
      </c>
      <c r="G42" s="147"/>
      <c r="H42" s="147">
        <v>0.87909999999999999</v>
      </c>
      <c r="I42" s="147">
        <v>2.8616999999999999</v>
      </c>
      <c r="J42" s="147">
        <v>0.32219999999999999</v>
      </c>
      <c r="K42" s="147">
        <v>0.31169999999999998</v>
      </c>
      <c r="L42" s="147">
        <v>0.2545</v>
      </c>
      <c r="M42" s="147">
        <v>0.26300000000000001</v>
      </c>
      <c r="N42" s="147">
        <v>0.23050000000000001</v>
      </c>
      <c r="O42" s="147">
        <v>0.57230000000000003</v>
      </c>
      <c r="P42" s="147">
        <v>0.57050000000000001</v>
      </c>
      <c r="Q42" s="147">
        <v>1.2354000000000001</v>
      </c>
      <c r="R42" s="147">
        <v>1.2182999999999999</v>
      </c>
      <c r="S42" s="114"/>
      <c r="T42" s="114"/>
      <c r="U42" s="114"/>
      <c r="V42" s="114"/>
      <c r="W42" s="114"/>
      <c r="X42" s="114"/>
      <c r="Y42" s="114"/>
      <c r="Z42" s="114"/>
    </row>
    <row r="43" spans="2:26" ht="12.75" customHeight="1">
      <c r="B43" s="113">
        <v>9</v>
      </c>
      <c r="C43" s="147"/>
      <c r="D43" s="147">
        <v>0.96399999999999997</v>
      </c>
      <c r="E43" s="147"/>
      <c r="F43" s="147">
        <v>3.2879999999999998</v>
      </c>
      <c r="G43" s="147"/>
      <c r="H43" s="147">
        <v>0.876</v>
      </c>
      <c r="I43" s="147">
        <v>2.8620000000000001</v>
      </c>
      <c r="J43" s="147">
        <v>0.31900000000000001</v>
      </c>
      <c r="K43" s="147">
        <v>0.316</v>
      </c>
      <c r="L43" s="147">
        <v>0.26500000000000001</v>
      </c>
      <c r="M43" s="147">
        <v>0.251</v>
      </c>
      <c r="N43" s="147">
        <v>0.222</v>
      </c>
      <c r="O43" s="147">
        <v>0.57699999999999996</v>
      </c>
      <c r="P43" s="147">
        <v>0.56999999999999995</v>
      </c>
      <c r="Q43" s="147">
        <v>1.232</v>
      </c>
      <c r="R43" s="147">
        <v>1.222</v>
      </c>
      <c r="S43" s="114"/>
      <c r="T43" s="114"/>
      <c r="U43" s="114"/>
      <c r="V43" s="114"/>
      <c r="W43" s="114"/>
      <c r="X43" s="114"/>
      <c r="Y43" s="114"/>
      <c r="Z43" s="114"/>
    </row>
    <row r="44" spans="2:26" ht="12.75" customHeight="1">
      <c r="B44" s="113">
        <v>10</v>
      </c>
      <c r="C44" s="147"/>
      <c r="D44" s="147">
        <v>0.96799999999999997</v>
      </c>
      <c r="E44" s="147"/>
      <c r="F44" s="147">
        <v>3.2919999999999998</v>
      </c>
      <c r="G44" s="147"/>
      <c r="H44" s="147">
        <v>0.878</v>
      </c>
      <c r="I44" s="147">
        <v>2.859</v>
      </c>
      <c r="J44" s="147">
        <v>0.32200000000000001</v>
      </c>
      <c r="K44" s="147">
        <v>0.32300000000000001</v>
      </c>
      <c r="L44" s="147">
        <v>0.27400000000000002</v>
      </c>
      <c r="M44" s="147">
        <v>0.245</v>
      </c>
      <c r="N44" s="147">
        <v>0.22900000000000001</v>
      </c>
      <c r="O44" s="147">
        <v>0.57199999999999995</v>
      </c>
      <c r="P44" s="147">
        <v>0.57399999999999995</v>
      </c>
      <c r="Q44" s="147">
        <v>1.2270000000000001</v>
      </c>
      <c r="R44" s="147">
        <v>1.232</v>
      </c>
      <c r="S44" s="114"/>
      <c r="T44" s="114"/>
      <c r="U44" s="114"/>
      <c r="V44" s="114"/>
      <c r="W44" s="114"/>
      <c r="X44" s="114"/>
      <c r="Y44" s="114"/>
      <c r="Z44" s="114"/>
    </row>
    <row r="45" spans="2:26" ht="12.75" customHeight="1">
      <c r="B45" s="113">
        <v>11</v>
      </c>
      <c r="C45" s="147"/>
      <c r="D45" s="147">
        <v>0.96799999999999997</v>
      </c>
      <c r="E45" s="147"/>
      <c r="F45" s="147">
        <v>3.2930000000000001</v>
      </c>
      <c r="G45" s="147"/>
      <c r="H45" s="147">
        <v>0.86299999999999999</v>
      </c>
      <c r="I45" s="147">
        <v>2.8639999999999999</v>
      </c>
      <c r="J45" s="147">
        <v>0.32500000000000001</v>
      </c>
      <c r="K45" s="147">
        <v>0.32700000000000001</v>
      </c>
      <c r="L45" s="147">
        <v>0.25600000000000001</v>
      </c>
      <c r="M45" s="147">
        <v>0.25600000000000001</v>
      </c>
      <c r="N45" s="147">
        <v>0.24099999999999999</v>
      </c>
      <c r="O45" s="147">
        <v>0.56000000000000005</v>
      </c>
      <c r="P45" s="147">
        <v>0.57399999999999995</v>
      </c>
      <c r="Q45" s="147">
        <v>1.2250000000000001</v>
      </c>
      <c r="R45" s="147">
        <v>1.2330000000000001</v>
      </c>
      <c r="S45" s="114"/>
      <c r="T45" s="114"/>
      <c r="U45" s="114"/>
      <c r="V45" s="114"/>
      <c r="W45" s="114"/>
      <c r="X45" s="114"/>
      <c r="Y45" s="114"/>
      <c r="Z45" s="114"/>
    </row>
    <row r="46" spans="2:26" ht="12.75" customHeight="1">
      <c r="B46" s="113">
        <v>12</v>
      </c>
      <c r="C46" s="147"/>
      <c r="D46" s="147">
        <v>0.96099999999999997</v>
      </c>
      <c r="E46" s="147"/>
      <c r="F46" s="147">
        <v>3.294</v>
      </c>
      <c r="G46" s="147"/>
      <c r="H46" s="147">
        <v>0.86399999999999999</v>
      </c>
      <c r="I46" s="147">
        <v>2.8570000000000002</v>
      </c>
      <c r="J46" s="147">
        <v>0.32</v>
      </c>
      <c r="K46" s="147">
        <v>0.32900000000000001</v>
      </c>
      <c r="L46" s="147">
        <v>0.27</v>
      </c>
      <c r="M46" s="147">
        <v>0.249</v>
      </c>
      <c r="N46" s="147">
        <v>0.24199999999999999</v>
      </c>
      <c r="O46" s="147">
        <v>0.57199999999999995</v>
      </c>
      <c r="P46" s="147">
        <v>0.57099999999999995</v>
      </c>
      <c r="Q46" s="147">
        <v>1.228</v>
      </c>
      <c r="R46" s="147">
        <v>1.2310000000000001</v>
      </c>
      <c r="S46" s="114"/>
      <c r="T46" s="114"/>
      <c r="U46" s="114"/>
      <c r="V46" s="114"/>
      <c r="W46" s="114"/>
      <c r="X46" s="114"/>
      <c r="Y46" s="114"/>
      <c r="Z46" s="114"/>
    </row>
    <row r="47" spans="2:26" ht="12.75" customHeight="1">
      <c r="B47" s="113">
        <v>13</v>
      </c>
      <c r="C47" s="147"/>
      <c r="D47" s="147">
        <v>0.97099999999999997</v>
      </c>
      <c r="E47" s="147"/>
      <c r="F47" s="147">
        <v>3.2970000000000002</v>
      </c>
      <c r="G47" s="147"/>
      <c r="H47" s="147">
        <v>0.86399999999999999</v>
      </c>
      <c r="I47" s="147">
        <v>2.8540000000000001</v>
      </c>
      <c r="J47" s="147">
        <v>0.32</v>
      </c>
      <c r="K47" s="147">
        <v>0.318</v>
      </c>
      <c r="L47" s="147">
        <v>0.27</v>
      </c>
      <c r="M47" s="147">
        <v>0.25700000000000001</v>
      </c>
      <c r="N47" s="147">
        <v>0.24399999999999999</v>
      </c>
      <c r="O47" s="147">
        <v>0.57199999999999995</v>
      </c>
      <c r="P47" s="147">
        <v>0.57099999999999995</v>
      </c>
      <c r="Q47" s="147">
        <v>1.234</v>
      </c>
      <c r="R47" s="147">
        <v>1.2230000000000001</v>
      </c>
      <c r="S47" s="114"/>
      <c r="T47" s="114"/>
      <c r="U47" s="114"/>
      <c r="V47" s="114"/>
      <c r="W47" s="114"/>
      <c r="X47" s="114"/>
      <c r="Y47" s="114"/>
      <c r="Z47" s="114"/>
    </row>
    <row r="48" spans="2:26" ht="12.75" customHeight="1">
      <c r="B48" s="113">
        <v>14</v>
      </c>
      <c r="C48" s="147"/>
      <c r="D48" s="147">
        <v>0.97</v>
      </c>
      <c r="E48" s="147"/>
      <c r="F48" s="147">
        <v>3.2989999999999999</v>
      </c>
      <c r="G48" s="147"/>
      <c r="H48" s="147">
        <v>0.86799999999999999</v>
      </c>
      <c r="I48" s="147">
        <v>2.8559999999999999</v>
      </c>
      <c r="J48" s="147">
        <v>0.32</v>
      </c>
      <c r="K48" s="147">
        <v>0.32700000000000001</v>
      </c>
      <c r="L48" s="147">
        <v>0.26600000000000001</v>
      </c>
      <c r="M48" s="147">
        <v>0.25900000000000001</v>
      </c>
      <c r="N48" s="147">
        <v>0.24</v>
      </c>
      <c r="O48" s="147">
        <v>0.57199999999999995</v>
      </c>
      <c r="P48" s="147">
        <v>0.56699999999999995</v>
      </c>
      <c r="Q48" s="147">
        <v>1.2250000000000001</v>
      </c>
      <c r="R48" s="147">
        <v>1.2270000000000001</v>
      </c>
      <c r="S48" s="114"/>
      <c r="T48" s="114"/>
      <c r="U48" s="114"/>
      <c r="V48" s="114"/>
      <c r="W48" s="114"/>
      <c r="X48" s="114"/>
      <c r="Y48" s="114"/>
      <c r="Z48" s="114"/>
    </row>
    <row r="49" spans="2:26" ht="12.75" customHeight="1">
      <c r="B49" s="113">
        <v>15</v>
      </c>
      <c r="C49" s="147"/>
      <c r="D49" s="147">
        <v>0.96499999999999997</v>
      </c>
      <c r="E49" s="147"/>
      <c r="F49" s="147">
        <v>3.2919999999999998</v>
      </c>
      <c r="G49" s="147"/>
      <c r="H49" s="147">
        <v>0.875</v>
      </c>
      <c r="I49" s="147">
        <v>2.8580000000000001</v>
      </c>
      <c r="J49" s="147">
        <v>0.32400000000000001</v>
      </c>
      <c r="K49" s="147">
        <v>0.32900000000000001</v>
      </c>
      <c r="L49" s="147">
        <v>0.27400000000000002</v>
      </c>
      <c r="M49" s="147">
        <v>0.24</v>
      </c>
      <c r="N49" s="147">
        <v>0.24299999999999999</v>
      </c>
      <c r="O49" s="147">
        <v>0.56799999999999995</v>
      </c>
      <c r="P49" s="147">
        <v>0.57199999999999995</v>
      </c>
      <c r="Q49" s="147">
        <v>1.226</v>
      </c>
      <c r="R49" s="147">
        <v>1.2290000000000001</v>
      </c>
      <c r="S49" s="114"/>
      <c r="T49" s="114"/>
      <c r="U49" s="114"/>
      <c r="V49" s="114"/>
      <c r="W49" s="114"/>
      <c r="X49" s="114"/>
      <c r="Y49" s="114"/>
      <c r="Z49" s="114"/>
    </row>
    <row r="50" spans="2:26" ht="12.75" customHeight="1">
      <c r="B50" s="113">
        <v>16</v>
      </c>
      <c r="C50" s="147"/>
      <c r="D50" s="147">
        <v>0.96399999999999997</v>
      </c>
      <c r="E50" s="147"/>
      <c r="F50" s="147">
        <v>3.2959999999999998</v>
      </c>
      <c r="G50" s="147"/>
      <c r="H50" s="147">
        <v>0.86399999999999999</v>
      </c>
      <c r="I50" s="147">
        <v>2.86</v>
      </c>
      <c r="J50" s="147">
        <v>0.32500000000000001</v>
      </c>
      <c r="K50" s="147">
        <v>0.32100000000000001</v>
      </c>
      <c r="L50" s="147">
        <v>0.27400000000000002</v>
      </c>
      <c r="M50" s="147">
        <v>0.254</v>
      </c>
      <c r="N50" s="147">
        <v>0.23300000000000001</v>
      </c>
      <c r="O50" s="147">
        <v>0.56999999999999995</v>
      </c>
      <c r="P50" s="147">
        <v>0.57399999999999995</v>
      </c>
      <c r="Q50" s="147">
        <v>1.2330000000000001</v>
      </c>
      <c r="R50" s="147">
        <v>1.234</v>
      </c>
      <c r="S50" s="114"/>
      <c r="T50" s="114"/>
      <c r="U50" s="114"/>
      <c r="V50" s="114"/>
      <c r="W50" s="114"/>
      <c r="X50" s="114"/>
      <c r="Y50" s="114"/>
      <c r="Z50" s="114"/>
    </row>
    <row r="51" spans="2:26" ht="12.75" customHeight="1">
      <c r="B51" s="113">
        <v>17</v>
      </c>
      <c r="C51" s="147"/>
      <c r="D51" s="147">
        <v>0.96199999999999997</v>
      </c>
      <c r="E51" s="147"/>
      <c r="F51" s="147">
        <v>3.29</v>
      </c>
      <c r="G51" s="147"/>
      <c r="H51" s="147">
        <v>0.86799999999999999</v>
      </c>
      <c r="I51" s="147">
        <v>2.8639999999999999</v>
      </c>
      <c r="J51" s="147">
        <v>0.318</v>
      </c>
      <c r="K51" s="147">
        <v>0.32400000000000001</v>
      </c>
      <c r="L51" s="147">
        <v>0.27500000000000002</v>
      </c>
      <c r="M51" s="147">
        <v>0.25</v>
      </c>
      <c r="N51" s="147">
        <v>0.23899999999999999</v>
      </c>
      <c r="O51" s="147">
        <v>0.56000000000000005</v>
      </c>
      <c r="P51" s="147">
        <v>0.57299999999999995</v>
      </c>
      <c r="Q51" s="147">
        <v>1.23</v>
      </c>
      <c r="R51" s="147">
        <v>1.2250000000000001</v>
      </c>
      <c r="S51" s="114"/>
      <c r="T51" s="114"/>
      <c r="U51" s="114"/>
      <c r="V51" s="114"/>
      <c r="W51" s="114"/>
      <c r="X51" s="114"/>
      <c r="Y51" s="114"/>
      <c r="Z51" s="114"/>
    </row>
    <row r="52" spans="2:26" ht="12.75" customHeight="1">
      <c r="B52" s="113">
        <v>18</v>
      </c>
      <c r="C52" s="147"/>
      <c r="D52" s="147">
        <v>0.97</v>
      </c>
      <c r="E52" s="147"/>
      <c r="F52" s="147">
        <v>3.298</v>
      </c>
      <c r="G52" s="147"/>
      <c r="H52" s="147">
        <v>0.86499999999999999</v>
      </c>
      <c r="I52" s="147">
        <v>2.8620000000000001</v>
      </c>
      <c r="J52" s="147">
        <v>0.32500000000000001</v>
      </c>
      <c r="K52" s="147">
        <v>0.31900000000000001</v>
      </c>
      <c r="L52" s="147">
        <v>0.26100000000000001</v>
      </c>
      <c r="M52" s="147">
        <v>0.247</v>
      </c>
      <c r="N52" s="147">
        <v>0.224</v>
      </c>
      <c r="O52" s="147">
        <v>0.56000000000000005</v>
      </c>
      <c r="P52" s="147">
        <v>0.56599999999999995</v>
      </c>
      <c r="Q52" s="147">
        <v>1.232</v>
      </c>
      <c r="R52" s="147">
        <v>1.232</v>
      </c>
      <c r="S52" s="114"/>
      <c r="T52" s="114"/>
      <c r="U52" s="114"/>
      <c r="V52" s="114"/>
      <c r="W52" s="114"/>
      <c r="X52" s="114"/>
      <c r="Y52" s="114"/>
      <c r="Z52" s="114"/>
    </row>
    <row r="53" spans="2:26" ht="12.75" customHeight="1">
      <c r="B53" s="113">
        <v>19</v>
      </c>
      <c r="C53" s="147"/>
      <c r="D53" s="147">
        <v>0.96299999999999997</v>
      </c>
      <c r="E53" s="147"/>
      <c r="F53" s="147">
        <v>3.2989999999999999</v>
      </c>
      <c r="G53" s="147"/>
      <c r="H53" s="147">
        <v>0.86499999999999999</v>
      </c>
      <c r="I53" s="147">
        <v>2.8620000000000001</v>
      </c>
      <c r="J53" s="147">
        <v>0.32200000000000001</v>
      </c>
      <c r="K53" s="147">
        <v>0.32200000000000001</v>
      </c>
      <c r="L53" s="147">
        <v>0.25700000000000001</v>
      </c>
      <c r="M53" s="147">
        <v>0.24399999999999999</v>
      </c>
      <c r="N53" s="147">
        <v>0.23599999999999999</v>
      </c>
      <c r="O53" s="147">
        <v>0.56100000000000005</v>
      </c>
      <c r="P53" s="147">
        <v>0.56599999999999995</v>
      </c>
      <c r="Q53" s="147">
        <v>1.2310000000000001</v>
      </c>
      <c r="R53" s="147">
        <v>1.2290000000000001</v>
      </c>
      <c r="S53" s="114"/>
      <c r="T53" s="114"/>
      <c r="U53" s="114"/>
      <c r="V53" s="114"/>
      <c r="W53" s="114"/>
      <c r="X53" s="114"/>
      <c r="Y53" s="114"/>
      <c r="Z53" s="114"/>
    </row>
    <row r="54" spans="2:26" ht="12.75" customHeight="1">
      <c r="B54" s="113">
        <v>20</v>
      </c>
      <c r="C54" s="147"/>
      <c r="D54" s="147">
        <v>0.96199999999999997</v>
      </c>
      <c r="E54" s="147"/>
      <c r="F54" s="147">
        <v>3.2919999999999998</v>
      </c>
      <c r="G54" s="147"/>
      <c r="H54" s="147">
        <v>0.86899999999999999</v>
      </c>
      <c r="I54" s="147">
        <v>2.8559999999999999</v>
      </c>
      <c r="J54" s="147">
        <v>0.32</v>
      </c>
      <c r="K54" s="147">
        <v>0.318</v>
      </c>
      <c r="L54" s="147">
        <v>0.27200000000000002</v>
      </c>
      <c r="M54" s="147">
        <v>0.26200000000000001</v>
      </c>
      <c r="N54" s="147">
        <v>0.22500000000000001</v>
      </c>
      <c r="O54" s="147">
        <v>0.57599999999999996</v>
      </c>
      <c r="P54" s="147">
        <v>0.57499999999999996</v>
      </c>
      <c r="Q54" s="147">
        <v>1.234</v>
      </c>
      <c r="R54" s="147">
        <v>1.2210000000000001</v>
      </c>
      <c r="S54" s="114"/>
      <c r="T54" s="114"/>
      <c r="U54" s="114"/>
      <c r="V54" s="114"/>
      <c r="W54" s="114"/>
      <c r="X54" s="114"/>
      <c r="Y54" s="114"/>
      <c r="Z54" s="114"/>
    </row>
    <row r="55" spans="2:26" ht="12.75" customHeight="1">
      <c r="B55" s="113">
        <v>21</v>
      </c>
      <c r="C55" s="147"/>
      <c r="D55" s="147">
        <v>0.96699999999999997</v>
      </c>
      <c r="E55" s="147"/>
      <c r="F55" s="147">
        <v>3.2909999999999999</v>
      </c>
      <c r="G55" s="147"/>
      <c r="H55" s="147">
        <v>0.86099999999999999</v>
      </c>
      <c r="I55" s="147">
        <v>2.863</v>
      </c>
      <c r="J55" s="147">
        <v>0.32600000000000001</v>
      </c>
      <c r="K55" s="147">
        <v>0.31900000000000001</v>
      </c>
      <c r="L55" s="147">
        <v>0.26300000000000001</v>
      </c>
      <c r="M55" s="147">
        <v>0.25800000000000001</v>
      </c>
      <c r="N55" s="147">
        <v>0.24399999999999999</v>
      </c>
      <c r="O55" s="147">
        <v>0.57699999999999996</v>
      </c>
      <c r="P55" s="147">
        <v>0.56799999999999995</v>
      </c>
      <c r="Q55" s="147">
        <v>1.226</v>
      </c>
      <c r="R55" s="147">
        <v>1.2210000000000001</v>
      </c>
      <c r="S55" s="114"/>
      <c r="T55" s="114"/>
      <c r="U55" s="114"/>
      <c r="V55" s="114"/>
      <c r="W55" s="114"/>
      <c r="X55" s="114"/>
      <c r="Y55" s="114"/>
      <c r="Z55" s="114"/>
    </row>
    <row r="56" spans="2:26" ht="12.75" customHeight="1">
      <c r="B56" s="113">
        <v>22</v>
      </c>
      <c r="C56" s="147"/>
      <c r="D56" s="147">
        <v>0.96899999999999997</v>
      </c>
      <c r="E56" s="147"/>
      <c r="F56" s="147">
        <v>3.2890000000000001</v>
      </c>
      <c r="G56" s="147"/>
      <c r="H56" s="147">
        <v>0.875</v>
      </c>
      <c r="I56" s="147">
        <v>2.855</v>
      </c>
      <c r="J56" s="147">
        <v>0.32300000000000001</v>
      </c>
      <c r="K56" s="147">
        <v>0.312</v>
      </c>
      <c r="L56" s="147">
        <v>0.26400000000000001</v>
      </c>
      <c r="M56" s="147">
        <v>0.251</v>
      </c>
      <c r="N56" s="147">
        <v>0.22900000000000001</v>
      </c>
      <c r="O56" s="147">
        <v>0.56200000000000006</v>
      </c>
      <c r="P56" s="147">
        <v>0.56399999999999995</v>
      </c>
      <c r="Q56" s="147">
        <v>1.23</v>
      </c>
      <c r="R56" s="147">
        <v>1.2230000000000001</v>
      </c>
      <c r="S56" s="114"/>
      <c r="T56" s="114"/>
      <c r="U56" s="114"/>
      <c r="V56" s="114"/>
      <c r="W56" s="114"/>
      <c r="X56" s="114"/>
      <c r="Y56" s="114"/>
      <c r="Z56" s="114"/>
    </row>
    <row r="57" spans="2:26" ht="12.75" customHeight="1">
      <c r="B57" s="113">
        <v>23</v>
      </c>
      <c r="C57" s="147"/>
      <c r="D57" s="147">
        <v>0.96899999999999997</v>
      </c>
      <c r="E57" s="147"/>
      <c r="F57" s="147">
        <v>3.2930000000000001</v>
      </c>
      <c r="G57" s="147"/>
      <c r="H57" s="147">
        <v>0.87</v>
      </c>
      <c r="I57" s="147">
        <v>2.8559999999999999</v>
      </c>
      <c r="J57" s="147">
        <v>0.32700000000000001</v>
      </c>
      <c r="K57" s="147">
        <v>0.33</v>
      </c>
      <c r="L57" s="147">
        <v>0.26100000000000001</v>
      </c>
      <c r="M57" s="147">
        <v>0.247</v>
      </c>
      <c r="N57" s="147">
        <v>0.22800000000000001</v>
      </c>
      <c r="O57" s="147">
        <v>0.56599999999999995</v>
      </c>
      <c r="P57" s="147">
        <v>0.57399999999999995</v>
      </c>
      <c r="Q57" s="147">
        <v>1.2350000000000001</v>
      </c>
      <c r="R57" s="147">
        <v>1.2330000000000001</v>
      </c>
      <c r="S57" s="114"/>
      <c r="T57" s="114"/>
      <c r="U57" s="114"/>
      <c r="V57" s="114"/>
      <c r="W57" s="114"/>
      <c r="X57" s="114"/>
      <c r="Y57" s="114"/>
      <c r="Z57" s="114"/>
    </row>
    <row r="58" spans="2:26" ht="12.75" customHeight="1">
      <c r="B58" s="113">
        <v>24</v>
      </c>
      <c r="C58" s="147"/>
      <c r="D58" s="147">
        <v>0.96599999999999997</v>
      </c>
      <c r="E58" s="147"/>
      <c r="F58" s="147">
        <v>3.29</v>
      </c>
      <c r="G58" s="147"/>
      <c r="H58" s="147">
        <v>0.86</v>
      </c>
      <c r="I58" s="147">
        <v>2.855</v>
      </c>
      <c r="J58" s="147">
        <v>0.32100000000000001</v>
      </c>
      <c r="K58" s="147">
        <v>0.313</v>
      </c>
      <c r="L58" s="147">
        <v>0.27300000000000002</v>
      </c>
      <c r="M58" s="147">
        <v>0.246</v>
      </c>
      <c r="N58" s="147">
        <v>0.22900000000000001</v>
      </c>
      <c r="O58" s="147">
        <v>0.57699999999999996</v>
      </c>
      <c r="P58" s="147">
        <v>0.57299999999999995</v>
      </c>
      <c r="Q58" s="147">
        <v>1.2250000000000001</v>
      </c>
      <c r="R58" s="147">
        <v>1.2290000000000001</v>
      </c>
      <c r="S58" s="114"/>
      <c r="T58" s="114"/>
      <c r="U58" s="114"/>
      <c r="V58" s="114"/>
      <c r="W58" s="114"/>
      <c r="X58" s="114"/>
      <c r="Y58" s="114"/>
      <c r="Z58" s="114"/>
    </row>
    <row r="59" spans="2:26" ht="12.75" customHeight="1">
      <c r="B59" s="113">
        <v>25</v>
      </c>
      <c r="C59" s="147"/>
      <c r="D59" s="147">
        <v>0.96399999999999997</v>
      </c>
      <c r="E59" s="147"/>
      <c r="F59" s="147">
        <v>3.298</v>
      </c>
      <c r="G59" s="147"/>
      <c r="H59" s="147">
        <v>0.86899999999999999</v>
      </c>
      <c r="I59" s="147">
        <v>2.863</v>
      </c>
      <c r="J59" s="147">
        <v>0.32500000000000001</v>
      </c>
      <c r="K59" s="147">
        <v>0.32900000000000001</v>
      </c>
      <c r="L59" s="147">
        <v>0.255</v>
      </c>
      <c r="M59" s="147">
        <v>0.25800000000000001</v>
      </c>
      <c r="N59" s="147">
        <v>0.23200000000000001</v>
      </c>
      <c r="O59" s="147">
        <v>0.56699999999999995</v>
      </c>
      <c r="P59" s="147">
        <v>0.57399999999999995</v>
      </c>
      <c r="Q59" s="147">
        <v>1.234</v>
      </c>
      <c r="R59" s="147">
        <v>1.226</v>
      </c>
      <c r="S59" s="114"/>
      <c r="T59" s="114"/>
      <c r="U59" s="114"/>
      <c r="V59" s="114"/>
      <c r="W59" s="114"/>
      <c r="X59" s="114"/>
      <c r="Y59" s="114"/>
      <c r="Z59" s="114"/>
    </row>
    <row r="60" spans="2:26" ht="12.75" customHeight="1">
      <c r="B60" s="113">
        <v>26</v>
      </c>
      <c r="C60" s="147"/>
      <c r="D60" s="147">
        <v>0.96599999999999997</v>
      </c>
      <c r="E60" s="147"/>
      <c r="F60" s="147">
        <v>3.2909999999999999</v>
      </c>
      <c r="G60" s="147"/>
      <c r="H60" s="147">
        <v>0.88300000000000001</v>
      </c>
      <c r="I60" s="147">
        <v>2.86</v>
      </c>
      <c r="J60" s="147">
        <v>0.32600000000000001</v>
      </c>
      <c r="K60" s="147">
        <v>0.32</v>
      </c>
      <c r="L60" s="147">
        <v>0.26500000000000001</v>
      </c>
      <c r="M60" s="147">
        <v>0.24399999999999999</v>
      </c>
      <c r="N60" s="147">
        <v>0.25</v>
      </c>
      <c r="O60" s="147">
        <v>0.56000000000000005</v>
      </c>
      <c r="P60" s="147">
        <v>0.56799999999999995</v>
      </c>
      <c r="Q60" s="147">
        <v>1.23</v>
      </c>
      <c r="R60" s="147">
        <v>1.2190000000000001</v>
      </c>
      <c r="S60" s="114"/>
      <c r="T60" s="114"/>
      <c r="U60" s="114"/>
      <c r="V60" s="114"/>
      <c r="W60" s="114"/>
      <c r="X60" s="114"/>
      <c r="Y60" s="114"/>
      <c r="Z60" s="114"/>
    </row>
    <row r="61" spans="2:26" ht="12.75" customHeight="1">
      <c r="B61" s="113">
        <v>27</v>
      </c>
      <c r="C61" s="147"/>
      <c r="D61" s="147">
        <v>0.96699999999999997</v>
      </c>
      <c r="E61" s="147"/>
      <c r="F61" s="147">
        <v>3.298</v>
      </c>
      <c r="G61" s="147"/>
      <c r="H61" s="147">
        <v>0.86899999999999999</v>
      </c>
      <c r="I61" s="147">
        <v>2.855</v>
      </c>
      <c r="J61" s="147">
        <v>0.32800000000000001</v>
      </c>
      <c r="K61" s="147">
        <v>0.32300000000000001</v>
      </c>
      <c r="L61" s="147">
        <v>0.27100000000000002</v>
      </c>
      <c r="M61" s="147">
        <v>0.24399999999999999</v>
      </c>
      <c r="N61" s="147">
        <v>0.224</v>
      </c>
      <c r="O61" s="147">
        <v>0.56299999999999994</v>
      </c>
      <c r="P61" s="147">
        <v>0.56299999999999994</v>
      </c>
      <c r="Q61" s="147">
        <v>1.2350000000000001</v>
      </c>
      <c r="R61" s="147">
        <v>1.2250000000000001</v>
      </c>
      <c r="S61" s="114"/>
      <c r="T61" s="114"/>
      <c r="U61" s="114"/>
      <c r="V61" s="114"/>
      <c r="W61" s="114"/>
      <c r="X61" s="114"/>
      <c r="Y61" s="114"/>
      <c r="Z61" s="114"/>
    </row>
    <row r="62" spans="2:26" ht="12.75" customHeight="1">
      <c r="B62" s="113">
        <v>28</v>
      </c>
      <c r="C62" s="147"/>
      <c r="D62" s="147">
        <v>0.96499999999999997</v>
      </c>
      <c r="E62" s="147"/>
      <c r="F62" s="147">
        <v>3.298</v>
      </c>
      <c r="G62" s="147"/>
      <c r="H62" s="147">
        <v>0.88100000000000001</v>
      </c>
      <c r="I62" s="147">
        <v>2.859</v>
      </c>
      <c r="J62" s="147">
        <v>0.32600000000000001</v>
      </c>
      <c r="K62" s="147">
        <v>0.317</v>
      </c>
      <c r="L62" s="147">
        <v>0.26100000000000001</v>
      </c>
      <c r="M62" s="147">
        <v>0.255</v>
      </c>
      <c r="N62" s="147">
        <v>0.23599999999999999</v>
      </c>
      <c r="O62" s="147">
        <v>0.56399999999999995</v>
      </c>
      <c r="P62" s="147">
        <v>0.57299999999999995</v>
      </c>
      <c r="Q62" s="147">
        <v>1.2270000000000001</v>
      </c>
      <c r="R62" s="147">
        <v>1.2330000000000001</v>
      </c>
      <c r="S62" s="114"/>
      <c r="T62" s="114"/>
      <c r="U62" s="114"/>
      <c r="V62" s="114"/>
      <c r="W62" s="114"/>
      <c r="X62" s="114"/>
      <c r="Y62" s="114"/>
      <c r="Z62" s="114"/>
    </row>
    <row r="63" spans="2:26" ht="12.75" customHeight="1">
      <c r="B63" s="113">
        <v>29</v>
      </c>
      <c r="C63" s="147"/>
      <c r="D63" s="147">
        <v>0.96799999999999997</v>
      </c>
      <c r="E63" s="147"/>
      <c r="F63" s="147">
        <v>3.2970000000000002</v>
      </c>
      <c r="G63" s="147"/>
      <c r="H63" s="147">
        <v>0.874</v>
      </c>
      <c r="I63" s="147">
        <v>2.8559999999999999</v>
      </c>
      <c r="J63" s="147">
        <v>0.32200000000000001</v>
      </c>
      <c r="K63" s="147">
        <v>0.32900000000000001</v>
      </c>
      <c r="L63" s="147">
        <v>0.25900000000000001</v>
      </c>
      <c r="M63" s="147">
        <v>0.25</v>
      </c>
      <c r="N63" s="147">
        <v>0.24099999999999999</v>
      </c>
      <c r="O63" s="147">
        <v>0.56999999999999995</v>
      </c>
      <c r="P63" s="147">
        <v>0.56200000000000006</v>
      </c>
      <c r="Q63" s="147">
        <v>1.232</v>
      </c>
      <c r="R63" s="147">
        <v>1.2290000000000001</v>
      </c>
      <c r="S63" s="114"/>
      <c r="T63" s="114"/>
      <c r="U63" s="114"/>
      <c r="V63" s="114"/>
      <c r="W63" s="114"/>
      <c r="X63" s="114"/>
      <c r="Y63" s="114"/>
      <c r="Z63" s="114"/>
    </row>
    <row r="64" spans="2:26" ht="12.75" customHeight="1">
      <c r="B64" s="113">
        <v>30</v>
      </c>
      <c r="C64" s="147"/>
      <c r="D64" s="147">
        <v>0.96899999999999997</v>
      </c>
      <c r="E64" s="147"/>
      <c r="F64" s="147">
        <v>3.2970000000000002</v>
      </c>
      <c r="G64" s="147"/>
      <c r="H64" s="147">
        <v>0.876</v>
      </c>
      <c r="I64" s="147">
        <v>2.8639999999999999</v>
      </c>
      <c r="J64" s="147">
        <v>0.318</v>
      </c>
      <c r="K64" s="147">
        <v>0.317</v>
      </c>
      <c r="L64" s="147">
        <v>0.26500000000000001</v>
      </c>
      <c r="M64" s="147">
        <v>0.25900000000000001</v>
      </c>
      <c r="N64" s="147">
        <v>0.22800000000000001</v>
      </c>
      <c r="O64" s="147">
        <v>0.56599999999999995</v>
      </c>
      <c r="P64" s="147">
        <v>0.56799999999999995</v>
      </c>
      <c r="Q64" s="147">
        <v>1.2270000000000001</v>
      </c>
      <c r="R64" s="147">
        <v>1.22</v>
      </c>
      <c r="S64" s="114"/>
      <c r="T64" s="114"/>
      <c r="U64" s="114"/>
      <c r="V64" s="114"/>
      <c r="W64" s="114"/>
      <c r="X64" s="114"/>
      <c r="Y64" s="114"/>
      <c r="Z64" s="114"/>
    </row>
    <row r="65" spans="2:256" ht="12.75" customHeight="1">
      <c r="B65" s="113">
        <v>31</v>
      </c>
      <c r="C65" s="147"/>
      <c r="D65" s="147">
        <v>0.97199999999999998</v>
      </c>
      <c r="E65" s="147"/>
      <c r="F65" s="147">
        <v>3.2970000000000002</v>
      </c>
      <c r="G65" s="147"/>
      <c r="H65" s="147">
        <v>0.871</v>
      </c>
      <c r="I65" s="147">
        <v>2.8620000000000001</v>
      </c>
      <c r="J65" s="147">
        <v>0.32</v>
      </c>
      <c r="K65" s="147">
        <v>0.32400000000000001</v>
      </c>
      <c r="L65" s="147">
        <v>0.25700000000000001</v>
      </c>
      <c r="M65" s="147">
        <v>0.26100000000000001</v>
      </c>
      <c r="N65" s="147">
        <v>0.23</v>
      </c>
      <c r="O65" s="147">
        <v>0.56599999999999995</v>
      </c>
      <c r="P65" s="147">
        <v>0.56499999999999995</v>
      </c>
      <c r="Q65" s="147">
        <v>1.226</v>
      </c>
      <c r="R65" s="147">
        <v>1.2250000000000001</v>
      </c>
      <c r="S65" s="114"/>
      <c r="T65" s="114"/>
      <c r="U65" s="114"/>
      <c r="V65" s="114"/>
      <c r="W65" s="114"/>
      <c r="X65" s="114"/>
      <c r="Y65" s="114"/>
      <c r="Z65" s="114"/>
    </row>
    <row r="66" spans="2:256" ht="12.75" customHeight="1">
      <c r="B66" s="113">
        <v>32</v>
      </c>
      <c r="C66" s="147"/>
      <c r="D66" s="147">
        <v>0.96899999999999997</v>
      </c>
      <c r="E66" s="147"/>
      <c r="F66" s="147">
        <v>3.2909999999999999</v>
      </c>
      <c r="G66" s="147"/>
      <c r="H66" s="147">
        <v>0.86199999999999999</v>
      </c>
      <c r="I66" s="147">
        <v>2.8540000000000001</v>
      </c>
      <c r="J66" s="147">
        <v>0.32600000000000001</v>
      </c>
      <c r="K66" s="147">
        <v>0.32300000000000001</v>
      </c>
      <c r="L66" s="147">
        <v>0.27400000000000002</v>
      </c>
      <c r="M66" s="147">
        <v>0.25900000000000001</v>
      </c>
      <c r="N66" s="147">
        <v>0.249</v>
      </c>
      <c r="O66" s="147">
        <v>0.56799999999999995</v>
      </c>
      <c r="P66" s="147">
        <v>0.57599999999999996</v>
      </c>
      <c r="Q66" s="147">
        <v>1.2330000000000001</v>
      </c>
      <c r="R66" s="147">
        <v>1.2290000000000001</v>
      </c>
      <c r="S66" s="114"/>
      <c r="T66" s="114"/>
      <c r="U66" s="114"/>
      <c r="V66" s="114"/>
      <c r="W66" s="114"/>
      <c r="X66" s="114"/>
      <c r="Y66" s="114"/>
      <c r="Z66" s="114"/>
    </row>
    <row r="67" spans="2:256" s="4" customFormat="1" ht="12.75" customHeight="1">
      <c r="IV67" s="136"/>
    </row>
    <row r="68" spans="2:256" s="4" customFormat="1" ht="12.75" customHeight="1">
      <c r="IV68" s="136"/>
    </row>
    <row r="69" spans="2:256" s="4" customFormat="1" ht="12.75" customHeight="1">
      <c r="IV69" s="136"/>
    </row>
    <row r="70" spans="2:256" s="4" customFormat="1" ht="12.75" customHeight="1">
      <c r="IV70" s="136"/>
    </row>
    <row r="71" spans="2:256" s="4" customFormat="1" ht="12.75" customHeight="1">
      <c r="IV71" s="136"/>
    </row>
    <row r="72" spans="2:256" s="4" customFormat="1" ht="12.75" customHeight="1">
      <c r="IV72" s="136"/>
    </row>
    <row r="73" spans="2:256" s="4" customFormat="1" ht="12.75" customHeight="1">
      <c r="IV73" s="136"/>
    </row>
    <row r="74" spans="2:256" s="4" customFormat="1" ht="12.75" customHeight="1">
      <c r="IV74" s="136"/>
    </row>
    <row r="75" spans="2:256" s="4" customFormat="1" ht="12.75" customHeight="1">
      <c r="IV75" s="136"/>
    </row>
    <row r="76" spans="2:256" s="4" customFormat="1" ht="12.75" customHeight="1">
      <c r="IV76" s="136"/>
    </row>
    <row r="77" spans="2:256" s="4" customFormat="1" ht="12.75" customHeight="1">
      <c r="IV77" s="136"/>
    </row>
    <row r="78" spans="2:256" s="4" customFormat="1" ht="12.75" customHeight="1">
      <c r="IV78" s="136"/>
    </row>
    <row r="79" spans="2:256" s="4" customFormat="1" ht="12.75" customHeight="1">
      <c r="IV79" s="136"/>
    </row>
    <row r="80" spans="2:256" s="4" customFormat="1" ht="12.75" customHeight="1">
      <c r="IV80" s="136"/>
    </row>
    <row r="81" spans="256:256" s="4" customFormat="1" ht="12.75" customHeight="1">
      <c r="IV81" s="136"/>
    </row>
    <row r="82" spans="256:256" s="4" customFormat="1" ht="12.75" customHeight="1">
      <c r="IV82" s="136"/>
    </row>
    <row r="83" spans="256:256" s="4" customFormat="1" ht="12.75" customHeight="1">
      <c r="IV83" s="136"/>
    </row>
    <row r="84" spans="256:256" s="4" customFormat="1" ht="12.75" customHeight="1">
      <c r="IV84" s="136"/>
    </row>
    <row r="85" spans="256:256" s="4" customFormat="1" ht="12.75" customHeight="1">
      <c r="IV85" s="136"/>
    </row>
    <row r="86" spans="256:256" s="4" customFormat="1" ht="12.75" customHeight="1">
      <c r="IV86" s="136"/>
    </row>
    <row r="87" spans="256:256" s="4" customFormat="1" ht="12.75" customHeight="1">
      <c r="IV87" s="136"/>
    </row>
    <row r="88" spans="256:256" s="4" customFormat="1" ht="12.75" customHeight="1">
      <c r="IV88" s="136"/>
    </row>
    <row r="89" spans="256:256" s="4" customFormat="1" ht="12.75" customHeight="1">
      <c r="IV89" s="136"/>
    </row>
    <row r="90" spans="256:256" s="4" customFormat="1" ht="12.75" customHeight="1">
      <c r="IV90" s="136"/>
    </row>
    <row r="91" spans="256:256" s="4" customFormat="1" ht="12.75" customHeight="1">
      <c r="IV91" s="136"/>
    </row>
    <row r="92" spans="256:256" s="4" customFormat="1" ht="12.75" customHeight="1">
      <c r="IV92" s="136"/>
    </row>
    <row r="93" spans="256:256" s="4" customFormat="1" ht="12.75" customHeight="1">
      <c r="IV93" s="136"/>
    </row>
    <row r="94" spans="256:256" s="4" customFormat="1" ht="12.75" customHeight="1">
      <c r="IV94" s="136"/>
    </row>
    <row r="95" spans="256:256" s="4" customFormat="1" ht="12.75" customHeight="1">
      <c r="IV95" s="136"/>
    </row>
    <row r="96" spans="256:256" s="4" customFormat="1" ht="12.75" customHeight="1">
      <c r="IV96" s="136"/>
    </row>
    <row r="97" spans="256:256" s="4" customFormat="1" ht="12.75" customHeight="1">
      <c r="IV97" s="136"/>
    </row>
    <row r="98" spans="256:256" s="4" customFormat="1" ht="12.75" customHeight="1">
      <c r="IV98" s="136"/>
    </row>
    <row r="99" spans="256:256" s="4" customFormat="1" ht="12.75" customHeight="1">
      <c r="IV99" s="136"/>
    </row>
    <row r="100" spans="256:256" s="4" customFormat="1" ht="12.75" customHeight="1">
      <c r="IV100" s="136"/>
    </row>
    <row r="101" spans="256:256" s="4" customFormat="1" ht="12.75" customHeight="1">
      <c r="IV101" s="136"/>
    </row>
    <row r="102" spans="256:256" s="4" customFormat="1" ht="12.75" customHeight="1">
      <c r="IV102" s="136"/>
    </row>
    <row r="103" spans="256:256" s="4" customFormat="1" ht="12.75" customHeight="1">
      <c r="IV103" s="136"/>
    </row>
    <row r="104" spans="256:256" s="4" customFormat="1" ht="12.75" customHeight="1">
      <c r="IV104" s="136"/>
    </row>
    <row r="105" spans="256:256" s="4" customFormat="1" ht="12.75" customHeight="1">
      <c r="IV105" s="136"/>
    </row>
    <row r="106" spans="256:256" s="4" customFormat="1" ht="12.75" customHeight="1">
      <c r="IV106" s="136"/>
    </row>
    <row r="107" spans="256:256" s="4" customFormat="1" ht="12.75" customHeight="1">
      <c r="IV107" s="136"/>
    </row>
    <row r="108" spans="256:256" s="4" customFormat="1" ht="12.75" customHeight="1">
      <c r="IV108" s="136"/>
    </row>
    <row r="109" spans="256:256" s="4" customFormat="1" ht="12.75" customHeight="1">
      <c r="IV109" s="136"/>
    </row>
    <row r="110" spans="256:256" s="4" customFormat="1" ht="12.75" customHeight="1">
      <c r="IV110" s="136"/>
    </row>
    <row r="111" spans="256:256" s="4" customFormat="1" ht="12.75" customHeight="1">
      <c r="IV111" s="136"/>
    </row>
    <row r="112" spans="256:256" s="4" customFormat="1" ht="12.75" customHeight="1">
      <c r="IV112" s="136"/>
    </row>
    <row r="113" spans="256:256" s="4" customFormat="1" ht="12.75" customHeight="1">
      <c r="IV113" s="136"/>
    </row>
    <row r="114" spans="256:256" s="4" customFormat="1" ht="12.75" customHeight="1">
      <c r="IV114" s="136"/>
    </row>
    <row r="115" spans="256:256" s="4" customFormat="1" ht="12.75" customHeight="1">
      <c r="IV115" s="136"/>
    </row>
    <row r="116" spans="256:256" s="4" customFormat="1" ht="12.75" customHeight="1">
      <c r="IV116" s="136"/>
    </row>
    <row r="117" spans="256:256" s="4" customFormat="1" ht="12.75" customHeight="1">
      <c r="IV117" s="136"/>
    </row>
    <row r="118" spans="256:256" s="4" customFormat="1" ht="12.75" customHeight="1">
      <c r="IV118" s="136"/>
    </row>
    <row r="119" spans="256:256" s="4" customFormat="1" ht="12.75" customHeight="1">
      <c r="IV119" s="136"/>
    </row>
    <row r="120" spans="256:256" s="4" customFormat="1" ht="12.75" customHeight="1">
      <c r="IV120" s="136"/>
    </row>
    <row r="121" spans="256:256" s="4" customFormat="1" ht="12.75" customHeight="1">
      <c r="IV121" s="136"/>
    </row>
    <row r="122" spans="256:256" s="4" customFormat="1" ht="12.75" customHeight="1">
      <c r="IV122" s="136"/>
    </row>
    <row r="123" spans="256:256" s="4" customFormat="1" ht="12.75" customHeight="1">
      <c r="IV123" s="136"/>
    </row>
    <row r="124" spans="256:256" s="4" customFormat="1" ht="12.75" customHeight="1">
      <c r="IV124" s="136"/>
    </row>
    <row r="125" spans="256:256" s="4" customFormat="1" ht="12.75" customHeight="1">
      <c r="IV125" s="136"/>
    </row>
    <row r="126" spans="256:256" s="4" customFormat="1" ht="12.75" customHeight="1">
      <c r="IV126" s="136"/>
    </row>
    <row r="127" spans="256:256" s="4" customFormat="1" ht="12.75" customHeight="1">
      <c r="IV127" s="136"/>
    </row>
    <row r="128" spans="256:256" s="4" customFormat="1" ht="12.75" customHeight="1">
      <c r="IV128" s="136"/>
    </row>
    <row r="129" spans="256:256" s="4" customFormat="1" ht="12.75" customHeight="1">
      <c r="IV129" s="136"/>
    </row>
    <row r="130" spans="256:256" s="4" customFormat="1" ht="12.75" customHeight="1">
      <c r="IV130" s="136"/>
    </row>
    <row r="131" spans="256:256" s="4" customFormat="1" ht="12.75" customHeight="1">
      <c r="IV131" s="136"/>
    </row>
    <row r="132" spans="256:256" s="4" customFormat="1" ht="12.75" customHeight="1">
      <c r="IV132" s="136"/>
    </row>
    <row r="133" spans="256:256" s="4" customFormat="1" ht="12.75" customHeight="1">
      <c r="IV133" s="136"/>
    </row>
    <row r="134" spans="256:256" s="4" customFormat="1" ht="12.75" customHeight="1">
      <c r="IV134" s="136"/>
    </row>
    <row r="135" spans="256:256" s="4" customFormat="1" ht="12.75" customHeight="1">
      <c r="IV135" s="136"/>
    </row>
    <row r="136" spans="256:256" s="4" customFormat="1" ht="12.75" customHeight="1">
      <c r="IV136" s="136"/>
    </row>
    <row r="137" spans="256:256" s="4" customFormat="1" ht="12.75" customHeight="1">
      <c r="IV137" s="136"/>
    </row>
    <row r="138" spans="256:256" s="4" customFormat="1" ht="12.75" customHeight="1">
      <c r="IV138" s="136"/>
    </row>
    <row r="139" spans="256:256" s="4" customFormat="1" ht="12.75" customHeight="1">
      <c r="IV139" s="136"/>
    </row>
    <row r="140" spans="256:256" s="4" customFormat="1" ht="12.75" customHeight="1">
      <c r="IV140" s="136"/>
    </row>
    <row r="141" spans="256:256" s="4" customFormat="1" ht="12.75" customHeight="1">
      <c r="IV141" s="136"/>
    </row>
    <row r="142" spans="256:256" s="4" customFormat="1" ht="12.75" customHeight="1">
      <c r="IV142" s="136"/>
    </row>
    <row r="143" spans="256:256" s="4" customFormat="1" ht="12.75" customHeight="1">
      <c r="IV143" s="136"/>
    </row>
    <row r="144" spans="256:256" s="4" customFormat="1" ht="12.75" customHeight="1">
      <c r="IV144" s="136"/>
    </row>
    <row r="145" spans="256:256" s="4" customFormat="1" ht="12.75" customHeight="1">
      <c r="IV145" s="136"/>
    </row>
    <row r="146" spans="256:256" s="4" customFormat="1" ht="12.75" customHeight="1">
      <c r="IV146" s="136"/>
    </row>
    <row r="147" spans="256:256" s="4" customFormat="1" ht="12.75" customHeight="1">
      <c r="IV147" s="136"/>
    </row>
    <row r="148" spans="256:256" s="4" customFormat="1" ht="12.75" customHeight="1">
      <c r="IV148" s="136"/>
    </row>
    <row r="149" spans="256:256" s="4" customFormat="1" ht="12.75" customHeight="1">
      <c r="IV149" s="136"/>
    </row>
    <row r="150" spans="256:256" s="4" customFormat="1" ht="12.75" customHeight="1">
      <c r="IV150" s="136"/>
    </row>
    <row r="151" spans="256:256" s="4" customFormat="1" ht="12.75" customHeight="1">
      <c r="IV151" s="136"/>
    </row>
    <row r="152" spans="256:256" s="4" customFormat="1" ht="12.75" customHeight="1">
      <c r="IV152" s="136"/>
    </row>
    <row r="153" spans="256:256" s="4" customFormat="1" ht="12.75" customHeight="1">
      <c r="IV153" s="136"/>
    </row>
    <row r="154" spans="256:256" s="4" customFormat="1" ht="12.75" customHeight="1">
      <c r="IV154" s="136"/>
    </row>
    <row r="155" spans="256:256" s="4" customFormat="1" ht="12.75" customHeight="1">
      <c r="IV155" s="136"/>
    </row>
    <row r="156" spans="256:256" s="4" customFormat="1" ht="12.75" customHeight="1">
      <c r="IV156" s="136"/>
    </row>
    <row r="157" spans="256:256" s="4" customFormat="1" ht="12.75" customHeight="1">
      <c r="IV157" s="136"/>
    </row>
    <row r="158" spans="256:256" s="4" customFormat="1" ht="12.75" customHeight="1">
      <c r="IV158" s="136"/>
    </row>
    <row r="159" spans="256:256" s="4" customFormat="1" ht="12.75" customHeight="1">
      <c r="IV159" s="136"/>
    </row>
    <row r="160" spans="256:256" s="4" customFormat="1" ht="12.75" customHeight="1">
      <c r="IV160" s="136"/>
    </row>
    <row r="161" spans="256:256" s="4" customFormat="1" ht="12.75" customHeight="1">
      <c r="IV161" s="136"/>
    </row>
    <row r="162" spans="256:256" s="4" customFormat="1" ht="12.75" customHeight="1">
      <c r="IV162" s="136"/>
    </row>
    <row r="163" spans="256:256" s="4" customFormat="1" ht="12.75" customHeight="1">
      <c r="IV163" s="136"/>
    </row>
    <row r="164" spans="256:256" s="4" customFormat="1" ht="12.75" customHeight="1">
      <c r="IV164" s="136"/>
    </row>
    <row r="165" spans="256:256" s="4" customFormat="1" ht="12.75" customHeight="1">
      <c r="IV165" s="136"/>
    </row>
    <row r="166" spans="256:256" s="4" customFormat="1" ht="12.75" customHeight="1">
      <c r="IV166" s="136"/>
    </row>
    <row r="167" spans="256:256" s="4" customFormat="1" ht="12.75" customHeight="1">
      <c r="IV167" s="136"/>
    </row>
    <row r="168" spans="256:256" s="4" customFormat="1" ht="12.75" customHeight="1">
      <c r="IV168" s="136"/>
    </row>
    <row r="169" spans="256:256" s="4" customFormat="1" ht="12.75" customHeight="1">
      <c r="IV169" s="136"/>
    </row>
    <row r="170" spans="256:256" s="4" customFormat="1" ht="12.75" customHeight="1">
      <c r="IV170" s="136"/>
    </row>
    <row r="171" spans="256:256" s="4" customFormat="1" ht="12.75" customHeight="1">
      <c r="IV171" s="136"/>
    </row>
    <row r="172" spans="256:256" s="4" customFormat="1" ht="12.75" customHeight="1">
      <c r="IV172" s="136"/>
    </row>
    <row r="173" spans="256:256" s="4" customFormat="1" ht="12.75" customHeight="1">
      <c r="IV173" s="136"/>
    </row>
    <row r="174" spans="256:256" s="4" customFormat="1" ht="12.75" customHeight="1">
      <c r="IV174" s="136"/>
    </row>
    <row r="175" spans="256:256" s="4" customFormat="1" ht="12.75" customHeight="1">
      <c r="IV175" s="136"/>
    </row>
    <row r="176" spans="256:256" s="4" customFormat="1" ht="12.75" customHeight="1">
      <c r="IV176" s="136"/>
    </row>
    <row r="177" spans="256:256" s="4" customFormat="1" ht="12.75" customHeight="1">
      <c r="IV177" s="136"/>
    </row>
    <row r="178" spans="256:256" s="4" customFormat="1" ht="12.75" customHeight="1">
      <c r="IV178" s="136"/>
    </row>
    <row r="179" spans="256:256" s="4" customFormat="1" ht="12.75" customHeight="1">
      <c r="IV179" s="136"/>
    </row>
    <row r="180" spans="256:256" s="4" customFormat="1" ht="12.75" customHeight="1">
      <c r="IV180" s="136"/>
    </row>
    <row r="181" spans="256:256" s="4" customFormat="1" ht="12.75" customHeight="1">
      <c r="IV181" s="136"/>
    </row>
    <row r="182" spans="256:256" s="4" customFormat="1" ht="12.75" customHeight="1">
      <c r="IV182" s="136"/>
    </row>
    <row r="183" spans="256:256" s="4" customFormat="1" ht="12.75" customHeight="1">
      <c r="IV183" s="136"/>
    </row>
    <row r="184" spans="256:256" s="4" customFormat="1" ht="12.75" customHeight="1">
      <c r="IV184" s="136"/>
    </row>
    <row r="185" spans="256:256" s="4" customFormat="1" ht="12.75" customHeight="1">
      <c r="IV185" s="136"/>
    </row>
    <row r="186" spans="256:256" s="4" customFormat="1" ht="12.75" customHeight="1">
      <c r="IV186" s="136"/>
    </row>
    <row r="187" spans="256:256" s="4" customFormat="1" ht="12.75" customHeight="1">
      <c r="IV187" s="136"/>
    </row>
    <row r="188" spans="256:256" s="4" customFormat="1" ht="12.75" customHeight="1">
      <c r="IV188" s="136"/>
    </row>
    <row r="189" spans="256:256" s="4" customFormat="1" ht="12.75" customHeight="1">
      <c r="IV189" s="136"/>
    </row>
    <row r="190" spans="256:256" s="4" customFormat="1" ht="12.75" customHeight="1">
      <c r="IV190" s="136"/>
    </row>
    <row r="191" spans="256:256" s="4" customFormat="1" ht="12.75" customHeight="1">
      <c r="IV191" s="136"/>
    </row>
    <row r="192" spans="256:256" s="4" customFormat="1" ht="12.75" customHeight="1">
      <c r="IV192" s="136"/>
    </row>
    <row r="193" spans="256:256" s="4" customFormat="1" ht="12.75" customHeight="1">
      <c r="IV193" s="136"/>
    </row>
    <row r="194" spans="256:256" s="4" customFormat="1" ht="12.75" customHeight="1">
      <c r="IV194" s="136"/>
    </row>
    <row r="195" spans="256:256" s="4" customFormat="1" ht="12.75" customHeight="1">
      <c r="IV195" s="136"/>
    </row>
    <row r="196" spans="256:256" s="4" customFormat="1" ht="12.75" customHeight="1">
      <c r="IV196" s="136"/>
    </row>
    <row r="197" spans="256:256" s="4" customFormat="1" ht="12.75" customHeight="1">
      <c r="IV197" s="136"/>
    </row>
    <row r="198" spans="256:256" s="4" customFormat="1" ht="12.75" customHeight="1">
      <c r="IV198" s="136"/>
    </row>
    <row r="199" spans="256:256" s="4" customFormat="1" ht="12.75" customHeight="1">
      <c r="IV199" s="136"/>
    </row>
    <row r="200" spans="256:256" s="4" customFormat="1" ht="12.75" customHeight="1">
      <c r="IV200" s="136"/>
    </row>
    <row r="201" spans="256:256" s="4" customFormat="1" ht="12.75" customHeight="1">
      <c r="IV201" s="136"/>
    </row>
    <row r="202" spans="256:256" s="4" customFormat="1" ht="12.75" customHeight="1">
      <c r="IV202" s="136"/>
    </row>
    <row r="203" spans="256:256" s="4" customFormat="1" ht="12.75" customHeight="1">
      <c r="IV203" s="136"/>
    </row>
    <row r="204" spans="256:256" s="4" customFormat="1" ht="12.75" customHeight="1">
      <c r="IV204" s="136"/>
    </row>
    <row r="205" spans="256:256" s="4" customFormat="1" ht="12.75" customHeight="1">
      <c r="IV205" s="136"/>
    </row>
    <row r="206" spans="256:256" s="4" customFormat="1" ht="12.75" customHeight="1">
      <c r="IV206" s="136"/>
    </row>
    <row r="207" spans="256:256" s="4" customFormat="1" ht="12.75" customHeight="1">
      <c r="IV207" s="136"/>
    </row>
    <row r="208" spans="256:256" s="4" customFormat="1" ht="12.75" customHeight="1">
      <c r="IV208" s="136"/>
    </row>
    <row r="209" spans="256:256" s="4" customFormat="1" ht="12.75" customHeight="1">
      <c r="IV209" s="136"/>
    </row>
    <row r="210" spans="256:256" s="4" customFormat="1" ht="12.75" customHeight="1">
      <c r="IV210" s="136"/>
    </row>
    <row r="211" spans="256:256" s="4" customFormat="1" ht="12.75" customHeight="1">
      <c r="IV211" s="136"/>
    </row>
    <row r="212" spans="256:256" s="4" customFormat="1" ht="12.75" customHeight="1">
      <c r="IV212" s="136"/>
    </row>
    <row r="213" spans="256:256" s="4" customFormat="1" ht="12.75" customHeight="1">
      <c r="IV213" s="136"/>
    </row>
    <row r="214" spans="256:256" s="4" customFormat="1" ht="12.75" customHeight="1">
      <c r="IV214" s="136"/>
    </row>
    <row r="215" spans="256:256" s="4" customFormat="1" ht="12.75" customHeight="1">
      <c r="IV215" s="136"/>
    </row>
    <row r="216" spans="256:256" s="4" customFormat="1" ht="12.75" customHeight="1">
      <c r="IV216" s="136"/>
    </row>
    <row r="217" spans="256:256" s="4" customFormat="1" ht="12.75" customHeight="1">
      <c r="IV217" s="136"/>
    </row>
    <row r="218" spans="256:256" s="4" customFormat="1" ht="12.75" customHeight="1">
      <c r="IV218" s="136"/>
    </row>
    <row r="219" spans="256:256" s="4" customFormat="1" ht="12.75" customHeight="1">
      <c r="IV219" s="136"/>
    </row>
    <row r="220" spans="256:256" s="4" customFormat="1" ht="12.75" customHeight="1">
      <c r="IV220" s="136"/>
    </row>
    <row r="221" spans="256:256" s="4" customFormat="1" ht="12.75" customHeight="1">
      <c r="IV221" s="136"/>
    </row>
    <row r="222" spans="256:256" s="4" customFormat="1" ht="12.75" customHeight="1">
      <c r="IV222" s="136"/>
    </row>
    <row r="223" spans="256:256" s="4" customFormat="1" ht="12.75" customHeight="1">
      <c r="IV223" s="136"/>
    </row>
    <row r="224" spans="256:256" s="4" customFormat="1" ht="12.75" customHeight="1">
      <c r="IV224" s="136"/>
    </row>
    <row r="225" spans="256:256" s="4" customFormat="1" ht="12.75" customHeight="1">
      <c r="IV225" s="136"/>
    </row>
    <row r="226" spans="256:256" s="4" customFormat="1" ht="12.75" customHeight="1">
      <c r="IV226" s="136"/>
    </row>
    <row r="227" spans="256:256" s="4" customFormat="1" ht="12.75" customHeight="1">
      <c r="IV227" s="136"/>
    </row>
    <row r="228" spans="256:256" s="4" customFormat="1" ht="12.75" customHeight="1">
      <c r="IV228" s="136"/>
    </row>
    <row r="229" spans="256:256" s="4" customFormat="1" ht="12.75" customHeight="1">
      <c r="IV229" s="136"/>
    </row>
    <row r="230" spans="256:256" s="4" customFormat="1" ht="12.75" customHeight="1">
      <c r="IV230" s="136"/>
    </row>
    <row r="231" spans="256:256" s="4" customFormat="1" ht="12.75" customHeight="1">
      <c r="IV231" s="136"/>
    </row>
    <row r="232" spans="256:256" s="4" customFormat="1" ht="12.75" customHeight="1">
      <c r="IV232" s="136"/>
    </row>
    <row r="233" spans="256:256" s="4" customFormat="1" ht="12.75" customHeight="1">
      <c r="IV233" s="136"/>
    </row>
    <row r="234" spans="256:256" s="4" customFormat="1" ht="12.75" customHeight="1">
      <c r="IV234" s="136"/>
    </row>
    <row r="235" spans="256:256" s="4" customFormat="1" ht="12.75" customHeight="1">
      <c r="IV235" s="136"/>
    </row>
    <row r="236" spans="256:256" s="4" customFormat="1" ht="12.75" customHeight="1">
      <c r="IV236" s="136"/>
    </row>
    <row r="237" spans="256:256" s="4" customFormat="1" ht="12.75" customHeight="1">
      <c r="IV237" s="136"/>
    </row>
    <row r="238" spans="256:256" s="4" customFormat="1" ht="12.75" customHeight="1">
      <c r="IV238" s="136"/>
    </row>
    <row r="239" spans="256:256" s="4" customFormat="1" ht="12.75" customHeight="1">
      <c r="IV239" s="136"/>
    </row>
    <row r="240" spans="256:256" s="4" customFormat="1" ht="12.75" customHeight="1">
      <c r="IV240" s="136"/>
    </row>
    <row r="241" spans="256:256" s="4" customFormat="1" ht="12.75" customHeight="1">
      <c r="IV241" s="136"/>
    </row>
    <row r="242" spans="256:256" s="4" customFormat="1" ht="12.75" customHeight="1">
      <c r="IV242" s="136"/>
    </row>
    <row r="243" spans="256:256" s="4" customFormat="1" ht="12.75" customHeight="1">
      <c r="IV243" s="136"/>
    </row>
    <row r="244" spans="256:256" s="4" customFormat="1" ht="12.75" customHeight="1">
      <c r="IV244" s="136"/>
    </row>
    <row r="245" spans="256:256" s="4" customFormat="1" ht="12.75" customHeight="1">
      <c r="IV245" s="136"/>
    </row>
    <row r="246" spans="256:256" s="4" customFormat="1" ht="12.75" customHeight="1">
      <c r="IV246" s="136"/>
    </row>
    <row r="247" spans="256:256" s="4" customFormat="1" ht="12.75" customHeight="1">
      <c r="IV247" s="136"/>
    </row>
    <row r="248" spans="256:256" s="4" customFormat="1" ht="12.75" customHeight="1">
      <c r="IV248" s="136"/>
    </row>
    <row r="249" spans="256:256" s="4" customFormat="1" ht="12.75" customHeight="1">
      <c r="IV249" s="136"/>
    </row>
    <row r="250" spans="256:256" s="4" customFormat="1" ht="12.75" customHeight="1">
      <c r="IV250" s="136"/>
    </row>
    <row r="251" spans="256:256" s="4" customFormat="1" ht="12.75" customHeight="1">
      <c r="IV251" s="136"/>
    </row>
    <row r="252" spans="256:256" s="4" customFormat="1" ht="12.75" customHeight="1">
      <c r="IV252" s="136"/>
    </row>
    <row r="253" spans="256:256" s="4" customFormat="1" ht="12.75" customHeight="1">
      <c r="IV253" s="136"/>
    </row>
    <row r="254" spans="256:256" s="4" customFormat="1" ht="12.75" customHeight="1">
      <c r="IV254" s="136"/>
    </row>
    <row r="255" spans="256:256" s="4" customFormat="1" ht="12.75" customHeight="1">
      <c r="IV255" s="136"/>
    </row>
    <row r="256" spans="256:256" s="4" customFormat="1" ht="12.75" customHeight="1">
      <c r="IV256" s="136"/>
    </row>
    <row r="257" spans="256:256" s="4" customFormat="1" ht="12.75" customHeight="1">
      <c r="IV257" s="136"/>
    </row>
    <row r="258" spans="256:256" s="4" customFormat="1" ht="12.75" customHeight="1">
      <c r="IV258" s="136"/>
    </row>
    <row r="259" spans="256:256" s="4" customFormat="1" ht="12.75" customHeight="1">
      <c r="IV259" s="136"/>
    </row>
    <row r="260" spans="256:256" s="4" customFormat="1" ht="12.75" customHeight="1">
      <c r="IV260" s="136"/>
    </row>
    <row r="261" spans="256:256" s="4" customFormat="1" ht="12.75" customHeight="1">
      <c r="IV261" s="136"/>
    </row>
    <row r="262" spans="256:256" s="4" customFormat="1" ht="12.75" customHeight="1">
      <c r="IV262" s="136"/>
    </row>
    <row r="263" spans="256:256" s="4" customFormat="1" ht="12.75" customHeight="1">
      <c r="IV263" s="136"/>
    </row>
    <row r="264" spans="256:256" s="4" customFormat="1" ht="12.75" customHeight="1">
      <c r="IV264" s="136"/>
    </row>
    <row r="265" spans="256:256" s="4" customFormat="1" ht="12.75" customHeight="1">
      <c r="IV265" s="136"/>
    </row>
    <row r="266" spans="256:256" s="4" customFormat="1" ht="12.75" customHeight="1">
      <c r="IV266" s="136"/>
    </row>
    <row r="267" spans="256:256" s="4" customFormat="1" ht="12.75" customHeight="1">
      <c r="IV267" s="136"/>
    </row>
    <row r="268" spans="256:256" s="4" customFormat="1" ht="12.75" customHeight="1">
      <c r="IV268" s="136"/>
    </row>
    <row r="269" spans="256:256" s="4" customFormat="1" ht="12.75" customHeight="1">
      <c r="IV269" s="136"/>
    </row>
    <row r="270" spans="256:256" s="4" customFormat="1" ht="12.75" customHeight="1">
      <c r="IV270" s="136"/>
    </row>
    <row r="271" spans="256:256" s="4" customFormat="1" ht="12.75" customHeight="1">
      <c r="IV271" s="136"/>
    </row>
    <row r="272" spans="256:256" s="4" customFormat="1" ht="12.75" customHeight="1">
      <c r="IV272" s="136"/>
    </row>
    <row r="273" spans="256:256" s="4" customFormat="1" ht="12.75" customHeight="1">
      <c r="IV273" s="136"/>
    </row>
    <row r="274" spans="256:256" s="4" customFormat="1" ht="12.75" customHeight="1">
      <c r="IV274" s="136"/>
    </row>
    <row r="275" spans="256:256" s="4" customFormat="1" ht="12.75" customHeight="1">
      <c r="IV275" s="136"/>
    </row>
    <row r="276" spans="256:256" s="4" customFormat="1" ht="12.75" customHeight="1">
      <c r="IV276" s="136"/>
    </row>
    <row r="277" spans="256:256" s="4" customFormat="1" ht="12.75" customHeight="1">
      <c r="IV277" s="136"/>
    </row>
    <row r="278" spans="256:256" s="4" customFormat="1" ht="12.75" customHeight="1">
      <c r="IV278" s="136"/>
    </row>
    <row r="279" spans="256:256" s="4" customFormat="1" ht="12.75" customHeight="1">
      <c r="IV279" s="136"/>
    </row>
    <row r="280" spans="256:256" s="4" customFormat="1" ht="12.75" customHeight="1">
      <c r="IV280" s="136"/>
    </row>
    <row r="281" spans="256:256" s="4" customFormat="1" ht="12.75" customHeight="1">
      <c r="IV281" s="136"/>
    </row>
    <row r="282" spans="256:256" s="4" customFormat="1" ht="12.75" customHeight="1">
      <c r="IV282" s="136"/>
    </row>
    <row r="283" spans="256:256" s="4" customFormat="1" ht="12.75" customHeight="1">
      <c r="IV283" s="136"/>
    </row>
    <row r="284" spans="256:256" s="4" customFormat="1" ht="12.75" customHeight="1">
      <c r="IV284" s="136"/>
    </row>
    <row r="285" spans="256:256" s="4" customFormat="1" ht="12.75" customHeight="1">
      <c r="IV285" s="136"/>
    </row>
    <row r="286" spans="256:256" s="4" customFormat="1" ht="12.75" customHeight="1">
      <c r="IV286" s="136"/>
    </row>
    <row r="287" spans="256:256" s="4" customFormat="1" ht="12.75" customHeight="1">
      <c r="IV287" s="136"/>
    </row>
    <row r="288" spans="256:256" s="4" customFormat="1" ht="12.75" customHeight="1">
      <c r="IV288" s="136"/>
    </row>
    <row r="289" spans="256:256" s="4" customFormat="1" ht="12.75" customHeight="1">
      <c r="IV289" s="136"/>
    </row>
    <row r="290" spans="256:256" s="4" customFormat="1" ht="12.75" customHeight="1">
      <c r="IV290" s="136"/>
    </row>
    <row r="291" spans="256:256" s="4" customFormat="1" ht="12.75" customHeight="1">
      <c r="IV291" s="136"/>
    </row>
    <row r="292" spans="256:256" s="4" customFormat="1" ht="12.75" customHeight="1">
      <c r="IV292" s="136"/>
    </row>
    <row r="293" spans="256:256" s="4" customFormat="1" ht="12.75" customHeight="1">
      <c r="IV293" s="136"/>
    </row>
    <row r="294" spans="256:256" s="4" customFormat="1" ht="12.75" customHeight="1">
      <c r="IV294" s="136"/>
    </row>
    <row r="295" spans="256:256" s="4" customFormat="1" ht="12.75" customHeight="1">
      <c r="IV295" s="136"/>
    </row>
    <row r="296" spans="256:256" s="4" customFormat="1" ht="12.75" customHeight="1">
      <c r="IV296" s="136"/>
    </row>
    <row r="297" spans="256:256" s="4" customFormat="1" ht="12.75" customHeight="1">
      <c r="IV297" s="136"/>
    </row>
    <row r="298" spans="256:256" s="4" customFormat="1" ht="12.75" customHeight="1">
      <c r="IV298" s="136"/>
    </row>
    <row r="299" spans="256:256" s="4" customFormat="1" ht="12.75" customHeight="1">
      <c r="IV299" s="136"/>
    </row>
    <row r="300" spans="256:256" s="4" customFormat="1" ht="12.75" customHeight="1">
      <c r="IV300" s="136"/>
    </row>
    <row r="301" spans="256:256" s="4" customFormat="1" ht="12.75" customHeight="1">
      <c r="IV301" s="136"/>
    </row>
    <row r="302" spans="256:256" s="4" customFormat="1" ht="12.75" customHeight="1">
      <c r="IV302" s="136"/>
    </row>
    <row r="303" spans="256:256" s="4" customFormat="1" ht="12.75" customHeight="1">
      <c r="IV303" s="136"/>
    </row>
    <row r="304" spans="256:256" s="4" customFormat="1" ht="12.75" customHeight="1">
      <c r="IV304" s="136"/>
    </row>
    <row r="305" spans="256:256" s="4" customFormat="1" ht="12.75" customHeight="1">
      <c r="IV305" s="136"/>
    </row>
    <row r="306" spans="256:256" s="4" customFormat="1" ht="12.75" customHeight="1">
      <c r="IV306" s="136"/>
    </row>
    <row r="307" spans="256:256" s="4" customFormat="1" ht="12.75" customHeight="1">
      <c r="IV307" s="136"/>
    </row>
    <row r="308" spans="256:256" s="4" customFormat="1" ht="12.75" customHeight="1">
      <c r="IV308" s="136"/>
    </row>
    <row r="309" spans="256:256" s="4" customFormat="1" ht="12.75" customHeight="1">
      <c r="IV309" s="136"/>
    </row>
    <row r="310" spans="256:256" s="4" customFormat="1" ht="12.75" customHeight="1">
      <c r="IV310" s="136"/>
    </row>
    <row r="311" spans="256:256" s="4" customFormat="1" ht="12.75" customHeight="1">
      <c r="IV311" s="136"/>
    </row>
    <row r="312" spans="256:256" s="4" customFormat="1" ht="12.75" customHeight="1">
      <c r="IV312" s="136"/>
    </row>
    <row r="313" spans="256:256" s="4" customFormat="1" ht="12.75" customHeight="1">
      <c r="IV313" s="136"/>
    </row>
    <row r="314" spans="256:256" s="4" customFormat="1" ht="12.75" customHeight="1">
      <c r="IV314" s="136"/>
    </row>
    <row r="315" spans="256:256" s="4" customFormat="1" ht="12.75" customHeight="1">
      <c r="IV315" s="136"/>
    </row>
    <row r="316" spans="256:256" s="4" customFormat="1" ht="12.75" customHeight="1">
      <c r="IV316" s="136"/>
    </row>
    <row r="317" spans="256:256" s="4" customFormat="1" ht="12.75" customHeight="1">
      <c r="IV317" s="136"/>
    </row>
    <row r="318" spans="256:256" s="4" customFormat="1" ht="12.75" customHeight="1">
      <c r="IV318" s="136"/>
    </row>
    <row r="319" spans="256:256" s="4" customFormat="1" ht="12.75" customHeight="1">
      <c r="IV319" s="136"/>
    </row>
    <row r="320" spans="256:256" s="4" customFormat="1" ht="12.75" customHeight="1">
      <c r="IV320" s="136"/>
    </row>
    <row r="321" spans="256:256" s="4" customFormat="1" ht="12.75" customHeight="1">
      <c r="IV321" s="136"/>
    </row>
    <row r="322" spans="256:256" s="4" customFormat="1" ht="12.75" customHeight="1">
      <c r="IV322" s="136"/>
    </row>
    <row r="323" spans="256:256" s="4" customFormat="1" ht="12.75" customHeight="1">
      <c r="IV323" s="136"/>
    </row>
    <row r="324" spans="256:256" s="4" customFormat="1" ht="12.75" customHeight="1">
      <c r="IV324" s="136"/>
    </row>
    <row r="325" spans="256:256" s="4" customFormat="1" ht="12.75" customHeight="1">
      <c r="IV325" s="136"/>
    </row>
    <row r="326" spans="256:256" s="4" customFormat="1" ht="12.75" customHeight="1">
      <c r="IV326" s="136"/>
    </row>
    <row r="327" spans="256:256" s="4" customFormat="1" ht="12.75" customHeight="1">
      <c r="IV327" s="136"/>
    </row>
    <row r="328" spans="256:256" s="4" customFormat="1" ht="12.75" customHeight="1">
      <c r="IV328" s="136"/>
    </row>
    <row r="329" spans="256:256" s="4" customFormat="1" ht="12.75" customHeight="1">
      <c r="IV329" s="136"/>
    </row>
    <row r="330" spans="256:256" s="4" customFormat="1" ht="12.75" customHeight="1">
      <c r="IV330" s="136"/>
    </row>
    <row r="331" spans="256:256" s="4" customFormat="1" ht="12.75" customHeight="1">
      <c r="IV331" s="136"/>
    </row>
    <row r="332" spans="256:256" s="4" customFormat="1" ht="12.75" customHeight="1">
      <c r="IV332" s="136"/>
    </row>
    <row r="333" spans="256:256" s="4" customFormat="1" ht="12.75" customHeight="1">
      <c r="IV333" s="136"/>
    </row>
    <row r="334" spans="256:256" s="4" customFormat="1" ht="12.75" customHeight="1">
      <c r="IV334" s="136"/>
    </row>
    <row r="335" spans="256:256" s="4" customFormat="1" ht="12.75" customHeight="1">
      <c r="IV335" s="136"/>
    </row>
    <row r="336" spans="256:256" s="4" customFormat="1" ht="12.75" customHeight="1">
      <c r="IV336" s="136"/>
    </row>
    <row r="337" spans="256:256" s="4" customFormat="1" ht="12.75" customHeight="1">
      <c r="IV337" s="136"/>
    </row>
    <row r="338" spans="256:256" s="4" customFormat="1" ht="12.75" customHeight="1">
      <c r="IV338" s="136"/>
    </row>
    <row r="339" spans="256:256" s="4" customFormat="1" ht="12.75" customHeight="1">
      <c r="IV339" s="136"/>
    </row>
    <row r="340" spans="256:256" s="4" customFormat="1" ht="12.75" customHeight="1">
      <c r="IV340" s="136"/>
    </row>
    <row r="341" spans="256:256" s="4" customFormat="1" ht="12.75" customHeight="1">
      <c r="IV341" s="136"/>
    </row>
    <row r="342" spans="256:256" s="4" customFormat="1" ht="12.75" customHeight="1">
      <c r="IV342" s="136"/>
    </row>
    <row r="343" spans="256:256" s="4" customFormat="1" ht="12.75" customHeight="1">
      <c r="IV343" s="136"/>
    </row>
    <row r="344" spans="256:256" s="4" customFormat="1" ht="12.75" customHeight="1">
      <c r="IV344" s="136"/>
    </row>
    <row r="345" spans="256:256" s="4" customFormat="1" ht="12.75" customHeight="1">
      <c r="IV345" s="136"/>
    </row>
    <row r="346" spans="256:256" s="4" customFormat="1" ht="12.75" customHeight="1">
      <c r="IV346" s="136"/>
    </row>
    <row r="347" spans="256:256" s="4" customFormat="1" ht="12.75" customHeight="1">
      <c r="IV347" s="136"/>
    </row>
    <row r="348" spans="256:256" s="4" customFormat="1" ht="12.75" customHeight="1">
      <c r="IV348" s="136"/>
    </row>
    <row r="349" spans="256:256" s="4" customFormat="1" ht="12.75" customHeight="1">
      <c r="IV349" s="136"/>
    </row>
    <row r="350" spans="256:256" s="4" customFormat="1" ht="12.75" customHeight="1">
      <c r="IV350" s="136"/>
    </row>
    <row r="351" spans="256:256" s="4" customFormat="1" ht="12.75" customHeight="1">
      <c r="IV351" s="136"/>
    </row>
    <row r="352" spans="256:256" s="4" customFormat="1" ht="12.75" customHeight="1">
      <c r="IV352" s="136"/>
    </row>
    <row r="353" spans="256:256" s="4" customFormat="1" ht="12.75" customHeight="1">
      <c r="IV353" s="136"/>
    </row>
    <row r="354" spans="256:256" s="4" customFormat="1" ht="12.75" customHeight="1">
      <c r="IV354" s="136"/>
    </row>
    <row r="355" spans="256:256" s="4" customFormat="1" ht="12.75" customHeight="1">
      <c r="IV355" s="136"/>
    </row>
    <row r="356" spans="256:256" s="4" customFormat="1" ht="12.75" customHeight="1">
      <c r="IV356" s="136"/>
    </row>
    <row r="357" spans="256:256" s="4" customFormat="1" ht="12.75" customHeight="1">
      <c r="IV357" s="136"/>
    </row>
    <row r="358" spans="256:256" s="4" customFormat="1" ht="12.75" customHeight="1">
      <c r="IV358" s="136"/>
    </row>
    <row r="359" spans="256:256" s="4" customFormat="1" ht="12.75" customHeight="1">
      <c r="IV359" s="136"/>
    </row>
    <row r="360" spans="256:256" s="4" customFormat="1" ht="12.75" customHeight="1">
      <c r="IV360" s="136"/>
    </row>
    <row r="361" spans="256:256" s="4" customFormat="1" ht="12.75" customHeight="1">
      <c r="IV361" s="136"/>
    </row>
    <row r="362" spans="256:256" s="4" customFormat="1" ht="12.75" customHeight="1">
      <c r="IV362" s="136"/>
    </row>
    <row r="363" spans="256:256" s="4" customFormat="1" ht="12.75" customHeight="1">
      <c r="IV363" s="136"/>
    </row>
    <row r="364" spans="256:256" s="4" customFormat="1" ht="12.75" customHeight="1">
      <c r="IV364" s="136"/>
    </row>
    <row r="365" spans="256:256" s="4" customFormat="1" ht="12.75" customHeight="1">
      <c r="IV365" s="136"/>
    </row>
    <row r="366" spans="256:256" s="4" customFormat="1" ht="12.75" customHeight="1">
      <c r="IV366" s="136"/>
    </row>
    <row r="367" spans="256:256" s="4" customFormat="1" ht="12.75" customHeight="1">
      <c r="IV367" s="136"/>
    </row>
    <row r="368" spans="256:256" s="4" customFormat="1" ht="12.75" customHeight="1">
      <c r="IV368" s="136"/>
    </row>
    <row r="369" spans="256:256" s="4" customFormat="1" ht="12.75" customHeight="1">
      <c r="IV369" s="136"/>
    </row>
    <row r="370" spans="256:256" s="4" customFormat="1" ht="12.75" customHeight="1">
      <c r="IV370" s="136"/>
    </row>
    <row r="371" spans="256:256" s="4" customFormat="1" ht="12.75" customHeight="1">
      <c r="IV371" s="136"/>
    </row>
    <row r="372" spans="256:256" s="4" customFormat="1" ht="12.75" customHeight="1">
      <c r="IV372" s="136"/>
    </row>
    <row r="373" spans="256:256" s="4" customFormat="1" ht="12.75" customHeight="1">
      <c r="IV373" s="136"/>
    </row>
    <row r="374" spans="256:256" s="4" customFormat="1" ht="12.75" customHeight="1">
      <c r="IV374" s="136"/>
    </row>
    <row r="375" spans="256:256" s="4" customFormat="1" ht="12.75" customHeight="1">
      <c r="IV375" s="136"/>
    </row>
    <row r="376" spans="256:256" s="4" customFormat="1" ht="12.75" customHeight="1">
      <c r="IV376" s="136"/>
    </row>
    <row r="377" spans="256:256" s="4" customFormat="1" ht="12.75" customHeight="1">
      <c r="IV377" s="136"/>
    </row>
    <row r="378" spans="256:256" s="4" customFormat="1" ht="12.75" customHeight="1">
      <c r="IV378" s="136"/>
    </row>
    <row r="379" spans="256:256" s="4" customFormat="1" ht="12.75" customHeight="1">
      <c r="IV379" s="136"/>
    </row>
    <row r="380" spans="256:256" s="4" customFormat="1" ht="12.75" customHeight="1">
      <c r="IV380" s="136"/>
    </row>
    <row r="381" spans="256:256" s="4" customFormat="1" ht="12.75" customHeight="1">
      <c r="IV381" s="136"/>
    </row>
    <row r="382" spans="256:256" s="4" customFormat="1" ht="12.75" customHeight="1">
      <c r="IV382" s="136"/>
    </row>
    <row r="383" spans="256:256" s="4" customFormat="1" ht="12.75" customHeight="1">
      <c r="IV383" s="136"/>
    </row>
    <row r="384" spans="256:256" s="4" customFormat="1" ht="12.75" customHeight="1">
      <c r="IV384" s="136"/>
    </row>
    <row r="385" spans="256:256" s="4" customFormat="1" ht="12.75" customHeight="1">
      <c r="IV385" s="136"/>
    </row>
    <row r="386" spans="256:256" s="4" customFormat="1" ht="12.75" customHeight="1">
      <c r="IV386" s="136"/>
    </row>
    <row r="387" spans="256:256" s="4" customFormat="1" ht="12.75" customHeight="1">
      <c r="IV387" s="136"/>
    </row>
    <row r="388" spans="256:256" s="4" customFormat="1" ht="12.75" customHeight="1">
      <c r="IV388" s="136"/>
    </row>
    <row r="389" spans="256:256" s="4" customFormat="1" ht="12.75" customHeight="1">
      <c r="IV389" s="136"/>
    </row>
    <row r="390" spans="256:256" s="4" customFormat="1" ht="12.75" customHeight="1">
      <c r="IV390" s="136"/>
    </row>
    <row r="391" spans="256:256" s="4" customFormat="1" ht="12.75" customHeight="1">
      <c r="IV391" s="136"/>
    </row>
    <row r="392" spans="256:256" s="4" customFormat="1" ht="12.75" customHeight="1">
      <c r="IV392" s="136"/>
    </row>
    <row r="393" spans="256:256" s="4" customFormat="1" ht="12.75" customHeight="1">
      <c r="IV393" s="136"/>
    </row>
    <row r="394" spans="256:256" s="4" customFormat="1" ht="12.75" customHeight="1">
      <c r="IV394" s="136"/>
    </row>
    <row r="395" spans="256:256" s="4" customFormat="1" ht="12.75" customHeight="1">
      <c r="IV395" s="136"/>
    </row>
    <row r="396" spans="256:256" s="4" customFormat="1" ht="12.75" customHeight="1">
      <c r="IV396" s="136"/>
    </row>
    <row r="397" spans="256:256" s="4" customFormat="1" ht="12.75" customHeight="1">
      <c r="IV397" s="136"/>
    </row>
    <row r="398" spans="256:256" s="4" customFormat="1" ht="12.75" customHeight="1">
      <c r="IV398" s="136"/>
    </row>
    <row r="399" spans="256:256" s="4" customFormat="1" ht="12.75" customHeight="1">
      <c r="IV399" s="136"/>
    </row>
    <row r="400" spans="256:256" s="4" customFormat="1" ht="12.75" customHeight="1">
      <c r="IV400" s="136"/>
    </row>
    <row r="401" spans="256:256" s="4" customFormat="1" ht="12.75" customHeight="1">
      <c r="IV401" s="136"/>
    </row>
    <row r="402" spans="256:256" s="4" customFormat="1" ht="12.75" customHeight="1">
      <c r="IV402" s="136"/>
    </row>
    <row r="403" spans="256:256" s="4" customFormat="1" ht="12.75" customHeight="1">
      <c r="IV403" s="136"/>
    </row>
    <row r="404" spans="256:256" s="4" customFormat="1" ht="12.75" customHeight="1">
      <c r="IV404" s="136"/>
    </row>
    <row r="405" spans="256:256" s="4" customFormat="1" ht="12.75" customHeight="1">
      <c r="IV405" s="136"/>
    </row>
    <row r="406" spans="256:256" s="4" customFormat="1" ht="12.75" customHeight="1">
      <c r="IV406" s="136"/>
    </row>
    <row r="407" spans="256:256" s="4" customFormat="1" ht="12.75" customHeight="1">
      <c r="IV407" s="136"/>
    </row>
    <row r="408" spans="256:256" s="4" customFormat="1" ht="12.75" customHeight="1">
      <c r="IV408" s="136"/>
    </row>
    <row r="409" spans="256:256" s="4" customFormat="1" ht="12.75" customHeight="1">
      <c r="IV409" s="136"/>
    </row>
    <row r="410" spans="256:256" s="4" customFormat="1" ht="12.75" customHeight="1">
      <c r="IV410" s="136"/>
    </row>
    <row r="411" spans="256:256" s="4" customFormat="1" ht="12.75" customHeight="1">
      <c r="IV411" s="136"/>
    </row>
    <row r="412" spans="256:256" s="4" customFormat="1" ht="12.75" customHeight="1">
      <c r="IV412" s="136"/>
    </row>
    <row r="413" spans="256:256" s="4" customFormat="1" ht="12.75" customHeight="1">
      <c r="IV413" s="136"/>
    </row>
    <row r="414" spans="256:256" s="4" customFormat="1" ht="12.75" customHeight="1">
      <c r="IV414" s="136"/>
    </row>
    <row r="415" spans="256:256" s="4" customFormat="1" ht="12.75" customHeight="1">
      <c r="IV415" s="136"/>
    </row>
    <row r="416" spans="256:256" s="4" customFormat="1" ht="12.75" customHeight="1">
      <c r="IV416" s="136"/>
    </row>
    <row r="417" spans="256:256" s="4" customFormat="1" ht="12.75" customHeight="1">
      <c r="IV417" s="136"/>
    </row>
    <row r="418" spans="256:256" s="4" customFormat="1" ht="12.75" customHeight="1">
      <c r="IV418" s="136"/>
    </row>
    <row r="419" spans="256:256" s="4" customFormat="1" ht="12.75" customHeight="1">
      <c r="IV419" s="136"/>
    </row>
    <row r="420" spans="256:256" s="4" customFormat="1" ht="12.75" customHeight="1">
      <c r="IV420" s="136"/>
    </row>
    <row r="421" spans="256:256" s="4" customFormat="1" ht="12.75" customHeight="1">
      <c r="IV421" s="136"/>
    </row>
    <row r="422" spans="256:256" s="4" customFormat="1" ht="12.75" customHeight="1">
      <c r="IV422" s="136"/>
    </row>
    <row r="423" spans="256:256" s="4" customFormat="1" ht="12.75" customHeight="1">
      <c r="IV423" s="136"/>
    </row>
    <row r="424" spans="256:256" s="4" customFormat="1" ht="12.75" customHeight="1">
      <c r="IV424" s="136"/>
    </row>
    <row r="425" spans="256:256" s="4" customFormat="1" ht="12.75" customHeight="1">
      <c r="IV425" s="136"/>
    </row>
    <row r="426" spans="256:256" s="4" customFormat="1" ht="12.75" customHeight="1">
      <c r="IV426" s="136"/>
    </row>
    <row r="427" spans="256:256" s="4" customFormat="1" ht="12.75" customHeight="1">
      <c r="IV427" s="136"/>
    </row>
    <row r="428" spans="256:256" s="4" customFormat="1" ht="12.75" customHeight="1">
      <c r="IV428" s="136"/>
    </row>
    <row r="429" spans="256:256" s="4" customFormat="1" ht="12.75" customHeight="1">
      <c r="IV429" s="136"/>
    </row>
    <row r="430" spans="256:256" s="4" customFormat="1" ht="12.75" customHeight="1">
      <c r="IV430" s="136"/>
    </row>
    <row r="431" spans="256:256" s="4" customFormat="1" ht="12.75" customHeight="1">
      <c r="IV431" s="136"/>
    </row>
    <row r="432" spans="256:256" s="4" customFormat="1" ht="12.75" customHeight="1">
      <c r="IV432" s="136"/>
    </row>
    <row r="433" spans="256:256" s="4" customFormat="1" ht="12.75" customHeight="1">
      <c r="IV433" s="136"/>
    </row>
    <row r="434" spans="256:256" s="4" customFormat="1" ht="12.75" customHeight="1">
      <c r="IV434" s="136"/>
    </row>
    <row r="435" spans="256:256" s="4" customFormat="1" ht="12.75" customHeight="1">
      <c r="IV435" s="136"/>
    </row>
    <row r="436" spans="256:256" s="4" customFormat="1" ht="12.75" customHeight="1">
      <c r="IV436" s="136"/>
    </row>
    <row r="437" spans="256:256" s="4" customFormat="1" ht="12.75" customHeight="1">
      <c r="IV437" s="136"/>
    </row>
    <row r="438" spans="256:256" s="4" customFormat="1" ht="12.75" customHeight="1">
      <c r="IV438" s="136"/>
    </row>
    <row r="439" spans="256:256" s="4" customFormat="1" ht="12.75" customHeight="1">
      <c r="IV439" s="136"/>
    </row>
    <row r="440" spans="256:256" s="4" customFormat="1" ht="12.75" customHeight="1">
      <c r="IV440" s="136"/>
    </row>
    <row r="441" spans="256:256" s="4" customFormat="1" ht="12.75" customHeight="1">
      <c r="IV441" s="136"/>
    </row>
    <row r="442" spans="256:256" s="4" customFormat="1" ht="12.75" customHeight="1">
      <c r="IV442" s="136"/>
    </row>
    <row r="443" spans="256:256" s="4" customFormat="1" ht="12.75" customHeight="1">
      <c r="IV443" s="136"/>
    </row>
    <row r="444" spans="256:256" s="4" customFormat="1" ht="12.75" customHeight="1">
      <c r="IV444" s="136"/>
    </row>
    <row r="445" spans="256:256" s="4" customFormat="1" ht="12.75" customHeight="1">
      <c r="IV445" s="136"/>
    </row>
    <row r="446" spans="256:256" s="4" customFormat="1" ht="12.75" customHeight="1">
      <c r="IV446" s="136"/>
    </row>
    <row r="447" spans="256:256" s="4" customFormat="1" ht="12.75" customHeight="1">
      <c r="IV447" s="136"/>
    </row>
    <row r="448" spans="256:256" s="4" customFormat="1" ht="12.75" customHeight="1">
      <c r="IV448" s="136"/>
    </row>
    <row r="449" spans="256:256" s="4" customFormat="1" ht="12.75" customHeight="1">
      <c r="IV449" s="136"/>
    </row>
    <row r="450" spans="256:256" s="4" customFormat="1" ht="12.75" customHeight="1">
      <c r="IV450" s="136"/>
    </row>
    <row r="451" spans="256:256" s="4" customFormat="1" ht="12.75" customHeight="1">
      <c r="IV451" s="136"/>
    </row>
    <row r="452" spans="256:256" s="4" customFormat="1" ht="12.75" customHeight="1">
      <c r="IV452" s="136"/>
    </row>
    <row r="453" spans="256:256" s="4" customFormat="1" ht="12.75" customHeight="1">
      <c r="IV453" s="136"/>
    </row>
    <row r="454" spans="256:256" s="4" customFormat="1" ht="12.75" customHeight="1">
      <c r="IV454" s="136"/>
    </row>
    <row r="455" spans="256:256" s="4" customFormat="1" ht="12.75" customHeight="1">
      <c r="IV455" s="136"/>
    </row>
    <row r="456" spans="256:256" s="4" customFormat="1" ht="12.75" customHeight="1">
      <c r="IV456" s="136"/>
    </row>
    <row r="457" spans="256:256" s="4" customFormat="1" ht="12.75" customHeight="1">
      <c r="IV457" s="136"/>
    </row>
    <row r="458" spans="256:256" s="4" customFormat="1" ht="12.75" customHeight="1">
      <c r="IV458" s="136"/>
    </row>
    <row r="459" spans="256:256" s="4" customFormat="1" ht="12.75" customHeight="1">
      <c r="IV459" s="136"/>
    </row>
    <row r="460" spans="256:256" s="4" customFormat="1" ht="12.75" customHeight="1">
      <c r="IV460" s="136"/>
    </row>
    <row r="461" spans="256:256" s="4" customFormat="1" ht="12.75" customHeight="1">
      <c r="IV461" s="136"/>
    </row>
    <row r="462" spans="256:256" s="4" customFormat="1" ht="12.75" customHeight="1">
      <c r="IV462" s="136"/>
    </row>
    <row r="463" spans="256:256" s="4" customFormat="1" ht="12.75" customHeight="1">
      <c r="IV463" s="136"/>
    </row>
    <row r="464" spans="256:256" s="4" customFormat="1" ht="12.75" customHeight="1">
      <c r="IV464" s="136"/>
    </row>
    <row r="465" spans="256:256" s="4" customFormat="1" ht="12.75" customHeight="1">
      <c r="IV465" s="136"/>
    </row>
    <row r="466" spans="256:256" s="4" customFormat="1" ht="12.75" customHeight="1">
      <c r="IV466" s="136"/>
    </row>
    <row r="467" spans="256:256" s="4" customFormat="1" ht="12.75" customHeight="1">
      <c r="IV467" s="136"/>
    </row>
    <row r="468" spans="256:256" s="4" customFormat="1" ht="12.75" customHeight="1">
      <c r="IV468" s="136"/>
    </row>
    <row r="469" spans="256:256" s="4" customFormat="1" ht="12.75" customHeight="1">
      <c r="IV469" s="136"/>
    </row>
    <row r="470" spans="256:256" s="4" customFormat="1" ht="12.75" customHeight="1">
      <c r="IV470" s="136"/>
    </row>
    <row r="471" spans="256:256" s="4" customFormat="1" ht="12.75" customHeight="1">
      <c r="IV471" s="136"/>
    </row>
    <row r="472" spans="256:256" s="4" customFormat="1" ht="12.75" customHeight="1">
      <c r="IV472" s="136"/>
    </row>
    <row r="473" spans="256:256" s="4" customFormat="1" ht="12.75" customHeight="1">
      <c r="IV473" s="136"/>
    </row>
    <row r="474" spans="256:256" s="4" customFormat="1" ht="12.75" customHeight="1">
      <c r="IV474" s="136"/>
    </row>
    <row r="475" spans="256:256" s="4" customFormat="1" ht="12.75" customHeight="1">
      <c r="IV475" s="136"/>
    </row>
    <row r="476" spans="256:256" s="4" customFormat="1" ht="12.75" customHeight="1">
      <c r="IV476" s="136"/>
    </row>
    <row r="477" spans="256:256" s="4" customFormat="1" ht="12.75" customHeight="1">
      <c r="IV477" s="136"/>
    </row>
    <row r="478" spans="256:256" s="4" customFormat="1" ht="12.75" customHeight="1">
      <c r="IV478" s="136"/>
    </row>
    <row r="479" spans="256:256" s="4" customFormat="1" ht="12.75" customHeight="1">
      <c r="IV479" s="136"/>
    </row>
    <row r="480" spans="256:256" s="4" customFormat="1" ht="12.75" customHeight="1">
      <c r="IV480" s="136"/>
    </row>
    <row r="481" spans="256:256" s="4" customFormat="1" ht="12.75" customHeight="1">
      <c r="IV481" s="136"/>
    </row>
    <row r="482" spans="256:256" s="4" customFormat="1" ht="12.75" customHeight="1">
      <c r="IV482" s="136"/>
    </row>
  </sheetData>
  <sheetProtection password="90EA" sheet="1" objects="1" scenarios="1" formatCells="0" autoFilter="0"/>
  <phoneticPr fontId="43" type="noConversion"/>
  <conditionalFormatting sqref="C27:Z30">
    <cfRule type="cellIs" dxfId="55" priority="9" stopIfTrue="1" operator="lessThan">
      <formula>1.33</formula>
    </cfRule>
    <cfRule type="cellIs" dxfId="54" priority="10" stopIfTrue="1" operator="greaterThanOrEqual">
      <formula>1.33</formula>
    </cfRule>
  </conditionalFormatting>
  <conditionalFormatting sqref="C14:Z14">
    <cfRule type="cellIs" dxfId="53" priority="11" stopIfTrue="1" operator="equal">
      <formula>"Single Side"</formula>
    </cfRule>
  </conditionalFormatting>
  <conditionalFormatting sqref="C32:Z32">
    <cfRule type="cellIs" dxfId="52" priority="12" stopIfTrue="1" operator="greaterThanOrEqual">
      <formula>0.995</formula>
    </cfRule>
    <cfRule type="cellIs" dxfId="51" priority="13" stopIfTrue="1" operator="between">
      <formula>0.9</formula>
      <formula>0.995</formula>
    </cfRule>
    <cfRule type="cellIs" dxfId="50" priority="14" stopIfTrue="1" operator="lessThan">
      <formula>0.9</formula>
    </cfRule>
  </conditionalFormatting>
  <conditionalFormatting sqref="C25:Z26 C35:Z66">
    <cfRule type="cellIs" dxfId="49" priority="15" stopIfTrue="1" operator="between">
      <formula>C$21</formula>
      <formula>C$22</formula>
    </cfRule>
    <cfRule type="cellIs" dxfId="48" priority="16" stopIfTrue="1" operator="greaterThan">
      <formula>C$21</formula>
    </cfRule>
    <cfRule type="cellIs" dxfId="47" priority="17" stopIfTrue="1" operator="lessThan">
      <formula>C$22</formula>
    </cfRule>
  </conditionalFormatting>
  <conditionalFormatting sqref="C35:P66">
    <cfRule type="cellIs" dxfId="46" priority="6" stopIfTrue="1" operator="between">
      <formula>C$21</formula>
      <formula>C$22</formula>
    </cfRule>
    <cfRule type="cellIs" dxfId="45" priority="7" stopIfTrue="1" operator="greaterThan">
      <formula>C$21</formula>
    </cfRule>
    <cfRule type="cellIs" dxfId="44" priority="8" stopIfTrue="1" operator="lessThan">
      <formula>C$22</formula>
    </cfRule>
  </conditionalFormatting>
  <conditionalFormatting sqref="Q35:R66">
    <cfRule type="cellIs" dxfId="43" priority="1" stopIfTrue="1" operator="between">
      <formula>Q$21</formula>
      <formula>Q$22</formula>
    </cfRule>
    <cfRule type="cellIs" dxfId="42" priority="2" stopIfTrue="1" operator="greaterThan">
      <formula>Q$21</formula>
    </cfRule>
    <cfRule type="cellIs" dxfId="41" priority="3" stopIfTrue="1" operator="lessThan">
      <formula>Q$22</formula>
    </cfRule>
  </conditionalFormatting>
  <dataValidations count="3">
    <dataValidation type="list" allowBlank="1" showInputMessage="1" showErrorMessage="1" sqref="D14:IV14" xr:uid="{00000000-0002-0000-0300-000000000000}">
      <formula1>"DoubleSides,SingleSide-USL,SingleSide-LSL,Actual Yield (n&gt;=100),Go/NoGo Gauge (n&gt;=100)"</formula1>
    </dataValidation>
    <dataValidation type="list" allowBlank="1" showErrorMessage="1" prompt="Select &quot;Double Sides&quot; or &quot;Single Side&quot; from drop down list" sqref="C14" xr:uid="{00000000-0002-0000-0300-000001000000}">
      <formula1>"DoubleSides,SingleSide-USL,SingleSide-LSL,Actual Yield (n&gt;=100),Go/NoGo Gauge (n&gt;=100)"</formula1>
    </dataValidation>
    <dataValidation type="custom" allowBlank="1" showInputMessage="1" showErrorMessage="1" error="-Dim No. already exists! You can input the Dim No. with different suffix. _x000a_-同样的尺寸编码已经存在，你可以在尺寸编码后加上不同后缀。 " sqref="C15:IV15" xr:uid="{00000000-0002-0000-0300-000002000000}">
      <formula1>COUNTIF($C$15:$IV$15,C15)=1</formula1>
    </dataValidation>
  </dataValidations>
  <printOptions horizontalCentered="1" verticalCentered="1"/>
  <pageMargins left="0.5" right="0.5" top="0.5" bottom="0.5" header="0.5" footer="0.5"/>
  <pageSetup paperSize="9" scale="40" orientation="landscape" horizontalDpi="4294967292" verticalDpi="4294967292"/>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rgb="FF00B050"/>
  </sheetPr>
  <dimension ref="A1:IV482"/>
  <sheetViews>
    <sheetView showGridLines="0" topLeftCell="A22" zoomScale="85" zoomScaleNormal="100" workbookViewId="0">
      <pane xSplit="2" topLeftCell="C1" activePane="topRight" state="frozen"/>
      <selection activeCell="R32" activeCellId="3" sqref="C23:R24 C27:R27 C30:R30 C32:R33"/>
      <selection pane="topRight" activeCell="R32" activeCellId="3" sqref="C23:R24 C27:R27 C30:R30 C32:R33"/>
    </sheetView>
  </sheetViews>
  <sheetFormatPr defaultColWidth="10.875" defaultRowHeight="12.75" customHeight="1"/>
  <cols>
    <col min="1" max="1" width="3.625" style="135" customWidth="1"/>
    <col min="2" max="2" width="14" style="135" customWidth="1"/>
    <col min="3" max="16384" width="10.875" style="135"/>
  </cols>
  <sheetData>
    <row r="1" spans="1:256" ht="24.75">
      <c r="B1" s="148" t="s">
        <v>27</v>
      </c>
      <c r="C1" s="4"/>
      <c r="D1" s="4"/>
      <c r="E1" s="4"/>
      <c r="F1" s="4"/>
      <c r="G1" s="4"/>
      <c r="H1" s="4"/>
      <c r="I1" s="4"/>
      <c r="J1" s="4"/>
      <c r="K1" s="4"/>
      <c r="L1" s="4"/>
      <c r="M1" s="4"/>
      <c r="O1" s="5"/>
      <c r="P1" s="4" t="s">
        <v>132</v>
      </c>
      <c r="S1"/>
      <c r="T1"/>
      <c r="IV1" s="130"/>
    </row>
    <row r="2" spans="1:256">
      <c r="B2" s="137" t="s">
        <v>63</v>
      </c>
      <c r="C2" s="138" t="e">
        <f>#REF!</f>
        <v>#REF!</v>
      </c>
      <c r="D2" s="139"/>
      <c r="E2" s="140" t="s">
        <v>130</v>
      </c>
      <c r="F2" s="138" t="e">
        <f>#REF!</f>
        <v>#REF!</v>
      </c>
      <c r="G2" s="139"/>
      <c r="H2" s="140" t="s">
        <v>0</v>
      </c>
      <c r="I2" s="138" t="e">
        <f>#REF!</f>
        <v>#REF!</v>
      </c>
      <c r="J2" s="139"/>
      <c r="K2" s="140" t="s">
        <v>15</v>
      </c>
      <c r="L2" s="141" t="e">
        <f>#REF!</f>
        <v>#REF!</v>
      </c>
      <c r="M2" s="139"/>
      <c r="N2"/>
      <c r="O2" s="6"/>
      <c r="P2" s="4" t="s">
        <v>107</v>
      </c>
      <c r="S2"/>
      <c r="T2"/>
      <c r="IV2" s="130"/>
    </row>
    <row r="3" spans="1:256">
      <c r="B3" s="137" t="s">
        <v>105</v>
      </c>
      <c r="C3" s="138" t="e">
        <f>#REF!</f>
        <v>#REF!</v>
      </c>
      <c r="D3" s="139"/>
      <c r="E3" s="140" t="s">
        <v>14</v>
      </c>
      <c r="F3" s="142"/>
      <c r="G3" s="139"/>
      <c r="H3" s="140" t="s">
        <v>134</v>
      </c>
      <c r="I3" s="142">
        <v>3</v>
      </c>
      <c r="J3" s="139"/>
      <c r="K3" s="140" t="s">
        <v>13</v>
      </c>
      <c r="L3" s="143" t="e">
        <f>#REF!</f>
        <v>#REF!</v>
      </c>
      <c r="M3" s="139"/>
      <c r="N3"/>
      <c r="O3" s="7"/>
      <c r="P3" s="4" t="s">
        <v>112</v>
      </c>
      <c r="S3"/>
      <c r="T3"/>
      <c r="IV3" s="130"/>
    </row>
    <row r="4" spans="1:256">
      <c r="B4" s="52"/>
      <c r="M4"/>
      <c r="N4"/>
      <c r="S4"/>
      <c r="T4"/>
      <c r="IV4" s="130"/>
    </row>
    <row r="5" spans="1:256" s="60" customFormat="1" ht="24.75" customHeight="1">
      <c r="A5" s="1"/>
      <c r="B5" s="51" t="s">
        <v>64</v>
      </c>
      <c r="C5" s="106" t="s">
        <v>156</v>
      </c>
      <c r="D5" s="106" t="s">
        <v>135</v>
      </c>
      <c r="E5" s="106" t="s">
        <v>135</v>
      </c>
      <c r="F5" s="106" t="s">
        <v>156</v>
      </c>
      <c r="G5" s="106" t="s">
        <v>156</v>
      </c>
      <c r="H5" s="106" t="s">
        <v>156</v>
      </c>
      <c r="I5" s="106" t="s">
        <v>156</v>
      </c>
      <c r="J5" s="106" t="s">
        <v>156</v>
      </c>
      <c r="K5" s="106" t="s">
        <v>156</v>
      </c>
      <c r="L5" s="106" t="s">
        <v>156</v>
      </c>
      <c r="M5" s="106" t="s">
        <v>156</v>
      </c>
      <c r="N5" s="106" t="s">
        <v>156</v>
      </c>
      <c r="O5" s="106" t="s">
        <v>156</v>
      </c>
      <c r="P5" s="106" t="s">
        <v>156</v>
      </c>
      <c r="Q5" s="106" t="s">
        <v>156</v>
      </c>
      <c r="R5" s="106" t="s">
        <v>156</v>
      </c>
      <c r="S5" s="106"/>
      <c r="T5" s="106"/>
      <c r="U5" s="106"/>
      <c r="V5" s="106"/>
      <c r="W5" s="106"/>
      <c r="X5" s="106"/>
      <c r="Y5" s="106"/>
      <c r="Z5" s="106"/>
      <c r="IV5" s="130"/>
    </row>
    <row r="6" spans="1:256" s="59" customFormat="1" ht="51" customHeight="1">
      <c r="A6" s="1"/>
      <c r="B6" s="47" t="s">
        <v>65</v>
      </c>
      <c r="C6" s="107"/>
      <c r="D6" s="107"/>
      <c r="E6" s="107"/>
      <c r="F6" s="107"/>
      <c r="G6" s="107"/>
      <c r="H6" s="107"/>
      <c r="I6" s="107"/>
      <c r="J6" s="107"/>
      <c r="K6" s="107"/>
      <c r="L6" s="107"/>
      <c r="M6" s="107"/>
      <c r="N6" s="107"/>
      <c r="O6" s="107"/>
      <c r="P6" s="107"/>
      <c r="Q6" s="107"/>
      <c r="R6" s="107"/>
      <c r="S6" s="107"/>
      <c r="T6" s="107"/>
      <c r="U6" s="107"/>
      <c r="V6" s="107"/>
      <c r="W6" s="107"/>
      <c r="X6" s="107"/>
      <c r="Y6" s="107"/>
      <c r="Z6" s="107"/>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131"/>
    </row>
    <row r="7" spans="1:256" ht="12" customHeight="1">
      <c r="B7" s="50" t="s">
        <v>66</v>
      </c>
      <c r="C7" s="108"/>
      <c r="D7" s="108"/>
      <c r="E7" s="108"/>
      <c r="F7" s="108"/>
      <c r="G7" s="108"/>
      <c r="H7" s="108"/>
      <c r="I7" s="108"/>
      <c r="J7" s="108"/>
      <c r="K7" s="108"/>
      <c r="L7" s="108"/>
      <c r="M7" s="108"/>
      <c r="N7" s="108"/>
      <c r="O7" s="108"/>
      <c r="P7" s="108"/>
      <c r="Q7" s="108"/>
      <c r="R7" s="108"/>
      <c r="S7" s="108"/>
      <c r="T7" s="108"/>
      <c r="U7" s="108"/>
      <c r="V7" s="108"/>
      <c r="W7" s="108"/>
      <c r="X7" s="108"/>
      <c r="Y7" s="108"/>
      <c r="Z7" s="108"/>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c r="HP7" s="65"/>
      <c r="HQ7" s="65"/>
      <c r="HR7" s="65"/>
      <c r="HS7" s="65"/>
      <c r="HT7" s="65"/>
      <c r="HU7" s="65"/>
      <c r="HV7" s="65"/>
      <c r="HW7" s="65"/>
      <c r="HX7" s="65"/>
      <c r="HY7" s="65"/>
      <c r="HZ7" s="65"/>
      <c r="IA7" s="65"/>
      <c r="IB7" s="65"/>
      <c r="IC7" s="65"/>
      <c r="ID7" s="65"/>
      <c r="IE7" s="65"/>
      <c r="IF7" s="65"/>
      <c r="IG7" s="65"/>
      <c r="IH7" s="65"/>
      <c r="II7" s="65"/>
      <c r="IJ7" s="65"/>
      <c r="IK7" s="65"/>
      <c r="IL7" s="65"/>
      <c r="IM7" s="65"/>
      <c r="IN7" s="65"/>
      <c r="IO7" s="65"/>
      <c r="IP7" s="65"/>
      <c r="IQ7" s="65"/>
      <c r="IR7" s="65"/>
      <c r="IS7" s="65"/>
      <c r="IT7" s="65"/>
      <c r="IU7" s="65"/>
      <c r="IV7" s="132"/>
    </row>
    <row r="8" spans="1:256" ht="12.75" customHeight="1">
      <c r="B8" s="50" t="s">
        <v>67</v>
      </c>
      <c r="C8" s="108"/>
      <c r="D8" s="108"/>
      <c r="E8" s="108"/>
      <c r="F8" s="108"/>
      <c r="G8" s="108"/>
      <c r="H8" s="108"/>
      <c r="I8" s="108"/>
      <c r="J8" s="108"/>
      <c r="K8" s="108"/>
      <c r="L8" s="108"/>
      <c r="M8" s="108"/>
      <c r="N8" s="108"/>
      <c r="O8" s="108"/>
      <c r="P8" s="108"/>
      <c r="Q8" s="108"/>
      <c r="R8" s="108"/>
      <c r="S8" s="108"/>
      <c r="T8" s="108"/>
      <c r="U8" s="108"/>
      <c r="V8" s="108"/>
      <c r="W8" s="108"/>
      <c r="X8" s="108"/>
      <c r="Y8" s="108"/>
      <c r="Z8" s="108"/>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c r="HP8" s="65"/>
      <c r="HQ8" s="65"/>
      <c r="HR8" s="65"/>
      <c r="HS8" s="65"/>
      <c r="HT8" s="65"/>
      <c r="HU8" s="65"/>
      <c r="HV8" s="65"/>
      <c r="HW8" s="65"/>
      <c r="HX8" s="65"/>
      <c r="HY8" s="65"/>
      <c r="HZ8" s="65"/>
      <c r="IA8" s="65"/>
      <c r="IB8" s="65"/>
      <c r="IC8" s="65"/>
      <c r="ID8" s="65"/>
      <c r="IE8" s="65"/>
      <c r="IF8" s="65"/>
      <c r="IG8" s="65"/>
      <c r="IH8" s="65"/>
      <c r="II8" s="65"/>
      <c r="IJ8" s="65"/>
      <c r="IK8" s="65"/>
      <c r="IL8" s="65"/>
      <c r="IM8" s="65"/>
      <c r="IN8" s="65"/>
      <c r="IO8" s="65"/>
      <c r="IP8" s="65"/>
      <c r="IQ8" s="65"/>
      <c r="IR8" s="65"/>
      <c r="IS8" s="65"/>
      <c r="IT8" s="65"/>
      <c r="IU8" s="65"/>
      <c r="IV8" s="132"/>
    </row>
    <row r="9" spans="1:256" ht="12.75" customHeight="1">
      <c r="B9" s="50" t="s">
        <v>77</v>
      </c>
      <c r="C9" s="108"/>
      <c r="D9" s="108"/>
      <c r="E9" s="108"/>
      <c r="F9" s="108"/>
      <c r="G9" s="108"/>
      <c r="H9" s="108"/>
      <c r="I9" s="108"/>
      <c r="J9" s="108"/>
      <c r="K9" s="108"/>
      <c r="L9" s="108"/>
      <c r="M9" s="108"/>
      <c r="N9" s="108"/>
      <c r="O9" s="108"/>
      <c r="P9" s="108"/>
      <c r="Q9" s="108"/>
      <c r="R9" s="108"/>
      <c r="S9" s="108"/>
      <c r="T9" s="108"/>
      <c r="U9" s="108"/>
      <c r="V9" s="108"/>
      <c r="W9" s="108"/>
      <c r="X9" s="108"/>
      <c r="Y9" s="108"/>
      <c r="Z9" s="108"/>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c r="HP9" s="65"/>
      <c r="HQ9" s="65"/>
      <c r="HR9" s="65"/>
      <c r="HS9" s="65"/>
      <c r="HT9" s="65"/>
      <c r="HU9" s="65"/>
      <c r="HV9" s="65"/>
      <c r="HW9" s="65"/>
      <c r="HX9" s="65"/>
      <c r="HY9" s="65"/>
      <c r="HZ9" s="65"/>
      <c r="IA9" s="65"/>
      <c r="IB9" s="65"/>
      <c r="IC9" s="65"/>
      <c r="ID9" s="65"/>
      <c r="IE9" s="65"/>
      <c r="IF9" s="65"/>
      <c r="IG9" s="65"/>
      <c r="IH9" s="65"/>
      <c r="II9" s="65"/>
      <c r="IJ9" s="65"/>
      <c r="IK9" s="65"/>
      <c r="IL9" s="65"/>
      <c r="IM9" s="65"/>
      <c r="IN9" s="65"/>
      <c r="IO9" s="65"/>
      <c r="IP9" s="65"/>
      <c r="IQ9" s="65"/>
      <c r="IR9" s="65"/>
      <c r="IS9" s="65"/>
      <c r="IT9" s="65"/>
      <c r="IU9" s="65"/>
      <c r="IV9" s="132"/>
    </row>
    <row r="10" spans="1:256" s="61" customFormat="1" ht="12.75" hidden="1" customHeight="1">
      <c r="A10" s="1"/>
      <c r="B10" s="50" t="s">
        <v>68</v>
      </c>
      <c r="C10" s="109" t="str">
        <f t="shared" ref="C10:BN10" si="0">IF(AND(C7="",C8="",C9=""),"",IF(C9="",C24,(C24+C9)))</f>
        <v/>
      </c>
      <c r="D10" s="109" t="str">
        <f t="shared" si="0"/>
        <v/>
      </c>
      <c r="E10" s="109" t="str">
        <f t="shared" si="0"/>
        <v/>
      </c>
      <c r="F10" s="109" t="str">
        <f t="shared" si="0"/>
        <v/>
      </c>
      <c r="G10" s="109" t="str">
        <f t="shared" si="0"/>
        <v/>
      </c>
      <c r="H10" s="109" t="str">
        <f t="shared" si="0"/>
        <v/>
      </c>
      <c r="I10" s="109" t="str">
        <f t="shared" si="0"/>
        <v/>
      </c>
      <c r="J10" s="109" t="str">
        <f t="shared" si="0"/>
        <v/>
      </c>
      <c r="K10" s="109" t="str">
        <f t="shared" si="0"/>
        <v/>
      </c>
      <c r="L10" s="109" t="str">
        <f t="shared" si="0"/>
        <v/>
      </c>
      <c r="M10" s="109" t="str">
        <f t="shared" si="0"/>
        <v/>
      </c>
      <c r="N10" s="109" t="str">
        <f t="shared" si="0"/>
        <v/>
      </c>
      <c r="O10" s="109" t="str">
        <f t="shared" si="0"/>
        <v/>
      </c>
      <c r="P10" s="109" t="str">
        <f t="shared" si="0"/>
        <v/>
      </c>
      <c r="Q10" s="109" t="str">
        <f t="shared" si="0"/>
        <v/>
      </c>
      <c r="R10" s="109" t="str">
        <f t="shared" si="0"/>
        <v/>
      </c>
      <c r="S10" s="109" t="str">
        <f t="shared" si="0"/>
        <v/>
      </c>
      <c r="T10" s="109" t="str">
        <f t="shared" si="0"/>
        <v/>
      </c>
      <c r="U10" s="109" t="str">
        <f t="shared" si="0"/>
        <v/>
      </c>
      <c r="V10" s="109" t="str">
        <f t="shared" si="0"/>
        <v/>
      </c>
      <c r="W10" s="109" t="str">
        <f t="shared" si="0"/>
        <v/>
      </c>
      <c r="X10" s="109" t="str">
        <f t="shared" si="0"/>
        <v/>
      </c>
      <c r="Y10" s="109" t="str">
        <f t="shared" si="0"/>
        <v/>
      </c>
      <c r="Z10" s="109" t="str">
        <f t="shared" si="0"/>
        <v/>
      </c>
      <c r="AA10" s="66" t="str">
        <f t="shared" si="0"/>
        <v/>
      </c>
      <c r="AB10" s="66" t="str">
        <f t="shared" si="0"/>
        <v/>
      </c>
      <c r="AC10" s="66" t="str">
        <f t="shared" si="0"/>
        <v/>
      </c>
      <c r="AD10" s="66" t="str">
        <f t="shared" si="0"/>
        <v/>
      </c>
      <c r="AE10" s="66" t="str">
        <f t="shared" si="0"/>
        <v/>
      </c>
      <c r="AF10" s="66" t="str">
        <f t="shared" si="0"/>
        <v/>
      </c>
      <c r="AG10" s="66" t="str">
        <f t="shared" si="0"/>
        <v/>
      </c>
      <c r="AH10" s="66" t="str">
        <f t="shared" si="0"/>
        <v/>
      </c>
      <c r="AI10" s="66" t="str">
        <f t="shared" si="0"/>
        <v/>
      </c>
      <c r="AJ10" s="66" t="str">
        <f t="shared" si="0"/>
        <v/>
      </c>
      <c r="AK10" s="66" t="str">
        <f t="shared" si="0"/>
        <v/>
      </c>
      <c r="AL10" s="66" t="str">
        <f t="shared" si="0"/>
        <v/>
      </c>
      <c r="AM10" s="66" t="str">
        <f t="shared" si="0"/>
        <v/>
      </c>
      <c r="AN10" s="66" t="str">
        <f t="shared" si="0"/>
        <v/>
      </c>
      <c r="AO10" s="66" t="str">
        <f t="shared" si="0"/>
        <v/>
      </c>
      <c r="AP10" s="66" t="str">
        <f t="shared" si="0"/>
        <v/>
      </c>
      <c r="AQ10" s="66" t="str">
        <f t="shared" si="0"/>
        <v/>
      </c>
      <c r="AR10" s="66" t="str">
        <f t="shared" si="0"/>
        <v/>
      </c>
      <c r="AS10" s="66" t="str">
        <f t="shared" si="0"/>
        <v/>
      </c>
      <c r="AT10" s="66" t="str">
        <f t="shared" si="0"/>
        <v/>
      </c>
      <c r="AU10" s="66" t="str">
        <f t="shared" si="0"/>
        <v/>
      </c>
      <c r="AV10" s="66" t="str">
        <f t="shared" si="0"/>
        <v/>
      </c>
      <c r="AW10" s="66" t="str">
        <f t="shared" si="0"/>
        <v/>
      </c>
      <c r="AX10" s="66" t="str">
        <f t="shared" si="0"/>
        <v/>
      </c>
      <c r="AY10" s="66" t="str">
        <f t="shared" si="0"/>
        <v/>
      </c>
      <c r="AZ10" s="66" t="str">
        <f t="shared" si="0"/>
        <v/>
      </c>
      <c r="BA10" s="66" t="str">
        <f t="shared" si="0"/>
        <v/>
      </c>
      <c r="BB10" s="66" t="str">
        <f t="shared" si="0"/>
        <v/>
      </c>
      <c r="BC10" s="66" t="str">
        <f t="shared" si="0"/>
        <v/>
      </c>
      <c r="BD10" s="66" t="str">
        <f t="shared" si="0"/>
        <v/>
      </c>
      <c r="BE10" s="66" t="str">
        <f t="shared" si="0"/>
        <v/>
      </c>
      <c r="BF10" s="66" t="str">
        <f t="shared" si="0"/>
        <v/>
      </c>
      <c r="BG10" s="66" t="str">
        <f t="shared" si="0"/>
        <v/>
      </c>
      <c r="BH10" s="66" t="str">
        <f t="shared" si="0"/>
        <v/>
      </c>
      <c r="BI10" s="66" t="str">
        <f t="shared" si="0"/>
        <v/>
      </c>
      <c r="BJ10" s="66" t="str">
        <f t="shared" si="0"/>
        <v/>
      </c>
      <c r="BK10" s="66" t="str">
        <f t="shared" si="0"/>
        <v/>
      </c>
      <c r="BL10" s="66" t="str">
        <f t="shared" si="0"/>
        <v/>
      </c>
      <c r="BM10" s="66" t="str">
        <f t="shared" si="0"/>
        <v/>
      </c>
      <c r="BN10" s="66" t="str">
        <f t="shared" si="0"/>
        <v/>
      </c>
      <c r="BO10" s="66" t="str">
        <f t="shared" ref="BO10:DZ10" si="1">IF(AND(BO7="",BO8="",BO9=""),"",IF(BO9="",BO24,(BO24+BO9)))</f>
        <v/>
      </c>
      <c r="BP10" s="66" t="str">
        <f t="shared" si="1"/>
        <v/>
      </c>
      <c r="BQ10" s="66" t="str">
        <f t="shared" si="1"/>
        <v/>
      </c>
      <c r="BR10" s="66" t="str">
        <f t="shared" si="1"/>
        <v/>
      </c>
      <c r="BS10" s="66" t="str">
        <f t="shared" si="1"/>
        <v/>
      </c>
      <c r="BT10" s="66" t="str">
        <f t="shared" si="1"/>
        <v/>
      </c>
      <c r="BU10" s="66" t="str">
        <f t="shared" si="1"/>
        <v/>
      </c>
      <c r="BV10" s="66" t="str">
        <f t="shared" si="1"/>
        <v/>
      </c>
      <c r="BW10" s="66" t="str">
        <f t="shared" si="1"/>
        <v/>
      </c>
      <c r="BX10" s="66" t="str">
        <f t="shared" si="1"/>
        <v/>
      </c>
      <c r="BY10" s="66" t="str">
        <f t="shared" si="1"/>
        <v/>
      </c>
      <c r="BZ10" s="66" t="str">
        <f t="shared" si="1"/>
        <v/>
      </c>
      <c r="CA10" s="66" t="str">
        <f t="shared" si="1"/>
        <v/>
      </c>
      <c r="CB10" s="66" t="str">
        <f t="shared" si="1"/>
        <v/>
      </c>
      <c r="CC10" s="66" t="str">
        <f t="shared" si="1"/>
        <v/>
      </c>
      <c r="CD10" s="66" t="str">
        <f t="shared" si="1"/>
        <v/>
      </c>
      <c r="CE10" s="66" t="str">
        <f t="shared" si="1"/>
        <v/>
      </c>
      <c r="CF10" s="66" t="str">
        <f t="shared" si="1"/>
        <v/>
      </c>
      <c r="CG10" s="66" t="str">
        <f t="shared" si="1"/>
        <v/>
      </c>
      <c r="CH10" s="66" t="str">
        <f t="shared" si="1"/>
        <v/>
      </c>
      <c r="CI10" s="66" t="str">
        <f t="shared" si="1"/>
        <v/>
      </c>
      <c r="CJ10" s="66" t="str">
        <f t="shared" si="1"/>
        <v/>
      </c>
      <c r="CK10" s="66" t="str">
        <f t="shared" si="1"/>
        <v/>
      </c>
      <c r="CL10" s="66" t="str">
        <f t="shared" si="1"/>
        <v/>
      </c>
      <c r="CM10" s="66" t="str">
        <f t="shared" si="1"/>
        <v/>
      </c>
      <c r="CN10" s="66" t="str">
        <f t="shared" si="1"/>
        <v/>
      </c>
      <c r="CO10" s="66" t="str">
        <f t="shared" si="1"/>
        <v/>
      </c>
      <c r="CP10" s="66" t="str">
        <f t="shared" si="1"/>
        <v/>
      </c>
      <c r="CQ10" s="66" t="str">
        <f t="shared" si="1"/>
        <v/>
      </c>
      <c r="CR10" s="66" t="str">
        <f t="shared" si="1"/>
        <v/>
      </c>
      <c r="CS10" s="66" t="str">
        <f t="shared" si="1"/>
        <v/>
      </c>
      <c r="CT10" s="66" t="str">
        <f t="shared" si="1"/>
        <v/>
      </c>
      <c r="CU10" s="66" t="str">
        <f t="shared" si="1"/>
        <v/>
      </c>
      <c r="CV10" s="66" t="str">
        <f t="shared" si="1"/>
        <v/>
      </c>
      <c r="CW10" s="66" t="str">
        <f t="shared" si="1"/>
        <v/>
      </c>
      <c r="CX10" s="66" t="str">
        <f t="shared" si="1"/>
        <v/>
      </c>
      <c r="CY10" s="66" t="str">
        <f t="shared" si="1"/>
        <v/>
      </c>
      <c r="CZ10" s="66" t="str">
        <f t="shared" si="1"/>
        <v/>
      </c>
      <c r="DA10" s="66" t="str">
        <f t="shared" si="1"/>
        <v/>
      </c>
      <c r="DB10" s="66" t="str">
        <f t="shared" si="1"/>
        <v/>
      </c>
      <c r="DC10" s="66" t="str">
        <f t="shared" si="1"/>
        <v/>
      </c>
      <c r="DD10" s="66" t="str">
        <f t="shared" si="1"/>
        <v/>
      </c>
      <c r="DE10" s="66" t="str">
        <f t="shared" si="1"/>
        <v/>
      </c>
      <c r="DF10" s="66" t="str">
        <f t="shared" si="1"/>
        <v/>
      </c>
      <c r="DG10" s="66" t="str">
        <f t="shared" si="1"/>
        <v/>
      </c>
      <c r="DH10" s="66" t="str">
        <f t="shared" si="1"/>
        <v/>
      </c>
      <c r="DI10" s="66" t="str">
        <f t="shared" si="1"/>
        <v/>
      </c>
      <c r="DJ10" s="66" t="str">
        <f t="shared" si="1"/>
        <v/>
      </c>
      <c r="DK10" s="66" t="str">
        <f t="shared" si="1"/>
        <v/>
      </c>
      <c r="DL10" s="66" t="str">
        <f t="shared" si="1"/>
        <v/>
      </c>
      <c r="DM10" s="66" t="str">
        <f t="shared" si="1"/>
        <v/>
      </c>
      <c r="DN10" s="66" t="str">
        <f t="shared" si="1"/>
        <v/>
      </c>
      <c r="DO10" s="66" t="str">
        <f t="shared" si="1"/>
        <v/>
      </c>
      <c r="DP10" s="66" t="str">
        <f t="shared" si="1"/>
        <v/>
      </c>
      <c r="DQ10" s="66" t="str">
        <f t="shared" si="1"/>
        <v/>
      </c>
      <c r="DR10" s="66" t="str">
        <f t="shared" si="1"/>
        <v/>
      </c>
      <c r="DS10" s="66" t="str">
        <f t="shared" si="1"/>
        <v/>
      </c>
      <c r="DT10" s="66" t="str">
        <f t="shared" si="1"/>
        <v/>
      </c>
      <c r="DU10" s="66" t="str">
        <f t="shared" si="1"/>
        <v/>
      </c>
      <c r="DV10" s="66" t="str">
        <f t="shared" si="1"/>
        <v/>
      </c>
      <c r="DW10" s="66" t="str">
        <f t="shared" si="1"/>
        <v/>
      </c>
      <c r="DX10" s="66" t="str">
        <f t="shared" si="1"/>
        <v/>
      </c>
      <c r="DY10" s="66" t="str">
        <f t="shared" si="1"/>
        <v/>
      </c>
      <c r="DZ10" s="66" t="str">
        <f t="shared" si="1"/>
        <v/>
      </c>
      <c r="EA10" s="66" t="str">
        <f t="shared" ref="EA10:GL10" si="2">IF(AND(EA7="",EA8="",EA9=""),"",IF(EA9="",EA24,(EA24+EA9)))</f>
        <v/>
      </c>
      <c r="EB10" s="66" t="str">
        <f t="shared" si="2"/>
        <v/>
      </c>
      <c r="EC10" s="66" t="str">
        <f t="shared" si="2"/>
        <v/>
      </c>
      <c r="ED10" s="66" t="str">
        <f t="shared" si="2"/>
        <v/>
      </c>
      <c r="EE10" s="66" t="str">
        <f t="shared" si="2"/>
        <v/>
      </c>
      <c r="EF10" s="66" t="str">
        <f t="shared" si="2"/>
        <v/>
      </c>
      <c r="EG10" s="66" t="str">
        <f t="shared" si="2"/>
        <v/>
      </c>
      <c r="EH10" s="66" t="str">
        <f t="shared" si="2"/>
        <v/>
      </c>
      <c r="EI10" s="66" t="str">
        <f t="shared" si="2"/>
        <v/>
      </c>
      <c r="EJ10" s="66" t="str">
        <f t="shared" si="2"/>
        <v/>
      </c>
      <c r="EK10" s="66" t="str">
        <f t="shared" si="2"/>
        <v/>
      </c>
      <c r="EL10" s="66" t="str">
        <f t="shared" si="2"/>
        <v/>
      </c>
      <c r="EM10" s="66" t="str">
        <f t="shared" si="2"/>
        <v/>
      </c>
      <c r="EN10" s="66" t="str">
        <f t="shared" si="2"/>
        <v/>
      </c>
      <c r="EO10" s="66" t="str">
        <f t="shared" si="2"/>
        <v/>
      </c>
      <c r="EP10" s="66" t="str">
        <f t="shared" si="2"/>
        <v/>
      </c>
      <c r="EQ10" s="66" t="str">
        <f t="shared" si="2"/>
        <v/>
      </c>
      <c r="ER10" s="66" t="str">
        <f t="shared" si="2"/>
        <v/>
      </c>
      <c r="ES10" s="66" t="str">
        <f t="shared" si="2"/>
        <v/>
      </c>
      <c r="ET10" s="66" t="str">
        <f t="shared" si="2"/>
        <v/>
      </c>
      <c r="EU10" s="66" t="str">
        <f t="shared" si="2"/>
        <v/>
      </c>
      <c r="EV10" s="66" t="str">
        <f t="shared" si="2"/>
        <v/>
      </c>
      <c r="EW10" s="66" t="str">
        <f t="shared" si="2"/>
        <v/>
      </c>
      <c r="EX10" s="66" t="str">
        <f t="shared" si="2"/>
        <v/>
      </c>
      <c r="EY10" s="66" t="str">
        <f t="shared" si="2"/>
        <v/>
      </c>
      <c r="EZ10" s="66" t="str">
        <f t="shared" si="2"/>
        <v/>
      </c>
      <c r="FA10" s="66" t="str">
        <f t="shared" si="2"/>
        <v/>
      </c>
      <c r="FB10" s="66" t="str">
        <f t="shared" si="2"/>
        <v/>
      </c>
      <c r="FC10" s="66" t="str">
        <f t="shared" si="2"/>
        <v/>
      </c>
      <c r="FD10" s="66" t="str">
        <f t="shared" si="2"/>
        <v/>
      </c>
      <c r="FE10" s="66" t="str">
        <f t="shared" si="2"/>
        <v/>
      </c>
      <c r="FF10" s="66" t="str">
        <f t="shared" si="2"/>
        <v/>
      </c>
      <c r="FG10" s="66" t="str">
        <f t="shared" si="2"/>
        <v/>
      </c>
      <c r="FH10" s="66" t="str">
        <f t="shared" si="2"/>
        <v/>
      </c>
      <c r="FI10" s="66" t="str">
        <f t="shared" si="2"/>
        <v/>
      </c>
      <c r="FJ10" s="66" t="str">
        <f t="shared" si="2"/>
        <v/>
      </c>
      <c r="FK10" s="66" t="str">
        <f t="shared" si="2"/>
        <v/>
      </c>
      <c r="FL10" s="66" t="str">
        <f t="shared" si="2"/>
        <v/>
      </c>
      <c r="FM10" s="66" t="str">
        <f t="shared" si="2"/>
        <v/>
      </c>
      <c r="FN10" s="66" t="str">
        <f t="shared" si="2"/>
        <v/>
      </c>
      <c r="FO10" s="66" t="str">
        <f t="shared" si="2"/>
        <v/>
      </c>
      <c r="FP10" s="66" t="str">
        <f t="shared" si="2"/>
        <v/>
      </c>
      <c r="FQ10" s="66" t="str">
        <f t="shared" si="2"/>
        <v/>
      </c>
      <c r="FR10" s="66" t="str">
        <f t="shared" si="2"/>
        <v/>
      </c>
      <c r="FS10" s="66" t="str">
        <f t="shared" si="2"/>
        <v/>
      </c>
      <c r="FT10" s="66" t="str">
        <f t="shared" si="2"/>
        <v/>
      </c>
      <c r="FU10" s="66" t="str">
        <f t="shared" si="2"/>
        <v/>
      </c>
      <c r="FV10" s="66" t="str">
        <f t="shared" si="2"/>
        <v/>
      </c>
      <c r="FW10" s="66" t="str">
        <f t="shared" si="2"/>
        <v/>
      </c>
      <c r="FX10" s="66" t="str">
        <f t="shared" si="2"/>
        <v/>
      </c>
      <c r="FY10" s="66" t="str">
        <f t="shared" si="2"/>
        <v/>
      </c>
      <c r="FZ10" s="66" t="str">
        <f t="shared" si="2"/>
        <v/>
      </c>
      <c r="GA10" s="66" t="str">
        <f t="shared" si="2"/>
        <v/>
      </c>
      <c r="GB10" s="66" t="str">
        <f t="shared" si="2"/>
        <v/>
      </c>
      <c r="GC10" s="66" t="str">
        <f t="shared" si="2"/>
        <v/>
      </c>
      <c r="GD10" s="66" t="str">
        <f t="shared" si="2"/>
        <v/>
      </c>
      <c r="GE10" s="66" t="str">
        <f t="shared" si="2"/>
        <v/>
      </c>
      <c r="GF10" s="66" t="str">
        <f t="shared" si="2"/>
        <v/>
      </c>
      <c r="GG10" s="66" t="str">
        <f t="shared" si="2"/>
        <v/>
      </c>
      <c r="GH10" s="66" t="str">
        <f t="shared" si="2"/>
        <v/>
      </c>
      <c r="GI10" s="66" t="str">
        <f t="shared" si="2"/>
        <v/>
      </c>
      <c r="GJ10" s="66" t="str">
        <f t="shared" si="2"/>
        <v/>
      </c>
      <c r="GK10" s="66" t="str">
        <f t="shared" si="2"/>
        <v/>
      </c>
      <c r="GL10" s="66" t="str">
        <f t="shared" si="2"/>
        <v/>
      </c>
      <c r="GM10" s="66" t="str">
        <f t="shared" ref="GM10:IV10" si="3">IF(AND(GM7="",GM8="",GM9=""),"",IF(GM9="",GM24,(GM24+GM9)))</f>
        <v/>
      </c>
      <c r="GN10" s="66" t="str">
        <f t="shared" si="3"/>
        <v/>
      </c>
      <c r="GO10" s="66" t="str">
        <f t="shared" si="3"/>
        <v/>
      </c>
      <c r="GP10" s="66" t="str">
        <f t="shared" si="3"/>
        <v/>
      </c>
      <c r="GQ10" s="66" t="str">
        <f t="shared" si="3"/>
        <v/>
      </c>
      <c r="GR10" s="66" t="str">
        <f t="shared" si="3"/>
        <v/>
      </c>
      <c r="GS10" s="66" t="str">
        <f t="shared" si="3"/>
        <v/>
      </c>
      <c r="GT10" s="66" t="str">
        <f t="shared" si="3"/>
        <v/>
      </c>
      <c r="GU10" s="66" t="str">
        <f t="shared" si="3"/>
        <v/>
      </c>
      <c r="GV10" s="66" t="str">
        <f t="shared" si="3"/>
        <v/>
      </c>
      <c r="GW10" s="66" t="str">
        <f t="shared" si="3"/>
        <v/>
      </c>
      <c r="GX10" s="66" t="str">
        <f t="shared" si="3"/>
        <v/>
      </c>
      <c r="GY10" s="66" t="str">
        <f t="shared" si="3"/>
        <v/>
      </c>
      <c r="GZ10" s="66" t="str">
        <f t="shared" si="3"/>
        <v/>
      </c>
      <c r="HA10" s="66" t="str">
        <f t="shared" si="3"/>
        <v/>
      </c>
      <c r="HB10" s="66" t="str">
        <f t="shared" si="3"/>
        <v/>
      </c>
      <c r="HC10" s="66" t="str">
        <f t="shared" si="3"/>
        <v/>
      </c>
      <c r="HD10" s="66" t="str">
        <f t="shared" si="3"/>
        <v/>
      </c>
      <c r="HE10" s="66" t="str">
        <f t="shared" si="3"/>
        <v/>
      </c>
      <c r="HF10" s="66" t="str">
        <f t="shared" si="3"/>
        <v/>
      </c>
      <c r="HG10" s="66" t="str">
        <f t="shared" si="3"/>
        <v/>
      </c>
      <c r="HH10" s="66" t="str">
        <f t="shared" si="3"/>
        <v/>
      </c>
      <c r="HI10" s="66" t="str">
        <f t="shared" si="3"/>
        <v/>
      </c>
      <c r="HJ10" s="66" t="str">
        <f t="shared" si="3"/>
        <v/>
      </c>
      <c r="HK10" s="66" t="str">
        <f t="shared" si="3"/>
        <v/>
      </c>
      <c r="HL10" s="66" t="str">
        <f t="shared" si="3"/>
        <v/>
      </c>
      <c r="HM10" s="66" t="str">
        <f t="shared" si="3"/>
        <v/>
      </c>
      <c r="HN10" s="66" t="str">
        <f t="shared" si="3"/>
        <v/>
      </c>
      <c r="HO10" s="66" t="str">
        <f t="shared" si="3"/>
        <v/>
      </c>
      <c r="HP10" s="66" t="str">
        <f t="shared" si="3"/>
        <v/>
      </c>
      <c r="HQ10" s="66" t="str">
        <f t="shared" si="3"/>
        <v/>
      </c>
      <c r="HR10" s="66" t="str">
        <f t="shared" si="3"/>
        <v/>
      </c>
      <c r="HS10" s="66" t="str">
        <f t="shared" si="3"/>
        <v/>
      </c>
      <c r="HT10" s="66" t="str">
        <f t="shared" si="3"/>
        <v/>
      </c>
      <c r="HU10" s="66" t="str">
        <f t="shared" si="3"/>
        <v/>
      </c>
      <c r="HV10" s="66" t="str">
        <f t="shared" si="3"/>
        <v/>
      </c>
      <c r="HW10" s="66" t="str">
        <f t="shared" si="3"/>
        <v/>
      </c>
      <c r="HX10" s="66" t="str">
        <f t="shared" si="3"/>
        <v/>
      </c>
      <c r="HY10" s="66" t="str">
        <f t="shared" si="3"/>
        <v/>
      </c>
      <c r="HZ10" s="66" t="str">
        <f t="shared" si="3"/>
        <v/>
      </c>
      <c r="IA10" s="66" t="str">
        <f t="shared" si="3"/>
        <v/>
      </c>
      <c r="IB10" s="66" t="str">
        <f t="shared" si="3"/>
        <v/>
      </c>
      <c r="IC10" s="66" t="str">
        <f t="shared" si="3"/>
        <v/>
      </c>
      <c r="ID10" s="66" t="str">
        <f t="shared" si="3"/>
        <v/>
      </c>
      <c r="IE10" s="66" t="str">
        <f t="shared" si="3"/>
        <v/>
      </c>
      <c r="IF10" s="66" t="str">
        <f t="shared" si="3"/>
        <v/>
      </c>
      <c r="IG10" s="66" t="str">
        <f t="shared" si="3"/>
        <v/>
      </c>
      <c r="IH10" s="66" t="str">
        <f t="shared" si="3"/>
        <v/>
      </c>
      <c r="II10" s="66" t="str">
        <f t="shared" si="3"/>
        <v/>
      </c>
      <c r="IJ10" s="66" t="str">
        <f t="shared" si="3"/>
        <v/>
      </c>
      <c r="IK10" s="66" t="str">
        <f t="shared" si="3"/>
        <v/>
      </c>
      <c r="IL10" s="66" t="str">
        <f t="shared" si="3"/>
        <v/>
      </c>
      <c r="IM10" s="66" t="str">
        <f t="shared" si="3"/>
        <v/>
      </c>
      <c r="IN10" s="66" t="str">
        <f t="shared" si="3"/>
        <v/>
      </c>
      <c r="IO10" s="66" t="str">
        <f t="shared" si="3"/>
        <v/>
      </c>
      <c r="IP10" s="66" t="str">
        <f t="shared" si="3"/>
        <v/>
      </c>
      <c r="IQ10" s="66" t="str">
        <f t="shared" si="3"/>
        <v/>
      </c>
      <c r="IR10" s="66" t="str">
        <f t="shared" si="3"/>
        <v/>
      </c>
      <c r="IS10" s="66" t="str">
        <f t="shared" si="3"/>
        <v/>
      </c>
      <c r="IT10" s="66" t="str">
        <f t="shared" si="3"/>
        <v/>
      </c>
      <c r="IU10" s="66" t="str">
        <f t="shared" si="3"/>
        <v/>
      </c>
      <c r="IV10" s="133" t="str">
        <f t="shared" si="3"/>
        <v/>
      </c>
    </row>
    <row r="11" spans="1:256" s="61" customFormat="1" ht="12.75" hidden="1" customHeight="1">
      <c r="A11" s="1"/>
      <c r="B11" s="50" t="s">
        <v>69</v>
      </c>
      <c r="C11" s="110" t="str">
        <f t="shared" ref="C11:BN11" si="4">IF(AND(C7="",C8="",C9=""),"",IF(C7="",C21,(C16+ABS(C7))))</f>
        <v/>
      </c>
      <c r="D11" s="110" t="str">
        <f t="shared" si="4"/>
        <v/>
      </c>
      <c r="E11" s="110" t="str">
        <f t="shared" si="4"/>
        <v/>
      </c>
      <c r="F11" s="110" t="str">
        <f t="shared" si="4"/>
        <v/>
      </c>
      <c r="G11" s="110" t="str">
        <f t="shared" si="4"/>
        <v/>
      </c>
      <c r="H11" s="110" t="str">
        <f t="shared" si="4"/>
        <v/>
      </c>
      <c r="I11" s="110" t="str">
        <f t="shared" si="4"/>
        <v/>
      </c>
      <c r="J11" s="110" t="str">
        <f t="shared" si="4"/>
        <v/>
      </c>
      <c r="K11" s="110" t="str">
        <f t="shared" si="4"/>
        <v/>
      </c>
      <c r="L11" s="110" t="str">
        <f t="shared" si="4"/>
        <v/>
      </c>
      <c r="M11" s="110" t="str">
        <f t="shared" si="4"/>
        <v/>
      </c>
      <c r="N11" s="110" t="str">
        <f t="shared" si="4"/>
        <v/>
      </c>
      <c r="O11" s="110" t="str">
        <f t="shared" si="4"/>
        <v/>
      </c>
      <c r="P11" s="110" t="str">
        <f t="shared" si="4"/>
        <v/>
      </c>
      <c r="Q11" s="110" t="str">
        <f t="shared" si="4"/>
        <v/>
      </c>
      <c r="R11" s="110" t="str">
        <f t="shared" si="4"/>
        <v/>
      </c>
      <c r="S11" s="110" t="str">
        <f t="shared" si="4"/>
        <v/>
      </c>
      <c r="T11" s="110" t="str">
        <f t="shared" si="4"/>
        <v/>
      </c>
      <c r="U11" s="110" t="str">
        <f t="shared" si="4"/>
        <v/>
      </c>
      <c r="V11" s="110" t="str">
        <f t="shared" si="4"/>
        <v/>
      </c>
      <c r="W11" s="110" t="str">
        <f t="shared" si="4"/>
        <v/>
      </c>
      <c r="X11" s="110" t="str">
        <f t="shared" si="4"/>
        <v/>
      </c>
      <c r="Y11" s="110" t="str">
        <f t="shared" si="4"/>
        <v/>
      </c>
      <c r="Z11" s="110" t="str">
        <f t="shared" si="4"/>
        <v/>
      </c>
      <c r="AA11" s="66" t="str">
        <f t="shared" si="4"/>
        <v/>
      </c>
      <c r="AB11" s="66" t="str">
        <f t="shared" si="4"/>
        <v/>
      </c>
      <c r="AC11" s="66" t="str">
        <f t="shared" si="4"/>
        <v/>
      </c>
      <c r="AD11" s="66" t="str">
        <f t="shared" si="4"/>
        <v/>
      </c>
      <c r="AE11" s="66" t="str">
        <f t="shared" si="4"/>
        <v/>
      </c>
      <c r="AF11" s="66" t="str">
        <f t="shared" si="4"/>
        <v/>
      </c>
      <c r="AG11" s="66" t="str">
        <f t="shared" si="4"/>
        <v/>
      </c>
      <c r="AH11" s="66" t="str">
        <f t="shared" si="4"/>
        <v/>
      </c>
      <c r="AI11" s="66" t="str">
        <f t="shared" si="4"/>
        <v/>
      </c>
      <c r="AJ11" s="66" t="str">
        <f t="shared" si="4"/>
        <v/>
      </c>
      <c r="AK11" s="66" t="str">
        <f t="shared" si="4"/>
        <v/>
      </c>
      <c r="AL11" s="66" t="str">
        <f t="shared" si="4"/>
        <v/>
      </c>
      <c r="AM11" s="66" t="str">
        <f t="shared" si="4"/>
        <v/>
      </c>
      <c r="AN11" s="66" t="str">
        <f t="shared" si="4"/>
        <v/>
      </c>
      <c r="AO11" s="66" t="str">
        <f t="shared" si="4"/>
        <v/>
      </c>
      <c r="AP11" s="66" t="str">
        <f t="shared" si="4"/>
        <v/>
      </c>
      <c r="AQ11" s="66" t="str">
        <f t="shared" si="4"/>
        <v/>
      </c>
      <c r="AR11" s="66" t="str">
        <f t="shared" si="4"/>
        <v/>
      </c>
      <c r="AS11" s="66" t="str">
        <f t="shared" si="4"/>
        <v/>
      </c>
      <c r="AT11" s="66" t="str">
        <f t="shared" si="4"/>
        <v/>
      </c>
      <c r="AU11" s="66" t="str">
        <f t="shared" si="4"/>
        <v/>
      </c>
      <c r="AV11" s="66" t="str">
        <f t="shared" si="4"/>
        <v/>
      </c>
      <c r="AW11" s="66" t="str">
        <f t="shared" si="4"/>
        <v/>
      </c>
      <c r="AX11" s="66" t="str">
        <f t="shared" si="4"/>
        <v/>
      </c>
      <c r="AY11" s="66" t="str">
        <f t="shared" si="4"/>
        <v/>
      </c>
      <c r="AZ11" s="66" t="str">
        <f t="shared" si="4"/>
        <v/>
      </c>
      <c r="BA11" s="66" t="str">
        <f t="shared" si="4"/>
        <v/>
      </c>
      <c r="BB11" s="66" t="str">
        <f t="shared" si="4"/>
        <v/>
      </c>
      <c r="BC11" s="66" t="str">
        <f t="shared" si="4"/>
        <v/>
      </c>
      <c r="BD11" s="66" t="str">
        <f t="shared" si="4"/>
        <v/>
      </c>
      <c r="BE11" s="66" t="str">
        <f t="shared" si="4"/>
        <v/>
      </c>
      <c r="BF11" s="66" t="str">
        <f t="shared" si="4"/>
        <v/>
      </c>
      <c r="BG11" s="66" t="str">
        <f t="shared" si="4"/>
        <v/>
      </c>
      <c r="BH11" s="66" t="str">
        <f t="shared" si="4"/>
        <v/>
      </c>
      <c r="BI11" s="66" t="str">
        <f t="shared" si="4"/>
        <v/>
      </c>
      <c r="BJ11" s="66" t="str">
        <f t="shared" si="4"/>
        <v/>
      </c>
      <c r="BK11" s="66" t="str">
        <f t="shared" si="4"/>
        <v/>
      </c>
      <c r="BL11" s="66" t="str">
        <f t="shared" si="4"/>
        <v/>
      </c>
      <c r="BM11" s="66" t="str">
        <f t="shared" si="4"/>
        <v/>
      </c>
      <c r="BN11" s="66" t="str">
        <f t="shared" si="4"/>
        <v/>
      </c>
      <c r="BO11" s="66" t="str">
        <f t="shared" ref="BO11:DZ11" si="5">IF(AND(BO7="",BO8="",BO9=""),"",IF(BO7="",BO21,(BO16+ABS(BO7))))</f>
        <v/>
      </c>
      <c r="BP11" s="66" t="str">
        <f t="shared" si="5"/>
        <v/>
      </c>
      <c r="BQ11" s="66" t="str">
        <f t="shared" si="5"/>
        <v/>
      </c>
      <c r="BR11" s="66" t="str">
        <f t="shared" si="5"/>
        <v/>
      </c>
      <c r="BS11" s="66" t="str">
        <f t="shared" si="5"/>
        <v/>
      </c>
      <c r="BT11" s="66" t="str">
        <f t="shared" si="5"/>
        <v/>
      </c>
      <c r="BU11" s="66" t="str">
        <f t="shared" si="5"/>
        <v/>
      </c>
      <c r="BV11" s="66" t="str">
        <f t="shared" si="5"/>
        <v/>
      </c>
      <c r="BW11" s="66" t="str">
        <f t="shared" si="5"/>
        <v/>
      </c>
      <c r="BX11" s="66" t="str">
        <f t="shared" si="5"/>
        <v/>
      </c>
      <c r="BY11" s="66" t="str">
        <f t="shared" si="5"/>
        <v/>
      </c>
      <c r="BZ11" s="66" t="str">
        <f t="shared" si="5"/>
        <v/>
      </c>
      <c r="CA11" s="66" t="str">
        <f t="shared" si="5"/>
        <v/>
      </c>
      <c r="CB11" s="66" t="str">
        <f t="shared" si="5"/>
        <v/>
      </c>
      <c r="CC11" s="66" t="str">
        <f t="shared" si="5"/>
        <v/>
      </c>
      <c r="CD11" s="66" t="str">
        <f t="shared" si="5"/>
        <v/>
      </c>
      <c r="CE11" s="66" t="str">
        <f t="shared" si="5"/>
        <v/>
      </c>
      <c r="CF11" s="66" t="str">
        <f t="shared" si="5"/>
        <v/>
      </c>
      <c r="CG11" s="66" t="str">
        <f t="shared" si="5"/>
        <v/>
      </c>
      <c r="CH11" s="66" t="str">
        <f t="shared" si="5"/>
        <v/>
      </c>
      <c r="CI11" s="66" t="str">
        <f t="shared" si="5"/>
        <v/>
      </c>
      <c r="CJ11" s="66" t="str">
        <f t="shared" si="5"/>
        <v/>
      </c>
      <c r="CK11" s="66" t="str">
        <f t="shared" si="5"/>
        <v/>
      </c>
      <c r="CL11" s="66" t="str">
        <f t="shared" si="5"/>
        <v/>
      </c>
      <c r="CM11" s="66" t="str">
        <f t="shared" si="5"/>
        <v/>
      </c>
      <c r="CN11" s="66" t="str">
        <f t="shared" si="5"/>
        <v/>
      </c>
      <c r="CO11" s="66" t="str">
        <f t="shared" si="5"/>
        <v/>
      </c>
      <c r="CP11" s="66" t="str">
        <f t="shared" si="5"/>
        <v/>
      </c>
      <c r="CQ11" s="66" t="str">
        <f t="shared" si="5"/>
        <v/>
      </c>
      <c r="CR11" s="66" t="str">
        <f t="shared" si="5"/>
        <v/>
      </c>
      <c r="CS11" s="66" t="str">
        <f t="shared" si="5"/>
        <v/>
      </c>
      <c r="CT11" s="66" t="str">
        <f t="shared" si="5"/>
        <v/>
      </c>
      <c r="CU11" s="66" t="str">
        <f t="shared" si="5"/>
        <v/>
      </c>
      <c r="CV11" s="66" t="str">
        <f t="shared" si="5"/>
        <v/>
      </c>
      <c r="CW11" s="66" t="str">
        <f t="shared" si="5"/>
        <v/>
      </c>
      <c r="CX11" s="66" t="str">
        <f t="shared" si="5"/>
        <v/>
      </c>
      <c r="CY11" s="66" t="str">
        <f t="shared" si="5"/>
        <v/>
      </c>
      <c r="CZ11" s="66" t="str">
        <f t="shared" si="5"/>
        <v/>
      </c>
      <c r="DA11" s="66" t="str">
        <f t="shared" si="5"/>
        <v/>
      </c>
      <c r="DB11" s="66" t="str">
        <f t="shared" si="5"/>
        <v/>
      </c>
      <c r="DC11" s="66" t="str">
        <f t="shared" si="5"/>
        <v/>
      </c>
      <c r="DD11" s="66" t="str">
        <f t="shared" si="5"/>
        <v/>
      </c>
      <c r="DE11" s="66" t="str">
        <f t="shared" si="5"/>
        <v/>
      </c>
      <c r="DF11" s="66" t="str">
        <f t="shared" si="5"/>
        <v/>
      </c>
      <c r="DG11" s="66" t="str">
        <f t="shared" si="5"/>
        <v/>
      </c>
      <c r="DH11" s="66" t="str">
        <f t="shared" si="5"/>
        <v/>
      </c>
      <c r="DI11" s="66" t="str">
        <f t="shared" si="5"/>
        <v/>
      </c>
      <c r="DJ11" s="66" t="str">
        <f t="shared" si="5"/>
        <v/>
      </c>
      <c r="DK11" s="66" t="str">
        <f t="shared" si="5"/>
        <v/>
      </c>
      <c r="DL11" s="66" t="str">
        <f t="shared" si="5"/>
        <v/>
      </c>
      <c r="DM11" s="66" t="str">
        <f t="shared" si="5"/>
        <v/>
      </c>
      <c r="DN11" s="66" t="str">
        <f t="shared" si="5"/>
        <v/>
      </c>
      <c r="DO11" s="66" t="str">
        <f t="shared" si="5"/>
        <v/>
      </c>
      <c r="DP11" s="66" t="str">
        <f t="shared" si="5"/>
        <v/>
      </c>
      <c r="DQ11" s="66" t="str">
        <f t="shared" si="5"/>
        <v/>
      </c>
      <c r="DR11" s="66" t="str">
        <f t="shared" si="5"/>
        <v/>
      </c>
      <c r="DS11" s="66" t="str">
        <f t="shared" si="5"/>
        <v/>
      </c>
      <c r="DT11" s="66" t="str">
        <f t="shared" si="5"/>
        <v/>
      </c>
      <c r="DU11" s="66" t="str">
        <f t="shared" si="5"/>
        <v/>
      </c>
      <c r="DV11" s="66" t="str">
        <f t="shared" si="5"/>
        <v/>
      </c>
      <c r="DW11" s="66" t="str">
        <f t="shared" si="5"/>
        <v/>
      </c>
      <c r="DX11" s="66" t="str">
        <f t="shared" si="5"/>
        <v/>
      </c>
      <c r="DY11" s="66" t="str">
        <f t="shared" si="5"/>
        <v/>
      </c>
      <c r="DZ11" s="66" t="str">
        <f t="shared" si="5"/>
        <v/>
      </c>
      <c r="EA11" s="66" t="str">
        <f t="shared" ref="EA11:GL11" si="6">IF(AND(EA7="",EA8="",EA9=""),"",IF(EA7="",EA21,(EA16+ABS(EA7))))</f>
        <v/>
      </c>
      <c r="EB11" s="66" t="str">
        <f t="shared" si="6"/>
        <v/>
      </c>
      <c r="EC11" s="66" t="str">
        <f t="shared" si="6"/>
        <v/>
      </c>
      <c r="ED11" s="66" t="str">
        <f t="shared" si="6"/>
        <v/>
      </c>
      <c r="EE11" s="66" t="str">
        <f t="shared" si="6"/>
        <v/>
      </c>
      <c r="EF11" s="66" t="str">
        <f t="shared" si="6"/>
        <v/>
      </c>
      <c r="EG11" s="66" t="str">
        <f t="shared" si="6"/>
        <v/>
      </c>
      <c r="EH11" s="66" t="str">
        <f t="shared" si="6"/>
        <v/>
      </c>
      <c r="EI11" s="66" t="str">
        <f t="shared" si="6"/>
        <v/>
      </c>
      <c r="EJ11" s="66" t="str">
        <f t="shared" si="6"/>
        <v/>
      </c>
      <c r="EK11" s="66" t="str">
        <f t="shared" si="6"/>
        <v/>
      </c>
      <c r="EL11" s="66" t="str">
        <f t="shared" si="6"/>
        <v/>
      </c>
      <c r="EM11" s="66" t="str">
        <f t="shared" si="6"/>
        <v/>
      </c>
      <c r="EN11" s="66" t="str">
        <f t="shared" si="6"/>
        <v/>
      </c>
      <c r="EO11" s="66" t="str">
        <f t="shared" si="6"/>
        <v/>
      </c>
      <c r="EP11" s="66" t="str">
        <f t="shared" si="6"/>
        <v/>
      </c>
      <c r="EQ11" s="66" t="str">
        <f t="shared" si="6"/>
        <v/>
      </c>
      <c r="ER11" s="66" t="str">
        <f t="shared" si="6"/>
        <v/>
      </c>
      <c r="ES11" s="66" t="str">
        <f t="shared" si="6"/>
        <v/>
      </c>
      <c r="ET11" s="66" t="str">
        <f t="shared" si="6"/>
        <v/>
      </c>
      <c r="EU11" s="66" t="str">
        <f t="shared" si="6"/>
        <v/>
      </c>
      <c r="EV11" s="66" t="str">
        <f t="shared" si="6"/>
        <v/>
      </c>
      <c r="EW11" s="66" t="str">
        <f t="shared" si="6"/>
        <v/>
      </c>
      <c r="EX11" s="66" t="str">
        <f t="shared" si="6"/>
        <v/>
      </c>
      <c r="EY11" s="66" t="str">
        <f t="shared" si="6"/>
        <v/>
      </c>
      <c r="EZ11" s="66" t="str">
        <f t="shared" si="6"/>
        <v/>
      </c>
      <c r="FA11" s="66" t="str">
        <f t="shared" si="6"/>
        <v/>
      </c>
      <c r="FB11" s="66" t="str">
        <f t="shared" si="6"/>
        <v/>
      </c>
      <c r="FC11" s="66" t="str">
        <f t="shared" si="6"/>
        <v/>
      </c>
      <c r="FD11" s="66" t="str">
        <f t="shared" si="6"/>
        <v/>
      </c>
      <c r="FE11" s="66" t="str">
        <f t="shared" si="6"/>
        <v/>
      </c>
      <c r="FF11" s="66" t="str">
        <f t="shared" si="6"/>
        <v/>
      </c>
      <c r="FG11" s="66" t="str">
        <f t="shared" si="6"/>
        <v/>
      </c>
      <c r="FH11" s="66" t="str">
        <f t="shared" si="6"/>
        <v/>
      </c>
      <c r="FI11" s="66" t="str">
        <f t="shared" si="6"/>
        <v/>
      </c>
      <c r="FJ11" s="66" t="str">
        <f t="shared" si="6"/>
        <v/>
      </c>
      <c r="FK11" s="66" t="str">
        <f t="shared" si="6"/>
        <v/>
      </c>
      <c r="FL11" s="66" t="str">
        <f t="shared" si="6"/>
        <v/>
      </c>
      <c r="FM11" s="66" t="str">
        <f t="shared" si="6"/>
        <v/>
      </c>
      <c r="FN11" s="66" t="str">
        <f t="shared" si="6"/>
        <v/>
      </c>
      <c r="FO11" s="66" t="str">
        <f t="shared" si="6"/>
        <v/>
      </c>
      <c r="FP11" s="66" t="str">
        <f t="shared" si="6"/>
        <v/>
      </c>
      <c r="FQ11" s="66" t="str">
        <f t="shared" si="6"/>
        <v/>
      </c>
      <c r="FR11" s="66" t="str">
        <f t="shared" si="6"/>
        <v/>
      </c>
      <c r="FS11" s="66" t="str">
        <f t="shared" si="6"/>
        <v/>
      </c>
      <c r="FT11" s="66" t="str">
        <f t="shared" si="6"/>
        <v/>
      </c>
      <c r="FU11" s="66" t="str">
        <f t="shared" si="6"/>
        <v/>
      </c>
      <c r="FV11" s="66" t="str">
        <f t="shared" si="6"/>
        <v/>
      </c>
      <c r="FW11" s="66" t="str">
        <f t="shared" si="6"/>
        <v/>
      </c>
      <c r="FX11" s="66" t="str">
        <f t="shared" si="6"/>
        <v/>
      </c>
      <c r="FY11" s="66" t="str">
        <f t="shared" si="6"/>
        <v/>
      </c>
      <c r="FZ11" s="66" t="str">
        <f t="shared" si="6"/>
        <v/>
      </c>
      <c r="GA11" s="66" t="str">
        <f t="shared" si="6"/>
        <v/>
      </c>
      <c r="GB11" s="66" t="str">
        <f t="shared" si="6"/>
        <v/>
      </c>
      <c r="GC11" s="66" t="str">
        <f t="shared" si="6"/>
        <v/>
      </c>
      <c r="GD11" s="66" t="str">
        <f t="shared" si="6"/>
        <v/>
      </c>
      <c r="GE11" s="66" t="str">
        <f t="shared" si="6"/>
        <v/>
      </c>
      <c r="GF11" s="66" t="str">
        <f t="shared" si="6"/>
        <v/>
      </c>
      <c r="GG11" s="66" t="str">
        <f t="shared" si="6"/>
        <v/>
      </c>
      <c r="GH11" s="66" t="str">
        <f t="shared" si="6"/>
        <v/>
      </c>
      <c r="GI11" s="66" t="str">
        <f t="shared" si="6"/>
        <v/>
      </c>
      <c r="GJ11" s="66" t="str">
        <f t="shared" si="6"/>
        <v/>
      </c>
      <c r="GK11" s="66" t="str">
        <f t="shared" si="6"/>
        <v/>
      </c>
      <c r="GL11" s="66" t="str">
        <f t="shared" si="6"/>
        <v/>
      </c>
      <c r="GM11" s="66" t="str">
        <f t="shared" ref="GM11:IV11" si="7">IF(AND(GM7="",GM8="",GM9=""),"",IF(GM7="",GM21,(GM16+ABS(GM7))))</f>
        <v/>
      </c>
      <c r="GN11" s="66" t="str">
        <f t="shared" si="7"/>
        <v/>
      </c>
      <c r="GO11" s="66" t="str">
        <f t="shared" si="7"/>
        <v/>
      </c>
      <c r="GP11" s="66" t="str">
        <f t="shared" si="7"/>
        <v/>
      </c>
      <c r="GQ11" s="66" t="str">
        <f t="shared" si="7"/>
        <v/>
      </c>
      <c r="GR11" s="66" t="str">
        <f t="shared" si="7"/>
        <v/>
      </c>
      <c r="GS11" s="66" t="str">
        <f t="shared" si="7"/>
        <v/>
      </c>
      <c r="GT11" s="66" t="str">
        <f t="shared" si="7"/>
        <v/>
      </c>
      <c r="GU11" s="66" t="str">
        <f t="shared" si="7"/>
        <v/>
      </c>
      <c r="GV11" s="66" t="str">
        <f t="shared" si="7"/>
        <v/>
      </c>
      <c r="GW11" s="66" t="str">
        <f t="shared" si="7"/>
        <v/>
      </c>
      <c r="GX11" s="66" t="str">
        <f t="shared" si="7"/>
        <v/>
      </c>
      <c r="GY11" s="66" t="str">
        <f t="shared" si="7"/>
        <v/>
      </c>
      <c r="GZ11" s="66" t="str">
        <f t="shared" si="7"/>
        <v/>
      </c>
      <c r="HA11" s="66" t="str">
        <f t="shared" si="7"/>
        <v/>
      </c>
      <c r="HB11" s="66" t="str">
        <f t="shared" si="7"/>
        <v/>
      </c>
      <c r="HC11" s="66" t="str">
        <f t="shared" si="7"/>
        <v/>
      </c>
      <c r="HD11" s="66" t="str">
        <f t="shared" si="7"/>
        <v/>
      </c>
      <c r="HE11" s="66" t="str">
        <f t="shared" si="7"/>
        <v/>
      </c>
      <c r="HF11" s="66" t="str">
        <f t="shared" si="7"/>
        <v/>
      </c>
      <c r="HG11" s="66" t="str">
        <f t="shared" si="7"/>
        <v/>
      </c>
      <c r="HH11" s="66" t="str">
        <f t="shared" si="7"/>
        <v/>
      </c>
      <c r="HI11" s="66" t="str">
        <f t="shared" si="7"/>
        <v/>
      </c>
      <c r="HJ11" s="66" t="str">
        <f t="shared" si="7"/>
        <v/>
      </c>
      <c r="HK11" s="66" t="str">
        <f t="shared" si="7"/>
        <v/>
      </c>
      <c r="HL11" s="66" t="str">
        <f t="shared" si="7"/>
        <v/>
      </c>
      <c r="HM11" s="66" t="str">
        <f t="shared" si="7"/>
        <v/>
      </c>
      <c r="HN11" s="66" t="str">
        <f t="shared" si="7"/>
        <v/>
      </c>
      <c r="HO11" s="66" t="str">
        <f t="shared" si="7"/>
        <v/>
      </c>
      <c r="HP11" s="66" t="str">
        <f t="shared" si="7"/>
        <v/>
      </c>
      <c r="HQ11" s="66" t="str">
        <f t="shared" si="7"/>
        <v/>
      </c>
      <c r="HR11" s="66" t="str">
        <f t="shared" si="7"/>
        <v/>
      </c>
      <c r="HS11" s="66" t="str">
        <f t="shared" si="7"/>
        <v/>
      </c>
      <c r="HT11" s="66" t="str">
        <f t="shared" si="7"/>
        <v/>
      </c>
      <c r="HU11" s="66" t="str">
        <f t="shared" si="7"/>
        <v/>
      </c>
      <c r="HV11" s="66" t="str">
        <f t="shared" si="7"/>
        <v/>
      </c>
      <c r="HW11" s="66" t="str">
        <f t="shared" si="7"/>
        <v/>
      </c>
      <c r="HX11" s="66" t="str">
        <f t="shared" si="7"/>
        <v/>
      </c>
      <c r="HY11" s="66" t="str">
        <f t="shared" si="7"/>
        <v/>
      </c>
      <c r="HZ11" s="66" t="str">
        <f t="shared" si="7"/>
        <v/>
      </c>
      <c r="IA11" s="66" t="str">
        <f t="shared" si="7"/>
        <v/>
      </c>
      <c r="IB11" s="66" t="str">
        <f t="shared" si="7"/>
        <v/>
      </c>
      <c r="IC11" s="66" t="str">
        <f t="shared" si="7"/>
        <v/>
      </c>
      <c r="ID11" s="66" t="str">
        <f t="shared" si="7"/>
        <v/>
      </c>
      <c r="IE11" s="66" t="str">
        <f t="shared" si="7"/>
        <v/>
      </c>
      <c r="IF11" s="66" t="str">
        <f t="shared" si="7"/>
        <v/>
      </c>
      <c r="IG11" s="66" t="str">
        <f t="shared" si="7"/>
        <v/>
      </c>
      <c r="IH11" s="66" t="str">
        <f t="shared" si="7"/>
        <v/>
      </c>
      <c r="II11" s="66" t="str">
        <f t="shared" si="7"/>
        <v/>
      </c>
      <c r="IJ11" s="66" t="str">
        <f t="shared" si="7"/>
        <v/>
      </c>
      <c r="IK11" s="66" t="str">
        <f t="shared" si="7"/>
        <v/>
      </c>
      <c r="IL11" s="66" t="str">
        <f t="shared" si="7"/>
        <v/>
      </c>
      <c r="IM11" s="66" t="str">
        <f t="shared" si="7"/>
        <v/>
      </c>
      <c r="IN11" s="66" t="str">
        <f t="shared" si="7"/>
        <v/>
      </c>
      <c r="IO11" s="66" t="str">
        <f t="shared" si="7"/>
        <v/>
      </c>
      <c r="IP11" s="66" t="str">
        <f t="shared" si="7"/>
        <v/>
      </c>
      <c r="IQ11" s="66" t="str">
        <f t="shared" si="7"/>
        <v/>
      </c>
      <c r="IR11" s="66" t="str">
        <f t="shared" si="7"/>
        <v/>
      </c>
      <c r="IS11" s="66" t="str">
        <f t="shared" si="7"/>
        <v/>
      </c>
      <c r="IT11" s="66" t="str">
        <f t="shared" si="7"/>
        <v/>
      </c>
      <c r="IU11" s="66" t="str">
        <f t="shared" si="7"/>
        <v/>
      </c>
      <c r="IV11" s="133" t="str">
        <f t="shared" si="7"/>
        <v/>
      </c>
    </row>
    <row r="12" spans="1:256" s="61" customFormat="1" ht="12.75" hidden="1" customHeight="1">
      <c r="A12" s="1"/>
      <c r="B12" s="50" t="s">
        <v>70</v>
      </c>
      <c r="C12" s="110" t="str">
        <f t="shared" ref="C12:BN12" si="8">IF(AND(C7="",C8="",C9=""),"",IF(C8="",C22,(C16-ABS(C8))))</f>
        <v/>
      </c>
      <c r="D12" s="110" t="str">
        <f t="shared" si="8"/>
        <v/>
      </c>
      <c r="E12" s="110" t="str">
        <f t="shared" si="8"/>
        <v/>
      </c>
      <c r="F12" s="110" t="str">
        <f t="shared" si="8"/>
        <v/>
      </c>
      <c r="G12" s="110" t="str">
        <f t="shared" si="8"/>
        <v/>
      </c>
      <c r="H12" s="110" t="str">
        <f t="shared" si="8"/>
        <v/>
      </c>
      <c r="I12" s="110" t="str">
        <f t="shared" si="8"/>
        <v/>
      </c>
      <c r="J12" s="110" t="str">
        <f t="shared" si="8"/>
        <v/>
      </c>
      <c r="K12" s="110" t="str">
        <f t="shared" si="8"/>
        <v/>
      </c>
      <c r="L12" s="110" t="str">
        <f t="shared" si="8"/>
        <v/>
      </c>
      <c r="M12" s="110" t="str">
        <f t="shared" si="8"/>
        <v/>
      </c>
      <c r="N12" s="110" t="str">
        <f t="shared" si="8"/>
        <v/>
      </c>
      <c r="O12" s="110" t="str">
        <f t="shared" si="8"/>
        <v/>
      </c>
      <c r="P12" s="110" t="str">
        <f t="shared" si="8"/>
        <v/>
      </c>
      <c r="Q12" s="110" t="str">
        <f t="shared" si="8"/>
        <v/>
      </c>
      <c r="R12" s="110" t="str">
        <f t="shared" si="8"/>
        <v/>
      </c>
      <c r="S12" s="110" t="str">
        <f t="shared" si="8"/>
        <v/>
      </c>
      <c r="T12" s="110" t="str">
        <f t="shared" si="8"/>
        <v/>
      </c>
      <c r="U12" s="110" t="str">
        <f t="shared" si="8"/>
        <v/>
      </c>
      <c r="V12" s="110" t="str">
        <f t="shared" si="8"/>
        <v/>
      </c>
      <c r="W12" s="110" t="str">
        <f t="shared" si="8"/>
        <v/>
      </c>
      <c r="X12" s="110" t="str">
        <f t="shared" si="8"/>
        <v/>
      </c>
      <c r="Y12" s="110" t="str">
        <f t="shared" si="8"/>
        <v/>
      </c>
      <c r="Z12" s="110" t="str">
        <f t="shared" si="8"/>
        <v/>
      </c>
      <c r="AA12" s="66" t="str">
        <f t="shared" si="8"/>
        <v/>
      </c>
      <c r="AB12" s="66" t="str">
        <f t="shared" si="8"/>
        <v/>
      </c>
      <c r="AC12" s="66" t="str">
        <f t="shared" si="8"/>
        <v/>
      </c>
      <c r="AD12" s="66" t="str">
        <f t="shared" si="8"/>
        <v/>
      </c>
      <c r="AE12" s="66" t="str">
        <f t="shared" si="8"/>
        <v/>
      </c>
      <c r="AF12" s="66" t="str">
        <f t="shared" si="8"/>
        <v/>
      </c>
      <c r="AG12" s="66" t="str">
        <f t="shared" si="8"/>
        <v/>
      </c>
      <c r="AH12" s="66" t="str">
        <f t="shared" si="8"/>
        <v/>
      </c>
      <c r="AI12" s="66" t="str">
        <f t="shared" si="8"/>
        <v/>
      </c>
      <c r="AJ12" s="66" t="str">
        <f t="shared" si="8"/>
        <v/>
      </c>
      <c r="AK12" s="66" t="str">
        <f t="shared" si="8"/>
        <v/>
      </c>
      <c r="AL12" s="66" t="str">
        <f t="shared" si="8"/>
        <v/>
      </c>
      <c r="AM12" s="66" t="str">
        <f t="shared" si="8"/>
        <v/>
      </c>
      <c r="AN12" s="66" t="str">
        <f t="shared" si="8"/>
        <v/>
      </c>
      <c r="AO12" s="66" t="str">
        <f t="shared" si="8"/>
        <v/>
      </c>
      <c r="AP12" s="66" t="str">
        <f t="shared" si="8"/>
        <v/>
      </c>
      <c r="AQ12" s="66" t="str">
        <f t="shared" si="8"/>
        <v/>
      </c>
      <c r="AR12" s="66" t="str">
        <f t="shared" si="8"/>
        <v/>
      </c>
      <c r="AS12" s="66" t="str">
        <f t="shared" si="8"/>
        <v/>
      </c>
      <c r="AT12" s="66" t="str">
        <f t="shared" si="8"/>
        <v/>
      </c>
      <c r="AU12" s="66" t="str">
        <f t="shared" si="8"/>
        <v/>
      </c>
      <c r="AV12" s="66" t="str">
        <f t="shared" si="8"/>
        <v/>
      </c>
      <c r="AW12" s="66" t="str">
        <f t="shared" si="8"/>
        <v/>
      </c>
      <c r="AX12" s="66" t="str">
        <f t="shared" si="8"/>
        <v/>
      </c>
      <c r="AY12" s="66" t="str">
        <f t="shared" si="8"/>
        <v/>
      </c>
      <c r="AZ12" s="66" t="str">
        <f t="shared" si="8"/>
        <v/>
      </c>
      <c r="BA12" s="66" t="str">
        <f t="shared" si="8"/>
        <v/>
      </c>
      <c r="BB12" s="66" t="str">
        <f t="shared" si="8"/>
        <v/>
      </c>
      <c r="BC12" s="66" t="str">
        <f t="shared" si="8"/>
        <v/>
      </c>
      <c r="BD12" s="66" t="str">
        <f t="shared" si="8"/>
        <v/>
      </c>
      <c r="BE12" s="66" t="str">
        <f t="shared" si="8"/>
        <v/>
      </c>
      <c r="BF12" s="66" t="str">
        <f t="shared" si="8"/>
        <v/>
      </c>
      <c r="BG12" s="66" t="str">
        <f t="shared" si="8"/>
        <v/>
      </c>
      <c r="BH12" s="66" t="str">
        <f t="shared" si="8"/>
        <v/>
      </c>
      <c r="BI12" s="66" t="str">
        <f t="shared" si="8"/>
        <v/>
      </c>
      <c r="BJ12" s="66" t="str">
        <f t="shared" si="8"/>
        <v/>
      </c>
      <c r="BK12" s="66" t="str">
        <f t="shared" si="8"/>
        <v/>
      </c>
      <c r="BL12" s="66" t="str">
        <f t="shared" si="8"/>
        <v/>
      </c>
      <c r="BM12" s="66" t="str">
        <f t="shared" si="8"/>
        <v/>
      </c>
      <c r="BN12" s="66" t="str">
        <f t="shared" si="8"/>
        <v/>
      </c>
      <c r="BO12" s="66" t="str">
        <f t="shared" ref="BO12:DZ12" si="9">IF(AND(BO7="",BO8="",BO9=""),"",IF(BO8="",BO22,(BO16-ABS(BO8))))</f>
        <v/>
      </c>
      <c r="BP12" s="66" t="str">
        <f t="shared" si="9"/>
        <v/>
      </c>
      <c r="BQ12" s="66" t="str">
        <f t="shared" si="9"/>
        <v/>
      </c>
      <c r="BR12" s="66" t="str">
        <f t="shared" si="9"/>
        <v/>
      </c>
      <c r="BS12" s="66" t="str">
        <f t="shared" si="9"/>
        <v/>
      </c>
      <c r="BT12" s="66" t="str">
        <f t="shared" si="9"/>
        <v/>
      </c>
      <c r="BU12" s="66" t="str">
        <f t="shared" si="9"/>
        <v/>
      </c>
      <c r="BV12" s="66" t="str">
        <f t="shared" si="9"/>
        <v/>
      </c>
      <c r="BW12" s="66" t="str">
        <f t="shared" si="9"/>
        <v/>
      </c>
      <c r="BX12" s="66" t="str">
        <f t="shared" si="9"/>
        <v/>
      </c>
      <c r="BY12" s="66" t="str">
        <f t="shared" si="9"/>
        <v/>
      </c>
      <c r="BZ12" s="66" t="str">
        <f t="shared" si="9"/>
        <v/>
      </c>
      <c r="CA12" s="66" t="str">
        <f t="shared" si="9"/>
        <v/>
      </c>
      <c r="CB12" s="66" t="str">
        <f t="shared" si="9"/>
        <v/>
      </c>
      <c r="CC12" s="66" t="str">
        <f t="shared" si="9"/>
        <v/>
      </c>
      <c r="CD12" s="66" t="str">
        <f t="shared" si="9"/>
        <v/>
      </c>
      <c r="CE12" s="66" t="str">
        <f t="shared" si="9"/>
        <v/>
      </c>
      <c r="CF12" s="66" t="str">
        <f t="shared" si="9"/>
        <v/>
      </c>
      <c r="CG12" s="66" t="str">
        <f t="shared" si="9"/>
        <v/>
      </c>
      <c r="CH12" s="66" t="str">
        <f t="shared" si="9"/>
        <v/>
      </c>
      <c r="CI12" s="66" t="str">
        <f t="shared" si="9"/>
        <v/>
      </c>
      <c r="CJ12" s="66" t="str">
        <f t="shared" si="9"/>
        <v/>
      </c>
      <c r="CK12" s="66" t="str">
        <f t="shared" si="9"/>
        <v/>
      </c>
      <c r="CL12" s="66" t="str">
        <f t="shared" si="9"/>
        <v/>
      </c>
      <c r="CM12" s="66" t="str">
        <f t="shared" si="9"/>
        <v/>
      </c>
      <c r="CN12" s="66" t="str">
        <f t="shared" si="9"/>
        <v/>
      </c>
      <c r="CO12" s="66" t="str">
        <f t="shared" si="9"/>
        <v/>
      </c>
      <c r="CP12" s="66" t="str">
        <f t="shared" si="9"/>
        <v/>
      </c>
      <c r="CQ12" s="66" t="str">
        <f t="shared" si="9"/>
        <v/>
      </c>
      <c r="CR12" s="66" t="str">
        <f t="shared" si="9"/>
        <v/>
      </c>
      <c r="CS12" s="66" t="str">
        <f t="shared" si="9"/>
        <v/>
      </c>
      <c r="CT12" s="66" t="str">
        <f t="shared" si="9"/>
        <v/>
      </c>
      <c r="CU12" s="66" t="str">
        <f t="shared" si="9"/>
        <v/>
      </c>
      <c r="CV12" s="66" t="str">
        <f t="shared" si="9"/>
        <v/>
      </c>
      <c r="CW12" s="66" t="str">
        <f t="shared" si="9"/>
        <v/>
      </c>
      <c r="CX12" s="66" t="str">
        <f t="shared" si="9"/>
        <v/>
      </c>
      <c r="CY12" s="66" t="str">
        <f t="shared" si="9"/>
        <v/>
      </c>
      <c r="CZ12" s="66" t="str">
        <f t="shared" si="9"/>
        <v/>
      </c>
      <c r="DA12" s="66" t="str">
        <f t="shared" si="9"/>
        <v/>
      </c>
      <c r="DB12" s="66" t="str">
        <f t="shared" si="9"/>
        <v/>
      </c>
      <c r="DC12" s="66" t="str">
        <f t="shared" si="9"/>
        <v/>
      </c>
      <c r="DD12" s="66" t="str">
        <f t="shared" si="9"/>
        <v/>
      </c>
      <c r="DE12" s="66" t="str">
        <f t="shared" si="9"/>
        <v/>
      </c>
      <c r="DF12" s="66" t="str">
        <f t="shared" si="9"/>
        <v/>
      </c>
      <c r="DG12" s="66" t="str">
        <f t="shared" si="9"/>
        <v/>
      </c>
      <c r="DH12" s="66" t="str">
        <f t="shared" si="9"/>
        <v/>
      </c>
      <c r="DI12" s="66" t="str">
        <f t="shared" si="9"/>
        <v/>
      </c>
      <c r="DJ12" s="66" t="str">
        <f t="shared" si="9"/>
        <v/>
      </c>
      <c r="DK12" s="66" t="str">
        <f t="shared" si="9"/>
        <v/>
      </c>
      <c r="DL12" s="66" t="str">
        <f t="shared" si="9"/>
        <v/>
      </c>
      <c r="DM12" s="66" t="str">
        <f t="shared" si="9"/>
        <v/>
      </c>
      <c r="DN12" s="66" t="str">
        <f t="shared" si="9"/>
        <v/>
      </c>
      <c r="DO12" s="66" t="str">
        <f t="shared" si="9"/>
        <v/>
      </c>
      <c r="DP12" s="66" t="str">
        <f t="shared" si="9"/>
        <v/>
      </c>
      <c r="DQ12" s="66" t="str">
        <f t="shared" si="9"/>
        <v/>
      </c>
      <c r="DR12" s="66" t="str">
        <f t="shared" si="9"/>
        <v/>
      </c>
      <c r="DS12" s="66" t="str">
        <f t="shared" si="9"/>
        <v/>
      </c>
      <c r="DT12" s="66" t="str">
        <f t="shared" si="9"/>
        <v/>
      </c>
      <c r="DU12" s="66" t="str">
        <f t="shared" si="9"/>
        <v/>
      </c>
      <c r="DV12" s="66" t="str">
        <f t="shared" si="9"/>
        <v/>
      </c>
      <c r="DW12" s="66" t="str">
        <f t="shared" si="9"/>
        <v/>
      </c>
      <c r="DX12" s="66" t="str">
        <f t="shared" si="9"/>
        <v/>
      </c>
      <c r="DY12" s="66" t="str">
        <f t="shared" si="9"/>
        <v/>
      </c>
      <c r="DZ12" s="66" t="str">
        <f t="shared" si="9"/>
        <v/>
      </c>
      <c r="EA12" s="66" t="str">
        <f t="shared" ref="EA12:GL12" si="10">IF(AND(EA7="",EA8="",EA9=""),"",IF(EA8="",EA22,(EA16-ABS(EA8))))</f>
        <v/>
      </c>
      <c r="EB12" s="66" t="str">
        <f t="shared" si="10"/>
        <v/>
      </c>
      <c r="EC12" s="66" t="str">
        <f t="shared" si="10"/>
        <v/>
      </c>
      <c r="ED12" s="66" t="str">
        <f t="shared" si="10"/>
        <v/>
      </c>
      <c r="EE12" s="66" t="str">
        <f t="shared" si="10"/>
        <v/>
      </c>
      <c r="EF12" s="66" t="str">
        <f t="shared" si="10"/>
        <v/>
      </c>
      <c r="EG12" s="66" t="str">
        <f t="shared" si="10"/>
        <v/>
      </c>
      <c r="EH12" s="66" t="str">
        <f t="shared" si="10"/>
        <v/>
      </c>
      <c r="EI12" s="66" t="str">
        <f t="shared" si="10"/>
        <v/>
      </c>
      <c r="EJ12" s="66" t="str">
        <f t="shared" si="10"/>
        <v/>
      </c>
      <c r="EK12" s="66" t="str">
        <f t="shared" si="10"/>
        <v/>
      </c>
      <c r="EL12" s="66" t="str">
        <f t="shared" si="10"/>
        <v/>
      </c>
      <c r="EM12" s="66" t="str">
        <f t="shared" si="10"/>
        <v/>
      </c>
      <c r="EN12" s="66" t="str">
        <f t="shared" si="10"/>
        <v/>
      </c>
      <c r="EO12" s="66" t="str">
        <f t="shared" si="10"/>
        <v/>
      </c>
      <c r="EP12" s="66" t="str">
        <f t="shared" si="10"/>
        <v/>
      </c>
      <c r="EQ12" s="66" t="str">
        <f t="shared" si="10"/>
        <v/>
      </c>
      <c r="ER12" s="66" t="str">
        <f t="shared" si="10"/>
        <v/>
      </c>
      <c r="ES12" s="66" t="str">
        <f t="shared" si="10"/>
        <v/>
      </c>
      <c r="ET12" s="66" t="str">
        <f t="shared" si="10"/>
        <v/>
      </c>
      <c r="EU12" s="66" t="str">
        <f t="shared" si="10"/>
        <v/>
      </c>
      <c r="EV12" s="66" t="str">
        <f t="shared" si="10"/>
        <v/>
      </c>
      <c r="EW12" s="66" t="str">
        <f t="shared" si="10"/>
        <v/>
      </c>
      <c r="EX12" s="66" t="str">
        <f t="shared" si="10"/>
        <v/>
      </c>
      <c r="EY12" s="66" t="str">
        <f t="shared" si="10"/>
        <v/>
      </c>
      <c r="EZ12" s="66" t="str">
        <f t="shared" si="10"/>
        <v/>
      </c>
      <c r="FA12" s="66" t="str">
        <f t="shared" si="10"/>
        <v/>
      </c>
      <c r="FB12" s="66" t="str">
        <f t="shared" si="10"/>
        <v/>
      </c>
      <c r="FC12" s="66" t="str">
        <f t="shared" si="10"/>
        <v/>
      </c>
      <c r="FD12" s="66" t="str">
        <f t="shared" si="10"/>
        <v/>
      </c>
      <c r="FE12" s="66" t="str">
        <f t="shared" si="10"/>
        <v/>
      </c>
      <c r="FF12" s="66" t="str">
        <f t="shared" si="10"/>
        <v/>
      </c>
      <c r="FG12" s="66" t="str">
        <f t="shared" si="10"/>
        <v/>
      </c>
      <c r="FH12" s="66" t="str">
        <f t="shared" si="10"/>
        <v/>
      </c>
      <c r="FI12" s="66" t="str">
        <f t="shared" si="10"/>
        <v/>
      </c>
      <c r="FJ12" s="66" t="str">
        <f t="shared" si="10"/>
        <v/>
      </c>
      <c r="FK12" s="66" t="str">
        <f t="shared" si="10"/>
        <v/>
      </c>
      <c r="FL12" s="66" t="str">
        <f t="shared" si="10"/>
        <v/>
      </c>
      <c r="FM12" s="66" t="str">
        <f t="shared" si="10"/>
        <v/>
      </c>
      <c r="FN12" s="66" t="str">
        <f t="shared" si="10"/>
        <v/>
      </c>
      <c r="FO12" s="66" t="str">
        <f t="shared" si="10"/>
        <v/>
      </c>
      <c r="FP12" s="66" t="str">
        <f t="shared" si="10"/>
        <v/>
      </c>
      <c r="FQ12" s="66" t="str">
        <f t="shared" si="10"/>
        <v/>
      </c>
      <c r="FR12" s="66" t="str">
        <f t="shared" si="10"/>
        <v/>
      </c>
      <c r="FS12" s="66" t="str">
        <f t="shared" si="10"/>
        <v/>
      </c>
      <c r="FT12" s="66" t="str">
        <f t="shared" si="10"/>
        <v/>
      </c>
      <c r="FU12" s="66" t="str">
        <f t="shared" si="10"/>
        <v/>
      </c>
      <c r="FV12" s="66" t="str">
        <f t="shared" si="10"/>
        <v/>
      </c>
      <c r="FW12" s="66" t="str">
        <f t="shared" si="10"/>
        <v/>
      </c>
      <c r="FX12" s="66" t="str">
        <f t="shared" si="10"/>
        <v/>
      </c>
      <c r="FY12" s="66" t="str">
        <f t="shared" si="10"/>
        <v/>
      </c>
      <c r="FZ12" s="66" t="str">
        <f t="shared" si="10"/>
        <v/>
      </c>
      <c r="GA12" s="66" t="str">
        <f t="shared" si="10"/>
        <v/>
      </c>
      <c r="GB12" s="66" t="str">
        <f t="shared" si="10"/>
        <v/>
      </c>
      <c r="GC12" s="66" t="str">
        <f t="shared" si="10"/>
        <v/>
      </c>
      <c r="GD12" s="66" t="str">
        <f t="shared" si="10"/>
        <v/>
      </c>
      <c r="GE12" s="66" t="str">
        <f t="shared" si="10"/>
        <v/>
      </c>
      <c r="GF12" s="66" t="str">
        <f t="shared" si="10"/>
        <v/>
      </c>
      <c r="GG12" s="66" t="str">
        <f t="shared" si="10"/>
        <v/>
      </c>
      <c r="GH12" s="66" t="str">
        <f t="shared" si="10"/>
        <v/>
      </c>
      <c r="GI12" s="66" t="str">
        <f t="shared" si="10"/>
        <v/>
      </c>
      <c r="GJ12" s="66" t="str">
        <f t="shared" si="10"/>
        <v/>
      </c>
      <c r="GK12" s="66" t="str">
        <f t="shared" si="10"/>
        <v/>
      </c>
      <c r="GL12" s="66" t="str">
        <f t="shared" si="10"/>
        <v/>
      </c>
      <c r="GM12" s="66" t="str">
        <f t="shared" ref="GM12:IV12" si="11">IF(AND(GM7="",GM8="",GM9=""),"",IF(GM8="",GM22,(GM16-ABS(GM8))))</f>
        <v/>
      </c>
      <c r="GN12" s="66" t="str">
        <f t="shared" si="11"/>
        <v/>
      </c>
      <c r="GO12" s="66" t="str">
        <f t="shared" si="11"/>
        <v/>
      </c>
      <c r="GP12" s="66" t="str">
        <f t="shared" si="11"/>
        <v/>
      </c>
      <c r="GQ12" s="66" t="str">
        <f t="shared" si="11"/>
        <v/>
      </c>
      <c r="GR12" s="66" t="str">
        <f t="shared" si="11"/>
        <v/>
      </c>
      <c r="GS12" s="66" t="str">
        <f t="shared" si="11"/>
        <v/>
      </c>
      <c r="GT12" s="66" t="str">
        <f t="shared" si="11"/>
        <v/>
      </c>
      <c r="GU12" s="66" t="str">
        <f t="shared" si="11"/>
        <v/>
      </c>
      <c r="GV12" s="66" t="str">
        <f t="shared" si="11"/>
        <v/>
      </c>
      <c r="GW12" s="66" t="str">
        <f t="shared" si="11"/>
        <v/>
      </c>
      <c r="GX12" s="66" t="str">
        <f t="shared" si="11"/>
        <v/>
      </c>
      <c r="GY12" s="66" t="str">
        <f t="shared" si="11"/>
        <v/>
      </c>
      <c r="GZ12" s="66" t="str">
        <f t="shared" si="11"/>
        <v/>
      </c>
      <c r="HA12" s="66" t="str">
        <f t="shared" si="11"/>
        <v/>
      </c>
      <c r="HB12" s="66" t="str">
        <f t="shared" si="11"/>
        <v/>
      </c>
      <c r="HC12" s="66" t="str">
        <f t="shared" si="11"/>
        <v/>
      </c>
      <c r="HD12" s="66" t="str">
        <f t="shared" si="11"/>
        <v/>
      </c>
      <c r="HE12" s="66" t="str">
        <f t="shared" si="11"/>
        <v/>
      </c>
      <c r="HF12" s="66" t="str">
        <f t="shared" si="11"/>
        <v/>
      </c>
      <c r="HG12" s="66" t="str">
        <f t="shared" si="11"/>
        <v/>
      </c>
      <c r="HH12" s="66" t="str">
        <f t="shared" si="11"/>
        <v/>
      </c>
      <c r="HI12" s="66" t="str">
        <f t="shared" si="11"/>
        <v/>
      </c>
      <c r="HJ12" s="66" t="str">
        <f t="shared" si="11"/>
        <v/>
      </c>
      <c r="HK12" s="66" t="str">
        <f t="shared" si="11"/>
        <v/>
      </c>
      <c r="HL12" s="66" t="str">
        <f t="shared" si="11"/>
        <v/>
      </c>
      <c r="HM12" s="66" t="str">
        <f t="shared" si="11"/>
        <v/>
      </c>
      <c r="HN12" s="66" t="str">
        <f t="shared" si="11"/>
        <v/>
      </c>
      <c r="HO12" s="66" t="str">
        <f t="shared" si="11"/>
        <v/>
      </c>
      <c r="HP12" s="66" t="str">
        <f t="shared" si="11"/>
        <v/>
      </c>
      <c r="HQ12" s="66" t="str">
        <f t="shared" si="11"/>
        <v/>
      </c>
      <c r="HR12" s="66" t="str">
        <f t="shared" si="11"/>
        <v/>
      </c>
      <c r="HS12" s="66" t="str">
        <f t="shared" si="11"/>
        <v/>
      </c>
      <c r="HT12" s="66" t="str">
        <f t="shared" si="11"/>
        <v/>
      </c>
      <c r="HU12" s="66" t="str">
        <f t="shared" si="11"/>
        <v/>
      </c>
      <c r="HV12" s="66" t="str">
        <f t="shared" si="11"/>
        <v/>
      </c>
      <c r="HW12" s="66" t="str">
        <f t="shared" si="11"/>
        <v/>
      </c>
      <c r="HX12" s="66" t="str">
        <f t="shared" si="11"/>
        <v/>
      </c>
      <c r="HY12" s="66" t="str">
        <f t="shared" si="11"/>
        <v/>
      </c>
      <c r="HZ12" s="66" t="str">
        <f t="shared" si="11"/>
        <v/>
      </c>
      <c r="IA12" s="66" t="str">
        <f t="shared" si="11"/>
        <v/>
      </c>
      <c r="IB12" s="66" t="str">
        <f t="shared" si="11"/>
        <v/>
      </c>
      <c r="IC12" s="66" t="str">
        <f t="shared" si="11"/>
        <v/>
      </c>
      <c r="ID12" s="66" t="str">
        <f t="shared" si="11"/>
        <v/>
      </c>
      <c r="IE12" s="66" t="str">
        <f t="shared" si="11"/>
        <v/>
      </c>
      <c r="IF12" s="66" t="str">
        <f t="shared" si="11"/>
        <v/>
      </c>
      <c r="IG12" s="66" t="str">
        <f t="shared" si="11"/>
        <v/>
      </c>
      <c r="IH12" s="66" t="str">
        <f t="shared" si="11"/>
        <v/>
      </c>
      <c r="II12" s="66" t="str">
        <f t="shared" si="11"/>
        <v/>
      </c>
      <c r="IJ12" s="66" t="str">
        <f t="shared" si="11"/>
        <v/>
      </c>
      <c r="IK12" s="66" t="str">
        <f t="shared" si="11"/>
        <v/>
      </c>
      <c r="IL12" s="66" t="str">
        <f t="shared" si="11"/>
        <v/>
      </c>
      <c r="IM12" s="66" t="str">
        <f t="shared" si="11"/>
        <v/>
      </c>
      <c r="IN12" s="66" t="str">
        <f t="shared" si="11"/>
        <v/>
      </c>
      <c r="IO12" s="66" t="str">
        <f t="shared" si="11"/>
        <v/>
      </c>
      <c r="IP12" s="66" t="str">
        <f t="shared" si="11"/>
        <v/>
      </c>
      <c r="IQ12" s="66" t="str">
        <f t="shared" si="11"/>
        <v/>
      </c>
      <c r="IR12" s="66" t="str">
        <f t="shared" si="11"/>
        <v/>
      </c>
      <c r="IS12" s="66" t="str">
        <f t="shared" si="11"/>
        <v/>
      </c>
      <c r="IT12" s="66" t="str">
        <f t="shared" si="11"/>
        <v/>
      </c>
      <c r="IU12" s="66" t="str">
        <f t="shared" si="11"/>
        <v/>
      </c>
      <c r="IV12" s="133" t="str">
        <f t="shared" si="11"/>
        <v/>
      </c>
    </row>
    <row r="13" spans="1:256" s="61" customFormat="1" ht="12.75" customHeight="1">
      <c r="A13" s="1"/>
      <c r="B13" s="50" t="s">
        <v>71</v>
      </c>
      <c r="C13" s="111" t="str">
        <f>IF(AND(C7="",C8="",C9=""),"",IF(C14="DoubleSides",NORMSDIST((C11-C10)/C23)-NORMSDIST((C12-C10)/C23),IF(C14="SingleSide-USL",NORMSDIST((C11-C10)/C23),IF(C14="SingleSide-LSL",1-NORMSDIST((C12-C10)/C23),IF(C14="Actual Yield (n&gt;=100)",IF(COUNT(C35:C65536)&gt;=100,(COUNTIF(C35:C65536,"&lt;="&amp;C11)-COUNTIF(C35:C65536,"&lt;"&amp;C12))/COUNT(C35:C65536),"Too Few Records"),IF(C14="Go/NoGo Gauge (n&gt;=100)",IF(COUNTA(C35:C65536)&gt;=100,COUNTIF(C35:C65536,"OK")/COUNTA(C35:C65536),"Too Few Records"),"Error"))))))</f>
        <v/>
      </c>
      <c r="D13" s="111" t="str">
        <f t="shared" ref="D13:BO13" si="12">IF(AND(D7="",D8="",D9=""),"",IF(D14="DoubleSides",NORMSDIST((D11-D10)/D23)-NORMSDIST((D12-D10)/D23),IF(D14="SingleSide-USL",NORMSDIST((D11-D10)/D23),IF(D14="SingleSide-LSL",1-NORMSDIST((D12-D10)/D23),IF(D14="Actual Yield (n&gt;=100)",IF(COUNT(D35:D65536)&gt;=100,(COUNTIF(D35:D65536,"&lt;="&amp;D11)-COUNTIF(D35:D65536,"&lt;"&amp;D12))/COUNT(D35:D65536),"Too Few Records"),IF(D14="Go/NoGo Gauge (n&gt;=100)",IF(COUNTA(D35:D65536)&gt;=100,COUNTIF(D35:D65536,"OK")/COUNTA(D35:D65536),"Too Few Records"),"Error"))))))</f>
        <v/>
      </c>
      <c r="E13" s="111" t="str">
        <f t="shared" si="12"/>
        <v/>
      </c>
      <c r="F13" s="111" t="str">
        <f t="shared" si="12"/>
        <v/>
      </c>
      <c r="G13" s="111" t="str">
        <f t="shared" si="12"/>
        <v/>
      </c>
      <c r="H13" s="111" t="str">
        <f t="shared" si="12"/>
        <v/>
      </c>
      <c r="I13" s="111" t="str">
        <f t="shared" si="12"/>
        <v/>
      </c>
      <c r="J13" s="111" t="str">
        <f t="shared" si="12"/>
        <v/>
      </c>
      <c r="K13" s="111" t="str">
        <f t="shared" si="12"/>
        <v/>
      </c>
      <c r="L13" s="111" t="str">
        <f t="shared" si="12"/>
        <v/>
      </c>
      <c r="M13" s="111" t="str">
        <f t="shared" si="12"/>
        <v/>
      </c>
      <c r="N13" s="111" t="str">
        <f t="shared" si="12"/>
        <v/>
      </c>
      <c r="O13" s="111" t="str">
        <f t="shared" si="12"/>
        <v/>
      </c>
      <c r="P13" s="111" t="str">
        <f t="shared" si="12"/>
        <v/>
      </c>
      <c r="Q13" s="111" t="str">
        <f t="shared" si="12"/>
        <v/>
      </c>
      <c r="R13" s="111" t="str">
        <f t="shared" si="12"/>
        <v/>
      </c>
      <c r="S13" s="111" t="str">
        <f t="shared" si="12"/>
        <v/>
      </c>
      <c r="T13" s="111" t="str">
        <f t="shared" si="12"/>
        <v/>
      </c>
      <c r="U13" s="111" t="str">
        <f t="shared" si="12"/>
        <v/>
      </c>
      <c r="V13" s="111" t="str">
        <f t="shared" si="12"/>
        <v/>
      </c>
      <c r="W13" s="111" t="str">
        <f t="shared" si="12"/>
        <v/>
      </c>
      <c r="X13" s="111" t="str">
        <f t="shared" si="12"/>
        <v/>
      </c>
      <c r="Y13" s="111" t="str">
        <f t="shared" si="12"/>
        <v/>
      </c>
      <c r="Z13" s="111" t="str">
        <f t="shared" si="12"/>
        <v/>
      </c>
      <c r="AA13" s="66" t="str">
        <f t="shared" si="12"/>
        <v/>
      </c>
      <c r="AB13" s="66" t="str">
        <f t="shared" si="12"/>
        <v/>
      </c>
      <c r="AC13" s="66" t="str">
        <f t="shared" si="12"/>
        <v/>
      </c>
      <c r="AD13" s="66" t="str">
        <f t="shared" si="12"/>
        <v/>
      </c>
      <c r="AE13" s="66" t="str">
        <f t="shared" si="12"/>
        <v/>
      </c>
      <c r="AF13" s="66" t="str">
        <f t="shared" si="12"/>
        <v/>
      </c>
      <c r="AG13" s="66" t="str">
        <f t="shared" si="12"/>
        <v/>
      </c>
      <c r="AH13" s="66" t="str">
        <f t="shared" si="12"/>
        <v/>
      </c>
      <c r="AI13" s="66" t="str">
        <f t="shared" si="12"/>
        <v/>
      </c>
      <c r="AJ13" s="66" t="str">
        <f t="shared" si="12"/>
        <v/>
      </c>
      <c r="AK13" s="66" t="str">
        <f t="shared" si="12"/>
        <v/>
      </c>
      <c r="AL13" s="66" t="str">
        <f t="shared" si="12"/>
        <v/>
      </c>
      <c r="AM13" s="66" t="str">
        <f t="shared" si="12"/>
        <v/>
      </c>
      <c r="AN13" s="66" t="str">
        <f t="shared" si="12"/>
        <v/>
      </c>
      <c r="AO13" s="66" t="str">
        <f t="shared" si="12"/>
        <v/>
      </c>
      <c r="AP13" s="66" t="str">
        <f t="shared" si="12"/>
        <v/>
      </c>
      <c r="AQ13" s="66" t="str">
        <f t="shared" si="12"/>
        <v/>
      </c>
      <c r="AR13" s="66" t="str">
        <f t="shared" si="12"/>
        <v/>
      </c>
      <c r="AS13" s="66" t="str">
        <f t="shared" si="12"/>
        <v/>
      </c>
      <c r="AT13" s="66" t="str">
        <f t="shared" si="12"/>
        <v/>
      </c>
      <c r="AU13" s="66" t="str">
        <f t="shared" si="12"/>
        <v/>
      </c>
      <c r="AV13" s="66" t="str">
        <f t="shared" si="12"/>
        <v/>
      </c>
      <c r="AW13" s="66" t="str">
        <f t="shared" si="12"/>
        <v/>
      </c>
      <c r="AX13" s="66" t="str">
        <f t="shared" si="12"/>
        <v/>
      </c>
      <c r="AY13" s="66" t="str">
        <f t="shared" si="12"/>
        <v/>
      </c>
      <c r="AZ13" s="66" t="str">
        <f t="shared" si="12"/>
        <v/>
      </c>
      <c r="BA13" s="66" t="str">
        <f t="shared" si="12"/>
        <v/>
      </c>
      <c r="BB13" s="66" t="str">
        <f t="shared" si="12"/>
        <v/>
      </c>
      <c r="BC13" s="66" t="str">
        <f t="shared" si="12"/>
        <v/>
      </c>
      <c r="BD13" s="66" t="str">
        <f t="shared" si="12"/>
        <v/>
      </c>
      <c r="BE13" s="66" t="str">
        <f t="shared" si="12"/>
        <v/>
      </c>
      <c r="BF13" s="66" t="str">
        <f t="shared" si="12"/>
        <v/>
      </c>
      <c r="BG13" s="66" t="str">
        <f t="shared" si="12"/>
        <v/>
      </c>
      <c r="BH13" s="66" t="str">
        <f t="shared" si="12"/>
        <v/>
      </c>
      <c r="BI13" s="66" t="str">
        <f t="shared" si="12"/>
        <v/>
      </c>
      <c r="BJ13" s="66" t="str">
        <f t="shared" si="12"/>
        <v/>
      </c>
      <c r="BK13" s="66" t="str">
        <f t="shared" si="12"/>
        <v/>
      </c>
      <c r="BL13" s="66" t="str">
        <f t="shared" si="12"/>
        <v/>
      </c>
      <c r="BM13" s="66" t="str">
        <f t="shared" si="12"/>
        <v/>
      </c>
      <c r="BN13" s="66" t="str">
        <f t="shared" si="12"/>
        <v/>
      </c>
      <c r="BO13" s="66" t="str">
        <f t="shared" si="12"/>
        <v/>
      </c>
      <c r="BP13" s="66" t="str">
        <f t="shared" ref="BP13:EA13" si="13">IF(AND(BP7="",BP8="",BP9=""),"",IF(BP14="DoubleSides",NORMSDIST((BP11-BP10)/BP23)-NORMSDIST((BP12-BP10)/BP23),IF(BP14="SingleSide-USL",NORMSDIST((BP11-BP10)/BP23),IF(BP14="SingleSide-LSL",1-NORMSDIST((BP12-BP10)/BP23),IF(BP14="Actual Yield (n&gt;=100)",IF(COUNT(BP35:BP65536)&gt;=100,(COUNTIF(BP35:BP65536,"&lt;="&amp;BP11)-COUNTIF(BP35:BP65536,"&lt;"&amp;BP12))/COUNT(BP35:BP65536),"Too Few Records"),IF(BP14="Go/NoGo Gauge (n&gt;=100)",IF(COUNTA(BP35:BP65536)&gt;=100,COUNTIF(BP35:BP65536,"OK")/COUNTA(BP35:BP65536),"Too Few Records"),"Error"))))))</f>
        <v/>
      </c>
      <c r="BQ13" s="66" t="str">
        <f t="shared" si="13"/>
        <v/>
      </c>
      <c r="BR13" s="66" t="str">
        <f t="shared" si="13"/>
        <v/>
      </c>
      <c r="BS13" s="66" t="str">
        <f t="shared" si="13"/>
        <v/>
      </c>
      <c r="BT13" s="66" t="str">
        <f t="shared" si="13"/>
        <v/>
      </c>
      <c r="BU13" s="66" t="str">
        <f t="shared" si="13"/>
        <v/>
      </c>
      <c r="BV13" s="66" t="str">
        <f t="shared" si="13"/>
        <v/>
      </c>
      <c r="BW13" s="66" t="str">
        <f t="shared" si="13"/>
        <v/>
      </c>
      <c r="BX13" s="66" t="str">
        <f t="shared" si="13"/>
        <v/>
      </c>
      <c r="BY13" s="66" t="str">
        <f t="shared" si="13"/>
        <v/>
      </c>
      <c r="BZ13" s="66" t="str">
        <f t="shared" si="13"/>
        <v/>
      </c>
      <c r="CA13" s="66" t="str">
        <f t="shared" si="13"/>
        <v/>
      </c>
      <c r="CB13" s="66" t="str">
        <f t="shared" si="13"/>
        <v/>
      </c>
      <c r="CC13" s="66" t="str">
        <f t="shared" si="13"/>
        <v/>
      </c>
      <c r="CD13" s="66" t="str">
        <f t="shared" si="13"/>
        <v/>
      </c>
      <c r="CE13" s="66" t="str">
        <f t="shared" si="13"/>
        <v/>
      </c>
      <c r="CF13" s="66" t="str">
        <f t="shared" si="13"/>
        <v/>
      </c>
      <c r="CG13" s="66" t="str">
        <f t="shared" si="13"/>
        <v/>
      </c>
      <c r="CH13" s="66" t="str">
        <f t="shared" si="13"/>
        <v/>
      </c>
      <c r="CI13" s="66" t="str">
        <f t="shared" si="13"/>
        <v/>
      </c>
      <c r="CJ13" s="66" t="str">
        <f t="shared" si="13"/>
        <v/>
      </c>
      <c r="CK13" s="66" t="str">
        <f t="shared" si="13"/>
        <v/>
      </c>
      <c r="CL13" s="66" t="str">
        <f t="shared" si="13"/>
        <v/>
      </c>
      <c r="CM13" s="66" t="str">
        <f t="shared" si="13"/>
        <v/>
      </c>
      <c r="CN13" s="66" t="str">
        <f t="shared" si="13"/>
        <v/>
      </c>
      <c r="CO13" s="66" t="str">
        <f t="shared" si="13"/>
        <v/>
      </c>
      <c r="CP13" s="66" t="str">
        <f t="shared" si="13"/>
        <v/>
      </c>
      <c r="CQ13" s="66" t="str">
        <f t="shared" si="13"/>
        <v/>
      </c>
      <c r="CR13" s="66" t="str">
        <f t="shared" si="13"/>
        <v/>
      </c>
      <c r="CS13" s="66" t="str">
        <f t="shared" si="13"/>
        <v/>
      </c>
      <c r="CT13" s="66" t="str">
        <f t="shared" si="13"/>
        <v/>
      </c>
      <c r="CU13" s="66" t="str">
        <f t="shared" si="13"/>
        <v/>
      </c>
      <c r="CV13" s="66" t="str">
        <f t="shared" si="13"/>
        <v/>
      </c>
      <c r="CW13" s="66" t="str">
        <f t="shared" si="13"/>
        <v/>
      </c>
      <c r="CX13" s="66" t="str">
        <f t="shared" si="13"/>
        <v/>
      </c>
      <c r="CY13" s="66" t="str">
        <f t="shared" si="13"/>
        <v/>
      </c>
      <c r="CZ13" s="66" t="str">
        <f t="shared" si="13"/>
        <v/>
      </c>
      <c r="DA13" s="66" t="str">
        <f t="shared" si="13"/>
        <v/>
      </c>
      <c r="DB13" s="66" t="str">
        <f t="shared" si="13"/>
        <v/>
      </c>
      <c r="DC13" s="66" t="str">
        <f t="shared" si="13"/>
        <v/>
      </c>
      <c r="DD13" s="66" t="str">
        <f t="shared" si="13"/>
        <v/>
      </c>
      <c r="DE13" s="66" t="str">
        <f t="shared" si="13"/>
        <v/>
      </c>
      <c r="DF13" s="66" t="str">
        <f t="shared" si="13"/>
        <v/>
      </c>
      <c r="DG13" s="66" t="str">
        <f t="shared" si="13"/>
        <v/>
      </c>
      <c r="DH13" s="66" t="str">
        <f t="shared" si="13"/>
        <v/>
      </c>
      <c r="DI13" s="66" t="str">
        <f t="shared" si="13"/>
        <v/>
      </c>
      <c r="DJ13" s="66" t="str">
        <f t="shared" si="13"/>
        <v/>
      </c>
      <c r="DK13" s="66" t="str">
        <f t="shared" si="13"/>
        <v/>
      </c>
      <c r="DL13" s="66" t="str">
        <f t="shared" si="13"/>
        <v/>
      </c>
      <c r="DM13" s="66" t="str">
        <f t="shared" si="13"/>
        <v/>
      </c>
      <c r="DN13" s="66" t="str">
        <f t="shared" si="13"/>
        <v/>
      </c>
      <c r="DO13" s="66" t="str">
        <f t="shared" si="13"/>
        <v/>
      </c>
      <c r="DP13" s="66" t="str">
        <f t="shared" si="13"/>
        <v/>
      </c>
      <c r="DQ13" s="66" t="str">
        <f t="shared" si="13"/>
        <v/>
      </c>
      <c r="DR13" s="66" t="str">
        <f t="shared" si="13"/>
        <v/>
      </c>
      <c r="DS13" s="66" t="str">
        <f t="shared" si="13"/>
        <v/>
      </c>
      <c r="DT13" s="66" t="str">
        <f t="shared" si="13"/>
        <v/>
      </c>
      <c r="DU13" s="66" t="str">
        <f t="shared" si="13"/>
        <v/>
      </c>
      <c r="DV13" s="66" t="str">
        <f t="shared" si="13"/>
        <v/>
      </c>
      <c r="DW13" s="66" t="str">
        <f t="shared" si="13"/>
        <v/>
      </c>
      <c r="DX13" s="66" t="str">
        <f t="shared" si="13"/>
        <v/>
      </c>
      <c r="DY13" s="66" t="str">
        <f t="shared" si="13"/>
        <v/>
      </c>
      <c r="DZ13" s="66" t="str">
        <f t="shared" si="13"/>
        <v/>
      </c>
      <c r="EA13" s="66" t="str">
        <f t="shared" si="13"/>
        <v/>
      </c>
      <c r="EB13" s="66" t="str">
        <f t="shared" ref="EB13:GM13" si="14">IF(AND(EB7="",EB8="",EB9=""),"",IF(EB14="DoubleSides",NORMSDIST((EB11-EB10)/EB23)-NORMSDIST((EB12-EB10)/EB23),IF(EB14="SingleSide-USL",NORMSDIST((EB11-EB10)/EB23),IF(EB14="SingleSide-LSL",1-NORMSDIST((EB12-EB10)/EB23),IF(EB14="Actual Yield (n&gt;=100)",IF(COUNT(EB35:EB65536)&gt;=100,(COUNTIF(EB35:EB65536,"&lt;="&amp;EB11)-COUNTIF(EB35:EB65536,"&lt;"&amp;EB12))/COUNT(EB35:EB65536),"Too Few Records"),IF(EB14="Go/NoGo Gauge (n&gt;=100)",IF(COUNTA(EB35:EB65536)&gt;=100,COUNTIF(EB35:EB65536,"OK")/COUNTA(EB35:EB65536),"Too Few Records"),"Error"))))))</f>
        <v/>
      </c>
      <c r="EC13" s="66" t="str">
        <f t="shared" si="14"/>
        <v/>
      </c>
      <c r="ED13" s="66" t="str">
        <f t="shared" si="14"/>
        <v/>
      </c>
      <c r="EE13" s="66" t="str">
        <f t="shared" si="14"/>
        <v/>
      </c>
      <c r="EF13" s="66" t="str">
        <f t="shared" si="14"/>
        <v/>
      </c>
      <c r="EG13" s="66" t="str">
        <f t="shared" si="14"/>
        <v/>
      </c>
      <c r="EH13" s="66" t="str">
        <f t="shared" si="14"/>
        <v/>
      </c>
      <c r="EI13" s="66" t="str">
        <f t="shared" si="14"/>
        <v/>
      </c>
      <c r="EJ13" s="66" t="str">
        <f t="shared" si="14"/>
        <v/>
      </c>
      <c r="EK13" s="66" t="str">
        <f t="shared" si="14"/>
        <v/>
      </c>
      <c r="EL13" s="66" t="str">
        <f t="shared" si="14"/>
        <v/>
      </c>
      <c r="EM13" s="66" t="str">
        <f t="shared" si="14"/>
        <v/>
      </c>
      <c r="EN13" s="66" t="str">
        <f t="shared" si="14"/>
        <v/>
      </c>
      <c r="EO13" s="66" t="str">
        <f t="shared" si="14"/>
        <v/>
      </c>
      <c r="EP13" s="66" t="str">
        <f t="shared" si="14"/>
        <v/>
      </c>
      <c r="EQ13" s="66" t="str">
        <f t="shared" si="14"/>
        <v/>
      </c>
      <c r="ER13" s="66" t="str">
        <f t="shared" si="14"/>
        <v/>
      </c>
      <c r="ES13" s="66" t="str">
        <f t="shared" si="14"/>
        <v/>
      </c>
      <c r="ET13" s="66" t="str">
        <f t="shared" si="14"/>
        <v/>
      </c>
      <c r="EU13" s="66" t="str">
        <f t="shared" si="14"/>
        <v/>
      </c>
      <c r="EV13" s="66" t="str">
        <f t="shared" si="14"/>
        <v/>
      </c>
      <c r="EW13" s="66" t="str">
        <f t="shared" si="14"/>
        <v/>
      </c>
      <c r="EX13" s="66" t="str">
        <f t="shared" si="14"/>
        <v/>
      </c>
      <c r="EY13" s="66" t="str">
        <f t="shared" si="14"/>
        <v/>
      </c>
      <c r="EZ13" s="66" t="str">
        <f t="shared" si="14"/>
        <v/>
      </c>
      <c r="FA13" s="66" t="str">
        <f t="shared" si="14"/>
        <v/>
      </c>
      <c r="FB13" s="66" t="str">
        <f t="shared" si="14"/>
        <v/>
      </c>
      <c r="FC13" s="66" t="str">
        <f t="shared" si="14"/>
        <v/>
      </c>
      <c r="FD13" s="66" t="str">
        <f t="shared" si="14"/>
        <v/>
      </c>
      <c r="FE13" s="66" t="str">
        <f t="shared" si="14"/>
        <v/>
      </c>
      <c r="FF13" s="66" t="str">
        <f t="shared" si="14"/>
        <v/>
      </c>
      <c r="FG13" s="66" t="str">
        <f t="shared" si="14"/>
        <v/>
      </c>
      <c r="FH13" s="66" t="str">
        <f t="shared" si="14"/>
        <v/>
      </c>
      <c r="FI13" s="66" t="str">
        <f t="shared" si="14"/>
        <v/>
      </c>
      <c r="FJ13" s="66" t="str">
        <f t="shared" si="14"/>
        <v/>
      </c>
      <c r="FK13" s="66" t="str">
        <f t="shared" si="14"/>
        <v/>
      </c>
      <c r="FL13" s="66" t="str">
        <f t="shared" si="14"/>
        <v/>
      </c>
      <c r="FM13" s="66" t="str">
        <f t="shared" si="14"/>
        <v/>
      </c>
      <c r="FN13" s="66" t="str">
        <f t="shared" si="14"/>
        <v/>
      </c>
      <c r="FO13" s="66" t="str">
        <f t="shared" si="14"/>
        <v/>
      </c>
      <c r="FP13" s="66" t="str">
        <f t="shared" si="14"/>
        <v/>
      </c>
      <c r="FQ13" s="66" t="str">
        <f t="shared" si="14"/>
        <v/>
      </c>
      <c r="FR13" s="66" t="str">
        <f t="shared" si="14"/>
        <v/>
      </c>
      <c r="FS13" s="66" t="str">
        <f t="shared" si="14"/>
        <v/>
      </c>
      <c r="FT13" s="66" t="str">
        <f t="shared" si="14"/>
        <v/>
      </c>
      <c r="FU13" s="66" t="str">
        <f t="shared" si="14"/>
        <v/>
      </c>
      <c r="FV13" s="66" t="str">
        <f t="shared" si="14"/>
        <v/>
      </c>
      <c r="FW13" s="66" t="str">
        <f t="shared" si="14"/>
        <v/>
      </c>
      <c r="FX13" s="66" t="str">
        <f t="shared" si="14"/>
        <v/>
      </c>
      <c r="FY13" s="66" t="str">
        <f t="shared" si="14"/>
        <v/>
      </c>
      <c r="FZ13" s="66" t="str">
        <f t="shared" si="14"/>
        <v/>
      </c>
      <c r="GA13" s="66" t="str">
        <f t="shared" si="14"/>
        <v/>
      </c>
      <c r="GB13" s="66" t="str">
        <f t="shared" si="14"/>
        <v/>
      </c>
      <c r="GC13" s="66" t="str">
        <f t="shared" si="14"/>
        <v/>
      </c>
      <c r="GD13" s="66" t="str">
        <f t="shared" si="14"/>
        <v/>
      </c>
      <c r="GE13" s="66" t="str">
        <f t="shared" si="14"/>
        <v/>
      </c>
      <c r="GF13" s="66" t="str">
        <f t="shared" si="14"/>
        <v/>
      </c>
      <c r="GG13" s="66" t="str">
        <f t="shared" si="14"/>
        <v/>
      </c>
      <c r="GH13" s="66" t="str">
        <f t="shared" si="14"/>
        <v/>
      </c>
      <c r="GI13" s="66" t="str">
        <f t="shared" si="14"/>
        <v/>
      </c>
      <c r="GJ13" s="66" t="str">
        <f t="shared" si="14"/>
        <v/>
      </c>
      <c r="GK13" s="66" t="str">
        <f t="shared" si="14"/>
        <v/>
      </c>
      <c r="GL13" s="66" t="str">
        <f t="shared" si="14"/>
        <v/>
      </c>
      <c r="GM13" s="66" t="str">
        <f t="shared" si="14"/>
        <v/>
      </c>
      <c r="GN13" s="66" t="str">
        <f t="shared" ref="GN13:IV13" si="15">IF(AND(GN7="",GN8="",GN9=""),"",IF(GN14="DoubleSides",NORMSDIST((GN11-GN10)/GN23)-NORMSDIST((GN12-GN10)/GN23),IF(GN14="SingleSide-USL",NORMSDIST((GN11-GN10)/GN23),IF(GN14="SingleSide-LSL",1-NORMSDIST((GN12-GN10)/GN23),IF(GN14="Actual Yield (n&gt;=100)",IF(COUNT(GN35:GN65536)&gt;=100,(COUNTIF(GN35:GN65536,"&lt;="&amp;GN11)-COUNTIF(GN35:GN65536,"&lt;"&amp;GN12))/COUNT(GN35:GN65536),"Too Few Records"),IF(GN14="Go/NoGo Gauge (n&gt;=100)",IF(COUNTA(GN35:GN65536)&gt;=100,COUNTIF(GN35:GN65536,"OK")/COUNTA(GN35:GN65536),"Too Few Records"),"Error"))))))</f>
        <v/>
      </c>
      <c r="GO13" s="66" t="str">
        <f t="shared" si="15"/>
        <v/>
      </c>
      <c r="GP13" s="66" t="str">
        <f t="shared" si="15"/>
        <v/>
      </c>
      <c r="GQ13" s="66" t="str">
        <f t="shared" si="15"/>
        <v/>
      </c>
      <c r="GR13" s="66" t="str">
        <f t="shared" si="15"/>
        <v/>
      </c>
      <c r="GS13" s="66" t="str">
        <f t="shared" si="15"/>
        <v/>
      </c>
      <c r="GT13" s="66" t="str">
        <f t="shared" si="15"/>
        <v/>
      </c>
      <c r="GU13" s="66" t="str">
        <f t="shared" si="15"/>
        <v/>
      </c>
      <c r="GV13" s="66" t="str">
        <f t="shared" si="15"/>
        <v/>
      </c>
      <c r="GW13" s="66" t="str">
        <f t="shared" si="15"/>
        <v/>
      </c>
      <c r="GX13" s="66" t="str">
        <f t="shared" si="15"/>
        <v/>
      </c>
      <c r="GY13" s="66" t="str">
        <f t="shared" si="15"/>
        <v/>
      </c>
      <c r="GZ13" s="66" t="str">
        <f t="shared" si="15"/>
        <v/>
      </c>
      <c r="HA13" s="66" t="str">
        <f t="shared" si="15"/>
        <v/>
      </c>
      <c r="HB13" s="66" t="str">
        <f t="shared" si="15"/>
        <v/>
      </c>
      <c r="HC13" s="66" t="str">
        <f t="shared" si="15"/>
        <v/>
      </c>
      <c r="HD13" s="66" t="str">
        <f t="shared" si="15"/>
        <v/>
      </c>
      <c r="HE13" s="66" t="str">
        <f t="shared" si="15"/>
        <v/>
      </c>
      <c r="HF13" s="66" t="str">
        <f t="shared" si="15"/>
        <v/>
      </c>
      <c r="HG13" s="66" t="str">
        <f t="shared" si="15"/>
        <v/>
      </c>
      <c r="HH13" s="66" t="str">
        <f t="shared" si="15"/>
        <v/>
      </c>
      <c r="HI13" s="66" t="str">
        <f t="shared" si="15"/>
        <v/>
      </c>
      <c r="HJ13" s="66" t="str">
        <f t="shared" si="15"/>
        <v/>
      </c>
      <c r="HK13" s="66" t="str">
        <f t="shared" si="15"/>
        <v/>
      </c>
      <c r="HL13" s="66" t="str">
        <f t="shared" si="15"/>
        <v/>
      </c>
      <c r="HM13" s="66" t="str">
        <f t="shared" si="15"/>
        <v/>
      </c>
      <c r="HN13" s="66" t="str">
        <f t="shared" si="15"/>
        <v/>
      </c>
      <c r="HO13" s="66" t="str">
        <f t="shared" si="15"/>
        <v/>
      </c>
      <c r="HP13" s="66" t="str">
        <f t="shared" si="15"/>
        <v/>
      </c>
      <c r="HQ13" s="66" t="str">
        <f t="shared" si="15"/>
        <v/>
      </c>
      <c r="HR13" s="66" t="str">
        <f t="shared" si="15"/>
        <v/>
      </c>
      <c r="HS13" s="66" t="str">
        <f t="shared" si="15"/>
        <v/>
      </c>
      <c r="HT13" s="66" t="str">
        <f t="shared" si="15"/>
        <v/>
      </c>
      <c r="HU13" s="66" t="str">
        <f t="shared" si="15"/>
        <v/>
      </c>
      <c r="HV13" s="66" t="str">
        <f t="shared" si="15"/>
        <v/>
      </c>
      <c r="HW13" s="66" t="str">
        <f t="shared" si="15"/>
        <v/>
      </c>
      <c r="HX13" s="66" t="str">
        <f t="shared" si="15"/>
        <v/>
      </c>
      <c r="HY13" s="66" t="str">
        <f t="shared" si="15"/>
        <v/>
      </c>
      <c r="HZ13" s="66" t="str">
        <f t="shared" si="15"/>
        <v/>
      </c>
      <c r="IA13" s="66" t="str">
        <f t="shared" si="15"/>
        <v/>
      </c>
      <c r="IB13" s="66" t="str">
        <f t="shared" si="15"/>
        <v/>
      </c>
      <c r="IC13" s="66" t="str">
        <f t="shared" si="15"/>
        <v/>
      </c>
      <c r="ID13" s="66" t="str">
        <f t="shared" si="15"/>
        <v/>
      </c>
      <c r="IE13" s="66" t="str">
        <f t="shared" si="15"/>
        <v/>
      </c>
      <c r="IF13" s="66" t="str">
        <f t="shared" si="15"/>
        <v/>
      </c>
      <c r="IG13" s="66" t="str">
        <f t="shared" si="15"/>
        <v/>
      </c>
      <c r="IH13" s="66" t="str">
        <f t="shared" si="15"/>
        <v/>
      </c>
      <c r="II13" s="66" t="str">
        <f t="shared" si="15"/>
        <v/>
      </c>
      <c r="IJ13" s="66" t="str">
        <f t="shared" si="15"/>
        <v/>
      </c>
      <c r="IK13" s="66" t="str">
        <f t="shared" si="15"/>
        <v/>
      </c>
      <c r="IL13" s="66" t="str">
        <f t="shared" si="15"/>
        <v/>
      </c>
      <c r="IM13" s="66" t="str">
        <f t="shared" si="15"/>
        <v/>
      </c>
      <c r="IN13" s="66" t="str">
        <f t="shared" si="15"/>
        <v/>
      </c>
      <c r="IO13" s="66" t="str">
        <f t="shared" si="15"/>
        <v/>
      </c>
      <c r="IP13" s="66" t="str">
        <f t="shared" si="15"/>
        <v/>
      </c>
      <c r="IQ13" s="66" t="str">
        <f t="shared" si="15"/>
        <v/>
      </c>
      <c r="IR13" s="66" t="str">
        <f t="shared" si="15"/>
        <v/>
      </c>
      <c r="IS13" s="66" t="str">
        <f t="shared" si="15"/>
        <v/>
      </c>
      <c r="IT13" s="66" t="str">
        <f t="shared" si="15"/>
        <v/>
      </c>
      <c r="IU13" s="66" t="str">
        <f t="shared" si="15"/>
        <v/>
      </c>
      <c r="IV13" s="66" t="str">
        <f t="shared" si="15"/>
        <v/>
      </c>
    </row>
    <row r="14" spans="1:256" s="63" customFormat="1" ht="24.75" customHeight="1">
      <c r="A14" s="1"/>
      <c r="B14" s="50" t="s">
        <v>72</v>
      </c>
      <c r="C14" s="62" t="s">
        <v>129</v>
      </c>
      <c r="D14" s="62" t="s">
        <v>129</v>
      </c>
      <c r="E14" s="62" t="s">
        <v>129</v>
      </c>
      <c r="F14" s="62" t="s">
        <v>129</v>
      </c>
      <c r="G14" s="62" t="s">
        <v>129</v>
      </c>
      <c r="H14" s="62" t="s">
        <v>129</v>
      </c>
      <c r="I14" s="62" t="s">
        <v>129</v>
      </c>
      <c r="J14" s="62" t="s">
        <v>129</v>
      </c>
      <c r="K14" s="62" t="s">
        <v>129</v>
      </c>
      <c r="L14" s="62" t="s">
        <v>129</v>
      </c>
      <c r="M14" s="62" t="s">
        <v>129</v>
      </c>
      <c r="N14" s="62" t="s">
        <v>129</v>
      </c>
      <c r="O14" s="62" t="s">
        <v>129</v>
      </c>
      <c r="P14" s="62" t="s">
        <v>129</v>
      </c>
      <c r="Q14" s="62" t="s">
        <v>129</v>
      </c>
      <c r="R14" s="62" t="s">
        <v>129</v>
      </c>
      <c r="S14" s="62"/>
      <c r="T14" s="62"/>
      <c r="U14" s="62"/>
      <c r="V14" s="62"/>
      <c r="W14" s="62"/>
      <c r="X14" s="62"/>
      <c r="Y14" s="62"/>
      <c r="Z14" s="62"/>
      <c r="IV14" s="134"/>
    </row>
    <row r="15" spans="1:256" ht="12.75" customHeight="1">
      <c r="B15" s="50" t="s">
        <v>11</v>
      </c>
      <c r="C15" s="144" t="s">
        <v>137</v>
      </c>
      <c r="D15" s="144" t="s">
        <v>142</v>
      </c>
      <c r="E15" s="144" t="s">
        <v>143</v>
      </c>
      <c r="F15" s="144" t="s">
        <v>138</v>
      </c>
      <c r="G15" s="144" t="s">
        <v>140</v>
      </c>
      <c r="H15" s="144" t="s">
        <v>139</v>
      </c>
      <c r="I15" s="144" t="s">
        <v>144</v>
      </c>
      <c r="J15" s="144" t="s">
        <v>145</v>
      </c>
      <c r="K15" s="144" t="s">
        <v>146</v>
      </c>
      <c r="L15" s="144" t="s">
        <v>147</v>
      </c>
      <c r="M15" s="144" t="s">
        <v>148</v>
      </c>
      <c r="N15" s="144" t="s">
        <v>149</v>
      </c>
      <c r="O15" s="144" t="s">
        <v>150</v>
      </c>
      <c r="P15" s="144" t="s">
        <v>151</v>
      </c>
      <c r="Q15" s="2" t="s">
        <v>141</v>
      </c>
      <c r="R15" s="2" t="s">
        <v>152</v>
      </c>
      <c r="S15" s="2"/>
      <c r="T15" s="2"/>
      <c r="U15" s="2"/>
      <c r="V15" s="2"/>
      <c r="W15" s="2"/>
      <c r="X15" s="2"/>
      <c r="Y15" s="2"/>
      <c r="Z15" s="2"/>
    </row>
    <row r="16" spans="1:256" ht="12.75" customHeight="1">
      <c r="B16" s="49" t="s">
        <v>12</v>
      </c>
      <c r="C16" s="145">
        <v>1.3</v>
      </c>
      <c r="D16" s="145">
        <v>1</v>
      </c>
      <c r="E16" s="145">
        <v>2.4</v>
      </c>
      <c r="F16" s="145">
        <v>3.3</v>
      </c>
      <c r="G16" s="145">
        <v>0.86</v>
      </c>
      <c r="H16" s="145">
        <v>0.86</v>
      </c>
      <c r="I16" s="145">
        <v>2.9</v>
      </c>
      <c r="J16" s="145">
        <v>0.3</v>
      </c>
      <c r="K16" s="145">
        <v>0.3</v>
      </c>
      <c r="L16" s="145">
        <v>0.25</v>
      </c>
      <c r="M16" s="145">
        <v>0.25</v>
      </c>
      <c r="N16" s="145">
        <v>0.25</v>
      </c>
      <c r="O16" s="145">
        <v>0.56599999999999995</v>
      </c>
      <c r="P16" s="145">
        <v>0.56599999999999995</v>
      </c>
      <c r="Q16" s="3">
        <v>1.25</v>
      </c>
      <c r="R16" s="3">
        <v>1.25</v>
      </c>
      <c r="S16" s="48"/>
      <c r="T16" s="48"/>
      <c r="U16" s="48"/>
      <c r="V16" s="48"/>
      <c r="W16" s="48"/>
      <c r="X16" s="48"/>
      <c r="Y16" s="48"/>
      <c r="Z16" s="48"/>
    </row>
    <row r="17" spans="2:26" ht="12.75" customHeight="1">
      <c r="B17" s="47" t="s">
        <v>26</v>
      </c>
      <c r="C17" s="146">
        <v>0.03</v>
      </c>
      <c r="D17" s="146">
        <v>0.04</v>
      </c>
      <c r="E17" s="146">
        <v>0.04</v>
      </c>
      <c r="F17" s="146">
        <v>0.05</v>
      </c>
      <c r="G17" s="146">
        <v>0.05</v>
      </c>
      <c r="H17" s="146">
        <v>0.05</v>
      </c>
      <c r="I17" s="146">
        <v>0.05</v>
      </c>
      <c r="J17" s="146">
        <v>0.03</v>
      </c>
      <c r="K17" s="145">
        <v>0.03</v>
      </c>
      <c r="L17" s="145">
        <v>0.03</v>
      </c>
      <c r="M17" s="145">
        <v>0.03</v>
      </c>
      <c r="N17" s="145">
        <v>0.03</v>
      </c>
      <c r="O17" s="145">
        <v>0.03</v>
      </c>
      <c r="P17" s="145">
        <v>0.03</v>
      </c>
      <c r="Q17" s="3">
        <v>0.1</v>
      </c>
      <c r="R17" s="3">
        <v>0.05</v>
      </c>
      <c r="S17" s="48"/>
      <c r="T17" s="48"/>
      <c r="U17" s="48"/>
      <c r="V17" s="48"/>
      <c r="W17" s="48"/>
      <c r="X17" s="48"/>
      <c r="Y17" s="48"/>
      <c r="Z17" s="48"/>
    </row>
    <row r="18" spans="2:26" ht="12.75" customHeight="1">
      <c r="B18" s="47" t="s">
        <v>125</v>
      </c>
      <c r="C18" s="146">
        <v>0.03</v>
      </c>
      <c r="D18" s="146">
        <v>0.04</v>
      </c>
      <c r="E18" s="146">
        <v>0.04</v>
      </c>
      <c r="F18" s="146">
        <v>0.05</v>
      </c>
      <c r="G18" s="146">
        <v>0.05</v>
      </c>
      <c r="H18" s="146">
        <v>0.05</v>
      </c>
      <c r="I18" s="146">
        <v>0.05</v>
      </c>
      <c r="J18" s="146">
        <v>0.03</v>
      </c>
      <c r="K18" s="145">
        <v>0.03</v>
      </c>
      <c r="L18" s="145">
        <v>0.03</v>
      </c>
      <c r="M18" s="145">
        <v>0.03</v>
      </c>
      <c r="N18" s="145">
        <v>0.03</v>
      </c>
      <c r="O18" s="145">
        <v>0.03</v>
      </c>
      <c r="P18" s="145">
        <v>0.03</v>
      </c>
      <c r="Q18" s="3">
        <v>0.1</v>
      </c>
      <c r="R18" s="3">
        <v>0.05</v>
      </c>
      <c r="S18" s="48"/>
      <c r="T18" s="48"/>
      <c r="U18" s="48"/>
      <c r="V18" s="48"/>
      <c r="W18" s="48"/>
      <c r="X18" s="48"/>
      <c r="Y18" s="48"/>
      <c r="Z18" s="48"/>
    </row>
    <row r="19" spans="2:26" ht="12.75" customHeight="1">
      <c r="B19" s="47" t="s">
        <v>73</v>
      </c>
      <c r="C19" s="145" t="s">
        <v>136</v>
      </c>
      <c r="D19" s="145" t="s">
        <v>136</v>
      </c>
      <c r="E19" s="145" t="s">
        <v>136</v>
      </c>
      <c r="F19" s="145" t="s">
        <v>153</v>
      </c>
      <c r="G19" s="145" t="s">
        <v>136</v>
      </c>
      <c r="H19" s="145" t="s">
        <v>136</v>
      </c>
      <c r="I19" s="145" t="s">
        <v>136</v>
      </c>
      <c r="J19" s="145" t="s">
        <v>136</v>
      </c>
      <c r="K19" s="145" t="s">
        <v>136</v>
      </c>
      <c r="L19" s="145" t="s">
        <v>136</v>
      </c>
      <c r="M19" s="145" t="s">
        <v>136</v>
      </c>
      <c r="N19" s="145" t="s">
        <v>136</v>
      </c>
      <c r="O19" s="145" t="s">
        <v>136</v>
      </c>
      <c r="P19" s="145" t="s">
        <v>136</v>
      </c>
      <c r="Q19" s="3" t="s">
        <v>136</v>
      </c>
      <c r="R19" s="3" t="s">
        <v>136</v>
      </c>
      <c r="S19" s="3"/>
      <c r="T19" s="3"/>
      <c r="U19" s="3"/>
      <c r="V19" s="3"/>
      <c r="W19" s="3"/>
      <c r="X19" s="3"/>
      <c r="Y19" s="3"/>
      <c r="Z19" s="3"/>
    </row>
    <row r="20" spans="2:26" ht="12.75" customHeight="1">
      <c r="B20" s="47" t="s">
        <v>74</v>
      </c>
      <c r="C20" s="3"/>
      <c r="D20" s="3"/>
      <c r="E20" s="3"/>
      <c r="F20" s="3"/>
      <c r="G20" s="3"/>
      <c r="H20" s="3"/>
      <c r="I20" s="3"/>
      <c r="J20" s="3"/>
      <c r="K20" s="3"/>
      <c r="L20" s="3"/>
      <c r="M20" s="3"/>
      <c r="N20" s="3"/>
      <c r="O20" s="3"/>
      <c r="P20" s="3"/>
      <c r="Q20" s="3"/>
      <c r="R20" s="3"/>
      <c r="S20" s="3"/>
      <c r="T20" s="3"/>
      <c r="U20" s="3"/>
      <c r="V20" s="3"/>
      <c r="W20" s="3"/>
      <c r="X20" s="3"/>
      <c r="Y20" s="3"/>
      <c r="Z20" s="3"/>
    </row>
    <row r="21" spans="2:26" ht="12.75" customHeight="1">
      <c r="B21" s="47" t="s">
        <v>126</v>
      </c>
      <c r="C21" s="10">
        <f t="shared" ref="C21:Z21" si="16">C16+ABS(C17)</f>
        <v>1.33</v>
      </c>
      <c r="D21" s="10">
        <f t="shared" si="16"/>
        <v>1.04</v>
      </c>
      <c r="E21" s="10">
        <f t="shared" si="16"/>
        <v>2.44</v>
      </c>
      <c r="F21" s="10">
        <f t="shared" si="16"/>
        <v>3.3499999999999996</v>
      </c>
      <c r="G21" s="10">
        <f t="shared" si="16"/>
        <v>0.91</v>
      </c>
      <c r="H21" s="10">
        <f t="shared" si="16"/>
        <v>0.91</v>
      </c>
      <c r="I21" s="10">
        <f t="shared" si="16"/>
        <v>2.9499999999999997</v>
      </c>
      <c r="J21" s="10">
        <f t="shared" si="16"/>
        <v>0.32999999999999996</v>
      </c>
      <c r="K21" s="10">
        <f t="shared" si="16"/>
        <v>0.32999999999999996</v>
      </c>
      <c r="L21" s="10">
        <f t="shared" si="16"/>
        <v>0.28000000000000003</v>
      </c>
      <c r="M21" s="10">
        <f t="shared" si="16"/>
        <v>0.28000000000000003</v>
      </c>
      <c r="N21" s="10">
        <f t="shared" si="16"/>
        <v>0.28000000000000003</v>
      </c>
      <c r="O21" s="10">
        <f t="shared" si="16"/>
        <v>0.59599999999999997</v>
      </c>
      <c r="P21" s="10">
        <f t="shared" si="16"/>
        <v>0.59599999999999997</v>
      </c>
      <c r="Q21" s="10">
        <f t="shared" si="16"/>
        <v>1.35</v>
      </c>
      <c r="R21" s="10">
        <f t="shared" si="16"/>
        <v>1.3</v>
      </c>
      <c r="S21" s="10">
        <f t="shared" si="16"/>
        <v>0</v>
      </c>
      <c r="T21" s="10">
        <f t="shared" si="16"/>
        <v>0</v>
      </c>
      <c r="U21" s="10">
        <f t="shared" si="16"/>
        <v>0</v>
      </c>
      <c r="V21" s="10">
        <f t="shared" si="16"/>
        <v>0</v>
      </c>
      <c r="W21" s="10">
        <f t="shared" si="16"/>
        <v>0</v>
      </c>
      <c r="X21" s="10">
        <f t="shared" si="16"/>
        <v>0</v>
      </c>
      <c r="Y21" s="10">
        <f t="shared" si="16"/>
        <v>0</v>
      </c>
      <c r="Z21" s="10">
        <f t="shared" si="16"/>
        <v>0</v>
      </c>
    </row>
    <row r="22" spans="2:26" ht="12.75" customHeight="1">
      <c r="B22" s="47" t="s">
        <v>127</v>
      </c>
      <c r="C22" s="10">
        <f t="shared" ref="C22:Z22" si="17">C16-ABS(C18)</f>
        <v>1.27</v>
      </c>
      <c r="D22" s="10">
        <f t="shared" si="17"/>
        <v>0.96</v>
      </c>
      <c r="E22" s="10">
        <f t="shared" si="17"/>
        <v>2.36</v>
      </c>
      <c r="F22" s="10">
        <f t="shared" si="17"/>
        <v>3.25</v>
      </c>
      <c r="G22" s="10">
        <f t="shared" si="17"/>
        <v>0.80999999999999994</v>
      </c>
      <c r="H22" s="10">
        <f t="shared" si="17"/>
        <v>0.80999999999999994</v>
      </c>
      <c r="I22" s="10">
        <f t="shared" si="17"/>
        <v>2.85</v>
      </c>
      <c r="J22" s="10">
        <f t="shared" si="17"/>
        <v>0.27</v>
      </c>
      <c r="K22" s="10">
        <f t="shared" si="17"/>
        <v>0.27</v>
      </c>
      <c r="L22" s="10">
        <f t="shared" si="17"/>
        <v>0.22</v>
      </c>
      <c r="M22" s="10">
        <f t="shared" si="17"/>
        <v>0.22</v>
      </c>
      <c r="N22" s="10">
        <f t="shared" si="17"/>
        <v>0.22</v>
      </c>
      <c r="O22" s="10">
        <f t="shared" si="17"/>
        <v>0.53599999999999992</v>
      </c>
      <c r="P22" s="10">
        <f t="shared" si="17"/>
        <v>0.53599999999999992</v>
      </c>
      <c r="Q22" s="10">
        <f t="shared" si="17"/>
        <v>1.1499999999999999</v>
      </c>
      <c r="R22" s="10">
        <f t="shared" si="17"/>
        <v>1.2</v>
      </c>
      <c r="S22" s="10">
        <f t="shared" si="17"/>
        <v>0</v>
      </c>
      <c r="T22" s="10">
        <f t="shared" si="17"/>
        <v>0</v>
      </c>
      <c r="U22" s="10">
        <f t="shared" si="17"/>
        <v>0</v>
      </c>
      <c r="V22" s="10">
        <f t="shared" si="17"/>
        <v>0</v>
      </c>
      <c r="W22" s="10">
        <f t="shared" si="17"/>
        <v>0</v>
      </c>
      <c r="X22" s="10">
        <f t="shared" si="17"/>
        <v>0</v>
      </c>
      <c r="Y22" s="10">
        <f t="shared" si="17"/>
        <v>0</v>
      </c>
      <c r="Z22" s="10">
        <f t="shared" si="17"/>
        <v>0</v>
      </c>
    </row>
    <row r="23" spans="2:26" ht="12.75" customHeight="1">
      <c r="B23" s="45" t="s">
        <v>24</v>
      </c>
      <c r="C23" s="11">
        <f t="shared" ref="C23:Z23" si="18">STDEV(C35:C65536)</f>
        <v>4.2480533967089555E-3</v>
      </c>
      <c r="D23" s="11">
        <f t="shared" si="18"/>
        <v>3.0764191584876162E-3</v>
      </c>
      <c r="E23" s="11">
        <f t="shared" si="18"/>
        <v>3.0521277612458619E-3</v>
      </c>
      <c r="F23" s="11">
        <f t="shared" si="18"/>
        <v>2.912535476732619E-3</v>
      </c>
      <c r="G23" s="11">
        <f t="shared" si="18"/>
        <v>8.2234102297314392E-3</v>
      </c>
      <c r="H23" s="11">
        <f t="shared" si="18"/>
        <v>9.9543631015783507E-3</v>
      </c>
      <c r="I23" s="11">
        <f t="shared" si="18"/>
        <v>3.0702904533190358E-3</v>
      </c>
      <c r="J23" s="11">
        <f t="shared" si="18"/>
        <v>5.7342060437006416E-3</v>
      </c>
      <c r="K23" s="11">
        <f t="shared" si="18"/>
        <v>5.6870528891963161E-3</v>
      </c>
      <c r="L23" s="11">
        <f t="shared" si="18"/>
        <v>8.1364150582427883E-3</v>
      </c>
      <c r="M23" s="11">
        <f t="shared" si="18"/>
        <v>9.1727149523341388E-3</v>
      </c>
      <c r="N23" s="11">
        <f t="shared" si="18"/>
        <v>1.065137002773549E-2</v>
      </c>
      <c r="O23" s="11">
        <f t="shared" si="18"/>
        <v>7.8433086079380092E-3</v>
      </c>
      <c r="P23" s="11">
        <f t="shared" si="18"/>
        <v>7.7989084999326832E-3</v>
      </c>
      <c r="Q23" s="11">
        <f t="shared" si="18"/>
        <v>1.0492885454501579E-2</v>
      </c>
      <c r="R23" s="11">
        <f t="shared" si="18"/>
        <v>9.5560464729692804E-3</v>
      </c>
      <c r="S23" s="11" t="e">
        <f t="shared" si="18"/>
        <v>#DIV/0!</v>
      </c>
      <c r="T23" s="11" t="e">
        <f t="shared" si="18"/>
        <v>#DIV/0!</v>
      </c>
      <c r="U23" s="11" t="e">
        <f t="shared" si="18"/>
        <v>#DIV/0!</v>
      </c>
      <c r="V23" s="11" t="e">
        <f t="shared" si="18"/>
        <v>#DIV/0!</v>
      </c>
      <c r="W23" s="11" t="e">
        <f t="shared" si="18"/>
        <v>#DIV/0!</v>
      </c>
      <c r="X23" s="11" t="e">
        <f t="shared" si="18"/>
        <v>#DIV/0!</v>
      </c>
      <c r="Y23" s="11" t="e">
        <f t="shared" si="18"/>
        <v>#DIV/0!</v>
      </c>
      <c r="Z23" s="11" t="e">
        <f t="shared" si="18"/>
        <v>#DIV/0!</v>
      </c>
    </row>
    <row r="24" spans="2:26" ht="12.75" customHeight="1">
      <c r="B24" s="46" t="s">
        <v>131</v>
      </c>
      <c r="C24" s="12">
        <f t="shared" ref="C24:Z24" si="19">AVERAGE(C35:C65536)</f>
        <v>1.3035718749999998</v>
      </c>
      <c r="D24" s="12">
        <f t="shared" si="19"/>
        <v>0.97663749999999994</v>
      </c>
      <c r="E24" s="12">
        <f t="shared" si="19"/>
        <v>2.3669500000000006</v>
      </c>
      <c r="F24" s="12">
        <f t="shared" si="19"/>
        <v>3.28003125</v>
      </c>
      <c r="G24" s="12">
        <f t="shared" si="19"/>
        <v>0.86279375000000003</v>
      </c>
      <c r="H24" s="12">
        <f t="shared" si="19"/>
        <v>0.86419687499999986</v>
      </c>
      <c r="I24" s="12">
        <f t="shared" si="19"/>
        <v>2.8636906249999994</v>
      </c>
      <c r="J24" s="12">
        <f t="shared" si="19"/>
        <v>0.31917812500000003</v>
      </c>
      <c r="K24" s="12">
        <f t="shared" si="19"/>
        <v>0.32115312500000004</v>
      </c>
      <c r="L24" s="12">
        <f t="shared" si="19"/>
        <v>0.26575625000000003</v>
      </c>
      <c r="M24" s="12">
        <f t="shared" si="19"/>
        <v>0.25305312499999999</v>
      </c>
      <c r="N24" s="12">
        <f t="shared" si="19"/>
        <v>0.24021562499999996</v>
      </c>
      <c r="O24" s="12">
        <f t="shared" si="19"/>
        <v>0.55691562500000014</v>
      </c>
      <c r="P24" s="12">
        <f t="shared" si="19"/>
        <v>0.56946562499999986</v>
      </c>
      <c r="Q24" s="12">
        <f t="shared" si="19"/>
        <v>1.1810749999999999</v>
      </c>
      <c r="R24" s="12">
        <f t="shared" si="19"/>
        <v>1.22875625</v>
      </c>
      <c r="S24" s="12" t="e">
        <f t="shared" si="19"/>
        <v>#DIV/0!</v>
      </c>
      <c r="T24" s="12" t="e">
        <f t="shared" si="19"/>
        <v>#DIV/0!</v>
      </c>
      <c r="U24" s="12" t="e">
        <f t="shared" si="19"/>
        <v>#DIV/0!</v>
      </c>
      <c r="V24" s="12" t="e">
        <f t="shared" si="19"/>
        <v>#DIV/0!</v>
      </c>
      <c r="W24" s="12" t="e">
        <f t="shared" si="19"/>
        <v>#DIV/0!</v>
      </c>
      <c r="X24" s="12" t="e">
        <f t="shared" si="19"/>
        <v>#DIV/0!</v>
      </c>
      <c r="Y24" s="12" t="e">
        <f t="shared" si="19"/>
        <v>#DIV/0!</v>
      </c>
      <c r="Z24" s="12" t="e">
        <f t="shared" si="19"/>
        <v>#DIV/0!</v>
      </c>
    </row>
    <row r="25" spans="2:26" ht="12.75" customHeight="1">
      <c r="B25" s="45" t="s">
        <v>128</v>
      </c>
      <c r="C25" s="112">
        <f t="shared" ref="C25:Z25" si="20">MAX(C35:C65536)</f>
        <v>1.3095000000000001</v>
      </c>
      <c r="D25" s="112">
        <f t="shared" si="20"/>
        <v>0.98299999999999998</v>
      </c>
      <c r="E25" s="112">
        <f t="shared" si="20"/>
        <v>2.3719999999999999</v>
      </c>
      <c r="F25" s="112">
        <f t="shared" si="20"/>
        <v>3.2850000000000001</v>
      </c>
      <c r="G25" s="112">
        <f t="shared" si="20"/>
        <v>0.87509999999999999</v>
      </c>
      <c r="H25" s="112">
        <f t="shared" si="20"/>
        <v>0.87919999999999998</v>
      </c>
      <c r="I25" s="112">
        <f t="shared" si="20"/>
        <v>2.8687</v>
      </c>
      <c r="J25" s="112">
        <f t="shared" si="20"/>
        <v>0.32790000000000002</v>
      </c>
      <c r="K25" s="112">
        <f t="shared" si="20"/>
        <v>0.32969999999999999</v>
      </c>
      <c r="L25" s="112">
        <f t="shared" si="20"/>
        <v>0.27729999999999999</v>
      </c>
      <c r="M25" s="112">
        <f t="shared" si="20"/>
        <v>0.2671</v>
      </c>
      <c r="N25" s="112">
        <f t="shared" si="20"/>
        <v>0.253</v>
      </c>
      <c r="O25" s="112">
        <f t="shared" si="20"/>
        <v>0.56950000000000001</v>
      </c>
      <c r="P25" s="112">
        <f t="shared" si="20"/>
        <v>0.58399999999999996</v>
      </c>
      <c r="Q25" s="112">
        <f t="shared" si="20"/>
        <v>1.198</v>
      </c>
      <c r="R25" s="112">
        <f t="shared" si="20"/>
        <v>1.2416</v>
      </c>
      <c r="S25" s="112">
        <f t="shared" si="20"/>
        <v>0</v>
      </c>
      <c r="T25" s="112">
        <f t="shared" si="20"/>
        <v>0</v>
      </c>
      <c r="U25" s="112">
        <f t="shared" si="20"/>
        <v>0</v>
      </c>
      <c r="V25" s="112">
        <f t="shared" si="20"/>
        <v>0</v>
      </c>
      <c r="W25" s="112">
        <f t="shared" si="20"/>
        <v>0</v>
      </c>
      <c r="X25" s="112">
        <f t="shared" si="20"/>
        <v>0</v>
      </c>
      <c r="Y25" s="112">
        <f t="shared" si="20"/>
        <v>0</v>
      </c>
      <c r="Z25" s="112">
        <f t="shared" si="20"/>
        <v>0</v>
      </c>
    </row>
    <row r="26" spans="2:26" ht="12.75" customHeight="1">
      <c r="B26" s="45" t="s">
        <v>23</v>
      </c>
      <c r="C26" s="112">
        <f t="shared" ref="C26:Z26" si="21">MIN(C35:C65536)</f>
        <v>1.2946</v>
      </c>
      <c r="D26" s="112">
        <f t="shared" si="21"/>
        <v>0.97250000000000003</v>
      </c>
      <c r="E26" s="112">
        <f t="shared" si="21"/>
        <v>2.3611</v>
      </c>
      <c r="F26" s="112">
        <f t="shared" si="21"/>
        <v>3.2749999999999999</v>
      </c>
      <c r="G26" s="112">
        <f t="shared" si="21"/>
        <v>0.84799999999999998</v>
      </c>
      <c r="H26" s="112">
        <f t="shared" si="21"/>
        <v>0.84830000000000005</v>
      </c>
      <c r="I26" s="112">
        <f t="shared" si="21"/>
        <v>2.8582999999999998</v>
      </c>
      <c r="J26" s="112">
        <f t="shared" si="21"/>
        <v>0.309</v>
      </c>
      <c r="K26" s="112">
        <f t="shared" si="21"/>
        <v>0.31090000000000001</v>
      </c>
      <c r="L26" s="112">
        <f t="shared" si="21"/>
        <v>0.252</v>
      </c>
      <c r="M26" s="112">
        <f t="shared" si="21"/>
        <v>0.2374</v>
      </c>
      <c r="N26" s="112">
        <f t="shared" si="21"/>
        <v>0.2233</v>
      </c>
      <c r="O26" s="112">
        <f t="shared" si="21"/>
        <v>0.54679999999999995</v>
      </c>
      <c r="P26" s="112">
        <f t="shared" si="21"/>
        <v>0.55640000000000001</v>
      </c>
      <c r="Q26" s="112">
        <f t="shared" si="21"/>
        <v>1.167</v>
      </c>
      <c r="R26" s="112">
        <f t="shared" si="21"/>
        <v>1.2110000000000001</v>
      </c>
      <c r="S26" s="112">
        <f t="shared" si="21"/>
        <v>0</v>
      </c>
      <c r="T26" s="112">
        <f t="shared" si="21"/>
        <v>0</v>
      </c>
      <c r="U26" s="112">
        <f t="shared" si="21"/>
        <v>0</v>
      </c>
      <c r="V26" s="112">
        <f t="shared" si="21"/>
        <v>0</v>
      </c>
      <c r="W26" s="112">
        <f t="shared" si="21"/>
        <v>0</v>
      </c>
      <c r="X26" s="112">
        <f t="shared" si="21"/>
        <v>0</v>
      </c>
      <c r="Y26" s="112">
        <f t="shared" si="21"/>
        <v>0</v>
      </c>
      <c r="Z26" s="112">
        <f t="shared" si="21"/>
        <v>0</v>
      </c>
    </row>
    <row r="27" spans="2:26" ht="12.75" customHeight="1">
      <c r="B27" s="45" t="s">
        <v>61</v>
      </c>
      <c r="C27" s="13">
        <f t="shared" ref="C27:Z27" si="22">((C21)-(C22))/(6*C23)</f>
        <v>2.3540193745556945</v>
      </c>
      <c r="D27" s="13">
        <f t="shared" si="22"/>
        <v>4.3340431347099271</v>
      </c>
      <c r="E27" s="13">
        <f t="shared" si="22"/>
        <v>4.3685370916094124</v>
      </c>
      <c r="F27" s="13">
        <f t="shared" si="22"/>
        <v>5.7223909544833562</v>
      </c>
      <c r="G27" s="13">
        <f t="shared" si="22"/>
        <v>2.0267341894739674</v>
      </c>
      <c r="H27" s="13">
        <f t="shared" si="22"/>
        <v>1.674307687653471</v>
      </c>
      <c r="I27" s="13">
        <f t="shared" si="22"/>
        <v>5.4283680713821907</v>
      </c>
      <c r="J27" s="13">
        <f t="shared" si="22"/>
        <v>1.7439205922824437</v>
      </c>
      <c r="K27" s="13">
        <f t="shared" si="22"/>
        <v>1.7583799895719225</v>
      </c>
      <c r="L27" s="13">
        <f t="shared" si="22"/>
        <v>1.2290425117717252</v>
      </c>
      <c r="M27" s="13">
        <f t="shared" si="22"/>
        <v>1.0901897695464036</v>
      </c>
      <c r="N27" s="13">
        <f t="shared" si="22"/>
        <v>0.9388463619197005</v>
      </c>
      <c r="O27" s="13">
        <f t="shared" si="22"/>
        <v>1.2749721450306404</v>
      </c>
      <c r="P27" s="13">
        <f t="shared" si="22"/>
        <v>1.2822307121677763</v>
      </c>
      <c r="Q27" s="13">
        <f t="shared" si="22"/>
        <v>3.1767556672443185</v>
      </c>
      <c r="R27" s="13">
        <f t="shared" si="22"/>
        <v>1.7440964434204944</v>
      </c>
      <c r="S27" s="13" t="e">
        <f t="shared" si="22"/>
        <v>#DIV/0!</v>
      </c>
      <c r="T27" s="13" t="e">
        <f t="shared" si="22"/>
        <v>#DIV/0!</v>
      </c>
      <c r="U27" s="13" t="e">
        <f t="shared" si="22"/>
        <v>#DIV/0!</v>
      </c>
      <c r="V27" s="13" t="e">
        <f t="shared" si="22"/>
        <v>#DIV/0!</v>
      </c>
      <c r="W27" s="13" t="e">
        <f t="shared" si="22"/>
        <v>#DIV/0!</v>
      </c>
      <c r="X27" s="13" t="e">
        <f t="shared" si="22"/>
        <v>#DIV/0!</v>
      </c>
      <c r="Y27" s="13" t="e">
        <f t="shared" si="22"/>
        <v>#DIV/0!</v>
      </c>
      <c r="Z27" s="13" t="e">
        <f t="shared" si="22"/>
        <v>#DIV/0!</v>
      </c>
    </row>
    <row r="28" spans="2:26" ht="12.75" customHeight="1">
      <c r="B28" s="45" t="s">
        <v>75</v>
      </c>
      <c r="C28" s="13">
        <f t="shared" ref="C28:Z28" si="23">(C24-C22)/(3*C23)</f>
        <v>2.6342948063387142</v>
      </c>
      <c r="D28" s="13">
        <f t="shared" si="23"/>
        <v>1.8026910663434057</v>
      </c>
      <c r="E28" s="13">
        <f t="shared" si="23"/>
        <v>0.75903331966720877</v>
      </c>
      <c r="F28" s="13">
        <f t="shared" si="23"/>
        <v>3.4370110670365728</v>
      </c>
      <c r="G28" s="13">
        <f t="shared" si="23"/>
        <v>2.139977962310827</v>
      </c>
      <c r="H28" s="13">
        <f t="shared" si="23"/>
        <v>1.8148448891858799</v>
      </c>
      <c r="I28" s="13">
        <f t="shared" si="23"/>
        <v>1.4863550325452644</v>
      </c>
      <c r="J28" s="13">
        <f t="shared" si="23"/>
        <v>2.8587581625780052</v>
      </c>
      <c r="K28" s="13">
        <f t="shared" si="23"/>
        <v>2.9982210468023789</v>
      </c>
      <c r="L28" s="13">
        <f t="shared" si="23"/>
        <v>1.8745458809751667</v>
      </c>
      <c r="M28" s="13">
        <f t="shared" si="23"/>
        <v>1.2011392908846148</v>
      </c>
      <c r="N28" s="13">
        <f t="shared" si="23"/>
        <v>0.63264553283942992</v>
      </c>
      <c r="O28" s="13">
        <f t="shared" si="23"/>
        <v>0.88889464236355786</v>
      </c>
      <c r="P28" s="13">
        <f t="shared" si="23"/>
        <v>1.4303550725629877</v>
      </c>
      <c r="Q28" s="13">
        <f t="shared" si="23"/>
        <v>0.98717682359616987</v>
      </c>
      <c r="R28" s="13">
        <f t="shared" si="23"/>
        <v>1.0030734670222123</v>
      </c>
      <c r="S28" s="13" t="e">
        <f t="shared" si="23"/>
        <v>#DIV/0!</v>
      </c>
      <c r="T28" s="13" t="e">
        <f t="shared" si="23"/>
        <v>#DIV/0!</v>
      </c>
      <c r="U28" s="13" t="e">
        <f t="shared" si="23"/>
        <v>#DIV/0!</v>
      </c>
      <c r="V28" s="13" t="e">
        <f t="shared" si="23"/>
        <v>#DIV/0!</v>
      </c>
      <c r="W28" s="13" t="e">
        <f t="shared" si="23"/>
        <v>#DIV/0!</v>
      </c>
      <c r="X28" s="13" t="e">
        <f t="shared" si="23"/>
        <v>#DIV/0!</v>
      </c>
      <c r="Y28" s="13" t="e">
        <f t="shared" si="23"/>
        <v>#DIV/0!</v>
      </c>
      <c r="Z28" s="13" t="e">
        <f t="shared" si="23"/>
        <v>#DIV/0!</v>
      </c>
    </row>
    <row r="29" spans="2:26" ht="12.75" customHeight="1">
      <c r="B29" s="45" t="s">
        <v>76</v>
      </c>
      <c r="C29" s="13">
        <f t="shared" ref="C29:Z29" si="24">(C21-C24)/(3*C23)</f>
        <v>2.0737439427726745</v>
      </c>
      <c r="D29" s="13">
        <f t="shared" si="24"/>
        <v>6.8653952030764485</v>
      </c>
      <c r="E29" s="13">
        <f t="shared" si="24"/>
        <v>7.978040863551616</v>
      </c>
      <c r="F29" s="13">
        <f t="shared" si="24"/>
        <v>8.0077708419301388</v>
      </c>
      <c r="G29" s="13">
        <f t="shared" si="24"/>
        <v>1.9134904166371081</v>
      </c>
      <c r="H29" s="13">
        <f t="shared" si="24"/>
        <v>1.5337704861210619</v>
      </c>
      <c r="I29" s="13">
        <f t="shared" si="24"/>
        <v>9.3703811102191175</v>
      </c>
      <c r="J29" s="13">
        <f t="shared" si="24"/>
        <v>0.62908302198688193</v>
      </c>
      <c r="K29" s="13">
        <f t="shared" si="24"/>
        <v>0.51853893234146586</v>
      </c>
      <c r="L29" s="13">
        <f t="shared" si="24"/>
        <v>0.58353914256828343</v>
      </c>
      <c r="M29" s="13">
        <f t="shared" si="24"/>
        <v>0.97924024820819233</v>
      </c>
      <c r="N29" s="13">
        <f t="shared" si="24"/>
        <v>1.245047190999971</v>
      </c>
      <c r="O29" s="13">
        <f t="shared" si="24"/>
        <v>1.6610496476977228</v>
      </c>
      <c r="P29" s="13">
        <f t="shared" si="24"/>
        <v>1.1341063517725651</v>
      </c>
      <c r="Q29" s="13">
        <f t="shared" si="24"/>
        <v>5.3663345108924672</v>
      </c>
      <c r="R29" s="13">
        <f t="shared" si="24"/>
        <v>2.4851194198187763</v>
      </c>
      <c r="S29" s="13" t="e">
        <f t="shared" si="24"/>
        <v>#DIV/0!</v>
      </c>
      <c r="T29" s="13" t="e">
        <f t="shared" si="24"/>
        <v>#DIV/0!</v>
      </c>
      <c r="U29" s="13" t="e">
        <f t="shared" si="24"/>
        <v>#DIV/0!</v>
      </c>
      <c r="V29" s="13" t="e">
        <f t="shared" si="24"/>
        <v>#DIV/0!</v>
      </c>
      <c r="W29" s="13" t="e">
        <f t="shared" si="24"/>
        <v>#DIV/0!</v>
      </c>
      <c r="X29" s="13" t="e">
        <f t="shared" si="24"/>
        <v>#DIV/0!</v>
      </c>
      <c r="Y29" s="13" t="e">
        <f t="shared" si="24"/>
        <v>#DIV/0!</v>
      </c>
      <c r="Z29" s="13" t="e">
        <f t="shared" si="24"/>
        <v>#DIV/0!</v>
      </c>
    </row>
    <row r="30" spans="2:26" ht="12.75" customHeight="1">
      <c r="B30" s="45" t="s">
        <v>62</v>
      </c>
      <c r="C30" s="13">
        <f t="shared" ref="C30:Z30" si="25">MIN((C21-C24)/(3*C23),(C24-C22)/(3*C23))</f>
        <v>2.0737439427726745</v>
      </c>
      <c r="D30" s="13">
        <f t="shared" si="25"/>
        <v>1.8026910663434057</v>
      </c>
      <c r="E30" s="13">
        <f t="shared" si="25"/>
        <v>0.75903331966720877</v>
      </c>
      <c r="F30" s="13">
        <f t="shared" si="25"/>
        <v>3.4370110670365728</v>
      </c>
      <c r="G30" s="13">
        <f t="shared" si="25"/>
        <v>1.9134904166371081</v>
      </c>
      <c r="H30" s="13">
        <f t="shared" si="25"/>
        <v>1.5337704861210619</v>
      </c>
      <c r="I30" s="13">
        <f t="shared" si="25"/>
        <v>1.4863550325452644</v>
      </c>
      <c r="J30" s="13">
        <f t="shared" si="25"/>
        <v>0.62908302198688193</v>
      </c>
      <c r="K30" s="13">
        <f t="shared" si="25"/>
        <v>0.51853893234146586</v>
      </c>
      <c r="L30" s="13">
        <f t="shared" si="25"/>
        <v>0.58353914256828343</v>
      </c>
      <c r="M30" s="13">
        <f t="shared" si="25"/>
        <v>0.97924024820819233</v>
      </c>
      <c r="N30" s="13">
        <f t="shared" si="25"/>
        <v>0.63264553283942992</v>
      </c>
      <c r="O30" s="13">
        <f t="shared" si="25"/>
        <v>0.88889464236355786</v>
      </c>
      <c r="P30" s="13">
        <f t="shared" si="25"/>
        <v>1.1341063517725651</v>
      </c>
      <c r="Q30" s="13">
        <f t="shared" si="25"/>
        <v>0.98717682359616987</v>
      </c>
      <c r="R30" s="13">
        <f t="shared" si="25"/>
        <v>1.0030734670222123</v>
      </c>
      <c r="S30" s="13" t="e">
        <f t="shared" si="25"/>
        <v>#DIV/0!</v>
      </c>
      <c r="T30" s="13" t="e">
        <f t="shared" si="25"/>
        <v>#DIV/0!</v>
      </c>
      <c r="U30" s="13" t="e">
        <f t="shared" si="25"/>
        <v>#DIV/0!</v>
      </c>
      <c r="V30" s="13" t="e">
        <f t="shared" si="25"/>
        <v>#DIV/0!</v>
      </c>
      <c r="W30" s="13" t="e">
        <f t="shared" si="25"/>
        <v>#DIV/0!</v>
      </c>
      <c r="X30" s="13" t="e">
        <f t="shared" si="25"/>
        <v>#DIV/0!</v>
      </c>
      <c r="Y30" s="13" t="e">
        <f t="shared" si="25"/>
        <v>#DIV/0!</v>
      </c>
      <c r="Z30" s="13" t="e">
        <f t="shared" si="25"/>
        <v>#DIV/0!</v>
      </c>
    </row>
    <row r="31" spans="2:26" ht="12.75" customHeight="1" collapsed="1">
      <c r="B31" s="8"/>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2:26" ht="12.75" customHeight="1">
      <c r="B32" s="105" t="s">
        <v>79</v>
      </c>
      <c r="C32" s="129">
        <f>IF(C14="DoubleSides",NORMSDIST((C21-C24)/C23)-NORMSDIST((C22-C24)/C23),IF(C14="SingleSide-USL",NORMSDIST((C21-C24)/C23),IF(C14="SingleSide-LSL",1-NORMSDIST((C22-C24)/C23),IF(C14="Actual Yield (n&gt;=100)",IF(COUNT(C35:C65536)&gt;=100,(COUNTIF(C35:C65536,"&lt;="&amp;C21)-COUNTIF(C35:C65536,"&lt;"&amp;C22))/COUNT(C35:C65536),"Too Few Records"),IF(C14="Go/NoGo Gauge (n&gt;=100)",IF(COUNTA(C35:C65536)&gt;=100, COUNTIF(C35:C65536,"OK")/COUNTA(C35:C65536),"Too Few Records"),"Error")))))</f>
        <v>0.99999999975336529</v>
      </c>
      <c r="D32" s="129">
        <f t="shared" ref="D32:Z32" si="26">IF(D14="DoubleSides",NORMSDIST((D21-D24)/D23)-NORMSDIST((D22-D24)/D23),IF(D14="SingleSide-USL",NORMSDIST((D21-D24)/D23),IF(D14="SingleSide-LSL",1-NORMSDIST((D22-D24)/D23),IF(D14="Actual Yield (n&gt;=100)",IF(COUNT(D35:D65536)&gt;=100,(COUNTIF(D35:D65536,"&lt;="&amp;D21)-COUNTIF(D35:D65536,"&lt;"&amp;D22))/COUNT(D35:D65536),"Too Few Records"),IF(D14="Go/NoGo Gauge (n&gt;=100)",IF(COUNTA(D35:D65536)&gt;=100, COUNTIF(D35:D65536,"OK")/COUNTA(D35:D65536),"Too Few Records"),"Error")))))</f>
        <v>0.99999996814680558</v>
      </c>
      <c r="E32" s="129">
        <f t="shared" si="26"/>
        <v>0.98860987142465595</v>
      </c>
      <c r="F32" s="129">
        <f t="shared" si="26"/>
        <v>1</v>
      </c>
      <c r="G32" s="129">
        <f t="shared" si="26"/>
        <v>0.99999999521116067</v>
      </c>
      <c r="H32" s="129">
        <f t="shared" si="26"/>
        <v>0.9999978748340701</v>
      </c>
      <c r="I32" s="129">
        <f t="shared" si="26"/>
        <v>0.99999588410403895</v>
      </c>
      <c r="J32" s="129">
        <f t="shared" si="26"/>
        <v>0.97043658318002746</v>
      </c>
      <c r="K32" s="129">
        <f t="shared" si="26"/>
        <v>0.94010037894930876</v>
      </c>
      <c r="L32" s="129">
        <f t="shared" si="26"/>
        <v>0.95999407502214384</v>
      </c>
      <c r="M32" s="129">
        <f t="shared" si="26"/>
        <v>0.99818979651388751</v>
      </c>
      <c r="N32" s="129">
        <f t="shared" si="26"/>
        <v>0.97105397795744408</v>
      </c>
      <c r="O32" s="129">
        <f t="shared" si="26"/>
        <v>0.99616950333863874</v>
      </c>
      <c r="P32" s="129">
        <f t="shared" si="26"/>
        <v>0.99965702617614993</v>
      </c>
      <c r="Q32" s="129">
        <f t="shared" si="26"/>
        <v>0.99846942898908686</v>
      </c>
      <c r="R32" s="129">
        <f t="shared" si="26"/>
        <v>0.99869040483056803</v>
      </c>
      <c r="S32" s="129" t="str">
        <f t="shared" si="26"/>
        <v>Error</v>
      </c>
      <c r="T32" s="129" t="str">
        <f t="shared" si="26"/>
        <v>Error</v>
      </c>
      <c r="U32" s="129" t="str">
        <f t="shared" si="26"/>
        <v>Error</v>
      </c>
      <c r="V32" s="129" t="str">
        <f t="shared" si="26"/>
        <v>Error</v>
      </c>
      <c r="W32" s="129" t="str">
        <f t="shared" si="26"/>
        <v>Error</v>
      </c>
      <c r="X32" s="129" t="str">
        <f t="shared" si="26"/>
        <v>Error</v>
      </c>
      <c r="Y32" s="129" t="str">
        <f t="shared" si="26"/>
        <v>Error</v>
      </c>
      <c r="Z32" s="129" t="str">
        <f t="shared" si="26"/>
        <v>Error</v>
      </c>
    </row>
    <row r="33" spans="2:26" ht="12.75" customHeight="1">
      <c r="B33" s="105" t="s">
        <v>78</v>
      </c>
      <c r="C33" s="12">
        <f>C24-(C21+C22)/2</f>
        <v>3.5718749999997801E-3</v>
      </c>
      <c r="D33" s="12">
        <f t="shared" ref="D33:Z33" si="27">D24-(D21+D22)/2</f>
        <v>-2.3362500000000064E-2</v>
      </c>
      <c r="E33" s="12">
        <f t="shared" si="27"/>
        <v>-3.3049999999999358E-2</v>
      </c>
      <c r="F33" s="12">
        <f t="shared" si="27"/>
        <v>-1.9968749999999869E-2</v>
      </c>
      <c r="G33" s="12">
        <f t="shared" si="27"/>
        <v>2.7937500000000393E-3</v>
      </c>
      <c r="H33" s="12">
        <f t="shared" si="27"/>
        <v>4.1968749999998778E-3</v>
      </c>
      <c r="I33" s="12">
        <f t="shared" si="27"/>
        <v>-3.6309375000000532E-2</v>
      </c>
      <c r="J33" s="12">
        <f t="shared" si="27"/>
        <v>1.9178125000000046E-2</v>
      </c>
      <c r="K33" s="12">
        <f t="shared" si="27"/>
        <v>2.115312500000005E-2</v>
      </c>
      <c r="L33" s="12">
        <f t="shared" si="27"/>
        <v>1.5756250000000027E-2</v>
      </c>
      <c r="M33" s="12">
        <f t="shared" si="27"/>
        <v>3.0531249999999899E-3</v>
      </c>
      <c r="N33" s="12">
        <f t="shared" si="27"/>
        <v>-9.7843750000000396E-3</v>
      </c>
      <c r="O33" s="12">
        <f t="shared" si="27"/>
        <v>-9.0843749999998114E-3</v>
      </c>
      <c r="P33" s="12">
        <f t="shared" si="27"/>
        <v>3.4656249999999167E-3</v>
      </c>
      <c r="Q33" s="12">
        <f t="shared" si="27"/>
        <v>-6.8925000000000125E-2</v>
      </c>
      <c r="R33" s="12">
        <f t="shared" si="27"/>
        <v>-2.1243750000000006E-2</v>
      </c>
      <c r="S33" s="12" t="e">
        <f t="shared" si="27"/>
        <v>#DIV/0!</v>
      </c>
      <c r="T33" s="12" t="e">
        <f t="shared" si="27"/>
        <v>#DIV/0!</v>
      </c>
      <c r="U33" s="12" t="e">
        <f t="shared" si="27"/>
        <v>#DIV/0!</v>
      </c>
      <c r="V33" s="12" t="e">
        <f t="shared" si="27"/>
        <v>#DIV/0!</v>
      </c>
      <c r="W33" s="12" t="e">
        <f t="shared" si="27"/>
        <v>#DIV/0!</v>
      </c>
      <c r="X33" s="12" t="e">
        <f t="shared" si="27"/>
        <v>#DIV/0!</v>
      </c>
      <c r="Y33" s="12" t="e">
        <f t="shared" si="27"/>
        <v>#DIV/0!</v>
      </c>
      <c r="Z33" s="12" t="e">
        <f t="shared" si="27"/>
        <v>#DIV/0!</v>
      </c>
    </row>
    <row r="34" spans="2:26" ht="12.75" customHeight="1">
      <c r="B34" s="9"/>
      <c r="C34" s="14"/>
      <c r="D34" s="14"/>
      <c r="E34" s="14"/>
      <c r="F34" s="14"/>
      <c r="G34" s="14"/>
      <c r="H34" s="14"/>
      <c r="I34" s="14"/>
      <c r="J34" s="14"/>
      <c r="K34" s="14"/>
      <c r="L34" s="14"/>
      <c r="M34" s="14"/>
      <c r="N34" s="14"/>
      <c r="O34" s="14"/>
      <c r="P34" s="14"/>
      <c r="Q34" s="14"/>
      <c r="R34" s="14"/>
      <c r="S34" s="14"/>
      <c r="T34" s="14"/>
      <c r="U34" s="15"/>
      <c r="V34" s="14"/>
      <c r="W34" s="14"/>
      <c r="X34" s="14"/>
      <c r="Y34" s="14"/>
      <c r="Z34" s="14"/>
    </row>
    <row r="35" spans="2:26" ht="12.75" customHeight="1">
      <c r="B35" s="113">
        <v>1</v>
      </c>
      <c r="C35" s="147">
        <v>1.3056000000000001</v>
      </c>
      <c r="D35" s="147">
        <v>0.98299999999999998</v>
      </c>
      <c r="E35" s="147">
        <v>2.3611</v>
      </c>
      <c r="F35" s="147">
        <v>3.2789999999999999</v>
      </c>
      <c r="G35" s="147">
        <v>0.87409999999999999</v>
      </c>
      <c r="H35" s="147">
        <v>0.87919999999999998</v>
      </c>
      <c r="I35" s="147">
        <v>2.86</v>
      </c>
      <c r="J35" s="147">
        <v>0.3196</v>
      </c>
      <c r="K35" s="147">
        <v>0.31830000000000003</v>
      </c>
      <c r="L35" s="147">
        <v>0.252</v>
      </c>
      <c r="M35" s="147">
        <v>0.25869999999999999</v>
      </c>
      <c r="N35" s="147">
        <v>0.23250000000000001</v>
      </c>
      <c r="O35" s="147">
        <v>0.56169999999999998</v>
      </c>
      <c r="P35" s="147">
        <v>0.56210000000000004</v>
      </c>
      <c r="Q35" s="147">
        <v>1.1930000000000001</v>
      </c>
      <c r="R35" s="147">
        <v>1.2416</v>
      </c>
      <c r="S35" s="114"/>
      <c r="T35" s="114"/>
      <c r="U35" s="114"/>
      <c r="V35" s="114"/>
      <c r="W35" s="114"/>
      <c r="X35" s="114"/>
      <c r="Y35" s="114"/>
      <c r="Z35" s="114"/>
    </row>
    <row r="36" spans="2:26" ht="12.75" customHeight="1">
      <c r="B36" s="113">
        <v>2</v>
      </c>
      <c r="C36" s="147">
        <v>1.3084</v>
      </c>
      <c r="D36" s="147">
        <v>0.97430000000000005</v>
      </c>
      <c r="E36" s="147">
        <v>2.3666999999999998</v>
      </c>
      <c r="F36" s="147">
        <v>3.2810000000000001</v>
      </c>
      <c r="G36" s="147">
        <v>0.86839999999999995</v>
      </c>
      <c r="H36" s="147">
        <v>0.86729999999999996</v>
      </c>
      <c r="I36" s="147">
        <v>2.8582999999999998</v>
      </c>
      <c r="J36" s="147">
        <v>0.3216</v>
      </c>
      <c r="K36" s="147">
        <v>0.32129999999999997</v>
      </c>
      <c r="L36" s="147">
        <v>0.26450000000000001</v>
      </c>
      <c r="M36" s="147">
        <v>0.26319999999999999</v>
      </c>
      <c r="N36" s="147">
        <v>0.25180000000000002</v>
      </c>
      <c r="O36" s="147">
        <v>0.55720000000000003</v>
      </c>
      <c r="P36" s="147">
        <v>0.58399999999999996</v>
      </c>
      <c r="Q36" s="147">
        <v>1.1739999999999999</v>
      </c>
      <c r="R36" s="147">
        <v>1.2403</v>
      </c>
      <c r="S36" s="114"/>
      <c r="T36" s="114"/>
      <c r="U36" s="114"/>
      <c r="V36" s="114"/>
      <c r="W36" s="114"/>
      <c r="X36" s="114"/>
      <c r="Y36" s="114"/>
      <c r="Z36" s="114"/>
    </row>
    <row r="37" spans="2:26" ht="12.75" customHeight="1">
      <c r="B37" s="113">
        <v>3</v>
      </c>
      <c r="C37" s="147">
        <v>1.3049999999999999</v>
      </c>
      <c r="D37" s="147">
        <v>0.97389999999999999</v>
      </c>
      <c r="E37" s="147">
        <v>2.3654000000000002</v>
      </c>
      <c r="F37" s="147">
        <v>3.282</v>
      </c>
      <c r="G37" s="147">
        <v>0.84799999999999998</v>
      </c>
      <c r="H37" s="147">
        <v>0.84830000000000005</v>
      </c>
      <c r="I37" s="147">
        <v>2.8599000000000001</v>
      </c>
      <c r="J37" s="147">
        <v>0.32669999999999999</v>
      </c>
      <c r="K37" s="147">
        <v>0.32440000000000002</v>
      </c>
      <c r="L37" s="147">
        <v>0.27389999999999998</v>
      </c>
      <c r="M37" s="147">
        <v>0.2384</v>
      </c>
      <c r="N37" s="147">
        <v>0.24679999999999999</v>
      </c>
      <c r="O37" s="147">
        <v>0.56950000000000001</v>
      </c>
      <c r="P37" s="147">
        <v>0.57530000000000003</v>
      </c>
      <c r="Q37" s="147">
        <v>1.1814</v>
      </c>
      <c r="R37" s="147">
        <v>1.2281</v>
      </c>
      <c r="S37" s="114"/>
      <c r="T37" s="114"/>
      <c r="U37" s="114"/>
      <c r="V37" s="114"/>
      <c r="W37" s="114"/>
      <c r="X37" s="114"/>
      <c r="Y37" s="114"/>
      <c r="Z37" s="114"/>
    </row>
    <row r="38" spans="2:26" ht="12.75" customHeight="1">
      <c r="B38" s="113">
        <v>4</v>
      </c>
      <c r="C38" s="147">
        <v>1.3095000000000001</v>
      </c>
      <c r="D38" s="147">
        <v>0.97399999999999998</v>
      </c>
      <c r="E38" s="147">
        <v>2.371</v>
      </c>
      <c r="F38" s="147">
        <v>3.2850000000000001</v>
      </c>
      <c r="G38" s="147">
        <v>0.873</v>
      </c>
      <c r="H38" s="147">
        <v>0.875</v>
      </c>
      <c r="I38" s="147">
        <v>2.8645999999999998</v>
      </c>
      <c r="J38" s="147">
        <v>0.32790000000000002</v>
      </c>
      <c r="K38" s="147">
        <v>0.31090000000000001</v>
      </c>
      <c r="L38" s="147">
        <v>0.27729999999999999</v>
      </c>
      <c r="M38" s="147">
        <v>0.2482</v>
      </c>
      <c r="N38" s="147">
        <v>0.2311</v>
      </c>
      <c r="O38" s="147">
        <v>0.55679999999999996</v>
      </c>
      <c r="P38" s="147">
        <v>0.57379999999999998</v>
      </c>
      <c r="Q38" s="147">
        <v>1.1762999999999999</v>
      </c>
      <c r="R38" s="147">
        <v>1.2146999999999999</v>
      </c>
      <c r="S38" s="114"/>
      <c r="T38" s="114"/>
      <c r="U38" s="114"/>
      <c r="V38" s="114"/>
      <c r="W38" s="114"/>
      <c r="X38" s="114"/>
      <c r="Y38" s="114"/>
      <c r="Z38" s="114"/>
    </row>
    <row r="39" spans="2:26" ht="12.75" customHeight="1">
      <c r="B39" s="113">
        <v>5</v>
      </c>
      <c r="C39" s="147">
        <v>1.2994000000000001</v>
      </c>
      <c r="D39" s="147">
        <v>0.97750000000000004</v>
      </c>
      <c r="E39" s="147">
        <v>2.3647999999999998</v>
      </c>
      <c r="F39" s="147">
        <v>3.2850000000000001</v>
      </c>
      <c r="G39" s="147">
        <v>0.84989999999999999</v>
      </c>
      <c r="H39" s="147">
        <v>0.86009999999999998</v>
      </c>
      <c r="I39" s="147">
        <v>2.8656000000000001</v>
      </c>
      <c r="J39" s="147">
        <v>0.31</v>
      </c>
      <c r="K39" s="147">
        <v>0.31259999999999999</v>
      </c>
      <c r="L39" s="147">
        <v>0.27629999999999999</v>
      </c>
      <c r="M39" s="147">
        <v>0.25869999999999999</v>
      </c>
      <c r="N39" s="147">
        <v>0.2233</v>
      </c>
      <c r="O39" s="147">
        <v>0.56610000000000005</v>
      </c>
      <c r="P39" s="147">
        <v>0.55640000000000001</v>
      </c>
      <c r="Q39" s="147">
        <v>1.198</v>
      </c>
      <c r="R39" s="147">
        <v>1.2336</v>
      </c>
      <c r="S39" s="114"/>
      <c r="T39" s="114"/>
      <c r="U39" s="114"/>
      <c r="V39" s="114"/>
      <c r="W39" s="114"/>
      <c r="X39" s="114"/>
      <c r="Y39" s="114"/>
      <c r="Z39" s="114"/>
    </row>
    <row r="40" spans="2:26" ht="12.75" customHeight="1">
      <c r="B40" s="113">
        <v>6</v>
      </c>
      <c r="C40" s="147">
        <v>1.2951999999999999</v>
      </c>
      <c r="D40" s="147">
        <v>0.9738</v>
      </c>
      <c r="E40" s="147">
        <v>2.3719999999999999</v>
      </c>
      <c r="F40" s="147">
        <v>3.282</v>
      </c>
      <c r="G40" s="147">
        <v>0.85619999999999996</v>
      </c>
      <c r="H40" s="147">
        <v>0.85289999999999999</v>
      </c>
      <c r="I40" s="147">
        <v>2.8593000000000002</v>
      </c>
      <c r="J40" s="147">
        <v>0.3261</v>
      </c>
      <c r="K40" s="147">
        <v>0.32969999999999999</v>
      </c>
      <c r="L40" s="147">
        <v>0.26390000000000002</v>
      </c>
      <c r="M40" s="147">
        <v>0.2374</v>
      </c>
      <c r="N40" s="147">
        <v>0.22650000000000001</v>
      </c>
      <c r="O40" s="147">
        <v>0.54679999999999995</v>
      </c>
      <c r="P40" s="147">
        <v>0.57269999999999999</v>
      </c>
      <c r="Q40" s="147">
        <v>1.1748000000000001</v>
      </c>
      <c r="R40" s="147">
        <v>1.2110000000000001</v>
      </c>
      <c r="S40" s="114"/>
      <c r="T40" s="114"/>
      <c r="U40" s="114"/>
      <c r="V40" s="114"/>
      <c r="W40" s="114"/>
      <c r="X40" s="114"/>
      <c r="Y40" s="114"/>
      <c r="Z40" s="114"/>
    </row>
    <row r="41" spans="2:26" ht="12.75" customHeight="1">
      <c r="B41" s="113">
        <v>7</v>
      </c>
      <c r="C41" s="147">
        <v>1.2946</v>
      </c>
      <c r="D41" s="147">
        <v>0.97340000000000004</v>
      </c>
      <c r="E41" s="147">
        <v>2.3654000000000002</v>
      </c>
      <c r="F41" s="147">
        <v>3.2749999999999999</v>
      </c>
      <c r="G41" s="147">
        <v>0.86270000000000002</v>
      </c>
      <c r="H41" s="147">
        <v>0.8629</v>
      </c>
      <c r="I41" s="147">
        <v>2.8687</v>
      </c>
      <c r="J41" s="147">
        <v>0.31669999999999998</v>
      </c>
      <c r="K41" s="147">
        <v>0.3266</v>
      </c>
      <c r="L41" s="147">
        <v>0.27079999999999999</v>
      </c>
      <c r="M41" s="147">
        <v>0.2671</v>
      </c>
      <c r="N41" s="147">
        <v>0.224</v>
      </c>
      <c r="O41" s="147">
        <v>0.56440000000000001</v>
      </c>
      <c r="P41" s="147">
        <v>0.57110000000000005</v>
      </c>
      <c r="Q41" s="147">
        <v>1.1729000000000001</v>
      </c>
      <c r="R41" s="147">
        <v>1.2262999999999999</v>
      </c>
      <c r="S41" s="114"/>
      <c r="T41" s="114"/>
      <c r="U41" s="114"/>
      <c r="V41" s="114"/>
      <c r="W41" s="114"/>
      <c r="X41" s="114"/>
      <c r="Y41" s="114"/>
      <c r="Z41" s="114"/>
    </row>
    <row r="42" spans="2:26" ht="12.75" customHeight="1">
      <c r="B42" s="113">
        <v>8</v>
      </c>
      <c r="C42" s="147">
        <v>1.2986</v>
      </c>
      <c r="D42" s="147">
        <v>0.97250000000000003</v>
      </c>
      <c r="E42" s="147">
        <v>2.3679999999999999</v>
      </c>
      <c r="F42" s="147">
        <v>3.278</v>
      </c>
      <c r="G42" s="147">
        <v>0.87509999999999999</v>
      </c>
      <c r="H42" s="147">
        <v>0.87260000000000004</v>
      </c>
      <c r="I42" s="147">
        <v>2.8656999999999999</v>
      </c>
      <c r="J42" s="147">
        <v>0.30909999999999999</v>
      </c>
      <c r="K42" s="147">
        <v>0.3251</v>
      </c>
      <c r="L42" s="147">
        <v>0.27350000000000002</v>
      </c>
      <c r="M42" s="147">
        <v>0.26700000000000002</v>
      </c>
      <c r="N42" s="147">
        <v>0.25290000000000001</v>
      </c>
      <c r="O42" s="147">
        <v>0.56879999999999997</v>
      </c>
      <c r="P42" s="147">
        <v>0.57150000000000001</v>
      </c>
      <c r="Q42" s="147">
        <v>1.167</v>
      </c>
      <c r="R42" s="147">
        <v>1.2156</v>
      </c>
      <c r="S42" s="114"/>
      <c r="T42" s="114"/>
      <c r="U42" s="114"/>
      <c r="V42" s="114"/>
      <c r="W42" s="114"/>
      <c r="X42" s="114"/>
      <c r="Y42" s="114"/>
      <c r="Z42" s="114"/>
    </row>
    <row r="43" spans="2:26" ht="12.75" customHeight="1">
      <c r="B43" s="113">
        <v>9</v>
      </c>
      <c r="C43" s="147">
        <v>1.3009999999999999</v>
      </c>
      <c r="D43" s="147">
        <v>0.97399999999999998</v>
      </c>
      <c r="E43" s="147">
        <v>2.3639999999999999</v>
      </c>
      <c r="F43" s="147">
        <v>3.278</v>
      </c>
      <c r="G43" s="147">
        <v>0.86299999999999999</v>
      </c>
      <c r="H43" s="147">
        <v>0.875</v>
      </c>
      <c r="I43" s="147">
        <v>2.867</v>
      </c>
      <c r="J43" s="147">
        <v>0.32300000000000001</v>
      </c>
      <c r="K43" s="147">
        <v>0.32200000000000001</v>
      </c>
      <c r="L43" s="147">
        <v>0.27300000000000002</v>
      </c>
      <c r="M43" s="147">
        <v>0.251</v>
      </c>
      <c r="N43" s="147">
        <v>0.249</v>
      </c>
      <c r="O43" s="147">
        <v>0.56200000000000006</v>
      </c>
      <c r="P43" s="147">
        <v>0.58399999999999996</v>
      </c>
      <c r="Q43" s="147">
        <v>1.177</v>
      </c>
      <c r="R43" s="147">
        <v>1.24</v>
      </c>
      <c r="S43" s="114"/>
      <c r="T43" s="114"/>
      <c r="U43" s="114"/>
      <c r="V43" s="114"/>
      <c r="W43" s="114"/>
      <c r="X43" s="114"/>
      <c r="Y43" s="114"/>
      <c r="Z43" s="114"/>
    </row>
    <row r="44" spans="2:26" ht="12.75" customHeight="1">
      <c r="B44" s="113">
        <v>10</v>
      </c>
      <c r="C44" s="147">
        <v>1.3029999999999999</v>
      </c>
      <c r="D44" s="147">
        <v>0.98099999999999998</v>
      </c>
      <c r="E44" s="147">
        <v>2.363</v>
      </c>
      <c r="F44" s="147">
        <v>3.2829999999999999</v>
      </c>
      <c r="G44" s="147">
        <v>0.86899999999999999</v>
      </c>
      <c r="H44" s="147">
        <v>0.872</v>
      </c>
      <c r="I44" s="147">
        <v>2.8639999999999999</v>
      </c>
      <c r="J44" s="147">
        <v>0.32500000000000001</v>
      </c>
      <c r="K44" s="147">
        <v>0.32900000000000001</v>
      </c>
      <c r="L44" s="147">
        <v>0.26400000000000001</v>
      </c>
      <c r="M44" s="147">
        <v>0.26100000000000001</v>
      </c>
      <c r="N44" s="147">
        <v>0.252</v>
      </c>
      <c r="O44" s="147">
        <v>0.55900000000000005</v>
      </c>
      <c r="P44" s="147">
        <v>0.57199999999999995</v>
      </c>
      <c r="Q44" s="147">
        <v>1.171</v>
      </c>
      <c r="R44" s="147">
        <v>1.2190000000000001</v>
      </c>
      <c r="S44" s="114"/>
      <c r="T44" s="114"/>
      <c r="U44" s="114"/>
      <c r="V44" s="114"/>
      <c r="W44" s="114"/>
      <c r="X44" s="114"/>
      <c r="Y44" s="114"/>
      <c r="Z44" s="114"/>
    </row>
    <row r="45" spans="2:26" ht="12.75" customHeight="1">
      <c r="B45" s="113">
        <v>11</v>
      </c>
      <c r="C45" s="147">
        <v>1.304</v>
      </c>
      <c r="D45" s="147">
        <v>0.98</v>
      </c>
      <c r="E45" s="147">
        <v>2.37</v>
      </c>
      <c r="F45" s="147">
        <v>3.2810000000000001</v>
      </c>
      <c r="G45" s="147">
        <v>0.86199999999999999</v>
      </c>
      <c r="H45" s="147">
        <v>0.85</v>
      </c>
      <c r="I45" s="147">
        <v>2.86</v>
      </c>
      <c r="J45" s="147">
        <v>0.32500000000000001</v>
      </c>
      <c r="K45" s="147">
        <v>0.32500000000000001</v>
      </c>
      <c r="L45" s="147">
        <v>0.255</v>
      </c>
      <c r="M45" s="147">
        <v>0.23799999999999999</v>
      </c>
      <c r="N45" s="147">
        <v>0.23499999999999999</v>
      </c>
      <c r="O45" s="147">
        <v>0.54700000000000004</v>
      </c>
      <c r="P45" s="147">
        <v>0.56399999999999995</v>
      </c>
      <c r="Q45" s="147">
        <v>1.175</v>
      </c>
      <c r="R45" s="147">
        <v>1.222</v>
      </c>
      <c r="S45" s="114"/>
      <c r="T45" s="114"/>
      <c r="U45" s="114"/>
      <c r="V45" s="114"/>
      <c r="W45" s="114"/>
      <c r="X45" s="114"/>
      <c r="Y45" s="114"/>
      <c r="Z45" s="114"/>
    </row>
    <row r="46" spans="2:26" ht="12.75" customHeight="1">
      <c r="B46" s="113">
        <v>12</v>
      </c>
      <c r="C46" s="147">
        <v>1.304</v>
      </c>
      <c r="D46" s="147">
        <v>0.97299999999999998</v>
      </c>
      <c r="E46" s="147">
        <v>2.3620000000000001</v>
      </c>
      <c r="F46" s="147">
        <v>3.2759999999999998</v>
      </c>
      <c r="G46" s="147">
        <v>0.86299999999999999</v>
      </c>
      <c r="H46" s="147">
        <v>0.85099999999999998</v>
      </c>
      <c r="I46" s="147">
        <v>2.8620000000000001</v>
      </c>
      <c r="J46" s="147">
        <v>0.31900000000000001</v>
      </c>
      <c r="K46" s="147">
        <v>0.313</v>
      </c>
      <c r="L46" s="147">
        <v>0.27700000000000002</v>
      </c>
      <c r="M46" s="147">
        <v>0.24099999999999999</v>
      </c>
      <c r="N46" s="147">
        <v>0.24299999999999999</v>
      </c>
      <c r="O46" s="147">
        <v>0.54900000000000004</v>
      </c>
      <c r="P46" s="147">
        <v>0.56899999999999995</v>
      </c>
      <c r="Q46" s="147">
        <v>1.1970000000000001</v>
      </c>
      <c r="R46" s="147">
        <v>1.2410000000000001</v>
      </c>
      <c r="S46" s="114"/>
      <c r="T46" s="114"/>
      <c r="U46" s="114"/>
      <c r="V46" s="114"/>
      <c r="W46" s="114"/>
      <c r="X46" s="114"/>
      <c r="Y46" s="114"/>
      <c r="Z46" s="114"/>
    </row>
    <row r="47" spans="2:26" ht="12.75" customHeight="1">
      <c r="B47" s="113">
        <v>13</v>
      </c>
      <c r="C47" s="147">
        <v>1.298</v>
      </c>
      <c r="D47" s="147">
        <v>0.97599999999999998</v>
      </c>
      <c r="E47" s="147">
        <v>2.371</v>
      </c>
      <c r="F47" s="147">
        <v>3.2770000000000001</v>
      </c>
      <c r="G47" s="147">
        <v>0.85599999999999998</v>
      </c>
      <c r="H47" s="147">
        <v>0.85799999999999998</v>
      </c>
      <c r="I47" s="147">
        <v>2.8620000000000001</v>
      </c>
      <c r="J47" s="147">
        <v>0.32200000000000001</v>
      </c>
      <c r="K47" s="147">
        <v>0.317</v>
      </c>
      <c r="L47" s="147">
        <v>0.25600000000000001</v>
      </c>
      <c r="M47" s="147">
        <v>0.255</v>
      </c>
      <c r="N47" s="147">
        <v>0.22900000000000001</v>
      </c>
      <c r="O47" s="147">
        <v>0.56799999999999995</v>
      </c>
      <c r="P47" s="147">
        <v>0.57599999999999996</v>
      </c>
      <c r="Q47" s="147">
        <v>1.1970000000000001</v>
      </c>
      <c r="R47" s="147">
        <v>1.2310000000000001</v>
      </c>
      <c r="S47" s="114"/>
      <c r="T47" s="114"/>
      <c r="U47" s="114"/>
      <c r="V47" s="114"/>
      <c r="W47" s="114"/>
      <c r="X47" s="114"/>
      <c r="Y47" s="114"/>
      <c r="Z47" s="114"/>
    </row>
    <row r="48" spans="2:26" ht="12.75" customHeight="1">
      <c r="B48" s="113">
        <v>14</v>
      </c>
      <c r="C48" s="147">
        <v>1.3029999999999999</v>
      </c>
      <c r="D48" s="147">
        <v>0.98199999999999998</v>
      </c>
      <c r="E48" s="147">
        <v>2.3679999999999999</v>
      </c>
      <c r="F48" s="147">
        <v>3.2789999999999999</v>
      </c>
      <c r="G48" s="147">
        <v>0.871</v>
      </c>
      <c r="H48" s="147">
        <v>0.86399999999999999</v>
      </c>
      <c r="I48" s="147">
        <v>2.8639999999999999</v>
      </c>
      <c r="J48" s="147">
        <v>0.318</v>
      </c>
      <c r="K48" s="147">
        <v>0.317</v>
      </c>
      <c r="L48" s="147">
        <v>0.254</v>
      </c>
      <c r="M48" s="147">
        <v>0.25600000000000001</v>
      </c>
      <c r="N48" s="147">
        <v>0.23899999999999999</v>
      </c>
      <c r="O48" s="147">
        <v>0.55300000000000005</v>
      </c>
      <c r="P48" s="147">
        <v>0.57499999999999996</v>
      </c>
      <c r="Q48" s="147">
        <v>1.1839999999999999</v>
      </c>
      <c r="R48" s="147">
        <v>1.2190000000000001</v>
      </c>
      <c r="S48" s="114"/>
      <c r="T48" s="114"/>
      <c r="U48" s="114"/>
      <c r="V48" s="114"/>
      <c r="W48" s="114"/>
      <c r="X48" s="114"/>
      <c r="Y48" s="114"/>
      <c r="Z48" s="114"/>
    </row>
    <row r="49" spans="2:26" ht="12.75" customHeight="1">
      <c r="B49" s="113">
        <v>15</v>
      </c>
      <c r="C49" s="147">
        <v>1.306</v>
      </c>
      <c r="D49" s="147">
        <v>0.98199999999999998</v>
      </c>
      <c r="E49" s="147">
        <v>2.367</v>
      </c>
      <c r="F49" s="147">
        <v>3.2759999999999998</v>
      </c>
      <c r="G49" s="147">
        <v>0.86699999999999999</v>
      </c>
      <c r="H49" s="147">
        <v>0.86299999999999999</v>
      </c>
      <c r="I49" s="147">
        <v>2.8679999999999999</v>
      </c>
      <c r="J49" s="147">
        <v>0.313</v>
      </c>
      <c r="K49" s="147">
        <v>0.32800000000000001</v>
      </c>
      <c r="L49" s="147">
        <v>0.27</v>
      </c>
      <c r="M49" s="147">
        <v>0.23799999999999999</v>
      </c>
      <c r="N49" s="147">
        <v>0.251</v>
      </c>
      <c r="O49" s="147">
        <v>0.55300000000000005</v>
      </c>
      <c r="P49" s="147">
        <v>0.55900000000000005</v>
      </c>
      <c r="Q49" s="147">
        <v>1.1870000000000001</v>
      </c>
      <c r="R49" s="147">
        <v>1.22</v>
      </c>
      <c r="S49" s="114"/>
      <c r="T49" s="114"/>
      <c r="U49" s="114"/>
      <c r="V49" s="114"/>
      <c r="W49" s="114"/>
      <c r="X49" s="114"/>
      <c r="Y49" s="114"/>
      <c r="Z49" s="114"/>
    </row>
    <row r="50" spans="2:26" ht="12.75" customHeight="1">
      <c r="B50" s="113">
        <v>16</v>
      </c>
      <c r="C50" s="147">
        <v>1.3080000000000001</v>
      </c>
      <c r="D50" s="147">
        <v>0.97499999999999998</v>
      </c>
      <c r="E50" s="147">
        <v>2.3690000000000002</v>
      </c>
      <c r="F50" s="147">
        <v>3.278</v>
      </c>
      <c r="G50" s="147">
        <v>0.86399999999999999</v>
      </c>
      <c r="H50" s="147">
        <v>0.85</v>
      </c>
      <c r="I50" s="147">
        <v>2.859</v>
      </c>
      <c r="J50" s="147">
        <v>0.32600000000000001</v>
      </c>
      <c r="K50" s="147">
        <v>0.317</v>
      </c>
      <c r="L50" s="147">
        <v>0.27300000000000002</v>
      </c>
      <c r="M50" s="147">
        <v>0.253</v>
      </c>
      <c r="N50" s="147">
        <v>0.253</v>
      </c>
      <c r="O50" s="147">
        <v>0.54700000000000004</v>
      </c>
      <c r="P50" s="147">
        <v>0.56399999999999995</v>
      </c>
      <c r="Q50" s="147">
        <v>1.1719999999999999</v>
      </c>
      <c r="R50" s="147">
        <v>1.2350000000000001</v>
      </c>
      <c r="S50" s="114"/>
      <c r="T50" s="114"/>
      <c r="U50" s="114"/>
      <c r="V50" s="114"/>
      <c r="W50" s="114"/>
      <c r="X50" s="114"/>
      <c r="Y50" s="114"/>
      <c r="Z50" s="114"/>
    </row>
    <row r="51" spans="2:26" ht="12.75" customHeight="1">
      <c r="B51" s="113">
        <v>17</v>
      </c>
      <c r="C51" s="147">
        <v>1.298</v>
      </c>
      <c r="D51" s="147">
        <v>0.97599999999999998</v>
      </c>
      <c r="E51" s="147">
        <v>2.371</v>
      </c>
      <c r="F51" s="147">
        <v>3.2789999999999999</v>
      </c>
      <c r="G51" s="147">
        <v>0.87</v>
      </c>
      <c r="H51" s="147">
        <v>0.86799999999999999</v>
      </c>
      <c r="I51" s="147">
        <v>2.867</v>
      </c>
      <c r="J51" s="147">
        <v>0.32500000000000001</v>
      </c>
      <c r="K51" s="147">
        <v>0.311</v>
      </c>
      <c r="L51" s="147">
        <v>0.27500000000000002</v>
      </c>
      <c r="M51" s="147">
        <v>0.252</v>
      </c>
      <c r="N51" s="147">
        <v>0.22600000000000001</v>
      </c>
      <c r="O51" s="147">
        <v>0.55100000000000005</v>
      </c>
      <c r="P51" s="147">
        <v>0.58299999999999996</v>
      </c>
      <c r="Q51" s="147">
        <v>1.1679999999999999</v>
      </c>
      <c r="R51" s="147">
        <v>1.24</v>
      </c>
      <c r="S51" s="114"/>
      <c r="T51" s="114"/>
      <c r="U51" s="114"/>
      <c r="V51" s="114"/>
      <c r="W51" s="114"/>
      <c r="X51" s="114"/>
      <c r="Y51" s="114"/>
      <c r="Z51" s="114"/>
    </row>
    <row r="52" spans="2:26" ht="12.75" customHeight="1">
      <c r="B52" s="113">
        <v>18</v>
      </c>
      <c r="C52" s="147">
        <v>1.3080000000000001</v>
      </c>
      <c r="D52" s="147">
        <v>0.97899999999999998</v>
      </c>
      <c r="E52" s="147">
        <v>2.3679999999999999</v>
      </c>
      <c r="F52" s="147">
        <v>3.28</v>
      </c>
      <c r="G52" s="147">
        <v>0.84799999999999998</v>
      </c>
      <c r="H52" s="147">
        <v>0.879</v>
      </c>
      <c r="I52" s="147">
        <v>2.8650000000000002</v>
      </c>
      <c r="J52" s="147">
        <v>0.32200000000000001</v>
      </c>
      <c r="K52" s="147">
        <v>0.32700000000000001</v>
      </c>
      <c r="L52" s="147">
        <v>0.27100000000000002</v>
      </c>
      <c r="M52" s="147">
        <v>0.245</v>
      </c>
      <c r="N52" s="147">
        <v>0.251</v>
      </c>
      <c r="O52" s="147">
        <v>0.56399999999999995</v>
      </c>
      <c r="P52" s="147">
        <v>0.56200000000000006</v>
      </c>
      <c r="Q52" s="147">
        <v>1.1870000000000001</v>
      </c>
      <c r="R52" s="147">
        <v>1.2230000000000001</v>
      </c>
      <c r="S52" s="114"/>
      <c r="T52" s="114"/>
      <c r="U52" s="114"/>
      <c r="V52" s="114"/>
      <c r="W52" s="114"/>
      <c r="X52" s="114"/>
      <c r="Y52" s="114"/>
      <c r="Z52" s="114"/>
    </row>
    <row r="53" spans="2:26" ht="12.75" customHeight="1">
      <c r="B53" s="113">
        <v>19</v>
      </c>
      <c r="C53" s="147">
        <v>1.3029999999999999</v>
      </c>
      <c r="D53" s="147">
        <v>0.98</v>
      </c>
      <c r="E53" s="147">
        <v>2.3650000000000002</v>
      </c>
      <c r="F53" s="147">
        <v>3.2829999999999999</v>
      </c>
      <c r="G53" s="147">
        <v>0.86699999999999999</v>
      </c>
      <c r="H53" s="147">
        <v>0.86</v>
      </c>
      <c r="I53" s="147">
        <v>2.8660000000000001</v>
      </c>
      <c r="J53" s="147">
        <v>0.32500000000000001</v>
      </c>
      <c r="K53" s="147">
        <v>0.32900000000000001</v>
      </c>
      <c r="L53" s="147">
        <v>0.253</v>
      </c>
      <c r="M53" s="147">
        <v>0.246</v>
      </c>
      <c r="N53" s="147">
        <v>0.249</v>
      </c>
      <c r="O53" s="147">
        <v>0.55600000000000005</v>
      </c>
      <c r="P53" s="147">
        <v>0.57699999999999996</v>
      </c>
      <c r="Q53" s="147">
        <v>1.177</v>
      </c>
      <c r="R53" s="147">
        <v>1.2190000000000001</v>
      </c>
      <c r="S53" s="114"/>
      <c r="T53" s="114"/>
      <c r="U53" s="114"/>
      <c r="V53" s="114"/>
      <c r="W53" s="114"/>
      <c r="X53" s="114"/>
      <c r="Y53" s="114"/>
      <c r="Z53" s="114"/>
    </row>
    <row r="54" spans="2:26" ht="12.75" customHeight="1">
      <c r="B54" s="113">
        <v>20</v>
      </c>
      <c r="C54" s="147">
        <v>1.3009999999999999</v>
      </c>
      <c r="D54" s="147">
        <v>0.97899999999999998</v>
      </c>
      <c r="E54" s="147">
        <v>2.3620000000000001</v>
      </c>
      <c r="F54" s="147">
        <v>3.2850000000000001</v>
      </c>
      <c r="G54" s="147">
        <v>0.874</v>
      </c>
      <c r="H54" s="147">
        <v>0.872</v>
      </c>
      <c r="I54" s="147">
        <v>2.8610000000000002</v>
      </c>
      <c r="J54" s="147">
        <v>0.32200000000000001</v>
      </c>
      <c r="K54" s="147">
        <v>0.32900000000000001</v>
      </c>
      <c r="L54" s="147">
        <v>0.254</v>
      </c>
      <c r="M54" s="147">
        <v>0.24399999999999999</v>
      </c>
      <c r="N54" s="147">
        <v>0.247</v>
      </c>
      <c r="O54" s="147">
        <v>0.56000000000000005</v>
      </c>
      <c r="P54" s="147">
        <v>0.56100000000000005</v>
      </c>
      <c r="Q54" s="147">
        <v>1.1739999999999999</v>
      </c>
      <c r="R54" s="147">
        <v>1.2410000000000001</v>
      </c>
      <c r="S54" s="114"/>
      <c r="T54" s="114"/>
      <c r="U54" s="114"/>
      <c r="V54" s="114"/>
      <c r="W54" s="114"/>
      <c r="X54" s="114"/>
      <c r="Y54" s="114"/>
      <c r="Z54" s="114"/>
    </row>
    <row r="55" spans="2:26" ht="12.75" customHeight="1">
      <c r="B55" s="113">
        <v>21</v>
      </c>
      <c r="C55" s="147">
        <v>1.2969999999999999</v>
      </c>
      <c r="D55" s="147">
        <v>0.97799999999999998</v>
      </c>
      <c r="E55" s="147">
        <v>2.3679999999999999</v>
      </c>
      <c r="F55" s="147">
        <v>3.2759999999999998</v>
      </c>
      <c r="G55" s="147">
        <v>0.86699999999999999</v>
      </c>
      <c r="H55" s="147">
        <v>0.86599999999999999</v>
      </c>
      <c r="I55" s="147">
        <v>2.867</v>
      </c>
      <c r="J55" s="147">
        <v>0.31</v>
      </c>
      <c r="K55" s="147">
        <v>0.316</v>
      </c>
      <c r="L55" s="147">
        <v>0.26400000000000001</v>
      </c>
      <c r="M55" s="147">
        <v>0.251</v>
      </c>
      <c r="N55" s="147">
        <v>0.247</v>
      </c>
      <c r="O55" s="147">
        <v>0.56599999999999995</v>
      </c>
      <c r="P55" s="147">
        <v>0.56699999999999995</v>
      </c>
      <c r="Q55" s="147">
        <v>1.1910000000000001</v>
      </c>
      <c r="R55" s="147">
        <v>1.222</v>
      </c>
      <c r="S55" s="114"/>
      <c r="T55" s="114"/>
      <c r="U55" s="114"/>
      <c r="V55" s="114"/>
      <c r="W55" s="114"/>
      <c r="X55" s="114"/>
      <c r="Y55" s="114"/>
      <c r="Z55" s="114"/>
    </row>
    <row r="56" spans="2:26" ht="12.75" customHeight="1">
      <c r="B56" s="113">
        <v>22</v>
      </c>
      <c r="C56" s="147">
        <v>1.306</v>
      </c>
      <c r="D56" s="147">
        <v>0.97399999999999998</v>
      </c>
      <c r="E56" s="147">
        <v>2.3620000000000001</v>
      </c>
      <c r="F56" s="147">
        <v>3.2810000000000001</v>
      </c>
      <c r="G56" s="147">
        <v>0.86</v>
      </c>
      <c r="H56" s="147">
        <v>0.85399999999999998</v>
      </c>
      <c r="I56" s="147">
        <v>2.8610000000000002</v>
      </c>
      <c r="J56" s="147">
        <v>0.31900000000000001</v>
      </c>
      <c r="K56" s="147">
        <v>0.32200000000000001</v>
      </c>
      <c r="L56" s="147">
        <v>0.25900000000000001</v>
      </c>
      <c r="M56" s="147">
        <v>0.26400000000000001</v>
      </c>
      <c r="N56" s="147">
        <v>0.22500000000000001</v>
      </c>
      <c r="O56" s="147">
        <v>0.54800000000000004</v>
      </c>
      <c r="P56" s="147">
        <v>0.56799999999999995</v>
      </c>
      <c r="Q56" s="147">
        <v>1.1679999999999999</v>
      </c>
      <c r="R56" s="147">
        <v>1.2350000000000001</v>
      </c>
      <c r="S56" s="114"/>
      <c r="T56" s="114"/>
      <c r="U56" s="114"/>
      <c r="V56" s="114"/>
      <c r="W56" s="114"/>
      <c r="X56" s="114"/>
      <c r="Y56" s="114"/>
      <c r="Z56" s="114"/>
    </row>
    <row r="57" spans="2:26" ht="12.75" customHeight="1">
      <c r="B57" s="113">
        <v>23</v>
      </c>
      <c r="C57" s="147">
        <v>1.2989999999999999</v>
      </c>
      <c r="D57" s="147">
        <v>0.98</v>
      </c>
      <c r="E57" s="147">
        <v>2.3679999999999999</v>
      </c>
      <c r="F57" s="147">
        <v>3.278</v>
      </c>
      <c r="G57" s="147">
        <v>0.87</v>
      </c>
      <c r="H57" s="147">
        <v>0.86499999999999999</v>
      </c>
      <c r="I57" s="147">
        <v>2.8660000000000001</v>
      </c>
      <c r="J57" s="147">
        <v>0.309</v>
      </c>
      <c r="K57" s="147">
        <v>0.32</v>
      </c>
      <c r="L57" s="147">
        <v>0.27</v>
      </c>
      <c r="M57" s="147">
        <v>0.252</v>
      </c>
      <c r="N57" s="147">
        <v>0.246</v>
      </c>
      <c r="O57" s="147">
        <v>0.56599999999999995</v>
      </c>
      <c r="P57" s="147">
        <v>0.56699999999999995</v>
      </c>
      <c r="Q57" s="147">
        <v>1.1950000000000001</v>
      </c>
      <c r="R57" s="147">
        <v>1.2410000000000001</v>
      </c>
      <c r="S57" s="114"/>
      <c r="T57" s="114"/>
      <c r="U57" s="114"/>
      <c r="V57" s="114"/>
      <c r="W57" s="114"/>
      <c r="X57" s="114"/>
      <c r="Y57" s="114"/>
      <c r="Z57" s="114"/>
    </row>
    <row r="58" spans="2:26" ht="12.75" customHeight="1">
      <c r="B58" s="113">
        <v>24</v>
      </c>
      <c r="C58" s="147">
        <v>1.3049999999999999</v>
      </c>
      <c r="D58" s="147">
        <v>0.97899999999999998</v>
      </c>
      <c r="E58" s="147">
        <v>2.3690000000000002</v>
      </c>
      <c r="F58" s="147">
        <v>3.2789999999999999</v>
      </c>
      <c r="G58" s="147">
        <v>0.86699999999999999</v>
      </c>
      <c r="H58" s="147">
        <v>0.875</v>
      </c>
      <c r="I58" s="147">
        <v>2.8620000000000001</v>
      </c>
      <c r="J58" s="147">
        <v>0.315</v>
      </c>
      <c r="K58" s="147">
        <v>0.32</v>
      </c>
      <c r="L58" s="147">
        <v>0.26900000000000002</v>
      </c>
      <c r="M58" s="147">
        <v>0.25</v>
      </c>
      <c r="N58" s="147">
        <v>0.24099999999999999</v>
      </c>
      <c r="O58" s="147">
        <v>0.54800000000000004</v>
      </c>
      <c r="P58" s="147">
        <v>0.57299999999999995</v>
      </c>
      <c r="Q58" s="147">
        <v>1.1970000000000001</v>
      </c>
      <c r="R58" s="147">
        <v>1.2310000000000001</v>
      </c>
      <c r="S58" s="114"/>
      <c r="T58" s="114"/>
      <c r="U58" s="114"/>
      <c r="V58" s="114"/>
      <c r="W58" s="114"/>
      <c r="X58" s="114"/>
      <c r="Y58" s="114"/>
      <c r="Z58" s="114"/>
    </row>
    <row r="59" spans="2:26" ht="12.75" customHeight="1">
      <c r="B59" s="113">
        <v>25</v>
      </c>
      <c r="C59" s="147">
        <v>1.3089999999999999</v>
      </c>
      <c r="D59" s="147">
        <v>0.97799999999999998</v>
      </c>
      <c r="E59" s="147">
        <v>2.3660000000000001</v>
      </c>
      <c r="F59" s="147">
        <v>3.2759999999999998</v>
      </c>
      <c r="G59" s="147">
        <v>0.874</v>
      </c>
      <c r="H59" s="147">
        <v>0.877</v>
      </c>
      <c r="I59" s="147">
        <v>2.8650000000000002</v>
      </c>
      <c r="J59" s="147">
        <v>0.311</v>
      </c>
      <c r="K59" s="147">
        <v>0.32300000000000001</v>
      </c>
      <c r="L59" s="147">
        <v>0.26700000000000002</v>
      </c>
      <c r="M59" s="147">
        <v>0.26400000000000001</v>
      </c>
      <c r="N59" s="147">
        <v>0.251</v>
      </c>
      <c r="O59" s="147">
        <v>0.56599999999999995</v>
      </c>
      <c r="P59" s="147">
        <v>0.56000000000000005</v>
      </c>
      <c r="Q59" s="147">
        <v>1.1910000000000001</v>
      </c>
      <c r="R59" s="147">
        <v>1.2270000000000001</v>
      </c>
      <c r="S59" s="114"/>
      <c r="T59" s="114"/>
      <c r="U59" s="114"/>
      <c r="V59" s="114"/>
      <c r="W59" s="114"/>
      <c r="X59" s="114"/>
      <c r="Y59" s="114"/>
      <c r="Z59" s="114"/>
    </row>
    <row r="60" spans="2:26" ht="12.75" customHeight="1">
      <c r="B60" s="113">
        <v>26</v>
      </c>
      <c r="C60" s="147">
        <v>1.3080000000000001</v>
      </c>
      <c r="D60" s="147">
        <v>0.97399999999999998</v>
      </c>
      <c r="E60" s="147">
        <v>2.3679999999999999</v>
      </c>
      <c r="F60" s="147">
        <v>3.28</v>
      </c>
      <c r="G60" s="147">
        <v>0.85899999999999999</v>
      </c>
      <c r="H60" s="147">
        <v>0.85199999999999998</v>
      </c>
      <c r="I60" s="147">
        <v>2.867</v>
      </c>
      <c r="J60" s="147">
        <v>0.32300000000000001</v>
      </c>
      <c r="K60" s="147">
        <v>0.32300000000000001</v>
      </c>
      <c r="L60" s="147">
        <v>0.26300000000000001</v>
      </c>
      <c r="M60" s="147">
        <v>0.26500000000000001</v>
      </c>
      <c r="N60" s="147">
        <v>0.251</v>
      </c>
      <c r="O60" s="147">
        <v>0.56599999999999995</v>
      </c>
      <c r="P60" s="147">
        <v>0.56699999999999995</v>
      </c>
      <c r="Q60" s="147">
        <v>1.1759999999999999</v>
      </c>
      <c r="R60" s="147">
        <v>1.2410000000000001</v>
      </c>
      <c r="S60" s="114"/>
      <c r="T60" s="114"/>
      <c r="U60" s="114"/>
      <c r="V60" s="114"/>
      <c r="W60" s="114"/>
      <c r="X60" s="114"/>
      <c r="Y60" s="114"/>
      <c r="Z60" s="114"/>
    </row>
    <row r="61" spans="2:26" ht="12.75" customHeight="1">
      <c r="B61" s="113">
        <v>27</v>
      </c>
      <c r="C61" s="147">
        <v>1.3049999999999999</v>
      </c>
      <c r="D61" s="147">
        <v>0.97599999999999998</v>
      </c>
      <c r="E61" s="147">
        <v>2.367</v>
      </c>
      <c r="F61" s="147">
        <v>3.2829999999999999</v>
      </c>
      <c r="G61" s="147">
        <v>0.85299999999999998</v>
      </c>
      <c r="H61" s="147">
        <v>0.877</v>
      </c>
      <c r="I61" s="147">
        <v>2.8650000000000002</v>
      </c>
      <c r="J61" s="147">
        <v>0.32300000000000001</v>
      </c>
      <c r="K61" s="147">
        <v>0.313</v>
      </c>
      <c r="L61" s="147">
        <v>0.27</v>
      </c>
      <c r="M61" s="147">
        <v>0.25800000000000001</v>
      </c>
      <c r="N61" s="147">
        <v>0.248</v>
      </c>
      <c r="O61" s="147">
        <v>0.55100000000000005</v>
      </c>
      <c r="P61" s="147">
        <v>0.56100000000000005</v>
      </c>
      <c r="Q61" s="147">
        <v>1.1739999999999999</v>
      </c>
      <c r="R61" s="147">
        <v>1.2310000000000001</v>
      </c>
      <c r="S61" s="114"/>
      <c r="T61" s="114"/>
      <c r="U61" s="114"/>
      <c r="V61" s="114"/>
      <c r="W61" s="114"/>
      <c r="X61" s="114"/>
      <c r="Y61" s="114"/>
      <c r="Z61" s="114"/>
    </row>
    <row r="62" spans="2:26" ht="12.75" customHeight="1">
      <c r="B62" s="113">
        <v>28</v>
      </c>
      <c r="C62" s="147">
        <v>1.3089999999999999</v>
      </c>
      <c r="D62" s="147">
        <v>0.97299999999999998</v>
      </c>
      <c r="E62" s="147">
        <v>2.3690000000000002</v>
      </c>
      <c r="F62" s="147">
        <v>3.2829999999999999</v>
      </c>
      <c r="G62" s="147">
        <v>0.86199999999999999</v>
      </c>
      <c r="H62" s="147">
        <v>0.876</v>
      </c>
      <c r="I62" s="147">
        <v>2.86</v>
      </c>
      <c r="J62" s="147">
        <v>0.31900000000000001</v>
      </c>
      <c r="K62" s="147">
        <v>0.32200000000000001</v>
      </c>
      <c r="L62" s="147">
        <v>0.25600000000000001</v>
      </c>
      <c r="M62" s="147">
        <v>0.26600000000000001</v>
      </c>
      <c r="N62" s="147">
        <v>0.23599999999999999</v>
      </c>
      <c r="O62" s="147">
        <v>0.55100000000000005</v>
      </c>
      <c r="P62" s="147">
        <v>0.58299999999999996</v>
      </c>
      <c r="Q62" s="147">
        <v>1.1879999999999999</v>
      </c>
      <c r="R62" s="147">
        <v>1.2250000000000001</v>
      </c>
      <c r="S62" s="114"/>
      <c r="T62" s="114"/>
      <c r="U62" s="114"/>
      <c r="V62" s="114"/>
      <c r="W62" s="114"/>
      <c r="X62" s="114"/>
      <c r="Y62" s="114"/>
      <c r="Z62" s="114"/>
    </row>
    <row r="63" spans="2:26" ht="12.75" customHeight="1">
      <c r="B63" s="113">
        <v>29</v>
      </c>
      <c r="C63" s="147">
        <v>1.304</v>
      </c>
      <c r="D63" s="147">
        <v>0.97399999999999998</v>
      </c>
      <c r="E63" s="147">
        <v>2.3639999999999999</v>
      </c>
      <c r="F63" s="147">
        <v>3.2770000000000001</v>
      </c>
      <c r="G63" s="147">
        <v>0.85099999999999998</v>
      </c>
      <c r="H63" s="147">
        <v>0.84899999999999998</v>
      </c>
      <c r="I63" s="147">
        <v>2.86</v>
      </c>
      <c r="J63" s="147">
        <v>0.313</v>
      </c>
      <c r="K63" s="147">
        <v>0.315</v>
      </c>
      <c r="L63" s="147">
        <v>0.27600000000000002</v>
      </c>
      <c r="M63" s="147">
        <v>0.25900000000000001</v>
      </c>
      <c r="N63" s="147">
        <v>0.247</v>
      </c>
      <c r="O63" s="147">
        <v>0.54900000000000004</v>
      </c>
      <c r="P63" s="147">
        <v>0.56299999999999994</v>
      </c>
      <c r="Q63" s="147">
        <v>1.169</v>
      </c>
      <c r="R63" s="147">
        <v>1.2250000000000001</v>
      </c>
      <c r="S63" s="114"/>
      <c r="T63" s="114"/>
      <c r="U63" s="114"/>
      <c r="V63" s="114"/>
      <c r="W63" s="114"/>
      <c r="X63" s="114"/>
      <c r="Y63" s="114"/>
      <c r="Z63" s="114"/>
    </row>
    <row r="64" spans="2:26" ht="12.75" customHeight="1">
      <c r="B64" s="113">
        <v>30</v>
      </c>
      <c r="C64" s="147">
        <v>1.3080000000000001</v>
      </c>
      <c r="D64" s="147">
        <v>0.97399999999999998</v>
      </c>
      <c r="E64" s="147">
        <v>2.3719999999999999</v>
      </c>
      <c r="F64" s="147">
        <v>3.282</v>
      </c>
      <c r="G64" s="147">
        <v>0.85699999999999998</v>
      </c>
      <c r="H64" s="147">
        <v>0.86599999999999999</v>
      </c>
      <c r="I64" s="147">
        <v>2.8660000000000001</v>
      </c>
      <c r="J64" s="147">
        <v>0.313</v>
      </c>
      <c r="K64" s="147">
        <v>0.31900000000000001</v>
      </c>
      <c r="L64" s="147">
        <v>0.254</v>
      </c>
      <c r="M64" s="147">
        <v>0.245</v>
      </c>
      <c r="N64" s="147">
        <v>0.22500000000000001</v>
      </c>
      <c r="O64" s="147">
        <v>0.54800000000000004</v>
      </c>
      <c r="P64" s="147">
        <v>0.56599999999999995</v>
      </c>
      <c r="Q64" s="147">
        <v>1.1779999999999999</v>
      </c>
      <c r="R64" s="147">
        <v>1.2130000000000001</v>
      </c>
      <c r="S64" s="114"/>
      <c r="T64" s="114"/>
      <c r="U64" s="114"/>
      <c r="V64" s="114"/>
      <c r="W64" s="114"/>
      <c r="X64" s="114"/>
      <c r="Y64" s="114"/>
      <c r="Z64" s="114"/>
    </row>
    <row r="65" spans="2:256" ht="12.75" customHeight="1">
      <c r="B65" s="113">
        <v>31</v>
      </c>
      <c r="C65" s="147">
        <v>1.306</v>
      </c>
      <c r="D65" s="147">
        <v>0.97599999999999998</v>
      </c>
      <c r="E65" s="147">
        <v>2.3660000000000001</v>
      </c>
      <c r="F65" s="147">
        <v>3.2829999999999999</v>
      </c>
      <c r="G65" s="147">
        <v>0.85599999999999998</v>
      </c>
      <c r="H65" s="147">
        <v>0.85699999999999998</v>
      </c>
      <c r="I65" s="147">
        <v>2.8650000000000002</v>
      </c>
      <c r="J65" s="147">
        <v>0.318</v>
      </c>
      <c r="K65" s="147">
        <v>0.32600000000000001</v>
      </c>
      <c r="L65" s="147">
        <v>0.26500000000000001</v>
      </c>
      <c r="M65" s="147">
        <v>0.253</v>
      </c>
      <c r="N65" s="147">
        <v>0.22500000000000001</v>
      </c>
      <c r="O65" s="147">
        <v>0.55500000000000005</v>
      </c>
      <c r="P65" s="147">
        <v>0.57499999999999996</v>
      </c>
      <c r="Q65" s="147">
        <v>1.1970000000000001</v>
      </c>
      <c r="R65" s="147">
        <v>1.2390000000000001</v>
      </c>
      <c r="S65" s="114"/>
      <c r="T65" s="114"/>
      <c r="U65" s="114"/>
      <c r="V65" s="114"/>
      <c r="W65" s="114"/>
      <c r="X65" s="114"/>
      <c r="Y65" s="114"/>
      <c r="Z65" s="114"/>
    </row>
    <row r="66" spans="2:256" ht="12.75" customHeight="1">
      <c r="B66" s="113">
        <v>32</v>
      </c>
      <c r="C66" s="147">
        <v>1.3049999999999999</v>
      </c>
      <c r="D66" s="147">
        <v>0.97699999999999998</v>
      </c>
      <c r="E66" s="147">
        <v>2.3690000000000002</v>
      </c>
      <c r="F66" s="147">
        <v>3.2810000000000001</v>
      </c>
      <c r="G66" s="147">
        <v>0.85199999999999998</v>
      </c>
      <c r="H66" s="147">
        <v>0.86</v>
      </c>
      <c r="I66" s="147">
        <v>2.867</v>
      </c>
      <c r="J66" s="147">
        <v>0.318</v>
      </c>
      <c r="K66" s="147">
        <v>0.32500000000000001</v>
      </c>
      <c r="L66" s="147">
        <v>0.26400000000000001</v>
      </c>
      <c r="M66" s="147">
        <v>0.252</v>
      </c>
      <c r="N66" s="147">
        <v>0.23200000000000001</v>
      </c>
      <c r="O66" s="147">
        <v>0.54700000000000004</v>
      </c>
      <c r="P66" s="147">
        <v>0.56000000000000005</v>
      </c>
      <c r="Q66" s="147">
        <v>1.167</v>
      </c>
      <c r="R66" s="147">
        <v>1.2290000000000001</v>
      </c>
      <c r="S66" s="114"/>
      <c r="T66" s="114"/>
      <c r="U66" s="114"/>
      <c r="V66" s="114"/>
      <c r="W66" s="114"/>
      <c r="X66" s="114"/>
      <c r="Y66" s="114"/>
      <c r="Z66" s="114"/>
    </row>
    <row r="67" spans="2:256" s="4" customFormat="1" ht="12.75" customHeight="1">
      <c r="IV67" s="136"/>
    </row>
    <row r="68" spans="2:256" s="4" customFormat="1" ht="12.75" customHeight="1">
      <c r="IV68" s="136"/>
    </row>
    <row r="69" spans="2:256" s="4" customFormat="1" ht="12.75" customHeight="1">
      <c r="IV69" s="136"/>
    </row>
    <row r="70" spans="2:256" s="4" customFormat="1" ht="12.75" customHeight="1">
      <c r="IV70" s="136"/>
    </row>
    <row r="71" spans="2:256" s="4" customFormat="1" ht="12.75" customHeight="1">
      <c r="IV71" s="136"/>
    </row>
    <row r="72" spans="2:256" s="4" customFormat="1" ht="12.75" customHeight="1">
      <c r="IV72" s="136"/>
    </row>
    <row r="73" spans="2:256" s="4" customFormat="1" ht="12.75" customHeight="1">
      <c r="IV73" s="136"/>
    </row>
    <row r="74" spans="2:256" s="4" customFormat="1" ht="12.75" customHeight="1">
      <c r="IV74" s="136"/>
    </row>
    <row r="75" spans="2:256" s="4" customFormat="1" ht="12.75" customHeight="1">
      <c r="IV75" s="136"/>
    </row>
    <row r="76" spans="2:256" s="4" customFormat="1" ht="12.75" customHeight="1">
      <c r="IV76" s="136"/>
    </row>
    <row r="77" spans="2:256" s="4" customFormat="1" ht="12.75" customHeight="1">
      <c r="IV77" s="136"/>
    </row>
    <row r="78" spans="2:256" s="4" customFormat="1" ht="12.75" customHeight="1">
      <c r="IV78" s="136"/>
    </row>
    <row r="79" spans="2:256" s="4" customFormat="1" ht="12.75" customHeight="1">
      <c r="IV79" s="136"/>
    </row>
    <row r="80" spans="2:256" s="4" customFormat="1" ht="12.75" customHeight="1">
      <c r="IV80" s="136"/>
    </row>
    <row r="81" spans="256:256" s="4" customFormat="1" ht="12.75" customHeight="1">
      <c r="IV81" s="136"/>
    </row>
    <row r="82" spans="256:256" s="4" customFormat="1" ht="12.75" customHeight="1">
      <c r="IV82" s="136"/>
    </row>
    <row r="83" spans="256:256" s="4" customFormat="1" ht="12.75" customHeight="1">
      <c r="IV83" s="136"/>
    </row>
    <row r="84" spans="256:256" s="4" customFormat="1" ht="12.75" customHeight="1">
      <c r="IV84" s="136"/>
    </row>
    <row r="85" spans="256:256" s="4" customFormat="1" ht="12.75" customHeight="1">
      <c r="IV85" s="136"/>
    </row>
    <row r="86" spans="256:256" s="4" customFormat="1" ht="12.75" customHeight="1">
      <c r="IV86" s="136"/>
    </row>
    <row r="87" spans="256:256" s="4" customFormat="1" ht="12.75" customHeight="1">
      <c r="IV87" s="136"/>
    </row>
    <row r="88" spans="256:256" s="4" customFormat="1" ht="12.75" customHeight="1">
      <c r="IV88" s="136"/>
    </row>
    <row r="89" spans="256:256" s="4" customFormat="1" ht="12.75" customHeight="1">
      <c r="IV89" s="136"/>
    </row>
    <row r="90" spans="256:256" s="4" customFormat="1" ht="12.75" customHeight="1">
      <c r="IV90" s="136"/>
    </row>
    <row r="91" spans="256:256" s="4" customFormat="1" ht="12.75" customHeight="1">
      <c r="IV91" s="136"/>
    </row>
    <row r="92" spans="256:256" s="4" customFormat="1" ht="12.75" customHeight="1">
      <c r="IV92" s="136"/>
    </row>
    <row r="93" spans="256:256" s="4" customFormat="1" ht="12.75" customHeight="1">
      <c r="IV93" s="136"/>
    </row>
    <row r="94" spans="256:256" s="4" customFormat="1" ht="12.75" customHeight="1">
      <c r="IV94" s="136"/>
    </row>
    <row r="95" spans="256:256" s="4" customFormat="1" ht="12.75" customHeight="1">
      <c r="IV95" s="136"/>
    </row>
    <row r="96" spans="256:256" s="4" customFormat="1" ht="12.75" customHeight="1">
      <c r="IV96" s="136"/>
    </row>
    <row r="97" spans="256:256" s="4" customFormat="1" ht="12.75" customHeight="1">
      <c r="IV97" s="136"/>
    </row>
    <row r="98" spans="256:256" s="4" customFormat="1" ht="12.75" customHeight="1">
      <c r="IV98" s="136"/>
    </row>
    <row r="99" spans="256:256" s="4" customFormat="1" ht="12.75" customHeight="1">
      <c r="IV99" s="136"/>
    </row>
    <row r="100" spans="256:256" s="4" customFormat="1" ht="12.75" customHeight="1">
      <c r="IV100" s="136"/>
    </row>
    <row r="101" spans="256:256" s="4" customFormat="1" ht="12.75" customHeight="1">
      <c r="IV101" s="136"/>
    </row>
    <row r="102" spans="256:256" s="4" customFormat="1" ht="12.75" customHeight="1">
      <c r="IV102" s="136"/>
    </row>
    <row r="103" spans="256:256" s="4" customFormat="1" ht="12.75" customHeight="1">
      <c r="IV103" s="136"/>
    </row>
    <row r="104" spans="256:256" s="4" customFormat="1" ht="12.75" customHeight="1">
      <c r="IV104" s="136"/>
    </row>
    <row r="105" spans="256:256" s="4" customFormat="1" ht="12.75" customHeight="1">
      <c r="IV105" s="136"/>
    </row>
    <row r="106" spans="256:256" s="4" customFormat="1" ht="12.75" customHeight="1">
      <c r="IV106" s="136"/>
    </row>
    <row r="107" spans="256:256" s="4" customFormat="1" ht="12.75" customHeight="1">
      <c r="IV107" s="136"/>
    </row>
    <row r="108" spans="256:256" s="4" customFormat="1" ht="12.75" customHeight="1">
      <c r="IV108" s="136"/>
    </row>
    <row r="109" spans="256:256" s="4" customFormat="1" ht="12.75" customHeight="1">
      <c r="IV109" s="136"/>
    </row>
    <row r="110" spans="256:256" s="4" customFormat="1" ht="12.75" customHeight="1">
      <c r="IV110" s="136"/>
    </row>
    <row r="111" spans="256:256" s="4" customFormat="1" ht="12.75" customHeight="1">
      <c r="IV111" s="136"/>
    </row>
    <row r="112" spans="256:256" s="4" customFormat="1" ht="12.75" customHeight="1">
      <c r="IV112" s="136"/>
    </row>
    <row r="113" spans="256:256" s="4" customFormat="1" ht="12.75" customHeight="1">
      <c r="IV113" s="136"/>
    </row>
    <row r="114" spans="256:256" s="4" customFormat="1" ht="12.75" customHeight="1">
      <c r="IV114" s="136"/>
    </row>
    <row r="115" spans="256:256" s="4" customFormat="1" ht="12.75" customHeight="1">
      <c r="IV115" s="136"/>
    </row>
    <row r="116" spans="256:256" s="4" customFormat="1" ht="12.75" customHeight="1">
      <c r="IV116" s="136"/>
    </row>
    <row r="117" spans="256:256" s="4" customFormat="1" ht="12.75" customHeight="1">
      <c r="IV117" s="136"/>
    </row>
    <row r="118" spans="256:256" s="4" customFormat="1" ht="12.75" customHeight="1">
      <c r="IV118" s="136"/>
    </row>
    <row r="119" spans="256:256" s="4" customFormat="1" ht="12.75" customHeight="1">
      <c r="IV119" s="136"/>
    </row>
    <row r="120" spans="256:256" s="4" customFormat="1" ht="12.75" customHeight="1">
      <c r="IV120" s="136"/>
    </row>
    <row r="121" spans="256:256" s="4" customFormat="1" ht="12.75" customHeight="1">
      <c r="IV121" s="136"/>
    </row>
    <row r="122" spans="256:256" s="4" customFormat="1" ht="12.75" customHeight="1">
      <c r="IV122" s="136"/>
    </row>
    <row r="123" spans="256:256" s="4" customFormat="1" ht="12.75" customHeight="1">
      <c r="IV123" s="136"/>
    </row>
    <row r="124" spans="256:256" s="4" customFormat="1" ht="12.75" customHeight="1">
      <c r="IV124" s="136"/>
    </row>
    <row r="125" spans="256:256" s="4" customFormat="1" ht="12.75" customHeight="1">
      <c r="IV125" s="136"/>
    </row>
    <row r="126" spans="256:256" s="4" customFormat="1" ht="12.75" customHeight="1">
      <c r="IV126" s="136"/>
    </row>
    <row r="127" spans="256:256" s="4" customFormat="1" ht="12.75" customHeight="1">
      <c r="IV127" s="136"/>
    </row>
    <row r="128" spans="256:256" s="4" customFormat="1" ht="12.75" customHeight="1">
      <c r="IV128" s="136"/>
    </row>
    <row r="129" spans="256:256" s="4" customFormat="1" ht="12.75" customHeight="1">
      <c r="IV129" s="136"/>
    </row>
    <row r="130" spans="256:256" s="4" customFormat="1" ht="12.75" customHeight="1">
      <c r="IV130" s="136"/>
    </row>
    <row r="131" spans="256:256" s="4" customFormat="1" ht="12.75" customHeight="1">
      <c r="IV131" s="136"/>
    </row>
    <row r="132" spans="256:256" s="4" customFormat="1" ht="12.75" customHeight="1">
      <c r="IV132" s="136"/>
    </row>
    <row r="133" spans="256:256" s="4" customFormat="1" ht="12.75" customHeight="1">
      <c r="IV133" s="136"/>
    </row>
    <row r="134" spans="256:256" s="4" customFormat="1" ht="12.75" customHeight="1">
      <c r="IV134" s="136"/>
    </row>
    <row r="135" spans="256:256" s="4" customFormat="1" ht="12.75" customHeight="1">
      <c r="IV135" s="136"/>
    </row>
    <row r="136" spans="256:256" s="4" customFormat="1" ht="12.75" customHeight="1">
      <c r="IV136" s="136"/>
    </row>
    <row r="137" spans="256:256" s="4" customFormat="1" ht="12.75" customHeight="1">
      <c r="IV137" s="136"/>
    </row>
    <row r="138" spans="256:256" s="4" customFormat="1" ht="12.75" customHeight="1">
      <c r="IV138" s="136"/>
    </row>
    <row r="139" spans="256:256" s="4" customFormat="1" ht="12.75" customHeight="1">
      <c r="IV139" s="136"/>
    </row>
    <row r="140" spans="256:256" s="4" customFormat="1" ht="12.75" customHeight="1">
      <c r="IV140" s="136"/>
    </row>
    <row r="141" spans="256:256" s="4" customFormat="1" ht="12.75" customHeight="1">
      <c r="IV141" s="136"/>
    </row>
    <row r="142" spans="256:256" s="4" customFormat="1" ht="12.75" customHeight="1">
      <c r="IV142" s="136"/>
    </row>
    <row r="143" spans="256:256" s="4" customFormat="1" ht="12.75" customHeight="1">
      <c r="IV143" s="136"/>
    </row>
    <row r="144" spans="256:256" s="4" customFormat="1" ht="12.75" customHeight="1">
      <c r="IV144" s="136"/>
    </row>
    <row r="145" spans="256:256" s="4" customFormat="1" ht="12.75" customHeight="1">
      <c r="IV145" s="136"/>
    </row>
    <row r="146" spans="256:256" s="4" customFormat="1" ht="12.75" customHeight="1">
      <c r="IV146" s="136"/>
    </row>
    <row r="147" spans="256:256" s="4" customFormat="1" ht="12.75" customHeight="1">
      <c r="IV147" s="136"/>
    </row>
    <row r="148" spans="256:256" s="4" customFormat="1" ht="12.75" customHeight="1">
      <c r="IV148" s="136"/>
    </row>
    <row r="149" spans="256:256" s="4" customFormat="1" ht="12.75" customHeight="1">
      <c r="IV149" s="136"/>
    </row>
    <row r="150" spans="256:256" s="4" customFormat="1" ht="12.75" customHeight="1">
      <c r="IV150" s="136"/>
    </row>
    <row r="151" spans="256:256" s="4" customFormat="1" ht="12.75" customHeight="1">
      <c r="IV151" s="136"/>
    </row>
    <row r="152" spans="256:256" s="4" customFormat="1" ht="12.75" customHeight="1">
      <c r="IV152" s="136"/>
    </row>
    <row r="153" spans="256:256" s="4" customFormat="1" ht="12.75" customHeight="1">
      <c r="IV153" s="136"/>
    </row>
    <row r="154" spans="256:256" s="4" customFormat="1" ht="12.75" customHeight="1">
      <c r="IV154" s="136"/>
    </row>
    <row r="155" spans="256:256" s="4" customFormat="1" ht="12.75" customHeight="1">
      <c r="IV155" s="136"/>
    </row>
    <row r="156" spans="256:256" s="4" customFormat="1" ht="12.75" customHeight="1">
      <c r="IV156" s="136"/>
    </row>
    <row r="157" spans="256:256" s="4" customFormat="1" ht="12.75" customHeight="1">
      <c r="IV157" s="136"/>
    </row>
    <row r="158" spans="256:256" s="4" customFormat="1" ht="12.75" customHeight="1">
      <c r="IV158" s="136"/>
    </row>
    <row r="159" spans="256:256" s="4" customFormat="1" ht="12.75" customHeight="1">
      <c r="IV159" s="136"/>
    </row>
    <row r="160" spans="256:256" s="4" customFormat="1" ht="12.75" customHeight="1">
      <c r="IV160" s="136"/>
    </row>
    <row r="161" spans="256:256" s="4" customFormat="1" ht="12.75" customHeight="1">
      <c r="IV161" s="136"/>
    </row>
    <row r="162" spans="256:256" s="4" customFormat="1" ht="12.75" customHeight="1">
      <c r="IV162" s="136"/>
    </row>
    <row r="163" spans="256:256" s="4" customFormat="1" ht="12.75" customHeight="1">
      <c r="IV163" s="136"/>
    </row>
    <row r="164" spans="256:256" s="4" customFormat="1" ht="12.75" customHeight="1">
      <c r="IV164" s="136"/>
    </row>
    <row r="165" spans="256:256" s="4" customFormat="1" ht="12.75" customHeight="1">
      <c r="IV165" s="136"/>
    </row>
    <row r="166" spans="256:256" s="4" customFormat="1" ht="12.75" customHeight="1">
      <c r="IV166" s="136"/>
    </row>
    <row r="167" spans="256:256" s="4" customFormat="1" ht="12.75" customHeight="1">
      <c r="IV167" s="136"/>
    </row>
    <row r="168" spans="256:256" s="4" customFormat="1" ht="12.75" customHeight="1">
      <c r="IV168" s="136"/>
    </row>
    <row r="169" spans="256:256" s="4" customFormat="1" ht="12.75" customHeight="1">
      <c r="IV169" s="136"/>
    </row>
    <row r="170" spans="256:256" s="4" customFormat="1" ht="12.75" customHeight="1">
      <c r="IV170" s="136"/>
    </row>
    <row r="171" spans="256:256" s="4" customFormat="1" ht="12.75" customHeight="1">
      <c r="IV171" s="136"/>
    </row>
    <row r="172" spans="256:256" s="4" customFormat="1" ht="12.75" customHeight="1">
      <c r="IV172" s="136"/>
    </row>
    <row r="173" spans="256:256" s="4" customFormat="1" ht="12.75" customHeight="1">
      <c r="IV173" s="136"/>
    </row>
    <row r="174" spans="256:256" s="4" customFormat="1" ht="12.75" customHeight="1">
      <c r="IV174" s="136"/>
    </row>
    <row r="175" spans="256:256" s="4" customFormat="1" ht="12.75" customHeight="1">
      <c r="IV175" s="136"/>
    </row>
    <row r="176" spans="256:256" s="4" customFormat="1" ht="12.75" customHeight="1">
      <c r="IV176" s="136"/>
    </row>
    <row r="177" spans="256:256" s="4" customFormat="1" ht="12.75" customHeight="1">
      <c r="IV177" s="136"/>
    </row>
    <row r="178" spans="256:256" s="4" customFormat="1" ht="12.75" customHeight="1">
      <c r="IV178" s="136"/>
    </row>
    <row r="179" spans="256:256" s="4" customFormat="1" ht="12.75" customHeight="1">
      <c r="IV179" s="136"/>
    </row>
    <row r="180" spans="256:256" s="4" customFormat="1" ht="12.75" customHeight="1">
      <c r="IV180" s="136"/>
    </row>
    <row r="181" spans="256:256" s="4" customFormat="1" ht="12.75" customHeight="1">
      <c r="IV181" s="136"/>
    </row>
    <row r="182" spans="256:256" s="4" customFormat="1" ht="12.75" customHeight="1">
      <c r="IV182" s="136"/>
    </row>
    <row r="183" spans="256:256" s="4" customFormat="1" ht="12.75" customHeight="1">
      <c r="IV183" s="136"/>
    </row>
    <row r="184" spans="256:256" s="4" customFormat="1" ht="12.75" customHeight="1">
      <c r="IV184" s="136"/>
    </row>
    <row r="185" spans="256:256" s="4" customFormat="1" ht="12.75" customHeight="1">
      <c r="IV185" s="136"/>
    </row>
    <row r="186" spans="256:256" s="4" customFormat="1" ht="12.75" customHeight="1">
      <c r="IV186" s="136"/>
    </row>
    <row r="187" spans="256:256" s="4" customFormat="1" ht="12.75" customHeight="1">
      <c r="IV187" s="136"/>
    </row>
    <row r="188" spans="256:256" s="4" customFormat="1" ht="12.75" customHeight="1">
      <c r="IV188" s="136"/>
    </row>
    <row r="189" spans="256:256" s="4" customFormat="1" ht="12.75" customHeight="1">
      <c r="IV189" s="136"/>
    </row>
    <row r="190" spans="256:256" s="4" customFormat="1" ht="12.75" customHeight="1">
      <c r="IV190" s="136"/>
    </row>
    <row r="191" spans="256:256" s="4" customFormat="1" ht="12.75" customHeight="1">
      <c r="IV191" s="136"/>
    </row>
    <row r="192" spans="256:256" s="4" customFormat="1" ht="12.75" customHeight="1">
      <c r="IV192" s="136"/>
    </row>
    <row r="193" spans="256:256" s="4" customFormat="1" ht="12.75" customHeight="1">
      <c r="IV193" s="136"/>
    </row>
    <row r="194" spans="256:256" s="4" customFormat="1" ht="12.75" customHeight="1">
      <c r="IV194" s="136"/>
    </row>
    <row r="195" spans="256:256" s="4" customFormat="1" ht="12.75" customHeight="1">
      <c r="IV195" s="136"/>
    </row>
    <row r="196" spans="256:256" s="4" customFormat="1" ht="12.75" customHeight="1">
      <c r="IV196" s="136"/>
    </row>
    <row r="197" spans="256:256" s="4" customFormat="1" ht="12.75" customHeight="1">
      <c r="IV197" s="136"/>
    </row>
    <row r="198" spans="256:256" s="4" customFormat="1" ht="12.75" customHeight="1">
      <c r="IV198" s="136"/>
    </row>
    <row r="199" spans="256:256" s="4" customFormat="1" ht="12.75" customHeight="1">
      <c r="IV199" s="136"/>
    </row>
    <row r="200" spans="256:256" s="4" customFormat="1" ht="12.75" customHeight="1">
      <c r="IV200" s="136"/>
    </row>
    <row r="201" spans="256:256" s="4" customFormat="1" ht="12.75" customHeight="1">
      <c r="IV201" s="136"/>
    </row>
    <row r="202" spans="256:256" s="4" customFormat="1" ht="12.75" customHeight="1">
      <c r="IV202" s="136"/>
    </row>
    <row r="203" spans="256:256" s="4" customFormat="1" ht="12.75" customHeight="1">
      <c r="IV203" s="136"/>
    </row>
    <row r="204" spans="256:256" s="4" customFormat="1" ht="12.75" customHeight="1">
      <c r="IV204" s="136"/>
    </row>
    <row r="205" spans="256:256" s="4" customFormat="1" ht="12.75" customHeight="1">
      <c r="IV205" s="136"/>
    </row>
    <row r="206" spans="256:256" s="4" customFormat="1" ht="12.75" customHeight="1">
      <c r="IV206" s="136"/>
    </row>
    <row r="207" spans="256:256" s="4" customFormat="1" ht="12.75" customHeight="1">
      <c r="IV207" s="136"/>
    </row>
    <row r="208" spans="256:256" s="4" customFormat="1" ht="12.75" customHeight="1">
      <c r="IV208" s="136"/>
    </row>
    <row r="209" spans="256:256" s="4" customFormat="1" ht="12.75" customHeight="1">
      <c r="IV209" s="136"/>
    </row>
    <row r="210" spans="256:256" s="4" customFormat="1" ht="12.75" customHeight="1">
      <c r="IV210" s="136"/>
    </row>
    <row r="211" spans="256:256" s="4" customFormat="1" ht="12.75" customHeight="1">
      <c r="IV211" s="136"/>
    </row>
    <row r="212" spans="256:256" s="4" customFormat="1" ht="12.75" customHeight="1">
      <c r="IV212" s="136"/>
    </row>
    <row r="213" spans="256:256" s="4" customFormat="1" ht="12.75" customHeight="1">
      <c r="IV213" s="136"/>
    </row>
    <row r="214" spans="256:256" s="4" customFormat="1" ht="12.75" customHeight="1">
      <c r="IV214" s="136"/>
    </row>
    <row r="215" spans="256:256" s="4" customFormat="1" ht="12.75" customHeight="1">
      <c r="IV215" s="136"/>
    </row>
    <row r="216" spans="256:256" s="4" customFormat="1" ht="12.75" customHeight="1">
      <c r="IV216" s="136"/>
    </row>
    <row r="217" spans="256:256" s="4" customFormat="1" ht="12.75" customHeight="1">
      <c r="IV217" s="136"/>
    </row>
    <row r="218" spans="256:256" s="4" customFormat="1" ht="12.75" customHeight="1">
      <c r="IV218" s="136"/>
    </row>
    <row r="219" spans="256:256" s="4" customFormat="1" ht="12.75" customHeight="1">
      <c r="IV219" s="136"/>
    </row>
    <row r="220" spans="256:256" s="4" customFormat="1" ht="12.75" customHeight="1">
      <c r="IV220" s="136"/>
    </row>
    <row r="221" spans="256:256" s="4" customFormat="1" ht="12.75" customHeight="1">
      <c r="IV221" s="136"/>
    </row>
    <row r="222" spans="256:256" s="4" customFormat="1" ht="12.75" customHeight="1">
      <c r="IV222" s="136"/>
    </row>
    <row r="223" spans="256:256" s="4" customFormat="1" ht="12.75" customHeight="1">
      <c r="IV223" s="136"/>
    </row>
    <row r="224" spans="256:256" s="4" customFormat="1" ht="12.75" customHeight="1">
      <c r="IV224" s="136"/>
    </row>
    <row r="225" spans="256:256" s="4" customFormat="1" ht="12.75" customHeight="1">
      <c r="IV225" s="136"/>
    </row>
    <row r="226" spans="256:256" s="4" customFormat="1" ht="12.75" customHeight="1">
      <c r="IV226" s="136"/>
    </row>
    <row r="227" spans="256:256" s="4" customFormat="1" ht="12.75" customHeight="1">
      <c r="IV227" s="136"/>
    </row>
    <row r="228" spans="256:256" s="4" customFormat="1" ht="12.75" customHeight="1">
      <c r="IV228" s="136"/>
    </row>
    <row r="229" spans="256:256" s="4" customFormat="1" ht="12.75" customHeight="1">
      <c r="IV229" s="136"/>
    </row>
    <row r="230" spans="256:256" s="4" customFormat="1" ht="12.75" customHeight="1">
      <c r="IV230" s="136"/>
    </row>
    <row r="231" spans="256:256" s="4" customFormat="1" ht="12.75" customHeight="1">
      <c r="IV231" s="136"/>
    </row>
    <row r="232" spans="256:256" s="4" customFormat="1" ht="12.75" customHeight="1">
      <c r="IV232" s="136"/>
    </row>
    <row r="233" spans="256:256" s="4" customFormat="1" ht="12.75" customHeight="1">
      <c r="IV233" s="136"/>
    </row>
    <row r="234" spans="256:256" s="4" customFormat="1" ht="12.75" customHeight="1">
      <c r="IV234" s="136"/>
    </row>
    <row r="235" spans="256:256" s="4" customFormat="1" ht="12.75" customHeight="1">
      <c r="IV235" s="136"/>
    </row>
    <row r="236" spans="256:256" s="4" customFormat="1" ht="12.75" customHeight="1">
      <c r="IV236" s="136"/>
    </row>
    <row r="237" spans="256:256" s="4" customFormat="1" ht="12.75" customHeight="1">
      <c r="IV237" s="136"/>
    </row>
    <row r="238" spans="256:256" s="4" customFormat="1" ht="12.75" customHeight="1">
      <c r="IV238" s="136"/>
    </row>
    <row r="239" spans="256:256" s="4" customFormat="1" ht="12.75" customHeight="1">
      <c r="IV239" s="136"/>
    </row>
    <row r="240" spans="256:256" s="4" customFormat="1" ht="12.75" customHeight="1">
      <c r="IV240" s="136"/>
    </row>
    <row r="241" spans="256:256" s="4" customFormat="1" ht="12.75" customHeight="1">
      <c r="IV241" s="136"/>
    </row>
    <row r="242" spans="256:256" s="4" customFormat="1" ht="12.75" customHeight="1">
      <c r="IV242" s="136"/>
    </row>
    <row r="243" spans="256:256" s="4" customFormat="1" ht="12.75" customHeight="1">
      <c r="IV243" s="136"/>
    </row>
    <row r="244" spans="256:256" s="4" customFormat="1" ht="12.75" customHeight="1">
      <c r="IV244" s="136"/>
    </row>
    <row r="245" spans="256:256" s="4" customFormat="1" ht="12.75" customHeight="1">
      <c r="IV245" s="136"/>
    </row>
    <row r="246" spans="256:256" s="4" customFormat="1" ht="12.75" customHeight="1">
      <c r="IV246" s="136"/>
    </row>
    <row r="247" spans="256:256" s="4" customFormat="1" ht="12.75" customHeight="1">
      <c r="IV247" s="136"/>
    </row>
    <row r="248" spans="256:256" s="4" customFormat="1" ht="12.75" customHeight="1">
      <c r="IV248" s="136"/>
    </row>
    <row r="249" spans="256:256" s="4" customFormat="1" ht="12.75" customHeight="1">
      <c r="IV249" s="136"/>
    </row>
    <row r="250" spans="256:256" s="4" customFormat="1" ht="12.75" customHeight="1">
      <c r="IV250" s="136"/>
    </row>
    <row r="251" spans="256:256" s="4" customFormat="1" ht="12.75" customHeight="1">
      <c r="IV251" s="136"/>
    </row>
    <row r="252" spans="256:256" s="4" customFormat="1" ht="12.75" customHeight="1">
      <c r="IV252" s="136"/>
    </row>
    <row r="253" spans="256:256" s="4" customFormat="1" ht="12.75" customHeight="1">
      <c r="IV253" s="136"/>
    </row>
    <row r="254" spans="256:256" s="4" customFormat="1" ht="12.75" customHeight="1">
      <c r="IV254" s="136"/>
    </row>
    <row r="255" spans="256:256" s="4" customFormat="1" ht="12.75" customHeight="1">
      <c r="IV255" s="136"/>
    </row>
    <row r="256" spans="256:256" s="4" customFormat="1" ht="12.75" customHeight="1">
      <c r="IV256" s="136"/>
    </row>
    <row r="257" spans="256:256" s="4" customFormat="1" ht="12.75" customHeight="1">
      <c r="IV257" s="136"/>
    </row>
    <row r="258" spans="256:256" s="4" customFormat="1" ht="12.75" customHeight="1">
      <c r="IV258" s="136"/>
    </row>
    <row r="259" spans="256:256" s="4" customFormat="1" ht="12.75" customHeight="1">
      <c r="IV259" s="136"/>
    </row>
    <row r="260" spans="256:256" s="4" customFormat="1" ht="12.75" customHeight="1">
      <c r="IV260" s="136"/>
    </row>
    <row r="261" spans="256:256" s="4" customFormat="1" ht="12.75" customHeight="1">
      <c r="IV261" s="136"/>
    </row>
    <row r="262" spans="256:256" s="4" customFormat="1" ht="12.75" customHeight="1">
      <c r="IV262" s="136"/>
    </row>
    <row r="263" spans="256:256" s="4" customFormat="1" ht="12.75" customHeight="1">
      <c r="IV263" s="136"/>
    </row>
    <row r="264" spans="256:256" s="4" customFormat="1" ht="12.75" customHeight="1">
      <c r="IV264" s="136"/>
    </row>
    <row r="265" spans="256:256" s="4" customFormat="1" ht="12.75" customHeight="1">
      <c r="IV265" s="136"/>
    </row>
    <row r="266" spans="256:256" s="4" customFormat="1" ht="12.75" customHeight="1">
      <c r="IV266" s="136"/>
    </row>
    <row r="267" spans="256:256" s="4" customFormat="1" ht="12.75" customHeight="1">
      <c r="IV267" s="136"/>
    </row>
    <row r="268" spans="256:256" s="4" customFormat="1" ht="12.75" customHeight="1">
      <c r="IV268" s="136"/>
    </row>
    <row r="269" spans="256:256" s="4" customFormat="1" ht="12.75" customHeight="1">
      <c r="IV269" s="136"/>
    </row>
    <row r="270" spans="256:256" s="4" customFormat="1" ht="12.75" customHeight="1">
      <c r="IV270" s="136"/>
    </row>
    <row r="271" spans="256:256" s="4" customFormat="1" ht="12.75" customHeight="1">
      <c r="IV271" s="136"/>
    </row>
    <row r="272" spans="256:256" s="4" customFormat="1" ht="12.75" customHeight="1">
      <c r="IV272" s="136"/>
    </row>
    <row r="273" spans="256:256" s="4" customFormat="1" ht="12.75" customHeight="1">
      <c r="IV273" s="136"/>
    </row>
    <row r="274" spans="256:256" s="4" customFormat="1" ht="12.75" customHeight="1">
      <c r="IV274" s="136"/>
    </row>
    <row r="275" spans="256:256" s="4" customFormat="1" ht="12.75" customHeight="1">
      <c r="IV275" s="136"/>
    </row>
    <row r="276" spans="256:256" s="4" customFormat="1" ht="12.75" customHeight="1">
      <c r="IV276" s="136"/>
    </row>
    <row r="277" spans="256:256" s="4" customFormat="1" ht="12.75" customHeight="1">
      <c r="IV277" s="136"/>
    </row>
    <row r="278" spans="256:256" s="4" customFormat="1" ht="12.75" customHeight="1">
      <c r="IV278" s="136"/>
    </row>
    <row r="279" spans="256:256" s="4" customFormat="1" ht="12.75" customHeight="1">
      <c r="IV279" s="136"/>
    </row>
    <row r="280" spans="256:256" s="4" customFormat="1" ht="12.75" customHeight="1">
      <c r="IV280" s="136"/>
    </row>
    <row r="281" spans="256:256" s="4" customFormat="1" ht="12.75" customHeight="1">
      <c r="IV281" s="136"/>
    </row>
    <row r="282" spans="256:256" s="4" customFormat="1" ht="12.75" customHeight="1">
      <c r="IV282" s="136"/>
    </row>
    <row r="283" spans="256:256" s="4" customFormat="1" ht="12.75" customHeight="1">
      <c r="IV283" s="136"/>
    </row>
    <row r="284" spans="256:256" s="4" customFormat="1" ht="12.75" customHeight="1">
      <c r="IV284" s="136"/>
    </row>
    <row r="285" spans="256:256" s="4" customFormat="1" ht="12.75" customHeight="1">
      <c r="IV285" s="136"/>
    </row>
    <row r="286" spans="256:256" s="4" customFormat="1" ht="12.75" customHeight="1">
      <c r="IV286" s="136"/>
    </row>
    <row r="287" spans="256:256" s="4" customFormat="1" ht="12.75" customHeight="1">
      <c r="IV287" s="136"/>
    </row>
    <row r="288" spans="256:256" s="4" customFormat="1" ht="12.75" customHeight="1">
      <c r="IV288" s="136"/>
    </row>
    <row r="289" spans="256:256" s="4" customFormat="1" ht="12.75" customHeight="1">
      <c r="IV289" s="136"/>
    </row>
    <row r="290" spans="256:256" s="4" customFormat="1" ht="12.75" customHeight="1">
      <c r="IV290" s="136"/>
    </row>
    <row r="291" spans="256:256" s="4" customFormat="1" ht="12.75" customHeight="1">
      <c r="IV291" s="136"/>
    </row>
    <row r="292" spans="256:256" s="4" customFormat="1" ht="12.75" customHeight="1">
      <c r="IV292" s="136"/>
    </row>
    <row r="293" spans="256:256" s="4" customFormat="1" ht="12.75" customHeight="1">
      <c r="IV293" s="136"/>
    </row>
    <row r="294" spans="256:256" s="4" customFormat="1" ht="12.75" customHeight="1">
      <c r="IV294" s="136"/>
    </row>
    <row r="295" spans="256:256" s="4" customFormat="1" ht="12.75" customHeight="1">
      <c r="IV295" s="136"/>
    </row>
    <row r="296" spans="256:256" s="4" customFormat="1" ht="12.75" customHeight="1">
      <c r="IV296" s="136"/>
    </row>
    <row r="297" spans="256:256" s="4" customFormat="1" ht="12.75" customHeight="1">
      <c r="IV297" s="136"/>
    </row>
    <row r="298" spans="256:256" s="4" customFormat="1" ht="12.75" customHeight="1">
      <c r="IV298" s="136"/>
    </row>
    <row r="299" spans="256:256" s="4" customFormat="1" ht="12.75" customHeight="1">
      <c r="IV299" s="136"/>
    </row>
    <row r="300" spans="256:256" s="4" customFormat="1" ht="12.75" customHeight="1">
      <c r="IV300" s="136"/>
    </row>
    <row r="301" spans="256:256" s="4" customFormat="1" ht="12.75" customHeight="1">
      <c r="IV301" s="136"/>
    </row>
    <row r="302" spans="256:256" s="4" customFormat="1" ht="12.75" customHeight="1">
      <c r="IV302" s="136"/>
    </row>
    <row r="303" spans="256:256" s="4" customFormat="1" ht="12.75" customHeight="1">
      <c r="IV303" s="136"/>
    </row>
    <row r="304" spans="256:256" s="4" customFormat="1" ht="12.75" customHeight="1">
      <c r="IV304" s="136"/>
    </row>
    <row r="305" spans="256:256" s="4" customFormat="1" ht="12.75" customHeight="1">
      <c r="IV305" s="136"/>
    </row>
    <row r="306" spans="256:256" s="4" customFormat="1" ht="12.75" customHeight="1">
      <c r="IV306" s="136"/>
    </row>
    <row r="307" spans="256:256" s="4" customFormat="1" ht="12.75" customHeight="1">
      <c r="IV307" s="136"/>
    </row>
    <row r="308" spans="256:256" s="4" customFormat="1" ht="12.75" customHeight="1">
      <c r="IV308" s="136"/>
    </row>
    <row r="309" spans="256:256" s="4" customFormat="1" ht="12.75" customHeight="1">
      <c r="IV309" s="136"/>
    </row>
    <row r="310" spans="256:256" s="4" customFormat="1" ht="12.75" customHeight="1">
      <c r="IV310" s="136"/>
    </row>
    <row r="311" spans="256:256" s="4" customFormat="1" ht="12.75" customHeight="1">
      <c r="IV311" s="136"/>
    </row>
    <row r="312" spans="256:256" s="4" customFormat="1" ht="12.75" customHeight="1">
      <c r="IV312" s="136"/>
    </row>
    <row r="313" spans="256:256" s="4" customFormat="1" ht="12.75" customHeight="1">
      <c r="IV313" s="136"/>
    </row>
    <row r="314" spans="256:256" s="4" customFormat="1" ht="12.75" customHeight="1">
      <c r="IV314" s="136"/>
    </row>
    <row r="315" spans="256:256" s="4" customFormat="1" ht="12.75" customHeight="1">
      <c r="IV315" s="136"/>
    </row>
    <row r="316" spans="256:256" s="4" customFormat="1" ht="12.75" customHeight="1">
      <c r="IV316" s="136"/>
    </row>
    <row r="317" spans="256:256" s="4" customFormat="1" ht="12.75" customHeight="1">
      <c r="IV317" s="136"/>
    </row>
    <row r="318" spans="256:256" s="4" customFormat="1" ht="12.75" customHeight="1">
      <c r="IV318" s="136"/>
    </row>
    <row r="319" spans="256:256" s="4" customFormat="1" ht="12.75" customHeight="1">
      <c r="IV319" s="136"/>
    </row>
    <row r="320" spans="256:256" s="4" customFormat="1" ht="12.75" customHeight="1">
      <c r="IV320" s="136"/>
    </row>
    <row r="321" spans="256:256" s="4" customFormat="1" ht="12.75" customHeight="1">
      <c r="IV321" s="136"/>
    </row>
    <row r="322" spans="256:256" s="4" customFormat="1" ht="12.75" customHeight="1">
      <c r="IV322" s="136"/>
    </row>
    <row r="323" spans="256:256" s="4" customFormat="1" ht="12.75" customHeight="1">
      <c r="IV323" s="136"/>
    </row>
    <row r="324" spans="256:256" s="4" customFormat="1" ht="12.75" customHeight="1">
      <c r="IV324" s="136"/>
    </row>
    <row r="325" spans="256:256" s="4" customFormat="1" ht="12.75" customHeight="1">
      <c r="IV325" s="136"/>
    </row>
    <row r="326" spans="256:256" s="4" customFormat="1" ht="12.75" customHeight="1">
      <c r="IV326" s="136"/>
    </row>
    <row r="327" spans="256:256" s="4" customFormat="1" ht="12.75" customHeight="1">
      <c r="IV327" s="136"/>
    </row>
    <row r="328" spans="256:256" s="4" customFormat="1" ht="12.75" customHeight="1">
      <c r="IV328" s="136"/>
    </row>
    <row r="329" spans="256:256" s="4" customFormat="1" ht="12.75" customHeight="1">
      <c r="IV329" s="136"/>
    </row>
    <row r="330" spans="256:256" s="4" customFormat="1" ht="12.75" customHeight="1">
      <c r="IV330" s="136"/>
    </row>
    <row r="331" spans="256:256" s="4" customFormat="1" ht="12.75" customHeight="1">
      <c r="IV331" s="136"/>
    </row>
    <row r="332" spans="256:256" s="4" customFormat="1" ht="12.75" customHeight="1">
      <c r="IV332" s="136"/>
    </row>
    <row r="333" spans="256:256" s="4" customFormat="1" ht="12.75" customHeight="1">
      <c r="IV333" s="136"/>
    </row>
    <row r="334" spans="256:256" s="4" customFormat="1" ht="12.75" customHeight="1">
      <c r="IV334" s="136"/>
    </row>
    <row r="335" spans="256:256" s="4" customFormat="1" ht="12.75" customHeight="1">
      <c r="IV335" s="136"/>
    </row>
    <row r="336" spans="256:256" s="4" customFormat="1" ht="12.75" customHeight="1">
      <c r="IV336" s="136"/>
    </row>
    <row r="337" spans="256:256" s="4" customFormat="1" ht="12.75" customHeight="1">
      <c r="IV337" s="136"/>
    </row>
    <row r="338" spans="256:256" s="4" customFormat="1" ht="12.75" customHeight="1">
      <c r="IV338" s="136"/>
    </row>
    <row r="339" spans="256:256" s="4" customFormat="1" ht="12.75" customHeight="1">
      <c r="IV339" s="136"/>
    </row>
    <row r="340" spans="256:256" s="4" customFormat="1" ht="12.75" customHeight="1">
      <c r="IV340" s="136"/>
    </row>
    <row r="341" spans="256:256" s="4" customFormat="1" ht="12.75" customHeight="1">
      <c r="IV341" s="136"/>
    </row>
    <row r="342" spans="256:256" s="4" customFormat="1" ht="12.75" customHeight="1">
      <c r="IV342" s="136"/>
    </row>
    <row r="343" spans="256:256" s="4" customFormat="1" ht="12.75" customHeight="1">
      <c r="IV343" s="136"/>
    </row>
    <row r="344" spans="256:256" s="4" customFormat="1" ht="12.75" customHeight="1">
      <c r="IV344" s="136"/>
    </row>
    <row r="345" spans="256:256" s="4" customFormat="1" ht="12.75" customHeight="1">
      <c r="IV345" s="136"/>
    </row>
    <row r="346" spans="256:256" s="4" customFormat="1" ht="12.75" customHeight="1">
      <c r="IV346" s="136"/>
    </row>
    <row r="347" spans="256:256" s="4" customFormat="1" ht="12.75" customHeight="1">
      <c r="IV347" s="136"/>
    </row>
    <row r="348" spans="256:256" s="4" customFormat="1" ht="12.75" customHeight="1">
      <c r="IV348" s="136"/>
    </row>
    <row r="349" spans="256:256" s="4" customFormat="1" ht="12.75" customHeight="1">
      <c r="IV349" s="136"/>
    </row>
    <row r="350" spans="256:256" s="4" customFormat="1" ht="12.75" customHeight="1">
      <c r="IV350" s="136"/>
    </row>
    <row r="351" spans="256:256" s="4" customFormat="1" ht="12.75" customHeight="1">
      <c r="IV351" s="136"/>
    </row>
    <row r="352" spans="256:256" s="4" customFormat="1" ht="12.75" customHeight="1">
      <c r="IV352" s="136"/>
    </row>
    <row r="353" spans="256:256" s="4" customFormat="1" ht="12.75" customHeight="1">
      <c r="IV353" s="136"/>
    </row>
    <row r="354" spans="256:256" s="4" customFormat="1" ht="12.75" customHeight="1">
      <c r="IV354" s="136"/>
    </row>
    <row r="355" spans="256:256" s="4" customFormat="1" ht="12.75" customHeight="1">
      <c r="IV355" s="136"/>
    </row>
    <row r="356" spans="256:256" s="4" customFormat="1" ht="12.75" customHeight="1">
      <c r="IV356" s="136"/>
    </row>
    <row r="357" spans="256:256" s="4" customFormat="1" ht="12.75" customHeight="1">
      <c r="IV357" s="136"/>
    </row>
    <row r="358" spans="256:256" s="4" customFormat="1" ht="12.75" customHeight="1">
      <c r="IV358" s="136"/>
    </row>
    <row r="359" spans="256:256" s="4" customFormat="1" ht="12.75" customHeight="1">
      <c r="IV359" s="136"/>
    </row>
    <row r="360" spans="256:256" s="4" customFormat="1" ht="12.75" customHeight="1">
      <c r="IV360" s="136"/>
    </row>
    <row r="361" spans="256:256" s="4" customFormat="1" ht="12.75" customHeight="1">
      <c r="IV361" s="136"/>
    </row>
    <row r="362" spans="256:256" s="4" customFormat="1" ht="12.75" customHeight="1">
      <c r="IV362" s="136"/>
    </row>
    <row r="363" spans="256:256" s="4" customFormat="1" ht="12.75" customHeight="1">
      <c r="IV363" s="136"/>
    </row>
    <row r="364" spans="256:256" s="4" customFormat="1" ht="12.75" customHeight="1">
      <c r="IV364" s="136"/>
    </row>
    <row r="365" spans="256:256" s="4" customFormat="1" ht="12.75" customHeight="1">
      <c r="IV365" s="136"/>
    </row>
    <row r="366" spans="256:256" s="4" customFormat="1" ht="12.75" customHeight="1">
      <c r="IV366" s="136"/>
    </row>
    <row r="367" spans="256:256" s="4" customFormat="1" ht="12.75" customHeight="1">
      <c r="IV367" s="136"/>
    </row>
    <row r="368" spans="256:256" s="4" customFormat="1" ht="12.75" customHeight="1">
      <c r="IV368" s="136"/>
    </row>
    <row r="369" spans="256:256" s="4" customFormat="1" ht="12.75" customHeight="1">
      <c r="IV369" s="136"/>
    </row>
    <row r="370" spans="256:256" s="4" customFormat="1" ht="12.75" customHeight="1">
      <c r="IV370" s="136"/>
    </row>
    <row r="371" spans="256:256" s="4" customFormat="1" ht="12.75" customHeight="1">
      <c r="IV371" s="136"/>
    </row>
    <row r="372" spans="256:256" s="4" customFormat="1" ht="12.75" customHeight="1">
      <c r="IV372" s="136"/>
    </row>
    <row r="373" spans="256:256" s="4" customFormat="1" ht="12.75" customHeight="1">
      <c r="IV373" s="136"/>
    </row>
    <row r="374" spans="256:256" s="4" customFormat="1" ht="12.75" customHeight="1">
      <c r="IV374" s="136"/>
    </row>
    <row r="375" spans="256:256" s="4" customFormat="1" ht="12.75" customHeight="1">
      <c r="IV375" s="136"/>
    </row>
    <row r="376" spans="256:256" s="4" customFormat="1" ht="12.75" customHeight="1">
      <c r="IV376" s="136"/>
    </row>
    <row r="377" spans="256:256" s="4" customFormat="1" ht="12.75" customHeight="1">
      <c r="IV377" s="136"/>
    </row>
    <row r="378" spans="256:256" s="4" customFormat="1" ht="12.75" customHeight="1">
      <c r="IV378" s="136"/>
    </row>
    <row r="379" spans="256:256" s="4" customFormat="1" ht="12.75" customHeight="1">
      <c r="IV379" s="136"/>
    </row>
    <row r="380" spans="256:256" s="4" customFormat="1" ht="12.75" customHeight="1">
      <c r="IV380" s="136"/>
    </row>
    <row r="381" spans="256:256" s="4" customFormat="1" ht="12.75" customHeight="1">
      <c r="IV381" s="136"/>
    </row>
    <row r="382" spans="256:256" s="4" customFormat="1" ht="12.75" customHeight="1">
      <c r="IV382" s="136"/>
    </row>
    <row r="383" spans="256:256" s="4" customFormat="1" ht="12.75" customHeight="1">
      <c r="IV383" s="136"/>
    </row>
    <row r="384" spans="256:256" s="4" customFormat="1" ht="12.75" customHeight="1">
      <c r="IV384" s="136"/>
    </row>
    <row r="385" spans="256:256" s="4" customFormat="1" ht="12.75" customHeight="1">
      <c r="IV385" s="136"/>
    </row>
    <row r="386" spans="256:256" s="4" customFormat="1" ht="12.75" customHeight="1">
      <c r="IV386" s="136"/>
    </row>
    <row r="387" spans="256:256" s="4" customFormat="1" ht="12.75" customHeight="1">
      <c r="IV387" s="136"/>
    </row>
    <row r="388" spans="256:256" s="4" customFormat="1" ht="12.75" customHeight="1">
      <c r="IV388" s="136"/>
    </row>
    <row r="389" spans="256:256" s="4" customFormat="1" ht="12.75" customHeight="1">
      <c r="IV389" s="136"/>
    </row>
    <row r="390" spans="256:256" s="4" customFormat="1" ht="12.75" customHeight="1">
      <c r="IV390" s="136"/>
    </row>
    <row r="391" spans="256:256" s="4" customFormat="1" ht="12.75" customHeight="1">
      <c r="IV391" s="136"/>
    </row>
    <row r="392" spans="256:256" s="4" customFormat="1" ht="12.75" customHeight="1">
      <c r="IV392" s="136"/>
    </row>
    <row r="393" spans="256:256" s="4" customFormat="1" ht="12.75" customHeight="1">
      <c r="IV393" s="136"/>
    </row>
    <row r="394" spans="256:256" s="4" customFormat="1" ht="12.75" customHeight="1">
      <c r="IV394" s="136"/>
    </row>
    <row r="395" spans="256:256" s="4" customFormat="1" ht="12.75" customHeight="1">
      <c r="IV395" s="136"/>
    </row>
    <row r="396" spans="256:256" s="4" customFormat="1" ht="12.75" customHeight="1">
      <c r="IV396" s="136"/>
    </row>
    <row r="397" spans="256:256" s="4" customFormat="1" ht="12.75" customHeight="1">
      <c r="IV397" s="136"/>
    </row>
    <row r="398" spans="256:256" s="4" customFormat="1" ht="12.75" customHeight="1">
      <c r="IV398" s="136"/>
    </row>
    <row r="399" spans="256:256" s="4" customFormat="1" ht="12.75" customHeight="1">
      <c r="IV399" s="136"/>
    </row>
    <row r="400" spans="256:256" s="4" customFormat="1" ht="12.75" customHeight="1">
      <c r="IV400" s="136"/>
    </row>
    <row r="401" spans="256:256" s="4" customFormat="1" ht="12.75" customHeight="1">
      <c r="IV401" s="136"/>
    </row>
    <row r="402" spans="256:256" s="4" customFormat="1" ht="12.75" customHeight="1">
      <c r="IV402" s="136"/>
    </row>
    <row r="403" spans="256:256" s="4" customFormat="1" ht="12.75" customHeight="1">
      <c r="IV403" s="136"/>
    </row>
    <row r="404" spans="256:256" s="4" customFormat="1" ht="12.75" customHeight="1">
      <c r="IV404" s="136"/>
    </row>
    <row r="405" spans="256:256" s="4" customFormat="1" ht="12.75" customHeight="1">
      <c r="IV405" s="136"/>
    </row>
    <row r="406" spans="256:256" s="4" customFormat="1" ht="12.75" customHeight="1">
      <c r="IV406" s="136"/>
    </row>
    <row r="407" spans="256:256" s="4" customFormat="1" ht="12.75" customHeight="1">
      <c r="IV407" s="136"/>
    </row>
    <row r="408" spans="256:256" s="4" customFormat="1" ht="12.75" customHeight="1">
      <c r="IV408" s="136"/>
    </row>
    <row r="409" spans="256:256" s="4" customFormat="1" ht="12.75" customHeight="1">
      <c r="IV409" s="136"/>
    </row>
    <row r="410" spans="256:256" s="4" customFormat="1" ht="12.75" customHeight="1">
      <c r="IV410" s="136"/>
    </row>
    <row r="411" spans="256:256" s="4" customFormat="1" ht="12.75" customHeight="1">
      <c r="IV411" s="136"/>
    </row>
    <row r="412" spans="256:256" s="4" customFormat="1" ht="12.75" customHeight="1">
      <c r="IV412" s="136"/>
    </row>
    <row r="413" spans="256:256" s="4" customFormat="1" ht="12.75" customHeight="1">
      <c r="IV413" s="136"/>
    </row>
    <row r="414" spans="256:256" s="4" customFormat="1" ht="12.75" customHeight="1">
      <c r="IV414" s="136"/>
    </row>
    <row r="415" spans="256:256" s="4" customFormat="1" ht="12.75" customHeight="1">
      <c r="IV415" s="136"/>
    </row>
    <row r="416" spans="256:256" s="4" customFormat="1" ht="12.75" customHeight="1">
      <c r="IV416" s="136"/>
    </row>
    <row r="417" spans="256:256" s="4" customFormat="1" ht="12.75" customHeight="1">
      <c r="IV417" s="136"/>
    </row>
    <row r="418" spans="256:256" s="4" customFormat="1" ht="12.75" customHeight="1">
      <c r="IV418" s="136"/>
    </row>
    <row r="419" spans="256:256" s="4" customFormat="1" ht="12.75" customHeight="1">
      <c r="IV419" s="136"/>
    </row>
    <row r="420" spans="256:256" s="4" customFormat="1" ht="12.75" customHeight="1">
      <c r="IV420" s="136"/>
    </row>
    <row r="421" spans="256:256" s="4" customFormat="1" ht="12.75" customHeight="1">
      <c r="IV421" s="136"/>
    </row>
    <row r="422" spans="256:256" s="4" customFormat="1" ht="12.75" customHeight="1">
      <c r="IV422" s="136"/>
    </row>
    <row r="423" spans="256:256" s="4" customFormat="1" ht="12.75" customHeight="1">
      <c r="IV423" s="136"/>
    </row>
    <row r="424" spans="256:256" s="4" customFormat="1" ht="12.75" customHeight="1">
      <c r="IV424" s="136"/>
    </row>
    <row r="425" spans="256:256" s="4" customFormat="1" ht="12.75" customHeight="1">
      <c r="IV425" s="136"/>
    </row>
    <row r="426" spans="256:256" s="4" customFormat="1" ht="12.75" customHeight="1">
      <c r="IV426" s="136"/>
    </row>
    <row r="427" spans="256:256" s="4" customFormat="1" ht="12.75" customHeight="1">
      <c r="IV427" s="136"/>
    </row>
    <row r="428" spans="256:256" s="4" customFormat="1" ht="12.75" customHeight="1">
      <c r="IV428" s="136"/>
    </row>
    <row r="429" spans="256:256" s="4" customFormat="1" ht="12.75" customHeight="1">
      <c r="IV429" s="136"/>
    </row>
    <row r="430" spans="256:256" s="4" customFormat="1" ht="12.75" customHeight="1">
      <c r="IV430" s="136"/>
    </row>
    <row r="431" spans="256:256" s="4" customFormat="1" ht="12.75" customHeight="1">
      <c r="IV431" s="136"/>
    </row>
    <row r="432" spans="256:256" s="4" customFormat="1" ht="12.75" customHeight="1">
      <c r="IV432" s="136"/>
    </row>
    <row r="433" spans="256:256" s="4" customFormat="1" ht="12.75" customHeight="1">
      <c r="IV433" s="136"/>
    </row>
    <row r="434" spans="256:256" s="4" customFormat="1" ht="12.75" customHeight="1">
      <c r="IV434" s="136"/>
    </row>
    <row r="435" spans="256:256" s="4" customFormat="1" ht="12.75" customHeight="1">
      <c r="IV435" s="136"/>
    </row>
    <row r="436" spans="256:256" s="4" customFormat="1" ht="12.75" customHeight="1">
      <c r="IV436" s="136"/>
    </row>
    <row r="437" spans="256:256" s="4" customFormat="1" ht="12.75" customHeight="1">
      <c r="IV437" s="136"/>
    </row>
    <row r="438" spans="256:256" s="4" customFormat="1" ht="12.75" customHeight="1">
      <c r="IV438" s="136"/>
    </row>
    <row r="439" spans="256:256" s="4" customFormat="1" ht="12.75" customHeight="1">
      <c r="IV439" s="136"/>
    </row>
    <row r="440" spans="256:256" s="4" customFormat="1" ht="12.75" customHeight="1">
      <c r="IV440" s="136"/>
    </row>
    <row r="441" spans="256:256" s="4" customFormat="1" ht="12.75" customHeight="1">
      <c r="IV441" s="136"/>
    </row>
    <row r="442" spans="256:256" s="4" customFormat="1" ht="12.75" customHeight="1">
      <c r="IV442" s="136"/>
    </row>
    <row r="443" spans="256:256" s="4" customFormat="1" ht="12.75" customHeight="1">
      <c r="IV443" s="136"/>
    </row>
    <row r="444" spans="256:256" s="4" customFormat="1" ht="12.75" customHeight="1">
      <c r="IV444" s="136"/>
    </row>
    <row r="445" spans="256:256" s="4" customFormat="1" ht="12.75" customHeight="1">
      <c r="IV445" s="136"/>
    </row>
    <row r="446" spans="256:256" s="4" customFormat="1" ht="12.75" customHeight="1">
      <c r="IV446" s="136"/>
    </row>
    <row r="447" spans="256:256" s="4" customFormat="1" ht="12.75" customHeight="1">
      <c r="IV447" s="136"/>
    </row>
    <row r="448" spans="256:256" s="4" customFormat="1" ht="12.75" customHeight="1">
      <c r="IV448" s="136"/>
    </row>
    <row r="449" spans="256:256" s="4" customFormat="1" ht="12.75" customHeight="1">
      <c r="IV449" s="136"/>
    </row>
    <row r="450" spans="256:256" s="4" customFormat="1" ht="12.75" customHeight="1">
      <c r="IV450" s="136"/>
    </row>
    <row r="451" spans="256:256" s="4" customFormat="1" ht="12.75" customHeight="1">
      <c r="IV451" s="136"/>
    </row>
    <row r="452" spans="256:256" s="4" customFormat="1" ht="12.75" customHeight="1">
      <c r="IV452" s="136"/>
    </row>
    <row r="453" spans="256:256" s="4" customFormat="1" ht="12.75" customHeight="1">
      <c r="IV453" s="136"/>
    </row>
    <row r="454" spans="256:256" s="4" customFormat="1" ht="12.75" customHeight="1">
      <c r="IV454" s="136"/>
    </row>
    <row r="455" spans="256:256" s="4" customFormat="1" ht="12.75" customHeight="1">
      <c r="IV455" s="136"/>
    </row>
    <row r="456" spans="256:256" s="4" customFormat="1" ht="12.75" customHeight="1">
      <c r="IV456" s="136"/>
    </row>
    <row r="457" spans="256:256" s="4" customFormat="1" ht="12.75" customHeight="1">
      <c r="IV457" s="136"/>
    </row>
    <row r="458" spans="256:256" s="4" customFormat="1" ht="12.75" customHeight="1">
      <c r="IV458" s="136"/>
    </row>
    <row r="459" spans="256:256" s="4" customFormat="1" ht="12.75" customHeight="1">
      <c r="IV459" s="136"/>
    </row>
    <row r="460" spans="256:256" s="4" customFormat="1" ht="12.75" customHeight="1">
      <c r="IV460" s="136"/>
    </row>
    <row r="461" spans="256:256" s="4" customFormat="1" ht="12.75" customHeight="1">
      <c r="IV461" s="136"/>
    </row>
    <row r="462" spans="256:256" s="4" customFormat="1" ht="12.75" customHeight="1">
      <c r="IV462" s="136"/>
    </row>
    <row r="463" spans="256:256" s="4" customFormat="1" ht="12.75" customHeight="1">
      <c r="IV463" s="136"/>
    </row>
    <row r="464" spans="256:256" s="4" customFormat="1" ht="12.75" customHeight="1">
      <c r="IV464" s="136"/>
    </row>
    <row r="465" spans="256:256" s="4" customFormat="1" ht="12.75" customHeight="1">
      <c r="IV465" s="136"/>
    </row>
    <row r="466" spans="256:256" s="4" customFormat="1" ht="12.75" customHeight="1">
      <c r="IV466" s="136"/>
    </row>
    <row r="467" spans="256:256" s="4" customFormat="1" ht="12.75" customHeight="1">
      <c r="IV467" s="136"/>
    </row>
    <row r="468" spans="256:256" s="4" customFormat="1" ht="12.75" customHeight="1">
      <c r="IV468" s="136"/>
    </row>
    <row r="469" spans="256:256" s="4" customFormat="1" ht="12.75" customHeight="1">
      <c r="IV469" s="136"/>
    </row>
    <row r="470" spans="256:256" s="4" customFormat="1" ht="12.75" customHeight="1">
      <c r="IV470" s="136"/>
    </row>
    <row r="471" spans="256:256" s="4" customFormat="1" ht="12.75" customHeight="1">
      <c r="IV471" s="136"/>
    </row>
    <row r="472" spans="256:256" s="4" customFormat="1" ht="12.75" customHeight="1">
      <c r="IV472" s="136"/>
    </row>
    <row r="473" spans="256:256" s="4" customFormat="1" ht="12.75" customHeight="1">
      <c r="IV473" s="136"/>
    </row>
    <row r="474" spans="256:256" s="4" customFormat="1" ht="12.75" customHeight="1">
      <c r="IV474" s="136"/>
    </row>
    <row r="475" spans="256:256" s="4" customFormat="1" ht="12.75" customHeight="1">
      <c r="IV475" s="136"/>
    </row>
    <row r="476" spans="256:256" s="4" customFormat="1" ht="12.75" customHeight="1">
      <c r="IV476" s="136"/>
    </row>
    <row r="477" spans="256:256" s="4" customFormat="1" ht="12.75" customHeight="1">
      <c r="IV477" s="136"/>
    </row>
    <row r="478" spans="256:256" s="4" customFormat="1" ht="12.75" customHeight="1">
      <c r="IV478" s="136"/>
    </row>
    <row r="479" spans="256:256" s="4" customFormat="1" ht="12.75" customHeight="1">
      <c r="IV479" s="136"/>
    </row>
    <row r="480" spans="256:256" s="4" customFormat="1" ht="12.75" customHeight="1">
      <c r="IV480" s="136"/>
    </row>
    <row r="481" spans="256:256" s="4" customFormat="1" ht="12.75" customHeight="1">
      <c r="IV481" s="136"/>
    </row>
    <row r="482" spans="256:256" s="4" customFormat="1" ht="12.75" customHeight="1">
      <c r="IV482" s="136"/>
    </row>
  </sheetData>
  <sheetProtection password="90EA" sheet="1" objects="1" scenarios="1" formatCells="0" autoFilter="0"/>
  <phoneticPr fontId="43" type="noConversion"/>
  <conditionalFormatting sqref="C27:Z30">
    <cfRule type="cellIs" dxfId="40" priority="9" stopIfTrue="1" operator="lessThan">
      <formula>1.33</formula>
    </cfRule>
    <cfRule type="cellIs" dxfId="39" priority="10" stopIfTrue="1" operator="greaterThanOrEqual">
      <formula>1.33</formula>
    </cfRule>
  </conditionalFormatting>
  <conditionalFormatting sqref="C14:Z14">
    <cfRule type="cellIs" dxfId="38" priority="11" stopIfTrue="1" operator="equal">
      <formula>"Single Side"</formula>
    </cfRule>
  </conditionalFormatting>
  <conditionalFormatting sqref="C32:Z32">
    <cfRule type="cellIs" dxfId="37" priority="12" stopIfTrue="1" operator="greaterThanOrEqual">
      <formula>0.995</formula>
    </cfRule>
    <cfRule type="cellIs" dxfId="36" priority="13" stopIfTrue="1" operator="between">
      <formula>0.9</formula>
      <formula>0.995</formula>
    </cfRule>
    <cfRule type="cellIs" dxfId="35" priority="14" stopIfTrue="1" operator="lessThan">
      <formula>0.9</formula>
    </cfRule>
  </conditionalFormatting>
  <conditionalFormatting sqref="C25:Z26 C35:Z66">
    <cfRule type="cellIs" dxfId="34" priority="15" stopIfTrue="1" operator="between">
      <formula>C$21</formula>
      <formula>C$22</formula>
    </cfRule>
    <cfRule type="cellIs" dxfId="33" priority="16" stopIfTrue="1" operator="greaterThan">
      <formula>C$21</formula>
    </cfRule>
    <cfRule type="cellIs" dxfId="32" priority="17" stopIfTrue="1" operator="lessThan">
      <formula>C$22</formula>
    </cfRule>
  </conditionalFormatting>
  <conditionalFormatting sqref="C35:P66">
    <cfRule type="cellIs" dxfId="31" priority="6" stopIfTrue="1" operator="between">
      <formula>C$21</formula>
      <formula>C$22</formula>
    </cfRule>
    <cfRule type="cellIs" dxfId="30" priority="7" stopIfTrue="1" operator="greaterThan">
      <formula>C$21</formula>
    </cfRule>
    <cfRule type="cellIs" dxfId="29" priority="8" stopIfTrue="1" operator="lessThan">
      <formula>C$22</formula>
    </cfRule>
  </conditionalFormatting>
  <conditionalFormatting sqref="Q35:R66">
    <cfRule type="cellIs" dxfId="28" priority="1" stopIfTrue="1" operator="between">
      <formula>Q$21</formula>
      <formula>Q$22</formula>
    </cfRule>
    <cfRule type="cellIs" dxfId="27" priority="2" stopIfTrue="1" operator="greaterThan">
      <formula>Q$21</formula>
    </cfRule>
    <cfRule type="cellIs" dxfId="26" priority="3" stopIfTrue="1" operator="lessThan">
      <formula>Q$22</formula>
    </cfRule>
  </conditionalFormatting>
  <dataValidations count="3">
    <dataValidation type="list" allowBlank="1" showInputMessage="1" showErrorMessage="1" sqref="D14:IV14" xr:uid="{00000000-0002-0000-0400-000000000000}">
      <formula1>"DoubleSides,SingleSide-USL,SingleSide-LSL,Actual Yield (n&gt;=100),Go/NoGo Gauge (n&gt;=100)"</formula1>
    </dataValidation>
    <dataValidation type="list" allowBlank="1" showErrorMessage="1" prompt="Select &quot;Double Sides&quot; or &quot;Single Side&quot; from drop down list" sqref="C14" xr:uid="{00000000-0002-0000-0400-000001000000}">
      <formula1>"DoubleSides,SingleSide-USL,SingleSide-LSL,Actual Yield (n&gt;=100),Go/NoGo Gauge (n&gt;=100)"</formula1>
    </dataValidation>
    <dataValidation type="custom" allowBlank="1" showInputMessage="1" showErrorMessage="1" error="-Dim No. already exists! You can input the Dim No. with different suffix. _x000a_-同样的尺寸编码已经存在，你可以在尺寸编码后加上不同后缀。 " sqref="C15:IV15" xr:uid="{00000000-0002-0000-0400-000002000000}">
      <formula1>COUNTIF($C$15:$IV$15,C15)=1</formula1>
    </dataValidation>
  </dataValidations>
  <printOptions horizontalCentered="1" verticalCentered="1"/>
  <pageMargins left="0.5" right="0.5" top="0.5" bottom="0.5" header="0.5" footer="0.5"/>
  <pageSetup paperSize="9" scale="40" orientation="landscape" horizontalDpi="4294967292" verticalDpi="4294967292"/>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tabColor rgb="FF00B050"/>
  </sheetPr>
  <dimension ref="A1:IV482"/>
  <sheetViews>
    <sheetView showGridLines="0" topLeftCell="A22" zoomScale="85" zoomScaleNormal="100" workbookViewId="0">
      <pane xSplit="2" topLeftCell="C1" activePane="topRight" state="frozen"/>
      <selection activeCell="R32" activeCellId="3" sqref="C23:R24 C27:R27 C30:R30 C32:R33"/>
      <selection pane="topRight" activeCell="R32" activeCellId="3" sqref="C23:R24 C27:R27 C30:R30 C32:R33"/>
    </sheetView>
  </sheetViews>
  <sheetFormatPr defaultColWidth="10.875" defaultRowHeight="12.75" customHeight="1"/>
  <cols>
    <col min="1" max="1" width="3.625" style="135" customWidth="1"/>
    <col min="2" max="2" width="14" style="135" customWidth="1"/>
    <col min="3" max="16384" width="10.875" style="135"/>
  </cols>
  <sheetData>
    <row r="1" spans="1:256" ht="24.75">
      <c r="B1" s="148" t="s">
        <v>27</v>
      </c>
      <c r="C1" s="4"/>
      <c r="D1" s="4"/>
      <c r="E1" s="4"/>
      <c r="F1" s="4"/>
      <c r="G1" s="4"/>
      <c r="H1" s="4"/>
      <c r="I1" s="4"/>
      <c r="J1" s="4"/>
      <c r="K1" s="4"/>
      <c r="L1" s="4"/>
      <c r="M1" s="4"/>
      <c r="O1" s="5"/>
      <c r="P1" s="4" t="s">
        <v>132</v>
      </c>
      <c r="S1"/>
      <c r="T1"/>
      <c r="IV1" s="130"/>
    </row>
    <row r="2" spans="1:256">
      <c r="B2" s="137" t="s">
        <v>63</v>
      </c>
      <c r="C2" s="138" t="e">
        <f>#REF!</f>
        <v>#REF!</v>
      </c>
      <c r="D2" s="139"/>
      <c r="E2" s="140" t="s">
        <v>130</v>
      </c>
      <c r="F2" s="138" t="e">
        <f>#REF!</f>
        <v>#REF!</v>
      </c>
      <c r="G2" s="139"/>
      <c r="H2" s="140" t="s">
        <v>0</v>
      </c>
      <c r="I2" s="138" t="e">
        <f>#REF!</f>
        <v>#REF!</v>
      </c>
      <c r="J2" s="139"/>
      <c r="K2" s="140" t="s">
        <v>15</v>
      </c>
      <c r="L2" s="141" t="e">
        <f>#REF!</f>
        <v>#REF!</v>
      </c>
      <c r="M2" s="139"/>
      <c r="N2"/>
      <c r="O2" s="6"/>
      <c r="P2" s="4" t="s">
        <v>107</v>
      </c>
      <c r="S2"/>
      <c r="T2"/>
      <c r="IV2" s="130"/>
    </row>
    <row r="3" spans="1:256">
      <c r="B3" s="137" t="s">
        <v>105</v>
      </c>
      <c r="C3" s="138" t="e">
        <f>#REF!</f>
        <v>#REF!</v>
      </c>
      <c r="D3" s="139"/>
      <c r="E3" s="140" t="s">
        <v>14</v>
      </c>
      <c r="F3" s="142"/>
      <c r="G3" s="139"/>
      <c r="H3" s="140" t="s">
        <v>134</v>
      </c>
      <c r="I3" s="142">
        <v>4</v>
      </c>
      <c r="J3" s="139"/>
      <c r="K3" s="140" t="s">
        <v>13</v>
      </c>
      <c r="L3" s="143" t="e">
        <f>#REF!</f>
        <v>#REF!</v>
      </c>
      <c r="M3" s="139"/>
      <c r="N3"/>
      <c r="O3" s="7"/>
      <c r="P3" s="4" t="s">
        <v>112</v>
      </c>
      <c r="S3"/>
      <c r="T3"/>
      <c r="IV3" s="130"/>
    </row>
    <row r="4" spans="1:256">
      <c r="B4" s="52"/>
      <c r="M4"/>
      <c r="N4"/>
      <c r="S4"/>
      <c r="T4"/>
      <c r="IV4" s="130"/>
    </row>
    <row r="5" spans="1:256" s="60" customFormat="1" ht="24.75" customHeight="1">
      <c r="A5" s="1"/>
      <c r="B5" s="51" t="s">
        <v>64</v>
      </c>
      <c r="C5" s="106" t="s">
        <v>156</v>
      </c>
      <c r="D5" s="106" t="s">
        <v>135</v>
      </c>
      <c r="E5" s="106" t="s">
        <v>135</v>
      </c>
      <c r="F5" s="106" t="s">
        <v>156</v>
      </c>
      <c r="G5" s="106" t="s">
        <v>156</v>
      </c>
      <c r="H5" s="106" t="s">
        <v>156</v>
      </c>
      <c r="I5" s="106" t="s">
        <v>156</v>
      </c>
      <c r="J5" s="106" t="s">
        <v>156</v>
      </c>
      <c r="K5" s="106" t="s">
        <v>156</v>
      </c>
      <c r="L5" s="106" t="s">
        <v>156</v>
      </c>
      <c r="M5" s="106" t="s">
        <v>156</v>
      </c>
      <c r="N5" s="106" t="s">
        <v>156</v>
      </c>
      <c r="O5" s="106" t="s">
        <v>156</v>
      </c>
      <c r="P5" s="106" t="s">
        <v>156</v>
      </c>
      <c r="Q5" s="106" t="s">
        <v>156</v>
      </c>
      <c r="R5" s="106" t="s">
        <v>156</v>
      </c>
      <c r="S5" s="106"/>
      <c r="T5" s="106"/>
      <c r="U5" s="106"/>
      <c r="V5" s="106"/>
      <c r="W5" s="106"/>
      <c r="X5" s="106"/>
      <c r="Y5" s="106"/>
      <c r="Z5" s="106"/>
      <c r="IV5" s="130"/>
    </row>
    <row r="6" spans="1:256" s="59" customFormat="1" ht="51" customHeight="1">
      <c r="A6" s="1"/>
      <c r="B6" s="47" t="s">
        <v>65</v>
      </c>
      <c r="C6" s="107"/>
      <c r="D6" s="107"/>
      <c r="E6" s="107"/>
      <c r="F6" s="107"/>
      <c r="G6" s="107"/>
      <c r="H6" s="107"/>
      <c r="I6" s="107"/>
      <c r="J6" s="107"/>
      <c r="K6" s="107"/>
      <c r="L6" s="107"/>
      <c r="M6" s="107"/>
      <c r="N6" s="107"/>
      <c r="O6" s="107"/>
      <c r="P6" s="107"/>
      <c r="Q6" s="107"/>
      <c r="R6" s="107"/>
      <c r="S6" s="107"/>
      <c r="T6" s="107"/>
      <c r="U6" s="107"/>
      <c r="V6" s="107"/>
      <c r="W6" s="107"/>
      <c r="X6" s="107"/>
      <c r="Y6" s="107"/>
      <c r="Z6" s="107"/>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131"/>
    </row>
    <row r="7" spans="1:256" ht="12" customHeight="1">
      <c r="B7" s="50" t="s">
        <v>66</v>
      </c>
      <c r="C7" s="108"/>
      <c r="D7" s="108"/>
      <c r="E7" s="108"/>
      <c r="F7" s="108"/>
      <c r="G7" s="108"/>
      <c r="H7" s="108"/>
      <c r="I7" s="108"/>
      <c r="J7" s="108"/>
      <c r="K7" s="108"/>
      <c r="L7" s="108"/>
      <c r="M7" s="108"/>
      <c r="N7" s="108"/>
      <c r="O7" s="108"/>
      <c r="P7" s="108"/>
      <c r="Q7" s="108"/>
      <c r="R7" s="108"/>
      <c r="S7" s="108"/>
      <c r="T7" s="108"/>
      <c r="U7" s="108"/>
      <c r="V7" s="108"/>
      <c r="W7" s="108"/>
      <c r="X7" s="108"/>
      <c r="Y7" s="108"/>
      <c r="Z7" s="108"/>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c r="HP7" s="65"/>
      <c r="HQ7" s="65"/>
      <c r="HR7" s="65"/>
      <c r="HS7" s="65"/>
      <c r="HT7" s="65"/>
      <c r="HU7" s="65"/>
      <c r="HV7" s="65"/>
      <c r="HW7" s="65"/>
      <c r="HX7" s="65"/>
      <c r="HY7" s="65"/>
      <c r="HZ7" s="65"/>
      <c r="IA7" s="65"/>
      <c r="IB7" s="65"/>
      <c r="IC7" s="65"/>
      <c r="ID7" s="65"/>
      <c r="IE7" s="65"/>
      <c r="IF7" s="65"/>
      <c r="IG7" s="65"/>
      <c r="IH7" s="65"/>
      <c r="II7" s="65"/>
      <c r="IJ7" s="65"/>
      <c r="IK7" s="65"/>
      <c r="IL7" s="65"/>
      <c r="IM7" s="65"/>
      <c r="IN7" s="65"/>
      <c r="IO7" s="65"/>
      <c r="IP7" s="65"/>
      <c r="IQ7" s="65"/>
      <c r="IR7" s="65"/>
      <c r="IS7" s="65"/>
      <c r="IT7" s="65"/>
      <c r="IU7" s="65"/>
      <c r="IV7" s="132"/>
    </row>
    <row r="8" spans="1:256" ht="12.75" customHeight="1">
      <c r="B8" s="50" t="s">
        <v>67</v>
      </c>
      <c r="C8" s="108"/>
      <c r="D8" s="108"/>
      <c r="E8" s="108"/>
      <c r="F8" s="108"/>
      <c r="G8" s="108"/>
      <c r="H8" s="108"/>
      <c r="I8" s="108"/>
      <c r="J8" s="108"/>
      <c r="K8" s="108"/>
      <c r="L8" s="108"/>
      <c r="M8" s="108"/>
      <c r="N8" s="108"/>
      <c r="O8" s="108"/>
      <c r="P8" s="108"/>
      <c r="Q8" s="108"/>
      <c r="R8" s="108"/>
      <c r="S8" s="108"/>
      <c r="T8" s="108"/>
      <c r="U8" s="108"/>
      <c r="V8" s="108"/>
      <c r="W8" s="108"/>
      <c r="X8" s="108"/>
      <c r="Y8" s="108"/>
      <c r="Z8" s="108"/>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c r="HP8" s="65"/>
      <c r="HQ8" s="65"/>
      <c r="HR8" s="65"/>
      <c r="HS8" s="65"/>
      <c r="HT8" s="65"/>
      <c r="HU8" s="65"/>
      <c r="HV8" s="65"/>
      <c r="HW8" s="65"/>
      <c r="HX8" s="65"/>
      <c r="HY8" s="65"/>
      <c r="HZ8" s="65"/>
      <c r="IA8" s="65"/>
      <c r="IB8" s="65"/>
      <c r="IC8" s="65"/>
      <c r="ID8" s="65"/>
      <c r="IE8" s="65"/>
      <c r="IF8" s="65"/>
      <c r="IG8" s="65"/>
      <c r="IH8" s="65"/>
      <c r="II8" s="65"/>
      <c r="IJ8" s="65"/>
      <c r="IK8" s="65"/>
      <c r="IL8" s="65"/>
      <c r="IM8" s="65"/>
      <c r="IN8" s="65"/>
      <c r="IO8" s="65"/>
      <c r="IP8" s="65"/>
      <c r="IQ8" s="65"/>
      <c r="IR8" s="65"/>
      <c r="IS8" s="65"/>
      <c r="IT8" s="65"/>
      <c r="IU8" s="65"/>
      <c r="IV8" s="132"/>
    </row>
    <row r="9" spans="1:256" ht="12.75" customHeight="1">
      <c r="B9" s="50" t="s">
        <v>77</v>
      </c>
      <c r="C9" s="108"/>
      <c r="D9" s="108"/>
      <c r="E9" s="108"/>
      <c r="F9" s="108"/>
      <c r="G9" s="108"/>
      <c r="H9" s="108"/>
      <c r="I9" s="108"/>
      <c r="J9" s="108"/>
      <c r="K9" s="108"/>
      <c r="L9" s="108"/>
      <c r="M9" s="108"/>
      <c r="N9" s="108"/>
      <c r="O9" s="108"/>
      <c r="P9" s="108"/>
      <c r="Q9" s="108"/>
      <c r="R9" s="108"/>
      <c r="S9" s="108"/>
      <c r="T9" s="108"/>
      <c r="U9" s="108"/>
      <c r="V9" s="108"/>
      <c r="W9" s="108"/>
      <c r="X9" s="108"/>
      <c r="Y9" s="108"/>
      <c r="Z9" s="108"/>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c r="HP9" s="65"/>
      <c r="HQ9" s="65"/>
      <c r="HR9" s="65"/>
      <c r="HS9" s="65"/>
      <c r="HT9" s="65"/>
      <c r="HU9" s="65"/>
      <c r="HV9" s="65"/>
      <c r="HW9" s="65"/>
      <c r="HX9" s="65"/>
      <c r="HY9" s="65"/>
      <c r="HZ9" s="65"/>
      <c r="IA9" s="65"/>
      <c r="IB9" s="65"/>
      <c r="IC9" s="65"/>
      <c r="ID9" s="65"/>
      <c r="IE9" s="65"/>
      <c r="IF9" s="65"/>
      <c r="IG9" s="65"/>
      <c r="IH9" s="65"/>
      <c r="II9" s="65"/>
      <c r="IJ9" s="65"/>
      <c r="IK9" s="65"/>
      <c r="IL9" s="65"/>
      <c r="IM9" s="65"/>
      <c r="IN9" s="65"/>
      <c r="IO9" s="65"/>
      <c r="IP9" s="65"/>
      <c r="IQ9" s="65"/>
      <c r="IR9" s="65"/>
      <c r="IS9" s="65"/>
      <c r="IT9" s="65"/>
      <c r="IU9" s="65"/>
      <c r="IV9" s="132"/>
    </row>
    <row r="10" spans="1:256" s="61" customFormat="1" ht="12.75" hidden="1" customHeight="1">
      <c r="A10" s="1"/>
      <c r="B10" s="50" t="s">
        <v>68</v>
      </c>
      <c r="C10" s="109" t="str">
        <f t="shared" ref="C10:BN10" si="0">IF(AND(C7="",C8="",C9=""),"",IF(C9="",C24,(C24+C9)))</f>
        <v/>
      </c>
      <c r="D10" s="109" t="str">
        <f t="shared" si="0"/>
        <v/>
      </c>
      <c r="E10" s="109" t="str">
        <f t="shared" si="0"/>
        <v/>
      </c>
      <c r="F10" s="109" t="str">
        <f t="shared" si="0"/>
        <v/>
      </c>
      <c r="G10" s="109" t="str">
        <f t="shared" si="0"/>
        <v/>
      </c>
      <c r="H10" s="109" t="str">
        <f t="shared" si="0"/>
        <v/>
      </c>
      <c r="I10" s="109" t="str">
        <f t="shared" si="0"/>
        <v/>
      </c>
      <c r="J10" s="109" t="str">
        <f t="shared" si="0"/>
        <v/>
      </c>
      <c r="K10" s="109" t="str">
        <f t="shared" si="0"/>
        <v/>
      </c>
      <c r="L10" s="109" t="str">
        <f t="shared" si="0"/>
        <v/>
      </c>
      <c r="M10" s="109" t="str">
        <f t="shared" si="0"/>
        <v/>
      </c>
      <c r="N10" s="109" t="str">
        <f t="shared" si="0"/>
        <v/>
      </c>
      <c r="O10" s="109" t="str">
        <f t="shared" si="0"/>
        <v/>
      </c>
      <c r="P10" s="109" t="str">
        <f t="shared" si="0"/>
        <v/>
      </c>
      <c r="Q10" s="109" t="str">
        <f t="shared" si="0"/>
        <v/>
      </c>
      <c r="R10" s="109" t="str">
        <f t="shared" si="0"/>
        <v/>
      </c>
      <c r="S10" s="109" t="str">
        <f t="shared" si="0"/>
        <v/>
      </c>
      <c r="T10" s="109" t="str">
        <f t="shared" si="0"/>
        <v/>
      </c>
      <c r="U10" s="109" t="str">
        <f t="shared" si="0"/>
        <v/>
      </c>
      <c r="V10" s="109" t="str">
        <f t="shared" si="0"/>
        <v/>
      </c>
      <c r="W10" s="109" t="str">
        <f t="shared" si="0"/>
        <v/>
      </c>
      <c r="X10" s="109" t="str">
        <f t="shared" si="0"/>
        <v/>
      </c>
      <c r="Y10" s="109" t="str">
        <f t="shared" si="0"/>
        <v/>
      </c>
      <c r="Z10" s="109" t="str">
        <f t="shared" si="0"/>
        <v/>
      </c>
      <c r="AA10" s="66" t="str">
        <f t="shared" si="0"/>
        <v/>
      </c>
      <c r="AB10" s="66" t="str">
        <f t="shared" si="0"/>
        <v/>
      </c>
      <c r="AC10" s="66" t="str">
        <f t="shared" si="0"/>
        <v/>
      </c>
      <c r="AD10" s="66" t="str">
        <f t="shared" si="0"/>
        <v/>
      </c>
      <c r="AE10" s="66" t="str">
        <f t="shared" si="0"/>
        <v/>
      </c>
      <c r="AF10" s="66" t="str">
        <f t="shared" si="0"/>
        <v/>
      </c>
      <c r="AG10" s="66" t="str">
        <f t="shared" si="0"/>
        <v/>
      </c>
      <c r="AH10" s="66" t="str">
        <f t="shared" si="0"/>
        <v/>
      </c>
      <c r="AI10" s="66" t="str">
        <f t="shared" si="0"/>
        <v/>
      </c>
      <c r="AJ10" s="66" t="str">
        <f t="shared" si="0"/>
        <v/>
      </c>
      <c r="AK10" s="66" t="str">
        <f t="shared" si="0"/>
        <v/>
      </c>
      <c r="AL10" s="66" t="str">
        <f t="shared" si="0"/>
        <v/>
      </c>
      <c r="AM10" s="66" t="str">
        <f t="shared" si="0"/>
        <v/>
      </c>
      <c r="AN10" s="66" t="str">
        <f t="shared" si="0"/>
        <v/>
      </c>
      <c r="AO10" s="66" t="str">
        <f t="shared" si="0"/>
        <v/>
      </c>
      <c r="AP10" s="66" t="str">
        <f t="shared" si="0"/>
        <v/>
      </c>
      <c r="AQ10" s="66" t="str">
        <f t="shared" si="0"/>
        <v/>
      </c>
      <c r="AR10" s="66" t="str">
        <f t="shared" si="0"/>
        <v/>
      </c>
      <c r="AS10" s="66" t="str">
        <f t="shared" si="0"/>
        <v/>
      </c>
      <c r="AT10" s="66" t="str">
        <f t="shared" si="0"/>
        <v/>
      </c>
      <c r="AU10" s="66" t="str">
        <f t="shared" si="0"/>
        <v/>
      </c>
      <c r="AV10" s="66" t="str">
        <f t="shared" si="0"/>
        <v/>
      </c>
      <c r="AW10" s="66" t="str">
        <f t="shared" si="0"/>
        <v/>
      </c>
      <c r="AX10" s="66" t="str">
        <f t="shared" si="0"/>
        <v/>
      </c>
      <c r="AY10" s="66" t="str">
        <f t="shared" si="0"/>
        <v/>
      </c>
      <c r="AZ10" s="66" t="str">
        <f t="shared" si="0"/>
        <v/>
      </c>
      <c r="BA10" s="66" t="str">
        <f t="shared" si="0"/>
        <v/>
      </c>
      <c r="BB10" s="66" t="str">
        <f t="shared" si="0"/>
        <v/>
      </c>
      <c r="BC10" s="66" t="str">
        <f t="shared" si="0"/>
        <v/>
      </c>
      <c r="BD10" s="66" t="str">
        <f t="shared" si="0"/>
        <v/>
      </c>
      <c r="BE10" s="66" t="str">
        <f t="shared" si="0"/>
        <v/>
      </c>
      <c r="BF10" s="66" t="str">
        <f t="shared" si="0"/>
        <v/>
      </c>
      <c r="BG10" s="66" t="str">
        <f t="shared" si="0"/>
        <v/>
      </c>
      <c r="BH10" s="66" t="str">
        <f t="shared" si="0"/>
        <v/>
      </c>
      <c r="BI10" s="66" t="str">
        <f t="shared" si="0"/>
        <v/>
      </c>
      <c r="BJ10" s="66" t="str">
        <f t="shared" si="0"/>
        <v/>
      </c>
      <c r="BK10" s="66" t="str">
        <f t="shared" si="0"/>
        <v/>
      </c>
      <c r="BL10" s="66" t="str">
        <f t="shared" si="0"/>
        <v/>
      </c>
      <c r="BM10" s="66" t="str">
        <f t="shared" si="0"/>
        <v/>
      </c>
      <c r="BN10" s="66" t="str">
        <f t="shared" si="0"/>
        <v/>
      </c>
      <c r="BO10" s="66" t="str">
        <f t="shared" ref="BO10:DZ10" si="1">IF(AND(BO7="",BO8="",BO9=""),"",IF(BO9="",BO24,(BO24+BO9)))</f>
        <v/>
      </c>
      <c r="BP10" s="66" t="str">
        <f t="shared" si="1"/>
        <v/>
      </c>
      <c r="BQ10" s="66" t="str">
        <f t="shared" si="1"/>
        <v/>
      </c>
      <c r="BR10" s="66" t="str">
        <f t="shared" si="1"/>
        <v/>
      </c>
      <c r="BS10" s="66" t="str">
        <f t="shared" si="1"/>
        <v/>
      </c>
      <c r="BT10" s="66" t="str">
        <f t="shared" si="1"/>
        <v/>
      </c>
      <c r="BU10" s="66" t="str">
        <f t="shared" si="1"/>
        <v/>
      </c>
      <c r="BV10" s="66" t="str">
        <f t="shared" si="1"/>
        <v/>
      </c>
      <c r="BW10" s="66" t="str">
        <f t="shared" si="1"/>
        <v/>
      </c>
      <c r="BX10" s="66" t="str">
        <f t="shared" si="1"/>
        <v/>
      </c>
      <c r="BY10" s="66" t="str">
        <f t="shared" si="1"/>
        <v/>
      </c>
      <c r="BZ10" s="66" t="str">
        <f t="shared" si="1"/>
        <v/>
      </c>
      <c r="CA10" s="66" t="str">
        <f t="shared" si="1"/>
        <v/>
      </c>
      <c r="CB10" s="66" t="str">
        <f t="shared" si="1"/>
        <v/>
      </c>
      <c r="CC10" s="66" t="str">
        <f t="shared" si="1"/>
        <v/>
      </c>
      <c r="CD10" s="66" t="str">
        <f t="shared" si="1"/>
        <v/>
      </c>
      <c r="CE10" s="66" t="str">
        <f t="shared" si="1"/>
        <v/>
      </c>
      <c r="CF10" s="66" t="str">
        <f t="shared" si="1"/>
        <v/>
      </c>
      <c r="CG10" s="66" t="str">
        <f t="shared" si="1"/>
        <v/>
      </c>
      <c r="CH10" s="66" t="str">
        <f t="shared" si="1"/>
        <v/>
      </c>
      <c r="CI10" s="66" t="str">
        <f t="shared" si="1"/>
        <v/>
      </c>
      <c r="CJ10" s="66" t="str">
        <f t="shared" si="1"/>
        <v/>
      </c>
      <c r="CK10" s="66" t="str">
        <f t="shared" si="1"/>
        <v/>
      </c>
      <c r="CL10" s="66" t="str">
        <f t="shared" si="1"/>
        <v/>
      </c>
      <c r="CM10" s="66" t="str">
        <f t="shared" si="1"/>
        <v/>
      </c>
      <c r="CN10" s="66" t="str">
        <f t="shared" si="1"/>
        <v/>
      </c>
      <c r="CO10" s="66" t="str">
        <f t="shared" si="1"/>
        <v/>
      </c>
      <c r="CP10" s="66" t="str">
        <f t="shared" si="1"/>
        <v/>
      </c>
      <c r="CQ10" s="66" t="str">
        <f t="shared" si="1"/>
        <v/>
      </c>
      <c r="CR10" s="66" t="str">
        <f t="shared" si="1"/>
        <v/>
      </c>
      <c r="CS10" s="66" t="str">
        <f t="shared" si="1"/>
        <v/>
      </c>
      <c r="CT10" s="66" t="str">
        <f t="shared" si="1"/>
        <v/>
      </c>
      <c r="CU10" s="66" t="str">
        <f t="shared" si="1"/>
        <v/>
      </c>
      <c r="CV10" s="66" t="str">
        <f t="shared" si="1"/>
        <v/>
      </c>
      <c r="CW10" s="66" t="str">
        <f t="shared" si="1"/>
        <v/>
      </c>
      <c r="CX10" s="66" t="str">
        <f t="shared" si="1"/>
        <v/>
      </c>
      <c r="CY10" s="66" t="str">
        <f t="shared" si="1"/>
        <v/>
      </c>
      <c r="CZ10" s="66" t="str">
        <f t="shared" si="1"/>
        <v/>
      </c>
      <c r="DA10" s="66" t="str">
        <f t="shared" si="1"/>
        <v/>
      </c>
      <c r="DB10" s="66" t="str">
        <f t="shared" si="1"/>
        <v/>
      </c>
      <c r="DC10" s="66" t="str">
        <f t="shared" si="1"/>
        <v/>
      </c>
      <c r="DD10" s="66" t="str">
        <f t="shared" si="1"/>
        <v/>
      </c>
      <c r="DE10" s="66" t="str">
        <f t="shared" si="1"/>
        <v/>
      </c>
      <c r="DF10" s="66" t="str">
        <f t="shared" si="1"/>
        <v/>
      </c>
      <c r="DG10" s="66" t="str">
        <f t="shared" si="1"/>
        <v/>
      </c>
      <c r="DH10" s="66" t="str">
        <f t="shared" si="1"/>
        <v/>
      </c>
      <c r="DI10" s="66" t="str">
        <f t="shared" si="1"/>
        <v/>
      </c>
      <c r="DJ10" s="66" t="str">
        <f t="shared" si="1"/>
        <v/>
      </c>
      <c r="DK10" s="66" t="str">
        <f t="shared" si="1"/>
        <v/>
      </c>
      <c r="DL10" s="66" t="str">
        <f t="shared" si="1"/>
        <v/>
      </c>
      <c r="DM10" s="66" t="str">
        <f t="shared" si="1"/>
        <v/>
      </c>
      <c r="DN10" s="66" t="str">
        <f t="shared" si="1"/>
        <v/>
      </c>
      <c r="DO10" s="66" t="str">
        <f t="shared" si="1"/>
        <v/>
      </c>
      <c r="DP10" s="66" t="str">
        <f t="shared" si="1"/>
        <v/>
      </c>
      <c r="DQ10" s="66" t="str">
        <f t="shared" si="1"/>
        <v/>
      </c>
      <c r="DR10" s="66" t="str">
        <f t="shared" si="1"/>
        <v/>
      </c>
      <c r="DS10" s="66" t="str">
        <f t="shared" si="1"/>
        <v/>
      </c>
      <c r="DT10" s="66" t="str">
        <f t="shared" si="1"/>
        <v/>
      </c>
      <c r="DU10" s="66" t="str">
        <f t="shared" si="1"/>
        <v/>
      </c>
      <c r="DV10" s="66" t="str">
        <f t="shared" si="1"/>
        <v/>
      </c>
      <c r="DW10" s="66" t="str">
        <f t="shared" si="1"/>
        <v/>
      </c>
      <c r="DX10" s="66" t="str">
        <f t="shared" si="1"/>
        <v/>
      </c>
      <c r="DY10" s="66" t="str">
        <f t="shared" si="1"/>
        <v/>
      </c>
      <c r="DZ10" s="66" t="str">
        <f t="shared" si="1"/>
        <v/>
      </c>
      <c r="EA10" s="66" t="str">
        <f t="shared" ref="EA10:GL10" si="2">IF(AND(EA7="",EA8="",EA9=""),"",IF(EA9="",EA24,(EA24+EA9)))</f>
        <v/>
      </c>
      <c r="EB10" s="66" t="str">
        <f t="shared" si="2"/>
        <v/>
      </c>
      <c r="EC10" s="66" t="str">
        <f t="shared" si="2"/>
        <v/>
      </c>
      <c r="ED10" s="66" t="str">
        <f t="shared" si="2"/>
        <v/>
      </c>
      <c r="EE10" s="66" t="str">
        <f t="shared" si="2"/>
        <v/>
      </c>
      <c r="EF10" s="66" t="str">
        <f t="shared" si="2"/>
        <v/>
      </c>
      <c r="EG10" s="66" t="str">
        <f t="shared" si="2"/>
        <v/>
      </c>
      <c r="EH10" s="66" t="str">
        <f t="shared" si="2"/>
        <v/>
      </c>
      <c r="EI10" s="66" t="str">
        <f t="shared" si="2"/>
        <v/>
      </c>
      <c r="EJ10" s="66" t="str">
        <f t="shared" si="2"/>
        <v/>
      </c>
      <c r="EK10" s="66" t="str">
        <f t="shared" si="2"/>
        <v/>
      </c>
      <c r="EL10" s="66" t="str">
        <f t="shared" si="2"/>
        <v/>
      </c>
      <c r="EM10" s="66" t="str">
        <f t="shared" si="2"/>
        <v/>
      </c>
      <c r="EN10" s="66" t="str">
        <f t="shared" si="2"/>
        <v/>
      </c>
      <c r="EO10" s="66" t="str">
        <f t="shared" si="2"/>
        <v/>
      </c>
      <c r="EP10" s="66" t="str">
        <f t="shared" si="2"/>
        <v/>
      </c>
      <c r="EQ10" s="66" t="str">
        <f t="shared" si="2"/>
        <v/>
      </c>
      <c r="ER10" s="66" t="str">
        <f t="shared" si="2"/>
        <v/>
      </c>
      <c r="ES10" s="66" t="str">
        <f t="shared" si="2"/>
        <v/>
      </c>
      <c r="ET10" s="66" t="str">
        <f t="shared" si="2"/>
        <v/>
      </c>
      <c r="EU10" s="66" t="str">
        <f t="shared" si="2"/>
        <v/>
      </c>
      <c r="EV10" s="66" t="str">
        <f t="shared" si="2"/>
        <v/>
      </c>
      <c r="EW10" s="66" t="str">
        <f t="shared" si="2"/>
        <v/>
      </c>
      <c r="EX10" s="66" t="str">
        <f t="shared" si="2"/>
        <v/>
      </c>
      <c r="EY10" s="66" t="str">
        <f t="shared" si="2"/>
        <v/>
      </c>
      <c r="EZ10" s="66" t="str">
        <f t="shared" si="2"/>
        <v/>
      </c>
      <c r="FA10" s="66" t="str">
        <f t="shared" si="2"/>
        <v/>
      </c>
      <c r="FB10" s="66" t="str">
        <f t="shared" si="2"/>
        <v/>
      </c>
      <c r="FC10" s="66" t="str">
        <f t="shared" si="2"/>
        <v/>
      </c>
      <c r="FD10" s="66" t="str">
        <f t="shared" si="2"/>
        <v/>
      </c>
      <c r="FE10" s="66" t="str">
        <f t="shared" si="2"/>
        <v/>
      </c>
      <c r="FF10" s="66" t="str">
        <f t="shared" si="2"/>
        <v/>
      </c>
      <c r="FG10" s="66" t="str">
        <f t="shared" si="2"/>
        <v/>
      </c>
      <c r="FH10" s="66" t="str">
        <f t="shared" si="2"/>
        <v/>
      </c>
      <c r="FI10" s="66" t="str">
        <f t="shared" si="2"/>
        <v/>
      </c>
      <c r="FJ10" s="66" t="str">
        <f t="shared" si="2"/>
        <v/>
      </c>
      <c r="FK10" s="66" t="str">
        <f t="shared" si="2"/>
        <v/>
      </c>
      <c r="FL10" s="66" t="str">
        <f t="shared" si="2"/>
        <v/>
      </c>
      <c r="FM10" s="66" t="str">
        <f t="shared" si="2"/>
        <v/>
      </c>
      <c r="FN10" s="66" t="str">
        <f t="shared" si="2"/>
        <v/>
      </c>
      <c r="FO10" s="66" t="str">
        <f t="shared" si="2"/>
        <v/>
      </c>
      <c r="FP10" s="66" t="str">
        <f t="shared" si="2"/>
        <v/>
      </c>
      <c r="FQ10" s="66" t="str">
        <f t="shared" si="2"/>
        <v/>
      </c>
      <c r="FR10" s="66" t="str">
        <f t="shared" si="2"/>
        <v/>
      </c>
      <c r="FS10" s="66" t="str">
        <f t="shared" si="2"/>
        <v/>
      </c>
      <c r="FT10" s="66" t="str">
        <f t="shared" si="2"/>
        <v/>
      </c>
      <c r="FU10" s="66" t="str">
        <f t="shared" si="2"/>
        <v/>
      </c>
      <c r="FV10" s="66" t="str">
        <f t="shared" si="2"/>
        <v/>
      </c>
      <c r="FW10" s="66" t="str">
        <f t="shared" si="2"/>
        <v/>
      </c>
      <c r="FX10" s="66" t="str">
        <f t="shared" si="2"/>
        <v/>
      </c>
      <c r="FY10" s="66" t="str">
        <f t="shared" si="2"/>
        <v/>
      </c>
      <c r="FZ10" s="66" t="str">
        <f t="shared" si="2"/>
        <v/>
      </c>
      <c r="GA10" s="66" t="str">
        <f t="shared" si="2"/>
        <v/>
      </c>
      <c r="GB10" s="66" t="str">
        <f t="shared" si="2"/>
        <v/>
      </c>
      <c r="GC10" s="66" t="str">
        <f t="shared" si="2"/>
        <v/>
      </c>
      <c r="GD10" s="66" t="str">
        <f t="shared" si="2"/>
        <v/>
      </c>
      <c r="GE10" s="66" t="str">
        <f t="shared" si="2"/>
        <v/>
      </c>
      <c r="GF10" s="66" t="str">
        <f t="shared" si="2"/>
        <v/>
      </c>
      <c r="GG10" s="66" t="str">
        <f t="shared" si="2"/>
        <v/>
      </c>
      <c r="GH10" s="66" t="str">
        <f t="shared" si="2"/>
        <v/>
      </c>
      <c r="GI10" s="66" t="str">
        <f t="shared" si="2"/>
        <v/>
      </c>
      <c r="GJ10" s="66" t="str">
        <f t="shared" si="2"/>
        <v/>
      </c>
      <c r="GK10" s="66" t="str">
        <f t="shared" si="2"/>
        <v/>
      </c>
      <c r="GL10" s="66" t="str">
        <f t="shared" si="2"/>
        <v/>
      </c>
      <c r="GM10" s="66" t="str">
        <f t="shared" ref="GM10:IV10" si="3">IF(AND(GM7="",GM8="",GM9=""),"",IF(GM9="",GM24,(GM24+GM9)))</f>
        <v/>
      </c>
      <c r="GN10" s="66" t="str">
        <f t="shared" si="3"/>
        <v/>
      </c>
      <c r="GO10" s="66" t="str">
        <f t="shared" si="3"/>
        <v/>
      </c>
      <c r="GP10" s="66" t="str">
        <f t="shared" si="3"/>
        <v/>
      </c>
      <c r="GQ10" s="66" t="str">
        <f t="shared" si="3"/>
        <v/>
      </c>
      <c r="GR10" s="66" t="str">
        <f t="shared" si="3"/>
        <v/>
      </c>
      <c r="GS10" s="66" t="str">
        <f t="shared" si="3"/>
        <v/>
      </c>
      <c r="GT10" s="66" t="str">
        <f t="shared" si="3"/>
        <v/>
      </c>
      <c r="GU10" s="66" t="str">
        <f t="shared" si="3"/>
        <v/>
      </c>
      <c r="GV10" s="66" t="str">
        <f t="shared" si="3"/>
        <v/>
      </c>
      <c r="GW10" s="66" t="str">
        <f t="shared" si="3"/>
        <v/>
      </c>
      <c r="GX10" s="66" t="str">
        <f t="shared" si="3"/>
        <v/>
      </c>
      <c r="GY10" s="66" t="str">
        <f t="shared" si="3"/>
        <v/>
      </c>
      <c r="GZ10" s="66" t="str">
        <f t="shared" si="3"/>
        <v/>
      </c>
      <c r="HA10" s="66" t="str">
        <f t="shared" si="3"/>
        <v/>
      </c>
      <c r="HB10" s="66" t="str">
        <f t="shared" si="3"/>
        <v/>
      </c>
      <c r="HC10" s="66" t="str">
        <f t="shared" si="3"/>
        <v/>
      </c>
      <c r="HD10" s="66" t="str">
        <f t="shared" si="3"/>
        <v/>
      </c>
      <c r="HE10" s="66" t="str">
        <f t="shared" si="3"/>
        <v/>
      </c>
      <c r="HF10" s="66" t="str">
        <f t="shared" si="3"/>
        <v/>
      </c>
      <c r="HG10" s="66" t="str">
        <f t="shared" si="3"/>
        <v/>
      </c>
      <c r="HH10" s="66" t="str">
        <f t="shared" si="3"/>
        <v/>
      </c>
      <c r="HI10" s="66" t="str">
        <f t="shared" si="3"/>
        <v/>
      </c>
      <c r="HJ10" s="66" t="str">
        <f t="shared" si="3"/>
        <v/>
      </c>
      <c r="HK10" s="66" t="str">
        <f t="shared" si="3"/>
        <v/>
      </c>
      <c r="HL10" s="66" t="str">
        <f t="shared" si="3"/>
        <v/>
      </c>
      <c r="HM10" s="66" t="str">
        <f t="shared" si="3"/>
        <v/>
      </c>
      <c r="HN10" s="66" t="str">
        <f t="shared" si="3"/>
        <v/>
      </c>
      <c r="HO10" s="66" t="str">
        <f t="shared" si="3"/>
        <v/>
      </c>
      <c r="HP10" s="66" t="str">
        <f t="shared" si="3"/>
        <v/>
      </c>
      <c r="HQ10" s="66" t="str">
        <f t="shared" si="3"/>
        <v/>
      </c>
      <c r="HR10" s="66" t="str">
        <f t="shared" si="3"/>
        <v/>
      </c>
      <c r="HS10" s="66" t="str">
        <f t="shared" si="3"/>
        <v/>
      </c>
      <c r="HT10" s="66" t="str">
        <f t="shared" si="3"/>
        <v/>
      </c>
      <c r="HU10" s="66" t="str">
        <f t="shared" si="3"/>
        <v/>
      </c>
      <c r="HV10" s="66" t="str">
        <f t="shared" si="3"/>
        <v/>
      </c>
      <c r="HW10" s="66" t="str">
        <f t="shared" si="3"/>
        <v/>
      </c>
      <c r="HX10" s="66" t="str">
        <f t="shared" si="3"/>
        <v/>
      </c>
      <c r="HY10" s="66" t="str">
        <f t="shared" si="3"/>
        <v/>
      </c>
      <c r="HZ10" s="66" t="str">
        <f t="shared" si="3"/>
        <v/>
      </c>
      <c r="IA10" s="66" t="str">
        <f t="shared" si="3"/>
        <v/>
      </c>
      <c r="IB10" s="66" t="str">
        <f t="shared" si="3"/>
        <v/>
      </c>
      <c r="IC10" s="66" t="str">
        <f t="shared" si="3"/>
        <v/>
      </c>
      <c r="ID10" s="66" t="str">
        <f t="shared" si="3"/>
        <v/>
      </c>
      <c r="IE10" s="66" t="str">
        <f t="shared" si="3"/>
        <v/>
      </c>
      <c r="IF10" s="66" t="str">
        <f t="shared" si="3"/>
        <v/>
      </c>
      <c r="IG10" s="66" t="str">
        <f t="shared" si="3"/>
        <v/>
      </c>
      <c r="IH10" s="66" t="str">
        <f t="shared" si="3"/>
        <v/>
      </c>
      <c r="II10" s="66" t="str">
        <f t="shared" si="3"/>
        <v/>
      </c>
      <c r="IJ10" s="66" t="str">
        <f t="shared" si="3"/>
        <v/>
      </c>
      <c r="IK10" s="66" t="str">
        <f t="shared" si="3"/>
        <v/>
      </c>
      <c r="IL10" s="66" t="str">
        <f t="shared" si="3"/>
        <v/>
      </c>
      <c r="IM10" s="66" t="str">
        <f t="shared" si="3"/>
        <v/>
      </c>
      <c r="IN10" s="66" t="str">
        <f t="shared" si="3"/>
        <v/>
      </c>
      <c r="IO10" s="66" t="str">
        <f t="shared" si="3"/>
        <v/>
      </c>
      <c r="IP10" s="66" t="str">
        <f t="shared" si="3"/>
        <v/>
      </c>
      <c r="IQ10" s="66" t="str">
        <f t="shared" si="3"/>
        <v/>
      </c>
      <c r="IR10" s="66" t="str">
        <f t="shared" si="3"/>
        <v/>
      </c>
      <c r="IS10" s="66" t="str">
        <f t="shared" si="3"/>
        <v/>
      </c>
      <c r="IT10" s="66" t="str">
        <f t="shared" si="3"/>
        <v/>
      </c>
      <c r="IU10" s="66" t="str">
        <f t="shared" si="3"/>
        <v/>
      </c>
      <c r="IV10" s="133" t="str">
        <f t="shared" si="3"/>
        <v/>
      </c>
    </row>
    <row r="11" spans="1:256" s="61" customFormat="1" ht="12.75" hidden="1" customHeight="1">
      <c r="A11" s="1"/>
      <c r="B11" s="50" t="s">
        <v>69</v>
      </c>
      <c r="C11" s="110" t="str">
        <f t="shared" ref="C11:BN11" si="4">IF(AND(C7="",C8="",C9=""),"",IF(C7="",C21,(C16+ABS(C7))))</f>
        <v/>
      </c>
      <c r="D11" s="110" t="str">
        <f t="shared" si="4"/>
        <v/>
      </c>
      <c r="E11" s="110" t="str">
        <f t="shared" si="4"/>
        <v/>
      </c>
      <c r="F11" s="110" t="str">
        <f t="shared" si="4"/>
        <v/>
      </c>
      <c r="G11" s="110" t="str">
        <f t="shared" si="4"/>
        <v/>
      </c>
      <c r="H11" s="110" t="str">
        <f t="shared" si="4"/>
        <v/>
      </c>
      <c r="I11" s="110" t="str">
        <f t="shared" si="4"/>
        <v/>
      </c>
      <c r="J11" s="110" t="str">
        <f t="shared" si="4"/>
        <v/>
      </c>
      <c r="K11" s="110" t="str">
        <f t="shared" si="4"/>
        <v/>
      </c>
      <c r="L11" s="110" t="str">
        <f t="shared" si="4"/>
        <v/>
      </c>
      <c r="M11" s="110" t="str">
        <f t="shared" si="4"/>
        <v/>
      </c>
      <c r="N11" s="110" t="str">
        <f t="shared" si="4"/>
        <v/>
      </c>
      <c r="O11" s="110" t="str">
        <f t="shared" si="4"/>
        <v/>
      </c>
      <c r="P11" s="110" t="str">
        <f t="shared" si="4"/>
        <v/>
      </c>
      <c r="Q11" s="110" t="str">
        <f t="shared" si="4"/>
        <v/>
      </c>
      <c r="R11" s="110" t="str">
        <f t="shared" si="4"/>
        <v/>
      </c>
      <c r="S11" s="110" t="str">
        <f t="shared" si="4"/>
        <v/>
      </c>
      <c r="T11" s="110" t="str">
        <f t="shared" si="4"/>
        <v/>
      </c>
      <c r="U11" s="110" t="str">
        <f t="shared" si="4"/>
        <v/>
      </c>
      <c r="V11" s="110" t="str">
        <f t="shared" si="4"/>
        <v/>
      </c>
      <c r="W11" s="110" t="str">
        <f t="shared" si="4"/>
        <v/>
      </c>
      <c r="X11" s="110" t="str">
        <f t="shared" si="4"/>
        <v/>
      </c>
      <c r="Y11" s="110" t="str">
        <f t="shared" si="4"/>
        <v/>
      </c>
      <c r="Z11" s="110" t="str">
        <f t="shared" si="4"/>
        <v/>
      </c>
      <c r="AA11" s="66" t="str">
        <f t="shared" si="4"/>
        <v/>
      </c>
      <c r="AB11" s="66" t="str">
        <f t="shared" si="4"/>
        <v/>
      </c>
      <c r="AC11" s="66" t="str">
        <f t="shared" si="4"/>
        <v/>
      </c>
      <c r="AD11" s="66" t="str">
        <f t="shared" si="4"/>
        <v/>
      </c>
      <c r="AE11" s="66" t="str">
        <f t="shared" si="4"/>
        <v/>
      </c>
      <c r="AF11" s="66" t="str">
        <f t="shared" si="4"/>
        <v/>
      </c>
      <c r="AG11" s="66" t="str">
        <f t="shared" si="4"/>
        <v/>
      </c>
      <c r="AH11" s="66" t="str">
        <f t="shared" si="4"/>
        <v/>
      </c>
      <c r="AI11" s="66" t="str">
        <f t="shared" si="4"/>
        <v/>
      </c>
      <c r="AJ11" s="66" t="str">
        <f t="shared" si="4"/>
        <v/>
      </c>
      <c r="AK11" s="66" t="str">
        <f t="shared" si="4"/>
        <v/>
      </c>
      <c r="AL11" s="66" t="str">
        <f t="shared" si="4"/>
        <v/>
      </c>
      <c r="AM11" s="66" t="str">
        <f t="shared" si="4"/>
        <v/>
      </c>
      <c r="AN11" s="66" t="str">
        <f t="shared" si="4"/>
        <v/>
      </c>
      <c r="AO11" s="66" t="str">
        <f t="shared" si="4"/>
        <v/>
      </c>
      <c r="AP11" s="66" t="str">
        <f t="shared" si="4"/>
        <v/>
      </c>
      <c r="AQ11" s="66" t="str">
        <f t="shared" si="4"/>
        <v/>
      </c>
      <c r="AR11" s="66" t="str">
        <f t="shared" si="4"/>
        <v/>
      </c>
      <c r="AS11" s="66" t="str">
        <f t="shared" si="4"/>
        <v/>
      </c>
      <c r="AT11" s="66" t="str">
        <f t="shared" si="4"/>
        <v/>
      </c>
      <c r="AU11" s="66" t="str">
        <f t="shared" si="4"/>
        <v/>
      </c>
      <c r="AV11" s="66" t="str">
        <f t="shared" si="4"/>
        <v/>
      </c>
      <c r="AW11" s="66" t="str">
        <f t="shared" si="4"/>
        <v/>
      </c>
      <c r="AX11" s="66" t="str">
        <f t="shared" si="4"/>
        <v/>
      </c>
      <c r="AY11" s="66" t="str">
        <f t="shared" si="4"/>
        <v/>
      </c>
      <c r="AZ11" s="66" t="str">
        <f t="shared" si="4"/>
        <v/>
      </c>
      <c r="BA11" s="66" t="str">
        <f t="shared" si="4"/>
        <v/>
      </c>
      <c r="BB11" s="66" t="str">
        <f t="shared" si="4"/>
        <v/>
      </c>
      <c r="BC11" s="66" t="str">
        <f t="shared" si="4"/>
        <v/>
      </c>
      <c r="BD11" s="66" t="str">
        <f t="shared" si="4"/>
        <v/>
      </c>
      <c r="BE11" s="66" t="str">
        <f t="shared" si="4"/>
        <v/>
      </c>
      <c r="BF11" s="66" t="str">
        <f t="shared" si="4"/>
        <v/>
      </c>
      <c r="BG11" s="66" t="str">
        <f t="shared" si="4"/>
        <v/>
      </c>
      <c r="BH11" s="66" t="str">
        <f t="shared" si="4"/>
        <v/>
      </c>
      <c r="BI11" s="66" t="str">
        <f t="shared" si="4"/>
        <v/>
      </c>
      <c r="BJ11" s="66" t="str">
        <f t="shared" si="4"/>
        <v/>
      </c>
      <c r="BK11" s="66" t="str">
        <f t="shared" si="4"/>
        <v/>
      </c>
      <c r="BL11" s="66" t="str">
        <f t="shared" si="4"/>
        <v/>
      </c>
      <c r="BM11" s="66" t="str">
        <f t="shared" si="4"/>
        <v/>
      </c>
      <c r="BN11" s="66" t="str">
        <f t="shared" si="4"/>
        <v/>
      </c>
      <c r="BO11" s="66" t="str">
        <f t="shared" ref="BO11:DZ11" si="5">IF(AND(BO7="",BO8="",BO9=""),"",IF(BO7="",BO21,(BO16+ABS(BO7))))</f>
        <v/>
      </c>
      <c r="BP11" s="66" t="str">
        <f t="shared" si="5"/>
        <v/>
      </c>
      <c r="BQ11" s="66" t="str">
        <f t="shared" si="5"/>
        <v/>
      </c>
      <c r="BR11" s="66" t="str">
        <f t="shared" si="5"/>
        <v/>
      </c>
      <c r="BS11" s="66" t="str">
        <f t="shared" si="5"/>
        <v/>
      </c>
      <c r="BT11" s="66" t="str">
        <f t="shared" si="5"/>
        <v/>
      </c>
      <c r="BU11" s="66" t="str">
        <f t="shared" si="5"/>
        <v/>
      </c>
      <c r="BV11" s="66" t="str">
        <f t="shared" si="5"/>
        <v/>
      </c>
      <c r="BW11" s="66" t="str">
        <f t="shared" si="5"/>
        <v/>
      </c>
      <c r="BX11" s="66" t="str">
        <f t="shared" si="5"/>
        <v/>
      </c>
      <c r="BY11" s="66" t="str">
        <f t="shared" si="5"/>
        <v/>
      </c>
      <c r="BZ11" s="66" t="str">
        <f t="shared" si="5"/>
        <v/>
      </c>
      <c r="CA11" s="66" t="str">
        <f t="shared" si="5"/>
        <v/>
      </c>
      <c r="CB11" s="66" t="str">
        <f t="shared" si="5"/>
        <v/>
      </c>
      <c r="CC11" s="66" t="str">
        <f t="shared" si="5"/>
        <v/>
      </c>
      <c r="CD11" s="66" t="str">
        <f t="shared" si="5"/>
        <v/>
      </c>
      <c r="CE11" s="66" t="str">
        <f t="shared" si="5"/>
        <v/>
      </c>
      <c r="CF11" s="66" t="str">
        <f t="shared" si="5"/>
        <v/>
      </c>
      <c r="CG11" s="66" t="str">
        <f t="shared" si="5"/>
        <v/>
      </c>
      <c r="CH11" s="66" t="str">
        <f t="shared" si="5"/>
        <v/>
      </c>
      <c r="CI11" s="66" t="str">
        <f t="shared" si="5"/>
        <v/>
      </c>
      <c r="CJ11" s="66" t="str">
        <f t="shared" si="5"/>
        <v/>
      </c>
      <c r="CK11" s="66" t="str">
        <f t="shared" si="5"/>
        <v/>
      </c>
      <c r="CL11" s="66" t="str">
        <f t="shared" si="5"/>
        <v/>
      </c>
      <c r="CM11" s="66" t="str">
        <f t="shared" si="5"/>
        <v/>
      </c>
      <c r="CN11" s="66" t="str">
        <f t="shared" si="5"/>
        <v/>
      </c>
      <c r="CO11" s="66" t="str">
        <f t="shared" si="5"/>
        <v/>
      </c>
      <c r="CP11" s="66" t="str">
        <f t="shared" si="5"/>
        <v/>
      </c>
      <c r="CQ11" s="66" t="str">
        <f t="shared" si="5"/>
        <v/>
      </c>
      <c r="CR11" s="66" t="str">
        <f t="shared" si="5"/>
        <v/>
      </c>
      <c r="CS11" s="66" t="str">
        <f t="shared" si="5"/>
        <v/>
      </c>
      <c r="CT11" s="66" t="str">
        <f t="shared" si="5"/>
        <v/>
      </c>
      <c r="CU11" s="66" t="str">
        <f t="shared" si="5"/>
        <v/>
      </c>
      <c r="CV11" s="66" t="str">
        <f t="shared" si="5"/>
        <v/>
      </c>
      <c r="CW11" s="66" t="str">
        <f t="shared" si="5"/>
        <v/>
      </c>
      <c r="CX11" s="66" t="str">
        <f t="shared" si="5"/>
        <v/>
      </c>
      <c r="CY11" s="66" t="str">
        <f t="shared" si="5"/>
        <v/>
      </c>
      <c r="CZ11" s="66" t="str">
        <f t="shared" si="5"/>
        <v/>
      </c>
      <c r="DA11" s="66" t="str">
        <f t="shared" si="5"/>
        <v/>
      </c>
      <c r="DB11" s="66" t="str">
        <f t="shared" si="5"/>
        <v/>
      </c>
      <c r="DC11" s="66" t="str">
        <f t="shared" si="5"/>
        <v/>
      </c>
      <c r="DD11" s="66" t="str">
        <f t="shared" si="5"/>
        <v/>
      </c>
      <c r="DE11" s="66" t="str">
        <f t="shared" si="5"/>
        <v/>
      </c>
      <c r="DF11" s="66" t="str">
        <f t="shared" si="5"/>
        <v/>
      </c>
      <c r="DG11" s="66" t="str">
        <f t="shared" si="5"/>
        <v/>
      </c>
      <c r="DH11" s="66" t="str">
        <f t="shared" si="5"/>
        <v/>
      </c>
      <c r="DI11" s="66" t="str">
        <f t="shared" si="5"/>
        <v/>
      </c>
      <c r="DJ11" s="66" t="str">
        <f t="shared" si="5"/>
        <v/>
      </c>
      <c r="DK11" s="66" t="str">
        <f t="shared" si="5"/>
        <v/>
      </c>
      <c r="DL11" s="66" t="str">
        <f t="shared" si="5"/>
        <v/>
      </c>
      <c r="DM11" s="66" t="str">
        <f t="shared" si="5"/>
        <v/>
      </c>
      <c r="DN11" s="66" t="str">
        <f t="shared" si="5"/>
        <v/>
      </c>
      <c r="DO11" s="66" t="str">
        <f t="shared" si="5"/>
        <v/>
      </c>
      <c r="DP11" s="66" t="str">
        <f t="shared" si="5"/>
        <v/>
      </c>
      <c r="DQ11" s="66" t="str">
        <f t="shared" si="5"/>
        <v/>
      </c>
      <c r="DR11" s="66" t="str">
        <f t="shared" si="5"/>
        <v/>
      </c>
      <c r="DS11" s="66" t="str">
        <f t="shared" si="5"/>
        <v/>
      </c>
      <c r="DT11" s="66" t="str">
        <f t="shared" si="5"/>
        <v/>
      </c>
      <c r="DU11" s="66" t="str">
        <f t="shared" si="5"/>
        <v/>
      </c>
      <c r="DV11" s="66" t="str">
        <f t="shared" si="5"/>
        <v/>
      </c>
      <c r="DW11" s="66" t="str">
        <f t="shared" si="5"/>
        <v/>
      </c>
      <c r="DX11" s="66" t="str">
        <f t="shared" si="5"/>
        <v/>
      </c>
      <c r="DY11" s="66" t="str">
        <f t="shared" si="5"/>
        <v/>
      </c>
      <c r="DZ11" s="66" t="str">
        <f t="shared" si="5"/>
        <v/>
      </c>
      <c r="EA11" s="66" t="str">
        <f t="shared" ref="EA11:GL11" si="6">IF(AND(EA7="",EA8="",EA9=""),"",IF(EA7="",EA21,(EA16+ABS(EA7))))</f>
        <v/>
      </c>
      <c r="EB11" s="66" t="str">
        <f t="shared" si="6"/>
        <v/>
      </c>
      <c r="EC11" s="66" t="str">
        <f t="shared" si="6"/>
        <v/>
      </c>
      <c r="ED11" s="66" t="str">
        <f t="shared" si="6"/>
        <v/>
      </c>
      <c r="EE11" s="66" t="str">
        <f t="shared" si="6"/>
        <v/>
      </c>
      <c r="EF11" s="66" t="str">
        <f t="shared" si="6"/>
        <v/>
      </c>
      <c r="EG11" s="66" t="str">
        <f t="shared" si="6"/>
        <v/>
      </c>
      <c r="EH11" s="66" t="str">
        <f t="shared" si="6"/>
        <v/>
      </c>
      <c r="EI11" s="66" t="str">
        <f t="shared" si="6"/>
        <v/>
      </c>
      <c r="EJ11" s="66" t="str">
        <f t="shared" si="6"/>
        <v/>
      </c>
      <c r="EK11" s="66" t="str">
        <f t="shared" si="6"/>
        <v/>
      </c>
      <c r="EL11" s="66" t="str">
        <f t="shared" si="6"/>
        <v/>
      </c>
      <c r="EM11" s="66" t="str">
        <f t="shared" si="6"/>
        <v/>
      </c>
      <c r="EN11" s="66" t="str">
        <f t="shared" si="6"/>
        <v/>
      </c>
      <c r="EO11" s="66" t="str">
        <f t="shared" si="6"/>
        <v/>
      </c>
      <c r="EP11" s="66" t="str">
        <f t="shared" si="6"/>
        <v/>
      </c>
      <c r="EQ11" s="66" t="str">
        <f t="shared" si="6"/>
        <v/>
      </c>
      <c r="ER11" s="66" t="str">
        <f t="shared" si="6"/>
        <v/>
      </c>
      <c r="ES11" s="66" t="str">
        <f t="shared" si="6"/>
        <v/>
      </c>
      <c r="ET11" s="66" t="str">
        <f t="shared" si="6"/>
        <v/>
      </c>
      <c r="EU11" s="66" t="str">
        <f t="shared" si="6"/>
        <v/>
      </c>
      <c r="EV11" s="66" t="str">
        <f t="shared" si="6"/>
        <v/>
      </c>
      <c r="EW11" s="66" t="str">
        <f t="shared" si="6"/>
        <v/>
      </c>
      <c r="EX11" s="66" t="str">
        <f t="shared" si="6"/>
        <v/>
      </c>
      <c r="EY11" s="66" t="str">
        <f t="shared" si="6"/>
        <v/>
      </c>
      <c r="EZ11" s="66" t="str">
        <f t="shared" si="6"/>
        <v/>
      </c>
      <c r="FA11" s="66" t="str">
        <f t="shared" si="6"/>
        <v/>
      </c>
      <c r="FB11" s="66" t="str">
        <f t="shared" si="6"/>
        <v/>
      </c>
      <c r="FC11" s="66" t="str">
        <f t="shared" si="6"/>
        <v/>
      </c>
      <c r="FD11" s="66" t="str">
        <f t="shared" si="6"/>
        <v/>
      </c>
      <c r="FE11" s="66" t="str">
        <f t="shared" si="6"/>
        <v/>
      </c>
      <c r="FF11" s="66" t="str">
        <f t="shared" si="6"/>
        <v/>
      </c>
      <c r="FG11" s="66" t="str">
        <f t="shared" si="6"/>
        <v/>
      </c>
      <c r="FH11" s="66" t="str">
        <f t="shared" si="6"/>
        <v/>
      </c>
      <c r="FI11" s="66" t="str">
        <f t="shared" si="6"/>
        <v/>
      </c>
      <c r="FJ11" s="66" t="str">
        <f t="shared" si="6"/>
        <v/>
      </c>
      <c r="FK11" s="66" t="str">
        <f t="shared" si="6"/>
        <v/>
      </c>
      <c r="FL11" s="66" t="str">
        <f t="shared" si="6"/>
        <v/>
      </c>
      <c r="FM11" s="66" t="str">
        <f t="shared" si="6"/>
        <v/>
      </c>
      <c r="FN11" s="66" t="str">
        <f t="shared" si="6"/>
        <v/>
      </c>
      <c r="FO11" s="66" t="str">
        <f t="shared" si="6"/>
        <v/>
      </c>
      <c r="FP11" s="66" t="str">
        <f t="shared" si="6"/>
        <v/>
      </c>
      <c r="FQ11" s="66" t="str">
        <f t="shared" si="6"/>
        <v/>
      </c>
      <c r="FR11" s="66" t="str">
        <f t="shared" si="6"/>
        <v/>
      </c>
      <c r="FS11" s="66" t="str">
        <f t="shared" si="6"/>
        <v/>
      </c>
      <c r="FT11" s="66" t="str">
        <f t="shared" si="6"/>
        <v/>
      </c>
      <c r="FU11" s="66" t="str">
        <f t="shared" si="6"/>
        <v/>
      </c>
      <c r="FV11" s="66" t="str">
        <f t="shared" si="6"/>
        <v/>
      </c>
      <c r="FW11" s="66" t="str">
        <f t="shared" si="6"/>
        <v/>
      </c>
      <c r="FX11" s="66" t="str">
        <f t="shared" si="6"/>
        <v/>
      </c>
      <c r="FY11" s="66" t="str">
        <f t="shared" si="6"/>
        <v/>
      </c>
      <c r="FZ11" s="66" t="str">
        <f t="shared" si="6"/>
        <v/>
      </c>
      <c r="GA11" s="66" t="str">
        <f t="shared" si="6"/>
        <v/>
      </c>
      <c r="GB11" s="66" t="str">
        <f t="shared" si="6"/>
        <v/>
      </c>
      <c r="GC11" s="66" t="str">
        <f t="shared" si="6"/>
        <v/>
      </c>
      <c r="GD11" s="66" t="str">
        <f t="shared" si="6"/>
        <v/>
      </c>
      <c r="GE11" s="66" t="str">
        <f t="shared" si="6"/>
        <v/>
      </c>
      <c r="GF11" s="66" t="str">
        <f t="shared" si="6"/>
        <v/>
      </c>
      <c r="GG11" s="66" t="str">
        <f t="shared" si="6"/>
        <v/>
      </c>
      <c r="GH11" s="66" t="str">
        <f t="shared" si="6"/>
        <v/>
      </c>
      <c r="GI11" s="66" t="str">
        <f t="shared" si="6"/>
        <v/>
      </c>
      <c r="GJ11" s="66" t="str">
        <f t="shared" si="6"/>
        <v/>
      </c>
      <c r="GK11" s="66" t="str">
        <f t="shared" si="6"/>
        <v/>
      </c>
      <c r="GL11" s="66" t="str">
        <f t="shared" si="6"/>
        <v/>
      </c>
      <c r="GM11" s="66" t="str">
        <f t="shared" ref="GM11:IV11" si="7">IF(AND(GM7="",GM8="",GM9=""),"",IF(GM7="",GM21,(GM16+ABS(GM7))))</f>
        <v/>
      </c>
      <c r="GN11" s="66" t="str">
        <f t="shared" si="7"/>
        <v/>
      </c>
      <c r="GO11" s="66" t="str">
        <f t="shared" si="7"/>
        <v/>
      </c>
      <c r="GP11" s="66" t="str">
        <f t="shared" si="7"/>
        <v/>
      </c>
      <c r="GQ11" s="66" t="str">
        <f t="shared" si="7"/>
        <v/>
      </c>
      <c r="GR11" s="66" t="str">
        <f t="shared" si="7"/>
        <v/>
      </c>
      <c r="GS11" s="66" t="str">
        <f t="shared" si="7"/>
        <v/>
      </c>
      <c r="GT11" s="66" t="str">
        <f t="shared" si="7"/>
        <v/>
      </c>
      <c r="GU11" s="66" t="str">
        <f t="shared" si="7"/>
        <v/>
      </c>
      <c r="GV11" s="66" t="str">
        <f t="shared" si="7"/>
        <v/>
      </c>
      <c r="GW11" s="66" t="str">
        <f t="shared" si="7"/>
        <v/>
      </c>
      <c r="GX11" s="66" t="str">
        <f t="shared" si="7"/>
        <v/>
      </c>
      <c r="GY11" s="66" t="str">
        <f t="shared" si="7"/>
        <v/>
      </c>
      <c r="GZ11" s="66" t="str">
        <f t="shared" si="7"/>
        <v/>
      </c>
      <c r="HA11" s="66" t="str">
        <f t="shared" si="7"/>
        <v/>
      </c>
      <c r="HB11" s="66" t="str">
        <f t="shared" si="7"/>
        <v/>
      </c>
      <c r="HC11" s="66" t="str">
        <f t="shared" si="7"/>
        <v/>
      </c>
      <c r="HD11" s="66" t="str">
        <f t="shared" si="7"/>
        <v/>
      </c>
      <c r="HE11" s="66" t="str">
        <f t="shared" si="7"/>
        <v/>
      </c>
      <c r="HF11" s="66" t="str">
        <f t="shared" si="7"/>
        <v/>
      </c>
      <c r="HG11" s="66" t="str">
        <f t="shared" si="7"/>
        <v/>
      </c>
      <c r="HH11" s="66" t="str">
        <f t="shared" si="7"/>
        <v/>
      </c>
      <c r="HI11" s="66" t="str">
        <f t="shared" si="7"/>
        <v/>
      </c>
      <c r="HJ11" s="66" t="str">
        <f t="shared" si="7"/>
        <v/>
      </c>
      <c r="HK11" s="66" t="str">
        <f t="shared" si="7"/>
        <v/>
      </c>
      <c r="HL11" s="66" t="str">
        <f t="shared" si="7"/>
        <v/>
      </c>
      <c r="HM11" s="66" t="str">
        <f t="shared" si="7"/>
        <v/>
      </c>
      <c r="HN11" s="66" t="str">
        <f t="shared" si="7"/>
        <v/>
      </c>
      <c r="HO11" s="66" t="str">
        <f t="shared" si="7"/>
        <v/>
      </c>
      <c r="HP11" s="66" t="str">
        <f t="shared" si="7"/>
        <v/>
      </c>
      <c r="HQ11" s="66" t="str">
        <f t="shared" si="7"/>
        <v/>
      </c>
      <c r="HR11" s="66" t="str">
        <f t="shared" si="7"/>
        <v/>
      </c>
      <c r="HS11" s="66" t="str">
        <f t="shared" si="7"/>
        <v/>
      </c>
      <c r="HT11" s="66" t="str">
        <f t="shared" si="7"/>
        <v/>
      </c>
      <c r="HU11" s="66" t="str">
        <f t="shared" si="7"/>
        <v/>
      </c>
      <c r="HV11" s="66" t="str">
        <f t="shared" si="7"/>
        <v/>
      </c>
      <c r="HW11" s="66" t="str">
        <f t="shared" si="7"/>
        <v/>
      </c>
      <c r="HX11" s="66" t="str">
        <f t="shared" si="7"/>
        <v/>
      </c>
      <c r="HY11" s="66" t="str">
        <f t="shared" si="7"/>
        <v/>
      </c>
      <c r="HZ11" s="66" t="str">
        <f t="shared" si="7"/>
        <v/>
      </c>
      <c r="IA11" s="66" t="str">
        <f t="shared" si="7"/>
        <v/>
      </c>
      <c r="IB11" s="66" t="str">
        <f t="shared" si="7"/>
        <v/>
      </c>
      <c r="IC11" s="66" t="str">
        <f t="shared" si="7"/>
        <v/>
      </c>
      <c r="ID11" s="66" t="str">
        <f t="shared" si="7"/>
        <v/>
      </c>
      <c r="IE11" s="66" t="str">
        <f t="shared" si="7"/>
        <v/>
      </c>
      <c r="IF11" s="66" t="str">
        <f t="shared" si="7"/>
        <v/>
      </c>
      <c r="IG11" s="66" t="str">
        <f t="shared" si="7"/>
        <v/>
      </c>
      <c r="IH11" s="66" t="str">
        <f t="shared" si="7"/>
        <v/>
      </c>
      <c r="II11" s="66" t="str">
        <f t="shared" si="7"/>
        <v/>
      </c>
      <c r="IJ11" s="66" t="str">
        <f t="shared" si="7"/>
        <v/>
      </c>
      <c r="IK11" s="66" t="str">
        <f t="shared" si="7"/>
        <v/>
      </c>
      <c r="IL11" s="66" t="str">
        <f t="shared" si="7"/>
        <v/>
      </c>
      <c r="IM11" s="66" t="str">
        <f t="shared" si="7"/>
        <v/>
      </c>
      <c r="IN11" s="66" t="str">
        <f t="shared" si="7"/>
        <v/>
      </c>
      <c r="IO11" s="66" t="str">
        <f t="shared" si="7"/>
        <v/>
      </c>
      <c r="IP11" s="66" t="str">
        <f t="shared" si="7"/>
        <v/>
      </c>
      <c r="IQ11" s="66" t="str">
        <f t="shared" si="7"/>
        <v/>
      </c>
      <c r="IR11" s="66" t="str">
        <f t="shared" si="7"/>
        <v/>
      </c>
      <c r="IS11" s="66" t="str">
        <f t="shared" si="7"/>
        <v/>
      </c>
      <c r="IT11" s="66" t="str">
        <f t="shared" si="7"/>
        <v/>
      </c>
      <c r="IU11" s="66" t="str">
        <f t="shared" si="7"/>
        <v/>
      </c>
      <c r="IV11" s="133" t="str">
        <f t="shared" si="7"/>
        <v/>
      </c>
    </row>
    <row r="12" spans="1:256" s="61" customFormat="1" ht="12.75" hidden="1" customHeight="1">
      <c r="A12" s="1"/>
      <c r="B12" s="50" t="s">
        <v>70</v>
      </c>
      <c r="C12" s="110" t="str">
        <f t="shared" ref="C12:BN12" si="8">IF(AND(C7="",C8="",C9=""),"",IF(C8="",C22,(C16-ABS(C8))))</f>
        <v/>
      </c>
      <c r="D12" s="110" t="str">
        <f t="shared" si="8"/>
        <v/>
      </c>
      <c r="E12" s="110" t="str">
        <f t="shared" si="8"/>
        <v/>
      </c>
      <c r="F12" s="110" t="str">
        <f t="shared" si="8"/>
        <v/>
      </c>
      <c r="G12" s="110" t="str">
        <f t="shared" si="8"/>
        <v/>
      </c>
      <c r="H12" s="110" t="str">
        <f t="shared" si="8"/>
        <v/>
      </c>
      <c r="I12" s="110" t="str">
        <f t="shared" si="8"/>
        <v/>
      </c>
      <c r="J12" s="110" t="str">
        <f t="shared" si="8"/>
        <v/>
      </c>
      <c r="K12" s="110" t="str">
        <f t="shared" si="8"/>
        <v/>
      </c>
      <c r="L12" s="110" t="str">
        <f t="shared" si="8"/>
        <v/>
      </c>
      <c r="M12" s="110" t="str">
        <f t="shared" si="8"/>
        <v/>
      </c>
      <c r="N12" s="110" t="str">
        <f t="shared" si="8"/>
        <v/>
      </c>
      <c r="O12" s="110" t="str">
        <f t="shared" si="8"/>
        <v/>
      </c>
      <c r="P12" s="110" t="str">
        <f t="shared" si="8"/>
        <v/>
      </c>
      <c r="Q12" s="110" t="str">
        <f t="shared" si="8"/>
        <v/>
      </c>
      <c r="R12" s="110" t="str">
        <f t="shared" si="8"/>
        <v/>
      </c>
      <c r="S12" s="110" t="str">
        <f t="shared" si="8"/>
        <v/>
      </c>
      <c r="T12" s="110" t="str">
        <f t="shared" si="8"/>
        <v/>
      </c>
      <c r="U12" s="110" t="str">
        <f t="shared" si="8"/>
        <v/>
      </c>
      <c r="V12" s="110" t="str">
        <f t="shared" si="8"/>
        <v/>
      </c>
      <c r="W12" s="110" t="str">
        <f t="shared" si="8"/>
        <v/>
      </c>
      <c r="X12" s="110" t="str">
        <f t="shared" si="8"/>
        <v/>
      </c>
      <c r="Y12" s="110" t="str">
        <f t="shared" si="8"/>
        <v/>
      </c>
      <c r="Z12" s="110" t="str">
        <f t="shared" si="8"/>
        <v/>
      </c>
      <c r="AA12" s="66" t="str">
        <f t="shared" si="8"/>
        <v/>
      </c>
      <c r="AB12" s="66" t="str">
        <f t="shared" si="8"/>
        <v/>
      </c>
      <c r="AC12" s="66" t="str">
        <f t="shared" si="8"/>
        <v/>
      </c>
      <c r="AD12" s="66" t="str">
        <f t="shared" si="8"/>
        <v/>
      </c>
      <c r="AE12" s="66" t="str">
        <f t="shared" si="8"/>
        <v/>
      </c>
      <c r="AF12" s="66" t="str">
        <f t="shared" si="8"/>
        <v/>
      </c>
      <c r="AG12" s="66" t="str">
        <f t="shared" si="8"/>
        <v/>
      </c>
      <c r="AH12" s="66" t="str">
        <f t="shared" si="8"/>
        <v/>
      </c>
      <c r="AI12" s="66" t="str">
        <f t="shared" si="8"/>
        <v/>
      </c>
      <c r="AJ12" s="66" t="str">
        <f t="shared" si="8"/>
        <v/>
      </c>
      <c r="AK12" s="66" t="str">
        <f t="shared" si="8"/>
        <v/>
      </c>
      <c r="AL12" s="66" t="str">
        <f t="shared" si="8"/>
        <v/>
      </c>
      <c r="AM12" s="66" t="str">
        <f t="shared" si="8"/>
        <v/>
      </c>
      <c r="AN12" s="66" t="str">
        <f t="shared" si="8"/>
        <v/>
      </c>
      <c r="AO12" s="66" t="str">
        <f t="shared" si="8"/>
        <v/>
      </c>
      <c r="AP12" s="66" t="str">
        <f t="shared" si="8"/>
        <v/>
      </c>
      <c r="AQ12" s="66" t="str">
        <f t="shared" si="8"/>
        <v/>
      </c>
      <c r="AR12" s="66" t="str">
        <f t="shared" si="8"/>
        <v/>
      </c>
      <c r="AS12" s="66" t="str">
        <f t="shared" si="8"/>
        <v/>
      </c>
      <c r="AT12" s="66" t="str">
        <f t="shared" si="8"/>
        <v/>
      </c>
      <c r="AU12" s="66" t="str">
        <f t="shared" si="8"/>
        <v/>
      </c>
      <c r="AV12" s="66" t="str">
        <f t="shared" si="8"/>
        <v/>
      </c>
      <c r="AW12" s="66" t="str">
        <f t="shared" si="8"/>
        <v/>
      </c>
      <c r="AX12" s="66" t="str">
        <f t="shared" si="8"/>
        <v/>
      </c>
      <c r="AY12" s="66" t="str">
        <f t="shared" si="8"/>
        <v/>
      </c>
      <c r="AZ12" s="66" t="str">
        <f t="shared" si="8"/>
        <v/>
      </c>
      <c r="BA12" s="66" t="str">
        <f t="shared" si="8"/>
        <v/>
      </c>
      <c r="BB12" s="66" t="str">
        <f t="shared" si="8"/>
        <v/>
      </c>
      <c r="BC12" s="66" t="str">
        <f t="shared" si="8"/>
        <v/>
      </c>
      <c r="BD12" s="66" t="str">
        <f t="shared" si="8"/>
        <v/>
      </c>
      <c r="BE12" s="66" t="str">
        <f t="shared" si="8"/>
        <v/>
      </c>
      <c r="BF12" s="66" t="str">
        <f t="shared" si="8"/>
        <v/>
      </c>
      <c r="BG12" s="66" t="str">
        <f t="shared" si="8"/>
        <v/>
      </c>
      <c r="BH12" s="66" t="str">
        <f t="shared" si="8"/>
        <v/>
      </c>
      <c r="BI12" s="66" t="str">
        <f t="shared" si="8"/>
        <v/>
      </c>
      <c r="BJ12" s="66" t="str">
        <f t="shared" si="8"/>
        <v/>
      </c>
      <c r="BK12" s="66" t="str">
        <f t="shared" si="8"/>
        <v/>
      </c>
      <c r="BL12" s="66" t="str">
        <f t="shared" si="8"/>
        <v/>
      </c>
      <c r="BM12" s="66" t="str">
        <f t="shared" si="8"/>
        <v/>
      </c>
      <c r="BN12" s="66" t="str">
        <f t="shared" si="8"/>
        <v/>
      </c>
      <c r="BO12" s="66" t="str">
        <f t="shared" ref="BO12:DZ12" si="9">IF(AND(BO7="",BO8="",BO9=""),"",IF(BO8="",BO22,(BO16-ABS(BO8))))</f>
        <v/>
      </c>
      <c r="BP12" s="66" t="str">
        <f t="shared" si="9"/>
        <v/>
      </c>
      <c r="BQ12" s="66" t="str">
        <f t="shared" si="9"/>
        <v/>
      </c>
      <c r="BR12" s="66" t="str">
        <f t="shared" si="9"/>
        <v/>
      </c>
      <c r="BS12" s="66" t="str">
        <f t="shared" si="9"/>
        <v/>
      </c>
      <c r="BT12" s="66" t="str">
        <f t="shared" si="9"/>
        <v/>
      </c>
      <c r="BU12" s="66" t="str">
        <f t="shared" si="9"/>
        <v/>
      </c>
      <c r="BV12" s="66" t="str">
        <f t="shared" si="9"/>
        <v/>
      </c>
      <c r="BW12" s="66" t="str">
        <f t="shared" si="9"/>
        <v/>
      </c>
      <c r="BX12" s="66" t="str">
        <f t="shared" si="9"/>
        <v/>
      </c>
      <c r="BY12" s="66" t="str">
        <f t="shared" si="9"/>
        <v/>
      </c>
      <c r="BZ12" s="66" t="str">
        <f t="shared" si="9"/>
        <v/>
      </c>
      <c r="CA12" s="66" t="str">
        <f t="shared" si="9"/>
        <v/>
      </c>
      <c r="CB12" s="66" t="str">
        <f t="shared" si="9"/>
        <v/>
      </c>
      <c r="CC12" s="66" t="str">
        <f t="shared" si="9"/>
        <v/>
      </c>
      <c r="CD12" s="66" t="str">
        <f t="shared" si="9"/>
        <v/>
      </c>
      <c r="CE12" s="66" t="str">
        <f t="shared" si="9"/>
        <v/>
      </c>
      <c r="CF12" s="66" t="str">
        <f t="shared" si="9"/>
        <v/>
      </c>
      <c r="CG12" s="66" t="str">
        <f t="shared" si="9"/>
        <v/>
      </c>
      <c r="CH12" s="66" t="str">
        <f t="shared" si="9"/>
        <v/>
      </c>
      <c r="CI12" s="66" t="str">
        <f t="shared" si="9"/>
        <v/>
      </c>
      <c r="CJ12" s="66" t="str">
        <f t="shared" si="9"/>
        <v/>
      </c>
      <c r="CK12" s="66" t="str">
        <f t="shared" si="9"/>
        <v/>
      </c>
      <c r="CL12" s="66" t="str">
        <f t="shared" si="9"/>
        <v/>
      </c>
      <c r="CM12" s="66" t="str">
        <f t="shared" si="9"/>
        <v/>
      </c>
      <c r="CN12" s="66" t="str">
        <f t="shared" si="9"/>
        <v/>
      </c>
      <c r="CO12" s="66" t="str">
        <f t="shared" si="9"/>
        <v/>
      </c>
      <c r="CP12" s="66" t="str">
        <f t="shared" si="9"/>
        <v/>
      </c>
      <c r="CQ12" s="66" t="str">
        <f t="shared" si="9"/>
        <v/>
      </c>
      <c r="CR12" s="66" t="str">
        <f t="shared" si="9"/>
        <v/>
      </c>
      <c r="CS12" s="66" t="str">
        <f t="shared" si="9"/>
        <v/>
      </c>
      <c r="CT12" s="66" t="str">
        <f t="shared" si="9"/>
        <v/>
      </c>
      <c r="CU12" s="66" t="str">
        <f t="shared" si="9"/>
        <v/>
      </c>
      <c r="CV12" s="66" t="str">
        <f t="shared" si="9"/>
        <v/>
      </c>
      <c r="CW12" s="66" t="str">
        <f t="shared" si="9"/>
        <v/>
      </c>
      <c r="CX12" s="66" t="str">
        <f t="shared" si="9"/>
        <v/>
      </c>
      <c r="CY12" s="66" t="str">
        <f t="shared" si="9"/>
        <v/>
      </c>
      <c r="CZ12" s="66" t="str">
        <f t="shared" si="9"/>
        <v/>
      </c>
      <c r="DA12" s="66" t="str">
        <f t="shared" si="9"/>
        <v/>
      </c>
      <c r="DB12" s="66" t="str">
        <f t="shared" si="9"/>
        <v/>
      </c>
      <c r="DC12" s="66" t="str">
        <f t="shared" si="9"/>
        <v/>
      </c>
      <c r="DD12" s="66" t="str">
        <f t="shared" si="9"/>
        <v/>
      </c>
      <c r="DE12" s="66" t="str">
        <f t="shared" si="9"/>
        <v/>
      </c>
      <c r="DF12" s="66" t="str">
        <f t="shared" si="9"/>
        <v/>
      </c>
      <c r="DG12" s="66" t="str">
        <f t="shared" si="9"/>
        <v/>
      </c>
      <c r="DH12" s="66" t="str">
        <f t="shared" si="9"/>
        <v/>
      </c>
      <c r="DI12" s="66" t="str">
        <f t="shared" si="9"/>
        <v/>
      </c>
      <c r="DJ12" s="66" t="str">
        <f t="shared" si="9"/>
        <v/>
      </c>
      <c r="DK12" s="66" t="str">
        <f t="shared" si="9"/>
        <v/>
      </c>
      <c r="DL12" s="66" t="str">
        <f t="shared" si="9"/>
        <v/>
      </c>
      <c r="DM12" s="66" t="str">
        <f t="shared" si="9"/>
        <v/>
      </c>
      <c r="DN12" s="66" t="str">
        <f t="shared" si="9"/>
        <v/>
      </c>
      <c r="DO12" s="66" t="str">
        <f t="shared" si="9"/>
        <v/>
      </c>
      <c r="DP12" s="66" t="str">
        <f t="shared" si="9"/>
        <v/>
      </c>
      <c r="DQ12" s="66" t="str">
        <f t="shared" si="9"/>
        <v/>
      </c>
      <c r="DR12" s="66" t="str">
        <f t="shared" si="9"/>
        <v/>
      </c>
      <c r="DS12" s="66" t="str">
        <f t="shared" si="9"/>
        <v/>
      </c>
      <c r="DT12" s="66" t="str">
        <f t="shared" si="9"/>
        <v/>
      </c>
      <c r="DU12" s="66" t="str">
        <f t="shared" si="9"/>
        <v/>
      </c>
      <c r="DV12" s="66" t="str">
        <f t="shared" si="9"/>
        <v/>
      </c>
      <c r="DW12" s="66" t="str">
        <f t="shared" si="9"/>
        <v/>
      </c>
      <c r="DX12" s="66" t="str">
        <f t="shared" si="9"/>
        <v/>
      </c>
      <c r="DY12" s="66" t="str">
        <f t="shared" si="9"/>
        <v/>
      </c>
      <c r="DZ12" s="66" t="str">
        <f t="shared" si="9"/>
        <v/>
      </c>
      <c r="EA12" s="66" t="str">
        <f t="shared" ref="EA12:GL12" si="10">IF(AND(EA7="",EA8="",EA9=""),"",IF(EA8="",EA22,(EA16-ABS(EA8))))</f>
        <v/>
      </c>
      <c r="EB12" s="66" t="str">
        <f t="shared" si="10"/>
        <v/>
      </c>
      <c r="EC12" s="66" t="str">
        <f t="shared" si="10"/>
        <v/>
      </c>
      <c r="ED12" s="66" t="str">
        <f t="shared" si="10"/>
        <v/>
      </c>
      <c r="EE12" s="66" t="str">
        <f t="shared" si="10"/>
        <v/>
      </c>
      <c r="EF12" s="66" t="str">
        <f t="shared" si="10"/>
        <v/>
      </c>
      <c r="EG12" s="66" t="str">
        <f t="shared" si="10"/>
        <v/>
      </c>
      <c r="EH12" s="66" t="str">
        <f t="shared" si="10"/>
        <v/>
      </c>
      <c r="EI12" s="66" t="str">
        <f t="shared" si="10"/>
        <v/>
      </c>
      <c r="EJ12" s="66" t="str">
        <f t="shared" si="10"/>
        <v/>
      </c>
      <c r="EK12" s="66" t="str">
        <f t="shared" si="10"/>
        <v/>
      </c>
      <c r="EL12" s="66" t="str">
        <f t="shared" si="10"/>
        <v/>
      </c>
      <c r="EM12" s="66" t="str">
        <f t="shared" si="10"/>
        <v/>
      </c>
      <c r="EN12" s="66" t="str">
        <f t="shared" si="10"/>
        <v/>
      </c>
      <c r="EO12" s="66" t="str">
        <f t="shared" si="10"/>
        <v/>
      </c>
      <c r="EP12" s="66" t="str">
        <f t="shared" si="10"/>
        <v/>
      </c>
      <c r="EQ12" s="66" t="str">
        <f t="shared" si="10"/>
        <v/>
      </c>
      <c r="ER12" s="66" t="str">
        <f t="shared" si="10"/>
        <v/>
      </c>
      <c r="ES12" s="66" t="str">
        <f t="shared" si="10"/>
        <v/>
      </c>
      <c r="ET12" s="66" t="str">
        <f t="shared" si="10"/>
        <v/>
      </c>
      <c r="EU12" s="66" t="str">
        <f t="shared" si="10"/>
        <v/>
      </c>
      <c r="EV12" s="66" t="str">
        <f t="shared" si="10"/>
        <v/>
      </c>
      <c r="EW12" s="66" t="str">
        <f t="shared" si="10"/>
        <v/>
      </c>
      <c r="EX12" s="66" t="str">
        <f t="shared" si="10"/>
        <v/>
      </c>
      <c r="EY12" s="66" t="str">
        <f t="shared" si="10"/>
        <v/>
      </c>
      <c r="EZ12" s="66" t="str">
        <f t="shared" si="10"/>
        <v/>
      </c>
      <c r="FA12" s="66" t="str">
        <f t="shared" si="10"/>
        <v/>
      </c>
      <c r="FB12" s="66" t="str">
        <f t="shared" si="10"/>
        <v/>
      </c>
      <c r="FC12" s="66" t="str">
        <f t="shared" si="10"/>
        <v/>
      </c>
      <c r="FD12" s="66" t="str">
        <f t="shared" si="10"/>
        <v/>
      </c>
      <c r="FE12" s="66" t="str">
        <f t="shared" si="10"/>
        <v/>
      </c>
      <c r="FF12" s="66" t="str">
        <f t="shared" si="10"/>
        <v/>
      </c>
      <c r="FG12" s="66" t="str">
        <f t="shared" si="10"/>
        <v/>
      </c>
      <c r="FH12" s="66" t="str">
        <f t="shared" si="10"/>
        <v/>
      </c>
      <c r="FI12" s="66" t="str">
        <f t="shared" si="10"/>
        <v/>
      </c>
      <c r="FJ12" s="66" t="str">
        <f t="shared" si="10"/>
        <v/>
      </c>
      <c r="FK12" s="66" t="str">
        <f t="shared" si="10"/>
        <v/>
      </c>
      <c r="FL12" s="66" t="str">
        <f t="shared" si="10"/>
        <v/>
      </c>
      <c r="FM12" s="66" t="str">
        <f t="shared" si="10"/>
        <v/>
      </c>
      <c r="FN12" s="66" t="str">
        <f t="shared" si="10"/>
        <v/>
      </c>
      <c r="FO12" s="66" t="str">
        <f t="shared" si="10"/>
        <v/>
      </c>
      <c r="FP12" s="66" t="str">
        <f t="shared" si="10"/>
        <v/>
      </c>
      <c r="FQ12" s="66" t="str">
        <f t="shared" si="10"/>
        <v/>
      </c>
      <c r="FR12" s="66" t="str">
        <f t="shared" si="10"/>
        <v/>
      </c>
      <c r="FS12" s="66" t="str">
        <f t="shared" si="10"/>
        <v/>
      </c>
      <c r="FT12" s="66" t="str">
        <f t="shared" si="10"/>
        <v/>
      </c>
      <c r="FU12" s="66" t="str">
        <f t="shared" si="10"/>
        <v/>
      </c>
      <c r="FV12" s="66" t="str">
        <f t="shared" si="10"/>
        <v/>
      </c>
      <c r="FW12" s="66" t="str">
        <f t="shared" si="10"/>
        <v/>
      </c>
      <c r="FX12" s="66" t="str">
        <f t="shared" si="10"/>
        <v/>
      </c>
      <c r="FY12" s="66" t="str">
        <f t="shared" si="10"/>
        <v/>
      </c>
      <c r="FZ12" s="66" t="str">
        <f t="shared" si="10"/>
        <v/>
      </c>
      <c r="GA12" s="66" t="str">
        <f t="shared" si="10"/>
        <v/>
      </c>
      <c r="GB12" s="66" t="str">
        <f t="shared" si="10"/>
        <v/>
      </c>
      <c r="GC12" s="66" t="str">
        <f t="shared" si="10"/>
        <v/>
      </c>
      <c r="GD12" s="66" t="str">
        <f t="shared" si="10"/>
        <v/>
      </c>
      <c r="GE12" s="66" t="str">
        <f t="shared" si="10"/>
        <v/>
      </c>
      <c r="GF12" s="66" t="str">
        <f t="shared" si="10"/>
        <v/>
      </c>
      <c r="GG12" s="66" t="str">
        <f t="shared" si="10"/>
        <v/>
      </c>
      <c r="GH12" s="66" t="str">
        <f t="shared" si="10"/>
        <v/>
      </c>
      <c r="GI12" s="66" t="str">
        <f t="shared" si="10"/>
        <v/>
      </c>
      <c r="GJ12" s="66" t="str">
        <f t="shared" si="10"/>
        <v/>
      </c>
      <c r="GK12" s="66" t="str">
        <f t="shared" si="10"/>
        <v/>
      </c>
      <c r="GL12" s="66" t="str">
        <f t="shared" si="10"/>
        <v/>
      </c>
      <c r="GM12" s="66" t="str">
        <f t="shared" ref="GM12:IV12" si="11">IF(AND(GM7="",GM8="",GM9=""),"",IF(GM8="",GM22,(GM16-ABS(GM8))))</f>
        <v/>
      </c>
      <c r="GN12" s="66" t="str">
        <f t="shared" si="11"/>
        <v/>
      </c>
      <c r="GO12" s="66" t="str">
        <f t="shared" si="11"/>
        <v/>
      </c>
      <c r="GP12" s="66" t="str">
        <f t="shared" si="11"/>
        <v/>
      </c>
      <c r="GQ12" s="66" t="str">
        <f t="shared" si="11"/>
        <v/>
      </c>
      <c r="GR12" s="66" t="str">
        <f t="shared" si="11"/>
        <v/>
      </c>
      <c r="GS12" s="66" t="str">
        <f t="shared" si="11"/>
        <v/>
      </c>
      <c r="GT12" s="66" t="str">
        <f t="shared" si="11"/>
        <v/>
      </c>
      <c r="GU12" s="66" t="str">
        <f t="shared" si="11"/>
        <v/>
      </c>
      <c r="GV12" s="66" t="str">
        <f t="shared" si="11"/>
        <v/>
      </c>
      <c r="GW12" s="66" t="str">
        <f t="shared" si="11"/>
        <v/>
      </c>
      <c r="GX12" s="66" t="str">
        <f t="shared" si="11"/>
        <v/>
      </c>
      <c r="GY12" s="66" t="str">
        <f t="shared" si="11"/>
        <v/>
      </c>
      <c r="GZ12" s="66" t="str">
        <f t="shared" si="11"/>
        <v/>
      </c>
      <c r="HA12" s="66" t="str">
        <f t="shared" si="11"/>
        <v/>
      </c>
      <c r="HB12" s="66" t="str">
        <f t="shared" si="11"/>
        <v/>
      </c>
      <c r="HC12" s="66" t="str">
        <f t="shared" si="11"/>
        <v/>
      </c>
      <c r="HD12" s="66" t="str">
        <f t="shared" si="11"/>
        <v/>
      </c>
      <c r="HE12" s="66" t="str">
        <f t="shared" si="11"/>
        <v/>
      </c>
      <c r="HF12" s="66" t="str">
        <f t="shared" si="11"/>
        <v/>
      </c>
      <c r="HG12" s="66" t="str">
        <f t="shared" si="11"/>
        <v/>
      </c>
      <c r="HH12" s="66" t="str">
        <f t="shared" si="11"/>
        <v/>
      </c>
      <c r="HI12" s="66" t="str">
        <f t="shared" si="11"/>
        <v/>
      </c>
      <c r="HJ12" s="66" t="str">
        <f t="shared" si="11"/>
        <v/>
      </c>
      <c r="HK12" s="66" t="str">
        <f t="shared" si="11"/>
        <v/>
      </c>
      <c r="HL12" s="66" t="str">
        <f t="shared" si="11"/>
        <v/>
      </c>
      <c r="HM12" s="66" t="str">
        <f t="shared" si="11"/>
        <v/>
      </c>
      <c r="HN12" s="66" t="str">
        <f t="shared" si="11"/>
        <v/>
      </c>
      <c r="HO12" s="66" t="str">
        <f t="shared" si="11"/>
        <v/>
      </c>
      <c r="HP12" s="66" t="str">
        <f t="shared" si="11"/>
        <v/>
      </c>
      <c r="HQ12" s="66" t="str">
        <f t="shared" si="11"/>
        <v/>
      </c>
      <c r="HR12" s="66" t="str">
        <f t="shared" si="11"/>
        <v/>
      </c>
      <c r="HS12" s="66" t="str">
        <f t="shared" si="11"/>
        <v/>
      </c>
      <c r="HT12" s="66" t="str">
        <f t="shared" si="11"/>
        <v/>
      </c>
      <c r="HU12" s="66" t="str">
        <f t="shared" si="11"/>
        <v/>
      </c>
      <c r="HV12" s="66" t="str">
        <f t="shared" si="11"/>
        <v/>
      </c>
      <c r="HW12" s="66" t="str">
        <f t="shared" si="11"/>
        <v/>
      </c>
      <c r="HX12" s="66" t="str">
        <f t="shared" si="11"/>
        <v/>
      </c>
      <c r="HY12" s="66" t="str">
        <f t="shared" si="11"/>
        <v/>
      </c>
      <c r="HZ12" s="66" t="str">
        <f t="shared" si="11"/>
        <v/>
      </c>
      <c r="IA12" s="66" t="str">
        <f t="shared" si="11"/>
        <v/>
      </c>
      <c r="IB12" s="66" t="str">
        <f t="shared" si="11"/>
        <v/>
      </c>
      <c r="IC12" s="66" t="str">
        <f t="shared" si="11"/>
        <v/>
      </c>
      <c r="ID12" s="66" t="str">
        <f t="shared" si="11"/>
        <v/>
      </c>
      <c r="IE12" s="66" t="str">
        <f t="shared" si="11"/>
        <v/>
      </c>
      <c r="IF12" s="66" t="str">
        <f t="shared" si="11"/>
        <v/>
      </c>
      <c r="IG12" s="66" t="str">
        <f t="shared" si="11"/>
        <v/>
      </c>
      <c r="IH12" s="66" t="str">
        <f t="shared" si="11"/>
        <v/>
      </c>
      <c r="II12" s="66" t="str">
        <f t="shared" si="11"/>
        <v/>
      </c>
      <c r="IJ12" s="66" t="str">
        <f t="shared" si="11"/>
        <v/>
      </c>
      <c r="IK12" s="66" t="str">
        <f t="shared" si="11"/>
        <v/>
      </c>
      <c r="IL12" s="66" t="str">
        <f t="shared" si="11"/>
        <v/>
      </c>
      <c r="IM12" s="66" t="str">
        <f t="shared" si="11"/>
        <v/>
      </c>
      <c r="IN12" s="66" t="str">
        <f t="shared" si="11"/>
        <v/>
      </c>
      <c r="IO12" s="66" t="str">
        <f t="shared" si="11"/>
        <v/>
      </c>
      <c r="IP12" s="66" t="str">
        <f t="shared" si="11"/>
        <v/>
      </c>
      <c r="IQ12" s="66" t="str">
        <f t="shared" si="11"/>
        <v/>
      </c>
      <c r="IR12" s="66" t="str">
        <f t="shared" si="11"/>
        <v/>
      </c>
      <c r="IS12" s="66" t="str">
        <f t="shared" si="11"/>
        <v/>
      </c>
      <c r="IT12" s="66" t="str">
        <f t="shared" si="11"/>
        <v/>
      </c>
      <c r="IU12" s="66" t="str">
        <f t="shared" si="11"/>
        <v/>
      </c>
      <c r="IV12" s="133" t="str">
        <f t="shared" si="11"/>
        <v/>
      </c>
    </row>
    <row r="13" spans="1:256" s="61" customFormat="1" ht="12.75" customHeight="1">
      <c r="A13" s="1"/>
      <c r="B13" s="50" t="s">
        <v>71</v>
      </c>
      <c r="C13" s="111" t="str">
        <f>IF(AND(C7="",C8="",C9=""),"",IF(C14="DoubleSides",NORMSDIST((C11-C10)/C23)-NORMSDIST((C12-C10)/C23),IF(C14="SingleSide-USL",NORMSDIST((C11-C10)/C23),IF(C14="SingleSide-LSL",1-NORMSDIST((C12-C10)/C23),IF(C14="Actual Yield (n&gt;=100)",IF(COUNT(C35:C65536)&gt;=100,(COUNTIF(C35:C65536,"&lt;="&amp;C11)-COUNTIF(C35:C65536,"&lt;"&amp;C12))/COUNT(C35:C65536),"Too Few Records"),IF(C14="Go/NoGo Gauge (n&gt;=100)",IF(COUNTA(C35:C65536)&gt;=100,COUNTIF(C35:C65536,"OK")/COUNTA(C35:C65536),"Too Few Records"),"Error"))))))</f>
        <v/>
      </c>
      <c r="D13" s="111" t="str">
        <f t="shared" ref="D13:BO13" si="12">IF(AND(D7="",D8="",D9=""),"",IF(D14="DoubleSides",NORMSDIST((D11-D10)/D23)-NORMSDIST((D12-D10)/D23),IF(D14="SingleSide-USL",NORMSDIST((D11-D10)/D23),IF(D14="SingleSide-LSL",1-NORMSDIST((D12-D10)/D23),IF(D14="Actual Yield (n&gt;=100)",IF(COUNT(D35:D65536)&gt;=100,(COUNTIF(D35:D65536,"&lt;="&amp;D11)-COUNTIF(D35:D65536,"&lt;"&amp;D12))/COUNT(D35:D65536),"Too Few Records"),IF(D14="Go/NoGo Gauge (n&gt;=100)",IF(COUNTA(D35:D65536)&gt;=100,COUNTIF(D35:D65536,"OK")/COUNTA(D35:D65536),"Too Few Records"),"Error"))))))</f>
        <v/>
      </c>
      <c r="E13" s="111" t="str">
        <f t="shared" si="12"/>
        <v/>
      </c>
      <c r="F13" s="111" t="str">
        <f t="shared" si="12"/>
        <v/>
      </c>
      <c r="G13" s="111" t="str">
        <f t="shared" si="12"/>
        <v/>
      </c>
      <c r="H13" s="111" t="str">
        <f t="shared" si="12"/>
        <v/>
      </c>
      <c r="I13" s="111" t="str">
        <f t="shared" si="12"/>
        <v/>
      </c>
      <c r="J13" s="111" t="str">
        <f t="shared" si="12"/>
        <v/>
      </c>
      <c r="K13" s="111" t="str">
        <f t="shared" si="12"/>
        <v/>
      </c>
      <c r="L13" s="111" t="str">
        <f t="shared" si="12"/>
        <v/>
      </c>
      <c r="M13" s="111" t="str">
        <f t="shared" si="12"/>
        <v/>
      </c>
      <c r="N13" s="111" t="str">
        <f t="shared" si="12"/>
        <v/>
      </c>
      <c r="O13" s="111" t="str">
        <f t="shared" si="12"/>
        <v/>
      </c>
      <c r="P13" s="111" t="str">
        <f t="shared" si="12"/>
        <v/>
      </c>
      <c r="Q13" s="111" t="str">
        <f t="shared" si="12"/>
        <v/>
      </c>
      <c r="R13" s="111" t="str">
        <f t="shared" si="12"/>
        <v/>
      </c>
      <c r="S13" s="111" t="str">
        <f t="shared" si="12"/>
        <v/>
      </c>
      <c r="T13" s="111" t="str">
        <f t="shared" si="12"/>
        <v/>
      </c>
      <c r="U13" s="111" t="str">
        <f t="shared" si="12"/>
        <v/>
      </c>
      <c r="V13" s="111" t="str">
        <f t="shared" si="12"/>
        <v/>
      </c>
      <c r="W13" s="111" t="str">
        <f t="shared" si="12"/>
        <v/>
      </c>
      <c r="X13" s="111" t="str">
        <f t="shared" si="12"/>
        <v/>
      </c>
      <c r="Y13" s="111" t="str">
        <f t="shared" si="12"/>
        <v/>
      </c>
      <c r="Z13" s="111" t="str">
        <f t="shared" si="12"/>
        <v/>
      </c>
      <c r="AA13" s="66" t="str">
        <f t="shared" si="12"/>
        <v/>
      </c>
      <c r="AB13" s="66" t="str">
        <f t="shared" si="12"/>
        <v/>
      </c>
      <c r="AC13" s="66" t="str">
        <f t="shared" si="12"/>
        <v/>
      </c>
      <c r="AD13" s="66" t="str">
        <f t="shared" si="12"/>
        <v/>
      </c>
      <c r="AE13" s="66" t="str">
        <f t="shared" si="12"/>
        <v/>
      </c>
      <c r="AF13" s="66" t="str">
        <f t="shared" si="12"/>
        <v/>
      </c>
      <c r="AG13" s="66" t="str">
        <f t="shared" si="12"/>
        <v/>
      </c>
      <c r="AH13" s="66" t="str">
        <f t="shared" si="12"/>
        <v/>
      </c>
      <c r="AI13" s="66" t="str">
        <f t="shared" si="12"/>
        <v/>
      </c>
      <c r="AJ13" s="66" t="str">
        <f t="shared" si="12"/>
        <v/>
      </c>
      <c r="AK13" s="66" t="str">
        <f t="shared" si="12"/>
        <v/>
      </c>
      <c r="AL13" s="66" t="str">
        <f t="shared" si="12"/>
        <v/>
      </c>
      <c r="AM13" s="66" t="str">
        <f t="shared" si="12"/>
        <v/>
      </c>
      <c r="AN13" s="66" t="str">
        <f t="shared" si="12"/>
        <v/>
      </c>
      <c r="AO13" s="66" t="str">
        <f t="shared" si="12"/>
        <v/>
      </c>
      <c r="AP13" s="66" t="str">
        <f t="shared" si="12"/>
        <v/>
      </c>
      <c r="AQ13" s="66" t="str">
        <f t="shared" si="12"/>
        <v/>
      </c>
      <c r="AR13" s="66" t="str">
        <f t="shared" si="12"/>
        <v/>
      </c>
      <c r="AS13" s="66" t="str">
        <f t="shared" si="12"/>
        <v/>
      </c>
      <c r="AT13" s="66" t="str">
        <f t="shared" si="12"/>
        <v/>
      </c>
      <c r="AU13" s="66" t="str">
        <f t="shared" si="12"/>
        <v/>
      </c>
      <c r="AV13" s="66" t="str">
        <f t="shared" si="12"/>
        <v/>
      </c>
      <c r="AW13" s="66" t="str">
        <f t="shared" si="12"/>
        <v/>
      </c>
      <c r="AX13" s="66" t="str">
        <f t="shared" si="12"/>
        <v/>
      </c>
      <c r="AY13" s="66" t="str">
        <f t="shared" si="12"/>
        <v/>
      </c>
      <c r="AZ13" s="66" t="str">
        <f t="shared" si="12"/>
        <v/>
      </c>
      <c r="BA13" s="66" t="str">
        <f t="shared" si="12"/>
        <v/>
      </c>
      <c r="BB13" s="66" t="str">
        <f t="shared" si="12"/>
        <v/>
      </c>
      <c r="BC13" s="66" t="str">
        <f t="shared" si="12"/>
        <v/>
      </c>
      <c r="BD13" s="66" t="str">
        <f t="shared" si="12"/>
        <v/>
      </c>
      <c r="BE13" s="66" t="str">
        <f t="shared" si="12"/>
        <v/>
      </c>
      <c r="BF13" s="66" t="str">
        <f t="shared" si="12"/>
        <v/>
      </c>
      <c r="BG13" s="66" t="str">
        <f t="shared" si="12"/>
        <v/>
      </c>
      <c r="BH13" s="66" t="str">
        <f t="shared" si="12"/>
        <v/>
      </c>
      <c r="BI13" s="66" t="str">
        <f t="shared" si="12"/>
        <v/>
      </c>
      <c r="BJ13" s="66" t="str">
        <f t="shared" si="12"/>
        <v/>
      </c>
      <c r="BK13" s="66" t="str">
        <f t="shared" si="12"/>
        <v/>
      </c>
      <c r="BL13" s="66" t="str">
        <f t="shared" si="12"/>
        <v/>
      </c>
      <c r="BM13" s="66" t="str">
        <f t="shared" si="12"/>
        <v/>
      </c>
      <c r="BN13" s="66" t="str">
        <f t="shared" si="12"/>
        <v/>
      </c>
      <c r="BO13" s="66" t="str">
        <f t="shared" si="12"/>
        <v/>
      </c>
      <c r="BP13" s="66" t="str">
        <f t="shared" ref="BP13:EA13" si="13">IF(AND(BP7="",BP8="",BP9=""),"",IF(BP14="DoubleSides",NORMSDIST((BP11-BP10)/BP23)-NORMSDIST((BP12-BP10)/BP23),IF(BP14="SingleSide-USL",NORMSDIST((BP11-BP10)/BP23),IF(BP14="SingleSide-LSL",1-NORMSDIST((BP12-BP10)/BP23),IF(BP14="Actual Yield (n&gt;=100)",IF(COUNT(BP35:BP65536)&gt;=100,(COUNTIF(BP35:BP65536,"&lt;="&amp;BP11)-COUNTIF(BP35:BP65536,"&lt;"&amp;BP12))/COUNT(BP35:BP65536),"Too Few Records"),IF(BP14="Go/NoGo Gauge (n&gt;=100)",IF(COUNTA(BP35:BP65536)&gt;=100,COUNTIF(BP35:BP65536,"OK")/COUNTA(BP35:BP65536),"Too Few Records"),"Error"))))))</f>
        <v/>
      </c>
      <c r="BQ13" s="66" t="str">
        <f t="shared" si="13"/>
        <v/>
      </c>
      <c r="BR13" s="66" t="str">
        <f t="shared" si="13"/>
        <v/>
      </c>
      <c r="BS13" s="66" t="str">
        <f t="shared" si="13"/>
        <v/>
      </c>
      <c r="BT13" s="66" t="str">
        <f t="shared" si="13"/>
        <v/>
      </c>
      <c r="BU13" s="66" t="str">
        <f t="shared" si="13"/>
        <v/>
      </c>
      <c r="BV13" s="66" t="str">
        <f t="shared" si="13"/>
        <v/>
      </c>
      <c r="BW13" s="66" t="str">
        <f t="shared" si="13"/>
        <v/>
      </c>
      <c r="BX13" s="66" t="str">
        <f t="shared" si="13"/>
        <v/>
      </c>
      <c r="BY13" s="66" t="str">
        <f t="shared" si="13"/>
        <v/>
      </c>
      <c r="BZ13" s="66" t="str">
        <f t="shared" si="13"/>
        <v/>
      </c>
      <c r="CA13" s="66" t="str">
        <f t="shared" si="13"/>
        <v/>
      </c>
      <c r="CB13" s="66" t="str">
        <f t="shared" si="13"/>
        <v/>
      </c>
      <c r="CC13" s="66" t="str">
        <f t="shared" si="13"/>
        <v/>
      </c>
      <c r="CD13" s="66" t="str">
        <f t="shared" si="13"/>
        <v/>
      </c>
      <c r="CE13" s="66" t="str">
        <f t="shared" si="13"/>
        <v/>
      </c>
      <c r="CF13" s="66" t="str">
        <f t="shared" si="13"/>
        <v/>
      </c>
      <c r="CG13" s="66" t="str">
        <f t="shared" si="13"/>
        <v/>
      </c>
      <c r="CH13" s="66" t="str">
        <f t="shared" si="13"/>
        <v/>
      </c>
      <c r="CI13" s="66" t="str">
        <f t="shared" si="13"/>
        <v/>
      </c>
      <c r="CJ13" s="66" t="str">
        <f t="shared" si="13"/>
        <v/>
      </c>
      <c r="CK13" s="66" t="str">
        <f t="shared" si="13"/>
        <v/>
      </c>
      <c r="CL13" s="66" t="str">
        <f t="shared" si="13"/>
        <v/>
      </c>
      <c r="CM13" s="66" t="str">
        <f t="shared" si="13"/>
        <v/>
      </c>
      <c r="CN13" s="66" t="str">
        <f t="shared" si="13"/>
        <v/>
      </c>
      <c r="CO13" s="66" t="str">
        <f t="shared" si="13"/>
        <v/>
      </c>
      <c r="CP13" s="66" t="str">
        <f t="shared" si="13"/>
        <v/>
      </c>
      <c r="CQ13" s="66" t="str">
        <f t="shared" si="13"/>
        <v/>
      </c>
      <c r="CR13" s="66" t="str">
        <f t="shared" si="13"/>
        <v/>
      </c>
      <c r="CS13" s="66" t="str">
        <f t="shared" si="13"/>
        <v/>
      </c>
      <c r="CT13" s="66" t="str">
        <f t="shared" si="13"/>
        <v/>
      </c>
      <c r="CU13" s="66" t="str">
        <f t="shared" si="13"/>
        <v/>
      </c>
      <c r="CV13" s="66" t="str">
        <f t="shared" si="13"/>
        <v/>
      </c>
      <c r="CW13" s="66" t="str">
        <f t="shared" si="13"/>
        <v/>
      </c>
      <c r="CX13" s="66" t="str">
        <f t="shared" si="13"/>
        <v/>
      </c>
      <c r="CY13" s="66" t="str">
        <f t="shared" si="13"/>
        <v/>
      </c>
      <c r="CZ13" s="66" t="str">
        <f t="shared" si="13"/>
        <v/>
      </c>
      <c r="DA13" s="66" t="str">
        <f t="shared" si="13"/>
        <v/>
      </c>
      <c r="DB13" s="66" t="str">
        <f t="shared" si="13"/>
        <v/>
      </c>
      <c r="DC13" s="66" t="str">
        <f t="shared" si="13"/>
        <v/>
      </c>
      <c r="DD13" s="66" t="str">
        <f t="shared" si="13"/>
        <v/>
      </c>
      <c r="DE13" s="66" t="str">
        <f t="shared" si="13"/>
        <v/>
      </c>
      <c r="DF13" s="66" t="str">
        <f t="shared" si="13"/>
        <v/>
      </c>
      <c r="DG13" s="66" t="str">
        <f t="shared" si="13"/>
        <v/>
      </c>
      <c r="DH13" s="66" t="str">
        <f t="shared" si="13"/>
        <v/>
      </c>
      <c r="DI13" s="66" t="str">
        <f t="shared" si="13"/>
        <v/>
      </c>
      <c r="DJ13" s="66" t="str">
        <f t="shared" si="13"/>
        <v/>
      </c>
      <c r="DK13" s="66" t="str">
        <f t="shared" si="13"/>
        <v/>
      </c>
      <c r="DL13" s="66" t="str">
        <f t="shared" si="13"/>
        <v/>
      </c>
      <c r="DM13" s="66" t="str">
        <f t="shared" si="13"/>
        <v/>
      </c>
      <c r="DN13" s="66" t="str">
        <f t="shared" si="13"/>
        <v/>
      </c>
      <c r="DO13" s="66" t="str">
        <f t="shared" si="13"/>
        <v/>
      </c>
      <c r="DP13" s="66" t="str">
        <f t="shared" si="13"/>
        <v/>
      </c>
      <c r="DQ13" s="66" t="str">
        <f t="shared" si="13"/>
        <v/>
      </c>
      <c r="DR13" s="66" t="str">
        <f t="shared" si="13"/>
        <v/>
      </c>
      <c r="DS13" s="66" t="str">
        <f t="shared" si="13"/>
        <v/>
      </c>
      <c r="DT13" s="66" t="str">
        <f t="shared" si="13"/>
        <v/>
      </c>
      <c r="DU13" s="66" t="str">
        <f t="shared" si="13"/>
        <v/>
      </c>
      <c r="DV13" s="66" t="str">
        <f t="shared" si="13"/>
        <v/>
      </c>
      <c r="DW13" s="66" t="str">
        <f t="shared" si="13"/>
        <v/>
      </c>
      <c r="DX13" s="66" t="str">
        <f t="shared" si="13"/>
        <v/>
      </c>
      <c r="DY13" s="66" t="str">
        <f t="shared" si="13"/>
        <v/>
      </c>
      <c r="DZ13" s="66" t="str">
        <f t="shared" si="13"/>
        <v/>
      </c>
      <c r="EA13" s="66" t="str">
        <f t="shared" si="13"/>
        <v/>
      </c>
      <c r="EB13" s="66" t="str">
        <f t="shared" ref="EB13:GM13" si="14">IF(AND(EB7="",EB8="",EB9=""),"",IF(EB14="DoubleSides",NORMSDIST((EB11-EB10)/EB23)-NORMSDIST((EB12-EB10)/EB23),IF(EB14="SingleSide-USL",NORMSDIST((EB11-EB10)/EB23),IF(EB14="SingleSide-LSL",1-NORMSDIST((EB12-EB10)/EB23),IF(EB14="Actual Yield (n&gt;=100)",IF(COUNT(EB35:EB65536)&gt;=100,(COUNTIF(EB35:EB65536,"&lt;="&amp;EB11)-COUNTIF(EB35:EB65536,"&lt;"&amp;EB12))/COUNT(EB35:EB65536),"Too Few Records"),IF(EB14="Go/NoGo Gauge (n&gt;=100)",IF(COUNTA(EB35:EB65536)&gt;=100,COUNTIF(EB35:EB65536,"OK")/COUNTA(EB35:EB65536),"Too Few Records"),"Error"))))))</f>
        <v/>
      </c>
      <c r="EC13" s="66" t="str">
        <f t="shared" si="14"/>
        <v/>
      </c>
      <c r="ED13" s="66" t="str">
        <f t="shared" si="14"/>
        <v/>
      </c>
      <c r="EE13" s="66" t="str">
        <f t="shared" si="14"/>
        <v/>
      </c>
      <c r="EF13" s="66" t="str">
        <f t="shared" si="14"/>
        <v/>
      </c>
      <c r="EG13" s="66" t="str">
        <f t="shared" si="14"/>
        <v/>
      </c>
      <c r="EH13" s="66" t="str">
        <f t="shared" si="14"/>
        <v/>
      </c>
      <c r="EI13" s="66" t="str">
        <f t="shared" si="14"/>
        <v/>
      </c>
      <c r="EJ13" s="66" t="str">
        <f t="shared" si="14"/>
        <v/>
      </c>
      <c r="EK13" s="66" t="str">
        <f t="shared" si="14"/>
        <v/>
      </c>
      <c r="EL13" s="66" t="str">
        <f t="shared" si="14"/>
        <v/>
      </c>
      <c r="EM13" s="66" t="str">
        <f t="shared" si="14"/>
        <v/>
      </c>
      <c r="EN13" s="66" t="str">
        <f t="shared" si="14"/>
        <v/>
      </c>
      <c r="EO13" s="66" t="str">
        <f t="shared" si="14"/>
        <v/>
      </c>
      <c r="EP13" s="66" t="str">
        <f t="shared" si="14"/>
        <v/>
      </c>
      <c r="EQ13" s="66" t="str">
        <f t="shared" si="14"/>
        <v/>
      </c>
      <c r="ER13" s="66" t="str">
        <f t="shared" si="14"/>
        <v/>
      </c>
      <c r="ES13" s="66" t="str">
        <f t="shared" si="14"/>
        <v/>
      </c>
      <c r="ET13" s="66" t="str">
        <f t="shared" si="14"/>
        <v/>
      </c>
      <c r="EU13" s="66" t="str">
        <f t="shared" si="14"/>
        <v/>
      </c>
      <c r="EV13" s="66" t="str">
        <f t="shared" si="14"/>
        <v/>
      </c>
      <c r="EW13" s="66" t="str">
        <f t="shared" si="14"/>
        <v/>
      </c>
      <c r="EX13" s="66" t="str">
        <f t="shared" si="14"/>
        <v/>
      </c>
      <c r="EY13" s="66" t="str">
        <f t="shared" si="14"/>
        <v/>
      </c>
      <c r="EZ13" s="66" t="str">
        <f t="shared" si="14"/>
        <v/>
      </c>
      <c r="FA13" s="66" t="str">
        <f t="shared" si="14"/>
        <v/>
      </c>
      <c r="FB13" s="66" t="str">
        <f t="shared" si="14"/>
        <v/>
      </c>
      <c r="FC13" s="66" t="str">
        <f t="shared" si="14"/>
        <v/>
      </c>
      <c r="FD13" s="66" t="str">
        <f t="shared" si="14"/>
        <v/>
      </c>
      <c r="FE13" s="66" t="str">
        <f t="shared" si="14"/>
        <v/>
      </c>
      <c r="FF13" s="66" t="str">
        <f t="shared" si="14"/>
        <v/>
      </c>
      <c r="FG13" s="66" t="str">
        <f t="shared" si="14"/>
        <v/>
      </c>
      <c r="FH13" s="66" t="str">
        <f t="shared" si="14"/>
        <v/>
      </c>
      <c r="FI13" s="66" t="str">
        <f t="shared" si="14"/>
        <v/>
      </c>
      <c r="FJ13" s="66" t="str">
        <f t="shared" si="14"/>
        <v/>
      </c>
      <c r="FK13" s="66" t="str">
        <f t="shared" si="14"/>
        <v/>
      </c>
      <c r="FL13" s="66" t="str">
        <f t="shared" si="14"/>
        <v/>
      </c>
      <c r="FM13" s="66" t="str">
        <f t="shared" si="14"/>
        <v/>
      </c>
      <c r="FN13" s="66" t="str">
        <f t="shared" si="14"/>
        <v/>
      </c>
      <c r="FO13" s="66" t="str">
        <f t="shared" si="14"/>
        <v/>
      </c>
      <c r="FP13" s="66" t="str">
        <f t="shared" si="14"/>
        <v/>
      </c>
      <c r="FQ13" s="66" t="str">
        <f t="shared" si="14"/>
        <v/>
      </c>
      <c r="FR13" s="66" t="str">
        <f t="shared" si="14"/>
        <v/>
      </c>
      <c r="FS13" s="66" t="str">
        <f t="shared" si="14"/>
        <v/>
      </c>
      <c r="FT13" s="66" t="str">
        <f t="shared" si="14"/>
        <v/>
      </c>
      <c r="FU13" s="66" t="str">
        <f t="shared" si="14"/>
        <v/>
      </c>
      <c r="FV13" s="66" t="str">
        <f t="shared" si="14"/>
        <v/>
      </c>
      <c r="FW13" s="66" t="str">
        <f t="shared" si="14"/>
        <v/>
      </c>
      <c r="FX13" s="66" t="str">
        <f t="shared" si="14"/>
        <v/>
      </c>
      <c r="FY13" s="66" t="str">
        <f t="shared" si="14"/>
        <v/>
      </c>
      <c r="FZ13" s="66" t="str">
        <f t="shared" si="14"/>
        <v/>
      </c>
      <c r="GA13" s="66" t="str">
        <f t="shared" si="14"/>
        <v/>
      </c>
      <c r="GB13" s="66" t="str">
        <f t="shared" si="14"/>
        <v/>
      </c>
      <c r="GC13" s="66" t="str">
        <f t="shared" si="14"/>
        <v/>
      </c>
      <c r="GD13" s="66" t="str">
        <f t="shared" si="14"/>
        <v/>
      </c>
      <c r="GE13" s="66" t="str">
        <f t="shared" si="14"/>
        <v/>
      </c>
      <c r="GF13" s="66" t="str">
        <f t="shared" si="14"/>
        <v/>
      </c>
      <c r="GG13" s="66" t="str">
        <f t="shared" si="14"/>
        <v/>
      </c>
      <c r="GH13" s="66" t="str">
        <f t="shared" si="14"/>
        <v/>
      </c>
      <c r="GI13" s="66" t="str">
        <f t="shared" si="14"/>
        <v/>
      </c>
      <c r="GJ13" s="66" t="str">
        <f t="shared" si="14"/>
        <v/>
      </c>
      <c r="GK13" s="66" t="str">
        <f t="shared" si="14"/>
        <v/>
      </c>
      <c r="GL13" s="66" t="str">
        <f t="shared" si="14"/>
        <v/>
      </c>
      <c r="GM13" s="66" t="str">
        <f t="shared" si="14"/>
        <v/>
      </c>
      <c r="GN13" s="66" t="str">
        <f t="shared" ref="GN13:IV13" si="15">IF(AND(GN7="",GN8="",GN9=""),"",IF(GN14="DoubleSides",NORMSDIST((GN11-GN10)/GN23)-NORMSDIST((GN12-GN10)/GN23),IF(GN14="SingleSide-USL",NORMSDIST((GN11-GN10)/GN23),IF(GN14="SingleSide-LSL",1-NORMSDIST((GN12-GN10)/GN23),IF(GN14="Actual Yield (n&gt;=100)",IF(COUNT(GN35:GN65536)&gt;=100,(COUNTIF(GN35:GN65536,"&lt;="&amp;GN11)-COUNTIF(GN35:GN65536,"&lt;"&amp;GN12))/COUNT(GN35:GN65536),"Too Few Records"),IF(GN14="Go/NoGo Gauge (n&gt;=100)",IF(COUNTA(GN35:GN65536)&gt;=100,COUNTIF(GN35:GN65536,"OK")/COUNTA(GN35:GN65536),"Too Few Records"),"Error"))))))</f>
        <v/>
      </c>
      <c r="GO13" s="66" t="str">
        <f t="shared" si="15"/>
        <v/>
      </c>
      <c r="GP13" s="66" t="str">
        <f t="shared" si="15"/>
        <v/>
      </c>
      <c r="GQ13" s="66" t="str">
        <f t="shared" si="15"/>
        <v/>
      </c>
      <c r="GR13" s="66" t="str">
        <f t="shared" si="15"/>
        <v/>
      </c>
      <c r="GS13" s="66" t="str">
        <f t="shared" si="15"/>
        <v/>
      </c>
      <c r="GT13" s="66" t="str">
        <f t="shared" si="15"/>
        <v/>
      </c>
      <c r="GU13" s="66" t="str">
        <f t="shared" si="15"/>
        <v/>
      </c>
      <c r="GV13" s="66" t="str">
        <f t="shared" si="15"/>
        <v/>
      </c>
      <c r="GW13" s="66" t="str">
        <f t="shared" si="15"/>
        <v/>
      </c>
      <c r="GX13" s="66" t="str">
        <f t="shared" si="15"/>
        <v/>
      </c>
      <c r="GY13" s="66" t="str">
        <f t="shared" si="15"/>
        <v/>
      </c>
      <c r="GZ13" s="66" t="str">
        <f t="shared" si="15"/>
        <v/>
      </c>
      <c r="HA13" s="66" t="str">
        <f t="shared" si="15"/>
        <v/>
      </c>
      <c r="HB13" s="66" t="str">
        <f t="shared" si="15"/>
        <v/>
      </c>
      <c r="HC13" s="66" t="str">
        <f t="shared" si="15"/>
        <v/>
      </c>
      <c r="HD13" s="66" t="str">
        <f t="shared" si="15"/>
        <v/>
      </c>
      <c r="HE13" s="66" t="str">
        <f t="shared" si="15"/>
        <v/>
      </c>
      <c r="HF13" s="66" t="str">
        <f t="shared" si="15"/>
        <v/>
      </c>
      <c r="HG13" s="66" t="str">
        <f t="shared" si="15"/>
        <v/>
      </c>
      <c r="HH13" s="66" t="str">
        <f t="shared" si="15"/>
        <v/>
      </c>
      <c r="HI13" s="66" t="str">
        <f t="shared" si="15"/>
        <v/>
      </c>
      <c r="HJ13" s="66" t="str">
        <f t="shared" si="15"/>
        <v/>
      </c>
      <c r="HK13" s="66" t="str">
        <f t="shared" si="15"/>
        <v/>
      </c>
      <c r="HL13" s="66" t="str">
        <f t="shared" si="15"/>
        <v/>
      </c>
      <c r="HM13" s="66" t="str">
        <f t="shared" si="15"/>
        <v/>
      </c>
      <c r="HN13" s="66" t="str">
        <f t="shared" si="15"/>
        <v/>
      </c>
      <c r="HO13" s="66" t="str">
        <f t="shared" si="15"/>
        <v/>
      </c>
      <c r="HP13" s="66" t="str">
        <f t="shared" si="15"/>
        <v/>
      </c>
      <c r="HQ13" s="66" t="str">
        <f t="shared" si="15"/>
        <v/>
      </c>
      <c r="HR13" s="66" t="str">
        <f t="shared" si="15"/>
        <v/>
      </c>
      <c r="HS13" s="66" t="str">
        <f t="shared" si="15"/>
        <v/>
      </c>
      <c r="HT13" s="66" t="str">
        <f t="shared" si="15"/>
        <v/>
      </c>
      <c r="HU13" s="66" t="str">
        <f t="shared" si="15"/>
        <v/>
      </c>
      <c r="HV13" s="66" t="str">
        <f t="shared" si="15"/>
        <v/>
      </c>
      <c r="HW13" s="66" t="str">
        <f t="shared" si="15"/>
        <v/>
      </c>
      <c r="HX13" s="66" t="str">
        <f t="shared" si="15"/>
        <v/>
      </c>
      <c r="HY13" s="66" t="str">
        <f t="shared" si="15"/>
        <v/>
      </c>
      <c r="HZ13" s="66" t="str">
        <f t="shared" si="15"/>
        <v/>
      </c>
      <c r="IA13" s="66" t="str">
        <f t="shared" si="15"/>
        <v/>
      </c>
      <c r="IB13" s="66" t="str">
        <f t="shared" si="15"/>
        <v/>
      </c>
      <c r="IC13" s="66" t="str">
        <f t="shared" si="15"/>
        <v/>
      </c>
      <c r="ID13" s="66" t="str">
        <f t="shared" si="15"/>
        <v/>
      </c>
      <c r="IE13" s="66" t="str">
        <f t="shared" si="15"/>
        <v/>
      </c>
      <c r="IF13" s="66" t="str">
        <f t="shared" si="15"/>
        <v/>
      </c>
      <c r="IG13" s="66" t="str">
        <f t="shared" si="15"/>
        <v/>
      </c>
      <c r="IH13" s="66" t="str">
        <f t="shared" si="15"/>
        <v/>
      </c>
      <c r="II13" s="66" t="str">
        <f t="shared" si="15"/>
        <v/>
      </c>
      <c r="IJ13" s="66" t="str">
        <f t="shared" si="15"/>
        <v/>
      </c>
      <c r="IK13" s="66" t="str">
        <f t="shared" si="15"/>
        <v/>
      </c>
      <c r="IL13" s="66" t="str">
        <f t="shared" si="15"/>
        <v/>
      </c>
      <c r="IM13" s="66" t="str">
        <f t="shared" si="15"/>
        <v/>
      </c>
      <c r="IN13" s="66" t="str">
        <f t="shared" si="15"/>
        <v/>
      </c>
      <c r="IO13" s="66" t="str">
        <f t="shared" si="15"/>
        <v/>
      </c>
      <c r="IP13" s="66" t="str">
        <f t="shared" si="15"/>
        <v/>
      </c>
      <c r="IQ13" s="66" t="str">
        <f t="shared" si="15"/>
        <v/>
      </c>
      <c r="IR13" s="66" t="str">
        <f t="shared" si="15"/>
        <v/>
      </c>
      <c r="IS13" s="66" t="str">
        <f t="shared" si="15"/>
        <v/>
      </c>
      <c r="IT13" s="66" t="str">
        <f t="shared" si="15"/>
        <v/>
      </c>
      <c r="IU13" s="66" t="str">
        <f t="shared" si="15"/>
        <v/>
      </c>
      <c r="IV13" s="66" t="str">
        <f t="shared" si="15"/>
        <v/>
      </c>
    </row>
    <row r="14" spans="1:256" s="63" customFormat="1" ht="24.75" customHeight="1">
      <c r="A14" s="1"/>
      <c r="B14" s="50" t="s">
        <v>72</v>
      </c>
      <c r="C14" s="62" t="s">
        <v>129</v>
      </c>
      <c r="D14" s="62" t="s">
        <v>129</v>
      </c>
      <c r="E14" s="62" t="s">
        <v>129</v>
      </c>
      <c r="F14" s="62" t="s">
        <v>129</v>
      </c>
      <c r="G14" s="62" t="s">
        <v>129</v>
      </c>
      <c r="H14" s="62" t="s">
        <v>129</v>
      </c>
      <c r="I14" s="62" t="s">
        <v>129</v>
      </c>
      <c r="J14" s="62" t="s">
        <v>129</v>
      </c>
      <c r="K14" s="62" t="s">
        <v>129</v>
      </c>
      <c r="L14" s="62" t="s">
        <v>129</v>
      </c>
      <c r="M14" s="62" t="s">
        <v>129</v>
      </c>
      <c r="N14" s="62" t="s">
        <v>129</v>
      </c>
      <c r="O14" s="62" t="s">
        <v>129</v>
      </c>
      <c r="P14" s="62" t="s">
        <v>129</v>
      </c>
      <c r="Q14" s="62" t="s">
        <v>129</v>
      </c>
      <c r="R14" s="62" t="s">
        <v>129</v>
      </c>
      <c r="S14" s="62"/>
      <c r="T14" s="62"/>
      <c r="U14" s="62"/>
      <c r="V14" s="62"/>
      <c r="W14" s="62"/>
      <c r="X14" s="62"/>
      <c r="Y14" s="62"/>
      <c r="Z14" s="62"/>
      <c r="IV14" s="134"/>
    </row>
    <row r="15" spans="1:256" ht="12.75" customHeight="1">
      <c r="B15" s="50" t="s">
        <v>11</v>
      </c>
      <c r="C15" s="144" t="s">
        <v>137</v>
      </c>
      <c r="D15" s="144" t="s">
        <v>142</v>
      </c>
      <c r="E15" s="144" t="s">
        <v>143</v>
      </c>
      <c r="F15" s="144" t="s">
        <v>138</v>
      </c>
      <c r="G15" s="144" t="s">
        <v>140</v>
      </c>
      <c r="H15" s="144" t="s">
        <v>139</v>
      </c>
      <c r="I15" s="144" t="s">
        <v>144</v>
      </c>
      <c r="J15" s="144" t="s">
        <v>145</v>
      </c>
      <c r="K15" s="144" t="s">
        <v>146</v>
      </c>
      <c r="L15" s="144" t="s">
        <v>147</v>
      </c>
      <c r="M15" s="144" t="s">
        <v>148</v>
      </c>
      <c r="N15" s="144" t="s">
        <v>149</v>
      </c>
      <c r="O15" s="144" t="s">
        <v>150</v>
      </c>
      <c r="P15" s="144" t="s">
        <v>151</v>
      </c>
      <c r="Q15" s="2" t="s">
        <v>141</v>
      </c>
      <c r="R15" s="2" t="s">
        <v>152</v>
      </c>
      <c r="S15" s="2"/>
      <c r="T15" s="2"/>
      <c r="U15" s="2"/>
      <c r="V15" s="2"/>
      <c r="W15" s="2"/>
      <c r="X15" s="2"/>
      <c r="Y15" s="2"/>
      <c r="Z15" s="2"/>
    </row>
    <row r="16" spans="1:256" ht="12.75" customHeight="1">
      <c r="B16" s="49" t="s">
        <v>12</v>
      </c>
      <c r="C16" s="145">
        <v>1.3</v>
      </c>
      <c r="D16" s="145">
        <v>1</v>
      </c>
      <c r="E16" s="145">
        <v>2.4</v>
      </c>
      <c r="F16" s="145">
        <v>3.3</v>
      </c>
      <c r="G16" s="145">
        <v>0.86</v>
      </c>
      <c r="H16" s="145">
        <v>0.86</v>
      </c>
      <c r="I16" s="145">
        <v>2.9</v>
      </c>
      <c r="J16" s="145">
        <v>0.3</v>
      </c>
      <c r="K16" s="145">
        <v>0.3</v>
      </c>
      <c r="L16" s="145">
        <v>0.25</v>
      </c>
      <c r="M16" s="145">
        <v>0.25</v>
      </c>
      <c r="N16" s="145">
        <v>0.25</v>
      </c>
      <c r="O16" s="145">
        <v>0.56599999999999995</v>
      </c>
      <c r="P16" s="145">
        <v>0.56599999999999995</v>
      </c>
      <c r="Q16" s="3">
        <v>1.25</v>
      </c>
      <c r="R16" s="3">
        <v>1.25</v>
      </c>
      <c r="S16" s="48"/>
      <c r="T16" s="48"/>
      <c r="U16" s="48"/>
      <c r="V16" s="48"/>
      <c r="W16" s="48"/>
      <c r="X16" s="48"/>
      <c r="Y16" s="48"/>
      <c r="Z16" s="48"/>
    </row>
    <row r="17" spans="2:26" ht="12.75" customHeight="1">
      <c r="B17" s="47" t="s">
        <v>26</v>
      </c>
      <c r="C17" s="146">
        <v>0.03</v>
      </c>
      <c r="D17" s="146">
        <v>0.04</v>
      </c>
      <c r="E17" s="146">
        <v>0.04</v>
      </c>
      <c r="F17" s="146">
        <v>0.05</v>
      </c>
      <c r="G17" s="146">
        <v>0.05</v>
      </c>
      <c r="H17" s="146">
        <v>0.05</v>
      </c>
      <c r="I17" s="146">
        <v>0.05</v>
      </c>
      <c r="J17" s="146">
        <v>0.03</v>
      </c>
      <c r="K17" s="145">
        <v>0.03</v>
      </c>
      <c r="L17" s="145">
        <v>0.03</v>
      </c>
      <c r="M17" s="145">
        <v>0.03</v>
      </c>
      <c r="N17" s="145">
        <v>0.03</v>
      </c>
      <c r="O17" s="145">
        <v>0.03</v>
      </c>
      <c r="P17" s="145">
        <v>0.03</v>
      </c>
      <c r="Q17" s="3">
        <v>0.1</v>
      </c>
      <c r="R17" s="3">
        <v>0.05</v>
      </c>
      <c r="S17" s="48"/>
      <c r="T17" s="48"/>
      <c r="U17" s="48"/>
      <c r="V17" s="48"/>
      <c r="W17" s="48"/>
      <c r="X17" s="48"/>
      <c r="Y17" s="48"/>
      <c r="Z17" s="48"/>
    </row>
    <row r="18" spans="2:26" ht="12.75" customHeight="1">
      <c r="B18" s="47" t="s">
        <v>125</v>
      </c>
      <c r="C18" s="146">
        <v>0.03</v>
      </c>
      <c r="D18" s="146">
        <v>0.04</v>
      </c>
      <c r="E18" s="146">
        <v>0.04</v>
      </c>
      <c r="F18" s="146">
        <v>0.05</v>
      </c>
      <c r="G18" s="146">
        <v>0.05</v>
      </c>
      <c r="H18" s="146">
        <v>0.05</v>
      </c>
      <c r="I18" s="146">
        <v>0.05</v>
      </c>
      <c r="J18" s="146">
        <v>0.03</v>
      </c>
      <c r="K18" s="145">
        <v>0.03</v>
      </c>
      <c r="L18" s="145">
        <v>0.03</v>
      </c>
      <c r="M18" s="145">
        <v>0.03</v>
      </c>
      <c r="N18" s="145">
        <v>0.03</v>
      </c>
      <c r="O18" s="145">
        <v>0.03</v>
      </c>
      <c r="P18" s="145">
        <v>0.03</v>
      </c>
      <c r="Q18" s="3">
        <v>0.1</v>
      </c>
      <c r="R18" s="3">
        <v>0.05</v>
      </c>
      <c r="S18" s="48"/>
      <c r="T18" s="48"/>
      <c r="U18" s="48"/>
      <c r="V18" s="48"/>
      <c r="W18" s="48"/>
      <c r="X18" s="48"/>
      <c r="Y18" s="48"/>
      <c r="Z18" s="48"/>
    </row>
    <row r="19" spans="2:26" ht="12.75" customHeight="1">
      <c r="B19" s="47" t="s">
        <v>73</v>
      </c>
      <c r="C19" s="145" t="s">
        <v>136</v>
      </c>
      <c r="D19" s="145" t="s">
        <v>136</v>
      </c>
      <c r="E19" s="145" t="s">
        <v>136</v>
      </c>
      <c r="F19" s="145" t="s">
        <v>153</v>
      </c>
      <c r="G19" s="145" t="s">
        <v>136</v>
      </c>
      <c r="H19" s="145" t="s">
        <v>136</v>
      </c>
      <c r="I19" s="145" t="s">
        <v>136</v>
      </c>
      <c r="J19" s="145" t="s">
        <v>136</v>
      </c>
      <c r="K19" s="145" t="s">
        <v>136</v>
      </c>
      <c r="L19" s="145" t="s">
        <v>136</v>
      </c>
      <c r="M19" s="145" t="s">
        <v>136</v>
      </c>
      <c r="N19" s="145" t="s">
        <v>136</v>
      </c>
      <c r="O19" s="145" t="s">
        <v>136</v>
      </c>
      <c r="P19" s="145" t="s">
        <v>136</v>
      </c>
      <c r="Q19" s="3" t="s">
        <v>136</v>
      </c>
      <c r="R19" s="3" t="s">
        <v>136</v>
      </c>
      <c r="S19" s="3"/>
      <c r="T19" s="3"/>
      <c r="U19" s="3"/>
      <c r="V19" s="3"/>
      <c r="W19" s="3"/>
      <c r="X19" s="3"/>
      <c r="Y19" s="3"/>
      <c r="Z19" s="3"/>
    </row>
    <row r="20" spans="2:26" ht="12.75" customHeight="1">
      <c r="B20" s="47" t="s">
        <v>74</v>
      </c>
      <c r="C20" s="3"/>
      <c r="D20" s="3"/>
      <c r="E20" s="3"/>
      <c r="F20" s="3"/>
      <c r="G20" s="3"/>
      <c r="H20" s="3"/>
      <c r="I20" s="3"/>
      <c r="J20" s="3"/>
      <c r="K20" s="3"/>
      <c r="L20" s="3"/>
      <c r="M20" s="3"/>
      <c r="N20" s="3"/>
      <c r="O20" s="3"/>
      <c r="P20" s="3"/>
      <c r="Q20" s="3"/>
      <c r="R20" s="3"/>
      <c r="S20" s="3"/>
      <c r="T20" s="3"/>
      <c r="U20" s="3"/>
      <c r="V20" s="3"/>
      <c r="W20" s="3"/>
      <c r="X20" s="3"/>
      <c r="Y20" s="3"/>
      <c r="Z20" s="3"/>
    </row>
    <row r="21" spans="2:26" ht="12.75" customHeight="1">
      <c r="B21" s="47" t="s">
        <v>126</v>
      </c>
      <c r="C21" s="10">
        <f t="shared" ref="C21:Z21" si="16">C16+ABS(C17)</f>
        <v>1.33</v>
      </c>
      <c r="D21" s="10">
        <f t="shared" si="16"/>
        <v>1.04</v>
      </c>
      <c r="E21" s="10">
        <f t="shared" si="16"/>
        <v>2.44</v>
      </c>
      <c r="F21" s="10">
        <f t="shared" si="16"/>
        <v>3.3499999999999996</v>
      </c>
      <c r="G21" s="10">
        <f t="shared" si="16"/>
        <v>0.91</v>
      </c>
      <c r="H21" s="10">
        <f t="shared" si="16"/>
        <v>0.91</v>
      </c>
      <c r="I21" s="10">
        <f t="shared" si="16"/>
        <v>2.9499999999999997</v>
      </c>
      <c r="J21" s="10">
        <f t="shared" si="16"/>
        <v>0.32999999999999996</v>
      </c>
      <c r="K21" s="10">
        <f t="shared" si="16"/>
        <v>0.32999999999999996</v>
      </c>
      <c r="L21" s="10">
        <f t="shared" si="16"/>
        <v>0.28000000000000003</v>
      </c>
      <c r="M21" s="10">
        <f t="shared" si="16"/>
        <v>0.28000000000000003</v>
      </c>
      <c r="N21" s="10">
        <f t="shared" si="16"/>
        <v>0.28000000000000003</v>
      </c>
      <c r="O21" s="10">
        <f t="shared" si="16"/>
        <v>0.59599999999999997</v>
      </c>
      <c r="P21" s="10">
        <f t="shared" si="16"/>
        <v>0.59599999999999997</v>
      </c>
      <c r="Q21" s="10">
        <f t="shared" si="16"/>
        <v>1.35</v>
      </c>
      <c r="R21" s="10">
        <f t="shared" si="16"/>
        <v>1.3</v>
      </c>
      <c r="S21" s="10">
        <f t="shared" si="16"/>
        <v>0</v>
      </c>
      <c r="T21" s="10">
        <f t="shared" si="16"/>
        <v>0</v>
      </c>
      <c r="U21" s="10">
        <f t="shared" si="16"/>
        <v>0</v>
      </c>
      <c r="V21" s="10">
        <f t="shared" si="16"/>
        <v>0</v>
      </c>
      <c r="W21" s="10">
        <f t="shared" si="16"/>
        <v>0</v>
      </c>
      <c r="X21" s="10">
        <f t="shared" si="16"/>
        <v>0</v>
      </c>
      <c r="Y21" s="10">
        <f t="shared" si="16"/>
        <v>0</v>
      </c>
      <c r="Z21" s="10">
        <f t="shared" si="16"/>
        <v>0</v>
      </c>
    </row>
    <row r="22" spans="2:26" ht="12.75" customHeight="1">
      <c r="B22" s="47" t="s">
        <v>127</v>
      </c>
      <c r="C22" s="10">
        <f t="shared" ref="C22:Z22" si="17">C16-ABS(C18)</f>
        <v>1.27</v>
      </c>
      <c r="D22" s="10">
        <f t="shared" si="17"/>
        <v>0.96</v>
      </c>
      <c r="E22" s="10">
        <f t="shared" si="17"/>
        <v>2.36</v>
      </c>
      <c r="F22" s="10">
        <f t="shared" si="17"/>
        <v>3.25</v>
      </c>
      <c r="G22" s="10">
        <f t="shared" si="17"/>
        <v>0.80999999999999994</v>
      </c>
      <c r="H22" s="10">
        <f t="shared" si="17"/>
        <v>0.80999999999999994</v>
      </c>
      <c r="I22" s="10">
        <f t="shared" si="17"/>
        <v>2.85</v>
      </c>
      <c r="J22" s="10">
        <f t="shared" si="17"/>
        <v>0.27</v>
      </c>
      <c r="K22" s="10">
        <f t="shared" si="17"/>
        <v>0.27</v>
      </c>
      <c r="L22" s="10">
        <f t="shared" si="17"/>
        <v>0.22</v>
      </c>
      <c r="M22" s="10">
        <f t="shared" si="17"/>
        <v>0.22</v>
      </c>
      <c r="N22" s="10">
        <f t="shared" si="17"/>
        <v>0.22</v>
      </c>
      <c r="O22" s="10">
        <f t="shared" si="17"/>
        <v>0.53599999999999992</v>
      </c>
      <c r="P22" s="10">
        <f t="shared" si="17"/>
        <v>0.53599999999999992</v>
      </c>
      <c r="Q22" s="10">
        <f t="shared" si="17"/>
        <v>1.1499999999999999</v>
      </c>
      <c r="R22" s="10">
        <f t="shared" si="17"/>
        <v>1.2</v>
      </c>
      <c r="S22" s="10">
        <f t="shared" si="17"/>
        <v>0</v>
      </c>
      <c r="T22" s="10">
        <f t="shared" si="17"/>
        <v>0</v>
      </c>
      <c r="U22" s="10">
        <f t="shared" si="17"/>
        <v>0</v>
      </c>
      <c r="V22" s="10">
        <f t="shared" si="17"/>
        <v>0</v>
      </c>
      <c r="W22" s="10">
        <f t="shared" si="17"/>
        <v>0</v>
      </c>
      <c r="X22" s="10">
        <f t="shared" si="17"/>
        <v>0</v>
      </c>
      <c r="Y22" s="10">
        <f t="shared" si="17"/>
        <v>0</v>
      </c>
      <c r="Z22" s="10">
        <f t="shared" si="17"/>
        <v>0</v>
      </c>
    </row>
    <row r="23" spans="2:26" ht="12.75" customHeight="1">
      <c r="B23" s="45" t="s">
        <v>24</v>
      </c>
      <c r="C23" s="11">
        <f t="shared" ref="C23:Z23" si="18">STDEV(C35:C65536)</f>
        <v>2.9010825982614678E-3</v>
      </c>
      <c r="D23" s="11">
        <f t="shared" si="18"/>
        <v>3.5217397986900497E-3</v>
      </c>
      <c r="E23" s="11">
        <f t="shared" si="18"/>
        <v>4.4312842655301801E-3</v>
      </c>
      <c r="F23" s="11">
        <f t="shared" si="18"/>
        <v>3.4511276791890288E-3</v>
      </c>
      <c r="G23" s="11">
        <f t="shared" si="18"/>
        <v>8.497660375352668E-3</v>
      </c>
      <c r="H23" s="11">
        <f t="shared" si="18"/>
        <v>7.2942745720364945E-3</v>
      </c>
      <c r="I23" s="11">
        <f t="shared" si="18"/>
        <v>3.1418850284913305E-3</v>
      </c>
      <c r="J23" s="11">
        <f t="shared" si="18"/>
        <v>4.0901127340721788E-3</v>
      </c>
      <c r="K23" s="11">
        <f t="shared" si="18"/>
        <v>3.3058217830503698E-3</v>
      </c>
      <c r="L23" s="11">
        <f t="shared" si="18"/>
        <v>4.494529605083019E-3</v>
      </c>
      <c r="M23" s="11">
        <f t="shared" si="18"/>
        <v>7.3354090415226041E-3</v>
      </c>
      <c r="N23" s="11">
        <f t="shared" si="18"/>
        <v>6.1846380640964696E-3</v>
      </c>
      <c r="O23" s="11">
        <f t="shared" si="18"/>
        <v>6.5900271366125642E-3</v>
      </c>
      <c r="P23" s="11">
        <f t="shared" si="18"/>
        <v>5.6793831659046378E-3</v>
      </c>
      <c r="Q23" s="11">
        <f t="shared" si="18"/>
        <v>3.0939180061909087E-3</v>
      </c>
      <c r="R23" s="11">
        <f t="shared" si="18"/>
        <v>9.4434458411555705E-3</v>
      </c>
      <c r="S23" s="11" t="e">
        <f t="shared" si="18"/>
        <v>#DIV/0!</v>
      </c>
      <c r="T23" s="11" t="e">
        <f t="shared" si="18"/>
        <v>#DIV/0!</v>
      </c>
      <c r="U23" s="11" t="e">
        <f t="shared" si="18"/>
        <v>#DIV/0!</v>
      </c>
      <c r="V23" s="11" t="e">
        <f t="shared" si="18"/>
        <v>#DIV/0!</v>
      </c>
      <c r="W23" s="11" t="e">
        <f t="shared" si="18"/>
        <v>#DIV/0!</v>
      </c>
      <c r="X23" s="11" t="e">
        <f t="shared" si="18"/>
        <v>#DIV/0!</v>
      </c>
      <c r="Y23" s="11" t="e">
        <f t="shared" si="18"/>
        <v>#DIV/0!</v>
      </c>
      <c r="Z23" s="11" t="e">
        <f t="shared" si="18"/>
        <v>#DIV/0!</v>
      </c>
    </row>
    <row r="24" spans="2:26" ht="12.75" customHeight="1">
      <c r="B24" s="46" t="s">
        <v>131</v>
      </c>
      <c r="C24" s="12">
        <f t="shared" ref="C24:Z24" si="19">AVERAGE(C35:C65536)</f>
        <v>1.283471875</v>
      </c>
      <c r="D24" s="12">
        <f t="shared" si="19"/>
        <v>0.96861562500000009</v>
      </c>
      <c r="E24" s="12">
        <f t="shared" si="19"/>
        <v>2.3694718749999995</v>
      </c>
      <c r="F24" s="12">
        <f t="shared" si="19"/>
        <v>3.3016562500000006</v>
      </c>
      <c r="G24" s="12">
        <f t="shared" si="19"/>
        <v>0.84045937500000001</v>
      </c>
      <c r="H24" s="12">
        <f t="shared" si="19"/>
        <v>0.83894687500000009</v>
      </c>
      <c r="I24" s="12">
        <f t="shared" si="19"/>
        <v>2.867521875</v>
      </c>
      <c r="J24" s="12">
        <f t="shared" si="19"/>
        <v>0.31994687500000002</v>
      </c>
      <c r="K24" s="12">
        <f t="shared" si="19"/>
        <v>0.32178437500000001</v>
      </c>
      <c r="L24" s="12">
        <f t="shared" si="19"/>
        <v>0.22977187500000007</v>
      </c>
      <c r="M24" s="12">
        <f t="shared" si="19"/>
        <v>0.23713749999999997</v>
      </c>
      <c r="N24" s="12">
        <f t="shared" si="19"/>
        <v>0.23261562500000008</v>
      </c>
      <c r="O24" s="12">
        <f t="shared" si="19"/>
        <v>0.55351562499999996</v>
      </c>
      <c r="P24" s="12">
        <f t="shared" si="19"/>
        <v>0.55735937500000021</v>
      </c>
      <c r="Q24" s="12">
        <f t="shared" si="19"/>
        <v>1.2308843750000003</v>
      </c>
      <c r="R24" s="12">
        <f t="shared" si="19"/>
        <v>1.2214937499999998</v>
      </c>
      <c r="S24" s="12" t="e">
        <f t="shared" si="19"/>
        <v>#DIV/0!</v>
      </c>
      <c r="T24" s="12" t="e">
        <f t="shared" si="19"/>
        <v>#DIV/0!</v>
      </c>
      <c r="U24" s="12" t="e">
        <f t="shared" si="19"/>
        <v>#DIV/0!</v>
      </c>
      <c r="V24" s="12" t="e">
        <f t="shared" si="19"/>
        <v>#DIV/0!</v>
      </c>
      <c r="W24" s="12" t="e">
        <f t="shared" si="19"/>
        <v>#DIV/0!</v>
      </c>
      <c r="X24" s="12" t="e">
        <f t="shared" si="19"/>
        <v>#DIV/0!</v>
      </c>
      <c r="Y24" s="12" t="e">
        <f t="shared" si="19"/>
        <v>#DIV/0!</v>
      </c>
      <c r="Z24" s="12" t="e">
        <f t="shared" si="19"/>
        <v>#DIV/0!</v>
      </c>
    </row>
    <row r="25" spans="2:26" ht="12.75" customHeight="1">
      <c r="B25" s="45" t="s">
        <v>128</v>
      </c>
      <c r="C25" s="112">
        <f t="shared" ref="C25:Z25" si="20">MAX(C35:C65536)</f>
        <v>1.2889999999999999</v>
      </c>
      <c r="D25" s="112">
        <f t="shared" si="20"/>
        <v>0.97499999999999998</v>
      </c>
      <c r="E25" s="112">
        <f t="shared" si="20"/>
        <v>2.3786</v>
      </c>
      <c r="F25" s="112">
        <f t="shared" si="20"/>
        <v>3.3069999999999999</v>
      </c>
      <c r="G25" s="112">
        <f t="shared" si="20"/>
        <v>0.85529999999999995</v>
      </c>
      <c r="H25" s="112">
        <f t="shared" si="20"/>
        <v>0.85</v>
      </c>
      <c r="I25" s="112">
        <f t="shared" si="20"/>
        <v>2.8734999999999999</v>
      </c>
      <c r="J25" s="112">
        <f t="shared" si="20"/>
        <v>0.3261</v>
      </c>
      <c r="K25" s="112">
        <f t="shared" si="20"/>
        <v>0.3271</v>
      </c>
      <c r="L25" s="112">
        <f t="shared" si="20"/>
        <v>0.2374</v>
      </c>
      <c r="M25" s="112">
        <f t="shared" si="20"/>
        <v>0.249</v>
      </c>
      <c r="N25" s="112">
        <f t="shared" si="20"/>
        <v>0.24410000000000001</v>
      </c>
      <c r="O25" s="112">
        <f t="shared" si="20"/>
        <v>0.56669999999999998</v>
      </c>
      <c r="P25" s="112">
        <f t="shared" si="20"/>
        <v>0.56620000000000004</v>
      </c>
      <c r="Q25" s="112">
        <f t="shared" si="20"/>
        <v>1.2364999999999999</v>
      </c>
      <c r="R25" s="112">
        <f t="shared" si="20"/>
        <v>1.234</v>
      </c>
      <c r="S25" s="112">
        <f t="shared" si="20"/>
        <v>0</v>
      </c>
      <c r="T25" s="112">
        <f t="shared" si="20"/>
        <v>0</v>
      </c>
      <c r="U25" s="112">
        <f t="shared" si="20"/>
        <v>0</v>
      </c>
      <c r="V25" s="112">
        <f t="shared" si="20"/>
        <v>0</v>
      </c>
      <c r="W25" s="112">
        <f t="shared" si="20"/>
        <v>0</v>
      </c>
      <c r="X25" s="112">
        <f t="shared" si="20"/>
        <v>0</v>
      </c>
      <c r="Y25" s="112">
        <f t="shared" si="20"/>
        <v>0</v>
      </c>
      <c r="Z25" s="112">
        <f t="shared" si="20"/>
        <v>0</v>
      </c>
    </row>
    <row r="26" spans="2:26" ht="12.75" customHeight="1">
      <c r="B26" s="45" t="s">
        <v>23</v>
      </c>
      <c r="C26" s="112">
        <f t="shared" ref="C26:Z26" si="21">MIN(C35:C65536)</f>
        <v>1.2783</v>
      </c>
      <c r="D26" s="112">
        <f t="shared" si="21"/>
        <v>0.96399999999999997</v>
      </c>
      <c r="E26" s="112">
        <f t="shared" si="21"/>
        <v>2.3620999999999999</v>
      </c>
      <c r="F26" s="112">
        <f t="shared" si="21"/>
        <v>3.2959999999999998</v>
      </c>
      <c r="G26" s="112">
        <f t="shared" si="21"/>
        <v>0.82599999999999996</v>
      </c>
      <c r="H26" s="112">
        <f t="shared" si="21"/>
        <v>0.82650000000000001</v>
      </c>
      <c r="I26" s="112">
        <f t="shared" si="21"/>
        <v>2.863</v>
      </c>
      <c r="J26" s="112">
        <f t="shared" si="21"/>
        <v>0.314</v>
      </c>
      <c r="K26" s="112">
        <f t="shared" si="21"/>
        <v>0.31690000000000002</v>
      </c>
      <c r="L26" s="112">
        <f t="shared" si="21"/>
        <v>0.2225</v>
      </c>
      <c r="M26" s="112">
        <f t="shared" si="21"/>
        <v>0.2238</v>
      </c>
      <c r="N26" s="112">
        <f t="shared" si="21"/>
        <v>0.22339999999999999</v>
      </c>
      <c r="O26" s="112">
        <f t="shared" si="21"/>
        <v>0.54390000000000005</v>
      </c>
      <c r="P26" s="112">
        <f t="shared" si="21"/>
        <v>0.54890000000000005</v>
      </c>
      <c r="Q26" s="112">
        <f t="shared" si="21"/>
        <v>1.2255</v>
      </c>
      <c r="R26" s="112">
        <f t="shared" si="21"/>
        <v>1.2069000000000001</v>
      </c>
      <c r="S26" s="112">
        <f t="shared" si="21"/>
        <v>0</v>
      </c>
      <c r="T26" s="112">
        <f t="shared" si="21"/>
        <v>0</v>
      </c>
      <c r="U26" s="112">
        <f t="shared" si="21"/>
        <v>0</v>
      </c>
      <c r="V26" s="112">
        <f t="shared" si="21"/>
        <v>0</v>
      </c>
      <c r="W26" s="112">
        <f t="shared" si="21"/>
        <v>0</v>
      </c>
      <c r="X26" s="112">
        <f t="shared" si="21"/>
        <v>0</v>
      </c>
      <c r="Y26" s="112">
        <f t="shared" si="21"/>
        <v>0</v>
      </c>
      <c r="Z26" s="112">
        <f t="shared" si="21"/>
        <v>0</v>
      </c>
    </row>
    <row r="27" spans="2:26" ht="12.75" customHeight="1">
      <c r="B27" s="45" t="s">
        <v>61</v>
      </c>
      <c r="C27" s="13">
        <f t="shared" ref="C27:Z27" si="22">((C21)-(C22))/(6*C23)</f>
        <v>3.4469890674580275</v>
      </c>
      <c r="D27" s="13">
        <f t="shared" si="22"/>
        <v>3.7860075120520902</v>
      </c>
      <c r="E27" s="13">
        <f t="shared" si="22"/>
        <v>3.0089095021616901</v>
      </c>
      <c r="F27" s="13">
        <f t="shared" si="22"/>
        <v>4.8293393394773112</v>
      </c>
      <c r="G27" s="13">
        <f t="shared" si="22"/>
        <v>1.9613241681213915</v>
      </c>
      <c r="H27" s="13">
        <f t="shared" si="22"/>
        <v>2.2848970794930605</v>
      </c>
      <c r="I27" s="13">
        <f t="shared" si="22"/>
        <v>5.3046710861567092</v>
      </c>
      <c r="J27" s="13">
        <f t="shared" si="22"/>
        <v>2.4449203848823591</v>
      </c>
      <c r="K27" s="13">
        <f t="shared" si="22"/>
        <v>3.0249664550194608</v>
      </c>
      <c r="L27" s="13">
        <f t="shared" si="22"/>
        <v>2.224926939782677</v>
      </c>
      <c r="M27" s="13">
        <f t="shared" si="22"/>
        <v>1.3632504940616528</v>
      </c>
      <c r="N27" s="13">
        <f t="shared" si="22"/>
        <v>1.6169094935486628</v>
      </c>
      <c r="O27" s="13">
        <f t="shared" si="22"/>
        <v>1.5174444342486053</v>
      </c>
      <c r="P27" s="13">
        <f t="shared" si="22"/>
        <v>1.7607545939202649</v>
      </c>
      <c r="Q27" s="13">
        <f t="shared" si="22"/>
        <v>10.773825701467715</v>
      </c>
      <c r="R27" s="13">
        <f t="shared" si="22"/>
        <v>1.764892492317955</v>
      </c>
      <c r="S27" s="13" t="e">
        <f t="shared" si="22"/>
        <v>#DIV/0!</v>
      </c>
      <c r="T27" s="13" t="e">
        <f t="shared" si="22"/>
        <v>#DIV/0!</v>
      </c>
      <c r="U27" s="13" t="e">
        <f t="shared" si="22"/>
        <v>#DIV/0!</v>
      </c>
      <c r="V27" s="13" t="e">
        <f t="shared" si="22"/>
        <v>#DIV/0!</v>
      </c>
      <c r="W27" s="13" t="e">
        <f t="shared" si="22"/>
        <v>#DIV/0!</v>
      </c>
      <c r="X27" s="13" t="e">
        <f t="shared" si="22"/>
        <v>#DIV/0!</v>
      </c>
      <c r="Y27" s="13" t="e">
        <f t="shared" si="22"/>
        <v>#DIV/0!</v>
      </c>
      <c r="Z27" s="13" t="e">
        <f t="shared" si="22"/>
        <v>#DIV/0!</v>
      </c>
    </row>
    <row r="28" spans="2:26" ht="12.75" customHeight="1">
      <c r="B28" s="45" t="s">
        <v>75</v>
      </c>
      <c r="C28" s="13">
        <f t="shared" ref="C28:Z28" si="23">(C24-C22)/(3*C23)</f>
        <v>1.5479135281053715</v>
      </c>
      <c r="D28" s="13">
        <f t="shared" si="23"/>
        <v>0.81547052427560607</v>
      </c>
      <c r="E28" s="13">
        <f t="shared" si="23"/>
        <v>0.71250036726966137</v>
      </c>
      <c r="F28" s="13">
        <f t="shared" si="23"/>
        <v>4.9893112050975752</v>
      </c>
      <c r="G28" s="13">
        <f t="shared" si="23"/>
        <v>1.1948141666674517</v>
      </c>
      <c r="H28" s="13">
        <f t="shared" si="23"/>
        <v>1.3228126029590195</v>
      </c>
      <c r="I28" s="13">
        <f t="shared" si="23"/>
        <v>1.8589556737550388</v>
      </c>
      <c r="J28" s="13">
        <f t="shared" si="23"/>
        <v>4.070537761622373</v>
      </c>
      <c r="K28" s="13">
        <f t="shared" si="23"/>
        <v>5.2215332423049512</v>
      </c>
      <c r="L28" s="13">
        <f t="shared" si="23"/>
        <v>0.72472359798963293</v>
      </c>
      <c r="M28" s="13">
        <f t="shared" si="23"/>
        <v>0.77875684473271756</v>
      </c>
      <c r="N28" s="13">
        <f t="shared" si="23"/>
        <v>0.67994412765166534</v>
      </c>
      <c r="O28" s="13">
        <f t="shared" si="23"/>
        <v>0.8859662556211918</v>
      </c>
      <c r="P28" s="13">
        <f t="shared" si="23"/>
        <v>1.2536205884838711</v>
      </c>
      <c r="Q28" s="13">
        <f t="shared" si="23"/>
        <v>8.7143415822215555</v>
      </c>
      <c r="R28" s="13">
        <f t="shared" si="23"/>
        <v>0.75868316013517556</v>
      </c>
      <c r="S28" s="13" t="e">
        <f t="shared" si="23"/>
        <v>#DIV/0!</v>
      </c>
      <c r="T28" s="13" t="e">
        <f t="shared" si="23"/>
        <v>#DIV/0!</v>
      </c>
      <c r="U28" s="13" t="e">
        <f t="shared" si="23"/>
        <v>#DIV/0!</v>
      </c>
      <c r="V28" s="13" t="e">
        <f t="shared" si="23"/>
        <v>#DIV/0!</v>
      </c>
      <c r="W28" s="13" t="e">
        <f t="shared" si="23"/>
        <v>#DIV/0!</v>
      </c>
      <c r="X28" s="13" t="e">
        <f t="shared" si="23"/>
        <v>#DIV/0!</v>
      </c>
      <c r="Y28" s="13" t="e">
        <f t="shared" si="23"/>
        <v>#DIV/0!</v>
      </c>
      <c r="Z28" s="13" t="e">
        <f t="shared" si="23"/>
        <v>#DIV/0!</v>
      </c>
    </row>
    <row r="29" spans="2:26" ht="12.75" customHeight="1">
      <c r="B29" s="45" t="s">
        <v>76</v>
      </c>
      <c r="C29" s="13">
        <f t="shared" ref="C29:Z29" si="24">(C21-C24)/(3*C23)</f>
        <v>5.3460646068106836</v>
      </c>
      <c r="D29" s="13">
        <f t="shared" si="24"/>
        <v>6.7565444998285749</v>
      </c>
      <c r="E29" s="13">
        <f t="shared" si="24"/>
        <v>5.3053186370537189</v>
      </c>
      <c r="F29" s="13">
        <f t="shared" si="24"/>
        <v>4.6693674738570463</v>
      </c>
      <c r="G29" s="13">
        <f t="shared" si="24"/>
        <v>2.7278341695753312</v>
      </c>
      <c r="H29" s="13">
        <f t="shared" si="24"/>
        <v>3.246981556027102</v>
      </c>
      <c r="I29" s="13">
        <f t="shared" si="24"/>
        <v>8.7503864985583792</v>
      </c>
      <c r="J29" s="13">
        <f t="shared" si="24"/>
        <v>0.8193030081423448</v>
      </c>
      <c r="K29" s="13">
        <f t="shared" si="24"/>
        <v>0.82839966773397089</v>
      </c>
      <c r="L29" s="13">
        <f t="shared" si="24"/>
        <v>3.7251302815757206</v>
      </c>
      <c r="M29" s="13">
        <f t="shared" si="24"/>
        <v>1.947744143390588</v>
      </c>
      <c r="N29" s="13">
        <f t="shared" si="24"/>
        <v>2.55387485944566</v>
      </c>
      <c r="O29" s="13">
        <f t="shared" si="24"/>
        <v>2.1489226128760186</v>
      </c>
      <c r="P29" s="13">
        <f t="shared" si="24"/>
        <v>2.2678885993566582</v>
      </c>
      <c r="Q29" s="13">
        <f t="shared" si="24"/>
        <v>12.833309820713874</v>
      </c>
      <c r="R29" s="13">
        <f t="shared" si="24"/>
        <v>2.7711018245007346</v>
      </c>
      <c r="S29" s="13" t="e">
        <f t="shared" si="24"/>
        <v>#DIV/0!</v>
      </c>
      <c r="T29" s="13" t="e">
        <f t="shared" si="24"/>
        <v>#DIV/0!</v>
      </c>
      <c r="U29" s="13" t="e">
        <f t="shared" si="24"/>
        <v>#DIV/0!</v>
      </c>
      <c r="V29" s="13" t="e">
        <f t="shared" si="24"/>
        <v>#DIV/0!</v>
      </c>
      <c r="W29" s="13" t="e">
        <f t="shared" si="24"/>
        <v>#DIV/0!</v>
      </c>
      <c r="X29" s="13" t="e">
        <f t="shared" si="24"/>
        <v>#DIV/0!</v>
      </c>
      <c r="Y29" s="13" t="e">
        <f t="shared" si="24"/>
        <v>#DIV/0!</v>
      </c>
      <c r="Z29" s="13" t="e">
        <f t="shared" si="24"/>
        <v>#DIV/0!</v>
      </c>
    </row>
    <row r="30" spans="2:26" ht="12.75" customHeight="1">
      <c r="B30" s="45" t="s">
        <v>62</v>
      </c>
      <c r="C30" s="13">
        <f t="shared" ref="C30:Z30" si="25">MIN((C21-C24)/(3*C23),(C24-C22)/(3*C23))</f>
        <v>1.5479135281053715</v>
      </c>
      <c r="D30" s="13">
        <f t="shared" si="25"/>
        <v>0.81547052427560607</v>
      </c>
      <c r="E30" s="13">
        <f t="shared" si="25"/>
        <v>0.71250036726966137</v>
      </c>
      <c r="F30" s="13">
        <f t="shared" si="25"/>
        <v>4.6693674738570463</v>
      </c>
      <c r="G30" s="13">
        <f t="shared" si="25"/>
        <v>1.1948141666674517</v>
      </c>
      <c r="H30" s="13">
        <f t="shared" si="25"/>
        <v>1.3228126029590195</v>
      </c>
      <c r="I30" s="13">
        <f t="shared" si="25"/>
        <v>1.8589556737550388</v>
      </c>
      <c r="J30" s="13">
        <f t="shared" si="25"/>
        <v>0.8193030081423448</v>
      </c>
      <c r="K30" s="13">
        <f t="shared" si="25"/>
        <v>0.82839966773397089</v>
      </c>
      <c r="L30" s="13">
        <f t="shared" si="25"/>
        <v>0.72472359798963293</v>
      </c>
      <c r="M30" s="13">
        <f t="shared" si="25"/>
        <v>0.77875684473271756</v>
      </c>
      <c r="N30" s="13">
        <f t="shared" si="25"/>
        <v>0.67994412765166534</v>
      </c>
      <c r="O30" s="13">
        <f t="shared" si="25"/>
        <v>0.8859662556211918</v>
      </c>
      <c r="P30" s="13">
        <f t="shared" si="25"/>
        <v>1.2536205884838711</v>
      </c>
      <c r="Q30" s="13">
        <f t="shared" si="25"/>
        <v>8.7143415822215555</v>
      </c>
      <c r="R30" s="13">
        <f t="shared" si="25"/>
        <v>0.75868316013517556</v>
      </c>
      <c r="S30" s="13" t="e">
        <f t="shared" si="25"/>
        <v>#DIV/0!</v>
      </c>
      <c r="T30" s="13" t="e">
        <f t="shared" si="25"/>
        <v>#DIV/0!</v>
      </c>
      <c r="U30" s="13" t="e">
        <f t="shared" si="25"/>
        <v>#DIV/0!</v>
      </c>
      <c r="V30" s="13" t="e">
        <f t="shared" si="25"/>
        <v>#DIV/0!</v>
      </c>
      <c r="W30" s="13" t="e">
        <f t="shared" si="25"/>
        <v>#DIV/0!</v>
      </c>
      <c r="X30" s="13" t="e">
        <f t="shared" si="25"/>
        <v>#DIV/0!</v>
      </c>
      <c r="Y30" s="13" t="e">
        <f t="shared" si="25"/>
        <v>#DIV/0!</v>
      </c>
      <c r="Z30" s="13" t="e">
        <f t="shared" si="25"/>
        <v>#DIV/0!</v>
      </c>
    </row>
    <row r="31" spans="2:26" ht="12.75" customHeight="1" collapsed="1">
      <c r="B31" s="8"/>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2:26" ht="12.75" customHeight="1">
      <c r="B32" s="105" t="s">
        <v>79</v>
      </c>
      <c r="C32" s="129">
        <f>IF(C14="DoubleSides",NORMSDIST((C21-C24)/C23)-NORMSDIST((C22-C24)/C23),IF(C14="SingleSide-USL",NORMSDIST((C21-C24)/C23),IF(C14="SingleSide-LSL",1-NORMSDIST((C22-C24)/C23),IF(C14="Actual Yield (n&gt;=100)",IF(COUNT(C35:C65536)&gt;=100,(COUNTIF(C35:C65536,"&lt;="&amp;C21)-COUNTIF(C35:C65536,"&lt;"&amp;C22))/COUNT(C35:C65536),"Too Few Records"),IF(C14="Go/NoGo Gauge (n&gt;=100)",IF(COUNTA(C35:C65536)&gt;=100, COUNTIF(C35:C65536,"OK")/COUNTA(C35:C65536),"Too Few Records"),"Error")))))</f>
        <v>0.99999828921431622</v>
      </c>
      <c r="D32" s="129">
        <f t="shared" ref="D32:Z32" si="26">IF(D14="DoubleSides",NORMSDIST((D21-D24)/D23)-NORMSDIST((D22-D24)/D23),IF(D14="SingleSide-USL",NORMSDIST((D21-D24)/D23),IF(D14="SingleSide-LSL",1-NORMSDIST((D22-D24)/D23),IF(D14="Actual Yield (n&gt;=100)",IF(COUNT(D35:D65536)&gt;=100,(COUNTIF(D35:D65536,"&lt;="&amp;D21)-COUNTIF(D35:D65536,"&lt;"&amp;D22))/COUNT(D35:D65536),"Too Few Records"),IF(D14="Go/NoGo Gauge (n&gt;=100)",IF(COUNTA(D35:D65536)&gt;=100, COUNTIF(D35:D65536,"OK")/COUNTA(D35:D65536),"Too Few Records"),"Error")))))</f>
        <v>0.99278569068168476</v>
      </c>
      <c r="E32" s="129">
        <f t="shared" si="26"/>
        <v>0.98372137190065467</v>
      </c>
      <c r="F32" s="129">
        <f t="shared" si="26"/>
        <v>1</v>
      </c>
      <c r="G32" s="129">
        <f t="shared" si="26"/>
        <v>0.99983110051481949</v>
      </c>
      <c r="H32" s="129">
        <f t="shared" si="26"/>
        <v>0.99996382733414113</v>
      </c>
      <c r="I32" s="129">
        <f t="shared" si="26"/>
        <v>0.99999998775555377</v>
      </c>
      <c r="J32" s="129">
        <f t="shared" si="26"/>
        <v>0.99301257146664645</v>
      </c>
      <c r="K32" s="129">
        <f t="shared" si="26"/>
        <v>0.99352604844406001</v>
      </c>
      <c r="L32" s="129">
        <f t="shared" si="26"/>
        <v>0.98515384455700672</v>
      </c>
      <c r="M32" s="129">
        <f t="shared" si="26"/>
        <v>0.99026142433502784</v>
      </c>
      <c r="N32" s="129">
        <f t="shared" si="26"/>
        <v>0.9793164883631098</v>
      </c>
      <c r="O32" s="129">
        <f t="shared" si="26"/>
        <v>0.99606852455245143</v>
      </c>
      <c r="P32" s="129">
        <f t="shared" si="26"/>
        <v>0.99991533549933176</v>
      </c>
      <c r="Q32" s="129">
        <f t="shared" si="26"/>
        <v>1</v>
      </c>
      <c r="R32" s="129">
        <f t="shared" si="26"/>
        <v>0.98857847586166114</v>
      </c>
      <c r="S32" s="129" t="str">
        <f t="shared" si="26"/>
        <v>Error</v>
      </c>
      <c r="T32" s="129" t="str">
        <f t="shared" si="26"/>
        <v>Error</v>
      </c>
      <c r="U32" s="129" t="str">
        <f t="shared" si="26"/>
        <v>Error</v>
      </c>
      <c r="V32" s="129" t="str">
        <f t="shared" si="26"/>
        <v>Error</v>
      </c>
      <c r="W32" s="129" t="str">
        <f t="shared" si="26"/>
        <v>Error</v>
      </c>
      <c r="X32" s="129" t="str">
        <f t="shared" si="26"/>
        <v>Error</v>
      </c>
      <c r="Y32" s="129" t="str">
        <f t="shared" si="26"/>
        <v>Error</v>
      </c>
      <c r="Z32" s="129" t="str">
        <f t="shared" si="26"/>
        <v>Error</v>
      </c>
    </row>
    <row r="33" spans="2:26" ht="12.75" customHeight="1">
      <c r="B33" s="105" t="s">
        <v>78</v>
      </c>
      <c r="C33" s="12">
        <f>C24-(C21+C22)/2</f>
        <v>-1.6528125000000005E-2</v>
      </c>
      <c r="D33" s="12">
        <f t="shared" ref="D33:Z33" si="27">D24-(D21+D22)/2</f>
        <v>-3.1384374999999909E-2</v>
      </c>
      <c r="E33" s="12">
        <f t="shared" si="27"/>
        <v>-3.0528125000000461E-2</v>
      </c>
      <c r="F33" s="12">
        <f t="shared" si="27"/>
        <v>1.6562500000008029E-3</v>
      </c>
      <c r="G33" s="12">
        <f t="shared" si="27"/>
        <v>-1.9540624999999978E-2</v>
      </c>
      <c r="H33" s="12">
        <f t="shared" si="27"/>
        <v>-2.1053124999999895E-2</v>
      </c>
      <c r="I33" s="12">
        <f t="shared" si="27"/>
        <v>-3.2478124999999913E-2</v>
      </c>
      <c r="J33" s="12">
        <f t="shared" si="27"/>
        <v>1.9946875000000031E-2</v>
      </c>
      <c r="K33" s="12">
        <f t="shared" si="27"/>
        <v>2.1784375000000022E-2</v>
      </c>
      <c r="L33" s="12">
        <f t="shared" si="27"/>
        <v>-2.022812499999993E-2</v>
      </c>
      <c r="M33" s="12">
        <f t="shared" si="27"/>
        <v>-1.2862500000000027E-2</v>
      </c>
      <c r="N33" s="12">
        <f t="shared" si="27"/>
        <v>-1.7384374999999924E-2</v>
      </c>
      <c r="O33" s="12">
        <f t="shared" si="27"/>
        <v>-1.2484374999999992E-2</v>
      </c>
      <c r="P33" s="12">
        <f t="shared" si="27"/>
        <v>-8.6406249999997353E-3</v>
      </c>
      <c r="Q33" s="12">
        <f t="shared" si="27"/>
        <v>-1.9115624999999747E-2</v>
      </c>
      <c r="R33" s="12">
        <f t="shared" si="27"/>
        <v>-2.8506250000000177E-2</v>
      </c>
      <c r="S33" s="12" t="e">
        <f t="shared" si="27"/>
        <v>#DIV/0!</v>
      </c>
      <c r="T33" s="12" t="e">
        <f t="shared" si="27"/>
        <v>#DIV/0!</v>
      </c>
      <c r="U33" s="12" t="e">
        <f t="shared" si="27"/>
        <v>#DIV/0!</v>
      </c>
      <c r="V33" s="12" t="e">
        <f t="shared" si="27"/>
        <v>#DIV/0!</v>
      </c>
      <c r="W33" s="12" t="e">
        <f t="shared" si="27"/>
        <v>#DIV/0!</v>
      </c>
      <c r="X33" s="12" t="e">
        <f t="shared" si="27"/>
        <v>#DIV/0!</v>
      </c>
      <c r="Y33" s="12" t="e">
        <f t="shared" si="27"/>
        <v>#DIV/0!</v>
      </c>
      <c r="Z33" s="12" t="e">
        <f t="shared" si="27"/>
        <v>#DIV/0!</v>
      </c>
    </row>
    <row r="34" spans="2:26" ht="12.75" customHeight="1">
      <c r="B34" s="9"/>
      <c r="C34" s="14"/>
      <c r="D34" s="14"/>
      <c r="E34" s="14"/>
      <c r="F34" s="14"/>
      <c r="G34" s="14"/>
      <c r="H34" s="14"/>
      <c r="I34" s="14"/>
      <c r="J34" s="14"/>
      <c r="K34" s="14"/>
      <c r="L34" s="14"/>
      <c r="M34" s="14"/>
      <c r="N34" s="14"/>
      <c r="O34" s="14"/>
      <c r="P34" s="14"/>
      <c r="Q34" s="14"/>
      <c r="R34" s="14"/>
      <c r="S34" s="14"/>
      <c r="T34" s="14"/>
      <c r="U34" s="15"/>
      <c r="V34" s="14"/>
      <c r="W34" s="14"/>
      <c r="X34" s="14"/>
      <c r="Y34" s="14"/>
      <c r="Z34" s="14"/>
    </row>
    <row r="35" spans="2:26" ht="12.75" customHeight="1">
      <c r="B35" s="113">
        <v>1</v>
      </c>
      <c r="C35" s="147">
        <v>1.2839</v>
      </c>
      <c r="D35" s="147">
        <v>0.96450000000000002</v>
      </c>
      <c r="E35" s="147">
        <v>2.3786</v>
      </c>
      <c r="F35" s="147">
        <v>3.3</v>
      </c>
      <c r="G35" s="147">
        <v>0.83699999999999997</v>
      </c>
      <c r="H35" s="147">
        <v>0.82650000000000001</v>
      </c>
      <c r="I35" s="147">
        <v>2.8671000000000002</v>
      </c>
      <c r="J35" s="147">
        <v>0.3261</v>
      </c>
      <c r="K35" s="147">
        <v>0.3271</v>
      </c>
      <c r="L35" s="147">
        <v>0.23630000000000001</v>
      </c>
      <c r="M35" s="147">
        <v>0.2238</v>
      </c>
      <c r="N35" s="147">
        <v>0.22339999999999999</v>
      </c>
      <c r="O35" s="147">
        <v>0.55469999999999997</v>
      </c>
      <c r="P35" s="147">
        <v>0.55320000000000003</v>
      </c>
      <c r="Q35" s="147">
        <v>1.228</v>
      </c>
      <c r="R35" s="147">
        <v>1.2211000000000001</v>
      </c>
      <c r="S35" s="114"/>
      <c r="T35" s="114"/>
      <c r="U35" s="114"/>
      <c r="V35" s="114"/>
      <c r="W35" s="114"/>
      <c r="X35" s="114"/>
      <c r="Y35" s="114"/>
      <c r="Z35" s="114"/>
    </row>
    <row r="36" spans="2:26" ht="12.75" customHeight="1">
      <c r="B36" s="113">
        <v>2</v>
      </c>
      <c r="C36" s="147">
        <v>1.2889999999999999</v>
      </c>
      <c r="D36" s="147">
        <v>0.96450000000000002</v>
      </c>
      <c r="E36" s="147">
        <v>2.3624000000000001</v>
      </c>
      <c r="F36" s="147">
        <v>3.3069999999999999</v>
      </c>
      <c r="G36" s="147">
        <v>0.85040000000000004</v>
      </c>
      <c r="H36" s="147">
        <v>0.84570000000000001</v>
      </c>
      <c r="I36" s="147">
        <v>2.8633999999999999</v>
      </c>
      <c r="J36" s="147">
        <v>0.314</v>
      </c>
      <c r="K36" s="147">
        <v>0.31780000000000003</v>
      </c>
      <c r="L36" s="147">
        <v>0.22919999999999999</v>
      </c>
      <c r="M36" s="147">
        <v>0.2366</v>
      </c>
      <c r="N36" s="147">
        <v>0.23480000000000001</v>
      </c>
      <c r="O36" s="147">
        <v>0.55149999999999999</v>
      </c>
      <c r="P36" s="147">
        <v>0.55710000000000004</v>
      </c>
      <c r="Q36" s="147">
        <v>1.2263999999999999</v>
      </c>
      <c r="R36" s="147">
        <v>1.2213000000000001</v>
      </c>
      <c r="S36" s="114"/>
      <c r="T36" s="114"/>
      <c r="U36" s="114"/>
      <c r="V36" s="114"/>
      <c r="W36" s="114"/>
      <c r="X36" s="114"/>
      <c r="Y36" s="114"/>
      <c r="Z36" s="114"/>
    </row>
    <row r="37" spans="2:26" ht="12.75" customHeight="1">
      <c r="B37" s="113">
        <v>3</v>
      </c>
      <c r="C37" s="147">
        <v>1.2816000000000001</v>
      </c>
      <c r="D37" s="147">
        <v>0.97260000000000002</v>
      </c>
      <c r="E37" s="147">
        <v>2.3730000000000002</v>
      </c>
      <c r="F37" s="147">
        <v>3.3050000000000002</v>
      </c>
      <c r="G37" s="147">
        <v>0.85529999999999995</v>
      </c>
      <c r="H37" s="147">
        <v>0.84350000000000003</v>
      </c>
      <c r="I37" s="147">
        <v>2.8734999999999999</v>
      </c>
      <c r="J37" s="147">
        <v>0.31769999999999998</v>
      </c>
      <c r="K37" s="147">
        <v>0.31690000000000002</v>
      </c>
      <c r="L37" s="147">
        <v>0.22370000000000001</v>
      </c>
      <c r="M37" s="147">
        <v>0.23499999999999999</v>
      </c>
      <c r="N37" s="147">
        <v>0.2397</v>
      </c>
      <c r="O37" s="147">
        <v>0.55389999999999995</v>
      </c>
      <c r="P37" s="147">
        <v>0.5595</v>
      </c>
      <c r="Q37" s="147">
        <v>1.23</v>
      </c>
      <c r="R37" s="147">
        <v>1.2315</v>
      </c>
      <c r="S37" s="114"/>
      <c r="T37" s="114"/>
      <c r="U37" s="114"/>
      <c r="V37" s="114"/>
      <c r="W37" s="114"/>
      <c r="X37" s="114"/>
      <c r="Y37" s="114"/>
      <c r="Z37" s="114"/>
    </row>
    <row r="38" spans="2:26" ht="12.75" customHeight="1">
      <c r="B38" s="113">
        <v>4</v>
      </c>
      <c r="C38" s="147">
        <v>1.2827</v>
      </c>
      <c r="D38" s="147">
        <v>0.9647</v>
      </c>
      <c r="E38" s="147">
        <v>2.3620999999999999</v>
      </c>
      <c r="F38" s="147">
        <v>3.298</v>
      </c>
      <c r="G38" s="147">
        <v>0.85199999999999998</v>
      </c>
      <c r="H38" s="147">
        <v>0.85</v>
      </c>
      <c r="I38" s="147">
        <v>2.8645</v>
      </c>
      <c r="J38" s="147">
        <v>0.31809999999999999</v>
      </c>
      <c r="K38" s="147">
        <v>0.32540000000000002</v>
      </c>
      <c r="L38" s="147">
        <v>0.22750000000000001</v>
      </c>
      <c r="M38" s="147">
        <v>0.23</v>
      </c>
      <c r="N38" s="147">
        <v>0.23119999999999999</v>
      </c>
      <c r="O38" s="147">
        <v>0.54569999999999996</v>
      </c>
      <c r="P38" s="147">
        <v>0.55489999999999995</v>
      </c>
      <c r="Q38" s="147">
        <v>1.2297</v>
      </c>
      <c r="R38" s="147">
        <v>1.2069000000000001</v>
      </c>
      <c r="S38" s="114"/>
      <c r="T38" s="114"/>
      <c r="U38" s="114"/>
      <c r="V38" s="114"/>
      <c r="W38" s="114"/>
      <c r="X38" s="114"/>
      <c r="Y38" s="114"/>
      <c r="Z38" s="114"/>
    </row>
    <row r="39" spans="2:26" ht="12.75" customHeight="1">
      <c r="B39" s="113">
        <v>5</v>
      </c>
      <c r="C39" s="147">
        <v>1.2844</v>
      </c>
      <c r="D39" s="147">
        <v>0.96509999999999996</v>
      </c>
      <c r="E39" s="147">
        <v>2.3694000000000002</v>
      </c>
      <c r="F39" s="147">
        <v>3.2989999999999999</v>
      </c>
      <c r="G39" s="147">
        <v>0.84589999999999999</v>
      </c>
      <c r="H39" s="147">
        <v>0.84350000000000003</v>
      </c>
      <c r="I39" s="147">
        <v>2.8696999999999999</v>
      </c>
      <c r="J39" s="147">
        <v>0.32150000000000001</v>
      </c>
      <c r="K39" s="147">
        <v>0.3236</v>
      </c>
      <c r="L39" s="147">
        <v>0.2331</v>
      </c>
      <c r="M39" s="147">
        <v>0.2384</v>
      </c>
      <c r="N39" s="147">
        <v>0.24410000000000001</v>
      </c>
      <c r="O39" s="147">
        <v>0.54390000000000005</v>
      </c>
      <c r="P39" s="147">
        <v>0.5605</v>
      </c>
      <c r="Q39" s="147">
        <v>1.2255</v>
      </c>
      <c r="R39" s="147">
        <v>1.2090000000000001</v>
      </c>
      <c r="S39" s="114"/>
      <c r="T39" s="114"/>
      <c r="U39" s="114"/>
      <c r="V39" s="114"/>
      <c r="W39" s="114"/>
      <c r="X39" s="114"/>
      <c r="Y39" s="114"/>
      <c r="Z39" s="114"/>
    </row>
    <row r="40" spans="2:26" ht="12.75" customHeight="1">
      <c r="B40" s="113">
        <v>6</v>
      </c>
      <c r="C40" s="147">
        <v>1.2806</v>
      </c>
      <c r="D40" s="147">
        <v>0.96409999999999996</v>
      </c>
      <c r="E40" s="147">
        <v>2.3687999999999998</v>
      </c>
      <c r="F40" s="147">
        <v>3.2959999999999998</v>
      </c>
      <c r="G40" s="147">
        <v>0.82599999999999996</v>
      </c>
      <c r="H40" s="147">
        <v>0.82769999999999999</v>
      </c>
      <c r="I40" s="147">
        <v>2.8650000000000002</v>
      </c>
      <c r="J40" s="147">
        <v>0.31659999999999999</v>
      </c>
      <c r="K40" s="147">
        <v>0.32069999999999999</v>
      </c>
      <c r="L40" s="147">
        <v>0.2225</v>
      </c>
      <c r="M40" s="147">
        <v>0.2319</v>
      </c>
      <c r="N40" s="147">
        <v>0.23580000000000001</v>
      </c>
      <c r="O40" s="147">
        <v>0.56669999999999998</v>
      </c>
      <c r="P40" s="147">
        <v>0.54890000000000005</v>
      </c>
      <c r="Q40" s="147">
        <v>1.2364999999999999</v>
      </c>
      <c r="R40" s="147">
        <v>1.2233000000000001</v>
      </c>
      <c r="S40" s="114"/>
      <c r="T40" s="114"/>
      <c r="U40" s="114"/>
      <c r="V40" s="114"/>
      <c r="W40" s="114"/>
      <c r="X40" s="114"/>
      <c r="Y40" s="114"/>
      <c r="Z40" s="114"/>
    </row>
    <row r="41" spans="2:26" ht="12.75" customHeight="1">
      <c r="B41" s="113">
        <v>7</v>
      </c>
      <c r="C41" s="147">
        <v>1.2783</v>
      </c>
      <c r="D41" s="147">
        <v>0.96419999999999995</v>
      </c>
      <c r="E41" s="147">
        <v>2.3694000000000002</v>
      </c>
      <c r="F41" s="147">
        <v>3.3</v>
      </c>
      <c r="G41" s="147">
        <v>0.84609999999999996</v>
      </c>
      <c r="H41" s="147">
        <v>0.84940000000000004</v>
      </c>
      <c r="I41" s="147">
        <v>2.8671000000000002</v>
      </c>
      <c r="J41" s="147">
        <v>0.32440000000000002</v>
      </c>
      <c r="K41" s="147">
        <v>0.32140000000000002</v>
      </c>
      <c r="L41" s="147">
        <v>0.224</v>
      </c>
      <c r="M41" s="147">
        <v>0.22969999999999999</v>
      </c>
      <c r="N41" s="147">
        <v>0.23469999999999999</v>
      </c>
      <c r="O41" s="147">
        <v>0.5534</v>
      </c>
      <c r="P41" s="147">
        <v>0.55320000000000003</v>
      </c>
      <c r="Q41" s="147">
        <v>1.2321</v>
      </c>
      <c r="R41" s="147">
        <v>1.2326999999999999</v>
      </c>
      <c r="S41" s="114"/>
      <c r="T41" s="114"/>
      <c r="U41" s="114"/>
      <c r="V41" s="114"/>
      <c r="W41" s="114"/>
      <c r="X41" s="114"/>
      <c r="Y41" s="114"/>
      <c r="Z41" s="114"/>
    </row>
    <row r="42" spans="2:26" ht="12.75" customHeight="1">
      <c r="B42" s="113">
        <v>8</v>
      </c>
      <c r="C42" s="147">
        <v>1.2836000000000001</v>
      </c>
      <c r="D42" s="147">
        <v>0.97499999999999998</v>
      </c>
      <c r="E42" s="147">
        <v>2.3694000000000002</v>
      </c>
      <c r="F42" s="147">
        <v>3.306</v>
      </c>
      <c r="G42" s="147">
        <v>0.84499999999999997</v>
      </c>
      <c r="H42" s="147">
        <v>0.84199999999999997</v>
      </c>
      <c r="I42" s="147">
        <v>2.8683999999999998</v>
      </c>
      <c r="J42" s="147">
        <v>0.32290000000000002</v>
      </c>
      <c r="K42" s="147">
        <v>0.32319999999999999</v>
      </c>
      <c r="L42" s="147">
        <v>0.2374</v>
      </c>
      <c r="M42" s="147">
        <v>0.249</v>
      </c>
      <c r="N42" s="147">
        <v>0.22600000000000001</v>
      </c>
      <c r="O42" s="147">
        <v>0.55469999999999997</v>
      </c>
      <c r="P42" s="147">
        <v>0.56620000000000004</v>
      </c>
      <c r="Q42" s="147">
        <v>1.2291000000000001</v>
      </c>
      <c r="R42" s="147">
        <v>1.234</v>
      </c>
      <c r="S42" s="114"/>
      <c r="T42" s="114"/>
      <c r="U42" s="114"/>
      <c r="V42" s="114"/>
      <c r="W42" s="114"/>
      <c r="X42" s="114"/>
      <c r="Y42" s="114"/>
      <c r="Z42" s="114"/>
    </row>
    <row r="43" spans="2:26" ht="12.75" customHeight="1">
      <c r="B43" s="113">
        <v>9</v>
      </c>
      <c r="C43" s="147">
        <v>1.286</v>
      </c>
      <c r="D43" s="147">
        <v>0.97299999999999998</v>
      </c>
      <c r="E43" s="147">
        <v>2.3719999999999999</v>
      </c>
      <c r="F43" s="147">
        <v>3.3069999999999999</v>
      </c>
      <c r="G43" s="147">
        <v>0.82899999999999996</v>
      </c>
      <c r="H43" s="147">
        <v>0.84199999999999997</v>
      </c>
      <c r="I43" s="147">
        <v>2.8730000000000002</v>
      </c>
      <c r="J43" s="147">
        <v>0.316</v>
      </c>
      <c r="K43" s="147">
        <v>0.31900000000000001</v>
      </c>
      <c r="L43" s="147">
        <v>0.22700000000000001</v>
      </c>
      <c r="M43" s="147">
        <v>0.224</v>
      </c>
      <c r="N43" s="147">
        <v>0.22800000000000001</v>
      </c>
      <c r="O43" s="147">
        <v>0.56299999999999994</v>
      </c>
      <c r="P43" s="147">
        <v>0.55200000000000005</v>
      </c>
      <c r="Q43" s="147">
        <v>1.23</v>
      </c>
      <c r="R43" s="147">
        <v>1.2110000000000001</v>
      </c>
      <c r="S43" s="114"/>
      <c r="T43" s="114"/>
      <c r="U43" s="114"/>
      <c r="V43" s="114"/>
      <c r="W43" s="114"/>
      <c r="X43" s="114"/>
      <c r="Y43" s="114"/>
      <c r="Z43" s="114"/>
    </row>
    <row r="44" spans="2:26" ht="12.75" customHeight="1">
      <c r="B44" s="113">
        <v>10</v>
      </c>
      <c r="C44" s="147">
        <v>1.282</v>
      </c>
      <c r="D44" s="147">
        <v>0.96699999999999997</v>
      </c>
      <c r="E44" s="147">
        <v>2.3730000000000002</v>
      </c>
      <c r="F44" s="147">
        <v>3.3</v>
      </c>
      <c r="G44" s="147">
        <v>0.84099999999999997</v>
      </c>
      <c r="H44" s="147">
        <v>0.83199999999999996</v>
      </c>
      <c r="I44" s="147">
        <v>2.8650000000000002</v>
      </c>
      <c r="J44" s="147">
        <v>0.318</v>
      </c>
      <c r="K44" s="147">
        <v>0.318</v>
      </c>
      <c r="L44" s="147">
        <v>0.22900000000000001</v>
      </c>
      <c r="M44" s="147">
        <v>0.247</v>
      </c>
      <c r="N44" s="147">
        <v>0.22900000000000001</v>
      </c>
      <c r="O44" s="147">
        <v>0.56299999999999994</v>
      </c>
      <c r="P44" s="147">
        <v>0.55100000000000005</v>
      </c>
      <c r="Q44" s="147">
        <v>1.236</v>
      </c>
      <c r="R44" s="147">
        <v>1.2110000000000001</v>
      </c>
      <c r="S44" s="114"/>
      <c r="T44" s="114"/>
      <c r="U44" s="114"/>
      <c r="V44" s="114"/>
      <c r="W44" s="114"/>
      <c r="X44" s="114"/>
      <c r="Y44" s="114"/>
      <c r="Z44" s="114"/>
    </row>
    <row r="45" spans="2:26" ht="12.75" customHeight="1">
      <c r="B45" s="113">
        <v>11</v>
      </c>
      <c r="C45" s="147">
        <v>1.2869999999999999</v>
      </c>
      <c r="D45" s="147">
        <v>0.97</v>
      </c>
      <c r="E45" s="147">
        <v>2.3769999999999998</v>
      </c>
      <c r="F45" s="147">
        <v>3.2970000000000002</v>
      </c>
      <c r="G45" s="147">
        <v>0.83499999999999996</v>
      </c>
      <c r="H45" s="147">
        <v>0.83099999999999996</v>
      </c>
      <c r="I45" s="147">
        <v>2.871</v>
      </c>
      <c r="J45" s="147">
        <v>0.315</v>
      </c>
      <c r="K45" s="147">
        <v>0.32700000000000001</v>
      </c>
      <c r="L45" s="147">
        <v>0.22600000000000001</v>
      </c>
      <c r="M45" s="147">
        <v>0.22500000000000001</v>
      </c>
      <c r="N45" s="147">
        <v>0.22700000000000001</v>
      </c>
      <c r="O45" s="147">
        <v>0.54800000000000004</v>
      </c>
      <c r="P45" s="147">
        <v>0.54900000000000004</v>
      </c>
      <c r="Q45" s="147">
        <v>1.232</v>
      </c>
      <c r="R45" s="147">
        <v>1.2090000000000001</v>
      </c>
      <c r="S45" s="114"/>
      <c r="T45" s="114"/>
      <c r="U45" s="114"/>
      <c r="V45" s="114"/>
      <c r="W45" s="114"/>
      <c r="X45" s="114"/>
      <c r="Y45" s="114"/>
      <c r="Z45" s="114"/>
    </row>
    <row r="46" spans="2:26" ht="12.75" customHeight="1">
      <c r="B46" s="113">
        <v>12</v>
      </c>
      <c r="C46" s="147">
        <v>1.288</v>
      </c>
      <c r="D46" s="147">
        <v>0.96699999999999997</v>
      </c>
      <c r="E46" s="147">
        <v>2.37</v>
      </c>
      <c r="F46" s="147">
        <v>3.298</v>
      </c>
      <c r="G46" s="147">
        <v>0.84899999999999998</v>
      </c>
      <c r="H46" s="147">
        <v>0.83799999999999997</v>
      </c>
      <c r="I46" s="147">
        <v>2.8650000000000002</v>
      </c>
      <c r="J46" s="147">
        <v>0.32200000000000001</v>
      </c>
      <c r="K46" s="147">
        <v>0.317</v>
      </c>
      <c r="L46" s="147">
        <v>0.23400000000000001</v>
      </c>
      <c r="M46" s="147">
        <v>0.23</v>
      </c>
      <c r="N46" s="147">
        <v>0.22800000000000001</v>
      </c>
      <c r="O46" s="147">
        <v>0.55800000000000005</v>
      </c>
      <c r="P46" s="147">
        <v>0.56599999999999995</v>
      </c>
      <c r="Q46" s="147">
        <v>1.2330000000000001</v>
      </c>
      <c r="R46" s="147">
        <v>1.232</v>
      </c>
      <c r="S46" s="114"/>
      <c r="T46" s="114"/>
      <c r="U46" s="114"/>
      <c r="V46" s="114"/>
      <c r="W46" s="114"/>
      <c r="X46" s="114"/>
      <c r="Y46" s="114"/>
      <c r="Z46" s="114"/>
    </row>
    <row r="47" spans="2:26" ht="12.75" customHeight="1">
      <c r="B47" s="113">
        <v>13</v>
      </c>
      <c r="C47" s="147">
        <v>1.286</v>
      </c>
      <c r="D47" s="147">
        <v>0.97099999999999997</v>
      </c>
      <c r="E47" s="147">
        <v>2.37</v>
      </c>
      <c r="F47" s="147">
        <v>3.2970000000000002</v>
      </c>
      <c r="G47" s="147">
        <v>0.83499999999999996</v>
      </c>
      <c r="H47" s="147">
        <v>0.83</v>
      </c>
      <c r="I47" s="147">
        <v>2.8660000000000001</v>
      </c>
      <c r="J47" s="147">
        <v>0.32300000000000001</v>
      </c>
      <c r="K47" s="147">
        <v>0.32200000000000001</v>
      </c>
      <c r="L47" s="147">
        <v>0.22500000000000001</v>
      </c>
      <c r="M47" s="147">
        <v>0.24</v>
      </c>
      <c r="N47" s="147">
        <v>0.23</v>
      </c>
      <c r="O47" s="147">
        <v>0.56100000000000005</v>
      </c>
      <c r="P47" s="147">
        <v>0.55800000000000005</v>
      </c>
      <c r="Q47" s="147">
        <v>1.234</v>
      </c>
      <c r="R47" s="147">
        <v>1.208</v>
      </c>
      <c r="S47" s="114"/>
      <c r="T47" s="114"/>
      <c r="U47" s="114"/>
      <c r="V47" s="114"/>
      <c r="W47" s="114"/>
      <c r="X47" s="114"/>
      <c r="Y47" s="114"/>
      <c r="Z47" s="114"/>
    </row>
    <row r="48" spans="2:26" ht="12.75" customHeight="1">
      <c r="B48" s="113">
        <v>14</v>
      </c>
      <c r="C48" s="147">
        <v>1.288</v>
      </c>
      <c r="D48" s="147">
        <v>0.96599999999999997</v>
      </c>
      <c r="E48" s="147">
        <v>2.37</v>
      </c>
      <c r="F48" s="147">
        <v>3.3050000000000002</v>
      </c>
      <c r="G48" s="147">
        <v>0.85</v>
      </c>
      <c r="H48" s="147">
        <v>0.84799999999999998</v>
      </c>
      <c r="I48" s="147">
        <v>2.871</v>
      </c>
      <c r="J48" s="147">
        <v>0.32600000000000001</v>
      </c>
      <c r="K48" s="147">
        <v>0.31900000000000001</v>
      </c>
      <c r="L48" s="147">
        <v>0.23300000000000001</v>
      </c>
      <c r="M48" s="147">
        <v>0.24399999999999999</v>
      </c>
      <c r="N48" s="147">
        <v>0.23499999999999999</v>
      </c>
      <c r="O48" s="147">
        <v>0.54800000000000004</v>
      </c>
      <c r="P48" s="147">
        <v>0.56200000000000006</v>
      </c>
      <c r="Q48" s="147">
        <v>1.228</v>
      </c>
      <c r="R48" s="147">
        <v>1.232</v>
      </c>
      <c r="S48" s="114"/>
      <c r="T48" s="114"/>
      <c r="U48" s="114"/>
      <c r="V48" s="114"/>
      <c r="W48" s="114"/>
      <c r="X48" s="114"/>
      <c r="Y48" s="114"/>
      <c r="Z48" s="114"/>
    </row>
    <row r="49" spans="2:26" ht="12.75" customHeight="1">
      <c r="B49" s="113">
        <v>15</v>
      </c>
      <c r="C49" s="147">
        <v>1.2869999999999999</v>
      </c>
      <c r="D49" s="147">
        <v>0.96699999999999997</v>
      </c>
      <c r="E49" s="147">
        <v>2.3719999999999999</v>
      </c>
      <c r="F49" s="147">
        <v>3.3010000000000002</v>
      </c>
      <c r="G49" s="147">
        <v>0.82799999999999996</v>
      </c>
      <c r="H49" s="147">
        <v>0.84599999999999997</v>
      </c>
      <c r="I49" s="147">
        <v>2.8650000000000002</v>
      </c>
      <c r="J49" s="147">
        <v>0.32100000000000001</v>
      </c>
      <c r="K49" s="147">
        <v>0.32600000000000001</v>
      </c>
      <c r="L49" s="147">
        <v>0.22800000000000001</v>
      </c>
      <c r="M49" s="147">
        <v>0.23599999999999999</v>
      </c>
      <c r="N49" s="147">
        <v>0.24199999999999999</v>
      </c>
      <c r="O49" s="147">
        <v>0.55400000000000005</v>
      </c>
      <c r="P49" s="147">
        <v>0.55500000000000005</v>
      </c>
      <c r="Q49" s="147">
        <v>1.2310000000000001</v>
      </c>
      <c r="R49" s="147">
        <v>1.222</v>
      </c>
      <c r="S49" s="114"/>
      <c r="T49" s="114"/>
      <c r="U49" s="114"/>
      <c r="V49" s="114"/>
      <c r="W49" s="114"/>
      <c r="X49" s="114"/>
      <c r="Y49" s="114"/>
      <c r="Z49" s="114"/>
    </row>
    <row r="50" spans="2:26" ht="12.75" customHeight="1">
      <c r="B50" s="113">
        <v>16</v>
      </c>
      <c r="C50" s="147">
        <v>1.2849999999999999</v>
      </c>
      <c r="D50" s="147">
        <v>0.97299999999999998</v>
      </c>
      <c r="E50" s="147">
        <v>2.375</v>
      </c>
      <c r="F50" s="147">
        <v>3.2989999999999999</v>
      </c>
      <c r="G50" s="147">
        <v>0.83</v>
      </c>
      <c r="H50" s="147">
        <v>0.83199999999999996</v>
      </c>
      <c r="I50" s="147">
        <v>2.8650000000000002</v>
      </c>
      <c r="J50" s="147">
        <v>0.314</v>
      </c>
      <c r="K50" s="147">
        <v>0.32300000000000001</v>
      </c>
      <c r="L50" s="147">
        <v>0.223</v>
      </c>
      <c r="M50" s="147">
        <v>0.249</v>
      </c>
      <c r="N50" s="147">
        <v>0.23699999999999999</v>
      </c>
      <c r="O50" s="147">
        <v>0.54900000000000004</v>
      </c>
      <c r="P50" s="147">
        <v>0.56200000000000006</v>
      </c>
      <c r="Q50" s="147">
        <v>1.226</v>
      </c>
      <c r="R50" s="147">
        <v>1.23</v>
      </c>
      <c r="S50" s="114"/>
      <c r="T50" s="114"/>
      <c r="U50" s="114"/>
      <c r="V50" s="114"/>
      <c r="W50" s="114"/>
      <c r="X50" s="114"/>
      <c r="Y50" s="114"/>
      <c r="Z50" s="114"/>
    </row>
    <row r="51" spans="2:26" ht="12.75" customHeight="1">
      <c r="B51" s="113">
        <v>17</v>
      </c>
      <c r="C51" s="147">
        <v>1.286</v>
      </c>
      <c r="D51" s="147">
        <v>0.97199999999999998</v>
      </c>
      <c r="E51" s="147">
        <v>2.3650000000000002</v>
      </c>
      <c r="F51" s="147">
        <v>3.3</v>
      </c>
      <c r="G51" s="147">
        <v>0.83499999999999996</v>
      </c>
      <c r="H51" s="147">
        <v>0.83799999999999997</v>
      </c>
      <c r="I51" s="147">
        <v>2.8679999999999999</v>
      </c>
      <c r="J51" s="147">
        <v>0.32500000000000001</v>
      </c>
      <c r="K51" s="147">
        <v>0.318</v>
      </c>
      <c r="L51" s="147">
        <v>0.23</v>
      </c>
      <c r="M51" s="147">
        <v>0.248</v>
      </c>
      <c r="N51" s="147">
        <v>0.224</v>
      </c>
      <c r="O51" s="147">
        <v>0.54400000000000004</v>
      </c>
      <c r="P51" s="147">
        <v>0.55300000000000005</v>
      </c>
      <c r="Q51" s="147">
        <v>1.2310000000000001</v>
      </c>
      <c r="R51" s="147">
        <v>1.2190000000000001</v>
      </c>
      <c r="S51" s="114"/>
      <c r="T51" s="114"/>
      <c r="U51" s="114"/>
      <c r="V51" s="114"/>
      <c r="W51" s="114"/>
      <c r="X51" s="114"/>
      <c r="Y51" s="114"/>
      <c r="Z51" s="114"/>
    </row>
    <row r="52" spans="2:26" ht="12.75" customHeight="1">
      <c r="B52" s="113">
        <v>18</v>
      </c>
      <c r="C52" s="147">
        <v>1.2829999999999999</v>
      </c>
      <c r="D52" s="147">
        <v>0.96799999999999997</v>
      </c>
      <c r="E52" s="147">
        <v>2.3719999999999999</v>
      </c>
      <c r="F52" s="147">
        <v>3.3050000000000002</v>
      </c>
      <c r="G52" s="147">
        <v>0.84</v>
      </c>
      <c r="H52" s="147">
        <v>0.84799999999999998</v>
      </c>
      <c r="I52" s="147">
        <v>2.871</v>
      </c>
      <c r="J52" s="147">
        <v>0.32200000000000001</v>
      </c>
      <c r="K52" s="147">
        <v>0.32100000000000001</v>
      </c>
      <c r="L52" s="147">
        <v>0.23100000000000001</v>
      </c>
      <c r="M52" s="147">
        <v>0.245</v>
      </c>
      <c r="N52" s="147">
        <v>0.23400000000000001</v>
      </c>
      <c r="O52" s="147">
        <v>0.54900000000000004</v>
      </c>
      <c r="P52" s="147">
        <v>0.55200000000000005</v>
      </c>
      <c r="Q52" s="147">
        <v>1.226</v>
      </c>
      <c r="R52" s="147">
        <v>1.2190000000000001</v>
      </c>
      <c r="S52" s="114"/>
      <c r="T52" s="114"/>
      <c r="U52" s="114"/>
      <c r="V52" s="114"/>
      <c r="W52" s="114"/>
      <c r="X52" s="114"/>
      <c r="Y52" s="114"/>
      <c r="Z52" s="114"/>
    </row>
    <row r="53" spans="2:26" ht="12.75" customHeight="1">
      <c r="B53" s="113">
        <v>19</v>
      </c>
      <c r="C53" s="147">
        <v>1.2829999999999999</v>
      </c>
      <c r="D53" s="147">
        <v>0.97299999999999998</v>
      </c>
      <c r="E53" s="147">
        <v>2.363</v>
      </c>
      <c r="F53" s="147">
        <v>3.3039999999999998</v>
      </c>
      <c r="G53" s="147">
        <v>0.83899999999999997</v>
      </c>
      <c r="H53" s="147">
        <v>0.84299999999999997</v>
      </c>
      <c r="I53" s="147">
        <v>2.867</v>
      </c>
      <c r="J53" s="147">
        <v>0.32200000000000001</v>
      </c>
      <c r="K53" s="147">
        <v>0.318</v>
      </c>
      <c r="L53" s="147">
        <v>0.224</v>
      </c>
      <c r="M53" s="147">
        <v>0.24199999999999999</v>
      </c>
      <c r="N53" s="147">
        <v>0.23</v>
      </c>
      <c r="O53" s="147">
        <v>0.55300000000000005</v>
      </c>
      <c r="P53" s="147">
        <v>0.55300000000000005</v>
      </c>
      <c r="Q53" s="147">
        <v>1.2350000000000001</v>
      </c>
      <c r="R53" s="147">
        <v>1.218</v>
      </c>
      <c r="S53" s="114"/>
      <c r="T53" s="114"/>
      <c r="U53" s="114"/>
      <c r="V53" s="114"/>
      <c r="W53" s="114"/>
      <c r="X53" s="114"/>
      <c r="Y53" s="114"/>
      <c r="Z53" s="114"/>
    </row>
    <row r="54" spans="2:26" ht="12.75" customHeight="1">
      <c r="B54" s="113">
        <v>20</v>
      </c>
      <c r="C54" s="147">
        <v>1.2789999999999999</v>
      </c>
      <c r="D54" s="147">
        <v>0.96599999999999997</v>
      </c>
      <c r="E54" s="147">
        <v>2.363</v>
      </c>
      <c r="F54" s="147">
        <v>3.3039999999999998</v>
      </c>
      <c r="G54" s="147">
        <v>0.84899999999999998</v>
      </c>
      <c r="H54" s="147">
        <v>0.82699999999999996</v>
      </c>
      <c r="I54" s="147">
        <v>2.8660000000000001</v>
      </c>
      <c r="J54" s="147">
        <v>0.315</v>
      </c>
      <c r="K54" s="147">
        <v>0.32200000000000001</v>
      </c>
      <c r="L54" s="147">
        <v>0.23499999999999999</v>
      </c>
      <c r="M54" s="147">
        <v>0.23699999999999999</v>
      </c>
      <c r="N54" s="147">
        <v>0.23499999999999999</v>
      </c>
      <c r="O54" s="147">
        <v>0.54900000000000004</v>
      </c>
      <c r="P54" s="147">
        <v>0.56100000000000005</v>
      </c>
      <c r="Q54" s="147">
        <v>1.232</v>
      </c>
      <c r="R54" s="147">
        <v>1.2070000000000001</v>
      </c>
      <c r="S54" s="114"/>
      <c r="T54" s="114"/>
      <c r="U54" s="114"/>
      <c r="V54" s="114"/>
      <c r="W54" s="114"/>
      <c r="X54" s="114"/>
      <c r="Y54" s="114"/>
      <c r="Z54" s="114"/>
    </row>
    <row r="55" spans="2:26" ht="12.75" customHeight="1">
      <c r="B55" s="113">
        <v>21</v>
      </c>
      <c r="C55" s="147">
        <v>1.282</v>
      </c>
      <c r="D55" s="147">
        <v>0.97499999999999998</v>
      </c>
      <c r="E55" s="147">
        <v>2.363</v>
      </c>
      <c r="F55" s="147">
        <v>3.3039999999999998</v>
      </c>
      <c r="G55" s="147">
        <v>0.84599999999999997</v>
      </c>
      <c r="H55" s="147">
        <v>0.83799999999999997</v>
      </c>
      <c r="I55" s="147">
        <v>2.863</v>
      </c>
      <c r="J55" s="147">
        <v>0.32100000000000001</v>
      </c>
      <c r="K55" s="147">
        <v>0.32</v>
      </c>
      <c r="L55" s="147">
        <v>0.22900000000000001</v>
      </c>
      <c r="M55" s="147">
        <v>0.22800000000000001</v>
      </c>
      <c r="N55" s="147">
        <v>0.22700000000000001</v>
      </c>
      <c r="O55" s="147">
        <v>0.55600000000000005</v>
      </c>
      <c r="P55" s="147">
        <v>0.55000000000000004</v>
      </c>
      <c r="Q55" s="147">
        <v>1.23</v>
      </c>
      <c r="R55" s="147">
        <v>1.234</v>
      </c>
      <c r="S55" s="114"/>
      <c r="T55" s="114"/>
      <c r="U55" s="114"/>
      <c r="V55" s="114"/>
      <c r="W55" s="114"/>
      <c r="X55" s="114"/>
      <c r="Y55" s="114"/>
      <c r="Z55" s="114"/>
    </row>
    <row r="56" spans="2:26" ht="12.75" customHeight="1">
      <c r="B56" s="113">
        <v>22</v>
      </c>
      <c r="C56" s="147">
        <v>1.2829999999999999</v>
      </c>
      <c r="D56" s="147">
        <v>0.96399999999999997</v>
      </c>
      <c r="E56" s="147">
        <v>2.37</v>
      </c>
      <c r="F56" s="147">
        <v>3.3039999999999998</v>
      </c>
      <c r="G56" s="147">
        <v>0.84099999999999997</v>
      </c>
      <c r="H56" s="147">
        <v>0.84799999999999998</v>
      </c>
      <c r="I56" s="147">
        <v>2.867</v>
      </c>
      <c r="J56" s="147">
        <v>0.315</v>
      </c>
      <c r="K56" s="147">
        <v>0.318</v>
      </c>
      <c r="L56" s="147">
        <v>0.23200000000000001</v>
      </c>
      <c r="M56" s="147">
        <v>0.23799999999999999</v>
      </c>
      <c r="N56" s="147">
        <v>0.224</v>
      </c>
      <c r="O56" s="147">
        <v>0.54900000000000004</v>
      </c>
      <c r="P56" s="147">
        <v>0.55000000000000004</v>
      </c>
      <c r="Q56" s="147">
        <v>1.2350000000000001</v>
      </c>
      <c r="R56" s="147">
        <v>1.214</v>
      </c>
      <c r="S56" s="114"/>
      <c r="T56" s="114"/>
      <c r="U56" s="114"/>
      <c r="V56" s="114"/>
      <c r="W56" s="114"/>
      <c r="X56" s="114"/>
      <c r="Y56" s="114"/>
      <c r="Z56" s="114"/>
    </row>
    <row r="57" spans="2:26" ht="12.75" customHeight="1">
      <c r="B57" s="113">
        <v>23</v>
      </c>
      <c r="C57" s="147">
        <v>1.28</v>
      </c>
      <c r="D57" s="147">
        <v>0.97099999999999997</v>
      </c>
      <c r="E57" s="147">
        <v>2.371</v>
      </c>
      <c r="F57" s="147">
        <v>3.3029999999999999</v>
      </c>
      <c r="G57" s="147">
        <v>0.82899999999999996</v>
      </c>
      <c r="H57" s="147">
        <v>0.83199999999999996</v>
      </c>
      <c r="I57" s="147">
        <v>2.8730000000000002</v>
      </c>
      <c r="J57" s="147">
        <v>0.32500000000000001</v>
      </c>
      <c r="K57" s="147">
        <v>0.32700000000000001</v>
      </c>
      <c r="L57" s="147">
        <v>0.23400000000000001</v>
      </c>
      <c r="M57" s="147">
        <v>0.24099999999999999</v>
      </c>
      <c r="N57" s="147">
        <v>0.24099999999999999</v>
      </c>
      <c r="O57" s="147">
        <v>0.56599999999999995</v>
      </c>
      <c r="P57" s="147">
        <v>0.56399999999999995</v>
      </c>
      <c r="Q57" s="147">
        <v>1.2310000000000001</v>
      </c>
      <c r="R57" s="147">
        <v>1.22</v>
      </c>
      <c r="S57" s="114"/>
      <c r="T57" s="114"/>
      <c r="U57" s="114"/>
      <c r="V57" s="114"/>
      <c r="W57" s="114"/>
      <c r="X57" s="114"/>
      <c r="Y57" s="114"/>
      <c r="Z57" s="114"/>
    </row>
    <row r="58" spans="2:26" ht="12.75" customHeight="1">
      <c r="B58" s="113">
        <v>24</v>
      </c>
      <c r="C58" s="147">
        <v>1.2789999999999999</v>
      </c>
      <c r="D58" s="147">
        <v>0.96799999999999997</v>
      </c>
      <c r="E58" s="147">
        <v>2.3730000000000002</v>
      </c>
      <c r="F58" s="147">
        <v>3.3050000000000002</v>
      </c>
      <c r="G58" s="147">
        <v>0.85299999999999998</v>
      </c>
      <c r="H58" s="147">
        <v>0.84199999999999997</v>
      </c>
      <c r="I58" s="147">
        <v>2.8660000000000001</v>
      </c>
      <c r="J58" s="147">
        <v>0.316</v>
      </c>
      <c r="K58" s="147">
        <v>0.32400000000000001</v>
      </c>
      <c r="L58" s="147">
        <v>0.23699999999999999</v>
      </c>
      <c r="M58" s="147">
        <v>0.23699999999999999</v>
      </c>
      <c r="N58" s="147">
        <v>0.22700000000000001</v>
      </c>
      <c r="O58" s="147">
        <v>0.55600000000000005</v>
      </c>
      <c r="P58" s="147">
        <v>0.56599999999999995</v>
      </c>
      <c r="Q58" s="147">
        <v>1.2330000000000001</v>
      </c>
      <c r="R58" s="147">
        <v>1.2110000000000001</v>
      </c>
      <c r="S58" s="114"/>
      <c r="T58" s="114"/>
      <c r="U58" s="114"/>
      <c r="V58" s="114"/>
      <c r="W58" s="114"/>
      <c r="X58" s="114"/>
      <c r="Y58" s="114"/>
      <c r="Z58" s="114"/>
    </row>
    <row r="59" spans="2:26" ht="12.75" customHeight="1">
      <c r="B59" s="113">
        <v>25</v>
      </c>
      <c r="C59" s="147">
        <v>1.2849999999999999</v>
      </c>
      <c r="D59" s="147">
        <v>0.97</v>
      </c>
      <c r="E59" s="147">
        <v>2.3650000000000002</v>
      </c>
      <c r="F59" s="147">
        <v>3.302</v>
      </c>
      <c r="G59" s="147">
        <v>0.85</v>
      </c>
      <c r="H59" s="147">
        <v>0.84</v>
      </c>
      <c r="I59" s="147">
        <v>2.8690000000000002</v>
      </c>
      <c r="J59" s="147">
        <v>0.317</v>
      </c>
      <c r="K59" s="147">
        <v>0.32400000000000001</v>
      </c>
      <c r="L59" s="147">
        <v>0.23100000000000001</v>
      </c>
      <c r="M59" s="147">
        <v>0.23100000000000001</v>
      </c>
      <c r="N59" s="147">
        <v>0.224</v>
      </c>
      <c r="O59" s="147">
        <v>0.55000000000000004</v>
      </c>
      <c r="P59" s="147">
        <v>0.56399999999999995</v>
      </c>
      <c r="Q59" s="147">
        <v>1.2290000000000001</v>
      </c>
      <c r="R59" s="147">
        <v>1.232</v>
      </c>
      <c r="S59" s="114"/>
      <c r="T59" s="114"/>
      <c r="U59" s="114"/>
      <c r="V59" s="114"/>
      <c r="W59" s="114"/>
      <c r="X59" s="114"/>
      <c r="Y59" s="114"/>
      <c r="Z59" s="114"/>
    </row>
    <row r="60" spans="2:26" ht="12.75" customHeight="1">
      <c r="B60" s="113">
        <v>26</v>
      </c>
      <c r="C60" s="147">
        <v>1.284</v>
      </c>
      <c r="D60" s="147">
        <v>0.96899999999999997</v>
      </c>
      <c r="E60" s="147">
        <v>2.3639999999999999</v>
      </c>
      <c r="F60" s="147">
        <v>3.3010000000000002</v>
      </c>
      <c r="G60" s="147">
        <v>0.83799999999999997</v>
      </c>
      <c r="H60" s="147">
        <v>0.83799999999999997</v>
      </c>
      <c r="I60" s="147">
        <v>2.8650000000000002</v>
      </c>
      <c r="J60" s="147">
        <v>0.32400000000000001</v>
      </c>
      <c r="K60" s="147">
        <v>0.31900000000000001</v>
      </c>
      <c r="L60" s="147">
        <v>0.23499999999999999</v>
      </c>
      <c r="M60" s="147">
        <v>0.24199999999999999</v>
      </c>
      <c r="N60" s="147">
        <v>0.23499999999999999</v>
      </c>
      <c r="O60" s="147">
        <v>0.55100000000000005</v>
      </c>
      <c r="P60" s="147">
        <v>0.55000000000000004</v>
      </c>
      <c r="Q60" s="147">
        <v>1.228</v>
      </c>
      <c r="R60" s="147">
        <v>1.2290000000000001</v>
      </c>
      <c r="S60" s="114"/>
      <c r="T60" s="114"/>
      <c r="U60" s="114"/>
      <c r="V60" s="114"/>
      <c r="W60" s="114"/>
      <c r="X60" s="114"/>
      <c r="Y60" s="114"/>
      <c r="Z60" s="114"/>
    </row>
    <row r="61" spans="2:26" ht="12.75" customHeight="1">
      <c r="B61" s="113">
        <v>27</v>
      </c>
      <c r="C61" s="147">
        <v>1.2789999999999999</v>
      </c>
      <c r="D61" s="147">
        <v>0.97</v>
      </c>
      <c r="E61" s="147">
        <v>2.3690000000000002</v>
      </c>
      <c r="F61" s="147">
        <v>3.3029999999999999</v>
      </c>
      <c r="G61" s="147">
        <v>0.83199999999999996</v>
      </c>
      <c r="H61" s="147">
        <v>0.83599999999999997</v>
      </c>
      <c r="I61" s="147">
        <v>2.8660000000000001</v>
      </c>
      <c r="J61" s="147">
        <v>0.316</v>
      </c>
      <c r="K61" s="147">
        <v>0.32500000000000001</v>
      </c>
      <c r="L61" s="147">
        <v>0.22800000000000001</v>
      </c>
      <c r="M61" s="147">
        <v>0.23899999999999999</v>
      </c>
      <c r="N61" s="147">
        <v>0.23899999999999999</v>
      </c>
      <c r="O61" s="147">
        <v>0.55000000000000004</v>
      </c>
      <c r="P61" s="147">
        <v>0.56299999999999994</v>
      </c>
      <c r="Q61" s="147">
        <v>1.232</v>
      </c>
      <c r="R61" s="147">
        <v>1.2310000000000001</v>
      </c>
      <c r="S61" s="114"/>
      <c r="T61" s="114"/>
      <c r="U61" s="114"/>
      <c r="V61" s="114"/>
      <c r="W61" s="114"/>
      <c r="X61" s="114"/>
      <c r="Y61" s="114"/>
      <c r="Z61" s="114"/>
    </row>
    <row r="62" spans="2:26" ht="12.75" customHeight="1">
      <c r="B62" s="113">
        <v>28</v>
      </c>
      <c r="C62" s="147">
        <v>1.28</v>
      </c>
      <c r="D62" s="147">
        <v>0.97399999999999998</v>
      </c>
      <c r="E62" s="147">
        <v>2.3719999999999999</v>
      </c>
      <c r="F62" s="147">
        <v>3.2959999999999998</v>
      </c>
      <c r="G62" s="147">
        <v>0.83699999999999997</v>
      </c>
      <c r="H62" s="147">
        <v>0.82899999999999996</v>
      </c>
      <c r="I62" s="147">
        <v>2.8660000000000001</v>
      </c>
      <c r="J62" s="147">
        <v>0.315</v>
      </c>
      <c r="K62" s="147">
        <v>0.32500000000000001</v>
      </c>
      <c r="L62" s="147">
        <v>0.22600000000000001</v>
      </c>
      <c r="M62" s="147">
        <v>0.23200000000000001</v>
      </c>
      <c r="N62" s="147">
        <v>0.23</v>
      </c>
      <c r="O62" s="147">
        <v>0.54800000000000004</v>
      </c>
      <c r="P62" s="147">
        <v>0.55600000000000005</v>
      </c>
      <c r="Q62" s="147">
        <v>1.2330000000000001</v>
      </c>
      <c r="R62" s="147">
        <v>1.21</v>
      </c>
      <c r="S62" s="114"/>
      <c r="T62" s="114"/>
      <c r="U62" s="114"/>
      <c r="V62" s="114"/>
      <c r="W62" s="114"/>
      <c r="X62" s="114"/>
      <c r="Y62" s="114"/>
      <c r="Z62" s="114"/>
    </row>
    <row r="63" spans="2:26" ht="12.75" customHeight="1">
      <c r="B63" s="113">
        <v>29</v>
      </c>
      <c r="C63" s="147">
        <v>1.2809999999999999</v>
      </c>
      <c r="D63" s="147">
        <v>0.96499999999999997</v>
      </c>
      <c r="E63" s="147">
        <v>2.3679999999999999</v>
      </c>
      <c r="F63" s="147">
        <v>3.2959999999999998</v>
      </c>
      <c r="G63" s="147">
        <v>0.84799999999999998</v>
      </c>
      <c r="H63" s="147">
        <v>0.84399999999999997</v>
      </c>
      <c r="I63" s="147">
        <v>2.8639999999999999</v>
      </c>
      <c r="J63" s="147">
        <v>0.32400000000000001</v>
      </c>
      <c r="K63" s="147">
        <v>0.32700000000000001</v>
      </c>
      <c r="L63" s="147">
        <v>0.22700000000000001</v>
      </c>
      <c r="M63" s="147">
        <v>0.23300000000000001</v>
      </c>
      <c r="N63" s="147">
        <v>0.24199999999999999</v>
      </c>
      <c r="O63" s="147">
        <v>0.55200000000000005</v>
      </c>
      <c r="P63" s="147">
        <v>0.55800000000000005</v>
      </c>
      <c r="Q63" s="147">
        <v>1.226</v>
      </c>
      <c r="R63" s="147">
        <v>1.23</v>
      </c>
      <c r="S63" s="114"/>
      <c r="T63" s="114"/>
      <c r="U63" s="114"/>
      <c r="V63" s="114"/>
      <c r="W63" s="114"/>
      <c r="X63" s="114"/>
      <c r="Y63" s="114"/>
      <c r="Z63" s="114"/>
    </row>
    <row r="64" spans="2:26" ht="12.75" customHeight="1">
      <c r="B64" s="113">
        <v>30</v>
      </c>
      <c r="C64" s="147">
        <v>1.284</v>
      </c>
      <c r="D64" s="147">
        <v>0.96899999999999997</v>
      </c>
      <c r="E64" s="147">
        <v>2.3650000000000002</v>
      </c>
      <c r="F64" s="147">
        <v>3.3029999999999999</v>
      </c>
      <c r="G64" s="147">
        <v>0.83599999999999997</v>
      </c>
      <c r="H64" s="147">
        <v>0.84399999999999997</v>
      </c>
      <c r="I64" s="147">
        <v>2.8719999999999999</v>
      </c>
      <c r="J64" s="147">
        <v>0.32500000000000001</v>
      </c>
      <c r="K64" s="147">
        <v>0.31900000000000001</v>
      </c>
      <c r="L64" s="147">
        <v>0.23200000000000001</v>
      </c>
      <c r="M64" s="147">
        <v>0.23699999999999999</v>
      </c>
      <c r="N64" s="147">
        <v>0.23100000000000001</v>
      </c>
      <c r="O64" s="147">
        <v>0.56399999999999995</v>
      </c>
      <c r="P64" s="147">
        <v>0.55900000000000005</v>
      </c>
      <c r="Q64" s="147">
        <v>1.234</v>
      </c>
      <c r="R64" s="147">
        <v>1.2330000000000001</v>
      </c>
      <c r="S64" s="114"/>
      <c r="T64" s="114"/>
      <c r="U64" s="114"/>
      <c r="V64" s="114"/>
      <c r="W64" s="114"/>
      <c r="X64" s="114"/>
      <c r="Y64" s="114"/>
      <c r="Z64" s="114"/>
    </row>
    <row r="65" spans="2:256" ht="12.75" customHeight="1">
      <c r="B65" s="113">
        <v>31</v>
      </c>
      <c r="C65" s="147">
        <v>1.2849999999999999</v>
      </c>
      <c r="D65" s="147">
        <v>0.96499999999999997</v>
      </c>
      <c r="E65" s="147">
        <v>2.3719999999999999</v>
      </c>
      <c r="F65" s="147">
        <v>3.3010000000000002</v>
      </c>
      <c r="G65" s="147">
        <v>0.84</v>
      </c>
      <c r="H65" s="147">
        <v>0.82899999999999996</v>
      </c>
      <c r="I65" s="147">
        <v>2.8730000000000002</v>
      </c>
      <c r="J65" s="147">
        <v>0.32400000000000001</v>
      </c>
      <c r="K65" s="147">
        <v>0.32</v>
      </c>
      <c r="L65" s="147">
        <v>0.22600000000000001</v>
      </c>
      <c r="M65" s="147">
        <v>0.248</v>
      </c>
      <c r="N65" s="147">
        <v>0.23100000000000001</v>
      </c>
      <c r="O65" s="147">
        <v>0.54400000000000004</v>
      </c>
      <c r="P65" s="147">
        <v>0.56299999999999994</v>
      </c>
      <c r="Q65" s="147">
        <v>1.232</v>
      </c>
      <c r="R65" s="147">
        <v>1.2230000000000001</v>
      </c>
      <c r="S65" s="114"/>
      <c r="T65" s="114"/>
      <c r="U65" s="114"/>
      <c r="V65" s="114"/>
      <c r="W65" s="114"/>
      <c r="X65" s="114"/>
      <c r="Y65" s="114"/>
      <c r="Z65" s="114"/>
    </row>
    <row r="66" spans="2:256" ht="12.75" customHeight="1">
      <c r="B66" s="113">
        <v>32</v>
      </c>
      <c r="C66" s="147">
        <v>1.2849999999999999</v>
      </c>
      <c r="D66" s="147">
        <v>0.96799999999999997</v>
      </c>
      <c r="E66" s="147">
        <v>2.3759999999999999</v>
      </c>
      <c r="F66" s="147">
        <v>3.3069999999999999</v>
      </c>
      <c r="G66" s="147">
        <v>0.82699999999999996</v>
      </c>
      <c r="H66" s="147">
        <v>0.84299999999999997</v>
      </c>
      <c r="I66" s="147">
        <v>2.8650000000000002</v>
      </c>
      <c r="J66" s="147">
        <v>0.316</v>
      </c>
      <c r="K66" s="147">
        <v>0.32300000000000001</v>
      </c>
      <c r="L66" s="147">
        <v>0.23699999999999999</v>
      </c>
      <c r="M66" s="147">
        <v>0.24099999999999999</v>
      </c>
      <c r="N66" s="147">
        <v>0.24399999999999999</v>
      </c>
      <c r="O66" s="147">
        <v>0.56299999999999994</v>
      </c>
      <c r="P66" s="147">
        <v>0.56499999999999995</v>
      </c>
      <c r="Q66" s="147">
        <v>1.234</v>
      </c>
      <c r="R66" s="147">
        <v>1.2230000000000001</v>
      </c>
      <c r="S66" s="114"/>
      <c r="T66" s="114"/>
      <c r="U66" s="114"/>
      <c r="V66" s="114"/>
      <c r="W66" s="114"/>
      <c r="X66" s="114"/>
      <c r="Y66" s="114"/>
      <c r="Z66" s="114"/>
    </row>
    <row r="67" spans="2:256" s="4" customFormat="1" ht="12.75" customHeight="1">
      <c r="IV67" s="136"/>
    </row>
    <row r="68" spans="2:256" s="4" customFormat="1" ht="12.75" customHeight="1">
      <c r="IV68" s="136"/>
    </row>
    <row r="69" spans="2:256" s="4" customFormat="1" ht="12.75" customHeight="1">
      <c r="IV69" s="136"/>
    </row>
    <row r="70" spans="2:256" s="4" customFormat="1" ht="12.75" customHeight="1">
      <c r="IV70" s="136"/>
    </row>
    <row r="71" spans="2:256" s="4" customFormat="1" ht="12.75" customHeight="1">
      <c r="IV71" s="136"/>
    </row>
    <row r="72" spans="2:256" s="4" customFormat="1" ht="12.75" customHeight="1">
      <c r="IV72" s="136"/>
    </row>
    <row r="73" spans="2:256" s="4" customFormat="1" ht="12.75" customHeight="1">
      <c r="IV73" s="136"/>
    </row>
    <row r="74" spans="2:256" s="4" customFormat="1" ht="12.75" customHeight="1">
      <c r="IV74" s="136"/>
    </row>
    <row r="75" spans="2:256" s="4" customFormat="1" ht="12.75" customHeight="1">
      <c r="IV75" s="136"/>
    </row>
    <row r="76" spans="2:256" s="4" customFormat="1" ht="12.75" customHeight="1">
      <c r="IV76" s="136"/>
    </row>
    <row r="77" spans="2:256" s="4" customFormat="1" ht="12.75" customHeight="1">
      <c r="IV77" s="136"/>
    </row>
    <row r="78" spans="2:256" s="4" customFormat="1" ht="12.75" customHeight="1">
      <c r="IV78" s="136"/>
    </row>
    <row r="79" spans="2:256" s="4" customFormat="1" ht="12.75" customHeight="1">
      <c r="IV79" s="136"/>
    </row>
    <row r="80" spans="2:256" s="4" customFormat="1" ht="12.75" customHeight="1">
      <c r="IV80" s="136"/>
    </row>
    <row r="81" spans="256:256" s="4" customFormat="1" ht="12.75" customHeight="1">
      <c r="IV81" s="136"/>
    </row>
    <row r="82" spans="256:256" s="4" customFormat="1" ht="12.75" customHeight="1">
      <c r="IV82" s="136"/>
    </row>
    <row r="83" spans="256:256" s="4" customFormat="1" ht="12.75" customHeight="1">
      <c r="IV83" s="136"/>
    </row>
    <row r="84" spans="256:256" s="4" customFormat="1" ht="12.75" customHeight="1">
      <c r="IV84" s="136"/>
    </row>
    <row r="85" spans="256:256" s="4" customFormat="1" ht="12.75" customHeight="1">
      <c r="IV85" s="136"/>
    </row>
    <row r="86" spans="256:256" s="4" customFormat="1" ht="12.75" customHeight="1">
      <c r="IV86" s="136"/>
    </row>
    <row r="87" spans="256:256" s="4" customFormat="1" ht="12.75" customHeight="1">
      <c r="IV87" s="136"/>
    </row>
    <row r="88" spans="256:256" s="4" customFormat="1" ht="12.75" customHeight="1">
      <c r="IV88" s="136"/>
    </row>
    <row r="89" spans="256:256" s="4" customFormat="1" ht="12.75" customHeight="1">
      <c r="IV89" s="136"/>
    </row>
    <row r="90" spans="256:256" s="4" customFormat="1" ht="12.75" customHeight="1">
      <c r="IV90" s="136"/>
    </row>
    <row r="91" spans="256:256" s="4" customFormat="1" ht="12.75" customHeight="1">
      <c r="IV91" s="136"/>
    </row>
    <row r="92" spans="256:256" s="4" customFormat="1" ht="12.75" customHeight="1">
      <c r="IV92" s="136"/>
    </row>
    <row r="93" spans="256:256" s="4" customFormat="1" ht="12.75" customHeight="1">
      <c r="IV93" s="136"/>
    </row>
    <row r="94" spans="256:256" s="4" customFormat="1" ht="12.75" customHeight="1">
      <c r="IV94" s="136"/>
    </row>
    <row r="95" spans="256:256" s="4" customFormat="1" ht="12.75" customHeight="1">
      <c r="IV95" s="136"/>
    </row>
    <row r="96" spans="256:256" s="4" customFormat="1" ht="12.75" customHeight="1">
      <c r="IV96" s="136"/>
    </row>
    <row r="97" spans="256:256" s="4" customFormat="1" ht="12.75" customHeight="1">
      <c r="IV97" s="136"/>
    </row>
    <row r="98" spans="256:256" s="4" customFormat="1" ht="12.75" customHeight="1">
      <c r="IV98" s="136"/>
    </row>
    <row r="99" spans="256:256" s="4" customFormat="1" ht="12.75" customHeight="1">
      <c r="IV99" s="136"/>
    </row>
    <row r="100" spans="256:256" s="4" customFormat="1" ht="12.75" customHeight="1">
      <c r="IV100" s="136"/>
    </row>
    <row r="101" spans="256:256" s="4" customFormat="1" ht="12.75" customHeight="1">
      <c r="IV101" s="136"/>
    </row>
    <row r="102" spans="256:256" s="4" customFormat="1" ht="12.75" customHeight="1">
      <c r="IV102" s="136"/>
    </row>
    <row r="103" spans="256:256" s="4" customFormat="1" ht="12.75" customHeight="1">
      <c r="IV103" s="136"/>
    </row>
    <row r="104" spans="256:256" s="4" customFormat="1" ht="12.75" customHeight="1">
      <c r="IV104" s="136"/>
    </row>
    <row r="105" spans="256:256" s="4" customFormat="1" ht="12.75" customHeight="1">
      <c r="IV105" s="136"/>
    </row>
    <row r="106" spans="256:256" s="4" customFormat="1" ht="12.75" customHeight="1">
      <c r="IV106" s="136"/>
    </row>
    <row r="107" spans="256:256" s="4" customFormat="1" ht="12.75" customHeight="1">
      <c r="IV107" s="136"/>
    </row>
    <row r="108" spans="256:256" s="4" customFormat="1" ht="12.75" customHeight="1">
      <c r="IV108" s="136"/>
    </row>
    <row r="109" spans="256:256" s="4" customFormat="1" ht="12.75" customHeight="1">
      <c r="IV109" s="136"/>
    </row>
    <row r="110" spans="256:256" s="4" customFormat="1" ht="12.75" customHeight="1">
      <c r="IV110" s="136"/>
    </row>
    <row r="111" spans="256:256" s="4" customFormat="1" ht="12.75" customHeight="1">
      <c r="IV111" s="136"/>
    </row>
    <row r="112" spans="256:256" s="4" customFormat="1" ht="12.75" customHeight="1">
      <c r="IV112" s="136"/>
    </row>
    <row r="113" spans="256:256" s="4" customFormat="1" ht="12.75" customHeight="1">
      <c r="IV113" s="136"/>
    </row>
    <row r="114" spans="256:256" s="4" customFormat="1" ht="12.75" customHeight="1">
      <c r="IV114" s="136"/>
    </row>
    <row r="115" spans="256:256" s="4" customFormat="1" ht="12.75" customHeight="1">
      <c r="IV115" s="136"/>
    </row>
    <row r="116" spans="256:256" s="4" customFormat="1" ht="12.75" customHeight="1">
      <c r="IV116" s="136"/>
    </row>
    <row r="117" spans="256:256" s="4" customFormat="1" ht="12.75" customHeight="1">
      <c r="IV117" s="136"/>
    </row>
    <row r="118" spans="256:256" s="4" customFormat="1" ht="12.75" customHeight="1">
      <c r="IV118" s="136"/>
    </row>
    <row r="119" spans="256:256" s="4" customFormat="1" ht="12.75" customHeight="1">
      <c r="IV119" s="136"/>
    </row>
    <row r="120" spans="256:256" s="4" customFormat="1" ht="12.75" customHeight="1">
      <c r="IV120" s="136"/>
    </row>
    <row r="121" spans="256:256" s="4" customFormat="1" ht="12.75" customHeight="1">
      <c r="IV121" s="136"/>
    </row>
    <row r="122" spans="256:256" s="4" customFormat="1" ht="12.75" customHeight="1">
      <c r="IV122" s="136"/>
    </row>
    <row r="123" spans="256:256" s="4" customFormat="1" ht="12.75" customHeight="1">
      <c r="IV123" s="136"/>
    </row>
    <row r="124" spans="256:256" s="4" customFormat="1" ht="12.75" customHeight="1">
      <c r="IV124" s="136"/>
    </row>
    <row r="125" spans="256:256" s="4" customFormat="1" ht="12.75" customHeight="1">
      <c r="IV125" s="136"/>
    </row>
    <row r="126" spans="256:256" s="4" customFormat="1" ht="12.75" customHeight="1">
      <c r="IV126" s="136"/>
    </row>
    <row r="127" spans="256:256" s="4" customFormat="1" ht="12.75" customHeight="1">
      <c r="IV127" s="136"/>
    </row>
    <row r="128" spans="256:256" s="4" customFormat="1" ht="12.75" customHeight="1">
      <c r="IV128" s="136"/>
    </row>
    <row r="129" spans="256:256" s="4" customFormat="1" ht="12.75" customHeight="1">
      <c r="IV129" s="136"/>
    </row>
    <row r="130" spans="256:256" s="4" customFormat="1" ht="12.75" customHeight="1">
      <c r="IV130" s="136"/>
    </row>
    <row r="131" spans="256:256" s="4" customFormat="1" ht="12.75" customHeight="1">
      <c r="IV131" s="136"/>
    </row>
    <row r="132" spans="256:256" s="4" customFormat="1" ht="12.75" customHeight="1">
      <c r="IV132" s="136"/>
    </row>
    <row r="133" spans="256:256" s="4" customFormat="1" ht="12.75" customHeight="1">
      <c r="IV133" s="136"/>
    </row>
    <row r="134" spans="256:256" s="4" customFormat="1" ht="12.75" customHeight="1">
      <c r="IV134" s="136"/>
    </row>
    <row r="135" spans="256:256" s="4" customFormat="1" ht="12.75" customHeight="1">
      <c r="IV135" s="136"/>
    </row>
    <row r="136" spans="256:256" s="4" customFormat="1" ht="12.75" customHeight="1">
      <c r="IV136" s="136"/>
    </row>
    <row r="137" spans="256:256" s="4" customFormat="1" ht="12.75" customHeight="1">
      <c r="IV137" s="136"/>
    </row>
    <row r="138" spans="256:256" s="4" customFormat="1" ht="12.75" customHeight="1">
      <c r="IV138" s="136"/>
    </row>
    <row r="139" spans="256:256" s="4" customFormat="1" ht="12.75" customHeight="1">
      <c r="IV139" s="136"/>
    </row>
    <row r="140" spans="256:256" s="4" customFormat="1" ht="12.75" customHeight="1">
      <c r="IV140" s="136"/>
    </row>
    <row r="141" spans="256:256" s="4" customFormat="1" ht="12.75" customHeight="1">
      <c r="IV141" s="136"/>
    </row>
    <row r="142" spans="256:256" s="4" customFormat="1" ht="12.75" customHeight="1">
      <c r="IV142" s="136"/>
    </row>
    <row r="143" spans="256:256" s="4" customFormat="1" ht="12.75" customHeight="1">
      <c r="IV143" s="136"/>
    </row>
    <row r="144" spans="256:256" s="4" customFormat="1" ht="12.75" customHeight="1">
      <c r="IV144" s="136"/>
    </row>
    <row r="145" spans="256:256" s="4" customFormat="1" ht="12.75" customHeight="1">
      <c r="IV145" s="136"/>
    </row>
    <row r="146" spans="256:256" s="4" customFormat="1" ht="12.75" customHeight="1">
      <c r="IV146" s="136"/>
    </row>
    <row r="147" spans="256:256" s="4" customFormat="1" ht="12.75" customHeight="1">
      <c r="IV147" s="136"/>
    </row>
    <row r="148" spans="256:256" s="4" customFormat="1" ht="12.75" customHeight="1">
      <c r="IV148" s="136"/>
    </row>
    <row r="149" spans="256:256" s="4" customFormat="1" ht="12.75" customHeight="1">
      <c r="IV149" s="136"/>
    </row>
    <row r="150" spans="256:256" s="4" customFormat="1" ht="12.75" customHeight="1">
      <c r="IV150" s="136"/>
    </row>
    <row r="151" spans="256:256" s="4" customFormat="1" ht="12.75" customHeight="1">
      <c r="IV151" s="136"/>
    </row>
    <row r="152" spans="256:256" s="4" customFormat="1" ht="12.75" customHeight="1">
      <c r="IV152" s="136"/>
    </row>
    <row r="153" spans="256:256" s="4" customFormat="1" ht="12.75" customHeight="1">
      <c r="IV153" s="136"/>
    </row>
    <row r="154" spans="256:256" s="4" customFormat="1" ht="12.75" customHeight="1">
      <c r="IV154" s="136"/>
    </row>
    <row r="155" spans="256:256" s="4" customFormat="1" ht="12.75" customHeight="1">
      <c r="IV155" s="136"/>
    </row>
    <row r="156" spans="256:256" s="4" customFormat="1" ht="12.75" customHeight="1">
      <c r="IV156" s="136"/>
    </row>
    <row r="157" spans="256:256" s="4" customFormat="1" ht="12.75" customHeight="1">
      <c r="IV157" s="136"/>
    </row>
    <row r="158" spans="256:256" s="4" customFormat="1" ht="12.75" customHeight="1">
      <c r="IV158" s="136"/>
    </row>
    <row r="159" spans="256:256" s="4" customFormat="1" ht="12.75" customHeight="1">
      <c r="IV159" s="136"/>
    </row>
    <row r="160" spans="256:256" s="4" customFormat="1" ht="12.75" customHeight="1">
      <c r="IV160" s="136"/>
    </row>
    <row r="161" spans="256:256" s="4" customFormat="1" ht="12.75" customHeight="1">
      <c r="IV161" s="136"/>
    </row>
    <row r="162" spans="256:256" s="4" customFormat="1" ht="12.75" customHeight="1">
      <c r="IV162" s="136"/>
    </row>
    <row r="163" spans="256:256" s="4" customFormat="1" ht="12.75" customHeight="1">
      <c r="IV163" s="136"/>
    </row>
    <row r="164" spans="256:256" s="4" customFormat="1" ht="12.75" customHeight="1">
      <c r="IV164" s="136"/>
    </row>
    <row r="165" spans="256:256" s="4" customFormat="1" ht="12.75" customHeight="1">
      <c r="IV165" s="136"/>
    </row>
    <row r="166" spans="256:256" s="4" customFormat="1" ht="12.75" customHeight="1">
      <c r="IV166" s="136"/>
    </row>
    <row r="167" spans="256:256" s="4" customFormat="1" ht="12.75" customHeight="1">
      <c r="IV167" s="136"/>
    </row>
    <row r="168" spans="256:256" s="4" customFormat="1" ht="12.75" customHeight="1">
      <c r="IV168" s="136"/>
    </row>
    <row r="169" spans="256:256" s="4" customFormat="1" ht="12.75" customHeight="1">
      <c r="IV169" s="136"/>
    </row>
    <row r="170" spans="256:256" s="4" customFormat="1" ht="12.75" customHeight="1">
      <c r="IV170" s="136"/>
    </row>
    <row r="171" spans="256:256" s="4" customFormat="1" ht="12.75" customHeight="1">
      <c r="IV171" s="136"/>
    </row>
    <row r="172" spans="256:256" s="4" customFormat="1" ht="12.75" customHeight="1">
      <c r="IV172" s="136"/>
    </row>
    <row r="173" spans="256:256" s="4" customFormat="1" ht="12.75" customHeight="1">
      <c r="IV173" s="136"/>
    </row>
    <row r="174" spans="256:256" s="4" customFormat="1" ht="12.75" customHeight="1">
      <c r="IV174" s="136"/>
    </row>
    <row r="175" spans="256:256" s="4" customFormat="1" ht="12.75" customHeight="1">
      <c r="IV175" s="136"/>
    </row>
    <row r="176" spans="256:256" s="4" customFormat="1" ht="12.75" customHeight="1">
      <c r="IV176" s="136"/>
    </row>
    <row r="177" spans="256:256" s="4" customFormat="1" ht="12.75" customHeight="1">
      <c r="IV177" s="136"/>
    </row>
    <row r="178" spans="256:256" s="4" customFormat="1" ht="12.75" customHeight="1">
      <c r="IV178" s="136"/>
    </row>
    <row r="179" spans="256:256" s="4" customFormat="1" ht="12.75" customHeight="1">
      <c r="IV179" s="136"/>
    </row>
    <row r="180" spans="256:256" s="4" customFormat="1" ht="12.75" customHeight="1">
      <c r="IV180" s="136"/>
    </row>
    <row r="181" spans="256:256" s="4" customFormat="1" ht="12.75" customHeight="1">
      <c r="IV181" s="136"/>
    </row>
    <row r="182" spans="256:256" s="4" customFormat="1" ht="12.75" customHeight="1">
      <c r="IV182" s="136"/>
    </row>
    <row r="183" spans="256:256" s="4" customFormat="1" ht="12.75" customHeight="1">
      <c r="IV183" s="136"/>
    </row>
    <row r="184" spans="256:256" s="4" customFormat="1" ht="12.75" customHeight="1">
      <c r="IV184" s="136"/>
    </row>
    <row r="185" spans="256:256" s="4" customFormat="1" ht="12.75" customHeight="1">
      <c r="IV185" s="136"/>
    </row>
    <row r="186" spans="256:256" s="4" customFormat="1" ht="12.75" customHeight="1">
      <c r="IV186" s="136"/>
    </row>
    <row r="187" spans="256:256" s="4" customFormat="1" ht="12.75" customHeight="1">
      <c r="IV187" s="136"/>
    </row>
    <row r="188" spans="256:256" s="4" customFormat="1" ht="12.75" customHeight="1">
      <c r="IV188" s="136"/>
    </row>
    <row r="189" spans="256:256" s="4" customFormat="1" ht="12.75" customHeight="1">
      <c r="IV189" s="136"/>
    </row>
    <row r="190" spans="256:256" s="4" customFormat="1" ht="12.75" customHeight="1">
      <c r="IV190" s="136"/>
    </row>
    <row r="191" spans="256:256" s="4" customFormat="1" ht="12.75" customHeight="1">
      <c r="IV191" s="136"/>
    </row>
    <row r="192" spans="256:256" s="4" customFormat="1" ht="12.75" customHeight="1">
      <c r="IV192" s="136"/>
    </row>
    <row r="193" spans="256:256" s="4" customFormat="1" ht="12.75" customHeight="1">
      <c r="IV193" s="136"/>
    </row>
    <row r="194" spans="256:256" s="4" customFormat="1" ht="12.75" customHeight="1">
      <c r="IV194" s="136"/>
    </row>
    <row r="195" spans="256:256" s="4" customFormat="1" ht="12.75" customHeight="1">
      <c r="IV195" s="136"/>
    </row>
    <row r="196" spans="256:256" s="4" customFormat="1" ht="12.75" customHeight="1">
      <c r="IV196" s="136"/>
    </row>
    <row r="197" spans="256:256" s="4" customFormat="1" ht="12.75" customHeight="1">
      <c r="IV197" s="136"/>
    </row>
    <row r="198" spans="256:256" s="4" customFormat="1" ht="12.75" customHeight="1">
      <c r="IV198" s="136"/>
    </row>
    <row r="199" spans="256:256" s="4" customFormat="1" ht="12.75" customHeight="1">
      <c r="IV199" s="136"/>
    </row>
    <row r="200" spans="256:256" s="4" customFormat="1" ht="12.75" customHeight="1">
      <c r="IV200" s="136"/>
    </row>
    <row r="201" spans="256:256" s="4" customFormat="1" ht="12.75" customHeight="1">
      <c r="IV201" s="136"/>
    </row>
    <row r="202" spans="256:256" s="4" customFormat="1" ht="12.75" customHeight="1">
      <c r="IV202" s="136"/>
    </row>
    <row r="203" spans="256:256" s="4" customFormat="1" ht="12.75" customHeight="1">
      <c r="IV203" s="136"/>
    </row>
    <row r="204" spans="256:256" s="4" customFormat="1" ht="12.75" customHeight="1">
      <c r="IV204" s="136"/>
    </row>
    <row r="205" spans="256:256" s="4" customFormat="1" ht="12.75" customHeight="1">
      <c r="IV205" s="136"/>
    </row>
    <row r="206" spans="256:256" s="4" customFormat="1" ht="12.75" customHeight="1">
      <c r="IV206" s="136"/>
    </row>
    <row r="207" spans="256:256" s="4" customFormat="1" ht="12.75" customHeight="1">
      <c r="IV207" s="136"/>
    </row>
    <row r="208" spans="256:256" s="4" customFormat="1" ht="12.75" customHeight="1">
      <c r="IV208" s="136"/>
    </row>
    <row r="209" spans="256:256" s="4" customFormat="1" ht="12.75" customHeight="1">
      <c r="IV209" s="136"/>
    </row>
    <row r="210" spans="256:256" s="4" customFormat="1" ht="12.75" customHeight="1">
      <c r="IV210" s="136"/>
    </row>
    <row r="211" spans="256:256" s="4" customFormat="1" ht="12.75" customHeight="1">
      <c r="IV211" s="136"/>
    </row>
    <row r="212" spans="256:256" s="4" customFormat="1" ht="12.75" customHeight="1">
      <c r="IV212" s="136"/>
    </row>
    <row r="213" spans="256:256" s="4" customFormat="1" ht="12.75" customHeight="1">
      <c r="IV213" s="136"/>
    </row>
    <row r="214" spans="256:256" s="4" customFormat="1" ht="12.75" customHeight="1">
      <c r="IV214" s="136"/>
    </row>
    <row r="215" spans="256:256" s="4" customFormat="1" ht="12.75" customHeight="1">
      <c r="IV215" s="136"/>
    </row>
    <row r="216" spans="256:256" s="4" customFormat="1" ht="12.75" customHeight="1">
      <c r="IV216" s="136"/>
    </row>
    <row r="217" spans="256:256" s="4" customFormat="1" ht="12.75" customHeight="1">
      <c r="IV217" s="136"/>
    </row>
    <row r="218" spans="256:256" s="4" customFormat="1" ht="12.75" customHeight="1">
      <c r="IV218" s="136"/>
    </row>
    <row r="219" spans="256:256" s="4" customFormat="1" ht="12.75" customHeight="1">
      <c r="IV219" s="136"/>
    </row>
    <row r="220" spans="256:256" s="4" customFormat="1" ht="12.75" customHeight="1">
      <c r="IV220" s="136"/>
    </row>
    <row r="221" spans="256:256" s="4" customFormat="1" ht="12.75" customHeight="1">
      <c r="IV221" s="136"/>
    </row>
    <row r="222" spans="256:256" s="4" customFormat="1" ht="12.75" customHeight="1">
      <c r="IV222" s="136"/>
    </row>
    <row r="223" spans="256:256" s="4" customFormat="1" ht="12.75" customHeight="1">
      <c r="IV223" s="136"/>
    </row>
    <row r="224" spans="256:256" s="4" customFormat="1" ht="12.75" customHeight="1">
      <c r="IV224" s="136"/>
    </row>
    <row r="225" spans="256:256" s="4" customFormat="1" ht="12.75" customHeight="1">
      <c r="IV225" s="136"/>
    </row>
    <row r="226" spans="256:256" s="4" customFormat="1" ht="12.75" customHeight="1">
      <c r="IV226" s="136"/>
    </row>
    <row r="227" spans="256:256" s="4" customFormat="1" ht="12.75" customHeight="1">
      <c r="IV227" s="136"/>
    </row>
    <row r="228" spans="256:256" s="4" customFormat="1" ht="12.75" customHeight="1">
      <c r="IV228" s="136"/>
    </row>
    <row r="229" spans="256:256" s="4" customFormat="1" ht="12.75" customHeight="1">
      <c r="IV229" s="136"/>
    </row>
    <row r="230" spans="256:256" s="4" customFormat="1" ht="12.75" customHeight="1">
      <c r="IV230" s="136"/>
    </row>
    <row r="231" spans="256:256" s="4" customFormat="1" ht="12.75" customHeight="1">
      <c r="IV231" s="136"/>
    </row>
    <row r="232" spans="256:256" s="4" customFormat="1" ht="12.75" customHeight="1">
      <c r="IV232" s="136"/>
    </row>
    <row r="233" spans="256:256" s="4" customFormat="1" ht="12.75" customHeight="1">
      <c r="IV233" s="136"/>
    </row>
    <row r="234" spans="256:256" s="4" customFormat="1" ht="12.75" customHeight="1">
      <c r="IV234" s="136"/>
    </row>
    <row r="235" spans="256:256" s="4" customFormat="1" ht="12.75" customHeight="1">
      <c r="IV235" s="136"/>
    </row>
    <row r="236" spans="256:256" s="4" customFormat="1" ht="12.75" customHeight="1">
      <c r="IV236" s="136"/>
    </row>
    <row r="237" spans="256:256" s="4" customFormat="1" ht="12.75" customHeight="1">
      <c r="IV237" s="136"/>
    </row>
    <row r="238" spans="256:256" s="4" customFormat="1" ht="12.75" customHeight="1">
      <c r="IV238" s="136"/>
    </row>
    <row r="239" spans="256:256" s="4" customFormat="1" ht="12.75" customHeight="1">
      <c r="IV239" s="136"/>
    </row>
    <row r="240" spans="256:256" s="4" customFormat="1" ht="12.75" customHeight="1">
      <c r="IV240" s="136"/>
    </row>
    <row r="241" spans="256:256" s="4" customFormat="1" ht="12.75" customHeight="1">
      <c r="IV241" s="136"/>
    </row>
    <row r="242" spans="256:256" s="4" customFormat="1" ht="12.75" customHeight="1">
      <c r="IV242" s="136"/>
    </row>
    <row r="243" spans="256:256" s="4" customFormat="1" ht="12.75" customHeight="1">
      <c r="IV243" s="136"/>
    </row>
    <row r="244" spans="256:256" s="4" customFormat="1" ht="12.75" customHeight="1">
      <c r="IV244" s="136"/>
    </row>
    <row r="245" spans="256:256" s="4" customFormat="1" ht="12.75" customHeight="1">
      <c r="IV245" s="136"/>
    </row>
    <row r="246" spans="256:256" s="4" customFormat="1" ht="12.75" customHeight="1">
      <c r="IV246" s="136"/>
    </row>
    <row r="247" spans="256:256" s="4" customFormat="1" ht="12.75" customHeight="1">
      <c r="IV247" s="136"/>
    </row>
    <row r="248" spans="256:256" s="4" customFormat="1" ht="12.75" customHeight="1">
      <c r="IV248" s="136"/>
    </row>
    <row r="249" spans="256:256" s="4" customFormat="1" ht="12.75" customHeight="1">
      <c r="IV249" s="136"/>
    </row>
    <row r="250" spans="256:256" s="4" customFormat="1" ht="12.75" customHeight="1">
      <c r="IV250" s="136"/>
    </row>
    <row r="251" spans="256:256" s="4" customFormat="1" ht="12.75" customHeight="1">
      <c r="IV251" s="136"/>
    </row>
    <row r="252" spans="256:256" s="4" customFormat="1" ht="12.75" customHeight="1">
      <c r="IV252" s="136"/>
    </row>
    <row r="253" spans="256:256" s="4" customFormat="1" ht="12.75" customHeight="1">
      <c r="IV253" s="136"/>
    </row>
    <row r="254" spans="256:256" s="4" customFormat="1" ht="12.75" customHeight="1">
      <c r="IV254" s="136"/>
    </row>
    <row r="255" spans="256:256" s="4" customFormat="1" ht="12.75" customHeight="1">
      <c r="IV255" s="136"/>
    </row>
    <row r="256" spans="256:256" s="4" customFormat="1" ht="12.75" customHeight="1">
      <c r="IV256" s="136"/>
    </row>
    <row r="257" spans="256:256" s="4" customFormat="1" ht="12.75" customHeight="1">
      <c r="IV257" s="136"/>
    </row>
    <row r="258" spans="256:256" s="4" customFormat="1" ht="12.75" customHeight="1">
      <c r="IV258" s="136"/>
    </row>
    <row r="259" spans="256:256" s="4" customFormat="1" ht="12.75" customHeight="1">
      <c r="IV259" s="136"/>
    </row>
    <row r="260" spans="256:256" s="4" customFormat="1" ht="12.75" customHeight="1">
      <c r="IV260" s="136"/>
    </row>
    <row r="261" spans="256:256" s="4" customFormat="1" ht="12.75" customHeight="1">
      <c r="IV261" s="136"/>
    </row>
    <row r="262" spans="256:256" s="4" customFormat="1" ht="12.75" customHeight="1">
      <c r="IV262" s="136"/>
    </row>
    <row r="263" spans="256:256" s="4" customFormat="1" ht="12.75" customHeight="1">
      <c r="IV263" s="136"/>
    </row>
    <row r="264" spans="256:256" s="4" customFormat="1" ht="12.75" customHeight="1">
      <c r="IV264" s="136"/>
    </row>
    <row r="265" spans="256:256" s="4" customFormat="1" ht="12.75" customHeight="1">
      <c r="IV265" s="136"/>
    </row>
    <row r="266" spans="256:256" s="4" customFormat="1" ht="12.75" customHeight="1">
      <c r="IV266" s="136"/>
    </row>
    <row r="267" spans="256:256" s="4" customFormat="1" ht="12.75" customHeight="1">
      <c r="IV267" s="136"/>
    </row>
    <row r="268" spans="256:256" s="4" customFormat="1" ht="12.75" customHeight="1">
      <c r="IV268" s="136"/>
    </row>
    <row r="269" spans="256:256" s="4" customFormat="1" ht="12.75" customHeight="1">
      <c r="IV269" s="136"/>
    </row>
    <row r="270" spans="256:256" s="4" customFormat="1" ht="12.75" customHeight="1">
      <c r="IV270" s="136"/>
    </row>
    <row r="271" spans="256:256" s="4" customFormat="1" ht="12.75" customHeight="1">
      <c r="IV271" s="136"/>
    </row>
    <row r="272" spans="256:256" s="4" customFormat="1" ht="12.75" customHeight="1">
      <c r="IV272" s="136"/>
    </row>
    <row r="273" spans="256:256" s="4" customFormat="1" ht="12.75" customHeight="1">
      <c r="IV273" s="136"/>
    </row>
    <row r="274" spans="256:256" s="4" customFormat="1" ht="12.75" customHeight="1">
      <c r="IV274" s="136"/>
    </row>
    <row r="275" spans="256:256" s="4" customFormat="1" ht="12.75" customHeight="1">
      <c r="IV275" s="136"/>
    </row>
    <row r="276" spans="256:256" s="4" customFormat="1" ht="12.75" customHeight="1">
      <c r="IV276" s="136"/>
    </row>
    <row r="277" spans="256:256" s="4" customFormat="1" ht="12.75" customHeight="1">
      <c r="IV277" s="136"/>
    </row>
    <row r="278" spans="256:256" s="4" customFormat="1" ht="12.75" customHeight="1">
      <c r="IV278" s="136"/>
    </row>
    <row r="279" spans="256:256" s="4" customFormat="1" ht="12.75" customHeight="1">
      <c r="IV279" s="136"/>
    </row>
    <row r="280" spans="256:256" s="4" customFormat="1" ht="12.75" customHeight="1">
      <c r="IV280" s="136"/>
    </row>
    <row r="281" spans="256:256" s="4" customFormat="1" ht="12.75" customHeight="1">
      <c r="IV281" s="136"/>
    </row>
    <row r="282" spans="256:256" s="4" customFormat="1" ht="12.75" customHeight="1">
      <c r="IV282" s="136"/>
    </row>
    <row r="283" spans="256:256" s="4" customFormat="1" ht="12.75" customHeight="1">
      <c r="IV283" s="136"/>
    </row>
    <row r="284" spans="256:256" s="4" customFormat="1" ht="12.75" customHeight="1">
      <c r="IV284" s="136"/>
    </row>
    <row r="285" spans="256:256" s="4" customFormat="1" ht="12.75" customHeight="1">
      <c r="IV285" s="136"/>
    </row>
    <row r="286" spans="256:256" s="4" customFormat="1" ht="12.75" customHeight="1">
      <c r="IV286" s="136"/>
    </row>
    <row r="287" spans="256:256" s="4" customFormat="1" ht="12.75" customHeight="1">
      <c r="IV287" s="136"/>
    </row>
    <row r="288" spans="256:256" s="4" customFormat="1" ht="12.75" customHeight="1">
      <c r="IV288" s="136"/>
    </row>
    <row r="289" spans="256:256" s="4" customFormat="1" ht="12.75" customHeight="1">
      <c r="IV289" s="136"/>
    </row>
    <row r="290" spans="256:256" s="4" customFormat="1" ht="12.75" customHeight="1">
      <c r="IV290" s="136"/>
    </row>
    <row r="291" spans="256:256" s="4" customFormat="1" ht="12.75" customHeight="1">
      <c r="IV291" s="136"/>
    </row>
    <row r="292" spans="256:256" s="4" customFormat="1" ht="12.75" customHeight="1">
      <c r="IV292" s="136"/>
    </row>
    <row r="293" spans="256:256" s="4" customFormat="1" ht="12.75" customHeight="1">
      <c r="IV293" s="136"/>
    </row>
    <row r="294" spans="256:256" s="4" customFormat="1" ht="12.75" customHeight="1">
      <c r="IV294" s="136"/>
    </row>
    <row r="295" spans="256:256" s="4" customFormat="1" ht="12.75" customHeight="1">
      <c r="IV295" s="136"/>
    </row>
    <row r="296" spans="256:256" s="4" customFormat="1" ht="12.75" customHeight="1">
      <c r="IV296" s="136"/>
    </row>
    <row r="297" spans="256:256" s="4" customFormat="1" ht="12.75" customHeight="1">
      <c r="IV297" s="136"/>
    </row>
    <row r="298" spans="256:256" s="4" customFormat="1" ht="12.75" customHeight="1">
      <c r="IV298" s="136"/>
    </row>
    <row r="299" spans="256:256" s="4" customFormat="1" ht="12.75" customHeight="1">
      <c r="IV299" s="136"/>
    </row>
    <row r="300" spans="256:256" s="4" customFormat="1" ht="12.75" customHeight="1">
      <c r="IV300" s="136"/>
    </row>
    <row r="301" spans="256:256" s="4" customFormat="1" ht="12.75" customHeight="1">
      <c r="IV301" s="136"/>
    </row>
    <row r="302" spans="256:256" s="4" customFormat="1" ht="12.75" customHeight="1">
      <c r="IV302" s="136"/>
    </row>
    <row r="303" spans="256:256" s="4" customFormat="1" ht="12.75" customHeight="1">
      <c r="IV303" s="136"/>
    </row>
    <row r="304" spans="256:256" s="4" customFormat="1" ht="12.75" customHeight="1">
      <c r="IV304" s="136"/>
    </row>
    <row r="305" spans="256:256" s="4" customFormat="1" ht="12.75" customHeight="1">
      <c r="IV305" s="136"/>
    </row>
    <row r="306" spans="256:256" s="4" customFormat="1" ht="12.75" customHeight="1">
      <c r="IV306" s="136"/>
    </row>
    <row r="307" spans="256:256" s="4" customFormat="1" ht="12.75" customHeight="1">
      <c r="IV307" s="136"/>
    </row>
    <row r="308" spans="256:256" s="4" customFormat="1" ht="12.75" customHeight="1">
      <c r="IV308" s="136"/>
    </row>
    <row r="309" spans="256:256" s="4" customFormat="1" ht="12.75" customHeight="1">
      <c r="IV309" s="136"/>
    </row>
    <row r="310" spans="256:256" s="4" customFormat="1" ht="12.75" customHeight="1">
      <c r="IV310" s="136"/>
    </row>
    <row r="311" spans="256:256" s="4" customFormat="1" ht="12.75" customHeight="1">
      <c r="IV311" s="136"/>
    </row>
    <row r="312" spans="256:256" s="4" customFormat="1" ht="12.75" customHeight="1">
      <c r="IV312" s="136"/>
    </row>
    <row r="313" spans="256:256" s="4" customFormat="1" ht="12.75" customHeight="1">
      <c r="IV313" s="136"/>
    </row>
    <row r="314" spans="256:256" s="4" customFormat="1" ht="12.75" customHeight="1">
      <c r="IV314" s="136"/>
    </row>
    <row r="315" spans="256:256" s="4" customFormat="1" ht="12.75" customHeight="1">
      <c r="IV315" s="136"/>
    </row>
    <row r="316" spans="256:256" s="4" customFormat="1" ht="12.75" customHeight="1">
      <c r="IV316" s="136"/>
    </row>
    <row r="317" spans="256:256" s="4" customFormat="1" ht="12.75" customHeight="1">
      <c r="IV317" s="136"/>
    </row>
    <row r="318" spans="256:256" s="4" customFormat="1" ht="12.75" customHeight="1">
      <c r="IV318" s="136"/>
    </row>
    <row r="319" spans="256:256" s="4" customFormat="1" ht="12.75" customHeight="1">
      <c r="IV319" s="136"/>
    </row>
    <row r="320" spans="256:256" s="4" customFormat="1" ht="12.75" customHeight="1">
      <c r="IV320" s="136"/>
    </row>
    <row r="321" spans="256:256" s="4" customFormat="1" ht="12.75" customHeight="1">
      <c r="IV321" s="136"/>
    </row>
    <row r="322" spans="256:256" s="4" customFormat="1" ht="12.75" customHeight="1">
      <c r="IV322" s="136"/>
    </row>
    <row r="323" spans="256:256" s="4" customFormat="1" ht="12.75" customHeight="1">
      <c r="IV323" s="136"/>
    </row>
    <row r="324" spans="256:256" s="4" customFormat="1" ht="12.75" customHeight="1">
      <c r="IV324" s="136"/>
    </row>
    <row r="325" spans="256:256" s="4" customFormat="1" ht="12.75" customHeight="1">
      <c r="IV325" s="136"/>
    </row>
    <row r="326" spans="256:256" s="4" customFormat="1" ht="12.75" customHeight="1">
      <c r="IV326" s="136"/>
    </row>
    <row r="327" spans="256:256" s="4" customFormat="1" ht="12.75" customHeight="1">
      <c r="IV327" s="136"/>
    </row>
    <row r="328" spans="256:256" s="4" customFormat="1" ht="12.75" customHeight="1">
      <c r="IV328" s="136"/>
    </row>
    <row r="329" spans="256:256" s="4" customFormat="1" ht="12.75" customHeight="1">
      <c r="IV329" s="136"/>
    </row>
    <row r="330" spans="256:256" s="4" customFormat="1" ht="12.75" customHeight="1">
      <c r="IV330" s="136"/>
    </row>
    <row r="331" spans="256:256" s="4" customFormat="1" ht="12.75" customHeight="1">
      <c r="IV331" s="136"/>
    </row>
    <row r="332" spans="256:256" s="4" customFormat="1" ht="12.75" customHeight="1">
      <c r="IV332" s="136"/>
    </row>
    <row r="333" spans="256:256" s="4" customFormat="1" ht="12.75" customHeight="1">
      <c r="IV333" s="136"/>
    </row>
    <row r="334" spans="256:256" s="4" customFormat="1" ht="12.75" customHeight="1">
      <c r="IV334" s="136"/>
    </row>
    <row r="335" spans="256:256" s="4" customFormat="1" ht="12.75" customHeight="1">
      <c r="IV335" s="136"/>
    </row>
    <row r="336" spans="256:256" s="4" customFormat="1" ht="12.75" customHeight="1">
      <c r="IV336" s="136"/>
    </row>
    <row r="337" spans="256:256" s="4" customFormat="1" ht="12.75" customHeight="1">
      <c r="IV337" s="136"/>
    </row>
    <row r="338" spans="256:256" s="4" customFormat="1" ht="12.75" customHeight="1">
      <c r="IV338" s="136"/>
    </row>
    <row r="339" spans="256:256" s="4" customFormat="1" ht="12.75" customHeight="1">
      <c r="IV339" s="136"/>
    </row>
    <row r="340" spans="256:256" s="4" customFormat="1" ht="12.75" customHeight="1">
      <c r="IV340" s="136"/>
    </row>
    <row r="341" spans="256:256" s="4" customFormat="1" ht="12.75" customHeight="1">
      <c r="IV341" s="136"/>
    </row>
    <row r="342" spans="256:256" s="4" customFormat="1" ht="12.75" customHeight="1">
      <c r="IV342" s="136"/>
    </row>
    <row r="343" spans="256:256" s="4" customFormat="1" ht="12.75" customHeight="1">
      <c r="IV343" s="136"/>
    </row>
    <row r="344" spans="256:256" s="4" customFormat="1" ht="12.75" customHeight="1">
      <c r="IV344" s="136"/>
    </row>
    <row r="345" spans="256:256" s="4" customFormat="1" ht="12.75" customHeight="1">
      <c r="IV345" s="136"/>
    </row>
    <row r="346" spans="256:256" s="4" customFormat="1" ht="12.75" customHeight="1">
      <c r="IV346" s="136"/>
    </row>
    <row r="347" spans="256:256" s="4" customFormat="1" ht="12.75" customHeight="1">
      <c r="IV347" s="136"/>
    </row>
    <row r="348" spans="256:256" s="4" customFormat="1" ht="12.75" customHeight="1">
      <c r="IV348" s="136"/>
    </row>
    <row r="349" spans="256:256" s="4" customFormat="1" ht="12.75" customHeight="1">
      <c r="IV349" s="136"/>
    </row>
    <row r="350" spans="256:256" s="4" customFormat="1" ht="12.75" customHeight="1">
      <c r="IV350" s="136"/>
    </row>
    <row r="351" spans="256:256" s="4" customFormat="1" ht="12.75" customHeight="1">
      <c r="IV351" s="136"/>
    </row>
    <row r="352" spans="256:256" s="4" customFormat="1" ht="12.75" customHeight="1">
      <c r="IV352" s="136"/>
    </row>
    <row r="353" spans="256:256" s="4" customFormat="1" ht="12.75" customHeight="1">
      <c r="IV353" s="136"/>
    </row>
    <row r="354" spans="256:256" s="4" customFormat="1" ht="12.75" customHeight="1">
      <c r="IV354" s="136"/>
    </row>
    <row r="355" spans="256:256" s="4" customFormat="1" ht="12.75" customHeight="1">
      <c r="IV355" s="136"/>
    </row>
    <row r="356" spans="256:256" s="4" customFormat="1" ht="12.75" customHeight="1">
      <c r="IV356" s="136"/>
    </row>
    <row r="357" spans="256:256" s="4" customFormat="1" ht="12.75" customHeight="1">
      <c r="IV357" s="136"/>
    </row>
    <row r="358" spans="256:256" s="4" customFormat="1" ht="12.75" customHeight="1">
      <c r="IV358" s="136"/>
    </row>
    <row r="359" spans="256:256" s="4" customFormat="1" ht="12.75" customHeight="1">
      <c r="IV359" s="136"/>
    </row>
    <row r="360" spans="256:256" s="4" customFormat="1" ht="12.75" customHeight="1">
      <c r="IV360" s="136"/>
    </row>
    <row r="361" spans="256:256" s="4" customFormat="1" ht="12.75" customHeight="1">
      <c r="IV361" s="136"/>
    </row>
    <row r="362" spans="256:256" s="4" customFormat="1" ht="12.75" customHeight="1">
      <c r="IV362" s="136"/>
    </row>
    <row r="363" spans="256:256" s="4" customFormat="1" ht="12.75" customHeight="1">
      <c r="IV363" s="136"/>
    </row>
    <row r="364" spans="256:256" s="4" customFormat="1" ht="12.75" customHeight="1">
      <c r="IV364" s="136"/>
    </row>
    <row r="365" spans="256:256" s="4" customFormat="1" ht="12.75" customHeight="1">
      <c r="IV365" s="136"/>
    </row>
    <row r="366" spans="256:256" s="4" customFormat="1" ht="12.75" customHeight="1">
      <c r="IV366" s="136"/>
    </row>
    <row r="367" spans="256:256" s="4" customFormat="1" ht="12.75" customHeight="1">
      <c r="IV367" s="136"/>
    </row>
    <row r="368" spans="256:256" s="4" customFormat="1" ht="12.75" customHeight="1">
      <c r="IV368" s="136"/>
    </row>
    <row r="369" spans="256:256" s="4" customFormat="1" ht="12.75" customHeight="1">
      <c r="IV369" s="136"/>
    </row>
    <row r="370" spans="256:256" s="4" customFormat="1" ht="12.75" customHeight="1">
      <c r="IV370" s="136"/>
    </row>
    <row r="371" spans="256:256" s="4" customFormat="1" ht="12.75" customHeight="1">
      <c r="IV371" s="136"/>
    </row>
    <row r="372" spans="256:256" s="4" customFormat="1" ht="12.75" customHeight="1">
      <c r="IV372" s="136"/>
    </row>
    <row r="373" spans="256:256" s="4" customFormat="1" ht="12.75" customHeight="1">
      <c r="IV373" s="136"/>
    </row>
    <row r="374" spans="256:256" s="4" customFormat="1" ht="12.75" customHeight="1">
      <c r="IV374" s="136"/>
    </row>
    <row r="375" spans="256:256" s="4" customFormat="1" ht="12.75" customHeight="1">
      <c r="IV375" s="136"/>
    </row>
    <row r="376" spans="256:256" s="4" customFormat="1" ht="12.75" customHeight="1">
      <c r="IV376" s="136"/>
    </row>
    <row r="377" spans="256:256" s="4" customFormat="1" ht="12.75" customHeight="1">
      <c r="IV377" s="136"/>
    </row>
    <row r="378" spans="256:256" s="4" customFormat="1" ht="12.75" customHeight="1">
      <c r="IV378" s="136"/>
    </row>
    <row r="379" spans="256:256" s="4" customFormat="1" ht="12.75" customHeight="1">
      <c r="IV379" s="136"/>
    </row>
    <row r="380" spans="256:256" s="4" customFormat="1" ht="12.75" customHeight="1">
      <c r="IV380" s="136"/>
    </row>
    <row r="381" spans="256:256" s="4" customFormat="1" ht="12.75" customHeight="1">
      <c r="IV381" s="136"/>
    </row>
    <row r="382" spans="256:256" s="4" customFormat="1" ht="12.75" customHeight="1">
      <c r="IV382" s="136"/>
    </row>
    <row r="383" spans="256:256" s="4" customFormat="1" ht="12.75" customHeight="1">
      <c r="IV383" s="136"/>
    </row>
    <row r="384" spans="256:256" s="4" customFormat="1" ht="12.75" customHeight="1">
      <c r="IV384" s="136"/>
    </row>
    <row r="385" spans="256:256" s="4" customFormat="1" ht="12.75" customHeight="1">
      <c r="IV385" s="136"/>
    </row>
    <row r="386" spans="256:256" s="4" customFormat="1" ht="12.75" customHeight="1">
      <c r="IV386" s="136"/>
    </row>
    <row r="387" spans="256:256" s="4" customFormat="1" ht="12.75" customHeight="1">
      <c r="IV387" s="136"/>
    </row>
    <row r="388" spans="256:256" s="4" customFormat="1" ht="12.75" customHeight="1">
      <c r="IV388" s="136"/>
    </row>
    <row r="389" spans="256:256" s="4" customFormat="1" ht="12.75" customHeight="1">
      <c r="IV389" s="136"/>
    </row>
    <row r="390" spans="256:256" s="4" customFormat="1" ht="12.75" customHeight="1">
      <c r="IV390" s="136"/>
    </row>
    <row r="391" spans="256:256" s="4" customFormat="1" ht="12.75" customHeight="1">
      <c r="IV391" s="136"/>
    </row>
    <row r="392" spans="256:256" s="4" customFormat="1" ht="12.75" customHeight="1">
      <c r="IV392" s="136"/>
    </row>
    <row r="393" spans="256:256" s="4" customFormat="1" ht="12.75" customHeight="1">
      <c r="IV393" s="136"/>
    </row>
    <row r="394" spans="256:256" s="4" customFormat="1" ht="12.75" customHeight="1">
      <c r="IV394" s="136"/>
    </row>
    <row r="395" spans="256:256" s="4" customFormat="1" ht="12.75" customHeight="1">
      <c r="IV395" s="136"/>
    </row>
    <row r="396" spans="256:256" s="4" customFormat="1" ht="12.75" customHeight="1">
      <c r="IV396" s="136"/>
    </row>
    <row r="397" spans="256:256" s="4" customFormat="1" ht="12.75" customHeight="1">
      <c r="IV397" s="136"/>
    </row>
    <row r="398" spans="256:256" s="4" customFormat="1" ht="12.75" customHeight="1">
      <c r="IV398" s="136"/>
    </row>
    <row r="399" spans="256:256" s="4" customFormat="1" ht="12.75" customHeight="1">
      <c r="IV399" s="136"/>
    </row>
    <row r="400" spans="256:256" s="4" customFormat="1" ht="12.75" customHeight="1">
      <c r="IV400" s="136"/>
    </row>
    <row r="401" spans="256:256" s="4" customFormat="1" ht="12.75" customHeight="1">
      <c r="IV401" s="136"/>
    </row>
    <row r="402" spans="256:256" s="4" customFormat="1" ht="12.75" customHeight="1">
      <c r="IV402" s="136"/>
    </row>
    <row r="403" spans="256:256" s="4" customFormat="1" ht="12.75" customHeight="1">
      <c r="IV403" s="136"/>
    </row>
    <row r="404" spans="256:256" s="4" customFormat="1" ht="12.75" customHeight="1">
      <c r="IV404" s="136"/>
    </row>
    <row r="405" spans="256:256" s="4" customFormat="1" ht="12.75" customHeight="1">
      <c r="IV405" s="136"/>
    </row>
    <row r="406" spans="256:256" s="4" customFormat="1" ht="12.75" customHeight="1">
      <c r="IV406" s="136"/>
    </row>
    <row r="407" spans="256:256" s="4" customFormat="1" ht="12.75" customHeight="1">
      <c r="IV407" s="136"/>
    </row>
    <row r="408" spans="256:256" s="4" customFormat="1" ht="12.75" customHeight="1">
      <c r="IV408" s="136"/>
    </row>
    <row r="409" spans="256:256" s="4" customFormat="1" ht="12.75" customHeight="1">
      <c r="IV409" s="136"/>
    </row>
    <row r="410" spans="256:256" s="4" customFormat="1" ht="12.75" customHeight="1">
      <c r="IV410" s="136"/>
    </row>
    <row r="411" spans="256:256" s="4" customFormat="1" ht="12.75" customHeight="1">
      <c r="IV411" s="136"/>
    </row>
    <row r="412" spans="256:256" s="4" customFormat="1" ht="12.75" customHeight="1">
      <c r="IV412" s="136"/>
    </row>
    <row r="413" spans="256:256" s="4" customFormat="1" ht="12.75" customHeight="1">
      <c r="IV413" s="136"/>
    </row>
    <row r="414" spans="256:256" s="4" customFormat="1" ht="12.75" customHeight="1">
      <c r="IV414" s="136"/>
    </row>
    <row r="415" spans="256:256" s="4" customFormat="1" ht="12.75" customHeight="1">
      <c r="IV415" s="136"/>
    </row>
    <row r="416" spans="256:256" s="4" customFormat="1" ht="12.75" customHeight="1">
      <c r="IV416" s="136"/>
    </row>
    <row r="417" spans="256:256" s="4" customFormat="1" ht="12.75" customHeight="1">
      <c r="IV417" s="136"/>
    </row>
    <row r="418" spans="256:256" s="4" customFormat="1" ht="12.75" customHeight="1">
      <c r="IV418" s="136"/>
    </row>
    <row r="419" spans="256:256" s="4" customFormat="1" ht="12.75" customHeight="1">
      <c r="IV419" s="136"/>
    </row>
    <row r="420" spans="256:256" s="4" customFormat="1" ht="12.75" customHeight="1">
      <c r="IV420" s="136"/>
    </row>
    <row r="421" spans="256:256" s="4" customFormat="1" ht="12.75" customHeight="1">
      <c r="IV421" s="136"/>
    </row>
    <row r="422" spans="256:256" s="4" customFormat="1" ht="12.75" customHeight="1">
      <c r="IV422" s="136"/>
    </row>
    <row r="423" spans="256:256" s="4" customFormat="1" ht="12.75" customHeight="1">
      <c r="IV423" s="136"/>
    </row>
    <row r="424" spans="256:256" s="4" customFormat="1" ht="12.75" customHeight="1">
      <c r="IV424" s="136"/>
    </row>
    <row r="425" spans="256:256" s="4" customFormat="1" ht="12.75" customHeight="1">
      <c r="IV425" s="136"/>
    </row>
    <row r="426" spans="256:256" s="4" customFormat="1" ht="12.75" customHeight="1">
      <c r="IV426" s="136"/>
    </row>
    <row r="427" spans="256:256" s="4" customFormat="1" ht="12.75" customHeight="1">
      <c r="IV427" s="136"/>
    </row>
    <row r="428" spans="256:256" s="4" customFormat="1" ht="12.75" customHeight="1">
      <c r="IV428" s="136"/>
    </row>
    <row r="429" spans="256:256" s="4" customFormat="1" ht="12.75" customHeight="1">
      <c r="IV429" s="136"/>
    </row>
    <row r="430" spans="256:256" s="4" customFormat="1" ht="12.75" customHeight="1">
      <c r="IV430" s="136"/>
    </row>
    <row r="431" spans="256:256" s="4" customFormat="1" ht="12.75" customHeight="1">
      <c r="IV431" s="136"/>
    </row>
    <row r="432" spans="256:256" s="4" customFormat="1" ht="12.75" customHeight="1">
      <c r="IV432" s="136"/>
    </row>
    <row r="433" spans="256:256" s="4" customFormat="1" ht="12.75" customHeight="1">
      <c r="IV433" s="136"/>
    </row>
    <row r="434" spans="256:256" s="4" customFormat="1" ht="12.75" customHeight="1">
      <c r="IV434" s="136"/>
    </row>
    <row r="435" spans="256:256" s="4" customFormat="1" ht="12.75" customHeight="1">
      <c r="IV435" s="136"/>
    </row>
    <row r="436" spans="256:256" s="4" customFormat="1" ht="12.75" customHeight="1">
      <c r="IV436" s="136"/>
    </row>
    <row r="437" spans="256:256" s="4" customFormat="1" ht="12.75" customHeight="1">
      <c r="IV437" s="136"/>
    </row>
    <row r="438" spans="256:256" s="4" customFormat="1" ht="12.75" customHeight="1">
      <c r="IV438" s="136"/>
    </row>
    <row r="439" spans="256:256" s="4" customFormat="1" ht="12.75" customHeight="1">
      <c r="IV439" s="136"/>
    </row>
    <row r="440" spans="256:256" s="4" customFormat="1" ht="12.75" customHeight="1">
      <c r="IV440" s="136"/>
    </row>
    <row r="441" spans="256:256" s="4" customFormat="1" ht="12.75" customHeight="1">
      <c r="IV441" s="136"/>
    </row>
    <row r="442" spans="256:256" s="4" customFormat="1" ht="12.75" customHeight="1">
      <c r="IV442" s="136"/>
    </row>
    <row r="443" spans="256:256" s="4" customFormat="1" ht="12.75" customHeight="1">
      <c r="IV443" s="136"/>
    </row>
    <row r="444" spans="256:256" s="4" customFormat="1" ht="12.75" customHeight="1">
      <c r="IV444" s="136"/>
    </row>
    <row r="445" spans="256:256" s="4" customFormat="1" ht="12.75" customHeight="1">
      <c r="IV445" s="136"/>
    </row>
    <row r="446" spans="256:256" s="4" customFormat="1" ht="12.75" customHeight="1">
      <c r="IV446" s="136"/>
    </row>
    <row r="447" spans="256:256" s="4" customFormat="1" ht="12.75" customHeight="1">
      <c r="IV447" s="136"/>
    </row>
    <row r="448" spans="256:256" s="4" customFormat="1" ht="12.75" customHeight="1">
      <c r="IV448" s="136"/>
    </row>
    <row r="449" spans="256:256" s="4" customFormat="1" ht="12.75" customHeight="1">
      <c r="IV449" s="136"/>
    </row>
    <row r="450" spans="256:256" s="4" customFormat="1" ht="12.75" customHeight="1">
      <c r="IV450" s="136"/>
    </row>
    <row r="451" spans="256:256" s="4" customFormat="1" ht="12.75" customHeight="1">
      <c r="IV451" s="136"/>
    </row>
    <row r="452" spans="256:256" s="4" customFormat="1" ht="12.75" customHeight="1">
      <c r="IV452" s="136"/>
    </row>
    <row r="453" spans="256:256" s="4" customFormat="1" ht="12.75" customHeight="1">
      <c r="IV453" s="136"/>
    </row>
    <row r="454" spans="256:256" s="4" customFormat="1" ht="12.75" customHeight="1">
      <c r="IV454" s="136"/>
    </row>
    <row r="455" spans="256:256" s="4" customFormat="1" ht="12.75" customHeight="1">
      <c r="IV455" s="136"/>
    </row>
    <row r="456" spans="256:256" s="4" customFormat="1" ht="12.75" customHeight="1">
      <c r="IV456" s="136"/>
    </row>
    <row r="457" spans="256:256" s="4" customFormat="1" ht="12.75" customHeight="1">
      <c r="IV457" s="136"/>
    </row>
    <row r="458" spans="256:256" s="4" customFormat="1" ht="12.75" customHeight="1">
      <c r="IV458" s="136"/>
    </row>
    <row r="459" spans="256:256" s="4" customFormat="1" ht="12.75" customHeight="1">
      <c r="IV459" s="136"/>
    </row>
    <row r="460" spans="256:256" s="4" customFormat="1" ht="12.75" customHeight="1">
      <c r="IV460" s="136"/>
    </row>
    <row r="461" spans="256:256" s="4" customFormat="1" ht="12.75" customHeight="1">
      <c r="IV461" s="136"/>
    </row>
    <row r="462" spans="256:256" s="4" customFormat="1" ht="12.75" customHeight="1">
      <c r="IV462" s="136"/>
    </row>
    <row r="463" spans="256:256" s="4" customFormat="1" ht="12.75" customHeight="1">
      <c r="IV463" s="136"/>
    </row>
    <row r="464" spans="256:256" s="4" customFormat="1" ht="12.75" customHeight="1">
      <c r="IV464" s="136"/>
    </row>
    <row r="465" spans="256:256" s="4" customFormat="1" ht="12.75" customHeight="1">
      <c r="IV465" s="136"/>
    </row>
    <row r="466" spans="256:256" s="4" customFormat="1" ht="12.75" customHeight="1">
      <c r="IV466" s="136"/>
    </row>
    <row r="467" spans="256:256" s="4" customFormat="1" ht="12.75" customHeight="1">
      <c r="IV467" s="136"/>
    </row>
    <row r="468" spans="256:256" s="4" customFormat="1" ht="12.75" customHeight="1">
      <c r="IV468" s="136"/>
    </row>
    <row r="469" spans="256:256" s="4" customFormat="1" ht="12.75" customHeight="1">
      <c r="IV469" s="136"/>
    </row>
    <row r="470" spans="256:256" s="4" customFormat="1" ht="12.75" customHeight="1">
      <c r="IV470" s="136"/>
    </row>
    <row r="471" spans="256:256" s="4" customFormat="1" ht="12.75" customHeight="1">
      <c r="IV471" s="136"/>
    </row>
    <row r="472" spans="256:256" s="4" customFormat="1" ht="12.75" customHeight="1">
      <c r="IV472" s="136"/>
    </row>
    <row r="473" spans="256:256" s="4" customFormat="1" ht="12.75" customHeight="1">
      <c r="IV473" s="136"/>
    </row>
    <row r="474" spans="256:256" s="4" customFormat="1" ht="12.75" customHeight="1">
      <c r="IV474" s="136"/>
    </row>
    <row r="475" spans="256:256" s="4" customFormat="1" ht="12.75" customHeight="1">
      <c r="IV475" s="136"/>
    </row>
    <row r="476" spans="256:256" s="4" customFormat="1" ht="12.75" customHeight="1">
      <c r="IV476" s="136"/>
    </row>
    <row r="477" spans="256:256" s="4" customFormat="1" ht="12.75" customHeight="1">
      <c r="IV477" s="136"/>
    </row>
    <row r="478" spans="256:256" s="4" customFormat="1" ht="12.75" customHeight="1">
      <c r="IV478" s="136"/>
    </row>
    <row r="479" spans="256:256" s="4" customFormat="1" ht="12.75" customHeight="1">
      <c r="IV479" s="136"/>
    </row>
    <row r="480" spans="256:256" s="4" customFormat="1" ht="12.75" customHeight="1">
      <c r="IV480" s="136"/>
    </row>
    <row r="481" spans="256:256" s="4" customFormat="1" ht="12.75" customHeight="1">
      <c r="IV481" s="136"/>
    </row>
    <row r="482" spans="256:256" s="4" customFormat="1" ht="12.75" customHeight="1">
      <c r="IV482" s="136"/>
    </row>
  </sheetData>
  <sheetProtection password="90EA" sheet="1" objects="1" scenarios="1" formatCells="0" autoFilter="0"/>
  <phoneticPr fontId="43" type="noConversion"/>
  <conditionalFormatting sqref="C27:Z30">
    <cfRule type="cellIs" dxfId="25" priority="9" stopIfTrue="1" operator="lessThan">
      <formula>1.33</formula>
    </cfRule>
    <cfRule type="cellIs" dxfId="24" priority="10" stopIfTrue="1" operator="greaterThanOrEqual">
      <formula>1.33</formula>
    </cfRule>
  </conditionalFormatting>
  <conditionalFormatting sqref="C14:Z14">
    <cfRule type="cellIs" dxfId="23" priority="11" stopIfTrue="1" operator="equal">
      <formula>"Single Side"</formula>
    </cfRule>
  </conditionalFormatting>
  <conditionalFormatting sqref="C32:Z32">
    <cfRule type="cellIs" dxfId="22" priority="12" stopIfTrue="1" operator="greaterThanOrEqual">
      <formula>0.995</formula>
    </cfRule>
    <cfRule type="cellIs" dxfId="21" priority="13" stopIfTrue="1" operator="between">
      <formula>0.9</formula>
      <formula>0.995</formula>
    </cfRule>
    <cfRule type="cellIs" dxfId="20" priority="14" stopIfTrue="1" operator="lessThan">
      <formula>0.9</formula>
    </cfRule>
  </conditionalFormatting>
  <conditionalFormatting sqref="C25:Z26 C35:Z66">
    <cfRule type="cellIs" dxfId="19" priority="15" stopIfTrue="1" operator="between">
      <formula>C$21</formula>
      <formula>C$22</formula>
    </cfRule>
    <cfRule type="cellIs" dxfId="18" priority="16" stopIfTrue="1" operator="greaterThan">
      <formula>C$21</formula>
    </cfRule>
    <cfRule type="cellIs" dxfId="17" priority="17" stopIfTrue="1" operator="lessThan">
      <formula>C$22</formula>
    </cfRule>
  </conditionalFormatting>
  <conditionalFormatting sqref="C35:P66">
    <cfRule type="cellIs" dxfId="16" priority="6" stopIfTrue="1" operator="between">
      <formula>C$21</formula>
      <formula>C$22</formula>
    </cfRule>
    <cfRule type="cellIs" dxfId="15" priority="7" stopIfTrue="1" operator="greaterThan">
      <formula>C$21</formula>
    </cfRule>
    <cfRule type="cellIs" dxfId="14" priority="8" stopIfTrue="1" operator="lessThan">
      <formula>C$22</formula>
    </cfRule>
  </conditionalFormatting>
  <conditionalFormatting sqref="Q35:R66">
    <cfRule type="cellIs" dxfId="13" priority="1" stopIfTrue="1" operator="between">
      <formula>Q$21</formula>
      <formula>Q$22</formula>
    </cfRule>
    <cfRule type="cellIs" dxfId="12" priority="2" stopIfTrue="1" operator="greaterThan">
      <formula>Q$21</formula>
    </cfRule>
    <cfRule type="cellIs" dxfId="11" priority="3" stopIfTrue="1" operator="lessThan">
      <formula>Q$22</formula>
    </cfRule>
  </conditionalFormatting>
  <dataValidations count="3">
    <dataValidation type="custom" allowBlank="1" showInputMessage="1" showErrorMessage="1" error="-Dim No. already exists! You can input the Dim No. with different suffix. _x000a_-同样的尺寸编码已经存在，你可以在尺寸编码后加上不同后缀。 " sqref="C15:IV15" xr:uid="{00000000-0002-0000-0500-000000000000}">
      <formula1>COUNTIF($C$15:$IV$15,C15)=1</formula1>
    </dataValidation>
    <dataValidation type="list" allowBlank="1" showErrorMessage="1" prompt="Select &quot;Double Sides&quot; or &quot;Single Side&quot; from drop down list" sqref="C14" xr:uid="{00000000-0002-0000-0500-000001000000}">
      <formula1>"DoubleSides,SingleSide-USL,SingleSide-LSL,Actual Yield (n&gt;=100),Go/NoGo Gauge (n&gt;=100)"</formula1>
    </dataValidation>
    <dataValidation type="list" allowBlank="1" showInputMessage="1" showErrorMessage="1" sqref="D14:IV14" xr:uid="{00000000-0002-0000-0500-000002000000}">
      <formula1>"DoubleSides,SingleSide-USL,SingleSide-LSL,Actual Yield (n&gt;=100),Go/NoGo Gauge (n&gt;=100)"</formula1>
    </dataValidation>
  </dataValidations>
  <printOptions horizontalCentered="1" verticalCentered="1"/>
  <pageMargins left="0.5" right="0.5" top="0.5" bottom="0.5" header="0.5" footer="0.5"/>
  <pageSetup paperSize="9" scale="40" orientation="landscape" horizontalDpi="4294967292" verticalDpi="4294967292"/>
  <headerFooter alignWithMargins="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1023"/>
  <sheetViews>
    <sheetView showGridLines="0" zoomScale="75" workbookViewId="0">
      <pane xSplit="1" topLeftCell="B1" activePane="topRight" state="frozen"/>
      <selection pane="topRight" activeCell="M8" sqref="M8:M9"/>
    </sheetView>
  </sheetViews>
  <sheetFormatPr defaultColWidth="10.75" defaultRowHeight="12.75"/>
  <cols>
    <col min="1" max="1" width="20.875" style="18" customWidth="1"/>
    <col min="2" max="2" width="12.25" style="18" customWidth="1"/>
    <col min="3" max="7" width="10.875" style="18" bestFit="1" customWidth="1"/>
    <col min="8" max="8" width="12.25" style="18" bestFit="1" customWidth="1"/>
    <col min="9" max="9" width="10.875" style="18" bestFit="1" customWidth="1"/>
    <col min="10" max="10" width="10.75" style="18"/>
    <col min="11" max="11" width="13.75" style="18" customWidth="1"/>
    <col min="12" max="12" width="20.875" style="18" bestFit="1" customWidth="1"/>
    <col min="13" max="13" width="12.125" style="18" bestFit="1" customWidth="1"/>
    <col min="14" max="18" width="10.875" style="18" bestFit="1" customWidth="1"/>
    <col min="19" max="19" width="12.25" style="18" bestFit="1" customWidth="1"/>
    <col min="20" max="20" width="10.875" style="18" bestFit="1" customWidth="1"/>
    <col min="21" max="16384" width="10.75" style="18"/>
  </cols>
  <sheetData>
    <row r="1" spans="1:21" s="19" customFormat="1" ht="27" customHeight="1" thickTop="1" thickBot="1">
      <c r="A1" s="120" t="s">
        <v>81</v>
      </c>
      <c r="B1" s="17" t="s">
        <v>3</v>
      </c>
      <c r="C1" s="18" t="str">
        <f ca="1">INDIRECT("B1")&amp;"15:15"</f>
        <v>Cpk!15:15</v>
      </c>
      <c r="L1" s="120" t="s">
        <v>90</v>
      </c>
      <c r="M1" s="17" t="s">
        <v>4</v>
      </c>
      <c r="N1" s="18" t="str">
        <f ca="1">INDIRECT("M1")&amp;"15:15"</f>
        <v>Cpk!15:15</v>
      </c>
      <c r="O1" s="20"/>
      <c r="P1" s="21"/>
      <c r="Q1" s="20"/>
      <c r="R1" s="20"/>
      <c r="S1" s="20"/>
      <c r="T1" s="20"/>
    </row>
    <row r="2" spans="1:21" s="22" customFormat="1" ht="27" customHeight="1" thickTop="1" thickBot="1">
      <c r="A2" s="121" t="s">
        <v>82</v>
      </c>
      <c r="B2" s="17" t="s">
        <v>10</v>
      </c>
      <c r="D2" s="42"/>
      <c r="E2" s="42"/>
      <c r="F2" s="42"/>
      <c r="G2" s="43"/>
      <c r="H2" s="43"/>
      <c r="I2" s="43"/>
      <c r="J2" s="43"/>
      <c r="L2" s="121" t="s">
        <v>91</v>
      </c>
      <c r="M2" s="17" t="s">
        <v>10</v>
      </c>
    </row>
    <row r="3" spans="1:21" s="22" customFormat="1" ht="23.1" customHeight="1" thickTop="1">
      <c r="A3" s="122" t="s">
        <v>83</v>
      </c>
      <c r="B3" s="118" t="e">
        <f ca="1">VLOOKUP(B2,A38:B3557,2,FALSE)</f>
        <v>#N/A</v>
      </c>
      <c r="C3" s="119"/>
      <c r="D3" s="23"/>
      <c r="E3" s="23"/>
      <c r="L3" s="122" t="s">
        <v>92</v>
      </c>
      <c r="M3" s="118" t="e">
        <f ca="1">VLOOKUP(M2,L38:M3557,2,FALSE)</f>
        <v>#N/A</v>
      </c>
      <c r="N3" s="119"/>
      <c r="O3" s="23"/>
      <c r="P3" s="23"/>
    </row>
    <row r="4" spans="1:21" s="22" customFormat="1" ht="23.1" customHeight="1">
      <c r="A4" s="120" t="s">
        <v>84</v>
      </c>
      <c r="B4" s="123" t="e">
        <f ca="1">SUBSTITUTE(ADDRESS(15,MATCH(B2,INDIRECT($C$1),0),4),15,"")</f>
        <v>#REF!</v>
      </c>
      <c r="D4" s="24" t="e">
        <f ca="1">IF(INDIRECT(INDIRECT("B1")&amp;CONCATENATE($B$4,ROW(C14)))="SingleSide-USL","",B7)</f>
        <v>#REF!</v>
      </c>
      <c r="E4" s="24" t="e">
        <f ca="1">B5</f>
        <v>#REF!</v>
      </c>
      <c r="F4" s="25" t="e">
        <f ca="1">IF(INDIRECT(INDIRECT("B1")&amp;CONCATENATE($B$4,ROW(C14)))="SingleSide-LSL","",B6)</f>
        <v>#REF!</v>
      </c>
      <c r="G4" s="25" t="e">
        <f ca="1">B11-3*B10</f>
        <v>#REF!</v>
      </c>
      <c r="H4" s="25" t="e">
        <f ca="1">B11</f>
        <v>#REF!</v>
      </c>
      <c r="I4" s="25" t="e">
        <f ca="1">B11+3*B10</f>
        <v>#REF!</v>
      </c>
      <c r="L4" s="120" t="s">
        <v>93</v>
      </c>
      <c r="M4" s="123" t="e">
        <f ca="1">SUBSTITUTE(ADDRESS(15, MATCH(M2,INDIRECT($N$1), 0),4),15,"")</f>
        <v>#REF!</v>
      </c>
      <c r="O4" s="25" t="e">
        <f ca="1">IF(INDIRECT(INDIRECT("M1")&amp;CONCATENATE($M$4,ROW(N14)))="SingleSide-USL","",M7)</f>
        <v>#REF!</v>
      </c>
      <c r="P4" s="25" t="e">
        <f ca="1">M5</f>
        <v>#REF!</v>
      </c>
      <c r="Q4" s="25" t="e">
        <f ca="1">IF(INDIRECT(INDIRECT("M1")&amp;CONCATENATE($M$4,ROW(N14)))="SingleSide-LSL","",M6)</f>
        <v>#REF!</v>
      </c>
      <c r="R4" s="25" t="e">
        <f ca="1">M11-3*M10</f>
        <v>#REF!</v>
      </c>
      <c r="S4" s="25" t="e">
        <f ca="1">M11</f>
        <v>#REF!</v>
      </c>
      <c r="T4" s="25" t="e">
        <f ca="1">M11+3*M10</f>
        <v>#REF!</v>
      </c>
    </row>
    <row r="5" spans="1:21" s="22" customFormat="1" ht="23.1" customHeight="1">
      <c r="A5" s="120" t="s">
        <v>51</v>
      </c>
      <c r="B5" s="123" t="e">
        <f ca="1">INDIRECT(INDIRECT("B1")&amp;CONCATENATE($B$4,ROW(C16)))</f>
        <v>#REF!</v>
      </c>
      <c r="D5" s="26" t="s">
        <v>133</v>
      </c>
      <c r="E5" s="26" t="s">
        <v>17</v>
      </c>
      <c r="F5" s="26" t="s">
        <v>108</v>
      </c>
      <c r="G5" s="27" t="s">
        <v>109</v>
      </c>
      <c r="H5" s="26" t="s">
        <v>25</v>
      </c>
      <c r="I5" s="27" t="s">
        <v>111</v>
      </c>
      <c r="L5" s="120" t="s">
        <v>94</v>
      </c>
      <c r="M5" s="123" t="e">
        <f ca="1">INDIRECT(INDIRECT("M1")&amp;CONCATENATE($M$4,ROW(N16)))</f>
        <v>#REF!</v>
      </c>
      <c r="O5" s="26" t="s">
        <v>133</v>
      </c>
      <c r="P5" s="26" t="s">
        <v>17</v>
      </c>
      <c r="Q5" s="26" t="s">
        <v>108</v>
      </c>
      <c r="R5" s="27" t="s">
        <v>109</v>
      </c>
      <c r="S5" s="26" t="s">
        <v>25</v>
      </c>
      <c r="T5" s="27" t="s">
        <v>111</v>
      </c>
    </row>
    <row r="6" spans="1:21" s="22" customFormat="1" ht="23.1" customHeight="1">
      <c r="A6" s="120" t="s">
        <v>108</v>
      </c>
      <c r="B6" s="124" t="e">
        <f ca="1">INDIRECT(INDIRECT("B1")&amp;CONCATENATE($B$4,ROW(C21)))</f>
        <v>#REF!</v>
      </c>
      <c r="C6" s="18" t="e">
        <f ca="1">MAX(H22:H83)</f>
        <v>#REF!</v>
      </c>
      <c r="D6" s="28" t="e">
        <f t="shared" ref="D6:I6" ca="1" si="0">IF(D4="","",(D4-$D$21)/(MAX($E$21:$E$83)-MIN($D$21:$D$83)))</f>
        <v>#REF!</v>
      </c>
      <c r="E6" s="28" t="e">
        <f t="shared" ca="1" si="0"/>
        <v>#REF!</v>
      </c>
      <c r="F6" s="28" t="e">
        <f t="shared" ca="1" si="0"/>
        <v>#REF!</v>
      </c>
      <c r="G6" s="28" t="e">
        <f t="shared" ca="1" si="0"/>
        <v>#REF!</v>
      </c>
      <c r="H6" s="28" t="e">
        <f t="shared" ca="1" si="0"/>
        <v>#REF!</v>
      </c>
      <c r="I6" s="28" t="e">
        <f t="shared" ca="1" si="0"/>
        <v>#REF!</v>
      </c>
      <c r="L6" s="120" t="s">
        <v>95</v>
      </c>
      <c r="M6" s="124" t="e">
        <f ca="1">INDIRECT(INDIRECT("M1")&amp;CONCATENATE($M$4,ROW(N21)))</f>
        <v>#REF!</v>
      </c>
      <c r="N6" s="18" t="e">
        <f ca="1">MAX(S22:S83)</f>
        <v>#REF!</v>
      </c>
      <c r="O6" s="28" t="e">
        <f t="shared" ref="O6:T6" ca="1" si="1">IF(O4="","",(O4-$O$21)/(MAX($P$21:$P$83)-MIN($O$21:$O$83)))</f>
        <v>#REF!</v>
      </c>
      <c r="P6" s="28" t="e">
        <f t="shared" ca="1" si="1"/>
        <v>#REF!</v>
      </c>
      <c r="Q6" s="28" t="e">
        <f t="shared" ca="1" si="1"/>
        <v>#REF!</v>
      </c>
      <c r="R6" s="28" t="e">
        <f t="shared" ca="1" si="1"/>
        <v>#REF!</v>
      </c>
      <c r="S6" s="28" t="e">
        <f t="shared" ca="1" si="1"/>
        <v>#REF!</v>
      </c>
      <c r="T6" s="28" t="e">
        <f t="shared" ca="1" si="1"/>
        <v>#REF!</v>
      </c>
    </row>
    <row r="7" spans="1:21" s="22" customFormat="1" ht="23.1" customHeight="1">
      <c r="A7" s="120" t="s">
        <v>85</v>
      </c>
      <c r="B7" s="124" t="e">
        <f ca="1">INDIRECT(INDIRECT("B1")&amp;CONCATENATE($B$4,ROW(C22)))</f>
        <v>#REF!</v>
      </c>
      <c r="C7" s="18">
        <v>0</v>
      </c>
      <c r="D7" s="29" t="e">
        <f t="shared" ref="D7:I7" ca="1" si="2">D6</f>
        <v>#REF!</v>
      </c>
      <c r="E7" s="29" t="e">
        <f t="shared" ca="1" si="2"/>
        <v>#REF!</v>
      </c>
      <c r="F7" s="29" t="e">
        <f t="shared" ca="1" si="2"/>
        <v>#REF!</v>
      </c>
      <c r="G7" s="29" t="e">
        <f t="shared" ca="1" si="2"/>
        <v>#REF!</v>
      </c>
      <c r="H7" s="29" t="e">
        <f t="shared" ca="1" si="2"/>
        <v>#REF!</v>
      </c>
      <c r="I7" s="29" t="e">
        <f t="shared" ca="1" si="2"/>
        <v>#REF!</v>
      </c>
      <c r="L7" s="120" t="s">
        <v>96</v>
      </c>
      <c r="M7" s="124" t="e">
        <f ca="1">INDIRECT(INDIRECT("M1")&amp;CONCATENATE($M$4,ROW(N22)))</f>
        <v>#REF!</v>
      </c>
      <c r="N7" s="18">
        <v>0</v>
      </c>
      <c r="O7" s="29" t="e">
        <f t="shared" ref="O7:T7" ca="1" si="3">O6</f>
        <v>#REF!</v>
      </c>
      <c r="P7" s="29" t="e">
        <f t="shared" ca="1" si="3"/>
        <v>#REF!</v>
      </c>
      <c r="Q7" s="29" t="e">
        <f t="shared" ca="1" si="3"/>
        <v>#REF!</v>
      </c>
      <c r="R7" s="29" t="e">
        <f t="shared" ca="1" si="3"/>
        <v>#REF!</v>
      </c>
      <c r="S7" s="29" t="e">
        <f t="shared" ca="1" si="3"/>
        <v>#REF!</v>
      </c>
      <c r="T7" s="29" t="e">
        <f t="shared" ca="1" si="3"/>
        <v>#REF!</v>
      </c>
    </row>
    <row r="8" spans="1:21" s="22" customFormat="1" ht="23.1" customHeight="1">
      <c r="A8" s="120" t="s">
        <v>86</v>
      </c>
      <c r="B8" s="125" t="e">
        <f ca="1">INDIRECT(INDIRECT("B1")&amp;CONCATENATE($B$4,ROW(C25)))</f>
        <v>#REF!</v>
      </c>
      <c r="D8" s="30"/>
      <c r="E8" s="30"/>
      <c r="F8" s="30"/>
      <c r="G8" s="30"/>
      <c r="H8" s="30"/>
      <c r="I8" s="30"/>
      <c r="L8" s="120" t="s">
        <v>97</v>
      </c>
      <c r="M8" s="125" t="e">
        <f ca="1">INDIRECT(INDIRECT("M1")&amp;CONCATENATE($M$4,ROW(N25)))</f>
        <v>#REF!</v>
      </c>
      <c r="O8" s="30"/>
      <c r="P8" s="30"/>
      <c r="Q8" s="30"/>
      <c r="R8" s="30"/>
      <c r="S8" s="30"/>
      <c r="T8" s="30"/>
    </row>
    <row r="9" spans="1:21" s="22" customFormat="1" ht="23.1" customHeight="1">
      <c r="A9" s="120" t="s">
        <v>87</v>
      </c>
      <c r="B9" s="125" t="e">
        <f ca="1">INDIRECT(INDIRECT("B1")&amp;CONCATENATE($B$4,ROW(C26)))</f>
        <v>#REF!</v>
      </c>
      <c r="D9" s="43"/>
      <c r="E9" s="43"/>
      <c r="F9" s="43"/>
      <c r="G9" s="43"/>
      <c r="H9" s="43"/>
      <c r="I9" s="43"/>
      <c r="L9" s="120" t="s">
        <v>98</v>
      </c>
      <c r="M9" s="125" t="e">
        <f ca="1">INDIRECT(INDIRECT("M1")&amp;CONCATENATE($M$4,ROW(N26)))</f>
        <v>#REF!</v>
      </c>
      <c r="N9" s="18"/>
      <c r="O9" s="18"/>
      <c r="P9" s="18"/>
      <c r="Q9" s="18"/>
      <c r="R9" s="18"/>
      <c r="S9" s="18"/>
      <c r="T9" s="18"/>
    </row>
    <row r="10" spans="1:21" s="22" customFormat="1" ht="23.1" customHeight="1">
      <c r="A10" s="120" t="s">
        <v>88</v>
      </c>
      <c r="B10" s="124" t="e">
        <f ca="1">INDIRECT(INDIRECT("B1")&amp;CONCATENATE($B$4,ROW(C23)))</f>
        <v>#REF!</v>
      </c>
      <c r="D10" s="43"/>
      <c r="E10" s="43"/>
      <c r="F10" s="43"/>
      <c r="G10" s="43"/>
      <c r="H10" s="43"/>
      <c r="I10" s="43"/>
      <c r="L10" s="120" t="s">
        <v>99</v>
      </c>
      <c r="M10" s="124" t="e">
        <f ca="1">INDIRECT(INDIRECT("M1")&amp;CONCATENATE($M$4,ROW(P23)))</f>
        <v>#REF!</v>
      </c>
      <c r="N10" s="18"/>
      <c r="O10" s="18"/>
      <c r="P10" s="18"/>
      <c r="Q10" s="18"/>
      <c r="R10" s="18"/>
      <c r="S10" s="18"/>
      <c r="T10" s="18"/>
      <c r="U10" s="19"/>
    </row>
    <row r="11" spans="1:21" s="22" customFormat="1" ht="23.1" customHeight="1">
      <c r="A11" s="120" t="s">
        <v>25</v>
      </c>
      <c r="B11" s="125" t="e">
        <f ca="1">INDIRECT(INDIRECT("B1")&amp;CONCATENATE($B$4,ROW(C24)))</f>
        <v>#REF!</v>
      </c>
      <c r="L11" s="120" t="s">
        <v>100</v>
      </c>
      <c r="M11" s="125" t="e">
        <f ca="1">INDIRECT(INDIRECT("M1")&amp;CONCATENATE($M$4,ROW(P24)))</f>
        <v>#REF!</v>
      </c>
      <c r="N11" s="18"/>
      <c r="O11" s="18"/>
      <c r="P11" s="18"/>
      <c r="Q11" s="18"/>
      <c r="R11" s="18"/>
      <c r="S11" s="18"/>
      <c r="T11" s="18"/>
      <c r="U11" s="19"/>
    </row>
    <row r="12" spans="1:21" s="22" customFormat="1" ht="23.1" customHeight="1">
      <c r="A12" s="120" t="s">
        <v>16</v>
      </c>
      <c r="B12" s="116" t="e">
        <f ca="1">INDIRECT(INDIRECT("B1")&amp;CONCATENATE($B$4,ROW(C27)))</f>
        <v>#REF!</v>
      </c>
      <c r="L12" s="120" t="s">
        <v>101</v>
      </c>
      <c r="M12" s="116" t="e">
        <f ca="1">INDIRECT(INDIRECT("M1")&amp;CONCATENATE($M$4,ROW(P27)))</f>
        <v>#REF!</v>
      </c>
      <c r="N12" s="18"/>
      <c r="O12" s="18"/>
      <c r="P12" s="18"/>
      <c r="Q12" s="18"/>
      <c r="R12" s="18"/>
      <c r="S12" s="18"/>
      <c r="T12" s="18"/>
      <c r="U12" s="19"/>
    </row>
    <row r="13" spans="1:21" s="22" customFormat="1" ht="23.1" customHeight="1">
      <c r="A13" s="120" t="s">
        <v>38</v>
      </c>
      <c r="B13" s="116" t="e">
        <f ca="1">INDIRECT(INDIRECT("B1")&amp;CONCATENATE($B$4,ROW(C30)))</f>
        <v>#REF!</v>
      </c>
      <c r="L13" s="120" t="s">
        <v>102</v>
      </c>
      <c r="M13" s="116" t="e">
        <f ca="1">INDIRECT(INDIRECT("M1")&amp;CONCATENATE($M$4,ROW(P30)))</f>
        <v>#REF!</v>
      </c>
      <c r="N13" s="18"/>
      <c r="O13" s="18"/>
      <c r="P13" s="18"/>
      <c r="Q13" s="18"/>
      <c r="R13" s="18"/>
      <c r="S13" s="18"/>
      <c r="T13" s="18"/>
      <c r="U13" s="19"/>
    </row>
    <row r="14" spans="1:21" s="22" customFormat="1" ht="23.1" customHeight="1">
      <c r="A14" s="120" t="s">
        <v>37</v>
      </c>
      <c r="B14" s="117" t="e">
        <f ca="1">INDIRECT(INDIRECT("B1")&amp;CONCATENATE($B$4,ROW(C32)))</f>
        <v>#REF!</v>
      </c>
      <c r="L14" s="120" t="s">
        <v>103</v>
      </c>
      <c r="M14" s="117" t="e">
        <f ca="1">INDIRECT(INDIRECT("M1")&amp;CONCATENATE($M$4,ROW(P32)))</f>
        <v>#REF!</v>
      </c>
      <c r="N14" s="18"/>
      <c r="O14" s="18"/>
      <c r="P14" s="18"/>
      <c r="Q14" s="18"/>
      <c r="R14" s="18"/>
      <c r="S14" s="18"/>
      <c r="T14" s="18"/>
      <c r="U14" s="19"/>
    </row>
    <row r="15" spans="1:21" ht="23.1" customHeight="1">
      <c r="A15" s="121" t="s">
        <v>78</v>
      </c>
      <c r="B15" s="126" t="e">
        <f ca="1">INDIRECT(INDIRECT("B1")&amp;CONCATENATE($B$4,ROW(C33)))</f>
        <v>#REF!</v>
      </c>
      <c r="L15" s="120" t="s">
        <v>80</v>
      </c>
      <c r="M15" s="126" t="e">
        <f ca="1">INDIRECT(INDIRECT("M1")&amp;CONCATENATE($M$4,ROW(P33)))</f>
        <v>#REF!</v>
      </c>
      <c r="U15" s="19"/>
    </row>
    <row r="16" spans="1:21">
      <c r="A16" s="115" t="s">
        <v>89</v>
      </c>
      <c r="B16" s="32" t="e">
        <f ca="1">B8-B9</f>
        <v>#REF!</v>
      </c>
      <c r="C16" s="33" t="e">
        <f ca="1">POWER(0.1,LEN(MID(TEXT(B8,".##########"),SEARCH(".",TEXT(B8,".##########")),10))-1)</f>
        <v>#REF!</v>
      </c>
      <c r="L16" s="31" t="s">
        <v>113</v>
      </c>
      <c r="M16" s="32" t="e">
        <f ca="1">M8-M9</f>
        <v>#REF!</v>
      </c>
      <c r="N16" s="33" t="e">
        <f ca="1">POWER(0.1,LEN(MID(TEXT(M8,".##########"),SEARCH(".",TEXT(M8,".##########")),10))-1)</f>
        <v>#REF!</v>
      </c>
      <c r="U16" s="19"/>
    </row>
    <row r="17" spans="1:21">
      <c r="A17" s="34" t="s">
        <v>18</v>
      </c>
      <c r="B17" s="35" t="e">
        <f ca="1">IF(C16=1,0.01,C16)</f>
        <v>#REF!</v>
      </c>
      <c r="L17" s="34" t="s">
        <v>114</v>
      </c>
      <c r="M17" s="35" t="e">
        <f ca="1">IF(N16=1,0.01,N16)</f>
        <v>#REF!</v>
      </c>
      <c r="U17" s="19"/>
    </row>
    <row r="18" spans="1:21">
      <c r="A18" s="34" t="s">
        <v>19</v>
      </c>
      <c r="B18" s="35">
        <f ca="1">COUNT(INDIRECT(CONCATENATE(INDIRECT("B1"),B4&amp;35,":",B4&amp;65336)))</f>
        <v>0</v>
      </c>
      <c r="L18" s="34" t="s">
        <v>115</v>
      </c>
      <c r="M18" s="35">
        <f ca="1">COUNT(INDIRECT(CONCATENATE(INDIRECT("M1"),M4&amp;35,":",M4&amp;65336)))</f>
        <v>0</v>
      </c>
      <c r="U18" s="19"/>
    </row>
    <row r="19" spans="1:21">
      <c r="A19" s="34" t="s">
        <v>20</v>
      </c>
      <c r="B19" s="36" t="e">
        <f ca="1">ROUND((1+3.32*LOG($B$18)),0)</f>
        <v>#NUM!</v>
      </c>
      <c r="L19" s="34" t="s">
        <v>116</v>
      </c>
      <c r="M19" s="36" t="e">
        <f ca="1">ROUND((1+3.32*LOG($M$18)),0)</f>
        <v>#NUM!</v>
      </c>
      <c r="U19" s="19"/>
    </row>
    <row r="20" spans="1:21">
      <c r="A20" s="34" t="s">
        <v>21</v>
      </c>
      <c r="B20" s="37" t="e">
        <f ca="1">B16/B19</f>
        <v>#REF!</v>
      </c>
      <c r="D20" s="18" t="s">
        <v>119</v>
      </c>
      <c r="E20" s="18" t="s">
        <v>120</v>
      </c>
      <c r="F20" s="18" t="s">
        <v>121</v>
      </c>
      <c r="G20" s="18" t="s">
        <v>122</v>
      </c>
      <c r="H20" s="18" t="s">
        <v>123</v>
      </c>
      <c r="I20" s="18" t="s">
        <v>124</v>
      </c>
      <c r="L20" s="34" t="s">
        <v>117</v>
      </c>
      <c r="M20" s="37" t="e">
        <f ca="1">M16/M19</f>
        <v>#REF!</v>
      </c>
      <c r="O20" s="18" t="s">
        <v>30</v>
      </c>
      <c r="P20" s="18" t="s">
        <v>31</v>
      </c>
      <c r="Q20" s="18" t="s">
        <v>32</v>
      </c>
      <c r="R20" s="18" t="s">
        <v>33</v>
      </c>
      <c r="S20" s="18" t="s">
        <v>106</v>
      </c>
      <c r="T20" s="18" t="s">
        <v>110</v>
      </c>
      <c r="U20" s="19"/>
    </row>
    <row r="21" spans="1:21">
      <c r="A21" s="34" t="s">
        <v>22</v>
      </c>
      <c r="B21" s="35">
        <f ca="1">COUNT(C21:C65536)</f>
        <v>2</v>
      </c>
      <c r="C21" s="18">
        <v>0</v>
      </c>
      <c r="D21" s="38" t="e">
        <f ca="1">E21-B20</f>
        <v>#REF!</v>
      </c>
      <c r="E21" s="38" t="e">
        <f ca="1">D22</f>
        <v>#REF!</v>
      </c>
      <c r="F21" s="38" t="e">
        <f ca="1">IF(D21="","",SUM(D21:E21)/2)</f>
        <v>#REF!</v>
      </c>
      <c r="G21" s="18">
        <v>0</v>
      </c>
      <c r="H21" s="18" t="e">
        <f t="shared" ref="H21:H52" ca="1" si="4">IF(C21="","",NORMDIST($D$22+C21*$B$20-$B$20/2,$B$11,$B$10,FALSE))</f>
        <v>#REF!</v>
      </c>
      <c r="I21" s="38">
        <v>0</v>
      </c>
      <c r="L21" s="34" t="s">
        <v>118</v>
      </c>
      <c r="M21" s="35">
        <f ca="1">COUNT(N21:N65536)</f>
        <v>2</v>
      </c>
      <c r="N21" s="18">
        <v>0</v>
      </c>
      <c r="O21" s="38" t="e">
        <f ca="1">P21-M20</f>
        <v>#REF!</v>
      </c>
      <c r="P21" s="38" t="e">
        <f ca="1">O22</f>
        <v>#REF!</v>
      </c>
      <c r="Q21" s="38" t="e">
        <f ca="1">IF(O21="","",SUM(O21:P21)/2)</f>
        <v>#REF!</v>
      </c>
      <c r="R21" s="18">
        <v>0</v>
      </c>
      <c r="S21" s="18" t="e">
        <f t="shared" ref="S21:S52" ca="1" si="5">IF(N21="","",NORMDIST($O$22+N21*$M$20-$M$20/2,$M$11,$M$10,FALSE))</f>
        <v>#REF!</v>
      </c>
      <c r="T21" s="38">
        <v>0</v>
      </c>
      <c r="U21" s="19"/>
    </row>
    <row r="22" spans="1:21">
      <c r="C22" s="18">
        <v>1</v>
      </c>
      <c r="D22" s="38" t="e">
        <f ca="1">MIN(B7,B9,G4)-$B$17/2</f>
        <v>#REF!</v>
      </c>
      <c r="E22" s="38" t="e">
        <f ca="1">D22+B20</f>
        <v>#REF!</v>
      </c>
      <c r="F22" s="38" t="e">
        <f ca="1">IF(D22="","",SUM(D22:E22)/2)</f>
        <v>#REF!</v>
      </c>
      <c r="G22" s="18" t="e">
        <f t="shared" ref="G22:G53" ca="1" si="6">IF(D22="","",(COUNTIF(INDIRECT(CONCATENATE(INDIRECT("B1"),$B$4&amp;35,":",$B$4&amp;65336)),"&lt;="&amp;E22)-COUNTIF(INDIRECT(CONCATENATE(INDIRECT("B1"),$B$4&amp;35,":",$B$4&amp;65336)),"&lt;"&amp;D22)))</f>
        <v>#REF!</v>
      </c>
      <c r="H22" s="18" t="e">
        <f t="shared" ca="1" si="4"/>
        <v>#REF!</v>
      </c>
      <c r="I22" s="38" t="e">
        <f ca="1">IF(C22="","",(F22-$D$21)/(MAX($E$21:$E$83)-MIN($D$21:$D$83)))</f>
        <v>#REF!</v>
      </c>
      <c r="N22" s="18">
        <v>1</v>
      </c>
      <c r="O22" s="38" t="e">
        <f ca="1">MIN(M7,M9,R4)-$M$17/2</f>
        <v>#REF!</v>
      </c>
      <c r="P22" s="38" t="e">
        <f ca="1">O22+M20</f>
        <v>#REF!</v>
      </c>
      <c r="Q22" s="38" t="e">
        <f ca="1">IF(O22="","",SUM(O22:P22)/2)</f>
        <v>#REF!</v>
      </c>
      <c r="R22" s="18" t="e">
        <f t="shared" ref="R22:R83" ca="1" si="7">IF(O22="","",(COUNTIF(INDIRECT(CONCATENATE(INDIRECT("M1"),$M$4&amp;35,":",$M$4&amp;65336)),"&lt;="&amp;P22)-COUNTIF(INDIRECT(CONCATENATE(INDIRECT("M1"),$M$4&amp;35,":",$M$4&amp;65336)),"&lt;"&amp;O22)))</f>
        <v>#REF!</v>
      </c>
      <c r="S22" s="18" t="e">
        <f t="shared" ca="1" si="5"/>
        <v>#REF!</v>
      </c>
      <c r="T22" s="38" t="e">
        <f ca="1">IF(N22="","",(Q22-$O$21)/(MAX($P$21:$P$83)-MIN($O$21:$O$83)))</f>
        <v>#REF!</v>
      </c>
      <c r="U22" s="19"/>
    </row>
    <row r="23" spans="1:21">
      <c r="C23" s="18" t="e">
        <f ca="1">IF(D23="","",C22+1)</f>
        <v>#REF!</v>
      </c>
      <c r="D23" s="38" t="e">
        <f t="shared" ref="D23:D54" ca="1" si="8">IF(OR(F22&lt;$B$8,F22&lt;$B$6,F22&lt;$I$4),E22,"")</f>
        <v>#REF!</v>
      </c>
      <c r="E23" s="38" t="e">
        <f ca="1">IF(D23="","",D23+$B$20)</f>
        <v>#REF!</v>
      </c>
      <c r="F23" s="38" t="e">
        <f ca="1">IF(D23="","",SUM(D23:E23)/2)</f>
        <v>#REF!</v>
      </c>
      <c r="G23" s="18" t="e">
        <f t="shared" ca="1" si="6"/>
        <v>#REF!</v>
      </c>
      <c r="H23" s="18" t="e">
        <f t="shared" ca="1" si="4"/>
        <v>#REF!</v>
      </c>
      <c r="I23" s="38" t="e">
        <f t="shared" ref="I23:I83" ca="1" si="9">IF(C23="","",(F23-$D$21)/(MAX($E$21:$E$83)-MIN($D$21:$D$83)))</f>
        <v>#REF!</v>
      </c>
      <c r="N23" s="18" t="e">
        <f ca="1">IF(O23="","",N22+1)</f>
        <v>#REF!</v>
      </c>
      <c r="O23" s="38" t="e">
        <f t="shared" ref="O23:O54" ca="1" si="10">IF(OR(Q22&lt;$M$8,Q22&lt;$M$6,Q22&lt;$T$4),P22,"")</f>
        <v>#REF!</v>
      </c>
      <c r="P23" s="38" t="e">
        <f ca="1">IF(O23="","",O23+$M$20)</f>
        <v>#REF!</v>
      </c>
      <c r="Q23" s="38" t="e">
        <f ca="1">IF(O23="","",SUM(O23:P23)/2)</f>
        <v>#REF!</v>
      </c>
      <c r="R23" s="18" t="e">
        <f t="shared" ca="1" si="7"/>
        <v>#REF!</v>
      </c>
      <c r="S23" s="18" t="e">
        <f t="shared" ca="1" si="5"/>
        <v>#REF!</v>
      </c>
      <c r="T23" s="38" t="e">
        <f t="shared" ref="T23:T83" ca="1" si="11">IF(N23="","",(Q23-$O$21)/(MAX($P$21:$P$83)-MIN($O$21:$O$83)))</f>
        <v>#REF!</v>
      </c>
      <c r="U23" s="19"/>
    </row>
    <row r="24" spans="1:21">
      <c r="C24" s="18" t="e">
        <f t="shared" ref="C24:C83" ca="1" si="12">IF(D24="","",C23+1)</f>
        <v>#REF!</v>
      </c>
      <c r="D24" s="38" t="e">
        <f t="shared" ca="1" si="8"/>
        <v>#REF!</v>
      </c>
      <c r="E24" s="38" t="e">
        <f t="shared" ref="E24:E83" ca="1" si="13">IF(D24="","",D24+$B$20)</f>
        <v>#REF!</v>
      </c>
      <c r="F24" s="38" t="e">
        <f t="shared" ref="F24:F83" ca="1" si="14">IF(D24="","",SUM(D24:E24)/2)</f>
        <v>#REF!</v>
      </c>
      <c r="G24" s="18" t="e">
        <f t="shared" ca="1" si="6"/>
        <v>#REF!</v>
      </c>
      <c r="H24" s="18" t="e">
        <f t="shared" ca="1" si="4"/>
        <v>#REF!</v>
      </c>
      <c r="I24" s="38" t="e">
        <f t="shared" ca="1" si="9"/>
        <v>#REF!</v>
      </c>
      <c r="N24" s="18" t="e">
        <f t="shared" ref="N24:N83" ca="1" si="15">IF(O24="","",N23+1)</f>
        <v>#REF!</v>
      </c>
      <c r="O24" s="38" t="e">
        <f t="shared" ca="1" si="10"/>
        <v>#REF!</v>
      </c>
      <c r="P24" s="38" t="e">
        <f t="shared" ref="P24:P83" ca="1" si="16">IF(O24="","",O24+$M$20)</f>
        <v>#REF!</v>
      </c>
      <c r="Q24" s="38" t="e">
        <f t="shared" ref="Q24:Q83" ca="1" si="17">IF(O24="","",SUM(O24:P24)/2)</f>
        <v>#REF!</v>
      </c>
      <c r="R24" s="18" t="e">
        <f t="shared" ca="1" si="7"/>
        <v>#REF!</v>
      </c>
      <c r="S24" s="18" t="e">
        <f t="shared" ca="1" si="5"/>
        <v>#REF!</v>
      </c>
      <c r="T24" s="38" t="e">
        <f t="shared" ca="1" si="11"/>
        <v>#REF!</v>
      </c>
      <c r="U24" s="19"/>
    </row>
    <row r="25" spans="1:21">
      <c r="C25" s="18" t="e">
        <f t="shared" ca="1" si="12"/>
        <v>#REF!</v>
      </c>
      <c r="D25" s="38" t="e">
        <f t="shared" ca="1" si="8"/>
        <v>#REF!</v>
      </c>
      <c r="E25" s="38" t="e">
        <f t="shared" ca="1" si="13"/>
        <v>#REF!</v>
      </c>
      <c r="F25" s="38" t="e">
        <f t="shared" ca="1" si="14"/>
        <v>#REF!</v>
      </c>
      <c r="G25" s="18" t="e">
        <f t="shared" ca="1" si="6"/>
        <v>#REF!</v>
      </c>
      <c r="H25" s="18" t="e">
        <f t="shared" ca="1" si="4"/>
        <v>#REF!</v>
      </c>
      <c r="I25" s="38" t="e">
        <f t="shared" ca="1" si="9"/>
        <v>#REF!</v>
      </c>
      <c r="N25" s="18" t="e">
        <f t="shared" ca="1" si="15"/>
        <v>#REF!</v>
      </c>
      <c r="O25" s="38" t="e">
        <f t="shared" ca="1" si="10"/>
        <v>#REF!</v>
      </c>
      <c r="P25" s="38" t="e">
        <f t="shared" ca="1" si="16"/>
        <v>#REF!</v>
      </c>
      <c r="Q25" s="38" t="e">
        <f t="shared" ca="1" si="17"/>
        <v>#REF!</v>
      </c>
      <c r="R25" s="18" t="e">
        <f t="shared" ca="1" si="7"/>
        <v>#REF!</v>
      </c>
      <c r="S25" s="18" t="e">
        <f t="shared" ca="1" si="5"/>
        <v>#REF!</v>
      </c>
      <c r="T25" s="38" t="e">
        <f t="shared" ca="1" si="11"/>
        <v>#REF!</v>
      </c>
      <c r="U25" s="19"/>
    </row>
    <row r="26" spans="1:21">
      <c r="C26" s="18" t="e">
        <f t="shared" ca="1" si="12"/>
        <v>#REF!</v>
      </c>
      <c r="D26" s="38" t="e">
        <f t="shared" ca="1" si="8"/>
        <v>#REF!</v>
      </c>
      <c r="E26" s="38" t="e">
        <f t="shared" ca="1" si="13"/>
        <v>#REF!</v>
      </c>
      <c r="F26" s="38" t="e">
        <f t="shared" ca="1" si="14"/>
        <v>#REF!</v>
      </c>
      <c r="G26" s="18" t="e">
        <f t="shared" ca="1" si="6"/>
        <v>#REF!</v>
      </c>
      <c r="H26" s="18" t="e">
        <f t="shared" ca="1" si="4"/>
        <v>#REF!</v>
      </c>
      <c r="I26" s="38" t="e">
        <f t="shared" ca="1" si="9"/>
        <v>#REF!</v>
      </c>
      <c r="N26" s="18" t="e">
        <f t="shared" ca="1" si="15"/>
        <v>#REF!</v>
      </c>
      <c r="O26" s="38" t="e">
        <f t="shared" ca="1" si="10"/>
        <v>#REF!</v>
      </c>
      <c r="P26" s="38" t="e">
        <f t="shared" ca="1" si="16"/>
        <v>#REF!</v>
      </c>
      <c r="Q26" s="38" t="e">
        <f t="shared" ca="1" si="17"/>
        <v>#REF!</v>
      </c>
      <c r="R26" s="18" t="e">
        <f t="shared" ca="1" si="7"/>
        <v>#REF!</v>
      </c>
      <c r="S26" s="18" t="e">
        <f t="shared" ca="1" si="5"/>
        <v>#REF!</v>
      </c>
      <c r="T26" s="38" t="e">
        <f t="shared" ca="1" si="11"/>
        <v>#REF!</v>
      </c>
      <c r="U26" s="19"/>
    </row>
    <row r="27" spans="1:21">
      <c r="C27" s="18" t="e">
        <f t="shared" ca="1" si="12"/>
        <v>#REF!</v>
      </c>
      <c r="D27" s="38" t="e">
        <f t="shared" ca="1" si="8"/>
        <v>#REF!</v>
      </c>
      <c r="E27" s="38" t="e">
        <f t="shared" ca="1" si="13"/>
        <v>#REF!</v>
      </c>
      <c r="F27" s="38" t="e">
        <f t="shared" ca="1" si="14"/>
        <v>#REF!</v>
      </c>
      <c r="G27" s="18" t="e">
        <f t="shared" ca="1" si="6"/>
        <v>#REF!</v>
      </c>
      <c r="H27" s="18" t="e">
        <f t="shared" ca="1" si="4"/>
        <v>#REF!</v>
      </c>
      <c r="I27" s="38" t="e">
        <f t="shared" ca="1" si="9"/>
        <v>#REF!</v>
      </c>
      <c r="N27" s="18" t="e">
        <f t="shared" ca="1" si="15"/>
        <v>#REF!</v>
      </c>
      <c r="O27" s="38" t="e">
        <f t="shared" ca="1" si="10"/>
        <v>#REF!</v>
      </c>
      <c r="P27" s="38" t="e">
        <f t="shared" ca="1" si="16"/>
        <v>#REF!</v>
      </c>
      <c r="Q27" s="38" t="e">
        <f t="shared" ca="1" si="17"/>
        <v>#REF!</v>
      </c>
      <c r="R27" s="18" t="e">
        <f t="shared" ca="1" si="7"/>
        <v>#REF!</v>
      </c>
      <c r="S27" s="18" t="e">
        <f t="shared" ca="1" si="5"/>
        <v>#REF!</v>
      </c>
      <c r="T27" s="38" t="e">
        <f t="shared" ca="1" si="11"/>
        <v>#REF!</v>
      </c>
      <c r="U27" s="19"/>
    </row>
    <row r="28" spans="1:21">
      <c r="C28" s="18" t="e">
        <f t="shared" ca="1" si="12"/>
        <v>#REF!</v>
      </c>
      <c r="D28" s="38" t="e">
        <f t="shared" ca="1" si="8"/>
        <v>#REF!</v>
      </c>
      <c r="E28" s="38" t="e">
        <f t="shared" ca="1" si="13"/>
        <v>#REF!</v>
      </c>
      <c r="F28" s="38" t="e">
        <f t="shared" ca="1" si="14"/>
        <v>#REF!</v>
      </c>
      <c r="G28" s="18" t="e">
        <f t="shared" ca="1" si="6"/>
        <v>#REF!</v>
      </c>
      <c r="H28" s="18" t="e">
        <f t="shared" ca="1" si="4"/>
        <v>#REF!</v>
      </c>
      <c r="I28" s="38" t="e">
        <f t="shared" ca="1" si="9"/>
        <v>#REF!</v>
      </c>
      <c r="N28" s="18" t="e">
        <f t="shared" ca="1" si="15"/>
        <v>#REF!</v>
      </c>
      <c r="O28" s="38" t="e">
        <f t="shared" ca="1" si="10"/>
        <v>#REF!</v>
      </c>
      <c r="P28" s="38" t="e">
        <f t="shared" ca="1" si="16"/>
        <v>#REF!</v>
      </c>
      <c r="Q28" s="38" t="e">
        <f t="shared" ca="1" si="17"/>
        <v>#REF!</v>
      </c>
      <c r="R28" s="18" t="e">
        <f t="shared" ca="1" si="7"/>
        <v>#REF!</v>
      </c>
      <c r="S28" s="18" t="e">
        <f t="shared" ca="1" si="5"/>
        <v>#REF!</v>
      </c>
      <c r="T28" s="38" t="e">
        <f t="shared" ca="1" si="11"/>
        <v>#REF!</v>
      </c>
      <c r="U28" s="19"/>
    </row>
    <row r="29" spans="1:21">
      <c r="C29" s="18" t="e">
        <f t="shared" ca="1" si="12"/>
        <v>#REF!</v>
      </c>
      <c r="D29" s="38" t="e">
        <f t="shared" ca="1" si="8"/>
        <v>#REF!</v>
      </c>
      <c r="E29" s="38" t="e">
        <f t="shared" ca="1" si="13"/>
        <v>#REF!</v>
      </c>
      <c r="F29" s="38" t="e">
        <f t="shared" ca="1" si="14"/>
        <v>#REF!</v>
      </c>
      <c r="G29" s="18" t="e">
        <f t="shared" ca="1" si="6"/>
        <v>#REF!</v>
      </c>
      <c r="H29" s="18" t="e">
        <f t="shared" ca="1" si="4"/>
        <v>#REF!</v>
      </c>
      <c r="I29" s="38" t="e">
        <f t="shared" ca="1" si="9"/>
        <v>#REF!</v>
      </c>
      <c r="N29" s="18" t="e">
        <f t="shared" ca="1" si="15"/>
        <v>#REF!</v>
      </c>
      <c r="O29" s="38" t="e">
        <f t="shared" ca="1" si="10"/>
        <v>#REF!</v>
      </c>
      <c r="P29" s="38" t="e">
        <f t="shared" ca="1" si="16"/>
        <v>#REF!</v>
      </c>
      <c r="Q29" s="38" t="e">
        <f t="shared" ca="1" si="17"/>
        <v>#REF!</v>
      </c>
      <c r="R29" s="18" t="e">
        <f t="shared" ca="1" si="7"/>
        <v>#REF!</v>
      </c>
      <c r="S29" s="18" t="e">
        <f t="shared" ca="1" si="5"/>
        <v>#REF!</v>
      </c>
      <c r="T29" s="38" t="e">
        <f t="shared" ca="1" si="11"/>
        <v>#REF!</v>
      </c>
      <c r="U29" s="19"/>
    </row>
    <row r="30" spans="1:21">
      <c r="C30" s="18" t="e">
        <f t="shared" ca="1" si="12"/>
        <v>#REF!</v>
      </c>
      <c r="D30" s="38" t="e">
        <f t="shared" ca="1" si="8"/>
        <v>#REF!</v>
      </c>
      <c r="E30" s="38" t="e">
        <f t="shared" ca="1" si="13"/>
        <v>#REF!</v>
      </c>
      <c r="F30" s="38" t="e">
        <f t="shared" ca="1" si="14"/>
        <v>#REF!</v>
      </c>
      <c r="G30" s="18" t="e">
        <f t="shared" ca="1" si="6"/>
        <v>#REF!</v>
      </c>
      <c r="H30" s="18" t="e">
        <f t="shared" ca="1" si="4"/>
        <v>#REF!</v>
      </c>
      <c r="I30" s="38" t="e">
        <f t="shared" ca="1" si="9"/>
        <v>#REF!</v>
      </c>
      <c r="N30" s="18" t="e">
        <f t="shared" ca="1" si="15"/>
        <v>#REF!</v>
      </c>
      <c r="O30" s="38" t="e">
        <f t="shared" ca="1" si="10"/>
        <v>#REF!</v>
      </c>
      <c r="P30" s="38" t="e">
        <f t="shared" ca="1" si="16"/>
        <v>#REF!</v>
      </c>
      <c r="Q30" s="38" t="e">
        <f t="shared" ca="1" si="17"/>
        <v>#REF!</v>
      </c>
      <c r="R30" s="18" t="e">
        <f t="shared" ca="1" si="7"/>
        <v>#REF!</v>
      </c>
      <c r="S30" s="18" t="e">
        <f t="shared" ca="1" si="5"/>
        <v>#REF!</v>
      </c>
      <c r="T30" s="38" t="e">
        <f t="shared" ca="1" si="11"/>
        <v>#REF!</v>
      </c>
      <c r="U30" s="19"/>
    </row>
    <row r="31" spans="1:21">
      <c r="C31" s="18" t="e">
        <f t="shared" ca="1" si="12"/>
        <v>#REF!</v>
      </c>
      <c r="D31" s="38" t="e">
        <f t="shared" ca="1" si="8"/>
        <v>#REF!</v>
      </c>
      <c r="E31" s="38" t="e">
        <f t="shared" ca="1" si="13"/>
        <v>#REF!</v>
      </c>
      <c r="F31" s="38" t="e">
        <f t="shared" ca="1" si="14"/>
        <v>#REF!</v>
      </c>
      <c r="G31" s="18" t="e">
        <f t="shared" ca="1" si="6"/>
        <v>#REF!</v>
      </c>
      <c r="H31" s="18" t="e">
        <f t="shared" ca="1" si="4"/>
        <v>#REF!</v>
      </c>
      <c r="I31" s="38" t="e">
        <f t="shared" ca="1" si="9"/>
        <v>#REF!</v>
      </c>
      <c r="N31" s="18" t="e">
        <f t="shared" ca="1" si="15"/>
        <v>#REF!</v>
      </c>
      <c r="O31" s="38" t="e">
        <f t="shared" ca="1" si="10"/>
        <v>#REF!</v>
      </c>
      <c r="P31" s="38" t="e">
        <f t="shared" ca="1" si="16"/>
        <v>#REF!</v>
      </c>
      <c r="Q31" s="38" t="e">
        <f t="shared" ca="1" si="17"/>
        <v>#REF!</v>
      </c>
      <c r="R31" s="18" t="e">
        <f t="shared" ca="1" si="7"/>
        <v>#REF!</v>
      </c>
      <c r="S31" s="18" t="e">
        <f t="shared" ca="1" si="5"/>
        <v>#REF!</v>
      </c>
      <c r="T31" s="38" t="e">
        <f t="shared" ca="1" si="11"/>
        <v>#REF!</v>
      </c>
      <c r="U31" s="19"/>
    </row>
    <row r="32" spans="1:21">
      <c r="C32" s="18" t="e">
        <f t="shared" ca="1" si="12"/>
        <v>#REF!</v>
      </c>
      <c r="D32" s="38" t="e">
        <f t="shared" ca="1" si="8"/>
        <v>#REF!</v>
      </c>
      <c r="E32" s="38" t="e">
        <f t="shared" ca="1" si="13"/>
        <v>#REF!</v>
      </c>
      <c r="F32" s="38" t="e">
        <f t="shared" ca="1" si="14"/>
        <v>#REF!</v>
      </c>
      <c r="G32" s="18" t="e">
        <f t="shared" ca="1" si="6"/>
        <v>#REF!</v>
      </c>
      <c r="H32" s="18" t="e">
        <f t="shared" ca="1" si="4"/>
        <v>#REF!</v>
      </c>
      <c r="I32" s="38" t="e">
        <f t="shared" ca="1" si="9"/>
        <v>#REF!</v>
      </c>
      <c r="N32" s="18" t="e">
        <f t="shared" ca="1" si="15"/>
        <v>#REF!</v>
      </c>
      <c r="O32" s="38" t="e">
        <f t="shared" ca="1" si="10"/>
        <v>#REF!</v>
      </c>
      <c r="P32" s="38" t="e">
        <f t="shared" ca="1" si="16"/>
        <v>#REF!</v>
      </c>
      <c r="Q32" s="38" t="e">
        <f t="shared" ca="1" si="17"/>
        <v>#REF!</v>
      </c>
      <c r="R32" s="18" t="e">
        <f t="shared" ca="1" si="7"/>
        <v>#REF!</v>
      </c>
      <c r="S32" s="18" t="e">
        <f t="shared" ca="1" si="5"/>
        <v>#REF!</v>
      </c>
      <c r="T32" s="38" t="e">
        <f t="shared" ca="1" si="11"/>
        <v>#REF!</v>
      </c>
      <c r="U32" s="19"/>
    </row>
    <row r="33" spans="1:21">
      <c r="C33" s="18" t="e">
        <f t="shared" ca="1" si="12"/>
        <v>#REF!</v>
      </c>
      <c r="D33" s="38" t="e">
        <f t="shared" ca="1" si="8"/>
        <v>#REF!</v>
      </c>
      <c r="E33" s="38" t="e">
        <f t="shared" ca="1" si="13"/>
        <v>#REF!</v>
      </c>
      <c r="F33" s="38" t="e">
        <f t="shared" ca="1" si="14"/>
        <v>#REF!</v>
      </c>
      <c r="G33" s="18" t="e">
        <f t="shared" ca="1" si="6"/>
        <v>#REF!</v>
      </c>
      <c r="H33" s="18" t="e">
        <f t="shared" ca="1" si="4"/>
        <v>#REF!</v>
      </c>
      <c r="I33" s="38" t="e">
        <f t="shared" ca="1" si="9"/>
        <v>#REF!</v>
      </c>
      <c r="N33" s="18" t="e">
        <f t="shared" ca="1" si="15"/>
        <v>#REF!</v>
      </c>
      <c r="O33" s="38" t="e">
        <f t="shared" ca="1" si="10"/>
        <v>#REF!</v>
      </c>
      <c r="P33" s="38" t="e">
        <f t="shared" ca="1" si="16"/>
        <v>#REF!</v>
      </c>
      <c r="Q33" s="38" t="e">
        <f t="shared" ca="1" si="17"/>
        <v>#REF!</v>
      </c>
      <c r="R33" s="18" t="e">
        <f t="shared" ca="1" si="7"/>
        <v>#REF!</v>
      </c>
      <c r="S33" s="18" t="e">
        <f t="shared" ca="1" si="5"/>
        <v>#REF!</v>
      </c>
      <c r="T33" s="38" t="e">
        <f t="shared" ca="1" si="11"/>
        <v>#REF!</v>
      </c>
      <c r="U33" s="19"/>
    </row>
    <row r="34" spans="1:21">
      <c r="C34" s="18" t="e">
        <f t="shared" ca="1" si="12"/>
        <v>#REF!</v>
      </c>
      <c r="D34" s="38" t="e">
        <f t="shared" ca="1" si="8"/>
        <v>#REF!</v>
      </c>
      <c r="E34" s="38" t="e">
        <f t="shared" ca="1" si="13"/>
        <v>#REF!</v>
      </c>
      <c r="F34" s="38" t="e">
        <f t="shared" ca="1" si="14"/>
        <v>#REF!</v>
      </c>
      <c r="G34" s="18" t="e">
        <f t="shared" ca="1" si="6"/>
        <v>#REF!</v>
      </c>
      <c r="H34" s="18" t="e">
        <f t="shared" ca="1" si="4"/>
        <v>#REF!</v>
      </c>
      <c r="I34" s="38" t="e">
        <f t="shared" ca="1" si="9"/>
        <v>#REF!</v>
      </c>
      <c r="N34" s="18" t="e">
        <f t="shared" ca="1" si="15"/>
        <v>#REF!</v>
      </c>
      <c r="O34" s="38" t="e">
        <f t="shared" ca="1" si="10"/>
        <v>#REF!</v>
      </c>
      <c r="P34" s="38" t="e">
        <f t="shared" ca="1" si="16"/>
        <v>#REF!</v>
      </c>
      <c r="Q34" s="38" t="e">
        <f t="shared" ca="1" si="17"/>
        <v>#REF!</v>
      </c>
      <c r="R34" s="18" t="e">
        <f t="shared" ca="1" si="7"/>
        <v>#REF!</v>
      </c>
      <c r="S34" s="18" t="e">
        <f t="shared" ca="1" si="5"/>
        <v>#REF!</v>
      </c>
      <c r="T34" s="38" t="e">
        <f t="shared" ca="1" si="11"/>
        <v>#REF!</v>
      </c>
      <c r="U34" s="19"/>
    </row>
    <row r="35" spans="1:21">
      <c r="C35" s="18" t="e">
        <f t="shared" ca="1" si="12"/>
        <v>#REF!</v>
      </c>
      <c r="D35" s="38" t="e">
        <f t="shared" ca="1" si="8"/>
        <v>#REF!</v>
      </c>
      <c r="E35" s="38" t="e">
        <f t="shared" ca="1" si="13"/>
        <v>#REF!</v>
      </c>
      <c r="F35" s="38" t="e">
        <f t="shared" ca="1" si="14"/>
        <v>#REF!</v>
      </c>
      <c r="G35" s="18" t="e">
        <f t="shared" ca="1" si="6"/>
        <v>#REF!</v>
      </c>
      <c r="H35" s="18" t="e">
        <f t="shared" ca="1" si="4"/>
        <v>#REF!</v>
      </c>
      <c r="I35" s="38" t="e">
        <f t="shared" ca="1" si="9"/>
        <v>#REF!</v>
      </c>
      <c r="N35" s="18" t="e">
        <f t="shared" ca="1" si="15"/>
        <v>#REF!</v>
      </c>
      <c r="O35" s="38" t="e">
        <f t="shared" ca="1" si="10"/>
        <v>#REF!</v>
      </c>
      <c r="P35" s="38" t="e">
        <f t="shared" ca="1" si="16"/>
        <v>#REF!</v>
      </c>
      <c r="Q35" s="38" t="e">
        <f t="shared" ca="1" si="17"/>
        <v>#REF!</v>
      </c>
      <c r="R35" s="18" t="e">
        <f t="shared" ca="1" si="7"/>
        <v>#REF!</v>
      </c>
      <c r="S35" s="18" t="e">
        <f t="shared" ca="1" si="5"/>
        <v>#REF!</v>
      </c>
      <c r="T35" s="38" t="e">
        <f t="shared" ca="1" si="11"/>
        <v>#REF!</v>
      </c>
      <c r="U35" s="19"/>
    </row>
    <row r="36" spans="1:21">
      <c r="C36" s="18" t="e">
        <f t="shared" ca="1" si="12"/>
        <v>#REF!</v>
      </c>
      <c r="D36" s="38" t="e">
        <f t="shared" ca="1" si="8"/>
        <v>#REF!</v>
      </c>
      <c r="E36" s="38" t="e">
        <f t="shared" ca="1" si="13"/>
        <v>#REF!</v>
      </c>
      <c r="F36" s="38" t="e">
        <f t="shared" ca="1" si="14"/>
        <v>#REF!</v>
      </c>
      <c r="G36" s="18" t="e">
        <f t="shared" ca="1" si="6"/>
        <v>#REF!</v>
      </c>
      <c r="H36" s="18" t="e">
        <f t="shared" ca="1" si="4"/>
        <v>#REF!</v>
      </c>
      <c r="I36" s="38" t="e">
        <f t="shared" ca="1" si="9"/>
        <v>#REF!</v>
      </c>
      <c r="N36" s="18" t="e">
        <f t="shared" ca="1" si="15"/>
        <v>#REF!</v>
      </c>
      <c r="O36" s="38" t="e">
        <f t="shared" ca="1" si="10"/>
        <v>#REF!</v>
      </c>
      <c r="P36" s="38" t="e">
        <f t="shared" ca="1" si="16"/>
        <v>#REF!</v>
      </c>
      <c r="Q36" s="38" t="e">
        <f t="shared" ca="1" si="17"/>
        <v>#REF!</v>
      </c>
      <c r="R36" s="18" t="e">
        <f t="shared" ca="1" si="7"/>
        <v>#REF!</v>
      </c>
      <c r="S36" s="18" t="e">
        <f t="shared" ca="1" si="5"/>
        <v>#REF!</v>
      </c>
      <c r="T36" s="38" t="e">
        <f t="shared" ca="1" si="11"/>
        <v>#REF!</v>
      </c>
      <c r="U36" s="19"/>
    </row>
    <row r="37" spans="1:21">
      <c r="A37" s="127" t="s">
        <v>7</v>
      </c>
      <c r="B37" s="128" t="s">
        <v>104</v>
      </c>
      <c r="C37" s="18" t="e">
        <f t="shared" ca="1" si="12"/>
        <v>#REF!</v>
      </c>
      <c r="D37" s="38" t="e">
        <f t="shared" ca="1" si="8"/>
        <v>#REF!</v>
      </c>
      <c r="E37" s="38" t="e">
        <f t="shared" ca="1" si="13"/>
        <v>#REF!</v>
      </c>
      <c r="F37" s="38" t="e">
        <f t="shared" ca="1" si="14"/>
        <v>#REF!</v>
      </c>
      <c r="G37" s="18" t="e">
        <f t="shared" ca="1" si="6"/>
        <v>#REF!</v>
      </c>
      <c r="H37" s="18" t="e">
        <f t="shared" ca="1" si="4"/>
        <v>#REF!</v>
      </c>
      <c r="I37" s="38" t="e">
        <f t="shared" ca="1" si="9"/>
        <v>#REF!</v>
      </c>
      <c r="L37" s="127" t="s">
        <v>9</v>
      </c>
      <c r="M37" s="128" t="s">
        <v>8</v>
      </c>
      <c r="N37" s="18" t="e">
        <f t="shared" ca="1" si="15"/>
        <v>#REF!</v>
      </c>
      <c r="O37" s="38" t="e">
        <f t="shared" ca="1" si="10"/>
        <v>#REF!</v>
      </c>
      <c r="P37" s="38" t="e">
        <f t="shared" ca="1" si="16"/>
        <v>#REF!</v>
      </c>
      <c r="Q37" s="38" t="e">
        <f t="shared" ca="1" si="17"/>
        <v>#REF!</v>
      </c>
      <c r="R37" s="18" t="e">
        <f t="shared" ca="1" si="7"/>
        <v>#REF!</v>
      </c>
      <c r="S37" s="18" t="e">
        <f t="shared" ca="1" si="5"/>
        <v>#REF!</v>
      </c>
      <c r="T37" s="38" t="e">
        <f t="shared" ca="1" si="11"/>
        <v>#REF!</v>
      </c>
      <c r="U37" s="19"/>
    </row>
    <row r="38" spans="1:21">
      <c r="A38" s="39" t="e">
        <f t="shared" ref="A38:A101" ca="1" si="18">IF(INDIRECT($B$1&amp;ADDRESS(ROW($C$15),ROW(C15)-12))="","",INDIRECT($B$1&amp;ADDRESS(ROW($C$15),ROW(C15)-12)))</f>
        <v>#REF!</v>
      </c>
      <c r="B38" s="39" t="e">
        <f t="shared" ref="B38:B101" ca="1" si="19">IF(INDIRECT($B$1&amp;ADDRESS(ROW($C$5),ROW(C5)-2))="","",INDIRECT($B$1&amp;ADDRESS(ROW($C$5),ROW(C5)-2)))</f>
        <v>#REF!</v>
      </c>
      <c r="C38" s="18" t="e">
        <f t="shared" ca="1" si="12"/>
        <v>#REF!</v>
      </c>
      <c r="D38" s="38" t="e">
        <f t="shared" ca="1" si="8"/>
        <v>#REF!</v>
      </c>
      <c r="E38" s="38" t="e">
        <f t="shared" ca="1" si="13"/>
        <v>#REF!</v>
      </c>
      <c r="F38" s="38" t="e">
        <f t="shared" ca="1" si="14"/>
        <v>#REF!</v>
      </c>
      <c r="G38" s="18" t="e">
        <f t="shared" ca="1" si="6"/>
        <v>#REF!</v>
      </c>
      <c r="H38" s="18" t="e">
        <f t="shared" ca="1" si="4"/>
        <v>#REF!</v>
      </c>
      <c r="I38" s="38" t="e">
        <f t="shared" ca="1" si="9"/>
        <v>#REF!</v>
      </c>
      <c r="L38" s="39" t="e">
        <f t="shared" ref="L38:L101" ca="1" si="20">IF(INDIRECT($M$1&amp;ADDRESS(ROW($C$15),ROW(N15)-12))="","",INDIRECT($M$1&amp;ADDRESS(ROW($C$15),ROW(N15)-12)))</f>
        <v>#REF!</v>
      </c>
      <c r="M38" s="39" t="e">
        <f t="shared" ref="M38:M101" ca="1" si="21">IF(INDIRECT($M$1&amp;ADDRESS(ROW($C$5),ROW(N5)-2))="","",INDIRECT($M$1&amp;ADDRESS(ROW($C$5),ROW(N5)-2)))</f>
        <v>#REF!</v>
      </c>
      <c r="N38" s="18" t="e">
        <f t="shared" ca="1" si="15"/>
        <v>#REF!</v>
      </c>
      <c r="O38" s="38" t="e">
        <f t="shared" ca="1" si="10"/>
        <v>#REF!</v>
      </c>
      <c r="P38" s="38" t="e">
        <f t="shared" ca="1" si="16"/>
        <v>#REF!</v>
      </c>
      <c r="Q38" s="38" t="e">
        <f t="shared" ca="1" si="17"/>
        <v>#REF!</v>
      </c>
      <c r="R38" s="18" t="e">
        <f t="shared" ca="1" si="7"/>
        <v>#REF!</v>
      </c>
      <c r="S38" s="18" t="e">
        <f t="shared" ca="1" si="5"/>
        <v>#REF!</v>
      </c>
      <c r="T38" s="38" t="e">
        <f t="shared" ca="1" si="11"/>
        <v>#REF!</v>
      </c>
      <c r="U38" s="19"/>
    </row>
    <row r="39" spans="1:21">
      <c r="A39" s="39" t="e">
        <f t="shared" ca="1" si="18"/>
        <v>#REF!</v>
      </c>
      <c r="B39" s="39" t="e">
        <f t="shared" ca="1" si="19"/>
        <v>#REF!</v>
      </c>
      <c r="C39" s="18" t="e">
        <f t="shared" ca="1" si="12"/>
        <v>#REF!</v>
      </c>
      <c r="D39" s="38" t="e">
        <f t="shared" ca="1" si="8"/>
        <v>#REF!</v>
      </c>
      <c r="E39" s="38" t="e">
        <f t="shared" ca="1" si="13"/>
        <v>#REF!</v>
      </c>
      <c r="F39" s="38" t="e">
        <f t="shared" ca="1" si="14"/>
        <v>#REF!</v>
      </c>
      <c r="G39" s="18" t="e">
        <f t="shared" ca="1" si="6"/>
        <v>#REF!</v>
      </c>
      <c r="H39" s="18" t="e">
        <f t="shared" ca="1" si="4"/>
        <v>#REF!</v>
      </c>
      <c r="I39" s="38" t="e">
        <f t="shared" ca="1" si="9"/>
        <v>#REF!</v>
      </c>
      <c r="L39" s="39" t="e">
        <f t="shared" ca="1" si="20"/>
        <v>#REF!</v>
      </c>
      <c r="M39" s="39" t="e">
        <f t="shared" ca="1" si="21"/>
        <v>#REF!</v>
      </c>
      <c r="N39" s="18" t="e">
        <f t="shared" ca="1" si="15"/>
        <v>#REF!</v>
      </c>
      <c r="O39" s="38" t="e">
        <f t="shared" ca="1" si="10"/>
        <v>#REF!</v>
      </c>
      <c r="P39" s="38" t="e">
        <f t="shared" ca="1" si="16"/>
        <v>#REF!</v>
      </c>
      <c r="Q39" s="38" t="e">
        <f t="shared" ca="1" si="17"/>
        <v>#REF!</v>
      </c>
      <c r="R39" s="18" t="e">
        <f t="shared" ca="1" si="7"/>
        <v>#REF!</v>
      </c>
      <c r="S39" s="18" t="e">
        <f t="shared" ca="1" si="5"/>
        <v>#REF!</v>
      </c>
      <c r="T39" s="38" t="e">
        <f t="shared" ca="1" si="11"/>
        <v>#REF!</v>
      </c>
      <c r="U39" s="19"/>
    </row>
    <row r="40" spans="1:21">
      <c r="A40" s="39" t="e">
        <f t="shared" ca="1" si="18"/>
        <v>#REF!</v>
      </c>
      <c r="B40" s="39" t="e">
        <f t="shared" ca="1" si="19"/>
        <v>#REF!</v>
      </c>
      <c r="C40" s="18" t="e">
        <f t="shared" ca="1" si="12"/>
        <v>#REF!</v>
      </c>
      <c r="D40" s="38" t="e">
        <f t="shared" ca="1" si="8"/>
        <v>#REF!</v>
      </c>
      <c r="E40" s="38" t="e">
        <f t="shared" ca="1" si="13"/>
        <v>#REF!</v>
      </c>
      <c r="F40" s="38" t="e">
        <f t="shared" ca="1" si="14"/>
        <v>#REF!</v>
      </c>
      <c r="G40" s="18" t="e">
        <f t="shared" ca="1" si="6"/>
        <v>#REF!</v>
      </c>
      <c r="H40" s="18" t="e">
        <f t="shared" ca="1" si="4"/>
        <v>#REF!</v>
      </c>
      <c r="I40" s="38" t="e">
        <f t="shared" ca="1" si="9"/>
        <v>#REF!</v>
      </c>
      <c r="L40" s="39" t="e">
        <f t="shared" ca="1" si="20"/>
        <v>#REF!</v>
      </c>
      <c r="M40" s="39" t="e">
        <f t="shared" ca="1" si="21"/>
        <v>#REF!</v>
      </c>
      <c r="N40" s="18" t="e">
        <f t="shared" ca="1" si="15"/>
        <v>#REF!</v>
      </c>
      <c r="O40" s="38" t="e">
        <f t="shared" ca="1" si="10"/>
        <v>#REF!</v>
      </c>
      <c r="P40" s="38" t="e">
        <f t="shared" ca="1" si="16"/>
        <v>#REF!</v>
      </c>
      <c r="Q40" s="38" t="e">
        <f t="shared" ca="1" si="17"/>
        <v>#REF!</v>
      </c>
      <c r="R40" s="18" t="e">
        <f t="shared" ca="1" si="7"/>
        <v>#REF!</v>
      </c>
      <c r="S40" s="18" t="e">
        <f t="shared" ca="1" si="5"/>
        <v>#REF!</v>
      </c>
      <c r="T40" s="38" t="e">
        <f t="shared" ca="1" si="11"/>
        <v>#REF!</v>
      </c>
      <c r="U40" s="19"/>
    </row>
    <row r="41" spans="1:21">
      <c r="A41" s="39" t="e">
        <f t="shared" ca="1" si="18"/>
        <v>#REF!</v>
      </c>
      <c r="B41" s="39" t="e">
        <f t="shared" ca="1" si="19"/>
        <v>#REF!</v>
      </c>
      <c r="C41" s="18" t="e">
        <f t="shared" ca="1" si="12"/>
        <v>#REF!</v>
      </c>
      <c r="D41" s="38" t="e">
        <f t="shared" ca="1" si="8"/>
        <v>#REF!</v>
      </c>
      <c r="E41" s="38" t="e">
        <f t="shared" ca="1" si="13"/>
        <v>#REF!</v>
      </c>
      <c r="F41" s="38" t="e">
        <f t="shared" ca="1" si="14"/>
        <v>#REF!</v>
      </c>
      <c r="G41" s="18" t="e">
        <f t="shared" ca="1" si="6"/>
        <v>#REF!</v>
      </c>
      <c r="H41" s="18" t="e">
        <f t="shared" ca="1" si="4"/>
        <v>#REF!</v>
      </c>
      <c r="I41" s="38" t="e">
        <f t="shared" ca="1" si="9"/>
        <v>#REF!</v>
      </c>
      <c r="L41" s="39" t="e">
        <f t="shared" ca="1" si="20"/>
        <v>#REF!</v>
      </c>
      <c r="M41" s="39" t="e">
        <f t="shared" ca="1" si="21"/>
        <v>#REF!</v>
      </c>
      <c r="N41" s="18" t="e">
        <f t="shared" ca="1" si="15"/>
        <v>#REF!</v>
      </c>
      <c r="O41" s="38" t="e">
        <f t="shared" ca="1" si="10"/>
        <v>#REF!</v>
      </c>
      <c r="P41" s="38" t="e">
        <f t="shared" ca="1" si="16"/>
        <v>#REF!</v>
      </c>
      <c r="Q41" s="38" t="e">
        <f t="shared" ca="1" si="17"/>
        <v>#REF!</v>
      </c>
      <c r="R41" s="18" t="e">
        <f t="shared" ca="1" si="7"/>
        <v>#REF!</v>
      </c>
      <c r="S41" s="18" t="e">
        <f t="shared" ca="1" si="5"/>
        <v>#REF!</v>
      </c>
      <c r="T41" s="38" t="e">
        <f t="shared" ca="1" si="11"/>
        <v>#REF!</v>
      </c>
      <c r="U41" s="19"/>
    </row>
    <row r="42" spans="1:21">
      <c r="A42" s="39" t="e">
        <f t="shared" ca="1" si="18"/>
        <v>#REF!</v>
      </c>
      <c r="B42" s="39" t="e">
        <f t="shared" ca="1" si="19"/>
        <v>#REF!</v>
      </c>
      <c r="C42" s="18" t="e">
        <f t="shared" ca="1" si="12"/>
        <v>#REF!</v>
      </c>
      <c r="D42" s="38" t="e">
        <f t="shared" ca="1" si="8"/>
        <v>#REF!</v>
      </c>
      <c r="E42" s="38" t="e">
        <f t="shared" ca="1" si="13"/>
        <v>#REF!</v>
      </c>
      <c r="F42" s="38" t="e">
        <f t="shared" ca="1" si="14"/>
        <v>#REF!</v>
      </c>
      <c r="G42" s="18" t="e">
        <f t="shared" ca="1" si="6"/>
        <v>#REF!</v>
      </c>
      <c r="H42" s="18" t="e">
        <f t="shared" ca="1" si="4"/>
        <v>#REF!</v>
      </c>
      <c r="I42" s="38" t="e">
        <f t="shared" ca="1" si="9"/>
        <v>#REF!</v>
      </c>
      <c r="L42" s="39" t="e">
        <f t="shared" ca="1" si="20"/>
        <v>#REF!</v>
      </c>
      <c r="M42" s="39" t="e">
        <f t="shared" ca="1" si="21"/>
        <v>#REF!</v>
      </c>
      <c r="N42" s="18" t="e">
        <f t="shared" ca="1" si="15"/>
        <v>#REF!</v>
      </c>
      <c r="O42" s="38" t="e">
        <f t="shared" ca="1" si="10"/>
        <v>#REF!</v>
      </c>
      <c r="P42" s="38" t="e">
        <f t="shared" ca="1" si="16"/>
        <v>#REF!</v>
      </c>
      <c r="Q42" s="38" t="e">
        <f t="shared" ca="1" si="17"/>
        <v>#REF!</v>
      </c>
      <c r="R42" s="18" t="e">
        <f t="shared" ca="1" si="7"/>
        <v>#REF!</v>
      </c>
      <c r="S42" s="18" t="e">
        <f t="shared" ca="1" si="5"/>
        <v>#REF!</v>
      </c>
      <c r="T42" s="38" t="e">
        <f t="shared" ca="1" si="11"/>
        <v>#REF!</v>
      </c>
      <c r="U42" s="19"/>
    </row>
    <row r="43" spans="1:21">
      <c r="A43" s="39" t="e">
        <f t="shared" ca="1" si="18"/>
        <v>#REF!</v>
      </c>
      <c r="B43" s="39" t="e">
        <f t="shared" ca="1" si="19"/>
        <v>#REF!</v>
      </c>
      <c r="C43" s="18" t="e">
        <f t="shared" ca="1" si="12"/>
        <v>#REF!</v>
      </c>
      <c r="D43" s="38" t="e">
        <f t="shared" ca="1" si="8"/>
        <v>#REF!</v>
      </c>
      <c r="E43" s="38" t="e">
        <f t="shared" ca="1" si="13"/>
        <v>#REF!</v>
      </c>
      <c r="F43" s="38" t="e">
        <f t="shared" ca="1" si="14"/>
        <v>#REF!</v>
      </c>
      <c r="G43" s="18" t="e">
        <f t="shared" ca="1" si="6"/>
        <v>#REF!</v>
      </c>
      <c r="H43" s="18" t="e">
        <f t="shared" ca="1" si="4"/>
        <v>#REF!</v>
      </c>
      <c r="I43" s="38" t="e">
        <f t="shared" ca="1" si="9"/>
        <v>#REF!</v>
      </c>
      <c r="L43" s="39" t="e">
        <f t="shared" ca="1" si="20"/>
        <v>#REF!</v>
      </c>
      <c r="M43" s="39" t="e">
        <f t="shared" ca="1" si="21"/>
        <v>#REF!</v>
      </c>
      <c r="N43" s="18" t="e">
        <f t="shared" ca="1" si="15"/>
        <v>#REF!</v>
      </c>
      <c r="O43" s="38" t="e">
        <f t="shared" ca="1" si="10"/>
        <v>#REF!</v>
      </c>
      <c r="P43" s="38" t="e">
        <f t="shared" ca="1" si="16"/>
        <v>#REF!</v>
      </c>
      <c r="Q43" s="38" t="e">
        <f t="shared" ca="1" si="17"/>
        <v>#REF!</v>
      </c>
      <c r="R43" s="18" t="e">
        <f t="shared" ca="1" si="7"/>
        <v>#REF!</v>
      </c>
      <c r="S43" s="18" t="e">
        <f t="shared" ca="1" si="5"/>
        <v>#REF!</v>
      </c>
      <c r="T43" s="38" t="e">
        <f t="shared" ca="1" si="11"/>
        <v>#REF!</v>
      </c>
      <c r="U43" s="19"/>
    </row>
    <row r="44" spans="1:21">
      <c r="A44" s="39" t="e">
        <f t="shared" ca="1" si="18"/>
        <v>#REF!</v>
      </c>
      <c r="B44" s="39" t="e">
        <f t="shared" ca="1" si="19"/>
        <v>#REF!</v>
      </c>
      <c r="C44" s="18" t="e">
        <f t="shared" ca="1" si="12"/>
        <v>#REF!</v>
      </c>
      <c r="D44" s="38" t="e">
        <f t="shared" ca="1" si="8"/>
        <v>#REF!</v>
      </c>
      <c r="E44" s="38" t="e">
        <f t="shared" ca="1" si="13"/>
        <v>#REF!</v>
      </c>
      <c r="F44" s="38" t="e">
        <f t="shared" ca="1" si="14"/>
        <v>#REF!</v>
      </c>
      <c r="G44" s="18" t="e">
        <f t="shared" ca="1" si="6"/>
        <v>#REF!</v>
      </c>
      <c r="H44" s="18" t="e">
        <f t="shared" ca="1" si="4"/>
        <v>#REF!</v>
      </c>
      <c r="I44" s="38" t="e">
        <f t="shared" ca="1" si="9"/>
        <v>#REF!</v>
      </c>
      <c r="L44" s="39" t="e">
        <f t="shared" ca="1" si="20"/>
        <v>#REF!</v>
      </c>
      <c r="M44" s="39" t="e">
        <f t="shared" ca="1" si="21"/>
        <v>#REF!</v>
      </c>
      <c r="N44" s="18" t="e">
        <f t="shared" ca="1" si="15"/>
        <v>#REF!</v>
      </c>
      <c r="O44" s="38" t="e">
        <f t="shared" ca="1" si="10"/>
        <v>#REF!</v>
      </c>
      <c r="P44" s="38" t="e">
        <f t="shared" ca="1" si="16"/>
        <v>#REF!</v>
      </c>
      <c r="Q44" s="38" t="e">
        <f t="shared" ca="1" si="17"/>
        <v>#REF!</v>
      </c>
      <c r="R44" s="18" t="e">
        <f t="shared" ca="1" si="7"/>
        <v>#REF!</v>
      </c>
      <c r="S44" s="18" t="e">
        <f t="shared" ca="1" si="5"/>
        <v>#REF!</v>
      </c>
      <c r="T44" s="38" t="e">
        <f t="shared" ca="1" si="11"/>
        <v>#REF!</v>
      </c>
      <c r="U44" s="19"/>
    </row>
    <row r="45" spans="1:21">
      <c r="A45" s="39" t="e">
        <f t="shared" ca="1" si="18"/>
        <v>#REF!</v>
      </c>
      <c r="B45" s="39" t="e">
        <f t="shared" ca="1" si="19"/>
        <v>#REF!</v>
      </c>
      <c r="C45" s="18" t="e">
        <f t="shared" ca="1" si="12"/>
        <v>#REF!</v>
      </c>
      <c r="D45" s="38" t="e">
        <f t="shared" ca="1" si="8"/>
        <v>#REF!</v>
      </c>
      <c r="E45" s="38" t="e">
        <f t="shared" ca="1" si="13"/>
        <v>#REF!</v>
      </c>
      <c r="F45" s="38" t="e">
        <f t="shared" ca="1" si="14"/>
        <v>#REF!</v>
      </c>
      <c r="G45" s="18" t="e">
        <f t="shared" ca="1" si="6"/>
        <v>#REF!</v>
      </c>
      <c r="H45" s="18" t="e">
        <f t="shared" ca="1" si="4"/>
        <v>#REF!</v>
      </c>
      <c r="I45" s="38" t="e">
        <f t="shared" ca="1" si="9"/>
        <v>#REF!</v>
      </c>
      <c r="L45" s="39" t="e">
        <f t="shared" ca="1" si="20"/>
        <v>#REF!</v>
      </c>
      <c r="M45" s="39" t="e">
        <f t="shared" ca="1" si="21"/>
        <v>#REF!</v>
      </c>
      <c r="N45" s="18" t="e">
        <f t="shared" ca="1" si="15"/>
        <v>#REF!</v>
      </c>
      <c r="O45" s="38" t="e">
        <f t="shared" ca="1" si="10"/>
        <v>#REF!</v>
      </c>
      <c r="P45" s="38" t="e">
        <f t="shared" ca="1" si="16"/>
        <v>#REF!</v>
      </c>
      <c r="Q45" s="38" t="e">
        <f t="shared" ca="1" si="17"/>
        <v>#REF!</v>
      </c>
      <c r="R45" s="18" t="e">
        <f t="shared" ca="1" si="7"/>
        <v>#REF!</v>
      </c>
      <c r="S45" s="18" t="e">
        <f t="shared" ca="1" si="5"/>
        <v>#REF!</v>
      </c>
      <c r="T45" s="38" t="e">
        <f t="shared" ca="1" si="11"/>
        <v>#REF!</v>
      </c>
      <c r="U45" s="19"/>
    </row>
    <row r="46" spans="1:21">
      <c r="A46" s="39" t="e">
        <f t="shared" ca="1" si="18"/>
        <v>#REF!</v>
      </c>
      <c r="B46" s="39" t="e">
        <f t="shared" ca="1" si="19"/>
        <v>#REF!</v>
      </c>
      <c r="C46" s="18" t="e">
        <f t="shared" ca="1" si="12"/>
        <v>#REF!</v>
      </c>
      <c r="D46" s="38" t="e">
        <f t="shared" ca="1" si="8"/>
        <v>#REF!</v>
      </c>
      <c r="E46" s="38" t="e">
        <f t="shared" ca="1" si="13"/>
        <v>#REF!</v>
      </c>
      <c r="F46" s="38" t="e">
        <f t="shared" ca="1" si="14"/>
        <v>#REF!</v>
      </c>
      <c r="G46" s="18" t="e">
        <f t="shared" ca="1" si="6"/>
        <v>#REF!</v>
      </c>
      <c r="H46" s="18" t="e">
        <f t="shared" ca="1" si="4"/>
        <v>#REF!</v>
      </c>
      <c r="I46" s="38" t="e">
        <f t="shared" ca="1" si="9"/>
        <v>#REF!</v>
      </c>
      <c r="L46" s="39" t="e">
        <f t="shared" ca="1" si="20"/>
        <v>#REF!</v>
      </c>
      <c r="M46" s="39" t="e">
        <f t="shared" ca="1" si="21"/>
        <v>#REF!</v>
      </c>
      <c r="N46" s="18" t="e">
        <f t="shared" ca="1" si="15"/>
        <v>#REF!</v>
      </c>
      <c r="O46" s="38" t="e">
        <f t="shared" ca="1" si="10"/>
        <v>#REF!</v>
      </c>
      <c r="P46" s="38" t="e">
        <f t="shared" ca="1" si="16"/>
        <v>#REF!</v>
      </c>
      <c r="Q46" s="38" t="e">
        <f t="shared" ca="1" si="17"/>
        <v>#REF!</v>
      </c>
      <c r="R46" s="18" t="e">
        <f t="shared" ca="1" si="7"/>
        <v>#REF!</v>
      </c>
      <c r="S46" s="18" t="e">
        <f t="shared" ca="1" si="5"/>
        <v>#REF!</v>
      </c>
      <c r="T46" s="38" t="e">
        <f t="shared" ca="1" si="11"/>
        <v>#REF!</v>
      </c>
      <c r="U46" s="19"/>
    </row>
    <row r="47" spans="1:21">
      <c r="A47" s="39" t="e">
        <f t="shared" ca="1" si="18"/>
        <v>#REF!</v>
      </c>
      <c r="B47" s="39" t="e">
        <f t="shared" ca="1" si="19"/>
        <v>#REF!</v>
      </c>
      <c r="C47" s="18" t="e">
        <f t="shared" ca="1" si="12"/>
        <v>#REF!</v>
      </c>
      <c r="D47" s="38" t="e">
        <f t="shared" ca="1" si="8"/>
        <v>#REF!</v>
      </c>
      <c r="E47" s="38" t="e">
        <f t="shared" ca="1" si="13"/>
        <v>#REF!</v>
      </c>
      <c r="F47" s="38" t="e">
        <f t="shared" ca="1" si="14"/>
        <v>#REF!</v>
      </c>
      <c r="G47" s="18" t="e">
        <f t="shared" ca="1" si="6"/>
        <v>#REF!</v>
      </c>
      <c r="H47" s="18" t="e">
        <f t="shared" ca="1" si="4"/>
        <v>#REF!</v>
      </c>
      <c r="I47" s="38" t="e">
        <f t="shared" ca="1" si="9"/>
        <v>#REF!</v>
      </c>
      <c r="L47" s="39" t="e">
        <f t="shared" ca="1" si="20"/>
        <v>#REF!</v>
      </c>
      <c r="M47" s="39" t="e">
        <f t="shared" ca="1" si="21"/>
        <v>#REF!</v>
      </c>
      <c r="N47" s="18" t="e">
        <f t="shared" ca="1" si="15"/>
        <v>#REF!</v>
      </c>
      <c r="O47" s="38" t="e">
        <f t="shared" ca="1" si="10"/>
        <v>#REF!</v>
      </c>
      <c r="P47" s="38" t="e">
        <f t="shared" ca="1" si="16"/>
        <v>#REF!</v>
      </c>
      <c r="Q47" s="38" t="e">
        <f t="shared" ca="1" si="17"/>
        <v>#REF!</v>
      </c>
      <c r="R47" s="18" t="e">
        <f t="shared" ca="1" si="7"/>
        <v>#REF!</v>
      </c>
      <c r="S47" s="18" t="e">
        <f t="shared" ca="1" si="5"/>
        <v>#REF!</v>
      </c>
      <c r="T47" s="38" t="e">
        <f t="shared" ca="1" si="11"/>
        <v>#REF!</v>
      </c>
      <c r="U47" s="19"/>
    </row>
    <row r="48" spans="1:21">
      <c r="A48" s="39" t="e">
        <f t="shared" ca="1" si="18"/>
        <v>#REF!</v>
      </c>
      <c r="B48" s="39" t="e">
        <f t="shared" ca="1" si="19"/>
        <v>#REF!</v>
      </c>
      <c r="C48" s="18" t="e">
        <f t="shared" ca="1" si="12"/>
        <v>#REF!</v>
      </c>
      <c r="D48" s="38" t="e">
        <f t="shared" ca="1" si="8"/>
        <v>#REF!</v>
      </c>
      <c r="E48" s="38" t="e">
        <f t="shared" ca="1" si="13"/>
        <v>#REF!</v>
      </c>
      <c r="F48" s="38" t="e">
        <f t="shared" ca="1" si="14"/>
        <v>#REF!</v>
      </c>
      <c r="G48" s="18" t="e">
        <f t="shared" ca="1" si="6"/>
        <v>#REF!</v>
      </c>
      <c r="H48" s="18" t="e">
        <f t="shared" ca="1" si="4"/>
        <v>#REF!</v>
      </c>
      <c r="I48" s="38" t="e">
        <f t="shared" ca="1" si="9"/>
        <v>#REF!</v>
      </c>
      <c r="L48" s="39" t="e">
        <f t="shared" ca="1" si="20"/>
        <v>#REF!</v>
      </c>
      <c r="M48" s="39" t="e">
        <f t="shared" ca="1" si="21"/>
        <v>#REF!</v>
      </c>
      <c r="N48" s="18" t="e">
        <f t="shared" ca="1" si="15"/>
        <v>#REF!</v>
      </c>
      <c r="O48" s="38" t="e">
        <f t="shared" ca="1" si="10"/>
        <v>#REF!</v>
      </c>
      <c r="P48" s="38" t="e">
        <f t="shared" ca="1" si="16"/>
        <v>#REF!</v>
      </c>
      <c r="Q48" s="38" t="e">
        <f t="shared" ca="1" si="17"/>
        <v>#REF!</v>
      </c>
      <c r="R48" s="18" t="e">
        <f t="shared" ca="1" si="7"/>
        <v>#REF!</v>
      </c>
      <c r="S48" s="18" t="e">
        <f t="shared" ca="1" si="5"/>
        <v>#REF!</v>
      </c>
      <c r="T48" s="38" t="e">
        <f t="shared" ca="1" si="11"/>
        <v>#REF!</v>
      </c>
      <c r="U48" s="19"/>
    </row>
    <row r="49" spans="1:21">
      <c r="A49" s="39" t="e">
        <f t="shared" ca="1" si="18"/>
        <v>#REF!</v>
      </c>
      <c r="B49" s="39" t="e">
        <f t="shared" ca="1" si="19"/>
        <v>#REF!</v>
      </c>
      <c r="C49" s="18" t="e">
        <f t="shared" ca="1" si="12"/>
        <v>#REF!</v>
      </c>
      <c r="D49" s="38" t="e">
        <f t="shared" ca="1" si="8"/>
        <v>#REF!</v>
      </c>
      <c r="E49" s="38" t="e">
        <f t="shared" ca="1" si="13"/>
        <v>#REF!</v>
      </c>
      <c r="F49" s="38" t="e">
        <f t="shared" ca="1" si="14"/>
        <v>#REF!</v>
      </c>
      <c r="G49" s="18" t="e">
        <f t="shared" ca="1" si="6"/>
        <v>#REF!</v>
      </c>
      <c r="H49" s="18" t="e">
        <f t="shared" ca="1" si="4"/>
        <v>#REF!</v>
      </c>
      <c r="I49" s="38" t="e">
        <f t="shared" ca="1" si="9"/>
        <v>#REF!</v>
      </c>
      <c r="L49" s="39" t="e">
        <f t="shared" ca="1" si="20"/>
        <v>#REF!</v>
      </c>
      <c r="M49" s="39" t="e">
        <f t="shared" ca="1" si="21"/>
        <v>#REF!</v>
      </c>
      <c r="N49" s="18" t="e">
        <f t="shared" ca="1" si="15"/>
        <v>#REF!</v>
      </c>
      <c r="O49" s="38" t="e">
        <f t="shared" ca="1" si="10"/>
        <v>#REF!</v>
      </c>
      <c r="P49" s="38" t="e">
        <f t="shared" ca="1" si="16"/>
        <v>#REF!</v>
      </c>
      <c r="Q49" s="38" t="e">
        <f t="shared" ca="1" si="17"/>
        <v>#REF!</v>
      </c>
      <c r="R49" s="18" t="e">
        <f t="shared" ca="1" si="7"/>
        <v>#REF!</v>
      </c>
      <c r="S49" s="18" t="e">
        <f t="shared" ca="1" si="5"/>
        <v>#REF!</v>
      </c>
      <c r="T49" s="38" t="e">
        <f t="shared" ca="1" si="11"/>
        <v>#REF!</v>
      </c>
      <c r="U49" s="19"/>
    </row>
    <row r="50" spans="1:21">
      <c r="A50" s="39" t="e">
        <f t="shared" ca="1" si="18"/>
        <v>#REF!</v>
      </c>
      <c r="B50" s="39" t="e">
        <f t="shared" ca="1" si="19"/>
        <v>#REF!</v>
      </c>
      <c r="C50" s="18" t="e">
        <f t="shared" ca="1" si="12"/>
        <v>#REF!</v>
      </c>
      <c r="D50" s="38" t="e">
        <f t="shared" ca="1" si="8"/>
        <v>#REF!</v>
      </c>
      <c r="E50" s="38" t="e">
        <f t="shared" ca="1" si="13"/>
        <v>#REF!</v>
      </c>
      <c r="F50" s="38" t="e">
        <f t="shared" ca="1" si="14"/>
        <v>#REF!</v>
      </c>
      <c r="G50" s="18" t="e">
        <f t="shared" ca="1" si="6"/>
        <v>#REF!</v>
      </c>
      <c r="H50" s="18" t="e">
        <f t="shared" ca="1" si="4"/>
        <v>#REF!</v>
      </c>
      <c r="I50" s="38" t="e">
        <f t="shared" ca="1" si="9"/>
        <v>#REF!</v>
      </c>
      <c r="L50" s="39" t="e">
        <f t="shared" ca="1" si="20"/>
        <v>#REF!</v>
      </c>
      <c r="M50" s="39" t="e">
        <f t="shared" ca="1" si="21"/>
        <v>#REF!</v>
      </c>
      <c r="N50" s="18" t="e">
        <f t="shared" ca="1" si="15"/>
        <v>#REF!</v>
      </c>
      <c r="O50" s="38" t="e">
        <f t="shared" ca="1" si="10"/>
        <v>#REF!</v>
      </c>
      <c r="P50" s="38" t="e">
        <f t="shared" ca="1" si="16"/>
        <v>#REF!</v>
      </c>
      <c r="Q50" s="38" t="e">
        <f t="shared" ca="1" si="17"/>
        <v>#REF!</v>
      </c>
      <c r="R50" s="18" t="e">
        <f t="shared" ca="1" si="7"/>
        <v>#REF!</v>
      </c>
      <c r="S50" s="18" t="e">
        <f t="shared" ca="1" si="5"/>
        <v>#REF!</v>
      </c>
      <c r="T50" s="38" t="e">
        <f t="shared" ca="1" si="11"/>
        <v>#REF!</v>
      </c>
      <c r="U50" s="19"/>
    </row>
    <row r="51" spans="1:21">
      <c r="A51" s="39" t="e">
        <f t="shared" ca="1" si="18"/>
        <v>#REF!</v>
      </c>
      <c r="B51" s="39" t="e">
        <f t="shared" ca="1" si="19"/>
        <v>#REF!</v>
      </c>
      <c r="C51" s="18" t="e">
        <f t="shared" ca="1" si="12"/>
        <v>#REF!</v>
      </c>
      <c r="D51" s="38" t="e">
        <f t="shared" ca="1" si="8"/>
        <v>#REF!</v>
      </c>
      <c r="E51" s="40" t="e">
        <f t="shared" ca="1" si="13"/>
        <v>#REF!</v>
      </c>
      <c r="F51" s="40" t="e">
        <f t="shared" ca="1" si="14"/>
        <v>#REF!</v>
      </c>
      <c r="G51" s="18" t="e">
        <f t="shared" ca="1" si="6"/>
        <v>#REF!</v>
      </c>
      <c r="H51" s="34" t="e">
        <f t="shared" ca="1" si="4"/>
        <v>#REF!</v>
      </c>
      <c r="I51" s="38" t="e">
        <f t="shared" ca="1" si="9"/>
        <v>#REF!</v>
      </c>
      <c r="L51" s="39" t="e">
        <f t="shared" ca="1" si="20"/>
        <v>#REF!</v>
      </c>
      <c r="M51" s="39" t="e">
        <f t="shared" ca="1" si="21"/>
        <v>#REF!</v>
      </c>
      <c r="N51" s="18" t="e">
        <f t="shared" ca="1" si="15"/>
        <v>#REF!</v>
      </c>
      <c r="O51" s="38" t="e">
        <f t="shared" ca="1" si="10"/>
        <v>#REF!</v>
      </c>
      <c r="P51" s="38" t="e">
        <f t="shared" ca="1" si="16"/>
        <v>#REF!</v>
      </c>
      <c r="Q51" s="38" t="e">
        <f t="shared" ca="1" si="17"/>
        <v>#REF!</v>
      </c>
      <c r="R51" s="18" t="e">
        <f t="shared" ca="1" si="7"/>
        <v>#REF!</v>
      </c>
      <c r="S51" s="18" t="e">
        <f t="shared" ca="1" si="5"/>
        <v>#REF!</v>
      </c>
      <c r="T51" s="38" t="e">
        <f t="shared" ca="1" si="11"/>
        <v>#REF!</v>
      </c>
      <c r="U51" s="19"/>
    </row>
    <row r="52" spans="1:21">
      <c r="A52" s="39" t="e">
        <f t="shared" ca="1" si="18"/>
        <v>#REF!</v>
      </c>
      <c r="B52" s="39" t="e">
        <f t="shared" ca="1" si="19"/>
        <v>#REF!</v>
      </c>
      <c r="C52" s="18" t="e">
        <f t="shared" ca="1" si="12"/>
        <v>#REF!</v>
      </c>
      <c r="D52" s="38" t="e">
        <f t="shared" ca="1" si="8"/>
        <v>#REF!</v>
      </c>
      <c r="E52" s="40" t="e">
        <f t="shared" ca="1" si="13"/>
        <v>#REF!</v>
      </c>
      <c r="F52" s="40" t="e">
        <f t="shared" ca="1" si="14"/>
        <v>#REF!</v>
      </c>
      <c r="G52" s="18" t="e">
        <f t="shared" ca="1" si="6"/>
        <v>#REF!</v>
      </c>
      <c r="H52" s="34" t="e">
        <f t="shared" ca="1" si="4"/>
        <v>#REF!</v>
      </c>
      <c r="I52" s="38" t="e">
        <f t="shared" ca="1" si="9"/>
        <v>#REF!</v>
      </c>
      <c r="L52" s="39" t="e">
        <f t="shared" ca="1" si="20"/>
        <v>#REF!</v>
      </c>
      <c r="M52" s="39" t="e">
        <f t="shared" ca="1" si="21"/>
        <v>#REF!</v>
      </c>
      <c r="N52" s="18" t="e">
        <f t="shared" ca="1" si="15"/>
        <v>#REF!</v>
      </c>
      <c r="O52" s="38" t="e">
        <f t="shared" ca="1" si="10"/>
        <v>#REF!</v>
      </c>
      <c r="P52" s="38" t="e">
        <f t="shared" ca="1" si="16"/>
        <v>#REF!</v>
      </c>
      <c r="Q52" s="38" t="e">
        <f t="shared" ca="1" si="17"/>
        <v>#REF!</v>
      </c>
      <c r="R52" s="18" t="e">
        <f t="shared" ca="1" si="7"/>
        <v>#REF!</v>
      </c>
      <c r="S52" s="18" t="e">
        <f t="shared" ca="1" si="5"/>
        <v>#REF!</v>
      </c>
      <c r="T52" s="38" t="e">
        <f t="shared" ca="1" si="11"/>
        <v>#REF!</v>
      </c>
      <c r="U52" s="19"/>
    </row>
    <row r="53" spans="1:21">
      <c r="A53" s="39" t="e">
        <f t="shared" ca="1" si="18"/>
        <v>#REF!</v>
      </c>
      <c r="B53" s="39" t="e">
        <f t="shared" ca="1" si="19"/>
        <v>#REF!</v>
      </c>
      <c r="C53" s="18" t="e">
        <f t="shared" ca="1" si="12"/>
        <v>#REF!</v>
      </c>
      <c r="D53" s="38" t="e">
        <f t="shared" ca="1" si="8"/>
        <v>#REF!</v>
      </c>
      <c r="E53" s="40" t="e">
        <f t="shared" ca="1" si="13"/>
        <v>#REF!</v>
      </c>
      <c r="F53" s="40" t="e">
        <f t="shared" ca="1" si="14"/>
        <v>#REF!</v>
      </c>
      <c r="G53" s="18" t="e">
        <f t="shared" ca="1" si="6"/>
        <v>#REF!</v>
      </c>
      <c r="H53" s="34" t="e">
        <f t="shared" ref="H53:H83" ca="1" si="22">IF(C53="","",NORMDIST($D$22+C53*$B$20-$B$20/2,$B$11,$B$10,FALSE))</f>
        <v>#REF!</v>
      </c>
      <c r="I53" s="38" t="e">
        <f t="shared" ca="1" si="9"/>
        <v>#REF!</v>
      </c>
      <c r="L53" s="39" t="e">
        <f t="shared" ca="1" si="20"/>
        <v>#REF!</v>
      </c>
      <c r="M53" s="39" t="e">
        <f t="shared" ca="1" si="21"/>
        <v>#REF!</v>
      </c>
      <c r="N53" s="18" t="e">
        <f t="shared" ca="1" si="15"/>
        <v>#REF!</v>
      </c>
      <c r="O53" s="38" t="e">
        <f t="shared" ca="1" si="10"/>
        <v>#REF!</v>
      </c>
      <c r="P53" s="38" t="e">
        <f t="shared" ca="1" si="16"/>
        <v>#REF!</v>
      </c>
      <c r="Q53" s="38" t="e">
        <f t="shared" ca="1" si="17"/>
        <v>#REF!</v>
      </c>
      <c r="R53" s="18" t="e">
        <f t="shared" ca="1" si="7"/>
        <v>#REF!</v>
      </c>
      <c r="S53" s="18" t="e">
        <f t="shared" ref="S53:S83" ca="1" si="23">IF(N53="","",NORMDIST($O$22+N53*$M$20-$M$20/2,$M$11,$M$10,FALSE))</f>
        <v>#REF!</v>
      </c>
      <c r="T53" s="38" t="e">
        <f t="shared" ca="1" si="11"/>
        <v>#REF!</v>
      </c>
      <c r="U53" s="19"/>
    </row>
    <row r="54" spans="1:21">
      <c r="A54" s="39" t="e">
        <f t="shared" ca="1" si="18"/>
        <v>#REF!</v>
      </c>
      <c r="B54" s="39" t="e">
        <f t="shared" ca="1" si="19"/>
        <v>#REF!</v>
      </c>
      <c r="C54" s="18" t="e">
        <f t="shared" ca="1" si="12"/>
        <v>#REF!</v>
      </c>
      <c r="D54" s="38" t="e">
        <f t="shared" ca="1" si="8"/>
        <v>#REF!</v>
      </c>
      <c r="E54" s="40" t="e">
        <f t="shared" ca="1" si="13"/>
        <v>#REF!</v>
      </c>
      <c r="F54" s="40" t="e">
        <f t="shared" ca="1" si="14"/>
        <v>#REF!</v>
      </c>
      <c r="G54" s="18" t="e">
        <f t="shared" ref="G54:G83" ca="1" si="24">IF(D54="","",(COUNTIF(INDIRECT(CONCATENATE(INDIRECT("B1"),$B$4&amp;35,":",$B$4&amp;65336)),"&lt;="&amp;E54)-COUNTIF(INDIRECT(CONCATENATE(INDIRECT("B1"),$B$4&amp;35,":",$B$4&amp;65336)),"&lt;"&amp;D54)))</f>
        <v>#REF!</v>
      </c>
      <c r="H54" s="34" t="e">
        <f t="shared" ca="1" si="22"/>
        <v>#REF!</v>
      </c>
      <c r="I54" s="38" t="e">
        <f t="shared" ca="1" si="9"/>
        <v>#REF!</v>
      </c>
      <c r="L54" s="39" t="e">
        <f t="shared" ca="1" si="20"/>
        <v>#REF!</v>
      </c>
      <c r="M54" s="39" t="e">
        <f t="shared" ca="1" si="21"/>
        <v>#REF!</v>
      </c>
      <c r="N54" s="18" t="e">
        <f t="shared" ca="1" si="15"/>
        <v>#REF!</v>
      </c>
      <c r="O54" s="38" t="e">
        <f t="shared" ca="1" si="10"/>
        <v>#REF!</v>
      </c>
      <c r="P54" s="38" t="e">
        <f t="shared" ca="1" si="16"/>
        <v>#REF!</v>
      </c>
      <c r="Q54" s="38" t="e">
        <f t="shared" ca="1" si="17"/>
        <v>#REF!</v>
      </c>
      <c r="R54" s="18" t="e">
        <f t="shared" ca="1" si="7"/>
        <v>#REF!</v>
      </c>
      <c r="S54" s="18" t="e">
        <f t="shared" ca="1" si="23"/>
        <v>#REF!</v>
      </c>
      <c r="T54" s="38" t="e">
        <f t="shared" ca="1" si="11"/>
        <v>#REF!</v>
      </c>
      <c r="U54" s="19"/>
    </row>
    <row r="55" spans="1:21">
      <c r="A55" s="39" t="e">
        <f t="shared" ca="1" si="18"/>
        <v>#REF!</v>
      </c>
      <c r="B55" s="39" t="e">
        <f t="shared" ca="1" si="19"/>
        <v>#REF!</v>
      </c>
      <c r="C55" s="18" t="e">
        <f t="shared" ca="1" si="12"/>
        <v>#REF!</v>
      </c>
      <c r="D55" s="38" t="e">
        <f t="shared" ref="D55:D83" ca="1" si="25">IF(OR(F54&lt;$B$8,F54&lt;$B$6,F54&lt;$I$4),E54,"")</f>
        <v>#REF!</v>
      </c>
      <c r="E55" s="40" t="e">
        <f t="shared" ca="1" si="13"/>
        <v>#REF!</v>
      </c>
      <c r="F55" s="40" t="e">
        <f t="shared" ca="1" si="14"/>
        <v>#REF!</v>
      </c>
      <c r="G55" s="18" t="e">
        <f t="shared" ca="1" si="24"/>
        <v>#REF!</v>
      </c>
      <c r="H55" s="34" t="e">
        <f t="shared" ca="1" si="22"/>
        <v>#REF!</v>
      </c>
      <c r="I55" s="38" t="e">
        <f t="shared" ca="1" si="9"/>
        <v>#REF!</v>
      </c>
      <c r="L55" s="39" t="e">
        <f t="shared" ca="1" si="20"/>
        <v>#REF!</v>
      </c>
      <c r="M55" s="39" t="e">
        <f t="shared" ca="1" si="21"/>
        <v>#REF!</v>
      </c>
      <c r="N55" s="18" t="e">
        <f t="shared" ca="1" si="15"/>
        <v>#REF!</v>
      </c>
      <c r="O55" s="38" t="e">
        <f t="shared" ref="O55:O83" ca="1" si="26">IF(OR(Q54&lt;$M$8,Q54&lt;$M$6,Q54&lt;$T$4),P54,"")</f>
        <v>#REF!</v>
      </c>
      <c r="P55" s="38" t="e">
        <f t="shared" ca="1" si="16"/>
        <v>#REF!</v>
      </c>
      <c r="Q55" s="38" t="e">
        <f t="shared" ca="1" si="17"/>
        <v>#REF!</v>
      </c>
      <c r="R55" s="18" t="e">
        <f t="shared" ca="1" si="7"/>
        <v>#REF!</v>
      </c>
      <c r="S55" s="18" t="e">
        <f t="shared" ca="1" si="23"/>
        <v>#REF!</v>
      </c>
      <c r="T55" s="38" t="e">
        <f t="shared" ca="1" si="11"/>
        <v>#REF!</v>
      </c>
      <c r="U55" s="19"/>
    </row>
    <row r="56" spans="1:21">
      <c r="A56" s="39" t="e">
        <f t="shared" ca="1" si="18"/>
        <v>#REF!</v>
      </c>
      <c r="B56" s="39" t="e">
        <f t="shared" ca="1" si="19"/>
        <v>#REF!</v>
      </c>
      <c r="C56" s="18" t="e">
        <f t="shared" ca="1" si="12"/>
        <v>#REF!</v>
      </c>
      <c r="D56" s="38" t="e">
        <f t="shared" ca="1" si="25"/>
        <v>#REF!</v>
      </c>
      <c r="E56" s="40" t="e">
        <f t="shared" ca="1" si="13"/>
        <v>#REF!</v>
      </c>
      <c r="F56" s="40" t="e">
        <f t="shared" ca="1" si="14"/>
        <v>#REF!</v>
      </c>
      <c r="G56" s="18" t="e">
        <f t="shared" ca="1" si="24"/>
        <v>#REF!</v>
      </c>
      <c r="H56" s="34" t="e">
        <f t="shared" ca="1" si="22"/>
        <v>#REF!</v>
      </c>
      <c r="I56" s="38" t="e">
        <f t="shared" ca="1" si="9"/>
        <v>#REF!</v>
      </c>
      <c r="L56" s="39" t="e">
        <f t="shared" ca="1" si="20"/>
        <v>#REF!</v>
      </c>
      <c r="M56" s="39" t="e">
        <f t="shared" ca="1" si="21"/>
        <v>#REF!</v>
      </c>
      <c r="N56" s="18" t="e">
        <f t="shared" ca="1" si="15"/>
        <v>#REF!</v>
      </c>
      <c r="O56" s="38" t="e">
        <f t="shared" ca="1" si="26"/>
        <v>#REF!</v>
      </c>
      <c r="P56" s="38" t="e">
        <f t="shared" ca="1" si="16"/>
        <v>#REF!</v>
      </c>
      <c r="Q56" s="38" t="e">
        <f t="shared" ca="1" si="17"/>
        <v>#REF!</v>
      </c>
      <c r="R56" s="18" t="e">
        <f t="shared" ca="1" si="7"/>
        <v>#REF!</v>
      </c>
      <c r="S56" s="18" t="e">
        <f t="shared" ca="1" si="23"/>
        <v>#REF!</v>
      </c>
      <c r="T56" s="38" t="e">
        <f t="shared" ca="1" si="11"/>
        <v>#REF!</v>
      </c>
      <c r="U56" s="19"/>
    </row>
    <row r="57" spans="1:21">
      <c r="A57" s="39" t="e">
        <f t="shared" ca="1" si="18"/>
        <v>#REF!</v>
      </c>
      <c r="B57" s="39" t="e">
        <f t="shared" ca="1" si="19"/>
        <v>#REF!</v>
      </c>
      <c r="C57" s="18" t="e">
        <f t="shared" ca="1" si="12"/>
        <v>#REF!</v>
      </c>
      <c r="D57" s="38" t="e">
        <f t="shared" ca="1" si="25"/>
        <v>#REF!</v>
      </c>
      <c r="E57" s="40" t="e">
        <f t="shared" ca="1" si="13"/>
        <v>#REF!</v>
      </c>
      <c r="F57" s="40" t="e">
        <f t="shared" ca="1" si="14"/>
        <v>#REF!</v>
      </c>
      <c r="G57" s="18" t="e">
        <f t="shared" ca="1" si="24"/>
        <v>#REF!</v>
      </c>
      <c r="H57" s="34" t="e">
        <f t="shared" ca="1" si="22"/>
        <v>#REF!</v>
      </c>
      <c r="I57" s="38" t="e">
        <f t="shared" ca="1" si="9"/>
        <v>#REF!</v>
      </c>
      <c r="L57" s="39" t="e">
        <f t="shared" ca="1" si="20"/>
        <v>#REF!</v>
      </c>
      <c r="M57" s="39" t="e">
        <f t="shared" ca="1" si="21"/>
        <v>#REF!</v>
      </c>
      <c r="N57" s="18" t="e">
        <f t="shared" ca="1" si="15"/>
        <v>#REF!</v>
      </c>
      <c r="O57" s="38" t="e">
        <f t="shared" ca="1" si="26"/>
        <v>#REF!</v>
      </c>
      <c r="P57" s="38" t="e">
        <f t="shared" ca="1" si="16"/>
        <v>#REF!</v>
      </c>
      <c r="Q57" s="38" t="e">
        <f t="shared" ca="1" si="17"/>
        <v>#REF!</v>
      </c>
      <c r="R57" s="18" t="e">
        <f t="shared" ca="1" si="7"/>
        <v>#REF!</v>
      </c>
      <c r="S57" s="18" t="e">
        <f t="shared" ca="1" si="23"/>
        <v>#REF!</v>
      </c>
      <c r="T57" s="38" t="e">
        <f t="shared" ca="1" si="11"/>
        <v>#REF!</v>
      </c>
      <c r="U57" s="19"/>
    </row>
    <row r="58" spans="1:21">
      <c r="A58" s="39" t="e">
        <f t="shared" ca="1" si="18"/>
        <v>#REF!</v>
      </c>
      <c r="B58" s="39" t="e">
        <f t="shared" ca="1" si="19"/>
        <v>#REF!</v>
      </c>
      <c r="C58" s="18" t="e">
        <f t="shared" ca="1" si="12"/>
        <v>#REF!</v>
      </c>
      <c r="D58" s="38" t="e">
        <f t="shared" ca="1" si="25"/>
        <v>#REF!</v>
      </c>
      <c r="E58" s="40" t="e">
        <f t="shared" ca="1" si="13"/>
        <v>#REF!</v>
      </c>
      <c r="F58" s="40" t="e">
        <f t="shared" ca="1" si="14"/>
        <v>#REF!</v>
      </c>
      <c r="G58" s="18" t="e">
        <f t="shared" ca="1" si="24"/>
        <v>#REF!</v>
      </c>
      <c r="H58" s="34" t="e">
        <f t="shared" ca="1" si="22"/>
        <v>#REF!</v>
      </c>
      <c r="I58" s="38" t="e">
        <f t="shared" ca="1" si="9"/>
        <v>#REF!</v>
      </c>
      <c r="L58" s="39" t="e">
        <f t="shared" ca="1" si="20"/>
        <v>#REF!</v>
      </c>
      <c r="M58" s="39" t="e">
        <f t="shared" ca="1" si="21"/>
        <v>#REF!</v>
      </c>
      <c r="N58" s="18" t="e">
        <f t="shared" ca="1" si="15"/>
        <v>#REF!</v>
      </c>
      <c r="O58" s="38" t="e">
        <f t="shared" ca="1" si="26"/>
        <v>#REF!</v>
      </c>
      <c r="P58" s="38" t="e">
        <f t="shared" ca="1" si="16"/>
        <v>#REF!</v>
      </c>
      <c r="Q58" s="38" t="e">
        <f t="shared" ca="1" si="17"/>
        <v>#REF!</v>
      </c>
      <c r="R58" s="18" t="e">
        <f t="shared" ca="1" si="7"/>
        <v>#REF!</v>
      </c>
      <c r="S58" s="18" t="e">
        <f t="shared" ca="1" si="23"/>
        <v>#REF!</v>
      </c>
      <c r="T58" s="38" t="e">
        <f t="shared" ca="1" si="11"/>
        <v>#REF!</v>
      </c>
      <c r="U58" s="19"/>
    </row>
    <row r="59" spans="1:21">
      <c r="A59" s="39" t="e">
        <f t="shared" ca="1" si="18"/>
        <v>#REF!</v>
      </c>
      <c r="B59" s="39" t="e">
        <f t="shared" ca="1" si="19"/>
        <v>#REF!</v>
      </c>
      <c r="C59" s="18" t="e">
        <f t="shared" ca="1" si="12"/>
        <v>#REF!</v>
      </c>
      <c r="D59" s="38" t="e">
        <f t="shared" ca="1" si="25"/>
        <v>#REF!</v>
      </c>
      <c r="E59" s="40" t="e">
        <f t="shared" ca="1" si="13"/>
        <v>#REF!</v>
      </c>
      <c r="F59" s="40" t="e">
        <f t="shared" ca="1" si="14"/>
        <v>#REF!</v>
      </c>
      <c r="G59" s="18" t="e">
        <f t="shared" ca="1" si="24"/>
        <v>#REF!</v>
      </c>
      <c r="H59" s="34" t="e">
        <f t="shared" ca="1" si="22"/>
        <v>#REF!</v>
      </c>
      <c r="I59" s="38" t="e">
        <f t="shared" ca="1" si="9"/>
        <v>#REF!</v>
      </c>
      <c r="L59" s="39" t="e">
        <f t="shared" ca="1" si="20"/>
        <v>#REF!</v>
      </c>
      <c r="M59" s="39" t="e">
        <f t="shared" ca="1" si="21"/>
        <v>#REF!</v>
      </c>
      <c r="N59" s="18" t="e">
        <f t="shared" ca="1" si="15"/>
        <v>#REF!</v>
      </c>
      <c r="O59" s="38" t="e">
        <f t="shared" ca="1" si="26"/>
        <v>#REF!</v>
      </c>
      <c r="P59" s="38" t="e">
        <f t="shared" ca="1" si="16"/>
        <v>#REF!</v>
      </c>
      <c r="Q59" s="38" t="e">
        <f t="shared" ca="1" si="17"/>
        <v>#REF!</v>
      </c>
      <c r="R59" s="18" t="e">
        <f t="shared" ca="1" si="7"/>
        <v>#REF!</v>
      </c>
      <c r="S59" s="18" t="e">
        <f t="shared" ca="1" si="23"/>
        <v>#REF!</v>
      </c>
      <c r="T59" s="38" t="e">
        <f t="shared" ca="1" si="11"/>
        <v>#REF!</v>
      </c>
      <c r="U59" s="19"/>
    </row>
    <row r="60" spans="1:21">
      <c r="A60" s="39" t="e">
        <f t="shared" ca="1" si="18"/>
        <v>#REF!</v>
      </c>
      <c r="B60" s="39" t="e">
        <f t="shared" ca="1" si="19"/>
        <v>#REF!</v>
      </c>
      <c r="C60" s="18" t="e">
        <f t="shared" ca="1" si="12"/>
        <v>#REF!</v>
      </c>
      <c r="D60" s="38" t="e">
        <f t="shared" ca="1" si="25"/>
        <v>#REF!</v>
      </c>
      <c r="E60" s="40" t="e">
        <f t="shared" ca="1" si="13"/>
        <v>#REF!</v>
      </c>
      <c r="F60" s="40" t="e">
        <f t="shared" ca="1" si="14"/>
        <v>#REF!</v>
      </c>
      <c r="G60" s="18" t="e">
        <f t="shared" ca="1" si="24"/>
        <v>#REF!</v>
      </c>
      <c r="H60" s="34" t="e">
        <f t="shared" ca="1" si="22"/>
        <v>#REF!</v>
      </c>
      <c r="I60" s="38" t="e">
        <f t="shared" ca="1" si="9"/>
        <v>#REF!</v>
      </c>
      <c r="L60" s="39" t="e">
        <f t="shared" ca="1" si="20"/>
        <v>#REF!</v>
      </c>
      <c r="M60" s="39" t="e">
        <f t="shared" ca="1" si="21"/>
        <v>#REF!</v>
      </c>
      <c r="N60" s="18" t="e">
        <f t="shared" ca="1" si="15"/>
        <v>#REF!</v>
      </c>
      <c r="O60" s="38" t="e">
        <f t="shared" ca="1" si="26"/>
        <v>#REF!</v>
      </c>
      <c r="P60" s="38" t="e">
        <f t="shared" ca="1" si="16"/>
        <v>#REF!</v>
      </c>
      <c r="Q60" s="38" t="e">
        <f t="shared" ca="1" si="17"/>
        <v>#REF!</v>
      </c>
      <c r="R60" s="18" t="e">
        <f t="shared" ca="1" si="7"/>
        <v>#REF!</v>
      </c>
      <c r="S60" s="18" t="e">
        <f t="shared" ca="1" si="23"/>
        <v>#REF!</v>
      </c>
      <c r="T60" s="38" t="e">
        <f t="shared" ca="1" si="11"/>
        <v>#REF!</v>
      </c>
      <c r="U60" s="19"/>
    </row>
    <row r="61" spans="1:21">
      <c r="A61" s="39" t="e">
        <f t="shared" ca="1" si="18"/>
        <v>#REF!</v>
      </c>
      <c r="B61" s="39" t="e">
        <f t="shared" ca="1" si="19"/>
        <v>#REF!</v>
      </c>
      <c r="C61" s="18" t="e">
        <f t="shared" ca="1" si="12"/>
        <v>#REF!</v>
      </c>
      <c r="D61" s="38" t="e">
        <f t="shared" ca="1" si="25"/>
        <v>#REF!</v>
      </c>
      <c r="E61" s="40" t="e">
        <f t="shared" ca="1" si="13"/>
        <v>#REF!</v>
      </c>
      <c r="F61" s="40" t="e">
        <f t="shared" ca="1" si="14"/>
        <v>#REF!</v>
      </c>
      <c r="G61" s="18" t="e">
        <f t="shared" ca="1" si="24"/>
        <v>#REF!</v>
      </c>
      <c r="H61" s="34" t="e">
        <f t="shared" ca="1" si="22"/>
        <v>#REF!</v>
      </c>
      <c r="I61" s="38" t="e">
        <f t="shared" ca="1" si="9"/>
        <v>#REF!</v>
      </c>
      <c r="L61" s="39" t="e">
        <f t="shared" ca="1" si="20"/>
        <v>#REF!</v>
      </c>
      <c r="M61" s="39" t="e">
        <f t="shared" ca="1" si="21"/>
        <v>#REF!</v>
      </c>
      <c r="N61" s="18" t="e">
        <f t="shared" ca="1" si="15"/>
        <v>#REF!</v>
      </c>
      <c r="O61" s="38" t="e">
        <f t="shared" ca="1" si="26"/>
        <v>#REF!</v>
      </c>
      <c r="P61" s="38" t="e">
        <f t="shared" ca="1" si="16"/>
        <v>#REF!</v>
      </c>
      <c r="Q61" s="38" t="e">
        <f t="shared" ca="1" si="17"/>
        <v>#REF!</v>
      </c>
      <c r="R61" s="18" t="e">
        <f t="shared" ca="1" si="7"/>
        <v>#REF!</v>
      </c>
      <c r="S61" s="18" t="e">
        <f t="shared" ca="1" si="23"/>
        <v>#REF!</v>
      </c>
      <c r="T61" s="38" t="e">
        <f t="shared" ca="1" si="11"/>
        <v>#REF!</v>
      </c>
      <c r="U61" s="19"/>
    </row>
    <row r="62" spans="1:21">
      <c r="A62" s="39" t="e">
        <f t="shared" ca="1" si="18"/>
        <v>#REF!</v>
      </c>
      <c r="B62" s="39" t="e">
        <f t="shared" ca="1" si="19"/>
        <v>#REF!</v>
      </c>
      <c r="C62" s="18" t="e">
        <f t="shared" ca="1" si="12"/>
        <v>#REF!</v>
      </c>
      <c r="D62" s="38" t="e">
        <f t="shared" ca="1" si="25"/>
        <v>#REF!</v>
      </c>
      <c r="E62" s="40" t="e">
        <f t="shared" ca="1" si="13"/>
        <v>#REF!</v>
      </c>
      <c r="F62" s="40" t="e">
        <f t="shared" ca="1" si="14"/>
        <v>#REF!</v>
      </c>
      <c r="G62" s="18" t="e">
        <f t="shared" ca="1" si="24"/>
        <v>#REF!</v>
      </c>
      <c r="H62" s="34" t="e">
        <f t="shared" ca="1" si="22"/>
        <v>#REF!</v>
      </c>
      <c r="I62" s="38" t="e">
        <f t="shared" ca="1" si="9"/>
        <v>#REF!</v>
      </c>
      <c r="L62" s="39" t="e">
        <f t="shared" ca="1" si="20"/>
        <v>#REF!</v>
      </c>
      <c r="M62" s="39" t="e">
        <f t="shared" ca="1" si="21"/>
        <v>#REF!</v>
      </c>
      <c r="N62" s="18" t="e">
        <f t="shared" ca="1" si="15"/>
        <v>#REF!</v>
      </c>
      <c r="O62" s="38" t="e">
        <f t="shared" ca="1" si="26"/>
        <v>#REF!</v>
      </c>
      <c r="P62" s="38" t="e">
        <f t="shared" ca="1" si="16"/>
        <v>#REF!</v>
      </c>
      <c r="Q62" s="38" t="e">
        <f t="shared" ca="1" si="17"/>
        <v>#REF!</v>
      </c>
      <c r="R62" s="18" t="e">
        <f t="shared" ca="1" si="7"/>
        <v>#REF!</v>
      </c>
      <c r="S62" s="18" t="e">
        <f t="shared" ca="1" si="23"/>
        <v>#REF!</v>
      </c>
      <c r="T62" s="38" t="e">
        <f t="shared" ca="1" si="11"/>
        <v>#REF!</v>
      </c>
      <c r="U62" s="19"/>
    </row>
    <row r="63" spans="1:21">
      <c r="A63" s="39" t="e">
        <f t="shared" ca="1" si="18"/>
        <v>#REF!</v>
      </c>
      <c r="B63" s="39" t="e">
        <f t="shared" ca="1" si="19"/>
        <v>#REF!</v>
      </c>
      <c r="C63" s="18" t="e">
        <f t="shared" ca="1" si="12"/>
        <v>#REF!</v>
      </c>
      <c r="D63" s="38" t="e">
        <f t="shared" ca="1" si="25"/>
        <v>#REF!</v>
      </c>
      <c r="E63" s="40" t="e">
        <f t="shared" ca="1" si="13"/>
        <v>#REF!</v>
      </c>
      <c r="F63" s="40" t="e">
        <f t="shared" ca="1" si="14"/>
        <v>#REF!</v>
      </c>
      <c r="G63" s="18" t="e">
        <f t="shared" ca="1" si="24"/>
        <v>#REF!</v>
      </c>
      <c r="H63" s="34" t="e">
        <f t="shared" ca="1" si="22"/>
        <v>#REF!</v>
      </c>
      <c r="I63" s="38" t="e">
        <f t="shared" ca="1" si="9"/>
        <v>#REF!</v>
      </c>
      <c r="L63" s="39" t="e">
        <f t="shared" ca="1" si="20"/>
        <v>#REF!</v>
      </c>
      <c r="M63" s="39" t="e">
        <f t="shared" ca="1" si="21"/>
        <v>#REF!</v>
      </c>
      <c r="N63" s="18" t="e">
        <f t="shared" ca="1" si="15"/>
        <v>#REF!</v>
      </c>
      <c r="O63" s="38" t="e">
        <f t="shared" ca="1" si="26"/>
        <v>#REF!</v>
      </c>
      <c r="P63" s="38" t="e">
        <f t="shared" ca="1" si="16"/>
        <v>#REF!</v>
      </c>
      <c r="Q63" s="38" t="e">
        <f t="shared" ca="1" si="17"/>
        <v>#REF!</v>
      </c>
      <c r="R63" s="18" t="e">
        <f t="shared" ca="1" si="7"/>
        <v>#REF!</v>
      </c>
      <c r="S63" s="18" t="e">
        <f t="shared" ca="1" si="23"/>
        <v>#REF!</v>
      </c>
      <c r="T63" s="38" t="e">
        <f t="shared" ca="1" si="11"/>
        <v>#REF!</v>
      </c>
      <c r="U63" s="19"/>
    </row>
    <row r="64" spans="1:21">
      <c r="A64" s="39" t="e">
        <f t="shared" ca="1" si="18"/>
        <v>#REF!</v>
      </c>
      <c r="B64" s="39" t="e">
        <f t="shared" ca="1" si="19"/>
        <v>#REF!</v>
      </c>
      <c r="C64" s="18" t="e">
        <f t="shared" ca="1" si="12"/>
        <v>#REF!</v>
      </c>
      <c r="D64" s="38" t="e">
        <f t="shared" ca="1" si="25"/>
        <v>#REF!</v>
      </c>
      <c r="E64" s="40" t="e">
        <f t="shared" ca="1" si="13"/>
        <v>#REF!</v>
      </c>
      <c r="F64" s="40" t="e">
        <f t="shared" ca="1" si="14"/>
        <v>#REF!</v>
      </c>
      <c r="G64" s="18" t="e">
        <f t="shared" ca="1" si="24"/>
        <v>#REF!</v>
      </c>
      <c r="H64" s="34" t="e">
        <f t="shared" ca="1" si="22"/>
        <v>#REF!</v>
      </c>
      <c r="I64" s="38" t="e">
        <f t="shared" ca="1" si="9"/>
        <v>#REF!</v>
      </c>
      <c r="L64" s="39" t="e">
        <f t="shared" ca="1" si="20"/>
        <v>#REF!</v>
      </c>
      <c r="M64" s="39" t="e">
        <f t="shared" ca="1" si="21"/>
        <v>#REF!</v>
      </c>
      <c r="N64" s="18" t="e">
        <f t="shared" ca="1" si="15"/>
        <v>#REF!</v>
      </c>
      <c r="O64" s="38" t="e">
        <f t="shared" ca="1" si="26"/>
        <v>#REF!</v>
      </c>
      <c r="P64" s="38" t="e">
        <f t="shared" ca="1" si="16"/>
        <v>#REF!</v>
      </c>
      <c r="Q64" s="38" t="e">
        <f t="shared" ca="1" si="17"/>
        <v>#REF!</v>
      </c>
      <c r="R64" s="18" t="e">
        <f t="shared" ca="1" si="7"/>
        <v>#REF!</v>
      </c>
      <c r="S64" s="18" t="e">
        <f t="shared" ca="1" si="23"/>
        <v>#REF!</v>
      </c>
      <c r="T64" s="38" t="e">
        <f t="shared" ca="1" si="11"/>
        <v>#REF!</v>
      </c>
      <c r="U64" s="19"/>
    </row>
    <row r="65" spans="1:21">
      <c r="A65" s="39" t="e">
        <f t="shared" ca="1" si="18"/>
        <v>#REF!</v>
      </c>
      <c r="B65" s="39" t="e">
        <f t="shared" ca="1" si="19"/>
        <v>#REF!</v>
      </c>
      <c r="C65" s="18" t="e">
        <f t="shared" ca="1" si="12"/>
        <v>#REF!</v>
      </c>
      <c r="D65" s="38" t="e">
        <f t="shared" ca="1" si="25"/>
        <v>#REF!</v>
      </c>
      <c r="E65" s="40" t="e">
        <f t="shared" ca="1" si="13"/>
        <v>#REF!</v>
      </c>
      <c r="F65" s="40" t="e">
        <f t="shared" ca="1" si="14"/>
        <v>#REF!</v>
      </c>
      <c r="G65" s="18" t="e">
        <f t="shared" ca="1" si="24"/>
        <v>#REF!</v>
      </c>
      <c r="H65" s="34" t="e">
        <f t="shared" ca="1" si="22"/>
        <v>#REF!</v>
      </c>
      <c r="I65" s="38" t="e">
        <f t="shared" ca="1" si="9"/>
        <v>#REF!</v>
      </c>
      <c r="L65" s="39" t="e">
        <f t="shared" ca="1" si="20"/>
        <v>#REF!</v>
      </c>
      <c r="M65" s="39" t="e">
        <f t="shared" ca="1" si="21"/>
        <v>#REF!</v>
      </c>
      <c r="N65" s="18" t="e">
        <f t="shared" ca="1" si="15"/>
        <v>#REF!</v>
      </c>
      <c r="O65" s="38" t="e">
        <f t="shared" ca="1" si="26"/>
        <v>#REF!</v>
      </c>
      <c r="P65" s="38" t="e">
        <f t="shared" ca="1" si="16"/>
        <v>#REF!</v>
      </c>
      <c r="Q65" s="38" t="e">
        <f t="shared" ca="1" si="17"/>
        <v>#REF!</v>
      </c>
      <c r="R65" s="18" t="e">
        <f t="shared" ca="1" si="7"/>
        <v>#REF!</v>
      </c>
      <c r="S65" s="18" t="e">
        <f t="shared" ca="1" si="23"/>
        <v>#REF!</v>
      </c>
      <c r="T65" s="38" t="e">
        <f t="shared" ca="1" si="11"/>
        <v>#REF!</v>
      </c>
      <c r="U65" s="19"/>
    </row>
    <row r="66" spans="1:21">
      <c r="A66" s="39" t="e">
        <f t="shared" ca="1" si="18"/>
        <v>#REF!</v>
      </c>
      <c r="B66" s="39" t="e">
        <f t="shared" ca="1" si="19"/>
        <v>#REF!</v>
      </c>
      <c r="C66" s="18" t="e">
        <f t="shared" ca="1" si="12"/>
        <v>#REF!</v>
      </c>
      <c r="D66" s="38" t="e">
        <f t="shared" ca="1" si="25"/>
        <v>#REF!</v>
      </c>
      <c r="E66" s="40" t="e">
        <f t="shared" ca="1" si="13"/>
        <v>#REF!</v>
      </c>
      <c r="F66" s="40" t="e">
        <f t="shared" ca="1" si="14"/>
        <v>#REF!</v>
      </c>
      <c r="G66" s="18" t="e">
        <f t="shared" ca="1" si="24"/>
        <v>#REF!</v>
      </c>
      <c r="H66" s="34" t="e">
        <f t="shared" ca="1" si="22"/>
        <v>#REF!</v>
      </c>
      <c r="I66" s="38" t="e">
        <f t="shared" ca="1" si="9"/>
        <v>#REF!</v>
      </c>
      <c r="L66" s="39" t="e">
        <f t="shared" ca="1" si="20"/>
        <v>#REF!</v>
      </c>
      <c r="M66" s="39" t="e">
        <f t="shared" ca="1" si="21"/>
        <v>#REF!</v>
      </c>
      <c r="N66" s="18" t="e">
        <f t="shared" ca="1" si="15"/>
        <v>#REF!</v>
      </c>
      <c r="O66" s="38" t="e">
        <f t="shared" ca="1" si="26"/>
        <v>#REF!</v>
      </c>
      <c r="P66" s="38" t="e">
        <f t="shared" ca="1" si="16"/>
        <v>#REF!</v>
      </c>
      <c r="Q66" s="38" t="e">
        <f t="shared" ca="1" si="17"/>
        <v>#REF!</v>
      </c>
      <c r="R66" s="18" t="e">
        <f t="shared" ca="1" si="7"/>
        <v>#REF!</v>
      </c>
      <c r="S66" s="18" t="e">
        <f t="shared" ca="1" si="23"/>
        <v>#REF!</v>
      </c>
      <c r="T66" s="38" t="e">
        <f t="shared" ca="1" si="11"/>
        <v>#REF!</v>
      </c>
      <c r="U66" s="19"/>
    </row>
    <row r="67" spans="1:21">
      <c r="A67" s="39" t="e">
        <f t="shared" ca="1" si="18"/>
        <v>#REF!</v>
      </c>
      <c r="B67" s="39" t="e">
        <f t="shared" ca="1" si="19"/>
        <v>#REF!</v>
      </c>
      <c r="C67" s="18" t="e">
        <f t="shared" ca="1" si="12"/>
        <v>#REF!</v>
      </c>
      <c r="D67" s="38" t="e">
        <f t="shared" ca="1" si="25"/>
        <v>#REF!</v>
      </c>
      <c r="E67" s="40" t="e">
        <f t="shared" ca="1" si="13"/>
        <v>#REF!</v>
      </c>
      <c r="F67" s="40" t="e">
        <f t="shared" ca="1" si="14"/>
        <v>#REF!</v>
      </c>
      <c r="G67" s="18" t="e">
        <f t="shared" ca="1" si="24"/>
        <v>#REF!</v>
      </c>
      <c r="H67" s="34" t="e">
        <f t="shared" ca="1" si="22"/>
        <v>#REF!</v>
      </c>
      <c r="I67" s="38" t="e">
        <f t="shared" ca="1" si="9"/>
        <v>#REF!</v>
      </c>
      <c r="L67" s="39" t="e">
        <f t="shared" ca="1" si="20"/>
        <v>#REF!</v>
      </c>
      <c r="M67" s="39" t="e">
        <f t="shared" ca="1" si="21"/>
        <v>#REF!</v>
      </c>
      <c r="N67" s="18" t="e">
        <f t="shared" ca="1" si="15"/>
        <v>#REF!</v>
      </c>
      <c r="O67" s="38" t="e">
        <f t="shared" ca="1" si="26"/>
        <v>#REF!</v>
      </c>
      <c r="P67" s="38" t="e">
        <f t="shared" ca="1" si="16"/>
        <v>#REF!</v>
      </c>
      <c r="Q67" s="38" t="e">
        <f t="shared" ca="1" si="17"/>
        <v>#REF!</v>
      </c>
      <c r="R67" s="18" t="e">
        <f t="shared" ca="1" si="7"/>
        <v>#REF!</v>
      </c>
      <c r="S67" s="18" t="e">
        <f t="shared" ca="1" si="23"/>
        <v>#REF!</v>
      </c>
      <c r="T67" s="38" t="e">
        <f t="shared" ca="1" si="11"/>
        <v>#REF!</v>
      </c>
      <c r="U67" s="19"/>
    </row>
    <row r="68" spans="1:21">
      <c r="A68" s="39" t="e">
        <f t="shared" ca="1" si="18"/>
        <v>#REF!</v>
      </c>
      <c r="B68" s="39" t="e">
        <f t="shared" ca="1" si="19"/>
        <v>#REF!</v>
      </c>
      <c r="C68" s="18" t="e">
        <f t="shared" ca="1" si="12"/>
        <v>#REF!</v>
      </c>
      <c r="D68" s="38" t="e">
        <f t="shared" ca="1" si="25"/>
        <v>#REF!</v>
      </c>
      <c r="E68" s="40" t="e">
        <f t="shared" ca="1" si="13"/>
        <v>#REF!</v>
      </c>
      <c r="F68" s="40" t="e">
        <f t="shared" ca="1" si="14"/>
        <v>#REF!</v>
      </c>
      <c r="G68" s="18" t="e">
        <f t="shared" ca="1" si="24"/>
        <v>#REF!</v>
      </c>
      <c r="H68" s="34" t="e">
        <f t="shared" ca="1" si="22"/>
        <v>#REF!</v>
      </c>
      <c r="I68" s="38" t="e">
        <f t="shared" ca="1" si="9"/>
        <v>#REF!</v>
      </c>
      <c r="L68" s="39" t="e">
        <f t="shared" ca="1" si="20"/>
        <v>#REF!</v>
      </c>
      <c r="M68" s="39" t="e">
        <f t="shared" ca="1" si="21"/>
        <v>#REF!</v>
      </c>
      <c r="N68" s="18" t="e">
        <f t="shared" ca="1" si="15"/>
        <v>#REF!</v>
      </c>
      <c r="O68" s="38" t="e">
        <f t="shared" ca="1" si="26"/>
        <v>#REF!</v>
      </c>
      <c r="P68" s="38" t="e">
        <f t="shared" ca="1" si="16"/>
        <v>#REF!</v>
      </c>
      <c r="Q68" s="38" t="e">
        <f t="shared" ca="1" si="17"/>
        <v>#REF!</v>
      </c>
      <c r="R68" s="18" t="e">
        <f t="shared" ca="1" si="7"/>
        <v>#REF!</v>
      </c>
      <c r="S68" s="18" t="e">
        <f t="shared" ca="1" si="23"/>
        <v>#REF!</v>
      </c>
      <c r="T68" s="38" t="e">
        <f t="shared" ca="1" si="11"/>
        <v>#REF!</v>
      </c>
      <c r="U68" s="19"/>
    </row>
    <row r="69" spans="1:21">
      <c r="A69" s="39" t="e">
        <f t="shared" ca="1" si="18"/>
        <v>#REF!</v>
      </c>
      <c r="B69" s="39" t="e">
        <f t="shared" ca="1" si="19"/>
        <v>#REF!</v>
      </c>
      <c r="C69" s="18" t="e">
        <f t="shared" ca="1" si="12"/>
        <v>#REF!</v>
      </c>
      <c r="D69" s="38" t="e">
        <f t="shared" ca="1" si="25"/>
        <v>#REF!</v>
      </c>
      <c r="E69" s="40" t="e">
        <f t="shared" ca="1" si="13"/>
        <v>#REF!</v>
      </c>
      <c r="F69" s="40" t="e">
        <f t="shared" ca="1" si="14"/>
        <v>#REF!</v>
      </c>
      <c r="G69" s="18" t="e">
        <f t="shared" ca="1" si="24"/>
        <v>#REF!</v>
      </c>
      <c r="H69" s="34" t="e">
        <f t="shared" ca="1" si="22"/>
        <v>#REF!</v>
      </c>
      <c r="I69" s="38" t="e">
        <f t="shared" ca="1" si="9"/>
        <v>#REF!</v>
      </c>
      <c r="L69" s="39" t="e">
        <f t="shared" ca="1" si="20"/>
        <v>#REF!</v>
      </c>
      <c r="M69" s="39" t="e">
        <f t="shared" ca="1" si="21"/>
        <v>#REF!</v>
      </c>
      <c r="N69" s="18" t="e">
        <f t="shared" ca="1" si="15"/>
        <v>#REF!</v>
      </c>
      <c r="O69" s="38" t="e">
        <f t="shared" ca="1" si="26"/>
        <v>#REF!</v>
      </c>
      <c r="P69" s="38" t="e">
        <f t="shared" ca="1" si="16"/>
        <v>#REF!</v>
      </c>
      <c r="Q69" s="38" t="e">
        <f t="shared" ca="1" si="17"/>
        <v>#REF!</v>
      </c>
      <c r="R69" s="18" t="e">
        <f t="shared" ca="1" si="7"/>
        <v>#REF!</v>
      </c>
      <c r="S69" s="18" t="e">
        <f t="shared" ca="1" si="23"/>
        <v>#REF!</v>
      </c>
      <c r="T69" s="38" t="e">
        <f t="shared" ca="1" si="11"/>
        <v>#REF!</v>
      </c>
      <c r="U69" s="19"/>
    </row>
    <row r="70" spans="1:21">
      <c r="A70" s="39" t="e">
        <f t="shared" ca="1" si="18"/>
        <v>#REF!</v>
      </c>
      <c r="B70" s="39" t="e">
        <f t="shared" ca="1" si="19"/>
        <v>#REF!</v>
      </c>
      <c r="C70" s="18" t="e">
        <f t="shared" ca="1" si="12"/>
        <v>#REF!</v>
      </c>
      <c r="D70" s="38" t="e">
        <f t="shared" ca="1" si="25"/>
        <v>#REF!</v>
      </c>
      <c r="E70" s="40" t="e">
        <f t="shared" ca="1" si="13"/>
        <v>#REF!</v>
      </c>
      <c r="F70" s="40" t="e">
        <f t="shared" ca="1" si="14"/>
        <v>#REF!</v>
      </c>
      <c r="G70" s="18" t="e">
        <f t="shared" ca="1" si="24"/>
        <v>#REF!</v>
      </c>
      <c r="H70" s="34" t="e">
        <f t="shared" ca="1" si="22"/>
        <v>#REF!</v>
      </c>
      <c r="I70" s="38" t="e">
        <f t="shared" ca="1" si="9"/>
        <v>#REF!</v>
      </c>
      <c r="L70" s="39" t="e">
        <f t="shared" ca="1" si="20"/>
        <v>#REF!</v>
      </c>
      <c r="M70" s="39" t="e">
        <f t="shared" ca="1" si="21"/>
        <v>#REF!</v>
      </c>
      <c r="N70" s="18" t="e">
        <f t="shared" ca="1" si="15"/>
        <v>#REF!</v>
      </c>
      <c r="O70" s="38" t="e">
        <f t="shared" ca="1" si="26"/>
        <v>#REF!</v>
      </c>
      <c r="P70" s="38" t="e">
        <f t="shared" ca="1" si="16"/>
        <v>#REF!</v>
      </c>
      <c r="Q70" s="38" t="e">
        <f t="shared" ca="1" si="17"/>
        <v>#REF!</v>
      </c>
      <c r="R70" s="18" t="e">
        <f t="shared" ca="1" si="7"/>
        <v>#REF!</v>
      </c>
      <c r="S70" s="18" t="e">
        <f t="shared" ca="1" si="23"/>
        <v>#REF!</v>
      </c>
      <c r="T70" s="38" t="e">
        <f t="shared" ca="1" si="11"/>
        <v>#REF!</v>
      </c>
      <c r="U70" s="19"/>
    </row>
    <row r="71" spans="1:21">
      <c r="A71" s="39" t="e">
        <f t="shared" ca="1" si="18"/>
        <v>#REF!</v>
      </c>
      <c r="B71" s="39" t="e">
        <f t="shared" ca="1" si="19"/>
        <v>#REF!</v>
      </c>
      <c r="C71" s="18" t="e">
        <f t="shared" ca="1" si="12"/>
        <v>#REF!</v>
      </c>
      <c r="D71" s="38" t="e">
        <f t="shared" ca="1" si="25"/>
        <v>#REF!</v>
      </c>
      <c r="E71" s="40" t="e">
        <f t="shared" ca="1" si="13"/>
        <v>#REF!</v>
      </c>
      <c r="F71" s="40" t="e">
        <f t="shared" ca="1" si="14"/>
        <v>#REF!</v>
      </c>
      <c r="G71" s="18" t="e">
        <f t="shared" ca="1" si="24"/>
        <v>#REF!</v>
      </c>
      <c r="H71" s="34" t="e">
        <f t="shared" ca="1" si="22"/>
        <v>#REF!</v>
      </c>
      <c r="I71" s="38" t="e">
        <f t="shared" ca="1" si="9"/>
        <v>#REF!</v>
      </c>
      <c r="L71" s="39" t="e">
        <f t="shared" ca="1" si="20"/>
        <v>#REF!</v>
      </c>
      <c r="M71" s="39" t="e">
        <f t="shared" ca="1" si="21"/>
        <v>#REF!</v>
      </c>
      <c r="N71" s="18" t="e">
        <f t="shared" ca="1" si="15"/>
        <v>#REF!</v>
      </c>
      <c r="O71" s="38" t="e">
        <f t="shared" ca="1" si="26"/>
        <v>#REF!</v>
      </c>
      <c r="P71" s="38" t="e">
        <f t="shared" ca="1" si="16"/>
        <v>#REF!</v>
      </c>
      <c r="Q71" s="38" t="e">
        <f t="shared" ca="1" si="17"/>
        <v>#REF!</v>
      </c>
      <c r="R71" s="18" t="e">
        <f t="shared" ca="1" si="7"/>
        <v>#REF!</v>
      </c>
      <c r="S71" s="18" t="e">
        <f t="shared" ca="1" si="23"/>
        <v>#REF!</v>
      </c>
      <c r="T71" s="38" t="e">
        <f t="shared" ca="1" si="11"/>
        <v>#REF!</v>
      </c>
      <c r="U71" s="19"/>
    </row>
    <row r="72" spans="1:21">
      <c r="A72" s="39" t="e">
        <f t="shared" ca="1" si="18"/>
        <v>#REF!</v>
      </c>
      <c r="B72" s="39" t="e">
        <f t="shared" ca="1" si="19"/>
        <v>#REF!</v>
      </c>
      <c r="C72" s="18" t="e">
        <f t="shared" ca="1" si="12"/>
        <v>#REF!</v>
      </c>
      <c r="D72" s="38" t="e">
        <f t="shared" ca="1" si="25"/>
        <v>#REF!</v>
      </c>
      <c r="E72" s="40" t="e">
        <f t="shared" ca="1" si="13"/>
        <v>#REF!</v>
      </c>
      <c r="F72" s="40" t="e">
        <f t="shared" ca="1" si="14"/>
        <v>#REF!</v>
      </c>
      <c r="G72" s="18" t="e">
        <f t="shared" ca="1" si="24"/>
        <v>#REF!</v>
      </c>
      <c r="H72" s="34" t="e">
        <f t="shared" ca="1" si="22"/>
        <v>#REF!</v>
      </c>
      <c r="I72" s="38" t="e">
        <f t="shared" ca="1" si="9"/>
        <v>#REF!</v>
      </c>
      <c r="L72" s="39" t="e">
        <f t="shared" ca="1" si="20"/>
        <v>#REF!</v>
      </c>
      <c r="M72" s="39" t="e">
        <f t="shared" ca="1" si="21"/>
        <v>#REF!</v>
      </c>
      <c r="N72" s="18" t="e">
        <f t="shared" ca="1" si="15"/>
        <v>#REF!</v>
      </c>
      <c r="O72" s="38" t="e">
        <f t="shared" ca="1" si="26"/>
        <v>#REF!</v>
      </c>
      <c r="P72" s="38" t="e">
        <f t="shared" ca="1" si="16"/>
        <v>#REF!</v>
      </c>
      <c r="Q72" s="38" t="e">
        <f t="shared" ca="1" si="17"/>
        <v>#REF!</v>
      </c>
      <c r="R72" s="18" t="e">
        <f t="shared" ca="1" si="7"/>
        <v>#REF!</v>
      </c>
      <c r="S72" s="18" t="e">
        <f t="shared" ca="1" si="23"/>
        <v>#REF!</v>
      </c>
      <c r="T72" s="38" t="e">
        <f t="shared" ca="1" si="11"/>
        <v>#REF!</v>
      </c>
      <c r="U72" s="19"/>
    </row>
    <row r="73" spans="1:21">
      <c r="A73" s="39" t="e">
        <f t="shared" ca="1" si="18"/>
        <v>#REF!</v>
      </c>
      <c r="B73" s="39" t="e">
        <f t="shared" ca="1" si="19"/>
        <v>#REF!</v>
      </c>
      <c r="C73" s="18" t="e">
        <f t="shared" ca="1" si="12"/>
        <v>#REF!</v>
      </c>
      <c r="D73" s="38" t="e">
        <f t="shared" ca="1" si="25"/>
        <v>#REF!</v>
      </c>
      <c r="E73" s="40" t="e">
        <f t="shared" ca="1" si="13"/>
        <v>#REF!</v>
      </c>
      <c r="F73" s="40" t="e">
        <f t="shared" ca="1" si="14"/>
        <v>#REF!</v>
      </c>
      <c r="G73" s="18" t="e">
        <f t="shared" ca="1" si="24"/>
        <v>#REF!</v>
      </c>
      <c r="H73" s="34" t="e">
        <f t="shared" ca="1" si="22"/>
        <v>#REF!</v>
      </c>
      <c r="I73" s="38" t="e">
        <f t="shared" ca="1" si="9"/>
        <v>#REF!</v>
      </c>
      <c r="L73" s="39" t="e">
        <f t="shared" ca="1" si="20"/>
        <v>#REF!</v>
      </c>
      <c r="M73" s="39" t="e">
        <f t="shared" ca="1" si="21"/>
        <v>#REF!</v>
      </c>
      <c r="N73" s="18" t="e">
        <f t="shared" ca="1" si="15"/>
        <v>#REF!</v>
      </c>
      <c r="O73" s="38" t="e">
        <f t="shared" ca="1" si="26"/>
        <v>#REF!</v>
      </c>
      <c r="P73" s="38" t="e">
        <f t="shared" ca="1" si="16"/>
        <v>#REF!</v>
      </c>
      <c r="Q73" s="38" t="e">
        <f t="shared" ca="1" si="17"/>
        <v>#REF!</v>
      </c>
      <c r="R73" s="18" t="e">
        <f t="shared" ca="1" si="7"/>
        <v>#REF!</v>
      </c>
      <c r="S73" s="18" t="e">
        <f t="shared" ca="1" si="23"/>
        <v>#REF!</v>
      </c>
      <c r="T73" s="38" t="e">
        <f t="shared" ca="1" si="11"/>
        <v>#REF!</v>
      </c>
      <c r="U73" s="19"/>
    </row>
    <row r="74" spans="1:21">
      <c r="A74" s="39" t="e">
        <f t="shared" ca="1" si="18"/>
        <v>#REF!</v>
      </c>
      <c r="B74" s="39" t="e">
        <f t="shared" ca="1" si="19"/>
        <v>#REF!</v>
      </c>
      <c r="C74" s="18" t="e">
        <f t="shared" ca="1" si="12"/>
        <v>#REF!</v>
      </c>
      <c r="D74" s="38" t="e">
        <f t="shared" ca="1" si="25"/>
        <v>#REF!</v>
      </c>
      <c r="E74" s="40" t="e">
        <f t="shared" ca="1" si="13"/>
        <v>#REF!</v>
      </c>
      <c r="F74" s="40" t="e">
        <f t="shared" ca="1" si="14"/>
        <v>#REF!</v>
      </c>
      <c r="G74" s="18" t="e">
        <f t="shared" ca="1" si="24"/>
        <v>#REF!</v>
      </c>
      <c r="H74" s="34" t="e">
        <f t="shared" ca="1" si="22"/>
        <v>#REF!</v>
      </c>
      <c r="I74" s="38" t="e">
        <f t="shared" ca="1" si="9"/>
        <v>#REF!</v>
      </c>
      <c r="L74" s="39" t="e">
        <f t="shared" ca="1" si="20"/>
        <v>#REF!</v>
      </c>
      <c r="M74" s="39" t="e">
        <f t="shared" ca="1" si="21"/>
        <v>#REF!</v>
      </c>
      <c r="N74" s="18" t="e">
        <f t="shared" ca="1" si="15"/>
        <v>#REF!</v>
      </c>
      <c r="O74" s="38" t="e">
        <f t="shared" ca="1" si="26"/>
        <v>#REF!</v>
      </c>
      <c r="P74" s="38" t="e">
        <f t="shared" ca="1" si="16"/>
        <v>#REF!</v>
      </c>
      <c r="Q74" s="38" t="e">
        <f t="shared" ca="1" si="17"/>
        <v>#REF!</v>
      </c>
      <c r="R74" s="18" t="e">
        <f t="shared" ca="1" si="7"/>
        <v>#REF!</v>
      </c>
      <c r="S74" s="18" t="e">
        <f t="shared" ca="1" si="23"/>
        <v>#REF!</v>
      </c>
      <c r="T74" s="38" t="e">
        <f t="shared" ca="1" si="11"/>
        <v>#REF!</v>
      </c>
      <c r="U74" s="19"/>
    </row>
    <row r="75" spans="1:21">
      <c r="A75" s="39" t="e">
        <f t="shared" ca="1" si="18"/>
        <v>#REF!</v>
      </c>
      <c r="B75" s="39" t="e">
        <f t="shared" ca="1" si="19"/>
        <v>#REF!</v>
      </c>
      <c r="C75" s="18" t="e">
        <f t="shared" ca="1" si="12"/>
        <v>#REF!</v>
      </c>
      <c r="D75" s="38" t="e">
        <f t="shared" ca="1" si="25"/>
        <v>#REF!</v>
      </c>
      <c r="E75" s="40" t="e">
        <f t="shared" ca="1" si="13"/>
        <v>#REF!</v>
      </c>
      <c r="F75" s="40" t="e">
        <f t="shared" ca="1" si="14"/>
        <v>#REF!</v>
      </c>
      <c r="G75" s="18" t="e">
        <f t="shared" ca="1" si="24"/>
        <v>#REF!</v>
      </c>
      <c r="H75" s="34" t="e">
        <f t="shared" ca="1" si="22"/>
        <v>#REF!</v>
      </c>
      <c r="I75" s="38" t="e">
        <f t="shared" ca="1" si="9"/>
        <v>#REF!</v>
      </c>
      <c r="L75" s="39" t="e">
        <f t="shared" ca="1" si="20"/>
        <v>#REF!</v>
      </c>
      <c r="M75" s="39" t="e">
        <f t="shared" ca="1" si="21"/>
        <v>#REF!</v>
      </c>
      <c r="N75" s="18" t="e">
        <f t="shared" ca="1" si="15"/>
        <v>#REF!</v>
      </c>
      <c r="O75" s="38" t="e">
        <f t="shared" ca="1" si="26"/>
        <v>#REF!</v>
      </c>
      <c r="P75" s="38" t="e">
        <f t="shared" ca="1" si="16"/>
        <v>#REF!</v>
      </c>
      <c r="Q75" s="38" t="e">
        <f t="shared" ca="1" si="17"/>
        <v>#REF!</v>
      </c>
      <c r="R75" s="18" t="e">
        <f t="shared" ca="1" si="7"/>
        <v>#REF!</v>
      </c>
      <c r="S75" s="18" t="e">
        <f t="shared" ca="1" si="23"/>
        <v>#REF!</v>
      </c>
      <c r="T75" s="38" t="e">
        <f t="shared" ca="1" si="11"/>
        <v>#REF!</v>
      </c>
      <c r="U75" s="19"/>
    </row>
    <row r="76" spans="1:21">
      <c r="A76" s="39" t="e">
        <f t="shared" ca="1" si="18"/>
        <v>#REF!</v>
      </c>
      <c r="B76" s="39" t="e">
        <f t="shared" ca="1" si="19"/>
        <v>#REF!</v>
      </c>
      <c r="C76" s="18" t="e">
        <f t="shared" ca="1" si="12"/>
        <v>#REF!</v>
      </c>
      <c r="D76" s="38" t="e">
        <f t="shared" ca="1" si="25"/>
        <v>#REF!</v>
      </c>
      <c r="E76" s="40" t="e">
        <f t="shared" ca="1" si="13"/>
        <v>#REF!</v>
      </c>
      <c r="F76" s="40" t="e">
        <f t="shared" ca="1" si="14"/>
        <v>#REF!</v>
      </c>
      <c r="G76" s="18" t="e">
        <f t="shared" ca="1" si="24"/>
        <v>#REF!</v>
      </c>
      <c r="H76" s="34" t="e">
        <f t="shared" ca="1" si="22"/>
        <v>#REF!</v>
      </c>
      <c r="I76" s="38" t="e">
        <f t="shared" ca="1" si="9"/>
        <v>#REF!</v>
      </c>
      <c r="L76" s="39" t="e">
        <f t="shared" ca="1" si="20"/>
        <v>#REF!</v>
      </c>
      <c r="M76" s="39" t="e">
        <f t="shared" ca="1" si="21"/>
        <v>#REF!</v>
      </c>
      <c r="N76" s="18" t="e">
        <f t="shared" ca="1" si="15"/>
        <v>#REF!</v>
      </c>
      <c r="O76" s="38" t="e">
        <f t="shared" ca="1" si="26"/>
        <v>#REF!</v>
      </c>
      <c r="P76" s="38" t="e">
        <f t="shared" ca="1" si="16"/>
        <v>#REF!</v>
      </c>
      <c r="Q76" s="38" t="e">
        <f t="shared" ca="1" si="17"/>
        <v>#REF!</v>
      </c>
      <c r="R76" s="18" t="e">
        <f t="shared" ca="1" si="7"/>
        <v>#REF!</v>
      </c>
      <c r="S76" s="18" t="e">
        <f t="shared" ca="1" si="23"/>
        <v>#REF!</v>
      </c>
      <c r="T76" s="38" t="e">
        <f t="shared" ca="1" si="11"/>
        <v>#REF!</v>
      </c>
      <c r="U76" s="19"/>
    </row>
    <row r="77" spans="1:21">
      <c r="A77" s="39" t="e">
        <f t="shared" ca="1" si="18"/>
        <v>#REF!</v>
      </c>
      <c r="B77" s="39" t="e">
        <f t="shared" ca="1" si="19"/>
        <v>#REF!</v>
      </c>
      <c r="C77" s="18" t="e">
        <f t="shared" ca="1" si="12"/>
        <v>#REF!</v>
      </c>
      <c r="D77" s="38" t="e">
        <f t="shared" ca="1" si="25"/>
        <v>#REF!</v>
      </c>
      <c r="E77" s="40" t="e">
        <f t="shared" ca="1" si="13"/>
        <v>#REF!</v>
      </c>
      <c r="F77" s="40" t="e">
        <f t="shared" ca="1" si="14"/>
        <v>#REF!</v>
      </c>
      <c r="G77" s="18" t="e">
        <f t="shared" ca="1" si="24"/>
        <v>#REF!</v>
      </c>
      <c r="H77" s="34" t="e">
        <f t="shared" ca="1" si="22"/>
        <v>#REF!</v>
      </c>
      <c r="I77" s="38" t="e">
        <f t="shared" ca="1" si="9"/>
        <v>#REF!</v>
      </c>
      <c r="L77" s="39" t="e">
        <f t="shared" ca="1" si="20"/>
        <v>#REF!</v>
      </c>
      <c r="M77" s="39" t="e">
        <f t="shared" ca="1" si="21"/>
        <v>#REF!</v>
      </c>
      <c r="N77" s="18" t="e">
        <f t="shared" ca="1" si="15"/>
        <v>#REF!</v>
      </c>
      <c r="O77" s="38" t="e">
        <f t="shared" ca="1" si="26"/>
        <v>#REF!</v>
      </c>
      <c r="P77" s="38" t="e">
        <f t="shared" ca="1" si="16"/>
        <v>#REF!</v>
      </c>
      <c r="Q77" s="38" t="e">
        <f t="shared" ca="1" si="17"/>
        <v>#REF!</v>
      </c>
      <c r="R77" s="18" t="e">
        <f t="shared" ca="1" si="7"/>
        <v>#REF!</v>
      </c>
      <c r="S77" s="18" t="e">
        <f t="shared" ca="1" si="23"/>
        <v>#REF!</v>
      </c>
      <c r="T77" s="38" t="e">
        <f t="shared" ca="1" si="11"/>
        <v>#REF!</v>
      </c>
      <c r="U77" s="19"/>
    </row>
    <row r="78" spans="1:21">
      <c r="A78" s="39" t="e">
        <f t="shared" ca="1" si="18"/>
        <v>#REF!</v>
      </c>
      <c r="B78" s="39" t="e">
        <f t="shared" ca="1" si="19"/>
        <v>#REF!</v>
      </c>
      <c r="C78" s="18" t="e">
        <f t="shared" ca="1" si="12"/>
        <v>#REF!</v>
      </c>
      <c r="D78" s="38" t="e">
        <f t="shared" ca="1" si="25"/>
        <v>#REF!</v>
      </c>
      <c r="E78" s="40" t="e">
        <f t="shared" ca="1" si="13"/>
        <v>#REF!</v>
      </c>
      <c r="F78" s="40" t="e">
        <f t="shared" ca="1" si="14"/>
        <v>#REF!</v>
      </c>
      <c r="G78" s="18" t="e">
        <f t="shared" ca="1" si="24"/>
        <v>#REF!</v>
      </c>
      <c r="H78" s="34" t="e">
        <f t="shared" ca="1" si="22"/>
        <v>#REF!</v>
      </c>
      <c r="I78" s="38" t="e">
        <f t="shared" ca="1" si="9"/>
        <v>#REF!</v>
      </c>
      <c r="L78" s="39" t="e">
        <f t="shared" ca="1" si="20"/>
        <v>#REF!</v>
      </c>
      <c r="M78" s="39" t="e">
        <f t="shared" ca="1" si="21"/>
        <v>#REF!</v>
      </c>
      <c r="N78" s="18" t="e">
        <f t="shared" ca="1" si="15"/>
        <v>#REF!</v>
      </c>
      <c r="O78" s="38" t="e">
        <f t="shared" ca="1" si="26"/>
        <v>#REF!</v>
      </c>
      <c r="P78" s="38" t="e">
        <f t="shared" ca="1" si="16"/>
        <v>#REF!</v>
      </c>
      <c r="Q78" s="38" t="e">
        <f t="shared" ca="1" si="17"/>
        <v>#REF!</v>
      </c>
      <c r="R78" s="18" t="e">
        <f t="shared" ca="1" si="7"/>
        <v>#REF!</v>
      </c>
      <c r="S78" s="18" t="e">
        <f t="shared" ca="1" si="23"/>
        <v>#REF!</v>
      </c>
      <c r="T78" s="38" t="e">
        <f t="shared" ca="1" si="11"/>
        <v>#REF!</v>
      </c>
      <c r="U78" s="19"/>
    </row>
    <row r="79" spans="1:21">
      <c r="A79" s="39" t="e">
        <f t="shared" ca="1" si="18"/>
        <v>#REF!</v>
      </c>
      <c r="B79" s="39" t="e">
        <f t="shared" ca="1" si="19"/>
        <v>#REF!</v>
      </c>
      <c r="C79" s="18" t="e">
        <f t="shared" ca="1" si="12"/>
        <v>#REF!</v>
      </c>
      <c r="D79" s="38" t="e">
        <f t="shared" ca="1" si="25"/>
        <v>#REF!</v>
      </c>
      <c r="E79" s="40" t="e">
        <f t="shared" ca="1" si="13"/>
        <v>#REF!</v>
      </c>
      <c r="F79" s="40" t="e">
        <f t="shared" ca="1" si="14"/>
        <v>#REF!</v>
      </c>
      <c r="G79" s="18" t="e">
        <f t="shared" ca="1" si="24"/>
        <v>#REF!</v>
      </c>
      <c r="H79" s="34" t="e">
        <f t="shared" ca="1" si="22"/>
        <v>#REF!</v>
      </c>
      <c r="I79" s="38" t="e">
        <f t="shared" ca="1" si="9"/>
        <v>#REF!</v>
      </c>
      <c r="L79" s="39" t="e">
        <f t="shared" ca="1" si="20"/>
        <v>#REF!</v>
      </c>
      <c r="M79" s="39" t="e">
        <f t="shared" ca="1" si="21"/>
        <v>#REF!</v>
      </c>
      <c r="N79" s="18" t="e">
        <f t="shared" ca="1" si="15"/>
        <v>#REF!</v>
      </c>
      <c r="O79" s="38" t="e">
        <f t="shared" ca="1" si="26"/>
        <v>#REF!</v>
      </c>
      <c r="P79" s="38" t="e">
        <f t="shared" ca="1" si="16"/>
        <v>#REF!</v>
      </c>
      <c r="Q79" s="38" t="e">
        <f t="shared" ca="1" si="17"/>
        <v>#REF!</v>
      </c>
      <c r="R79" s="18" t="e">
        <f t="shared" ca="1" si="7"/>
        <v>#REF!</v>
      </c>
      <c r="S79" s="18" t="e">
        <f t="shared" ca="1" si="23"/>
        <v>#REF!</v>
      </c>
      <c r="T79" s="38" t="e">
        <f t="shared" ca="1" si="11"/>
        <v>#REF!</v>
      </c>
      <c r="U79" s="19"/>
    </row>
    <row r="80" spans="1:21">
      <c r="A80" s="39" t="e">
        <f t="shared" ca="1" si="18"/>
        <v>#REF!</v>
      </c>
      <c r="B80" s="39" t="e">
        <f t="shared" ca="1" si="19"/>
        <v>#REF!</v>
      </c>
      <c r="C80" s="18" t="e">
        <f t="shared" ca="1" si="12"/>
        <v>#REF!</v>
      </c>
      <c r="D80" s="38" t="e">
        <f t="shared" ca="1" si="25"/>
        <v>#REF!</v>
      </c>
      <c r="E80" s="40" t="e">
        <f t="shared" ca="1" si="13"/>
        <v>#REF!</v>
      </c>
      <c r="F80" s="40" t="e">
        <f t="shared" ca="1" si="14"/>
        <v>#REF!</v>
      </c>
      <c r="G80" s="18" t="e">
        <f t="shared" ca="1" si="24"/>
        <v>#REF!</v>
      </c>
      <c r="H80" s="34" t="e">
        <f t="shared" ca="1" si="22"/>
        <v>#REF!</v>
      </c>
      <c r="I80" s="38" t="e">
        <f t="shared" ca="1" si="9"/>
        <v>#REF!</v>
      </c>
      <c r="L80" s="39" t="e">
        <f t="shared" ca="1" si="20"/>
        <v>#REF!</v>
      </c>
      <c r="M80" s="39" t="e">
        <f t="shared" ca="1" si="21"/>
        <v>#REF!</v>
      </c>
      <c r="N80" s="18" t="e">
        <f t="shared" ca="1" si="15"/>
        <v>#REF!</v>
      </c>
      <c r="O80" s="38" t="e">
        <f t="shared" ca="1" si="26"/>
        <v>#REF!</v>
      </c>
      <c r="P80" s="38" t="e">
        <f t="shared" ca="1" si="16"/>
        <v>#REF!</v>
      </c>
      <c r="Q80" s="38" t="e">
        <f t="shared" ca="1" si="17"/>
        <v>#REF!</v>
      </c>
      <c r="R80" s="18" t="e">
        <f t="shared" ca="1" si="7"/>
        <v>#REF!</v>
      </c>
      <c r="S80" s="18" t="e">
        <f t="shared" ca="1" si="23"/>
        <v>#REF!</v>
      </c>
      <c r="T80" s="38" t="e">
        <f t="shared" ca="1" si="11"/>
        <v>#REF!</v>
      </c>
      <c r="U80" s="19"/>
    </row>
    <row r="81" spans="1:21">
      <c r="A81" s="39" t="e">
        <f t="shared" ca="1" si="18"/>
        <v>#REF!</v>
      </c>
      <c r="B81" s="39" t="e">
        <f t="shared" ca="1" si="19"/>
        <v>#REF!</v>
      </c>
      <c r="C81" s="18" t="e">
        <f t="shared" ca="1" si="12"/>
        <v>#REF!</v>
      </c>
      <c r="D81" s="38" t="e">
        <f t="shared" ca="1" si="25"/>
        <v>#REF!</v>
      </c>
      <c r="E81" s="40" t="e">
        <f t="shared" ca="1" si="13"/>
        <v>#REF!</v>
      </c>
      <c r="F81" s="40" t="e">
        <f t="shared" ca="1" si="14"/>
        <v>#REF!</v>
      </c>
      <c r="G81" s="18" t="e">
        <f t="shared" ca="1" si="24"/>
        <v>#REF!</v>
      </c>
      <c r="H81" s="34" t="e">
        <f t="shared" ca="1" si="22"/>
        <v>#REF!</v>
      </c>
      <c r="I81" s="38" t="e">
        <f t="shared" ca="1" si="9"/>
        <v>#REF!</v>
      </c>
      <c r="L81" s="39" t="e">
        <f t="shared" ca="1" si="20"/>
        <v>#REF!</v>
      </c>
      <c r="M81" s="39" t="e">
        <f t="shared" ca="1" si="21"/>
        <v>#REF!</v>
      </c>
      <c r="N81" s="18" t="e">
        <f t="shared" ca="1" si="15"/>
        <v>#REF!</v>
      </c>
      <c r="O81" s="38" t="e">
        <f t="shared" ca="1" si="26"/>
        <v>#REF!</v>
      </c>
      <c r="P81" s="38" t="e">
        <f t="shared" ca="1" si="16"/>
        <v>#REF!</v>
      </c>
      <c r="Q81" s="38" t="e">
        <f t="shared" ca="1" si="17"/>
        <v>#REF!</v>
      </c>
      <c r="R81" s="18" t="e">
        <f t="shared" ca="1" si="7"/>
        <v>#REF!</v>
      </c>
      <c r="S81" s="18" t="e">
        <f t="shared" ca="1" si="23"/>
        <v>#REF!</v>
      </c>
      <c r="T81" s="38" t="e">
        <f t="shared" ca="1" si="11"/>
        <v>#REF!</v>
      </c>
      <c r="U81" s="19"/>
    </row>
    <row r="82" spans="1:21">
      <c r="A82" s="39" t="e">
        <f t="shared" ca="1" si="18"/>
        <v>#REF!</v>
      </c>
      <c r="B82" s="39" t="e">
        <f t="shared" ca="1" si="19"/>
        <v>#REF!</v>
      </c>
      <c r="C82" s="18" t="e">
        <f t="shared" ca="1" si="12"/>
        <v>#REF!</v>
      </c>
      <c r="D82" s="38" t="e">
        <f t="shared" ca="1" si="25"/>
        <v>#REF!</v>
      </c>
      <c r="E82" s="40" t="e">
        <f t="shared" ca="1" si="13"/>
        <v>#REF!</v>
      </c>
      <c r="F82" s="40" t="e">
        <f t="shared" ca="1" si="14"/>
        <v>#REF!</v>
      </c>
      <c r="G82" s="18" t="e">
        <f t="shared" ca="1" si="24"/>
        <v>#REF!</v>
      </c>
      <c r="H82" s="34" t="e">
        <f t="shared" ca="1" si="22"/>
        <v>#REF!</v>
      </c>
      <c r="I82" s="38" t="e">
        <f t="shared" ca="1" si="9"/>
        <v>#REF!</v>
      </c>
      <c r="L82" s="39" t="e">
        <f t="shared" ca="1" si="20"/>
        <v>#REF!</v>
      </c>
      <c r="M82" s="39" t="e">
        <f t="shared" ca="1" si="21"/>
        <v>#REF!</v>
      </c>
      <c r="N82" s="18" t="e">
        <f t="shared" ca="1" si="15"/>
        <v>#REF!</v>
      </c>
      <c r="O82" s="38" t="e">
        <f t="shared" ca="1" si="26"/>
        <v>#REF!</v>
      </c>
      <c r="P82" s="38" t="e">
        <f t="shared" ca="1" si="16"/>
        <v>#REF!</v>
      </c>
      <c r="Q82" s="38" t="e">
        <f t="shared" ca="1" si="17"/>
        <v>#REF!</v>
      </c>
      <c r="R82" s="18" t="e">
        <f t="shared" ca="1" si="7"/>
        <v>#REF!</v>
      </c>
      <c r="S82" s="18" t="e">
        <f t="shared" ca="1" si="23"/>
        <v>#REF!</v>
      </c>
      <c r="T82" s="38" t="e">
        <f t="shared" ca="1" si="11"/>
        <v>#REF!</v>
      </c>
      <c r="U82" s="19"/>
    </row>
    <row r="83" spans="1:21">
      <c r="A83" s="39" t="e">
        <f t="shared" ca="1" si="18"/>
        <v>#REF!</v>
      </c>
      <c r="B83" s="39" t="e">
        <f t="shared" ca="1" si="19"/>
        <v>#REF!</v>
      </c>
      <c r="C83" s="58" t="e">
        <f t="shared" ca="1" si="12"/>
        <v>#REF!</v>
      </c>
      <c r="D83" s="40" t="e">
        <f t="shared" ca="1" si="25"/>
        <v>#REF!</v>
      </c>
      <c r="E83" s="40" t="e">
        <f t="shared" ca="1" si="13"/>
        <v>#REF!</v>
      </c>
      <c r="F83" s="40" t="e">
        <f t="shared" ca="1" si="14"/>
        <v>#REF!</v>
      </c>
      <c r="G83" s="34" t="e">
        <f t="shared" ca="1" si="24"/>
        <v>#REF!</v>
      </c>
      <c r="H83" s="34" t="e">
        <f t="shared" ca="1" si="22"/>
        <v>#REF!</v>
      </c>
      <c r="I83" s="40" t="e">
        <f t="shared" ca="1" si="9"/>
        <v>#REF!</v>
      </c>
      <c r="L83" s="39" t="e">
        <f t="shared" ca="1" si="20"/>
        <v>#REF!</v>
      </c>
      <c r="M83" s="39" t="e">
        <f t="shared" ca="1" si="21"/>
        <v>#REF!</v>
      </c>
      <c r="N83" s="18" t="e">
        <f t="shared" ca="1" si="15"/>
        <v>#REF!</v>
      </c>
      <c r="O83" s="38" t="e">
        <f t="shared" ca="1" si="26"/>
        <v>#REF!</v>
      </c>
      <c r="P83" s="38" t="e">
        <f t="shared" ca="1" si="16"/>
        <v>#REF!</v>
      </c>
      <c r="Q83" s="38" t="e">
        <f t="shared" ca="1" si="17"/>
        <v>#REF!</v>
      </c>
      <c r="R83" s="18" t="e">
        <f t="shared" ca="1" si="7"/>
        <v>#REF!</v>
      </c>
      <c r="S83" s="18" t="e">
        <f t="shared" ca="1" si="23"/>
        <v>#REF!</v>
      </c>
      <c r="T83" s="38" t="e">
        <f t="shared" ca="1" si="11"/>
        <v>#REF!</v>
      </c>
      <c r="U83" s="19"/>
    </row>
    <row r="84" spans="1:21">
      <c r="A84" s="39" t="e">
        <f t="shared" ca="1" si="18"/>
        <v>#REF!</v>
      </c>
      <c r="B84" s="39" t="e">
        <f t="shared" ca="1" si="19"/>
        <v>#REF!</v>
      </c>
      <c r="C84" s="34"/>
      <c r="D84" s="34"/>
      <c r="E84" s="34"/>
      <c r="F84" s="34"/>
      <c r="G84" s="34"/>
      <c r="H84" s="34"/>
      <c r="I84" s="34"/>
      <c r="L84" s="39" t="e">
        <f t="shared" ca="1" si="20"/>
        <v>#REF!</v>
      </c>
      <c r="M84" s="39" t="e">
        <f t="shared" ca="1" si="21"/>
        <v>#REF!</v>
      </c>
      <c r="P84" s="38"/>
      <c r="R84" s="19"/>
    </row>
    <row r="85" spans="1:21">
      <c r="A85" s="39" t="e">
        <f t="shared" ca="1" si="18"/>
        <v>#REF!</v>
      </c>
      <c r="B85" s="39" t="e">
        <f t="shared" ca="1" si="19"/>
        <v>#REF!</v>
      </c>
      <c r="L85" s="39" t="e">
        <f t="shared" ca="1" si="20"/>
        <v>#REF!</v>
      </c>
      <c r="M85" s="39" t="e">
        <f t="shared" ca="1" si="21"/>
        <v>#REF!</v>
      </c>
      <c r="R85" s="19"/>
    </row>
    <row r="86" spans="1:21">
      <c r="A86" s="39" t="e">
        <f t="shared" ca="1" si="18"/>
        <v>#REF!</v>
      </c>
      <c r="B86" s="39" t="e">
        <f t="shared" ca="1" si="19"/>
        <v>#REF!</v>
      </c>
      <c r="L86" s="39" t="e">
        <f t="shared" ca="1" si="20"/>
        <v>#REF!</v>
      </c>
      <c r="M86" s="39" t="e">
        <f t="shared" ca="1" si="21"/>
        <v>#REF!</v>
      </c>
    </row>
    <row r="87" spans="1:21">
      <c r="A87" s="39" t="e">
        <f t="shared" ca="1" si="18"/>
        <v>#REF!</v>
      </c>
      <c r="B87" s="39" t="e">
        <f t="shared" ca="1" si="19"/>
        <v>#REF!</v>
      </c>
      <c r="L87" s="39" t="e">
        <f t="shared" ca="1" si="20"/>
        <v>#REF!</v>
      </c>
      <c r="M87" s="39" t="e">
        <f t="shared" ca="1" si="21"/>
        <v>#REF!</v>
      </c>
    </row>
    <row r="88" spans="1:21">
      <c r="A88" s="39" t="e">
        <f t="shared" ca="1" si="18"/>
        <v>#REF!</v>
      </c>
      <c r="B88" s="39" t="e">
        <f t="shared" ca="1" si="19"/>
        <v>#REF!</v>
      </c>
      <c r="L88" s="39" t="e">
        <f t="shared" ca="1" si="20"/>
        <v>#REF!</v>
      </c>
      <c r="M88" s="39" t="e">
        <f t="shared" ca="1" si="21"/>
        <v>#REF!</v>
      </c>
    </row>
    <row r="89" spans="1:21">
      <c r="A89" s="39" t="e">
        <f t="shared" ca="1" si="18"/>
        <v>#REF!</v>
      </c>
      <c r="B89" s="39" t="e">
        <f t="shared" ca="1" si="19"/>
        <v>#REF!</v>
      </c>
      <c r="L89" s="39" t="e">
        <f t="shared" ca="1" si="20"/>
        <v>#REF!</v>
      </c>
      <c r="M89" s="39" t="e">
        <f t="shared" ca="1" si="21"/>
        <v>#REF!</v>
      </c>
    </row>
    <row r="90" spans="1:21">
      <c r="A90" s="39" t="e">
        <f t="shared" ca="1" si="18"/>
        <v>#REF!</v>
      </c>
      <c r="B90" s="39" t="e">
        <f t="shared" ca="1" si="19"/>
        <v>#REF!</v>
      </c>
      <c r="L90" s="39" t="e">
        <f t="shared" ca="1" si="20"/>
        <v>#REF!</v>
      </c>
      <c r="M90" s="39" t="e">
        <f t="shared" ca="1" si="21"/>
        <v>#REF!</v>
      </c>
    </row>
    <row r="91" spans="1:21">
      <c r="A91" s="39" t="e">
        <f t="shared" ca="1" si="18"/>
        <v>#REF!</v>
      </c>
      <c r="B91" s="39" t="e">
        <f t="shared" ca="1" si="19"/>
        <v>#REF!</v>
      </c>
      <c r="L91" s="39" t="e">
        <f t="shared" ca="1" si="20"/>
        <v>#REF!</v>
      </c>
      <c r="M91" s="39" t="e">
        <f t="shared" ca="1" si="21"/>
        <v>#REF!</v>
      </c>
    </row>
    <row r="92" spans="1:21">
      <c r="A92" s="39" t="e">
        <f t="shared" ca="1" si="18"/>
        <v>#REF!</v>
      </c>
      <c r="B92" s="39" t="e">
        <f t="shared" ca="1" si="19"/>
        <v>#REF!</v>
      </c>
      <c r="L92" s="39" t="e">
        <f t="shared" ca="1" si="20"/>
        <v>#REF!</v>
      </c>
      <c r="M92" s="39" t="e">
        <f t="shared" ca="1" si="21"/>
        <v>#REF!</v>
      </c>
    </row>
    <row r="93" spans="1:21">
      <c r="A93" s="39" t="e">
        <f t="shared" ca="1" si="18"/>
        <v>#REF!</v>
      </c>
      <c r="B93" s="39" t="e">
        <f t="shared" ca="1" si="19"/>
        <v>#REF!</v>
      </c>
      <c r="L93" s="39" t="e">
        <f t="shared" ca="1" si="20"/>
        <v>#REF!</v>
      </c>
      <c r="M93" s="39" t="e">
        <f t="shared" ca="1" si="21"/>
        <v>#REF!</v>
      </c>
    </row>
    <row r="94" spans="1:21">
      <c r="A94" s="39" t="e">
        <f t="shared" ca="1" si="18"/>
        <v>#REF!</v>
      </c>
      <c r="B94" s="39" t="e">
        <f t="shared" ca="1" si="19"/>
        <v>#REF!</v>
      </c>
      <c r="L94" s="39" t="e">
        <f t="shared" ca="1" si="20"/>
        <v>#REF!</v>
      </c>
      <c r="M94" s="39" t="e">
        <f t="shared" ca="1" si="21"/>
        <v>#REF!</v>
      </c>
    </row>
    <row r="95" spans="1:21">
      <c r="A95" s="39" t="e">
        <f t="shared" ca="1" si="18"/>
        <v>#REF!</v>
      </c>
      <c r="B95" s="39" t="e">
        <f t="shared" ca="1" si="19"/>
        <v>#REF!</v>
      </c>
      <c r="L95" s="39" t="e">
        <f t="shared" ca="1" si="20"/>
        <v>#REF!</v>
      </c>
      <c r="M95" s="39" t="e">
        <f t="shared" ca="1" si="21"/>
        <v>#REF!</v>
      </c>
    </row>
    <row r="96" spans="1:21">
      <c r="A96" s="39" t="e">
        <f t="shared" ca="1" si="18"/>
        <v>#REF!</v>
      </c>
      <c r="B96" s="39" t="e">
        <f t="shared" ca="1" si="19"/>
        <v>#REF!</v>
      </c>
      <c r="L96" s="39" t="e">
        <f t="shared" ca="1" si="20"/>
        <v>#REF!</v>
      </c>
      <c r="M96" s="39" t="e">
        <f t="shared" ca="1" si="21"/>
        <v>#REF!</v>
      </c>
    </row>
    <row r="97" spans="1:13">
      <c r="A97" s="39" t="e">
        <f t="shared" ca="1" si="18"/>
        <v>#REF!</v>
      </c>
      <c r="B97" s="39" t="e">
        <f t="shared" ca="1" si="19"/>
        <v>#REF!</v>
      </c>
      <c r="L97" s="39" t="e">
        <f t="shared" ca="1" si="20"/>
        <v>#REF!</v>
      </c>
      <c r="M97" s="39" t="e">
        <f t="shared" ca="1" si="21"/>
        <v>#REF!</v>
      </c>
    </row>
    <row r="98" spans="1:13">
      <c r="A98" s="39" t="e">
        <f t="shared" ca="1" si="18"/>
        <v>#REF!</v>
      </c>
      <c r="B98" s="39" t="e">
        <f t="shared" ca="1" si="19"/>
        <v>#REF!</v>
      </c>
      <c r="L98" s="39" t="e">
        <f t="shared" ca="1" si="20"/>
        <v>#REF!</v>
      </c>
      <c r="M98" s="39" t="e">
        <f t="shared" ca="1" si="21"/>
        <v>#REF!</v>
      </c>
    </row>
    <row r="99" spans="1:13">
      <c r="A99" s="39" t="e">
        <f t="shared" ca="1" si="18"/>
        <v>#REF!</v>
      </c>
      <c r="B99" s="39" t="e">
        <f t="shared" ca="1" si="19"/>
        <v>#REF!</v>
      </c>
      <c r="L99" s="39" t="e">
        <f t="shared" ca="1" si="20"/>
        <v>#REF!</v>
      </c>
      <c r="M99" s="39" t="e">
        <f t="shared" ca="1" si="21"/>
        <v>#REF!</v>
      </c>
    </row>
    <row r="100" spans="1:13">
      <c r="A100" s="39" t="e">
        <f t="shared" ca="1" si="18"/>
        <v>#REF!</v>
      </c>
      <c r="B100" s="39" t="e">
        <f t="shared" ca="1" si="19"/>
        <v>#REF!</v>
      </c>
      <c r="L100" s="39" t="e">
        <f t="shared" ca="1" si="20"/>
        <v>#REF!</v>
      </c>
      <c r="M100" s="39" t="e">
        <f t="shared" ca="1" si="21"/>
        <v>#REF!</v>
      </c>
    </row>
    <row r="101" spans="1:13">
      <c r="A101" s="39" t="e">
        <f t="shared" ca="1" si="18"/>
        <v>#REF!</v>
      </c>
      <c r="B101" s="39" t="e">
        <f t="shared" ca="1" si="19"/>
        <v>#REF!</v>
      </c>
      <c r="L101" s="39" t="e">
        <f t="shared" ca="1" si="20"/>
        <v>#REF!</v>
      </c>
      <c r="M101" s="39" t="e">
        <f t="shared" ca="1" si="21"/>
        <v>#REF!</v>
      </c>
    </row>
    <row r="102" spans="1:13">
      <c r="A102" s="39" t="e">
        <f t="shared" ref="A102:A165" ca="1" si="27">IF(INDIRECT($B$1&amp;ADDRESS(ROW($C$15),ROW(C79)-12))="","",INDIRECT($B$1&amp;ADDRESS(ROW($C$15),ROW(C79)-12)))</f>
        <v>#REF!</v>
      </c>
      <c r="B102" s="39" t="e">
        <f t="shared" ref="B102:B165" ca="1" si="28">IF(INDIRECT($B$1&amp;ADDRESS(ROW($C$5),ROW(C69)-2))="","",INDIRECT($B$1&amp;ADDRESS(ROW($C$5),ROW(C69)-2)))</f>
        <v>#REF!</v>
      </c>
      <c r="L102" s="39" t="e">
        <f t="shared" ref="L102:L165" ca="1" si="29">IF(INDIRECT($M$1&amp;ADDRESS(ROW($C$15),ROW(N79)-12))="","",INDIRECT($M$1&amp;ADDRESS(ROW($C$15),ROW(N79)-12)))</f>
        <v>#REF!</v>
      </c>
      <c r="M102" s="39" t="e">
        <f t="shared" ref="M102:M165" ca="1" si="30">IF(INDIRECT($M$1&amp;ADDRESS(ROW($C$5),ROW(N69)-2))="","",INDIRECT($M$1&amp;ADDRESS(ROW($C$5),ROW(N69)-2)))</f>
        <v>#REF!</v>
      </c>
    </row>
    <row r="103" spans="1:13">
      <c r="A103" s="39" t="e">
        <f t="shared" ca="1" si="27"/>
        <v>#REF!</v>
      </c>
      <c r="B103" s="39" t="e">
        <f t="shared" ca="1" si="28"/>
        <v>#REF!</v>
      </c>
      <c r="L103" s="39" t="e">
        <f t="shared" ca="1" si="29"/>
        <v>#REF!</v>
      </c>
      <c r="M103" s="39" t="e">
        <f t="shared" ca="1" si="30"/>
        <v>#REF!</v>
      </c>
    </row>
    <row r="104" spans="1:13">
      <c r="A104" s="39" t="e">
        <f t="shared" ca="1" si="27"/>
        <v>#REF!</v>
      </c>
      <c r="B104" s="39" t="e">
        <f t="shared" ca="1" si="28"/>
        <v>#REF!</v>
      </c>
      <c r="L104" s="39" t="e">
        <f t="shared" ca="1" si="29"/>
        <v>#REF!</v>
      </c>
      <c r="M104" s="39" t="e">
        <f t="shared" ca="1" si="30"/>
        <v>#REF!</v>
      </c>
    </row>
    <row r="105" spans="1:13">
      <c r="A105" s="39" t="e">
        <f t="shared" ca="1" si="27"/>
        <v>#REF!</v>
      </c>
      <c r="B105" s="39" t="e">
        <f t="shared" ca="1" si="28"/>
        <v>#REF!</v>
      </c>
      <c r="L105" s="39" t="e">
        <f t="shared" ca="1" si="29"/>
        <v>#REF!</v>
      </c>
      <c r="M105" s="39" t="e">
        <f t="shared" ca="1" si="30"/>
        <v>#REF!</v>
      </c>
    </row>
    <row r="106" spans="1:13">
      <c r="A106" s="39" t="e">
        <f t="shared" ca="1" si="27"/>
        <v>#REF!</v>
      </c>
      <c r="B106" s="39" t="e">
        <f t="shared" ca="1" si="28"/>
        <v>#REF!</v>
      </c>
      <c r="L106" s="39" t="e">
        <f t="shared" ca="1" si="29"/>
        <v>#REF!</v>
      </c>
      <c r="M106" s="39" t="e">
        <f t="shared" ca="1" si="30"/>
        <v>#REF!</v>
      </c>
    </row>
    <row r="107" spans="1:13">
      <c r="A107" s="39" t="e">
        <f t="shared" ca="1" si="27"/>
        <v>#REF!</v>
      </c>
      <c r="B107" s="39" t="e">
        <f t="shared" ca="1" si="28"/>
        <v>#REF!</v>
      </c>
      <c r="L107" s="39" t="e">
        <f t="shared" ca="1" si="29"/>
        <v>#REF!</v>
      </c>
      <c r="M107" s="39" t="e">
        <f t="shared" ca="1" si="30"/>
        <v>#REF!</v>
      </c>
    </row>
    <row r="108" spans="1:13">
      <c r="A108" s="39" t="e">
        <f t="shared" ca="1" si="27"/>
        <v>#REF!</v>
      </c>
      <c r="B108" s="39" t="e">
        <f t="shared" ca="1" si="28"/>
        <v>#REF!</v>
      </c>
      <c r="L108" s="39" t="e">
        <f t="shared" ca="1" si="29"/>
        <v>#REF!</v>
      </c>
      <c r="M108" s="39" t="e">
        <f t="shared" ca="1" si="30"/>
        <v>#REF!</v>
      </c>
    </row>
    <row r="109" spans="1:13">
      <c r="A109" s="39" t="e">
        <f t="shared" ca="1" si="27"/>
        <v>#REF!</v>
      </c>
      <c r="B109" s="39" t="e">
        <f t="shared" ca="1" si="28"/>
        <v>#REF!</v>
      </c>
      <c r="L109" s="39" t="e">
        <f t="shared" ca="1" si="29"/>
        <v>#REF!</v>
      </c>
      <c r="M109" s="39" t="e">
        <f t="shared" ca="1" si="30"/>
        <v>#REF!</v>
      </c>
    </row>
    <row r="110" spans="1:13">
      <c r="A110" s="39" t="e">
        <f t="shared" ca="1" si="27"/>
        <v>#REF!</v>
      </c>
      <c r="B110" s="39" t="e">
        <f t="shared" ca="1" si="28"/>
        <v>#REF!</v>
      </c>
      <c r="L110" s="39" t="e">
        <f t="shared" ca="1" si="29"/>
        <v>#REF!</v>
      </c>
      <c r="M110" s="39" t="e">
        <f t="shared" ca="1" si="30"/>
        <v>#REF!</v>
      </c>
    </row>
    <row r="111" spans="1:13">
      <c r="A111" s="39" t="e">
        <f t="shared" ca="1" si="27"/>
        <v>#REF!</v>
      </c>
      <c r="B111" s="39" t="e">
        <f t="shared" ca="1" si="28"/>
        <v>#REF!</v>
      </c>
      <c r="L111" s="39" t="e">
        <f t="shared" ca="1" si="29"/>
        <v>#REF!</v>
      </c>
      <c r="M111" s="39" t="e">
        <f t="shared" ca="1" si="30"/>
        <v>#REF!</v>
      </c>
    </row>
    <row r="112" spans="1:13">
      <c r="A112" s="39" t="e">
        <f t="shared" ca="1" si="27"/>
        <v>#REF!</v>
      </c>
      <c r="B112" s="39" t="e">
        <f t="shared" ca="1" si="28"/>
        <v>#REF!</v>
      </c>
      <c r="L112" s="39" t="e">
        <f t="shared" ca="1" si="29"/>
        <v>#REF!</v>
      </c>
      <c r="M112" s="39" t="e">
        <f t="shared" ca="1" si="30"/>
        <v>#REF!</v>
      </c>
    </row>
    <row r="113" spans="1:13">
      <c r="A113" s="39" t="e">
        <f t="shared" ca="1" si="27"/>
        <v>#REF!</v>
      </c>
      <c r="B113" s="39" t="e">
        <f t="shared" ca="1" si="28"/>
        <v>#REF!</v>
      </c>
      <c r="L113" s="39" t="e">
        <f t="shared" ca="1" si="29"/>
        <v>#REF!</v>
      </c>
      <c r="M113" s="39" t="e">
        <f t="shared" ca="1" si="30"/>
        <v>#REF!</v>
      </c>
    </row>
    <row r="114" spans="1:13">
      <c r="A114" s="39" t="e">
        <f t="shared" ca="1" si="27"/>
        <v>#REF!</v>
      </c>
      <c r="B114" s="39" t="e">
        <f t="shared" ca="1" si="28"/>
        <v>#REF!</v>
      </c>
      <c r="L114" s="39" t="e">
        <f t="shared" ca="1" si="29"/>
        <v>#REF!</v>
      </c>
      <c r="M114" s="39" t="e">
        <f t="shared" ca="1" si="30"/>
        <v>#REF!</v>
      </c>
    </row>
    <row r="115" spans="1:13">
      <c r="A115" s="39" t="e">
        <f t="shared" ca="1" si="27"/>
        <v>#REF!</v>
      </c>
      <c r="B115" s="39" t="e">
        <f t="shared" ca="1" si="28"/>
        <v>#REF!</v>
      </c>
      <c r="L115" s="39" t="e">
        <f t="shared" ca="1" si="29"/>
        <v>#REF!</v>
      </c>
      <c r="M115" s="39" t="e">
        <f t="shared" ca="1" si="30"/>
        <v>#REF!</v>
      </c>
    </row>
    <row r="116" spans="1:13">
      <c r="A116" s="39" t="e">
        <f t="shared" ca="1" si="27"/>
        <v>#REF!</v>
      </c>
      <c r="B116" s="39" t="e">
        <f t="shared" ca="1" si="28"/>
        <v>#REF!</v>
      </c>
      <c r="L116" s="39" t="e">
        <f t="shared" ca="1" si="29"/>
        <v>#REF!</v>
      </c>
      <c r="M116" s="39" t="e">
        <f t="shared" ca="1" si="30"/>
        <v>#REF!</v>
      </c>
    </row>
    <row r="117" spans="1:13">
      <c r="A117" s="39" t="e">
        <f t="shared" ca="1" si="27"/>
        <v>#REF!</v>
      </c>
      <c r="B117" s="39" t="e">
        <f t="shared" ca="1" si="28"/>
        <v>#REF!</v>
      </c>
      <c r="L117" s="39" t="e">
        <f t="shared" ca="1" si="29"/>
        <v>#REF!</v>
      </c>
      <c r="M117" s="39" t="e">
        <f t="shared" ca="1" si="30"/>
        <v>#REF!</v>
      </c>
    </row>
    <row r="118" spans="1:13">
      <c r="A118" s="39" t="e">
        <f t="shared" ca="1" si="27"/>
        <v>#REF!</v>
      </c>
      <c r="B118" s="39" t="e">
        <f t="shared" ca="1" si="28"/>
        <v>#REF!</v>
      </c>
      <c r="L118" s="39" t="e">
        <f t="shared" ca="1" si="29"/>
        <v>#REF!</v>
      </c>
      <c r="M118" s="39" t="e">
        <f t="shared" ca="1" si="30"/>
        <v>#REF!</v>
      </c>
    </row>
    <row r="119" spans="1:13">
      <c r="A119" s="39" t="e">
        <f t="shared" ca="1" si="27"/>
        <v>#REF!</v>
      </c>
      <c r="B119" s="39" t="e">
        <f t="shared" ca="1" si="28"/>
        <v>#REF!</v>
      </c>
      <c r="L119" s="39" t="e">
        <f t="shared" ca="1" si="29"/>
        <v>#REF!</v>
      </c>
      <c r="M119" s="39" t="e">
        <f t="shared" ca="1" si="30"/>
        <v>#REF!</v>
      </c>
    </row>
    <row r="120" spans="1:13">
      <c r="A120" s="39" t="e">
        <f t="shared" ca="1" si="27"/>
        <v>#REF!</v>
      </c>
      <c r="B120" s="39" t="e">
        <f t="shared" ca="1" si="28"/>
        <v>#REF!</v>
      </c>
      <c r="L120" s="39" t="e">
        <f t="shared" ca="1" si="29"/>
        <v>#REF!</v>
      </c>
      <c r="M120" s="39" t="e">
        <f t="shared" ca="1" si="30"/>
        <v>#REF!</v>
      </c>
    </row>
    <row r="121" spans="1:13">
      <c r="A121" s="39" t="e">
        <f t="shared" ca="1" si="27"/>
        <v>#REF!</v>
      </c>
      <c r="B121" s="39" t="e">
        <f t="shared" ca="1" si="28"/>
        <v>#REF!</v>
      </c>
      <c r="L121" s="39" t="e">
        <f t="shared" ca="1" si="29"/>
        <v>#REF!</v>
      </c>
      <c r="M121" s="39" t="e">
        <f t="shared" ca="1" si="30"/>
        <v>#REF!</v>
      </c>
    </row>
    <row r="122" spans="1:13">
      <c r="A122" s="39" t="e">
        <f t="shared" ca="1" si="27"/>
        <v>#REF!</v>
      </c>
      <c r="B122" s="39" t="e">
        <f t="shared" ca="1" si="28"/>
        <v>#REF!</v>
      </c>
      <c r="L122" s="39" t="e">
        <f t="shared" ca="1" si="29"/>
        <v>#REF!</v>
      </c>
      <c r="M122" s="39" t="e">
        <f t="shared" ca="1" si="30"/>
        <v>#REF!</v>
      </c>
    </row>
    <row r="123" spans="1:13">
      <c r="A123" s="39" t="e">
        <f t="shared" ca="1" si="27"/>
        <v>#REF!</v>
      </c>
      <c r="B123" s="39" t="e">
        <f t="shared" ca="1" si="28"/>
        <v>#REF!</v>
      </c>
      <c r="L123" s="39" t="e">
        <f t="shared" ca="1" si="29"/>
        <v>#REF!</v>
      </c>
      <c r="M123" s="39" t="e">
        <f t="shared" ca="1" si="30"/>
        <v>#REF!</v>
      </c>
    </row>
    <row r="124" spans="1:13">
      <c r="A124" s="39" t="e">
        <f t="shared" ca="1" si="27"/>
        <v>#REF!</v>
      </c>
      <c r="B124" s="39" t="e">
        <f t="shared" ca="1" si="28"/>
        <v>#REF!</v>
      </c>
      <c r="L124" s="39" t="e">
        <f t="shared" ca="1" si="29"/>
        <v>#REF!</v>
      </c>
      <c r="M124" s="39" t="e">
        <f t="shared" ca="1" si="30"/>
        <v>#REF!</v>
      </c>
    </row>
    <row r="125" spans="1:13">
      <c r="A125" s="39" t="e">
        <f t="shared" ca="1" si="27"/>
        <v>#REF!</v>
      </c>
      <c r="B125" s="39" t="e">
        <f t="shared" ca="1" si="28"/>
        <v>#REF!</v>
      </c>
      <c r="L125" s="39" t="e">
        <f t="shared" ca="1" si="29"/>
        <v>#REF!</v>
      </c>
      <c r="M125" s="39" t="e">
        <f t="shared" ca="1" si="30"/>
        <v>#REF!</v>
      </c>
    </row>
    <row r="126" spans="1:13">
      <c r="A126" s="39" t="e">
        <f t="shared" ca="1" si="27"/>
        <v>#REF!</v>
      </c>
      <c r="B126" s="39" t="e">
        <f t="shared" ca="1" si="28"/>
        <v>#REF!</v>
      </c>
      <c r="L126" s="39" t="e">
        <f t="shared" ca="1" si="29"/>
        <v>#REF!</v>
      </c>
      <c r="M126" s="39" t="e">
        <f t="shared" ca="1" si="30"/>
        <v>#REF!</v>
      </c>
    </row>
    <row r="127" spans="1:13">
      <c r="A127" s="39" t="e">
        <f t="shared" ca="1" si="27"/>
        <v>#REF!</v>
      </c>
      <c r="B127" s="39" t="e">
        <f t="shared" ca="1" si="28"/>
        <v>#REF!</v>
      </c>
      <c r="L127" s="39" t="e">
        <f t="shared" ca="1" si="29"/>
        <v>#REF!</v>
      </c>
      <c r="M127" s="39" t="e">
        <f t="shared" ca="1" si="30"/>
        <v>#REF!</v>
      </c>
    </row>
    <row r="128" spans="1:13">
      <c r="A128" s="39" t="e">
        <f t="shared" ca="1" si="27"/>
        <v>#REF!</v>
      </c>
      <c r="B128" s="39" t="e">
        <f t="shared" ca="1" si="28"/>
        <v>#REF!</v>
      </c>
      <c r="L128" s="39" t="e">
        <f t="shared" ca="1" si="29"/>
        <v>#REF!</v>
      </c>
      <c r="M128" s="39" t="e">
        <f t="shared" ca="1" si="30"/>
        <v>#REF!</v>
      </c>
    </row>
    <row r="129" spans="1:13">
      <c r="A129" s="39" t="e">
        <f t="shared" ca="1" si="27"/>
        <v>#REF!</v>
      </c>
      <c r="B129" s="39" t="e">
        <f t="shared" ca="1" si="28"/>
        <v>#REF!</v>
      </c>
      <c r="L129" s="39" t="e">
        <f t="shared" ca="1" si="29"/>
        <v>#REF!</v>
      </c>
      <c r="M129" s="39" t="e">
        <f t="shared" ca="1" si="30"/>
        <v>#REF!</v>
      </c>
    </row>
    <row r="130" spans="1:13">
      <c r="A130" s="39" t="e">
        <f t="shared" ca="1" si="27"/>
        <v>#REF!</v>
      </c>
      <c r="B130" s="39" t="e">
        <f t="shared" ca="1" si="28"/>
        <v>#REF!</v>
      </c>
      <c r="L130" s="39" t="e">
        <f t="shared" ca="1" si="29"/>
        <v>#REF!</v>
      </c>
      <c r="M130" s="39" t="e">
        <f t="shared" ca="1" si="30"/>
        <v>#REF!</v>
      </c>
    </row>
    <row r="131" spans="1:13">
      <c r="A131" s="39" t="e">
        <f t="shared" ca="1" si="27"/>
        <v>#REF!</v>
      </c>
      <c r="B131" s="39" t="e">
        <f t="shared" ca="1" si="28"/>
        <v>#REF!</v>
      </c>
      <c r="L131" s="39" t="e">
        <f t="shared" ca="1" si="29"/>
        <v>#REF!</v>
      </c>
      <c r="M131" s="39" t="e">
        <f t="shared" ca="1" si="30"/>
        <v>#REF!</v>
      </c>
    </row>
    <row r="132" spans="1:13">
      <c r="A132" s="39" t="e">
        <f t="shared" ca="1" si="27"/>
        <v>#REF!</v>
      </c>
      <c r="B132" s="39" t="e">
        <f t="shared" ca="1" si="28"/>
        <v>#REF!</v>
      </c>
      <c r="L132" s="39" t="e">
        <f t="shared" ca="1" si="29"/>
        <v>#REF!</v>
      </c>
      <c r="M132" s="39" t="e">
        <f t="shared" ca="1" si="30"/>
        <v>#REF!</v>
      </c>
    </row>
    <row r="133" spans="1:13">
      <c r="A133" s="39" t="e">
        <f t="shared" ca="1" si="27"/>
        <v>#REF!</v>
      </c>
      <c r="B133" s="39" t="e">
        <f t="shared" ca="1" si="28"/>
        <v>#REF!</v>
      </c>
      <c r="L133" s="39" t="e">
        <f t="shared" ca="1" si="29"/>
        <v>#REF!</v>
      </c>
      <c r="M133" s="39" t="e">
        <f t="shared" ca="1" si="30"/>
        <v>#REF!</v>
      </c>
    </row>
    <row r="134" spans="1:13">
      <c r="A134" s="39" t="e">
        <f t="shared" ca="1" si="27"/>
        <v>#REF!</v>
      </c>
      <c r="B134" s="39" t="e">
        <f t="shared" ca="1" si="28"/>
        <v>#REF!</v>
      </c>
      <c r="L134" s="39" t="e">
        <f t="shared" ca="1" si="29"/>
        <v>#REF!</v>
      </c>
      <c r="M134" s="39" t="e">
        <f t="shared" ca="1" si="30"/>
        <v>#REF!</v>
      </c>
    </row>
    <row r="135" spans="1:13">
      <c r="A135" s="39" t="e">
        <f t="shared" ca="1" si="27"/>
        <v>#REF!</v>
      </c>
      <c r="B135" s="39" t="e">
        <f t="shared" ca="1" si="28"/>
        <v>#REF!</v>
      </c>
      <c r="L135" s="39" t="e">
        <f t="shared" ca="1" si="29"/>
        <v>#REF!</v>
      </c>
      <c r="M135" s="39" t="e">
        <f t="shared" ca="1" si="30"/>
        <v>#REF!</v>
      </c>
    </row>
    <row r="136" spans="1:13">
      <c r="A136" s="39" t="e">
        <f t="shared" ca="1" si="27"/>
        <v>#REF!</v>
      </c>
      <c r="B136" s="39" t="e">
        <f t="shared" ca="1" si="28"/>
        <v>#REF!</v>
      </c>
      <c r="L136" s="39" t="e">
        <f t="shared" ca="1" si="29"/>
        <v>#REF!</v>
      </c>
      <c r="M136" s="39" t="e">
        <f t="shared" ca="1" si="30"/>
        <v>#REF!</v>
      </c>
    </row>
    <row r="137" spans="1:13">
      <c r="A137" s="39" t="e">
        <f t="shared" ca="1" si="27"/>
        <v>#REF!</v>
      </c>
      <c r="B137" s="39" t="e">
        <f t="shared" ca="1" si="28"/>
        <v>#REF!</v>
      </c>
      <c r="L137" s="39" t="e">
        <f t="shared" ca="1" si="29"/>
        <v>#REF!</v>
      </c>
      <c r="M137" s="39" t="e">
        <f t="shared" ca="1" si="30"/>
        <v>#REF!</v>
      </c>
    </row>
    <row r="138" spans="1:13">
      <c r="A138" s="39" t="e">
        <f t="shared" ca="1" si="27"/>
        <v>#REF!</v>
      </c>
      <c r="B138" s="39" t="e">
        <f t="shared" ca="1" si="28"/>
        <v>#REF!</v>
      </c>
      <c r="L138" s="39" t="e">
        <f t="shared" ca="1" si="29"/>
        <v>#REF!</v>
      </c>
      <c r="M138" s="39" t="e">
        <f t="shared" ca="1" si="30"/>
        <v>#REF!</v>
      </c>
    </row>
    <row r="139" spans="1:13">
      <c r="A139" s="39" t="e">
        <f t="shared" ca="1" si="27"/>
        <v>#REF!</v>
      </c>
      <c r="B139" s="39" t="e">
        <f t="shared" ca="1" si="28"/>
        <v>#REF!</v>
      </c>
      <c r="L139" s="39" t="e">
        <f t="shared" ca="1" si="29"/>
        <v>#REF!</v>
      </c>
      <c r="M139" s="39" t="e">
        <f t="shared" ca="1" si="30"/>
        <v>#REF!</v>
      </c>
    </row>
    <row r="140" spans="1:13">
      <c r="A140" s="39" t="e">
        <f t="shared" ca="1" si="27"/>
        <v>#REF!</v>
      </c>
      <c r="B140" s="39" t="e">
        <f t="shared" ca="1" si="28"/>
        <v>#REF!</v>
      </c>
      <c r="L140" s="39" t="e">
        <f t="shared" ca="1" si="29"/>
        <v>#REF!</v>
      </c>
      <c r="M140" s="39" t="e">
        <f t="shared" ca="1" si="30"/>
        <v>#REF!</v>
      </c>
    </row>
    <row r="141" spans="1:13">
      <c r="A141" s="39" t="e">
        <f t="shared" ca="1" si="27"/>
        <v>#REF!</v>
      </c>
      <c r="B141" s="39" t="e">
        <f t="shared" ca="1" si="28"/>
        <v>#REF!</v>
      </c>
      <c r="L141" s="39" t="e">
        <f t="shared" ca="1" si="29"/>
        <v>#REF!</v>
      </c>
      <c r="M141" s="39" t="e">
        <f t="shared" ca="1" si="30"/>
        <v>#REF!</v>
      </c>
    </row>
    <row r="142" spans="1:13">
      <c r="A142" s="39" t="e">
        <f t="shared" ca="1" si="27"/>
        <v>#REF!</v>
      </c>
      <c r="B142" s="39" t="e">
        <f t="shared" ca="1" si="28"/>
        <v>#REF!</v>
      </c>
      <c r="L142" s="39" t="e">
        <f t="shared" ca="1" si="29"/>
        <v>#REF!</v>
      </c>
      <c r="M142" s="39" t="e">
        <f t="shared" ca="1" si="30"/>
        <v>#REF!</v>
      </c>
    </row>
    <row r="143" spans="1:13">
      <c r="A143" s="39" t="e">
        <f t="shared" ca="1" si="27"/>
        <v>#REF!</v>
      </c>
      <c r="B143" s="39" t="e">
        <f t="shared" ca="1" si="28"/>
        <v>#REF!</v>
      </c>
      <c r="L143" s="39" t="e">
        <f t="shared" ca="1" si="29"/>
        <v>#REF!</v>
      </c>
      <c r="M143" s="39" t="e">
        <f t="shared" ca="1" si="30"/>
        <v>#REF!</v>
      </c>
    </row>
    <row r="144" spans="1:13">
      <c r="A144" s="39" t="e">
        <f t="shared" ca="1" si="27"/>
        <v>#REF!</v>
      </c>
      <c r="B144" s="39" t="e">
        <f t="shared" ca="1" si="28"/>
        <v>#REF!</v>
      </c>
      <c r="L144" s="39" t="e">
        <f t="shared" ca="1" si="29"/>
        <v>#REF!</v>
      </c>
      <c r="M144" s="39" t="e">
        <f t="shared" ca="1" si="30"/>
        <v>#REF!</v>
      </c>
    </row>
    <row r="145" spans="1:13">
      <c r="A145" s="39" t="e">
        <f t="shared" ca="1" si="27"/>
        <v>#REF!</v>
      </c>
      <c r="B145" s="39" t="e">
        <f t="shared" ca="1" si="28"/>
        <v>#REF!</v>
      </c>
      <c r="L145" s="39" t="e">
        <f t="shared" ca="1" si="29"/>
        <v>#REF!</v>
      </c>
      <c r="M145" s="39" t="e">
        <f t="shared" ca="1" si="30"/>
        <v>#REF!</v>
      </c>
    </row>
    <row r="146" spans="1:13">
      <c r="A146" s="39" t="e">
        <f t="shared" ca="1" si="27"/>
        <v>#REF!</v>
      </c>
      <c r="B146" s="39" t="e">
        <f t="shared" ca="1" si="28"/>
        <v>#REF!</v>
      </c>
      <c r="L146" s="39" t="e">
        <f t="shared" ca="1" si="29"/>
        <v>#REF!</v>
      </c>
      <c r="M146" s="39" t="e">
        <f t="shared" ca="1" si="30"/>
        <v>#REF!</v>
      </c>
    </row>
    <row r="147" spans="1:13">
      <c r="A147" s="39" t="e">
        <f t="shared" ca="1" si="27"/>
        <v>#REF!</v>
      </c>
      <c r="B147" s="39" t="e">
        <f t="shared" ca="1" si="28"/>
        <v>#REF!</v>
      </c>
      <c r="L147" s="39" t="e">
        <f t="shared" ca="1" si="29"/>
        <v>#REF!</v>
      </c>
      <c r="M147" s="39" t="e">
        <f t="shared" ca="1" si="30"/>
        <v>#REF!</v>
      </c>
    </row>
    <row r="148" spans="1:13">
      <c r="A148" s="39" t="e">
        <f t="shared" ca="1" si="27"/>
        <v>#REF!</v>
      </c>
      <c r="B148" s="39" t="e">
        <f t="shared" ca="1" si="28"/>
        <v>#REF!</v>
      </c>
      <c r="L148" s="39" t="e">
        <f t="shared" ca="1" si="29"/>
        <v>#REF!</v>
      </c>
      <c r="M148" s="39" t="e">
        <f t="shared" ca="1" si="30"/>
        <v>#REF!</v>
      </c>
    </row>
    <row r="149" spans="1:13">
      <c r="A149" s="39" t="e">
        <f t="shared" ca="1" si="27"/>
        <v>#REF!</v>
      </c>
      <c r="B149" s="39" t="e">
        <f t="shared" ca="1" si="28"/>
        <v>#REF!</v>
      </c>
      <c r="L149" s="39" t="e">
        <f t="shared" ca="1" si="29"/>
        <v>#REF!</v>
      </c>
      <c r="M149" s="39" t="e">
        <f t="shared" ca="1" si="30"/>
        <v>#REF!</v>
      </c>
    </row>
    <row r="150" spans="1:13">
      <c r="A150" s="39" t="e">
        <f t="shared" ca="1" si="27"/>
        <v>#REF!</v>
      </c>
      <c r="B150" s="39" t="e">
        <f t="shared" ca="1" si="28"/>
        <v>#REF!</v>
      </c>
      <c r="L150" s="39" t="e">
        <f t="shared" ca="1" si="29"/>
        <v>#REF!</v>
      </c>
      <c r="M150" s="39" t="e">
        <f t="shared" ca="1" si="30"/>
        <v>#REF!</v>
      </c>
    </row>
    <row r="151" spans="1:13">
      <c r="A151" s="39" t="e">
        <f t="shared" ca="1" si="27"/>
        <v>#REF!</v>
      </c>
      <c r="B151" s="39" t="e">
        <f t="shared" ca="1" si="28"/>
        <v>#REF!</v>
      </c>
      <c r="L151" s="39" t="e">
        <f t="shared" ca="1" si="29"/>
        <v>#REF!</v>
      </c>
      <c r="M151" s="39" t="e">
        <f t="shared" ca="1" si="30"/>
        <v>#REF!</v>
      </c>
    </row>
    <row r="152" spans="1:13">
      <c r="A152" s="39" t="e">
        <f t="shared" ca="1" si="27"/>
        <v>#REF!</v>
      </c>
      <c r="B152" s="39" t="e">
        <f t="shared" ca="1" si="28"/>
        <v>#REF!</v>
      </c>
      <c r="L152" s="39" t="e">
        <f t="shared" ca="1" si="29"/>
        <v>#REF!</v>
      </c>
      <c r="M152" s="39" t="e">
        <f t="shared" ca="1" si="30"/>
        <v>#REF!</v>
      </c>
    </row>
    <row r="153" spans="1:13">
      <c r="A153" s="39" t="e">
        <f t="shared" ca="1" si="27"/>
        <v>#REF!</v>
      </c>
      <c r="B153" s="39" t="e">
        <f t="shared" ca="1" si="28"/>
        <v>#REF!</v>
      </c>
      <c r="L153" s="39" t="e">
        <f t="shared" ca="1" si="29"/>
        <v>#REF!</v>
      </c>
      <c r="M153" s="39" t="e">
        <f t="shared" ca="1" si="30"/>
        <v>#REF!</v>
      </c>
    </row>
    <row r="154" spans="1:13">
      <c r="A154" s="39" t="e">
        <f t="shared" ca="1" si="27"/>
        <v>#REF!</v>
      </c>
      <c r="B154" s="39" t="e">
        <f t="shared" ca="1" si="28"/>
        <v>#REF!</v>
      </c>
      <c r="L154" s="39" t="e">
        <f t="shared" ca="1" si="29"/>
        <v>#REF!</v>
      </c>
      <c r="M154" s="39" t="e">
        <f t="shared" ca="1" si="30"/>
        <v>#REF!</v>
      </c>
    </row>
    <row r="155" spans="1:13">
      <c r="A155" s="39" t="e">
        <f t="shared" ca="1" si="27"/>
        <v>#REF!</v>
      </c>
      <c r="B155" s="39" t="e">
        <f t="shared" ca="1" si="28"/>
        <v>#REF!</v>
      </c>
      <c r="L155" s="39" t="e">
        <f t="shared" ca="1" si="29"/>
        <v>#REF!</v>
      </c>
      <c r="M155" s="39" t="e">
        <f t="shared" ca="1" si="30"/>
        <v>#REF!</v>
      </c>
    </row>
    <row r="156" spans="1:13">
      <c r="A156" s="39" t="e">
        <f t="shared" ca="1" si="27"/>
        <v>#REF!</v>
      </c>
      <c r="B156" s="39" t="e">
        <f t="shared" ca="1" si="28"/>
        <v>#REF!</v>
      </c>
      <c r="L156" s="39" t="e">
        <f t="shared" ca="1" si="29"/>
        <v>#REF!</v>
      </c>
      <c r="M156" s="39" t="e">
        <f t="shared" ca="1" si="30"/>
        <v>#REF!</v>
      </c>
    </row>
    <row r="157" spans="1:13">
      <c r="A157" s="39" t="e">
        <f t="shared" ca="1" si="27"/>
        <v>#REF!</v>
      </c>
      <c r="B157" s="39" t="e">
        <f t="shared" ca="1" si="28"/>
        <v>#REF!</v>
      </c>
      <c r="L157" s="39" t="e">
        <f t="shared" ca="1" si="29"/>
        <v>#REF!</v>
      </c>
      <c r="M157" s="39" t="e">
        <f t="shared" ca="1" si="30"/>
        <v>#REF!</v>
      </c>
    </row>
    <row r="158" spans="1:13">
      <c r="A158" s="39" t="e">
        <f t="shared" ca="1" si="27"/>
        <v>#REF!</v>
      </c>
      <c r="B158" s="39" t="e">
        <f t="shared" ca="1" si="28"/>
        <v>#REF!</v>
      </c>
      <c r="L158" s="39" t="e">
        <f t="shared" ca="1" si="29"/>
        <v>#REF!</v>
      </c>
      <c r="M158" s="39" t="e">
        <f t="shared" ca="1" si="30"/>
        <v>#REF!</v>
      </c>
    </row>
    <row r="159" spans="1:13">
      <c r="A159" s="39" t="e">
        <f t="shared" ca="1" si="27"/>
        <v>#REF!</v>
      </c>
      <c r="B159" s="39" t="e">
        <f t="shared" ca="1" si="28"/>
        <v>#REF!</v>
      </c>
      <c r="L159" s="39" t="e">
        <f t="shared" ca="1" si="29"/>
        <v>#REF!</v>
      </c>
      <c r="M159" s="39" t="e">
        <f t="shared" ca="1" si="30"/>
        <v>#REF!</v>
      </c>
    </row>
    <row r="160" spans="1:13">
      <c r="A160" s="39" t="e">
        <f t="shared" ca="1" si="27"/>
        <v>#REF!</v>
      </c>
      <c r="B160" s="39" t="e">
        <f t="shared" ca="1" si="28"/>
        <v>#REF!</v>
      </c>
      <c r="L160" s="39" t="e">
        <f t="shared" ca="1" si="29"/>
        <v>#REF!</v>
      </c>
      <c r="M160" s="39" t="e">
        <f t="shared" ca="1" si="30"/>
        <v>#REF!</v>
      </c>
    </row>
    <row r="161" spans="1:13">
      <c r="A161" s="39" t="e">
        <f t="shared" ca="1" si="27"/>
        <v>#REF!</v>
      </c>
      <c r="B161" s="39" t="e">
        <f t="shared" ca="1" si="28"/>
        <v>#REF!</v>
      </c>
      <c r="L161" s="39" t="e">
        <f t="shared" ca="1" si="29"/>
        <v>#REF!</v>
      </c>
      <c r="M161" s="39" t="e">
        <f t="shared" ca="1" si="30"/>
        <v>#REF!</v>
      </c>
    </row>
    <row r="162" spans="1:13">
      <c r="A162" s="39" t="e">
        <f t="shared" ca="1" si="27"/>
        <v>#REF!</v>
      </c>
      <c r="B162" s="39" t="e">
        <f t="shared" ca="1" si="28"/>
        <v>#REF!</v>
      </c>
      <c r="L162" s="39" t="e">
        <f t="shared" ca="1" si="29"/>
        <v>#REF!</v>
      </c>
      <c r="M162" s="39" t="e">
        <f t="shared" ca="1" si="30"/>
        <v>#REF!</v>
      </c>
    </row>
    <row r="163" spans="1:13">
      <c r="A163" s="39" t="e">
        <f t="shared" ca="1" si="27"/>
        <v>#REF!</v>
      </c>
      <c r="B163" s="39" t="e">
        <f t="shared" ca="1" si="28"/>
        <v>#REF!</v>
      </c>
      <c r="L163" s="39" t="e">
        <f t="shared" ca="1" si="29"/>
        <v>#REF!</v>
      </c>
      <c r="M163" s="39" t="e">
        <f t="shared" ca="1" si="30"/>
        <v>#REF!</v>
      </c>
    </row>
    <row r="164" spans="1:13">
      <c r="A164" s="39" t="e">
        <f t="shared" ca="1" si="27"/>
        <v>#REF!</v>
      </c>
      <c r="B164" s="39" t="e">
        <f t="shared" ca="1" si="28"/>
        <v>#REF!</v>
      </c>
      <c r="L164" s="39" t="e">
        <f t="shared" ca="1" si="29"/>
        <v>#REF!</v>
      </c>
      <c r="M164" s="39" t="e">
        <f t="shared" ca="1" si="30"/>
        <v>#REF!</v>
      </c>
    </row>
    <row r="165" spans="1:13">
      <c r="A165" s="39" t="e">
        <f t="shared" ca="1" si="27"/>
        <v>#REF!</v>
      </c>
      <c r="B165" s="39" t="e">
        <f t="shared" ca="1" si="28"/>
        <v>#REF!</v>
      </c>
      <c r="L165" s="39" t="e">
        <f t="shared" ca="1" si="29"/>
        <v>#REF!</v>
      </c>
      <c r="M165" s="39" t="e">
        <f t="shared" ca="1" si="30"/>
        <v>#REF!</v>
      </c>
    </row>
    <row r="166" spans="1:13">
      <c r="A166" s="39" t="e">
        <f t="shared" ref="A166:A229" ca="1" si="31">IF(INDIRECT($B$1&amp;ADDRESS(ROW($C$15),ROW(C143)-12))="","",INDIRECT($B$1&amp;ADDRESS(ROW($C$15),ROW(C143)-12)))</f>
        <v>#REF!</v>
      </c>
      <c r="B166" s="39" t="e">
        <f t="shared" ref="B166:B229" ca="1" si="32">IF(INDIRECT($B$1&amp;ADDRESS(ROW($C$5),ROW(C133)-2))="","",INDIRECT($B$1&amp;ADDRESS(ROW($C$5),ROW(C133)-2)))</f>
        <v>#REF!</v>
      </c>
      <c r="L166" s="39" t="e">
        <f t="shared" ref="L166:L229" ca="1" si="33">IF(INDIRECT($M$1&amp;ADDRESS(ROW($C$15),ROW(N143)-12))="","",INDIRECT($M$1&amp;ADDRESS(ROW($C$15),ROW(N143)-12)))</f>
        <v>#REF!</v>
      </c>
      <c r="M166" s="39" t="e">
        <f t="shared" ref="M166:M229" ca="1" si="34">IF(INDIRECT($M$1&amp;ADDRESS(ROW($C$5),ROW(N133)-2))="","",INDIRECT($M$1&amp;ADDRESS(ROW($C$5),ROW(N133)-2)))</f>
        <v>#REF!</v>
      </c>
    </row>
    <row r="167" spans="1:13">
      <c r="A167" s="39" t="e">
        <f t="shared" ca="1" si="31"/>
        <v>#REF!</v>
      </c>
      <c r="B167" s="39" t="e">
        <f t="shared" ca="1" si="32"/>
        <v>#REF!</v>
      </c>
      <c r="L167" s="39" t="e">
        <f t="shared" ca="1" si="33"/>
        <v>#REF!</v>
      </c>
      <c r="M167" s="39" t="e">
        <f t="shared" ca="1" si="34"/>
        <v>#REF!</v>
      </c>
    </row>
    <row r="168" spans="1:13">
      <c r="A168" s="39" t="e">
        <f t="shared" ca="1" si="31"/>
        <v>#REF!</v>
      </c>
      <c r="B168" s="39" t="e">
        <f t="shared" ca="1" si="32"/>
        <v>#REF!</v>
      </c>
      <c r="L168" s="39" t="e">
        <f t="shared" ca="1" si="33"/>
        <v>#REF!</v>
      </c>
      <c r="M168" s="39" t="e">
        <f t="shared" ca="1" si="34"/>
        <v>#REF!</v>
      </c>
    </row>
    <row r="169" spans="1:13">
      <c r="A169" s="39" t="e">
        <f t="shared" ca="1" si="31"/>
        <v>#REF!</v>
      </c>
      <c r="B169" s="39" t="e">
        <f t="shared" ca="1" si="32"/>
        <v>#REF!</v>
      </c>
      <c r="L169" s="39" t="e">
        <f t="shared" ca="1" si="33"/>
        <v>#REF!</v>
      </c>
      <c r="M169" s="39" t="e">
        <f t="shared" ca="1" si="34"/>
        <v>#REF!</v>
      </c>
    </row>
    <row r="170" spans="1:13">
      <c r="A170" s="39" t="e">
        <f t="shared" ca="1" si="31"/>
        <v>#REF!</v>
      </c>
      <c r="B170" s="39" t="e">
        <f t="shared" ca="1" si="32"/>
        <v>#REF!</v>
      </c>
      <c r="L170" s="39" t="e">
        <f t="shared" ca="1" si="33"/>
        <v>#REF!</v>
      </c>
      <c r="M170" s="39" t="e">
        <f t="shared" ca="1" si="34"/>
        <v>#REF!</v>
      </c>
    </row>
    <row r="171" spans="1:13">
      <c r="A171" s="39" t="e">
        <f t="shared" ca="1" si="31"/>
        <v>#REF!</v>
      </c>
      <c r="B171" s="39" t="e">
        <f t="shared" ca="1" si="32"/>
        <v>#REF!</v>
      </c>
      <c r="L171" s="39" t="e">
        <f t="shared" ca="1" si="33"/>
        <v>#REF!</v>
      </c>
      <c r="M171" s="39" t="e">
        <f t="shared" ca="1" si="34"/>
        <v>#REF!</v>
      </c>
    </row>
    <row r="172" spans="1:13">
      <c r="A172" s="39" t="e">
        <f t="shared" ca="1" si="31"/>
        <v>#REF!</v>
      </c>
      <c r="B172" s="39" t="e">
        <f t="shared" ca="1" si="32"/>
        <v>#REF!</v>
      </c>
      <c r="L172" s="39" t="e">
        <f t="shared" ca="1" si="33"/>
        <v>#REF!</v>
      </c>
      <c r="M172" s="39" t="e">
        <f t="shared" ca="1" si="34"/>
        <v>#REF!</v>
      </c>
    </row>
    <row r="173" spans="1:13">
      <c r="A173" s="39" t="e">
        <f t="shared" ca="1" si="31"/>
        <v>#REF!</v>
      </c>
      <c r="B173" s="39" t="e">
        <f t="shared" ca="1" si="32"/>
        <v>#REF!</v>
      </c>
      <c r="L173" s="39" t="e">
        <f t="shared" ca="1" si="33"/>
        <v>#REF!</v>
      </c>
      <c r="M173" s="39" t="e">
        <f t="shared" ca="1" si="34"/>
        <v>#REF!</v>
      </c>
    </row>
    <row r="174" spans="1:13">
      <c r="A174" s="39" t="e">
        <f t="shared" ca="1" si="31"/>
        <v>#REF!</v>
      </c>
      <c r="B174" s="39" t="e">
        <f t="shared" ca="1" si="32"/>
        <v>#REF!</v>
      </c>
      <c r="L174" s="39" t="e">
        <f t="shared" ca="1" si="33"/>
        <v>#REF!</v>
      </c>
      <c r="M174" s="39" t="e">
        <f t="shared" ca="1" si="34"/>
        <v>#REF!</v>
      </c>
    </row>
    <row r="175" spans="1:13">
      <c r="A175" s="39" t="e">
        <f t="shared" ca="1" si="31"/>
        <v>#REF!</v>
      </c>
      <c r="B175" s="39" t="e">
        <f t="shared" ca="1" si="32"/>
        <v>#REF!</v>
      </c>
      <c r="L175" s="39" t="e">
        <f t="shared" ca="1" si="33"/>
        <v>#REF!</v>
      </c>
      <c r="M175" s="39" t="e">
        <f t="shared" ca="1" si="34"/>
        <v>#REF!</v>
      </c>
    </row>
    <row r="176" spans="1:13">
      <c r="A176" s="39" t="e">
        <f t="shared" ca="1" si="31"/>
        <v>#REF!</v>
      </c>
      <c r="B176" s="39" t="e">
        <f t="shared" ca="1" si="32"/>
        <v>#REF!</v>
      </c>
      <c r="L176" s="39" t="e">
        <f t="shared" ca="1" si="33"/>
        <v>#REF!</v>
      </c>
      <c r="M176" s="39" t="e">
        <f t="shared" ca="1" si="34"/>
        <v>#REF!</v>
      </c>
    </row>
    <row r="177" spans="1:13">
      <c r="A177" s="39" t="e">
        <f t="shared" ca="1" si="31"/>
        <v>#REF!</v>
      </c>
      <c r="B177" s="39" t="e">
        <f t="shared" ca="1" si="32"/>
        <v>#REF!</v>
      </c>
      <c r="L177" s="39" t="e">
        <f t="shared" ca="1" si="33"/>
        <v>#REF!</v>
      </c>
      <c r="M177" s="39" t="e">
        <f t="shared" ca="1" si="34"/>
        <v>#REF!</v>
      </c>
    </row>
    <row r="178" spans="1:13">
      <c r="A178" s="39" t="e">
        <f t="shared" ca="1" si="31"/>
        <v>#REF!</v>
      </c>
      <c r="B178" s="39" t="e">
        <f t="shared" ca="1" si="32"/>
        <v>#REF!</v>
      </c>
      <c r="L178" s="39" t="e">
        <f t="shared" ca="1" si="33"/>
        <v>#REF!</v>
      </c>
      <c r="M178" s="39" t="e">
        <f t="shared" ca="1" si="34"/>
        <v>#REF!</v>
      </c>
    </row>
    <row r="179" spans="1:13">
      <c r="A179" s="39" t="e">
        <f t="shared" ca="1" si="31"/>
        <v>#REF!</v>
      </c>
      <c r="B179" s="39" t="e">
        <f t="shared" ca="1" si="32"/>
        <v>#REF!</v>
      </c>
      <c r="L179" s="39" t="e">
        <f t="shared" ca="1" si="33"/>
        <v>#REF!</v>
      </c>
      <c r="M179" s="39" t="e">
        <f t="shared" ca="1" si="34"/>
        <v>#REF!</v>
      </c>
    </row>
    <row r="180" spans="1:13">
      <c r="A180" s="39" t="e">
        <f t="shared" ca="1" si="31"/>
        <v>#REF!</v>
      </c>
      <c r="B180" s="39" t="e">
        <f t="shared" ca="1" si="32"/>
        <v>#REF!</v>
      </c>
      <c r="L180" s="39" t="e">
        <f t="shared" ca="1" si="33"/>
        <v>#REF!</v>
      </c>
      <c r="M180" s="39" t="e">
        <f t="shared" ca="1" si="34"/>
        <v>#REF!</v>
      </c>
    </row>
    <row r="181" spans="1:13">
      <c r="A181" s="39" t="e">
        <f t="shared" ca="1" si="31"/>
        <v>#REF!</v>
      </c>
      <c r="B181" s="39" t="e">
        <f t="shared" ca="1" si="32"/>
        <v>#REF!</v>
      </c>
      <c r="L181" s="39" t="e">
        <f t="shared" ca="1" si="33"/>
        <v>#REF!</v>
      </c>
      <c r="M181" s="39" t="e">
        <f t="shared" ca="1" si="34"/>
        <v>#REF!</v>
      </c>
    </row>
    <row r="182" spans="1:13">
      <c r="A182" s="39" t="e">
        <f t="shared" ca="1" si="31"/>
        <v>#REF!</v>
      </c>
      <c r="B182" s="39" t="e">
        <f t="shared" ca="1" si="32"/>
        <v>#REF!</v>
      </c>
      <c r="L182" s="39" t="e">
        <f t="shared" ca="1" si="33"/>
        <v>#REF!</v>
      </c>
      <c r="M182" s="39" t="e">
        <f t="shared" ca="1" si="34"/>
        <v>#REF!</v>
      </c>
    </row>
    <row r="183" spans="1:13">
      <c r="A183" s="39" t="e">
        <f t="shared" ca="1" si="31"/>
        <v>#REF!</v>
      </c>
      <c r="B183" s="39" t="e">
        <f t="shared" ca="1" si="32"/>
        <v>#REF!</v>
      </c>
      <c r="L183" s="39" t="e">
        <f t="shared" ca="1" si="33"/>
        <v>#REF!</v>
      </c>
      <c r="M183" s="39" t="e">
        <f t="shared" ca="1" si="34"/>
        <v>#REF!</v>
      </c>
    </row>
    <row r="184" spans="1:13">
      <c r="A184" s="39" t="e">
        <f t="shared" ca="1" si="31"/>
        <v>#REF!</v>
      </c>
      <c r="B184" s="39" t="e">
        <f t="shared" ca="1" si="32"/>
        <v>#REF!</v>
      </c>
      <c r="L184" s="39" t="e">
        <f t="shared" ca="1" si="33"/>
        <v>#REF!</v>
      </c>
      <c r="M184" s="39" t="e">
        <f t="shared" ca="1" si="34"/>
        <v>#REF!</v>
      </c>
    </row>
    <row r="185" spans="1:13">
      <c r="A185" s="39" t="e">
        <f t="shared" ca="1" si="31"/>
        <v>#REF!</v>
      </c>
      <c r="B185" s="39" t="e">
        <f t="shared" ca="1" si="32"/>
        <v>#REF!</v>
      </c>
      <c r="L185" s="39" t="e">
        <f t="shared" ca="1" si="33"/>
        <v>#REF!</v>
      </c>
      <c r="M185" s="39" t="e">
        <f t="shared" ca="1" si="34"/>
        <v>#REF!</v>
      </c>
    </row>
    <row r="186" spans="1:13">
      <c r="A186" s="39" t="e">
        <f t="shared" ca="1" si="31"/>
        <v>#REF!</v>
      </c>
      <c r="B186" s="39" t="e">
        <f t="shared" ca="1" si="32"/>
        <v>#REF!</v>
      </c>
      <c r="L186" s="39" t="e">
        <f t="shared" ca="1" si="33"/>
        <v>#REF!</v>
      </c>
      <c r="M186" s="39" t="e">
        <f t="shared" ca="1" si="34"/>
        <v>#REF!</v>
      </c>
    </row>
    <row r="187" spans="1:13">
      <c r="A187" s="39" t="e">
        <f t="shared" ca="1" si="31"/>
        <v>#REF!</v>
      </c>
      <c r="B187" s="39" t="e">
        <f t="shared" ca="1" si="32"/>
        <v>#REF!</v>
      </c>
      <c r="L187" s="39" t="e">
        <f t="shared" ca="1" si="33"/>
        <v>#REF!</v>
      </c>
      <c r="M187" s="39" t="e">
        <f t="shared" ca="1" si="34"/>
        <v>#REF!</v>
      </c>
    </row>
    <row r="188" spans="1:13">
      <c r="A188" s="39" t="e">
        <f t="shared" ca="1" si="31"/>
        <v>#REF!</v>
      </c>
      <c r="B188" s="39" t="e">
        <f t="shared" ca="1" si="32"/>
        <v>#REF!</v>
      </c>
      <c r="L188" s="39" t="e">
        <f t="shared" ca="1" si="33"/>
        <v>#REF!</v>
      </c>
      <c r="M188" s="39" t="e">
        <f t="shared" ca="1" si="34"/>
        <v>#REF!</v>
      </c>
    </row>
    <row r="189" spans="1:13">
      <c r="A189" s="39" t="e">
        <f t="shared" ca="1" si="31"/>
        <v>#REF!</v>
      </c>
      <c r="B189" s="39" t="e">
        <f t="shared" ca="1" si="32"/>
        <v>#REF!</v>
      </c>
      <c r="L189" s="39" t="e">
        <f t="shared" ca="1" si="33"/>
        <v>#REF!</v>
      </c>
      <c r="M189" s="39" t="e">
        <f t="shared" ca="1" si="34"/>
        <v>#REF!</v>
      </c>
    </row>
    <row r="190" spans="1:13">
      <c r="A190" s="39" t="e">
        <f t="shared" ca="1" si="31"/>
        <v>#REF!</v>
      </c>
      <c r="B190" s="39" t="e">
        <f t="shared" ca="1" si="32"/>
        <v>#REF!</v>
      </c>
      <c r="L190" s="39" t="e">
        <f t="shared" ca="1" si="33"/>
        <v>#REF!</v>
      </c>
      <c r="M190" s="39" t="e">
        <f t="shared" ca="1" si="34"/>
        <v>#REF!</v>
      </c>
    </row>
    <row r="191" spans="1:13">
      <c r="A191" s="39" t="e">
        <f t="shared" ca="1" si="31"/>
        <v>#REF!</v>
      </c>
      <c r="B191" s="39" t="e">
        <f t="shared" ca="1" si="32"/>
        <v>#REF!</v>
      </c>
      <c r="L191" s="39" t="e">
        <f t="shared" ca="1" si="33"/>
        <v>#REF!</v>
      </c>
      <c r="M191" s="39" t="e">
        <f t="shared" ca="1" si="34"/>
        <v>#REF!</v>
      </c>
    </row>
    <row r="192" spans="1:13">
      <c r="A192" s="39" t="e">
        <f t="shared" ca="1" si="31"/>
        <v>#REF!</v>
      </c>
      <c r="B192" s="39" t="e">
        <f t="shared" ca="1" si="32"/>
        <v>#REF!</v>
      </c>
      <c r="L192" s="39" t="e">
        <f t="shared" ca="1" si="33"/>
        <v>#REF!</v>
      </c>
      <c r="M192" s="39" t="e">
        <f t="shared" ca="1" si="34"/>
        <v>#REF!</v>
      </c>
    </row>
    <row r="193" spans="1:13">
      <c r="A193" s="39" t="e">
        <f t="shared" ca="1" si="31"/>
        <v>#REF!</v>
      </c>
      <c r="B193" s="39" t="e">
        <f t="shared" ca="1" si="32"/>
        <v>#REF!</v>
      </c>
      <c r="L193" s="39" t="e">
        <f t="shared" ca="1" si="33"/>
        <v>#REF!</v>
      </c>
      <c r="M193" s="39" t="e">
        <f t="shared" ca="1" si="34"/>
        <v>#REF!</v>
      </c>
    </row>
    <row r="194" spans="1:13">
      <c r="A194" s="39" t="e">
        <f t="shared" ca="1" si="31"/>
        <v>#REF!</v>
      </c>
      <c r="B194" s="39" t="e">
        <f t="shared" ca="1" si="32"/>
        <v>#REF!</v>
      </c>
      <c r="L194" s="39" t="e">
        <f t="shared" ca="1" si="33"/>
        <v>#REF!</v>
      </c>
      <c r="M194" s="39" t="e">
        <f t="shared" ca="1" si="34"/>
        <v>#REF!</v>
      </c>
    </row>
    <row r="195" spans="1:13">
      <c r="A195" s="39" t="e">
        <f t="shared" ca="1" si="31"/>
        <v>#REF!</v>
      </c>
      <c r="B195" s="39" t="e">
        <f t="shared" ca="1" si="32"/>
        <v>#REF!</v>
      </c>
      <c r="L195" s="39" t="e">
        <f t="shared" ca="1" si="33"/>
        <v>#REF!</v>
      </c>
      <c r="M195" s="39" t="e">
        <f t="shared" ca="1" si="34"/>
        <v>#REF!</v>
      </c>
    </row>
    <row r="196" spans="1:13">
      <c r="A196" s="39" t="e">
        <f t="shared" ca="1" si="31"/>
        <v>#REF!</v>
      </c>
      <c r="B196" s="39" t="e">
        <f t="shared" ca="1" si="32"/>
        <v>#REF!</v>
      </c>
      <c r="L196" s="39" t="e">
        <f t="shared" ca="1" si="33"/>
        <v>#REF!</v>
      </c>
      <c r="M196" s="39" t="e">
        <f t="shared" ca="1" si="34"/>
        <v>#REF!</v>
      </c>
    </row>
    <row r="197" spans="1:13">
      <c r="A197" s="39" t="e">
        <f t="shared" ca="1" si="31"/>
        <v>#REF!</v>
      </c>
      <c r="B197" s="39" t="e">
        <f t="shared" ca="1" si="32"/>
        <v>#REF!</v>
      </c>
      <c r="L197" s="39" t="e">
        <f t="shared" ca="1" si="33"/>
        <v>#REF!</v>
      </c>
      <c r="M197" s="39" t="e">
        <f t="shared" ca="1" si="34"/>
        <v>#REF!</v>
      </c>
    </row>
    <row r="198" spans="1:13">
      <c r="A198" s="39" t="e">
        <f t="shared" ca="1" si="31"/>
        <v>#REF!</v>
      </c>
      <c r="B198" s="39" t="e">
        <f t="shared" ca="1" si="32"/>
        <v>#REF!</v>
      </c>
      <c r="L198" s="39" t="e">
        <f t="shared" ca="1" si="33"/>
        <v>#REF!</v>
      </c>
      <c r="M198" s="39" t="e">
        <f t="shared" ca="1" si="34"/>
        <v>#REF!</v>
      </c>
    </row>
    <row r="199" spans="1:13">
      <c r="A199" s="39" t="e">
        <f t="shared" ca="1" si="31"/>
        <v>#REF!</v>
      </c>
      <c r="B199" s="39" t="e">
        <f t="shared" ca="1" si="32"/>
        <v>#REF!</v>
      </c>
      <c r="L199" s="39" t="e">
        <f t="shared" ca="1" si="33"/>
        <v>#REF!</v>
      </c>
      <c r="M199" s="39" t="e">
        <f t="shared" ca="1" si="34"/>
        <v>#REF!</v>
      </c>
    </row>
    <row r="200" spans="1:13">
      <c r="A200" s="39" t="e">
        <f t="shared" ca="1" si="31"/>
        <v>#REF!</v>
      </c>
      <c r="B200" s="39" t="e">
        <f t="shared" ca="1" si="32"/>
        <v>#REF!</v>
      </c>
      <c r="L200" s="39" t="e">
        <f t="shared" ca="1" si="33"/>
        <v>#REF!</v>
      </c>
      <c r="M200" s="39" t="e">
        <f t="shared" ca="1" si="34"/>
        <v>#REF!</v>
      </c>
    </row>
    <row r="201" spans="1:13">
      <c r="A201" s="39" t="e">
        <f t="shared" ca="1" si="31"/>
        <v>#REF!</v>
      </c>
      <c r="B201" s="39" t="e">
        <f t="shared" ca="1" si="32"/>
        <v>#REF!</v>
      </c>
      <c r="L201" s="39" t="e">
        <f t="shared" ca="1" si="33"/>
        <v>#REF!</v>
      </c>
      <c r="M201" s="39" t="e">
        <f t="shared" ca="1" si="34"/>
        <v>#REF!</v>
      </c>
    </row>
    <row r="202" spans="1:13">
      <c r="A202" s="39" t="e">
        <f t="shared" ca="1" si="31"/>
        <v>#REF!</v>
      </c>
      <c r="B202" s="39" t="e">
        <f t="shared" ca="1" si="32"/>
        <v>#REF!</v>
      </c>
      <c r="L202" s="39" t="e">
        <f t="shared" ca="1" si="33"/>
        <v>#REF!</v>
      </c>
      <c r="M202" s="39" t="e">
        <f t="shared" ca="1" si="34"/>
        <v>#REF!</v>
      </c>
    </row>
    <row r="203" spans="1:13">
      <c r="A203" s="39" t="e">
        <f t="shared" ca="1" si="31"/>
        <v>#REF!</v>
      </c>
      <c r="B203" s="39" t="e">
        <f t="shared" ca="1" si="32"/>
        <v>#REF!</v>
      </c>
      <c r="L203" s="39" t="e">
        <f t="shared" ca="1" si="33"/>
        <v>#REF!</v>
      </c>
      <c r="M203" s="39" t="e">
        <f t="shared" ca="1" si="34"/>
        <v>#REF!</v>
      </c>
    </row>
    <row r="204" spans="1:13">
      <c r="A204" s="39" t="e">
        <f t="shared" ca="1" si="31"/>
        <v>#REF!</v>
      </c>
      <c r="B204" s="39" t="e">
        <f t="shared" ca="1" si="32"/>
        <v>#REF!</v>
      </c>
      <c r="L204" s="39" t="e">
        <f t="shared" ca="1" si="33"/>
        <v>#REF!</v>
      </c>
      <c r="M204" s="39" t="e">
        <f t="shared" ca="1" si="34"/>
        <v>#REF!</v>
      </c>
    </row>
    <row r="205" spans="1:13">
      <c r="A205" s="39" t="e">
        <f t="shared" ca="1" si="31"/>
        <v>#REF!</v>
      </c>
      <c r="B205" s="39" t="e">
        <f t="shared" ca="1" si="32"/>
        <v>#REF!</v>
      </c>
      <c r="L205" s="39" t="e">
        <f t="shared" ca="1" si="33"/>
        <v>#REF!</v>
      </c>
      <c r="M205" s="39" t="e">
        <f t="shared" ca="1" si="34"/>
        <v>#REF!</v>
      </c>
    </row>
    <row r="206" spans="1:13">
      <c r="A206" s="39" t="e">
        <f t="shared" ca="1" si="31"/>
        <v>#REF!</v>
      </c>
      <c r="B206" s="39" t="e">
        <f t="shared" ca="1" si="32"/>
        <v>#REF!</v>
      </c>
      <c r="L206" s="39" t="e">
        <f t="shared" ca="1" si="33"/>
        <v>#REF!</v>
      </c>
      <c r="M206" s="39" t="e">
        <f t="shared" ca="1" si="34"/>
        <v>#REF!</v>
      </c>
    </row>
    <row r="207" spans="1:13">
      <c r="A207" s="39" t="e">
        <f t="shared" ca="1" si="31"/>
        <v>#REF!</v>
      </c>
      <c r="B207" s="39" t="e">
        <f t="shared" ca="1" si="32"/>
        <v>#REF!</v>
      </c>
      <c r="L207" s="39" t="e">
        <f t="shared" ca="1" si="33"/>
        <v>#REF!</v>
      </c>
      <c r="M207" s="39" t="e">
        <f t="shared" ca="1" si="34"/>
        <v>#REF!</v>
      </c>
    </row>
    <row r="208" spans="1:13">
      <c r="A208" s="39" t="e">
        <f t="shared" ca="1" si="31"/>
        <v>#REF!</v>
      </c>
      <c r="B208" s="39" t="e">
        <f t="shared" ca="1" si="32"/>
        <v>#REF!</v>
      </c>
      <c r="L208" s="39" t="e">
        <f t="shared" ca="1" si="33"/>
        <v>#REF!</v>
      </c>
      <c r="M208" s="39" t="e">
        <f t="shared" ca="1" si="34"/>
        <v>#REF!</v>
      </c>
    </row>
    <row r="209" spans="1:13">
      <c r="A209" s="39" t="e">
        <f t="shared" ca="1" si="31"/>
        <v>#REF!</v>
      </c>
      <c r="B209" s="39" t="e">
        <f t="shared" ca="1" si="32"/>
        <v>#REF!</v>
      </c>
      <c r="L209" s="39" t="e">
        <f t="shared" ca="1" si="33"/>
        <v>#REF!</v>
      </c>
      <c r="M209" s="39" t="e">
        <f t="shared" ca="1" si="34"/>
        <v>#REF!</v>
      </c>
    </row>
    <row r="210" spans="1:13">
      <c r="A210" s="39" t="e">
        <f t="shared" ca="1" si="31"/>
        <v>#REF!</v>
      </c>
      <c r="B210" s="39" t="e">
        <f t="shared" ca="1" si="32"/>
        <v>#REF!</v>
      </c>
      <c r="L210" s="39" t="e">
        <f t="shared" ca="1" si="33"/>
        <v>#REF!</v>
      </c>
      <c r="M210" s="39" t="e">
        <f t="shared" ca="1" si="34"/>
        <v>#REF!</v>
      </c>
    </row>
    <row r="211" spans="1:13">
      <c r="A211" s="39" t="e">
        <f t="shared" ca="1" si="31"/>
        <v>#REF!</v>
      </c>
      <c r="B211" s="39" t="e">
        <f t="shared" ca="1" si="32"/>
        <v>#REF!</v>
      </c>
      <c r="L211" s="39" t="e">
        <f t="shared" ca="1" si="33"/>
        <v>#REF!</v>
      </c>
      <c r="M211" s="39" t="e">
        <f t="shared" ca="1" si="34"/>
        <v>#REF!</v>
      </c>
    </row>
    <row r="212" spans="1:13">
      <c r="A212" s="39" t="e">
        <f t="shared" ca="1" si="31"/>
        <v>#REF!</v>
      </c>
      <c r="B212" s="39" t="e">
        <f t="shared" ca="1" si="32"/>
        <v>#REF!</v>
      </c>
      <c r="L212" s="39" t="e">
        <f t="shared" ca="1" si="33"/>
        <v>#REF!</v>
      </c>
      <c r="M212" s="39" t="e">
        <f t="shared" ca="1" si="34"/>
        <v>#REF!</v>
      </c>
    </row>
    <row r="213" spans="1:13">
      <c r="A213" s="39" t="e">
        <f t="shared" ca="1" si="31"/>
        <v>#REF!</v>
      </c>
      <c r="B213" s="39" t="e">
        <f t="shared" ca="1" si="32"/>
        <v>#REF!</v>
      </c>
      <c r="L213" s="39" t="e">
        <f t="shared" ca="1" si="33"/>
        <v>#REF!</v>
      </c>
      <c r="M213" s="39" t="e">
        <f t="shared" ca="1" si="34"/>
        <v>#REF!</v>
      </c>
    </row>
    <row r="214" spans="1:13">
      <c r="A214" s="39" t="e">
        <f t="shared" ca="1" si="31"/>
        <v>#REF!</v>
      </c>
      <c r="B214" s="39" t="e">
        <f t="shared" ca="1" si="32"/>
        <v>#REF!</v>
      </c>
      <c r="L214" s="39" t="e">
        <f t="shared" ca="1" si="33"/>
        <v>#REF!</v>
      </c>
      <c r="M214" s="39" t="e">
        <f t="shared" ca="1" si="34"/>
        <v>#REF!</v>
      </c>
    </row>
    <row r="215" spans="1:13">
      <c r="A215" s="39" t="e">
        <f t="shared" ca="1" si="31"/>
        <v>#REF!</v>
      </c>
      <c r="B215" s="39" t="e">
        <f t="shared" ca="1" si="32"/>
        <v>#REF!</v>
      </c>
      <c r="L215" s="39" t="e">
        <f t="shared" ca="1" si="33"/>
        <v>#REF!</v>
      </c>
      <c r="M215" s="39" t="e">
        <f t="shared" ca="1" si="34"/>
        <v>#REF!</v>
      </c>
    </row>
    <row r="216" spans="1:13">
      <c r="A216" s="39" t="e">
        <f t="shared" ca="1" si="31"/>
        <v>#REF!</v>
      </c>
      <c r="B216" s="39" t="e">
        <f t="shared" ca="1" si="32"/>
        <v>#REF!</v>
      </c>
      <c r="L216" s="39" t="e">
        <f t="shared" ca="1" si="33"/>
        <v>#REF!</v>
      </c>
      <c r="M216" s="39" t="e">
        <f t="shared" ca="1" si="34"/>
        <v>#REF!</v>
      </c>
    </row>
    <row r="217" spans="1:13">
      <c r="A217" s="39" t="e">
        <f t="shared" ca="1" si="31"/>
        <v>#REF!</v>
      </c>
      <c r="B217" s="39" t="e">
        <f t="shared" ca="1" si="32"/>
        <v>#REF!</v>
      </c>
      <c r="L217" s="39" t="e">
        <f t="shared" ca="1" si="33"/>
        <v>#REF!</v>
      </c>
      <c r="M217" s="39" t="e">
        <f t="shared" ca="1" si="34"/>
        <v>#REF!</v>
      </c>
    </row>
    <row r="218" spans="1:13">
      <c r="A218" s="39" t="e">
        <f t="shared" ca="1" si="31"/>
        <v>#REF!</v>
      </c>
      <c r="B218" s="39" t="e">
        <f t="shared" ca="1" si="32"/>
        <v>#REF!</v>
      </c>
      <c r="L218" s="39" t="e">
        <f t="shared" ca="1" si="33"/>
        <v>#REF!</v>
      </c>
      <c r="M218" s="39" t="e">
        <f t="shared" ca="1" si="34"/>
        <v>#REF!</v>
      </c>
    </row>
    <row r="219" spans="1:13">
      <c r="A219" s="39" t="e">
        <f t="shared" ca="1" si="31"/>
        <v>#REF!</v>
      </c>
      <c r="B219" s="39" t="e">
        <f t="shared" ca="1" si="32"/>
        <v>#REF!</v>
      </c>
      <c r="L219" s="39" t="e">
        <f t="shared" ca="1" si="33"/>
        <v>#REF!</v>
      </c>
      <c r="M219" s="39" t="e">
        <f t="shared" ca="1" si="34"/>
        <v>#REF!</v>
      </c>
    </row>
    <row r="220" spans="1:13">
      <c r="A220" s="39" t="e">
        <f t="shared" ca="1" si="31"/>
        <v>#REF!</v>
      </c>
      <c r="B220" s="39" t="e">
        <f t="shared" ca="1" si="32"/>
        <v>#REF!</v>
      </c>
      <c r="L220" s="39" t="e">
        <f t="shared" ca="1" si="33"/>
        <v>#REF!</v>
      </c>
      <c r="M220" s="39" t="e">
        <f t="shared" ca="1" si="34"/>
        <v>#REF!</v>
      </c>
    </row>
    <row r="221" spans="1:13">
      <c r="A221" s="39" t="e">
        <f t="shared" ca="1" si="31"/>
        <v>#REF!</v>
      </c>
      <c r="B221" s="39" t="e">
        <f t="shared" ca="1" si="32"/>
        <v>#REF!</v>
      </c>
      <c r="L221" s="39" t="e">
        <f t="shared" ca="1" si="33"/>
        <v>#REF!</v>
      </c>
      <c r="M221" s="39" t="e">
        <f t="shared" ca="1" si="34"/>
        <v>#REF!</v>
      </c>
    </row>
    <row r="222" spans="1:13">
      <c r="A222" s="39" t="e">
        <f t="shared" ca="1" si="31"/>
        <v>#REF!</v>
      </c>
      <c r="B222" s="39" t="e">
        <f t="shared" ca="1" si="32"/>
        <v>#REF!</v>
      </c>
      <c r="L222" s="39" t="e">
        <f t="shared" ca="1" si="33"/>
        <v>#REF!</v>
      </c>
      <c r="M222" s="39" t="e">
        <f t="shared" ca="1" si="34"/>
        <v>#REF!</v>
      </c>
    </row>
    <row r="223" spans="1:13">
      <c r="A223" s="39" t="e">
        <f t="shared" ca="1" si="31"/>
        <v>#REF!</v>
      </c>
      <c r="B223" s="39" t="e">
        <f t="shared" ca="1" si="32"/>
        <v>#REF!</v>
      </c>
      <c r="L223" s="39" t="e">
        <f t="shared" ca="1" si="33"/>
        <v>#REF!</v>
      </c>
      <c r="M223" s="39" t="e">
        <f t="shared" ca="1" si="34"/>
        <v>#REF!</v>
      </c>
    </row>
    <row r="224" spans="1:13">
      <c r="A224" s="39" t="e">
        <f t="shared" ca="1" si="31"/>
        <v>#REF!</v>
      </c>
      <c r="B224" s="39" t="e">
        <f t="shared" ca="1" si="32"/>
        <v>#REF!</v>
      </c>
      <c r="L224" s="39" t="e">
        <f t="shared" ca="1" si="33"/>
        <v>#REF!</v>
      </c>
      <c r="M224" s="39" t="e">
        <f t="shared" ca="1" si="34"/>
        <v>#REF!</v>
      </c>
    </row>
    <row r="225" spans="1:13">
      <c r="A225" s="39" t="e">
        <f t="shared" ca="1" si="31"/>
        <v>#REF!</v>
      </c>
      <c r="B225" s="39" t="e">
        <f t="shared" ca="1" si="32"/>
        <v>#REF!</v>
      </c>
      <c r="L225" s="39" t="e">
        <f t="shared" ca="1" si="33"/>
        <v>#REF!</v>
      </c>
      <c r="M225" s="39" t="e">
        <f t="shared" ca="1" si="34"/>
        <v>#REF!</v>
      </c>
    </row>
    <row r="226" spans="1:13">
      <c r="A226" s="39" t="e">
        <f t="shared" ca="1" si="31"/>
        <v>#REF!</v>
      </c>
      <c r="B226" s="39" t="e">
        <f t="shared" ca="1" si="32"/>
        <v>#REF!</v>
      </c>
      <c r="L226" s="39" t="e">
        <f t="shared" ca="1" si="33"/>
        <v>#REF!</v>
      </c>
      <c r="M226" s="39" t="e">
        <f t="shared" ca="1" si="34"/>
        <v>#REF!</v>
      </c>
    </row>
    <row r="227" spans="1:13">
      <c r="A227" s="39" t="e">
        <f t="shared" ca="1" si="31"/>
        <v>#REF!</v>
      </c>
      <c r="B227" s="39" t="e">
        <f t="shared" ca="1" si="32"/>
        <v>#REF!</v>
      </c>
      <c r="L227" s="39" t="e">
        <f t="shared" ca="1" si="33"/>
        <v>#REF!</v>
      </c>
      <c r="M227" s="39" t="e">
        <f t="shared" ca="1" si="34"/>
        <v>#REF!</v>
      </c>
    </row>
    <row r="228" spans="1:13">
      <c r="A228" s="39" t="e">
        <f t="shared" ca="1" si="31"/>
        <v>#REF!</v>
      </c>
      <c r="B228" s="39" t="e">
        <f t="shared" ca="1" si="32"/>
        <v>#REF!</v>
      </c>
      <c r="L228" s="39" t="e">
        <f t="shared" ca="1" si="33"/>
        <v>#REF!</v>
      </c>
      <c r="M228" s="39" t="e">
        <f t="shared" ca="1" si="34"/>
        <v>#REF!</v>
      </c>
    </row>
    <row r="229" spans="1:13">
      <c r="A229" s="39" t="e">
        <f t="shared" ca="1" si="31"/>
        <v>#REF!</v>
      </c>
      <c r="B229" s="39" t="e">
        <f t="shared" ca="1" si="32"/>
        <v>#REF!</v>
      </c>
      <c r="L229" s="39" t="e">
        <f t="shared" ca="1" si="33"/>
        <v>#REF!</v>
      </c>
      <c r="M229" s="39" t="e">
        <f t="shared" ca="1" si="34"/>
        <v>#REF!</v>
      </c>
    </row>
    <row r="230" spans="1:13">
      <c r="A230" s="39" t="e">
        <f t="shared" ref="A230:A293" ca="1" si="35">IF(INDIRECT($B$1&amp;ADDRESS(ROW($C$15),ROW(C207)-12))="","",INDIRECT($B$1&amp;ADDRESS(ROW($C$15),ROW(C207)-12)))</f>
        <v>#REF!</v>
      </c>
      <c r="B230" s="39" t="e">
        <f t="shared" ref="B230:B293" ca="1" si="36">IF(INDIRECT($B$1&amp;ADDRESS(ROW($C$5),ROW(C197)-2))="","",INDIRECT($B$1&amp;ADDRESS(ROW($C$5),ROW(C197)-2)))</f>
        <v>#REF!</v>
      </c>
      <c r="L230" s="39" t="e">
        <f t="shared" ref="L230:L293" ca="1" si="37">IF(INDIRECT($M$1&amp;ADDRESS(ROW($C$15),ROW(N207)-12))="","",INDIRECT($M$1&amp;ADDRESS(ROW($C$15),ROW(N207)-12)))</f>
        <v>#REF!</v>
      </c>
      <c r="M230" s="39" t="e">
        <f t="shared" ref="M230:M293" ca="1" si="38">IF(INDIRECT($M$1&amp;ADDRESS(ROW($C$5),ROW(N197)-2))="","",INDIRECT($M$1&amp;ADDRESS(ROW($C$5),ROW(N197)-2)))</f>
        <v>#REF!</v>
      </c>
    </row>
    <row r="231" spans="1:13">
      <c r="A231" s="39" t="e">
        <f t="shared" ca="1" si="35"/>
        <v>#REF!</v>
      </c>
      <c r="B231" s="39" t="e">
        <f t="shared" ca="1" si="36"/>
        <v>#REF!</v>
      </c>
      <c r="L231" s="39" t="e">
        <f t="shared" ca="1" si="37"/>
        <v>#REF!</v>
      </c>
      <c r="M231" s="39" t="e">
        <f t="shared" ca="1" si="38"/>
        <v>#REF!</v>
      </c>
    </row>
    <row r="232" spans="1:13">
      <c r="A232" s="39" t="e">
        <f t="shared" ca="1" si="35"/>
        <v>#REF!</v>
      </c>
      <c r="B232" s="39" t="e">
        <f t="shared" ca="1" si="36"/>
        <v>#REF!</v>
      </c>
      <c r="L232" s="39" t="e">
        <f t="shared" ca="1" si="37"/>
        <v>#REF!</v>
      </c>
      <c r="M232" s="39" t="e">
        <f t="shared" ca="1" si="38"/>
        <v>#REF!</v>
      </c>
    </row>
    <row r="233" spans="1:13">
      <c r="A233" s="39" t="e">
        <f t="shared" ca="1" si="35"/>
        <v>#REF!</v>
      </c>
      <c r="B233" s="39" t="e">
        <f t="shared" ca="1" si="36"/>
        <v>#REF!</v>
      </c>
      <c r="L233" s="39" t="e">
        <f t="shared" ca="1" si="37"/>
        <v>#REF!</v>
      </c>
      <c r="M233" s="39" t="e">
        <f t="shared" ca="1" si="38"/>
        <v>#REF!</v>
      </c>
    </row>
    <row r="234" spans="1:13">
      <c r="A234" s="39" t="e">
        <f t="shared" ca="1" si="35"/>
        <v>#REF!</v>
      </c>
      <c r="B234" s="39" t="e">
        <f t="shared" ca="1" si="36"/>
        <v>#REF!</v>
      </c>
      <c r="L234" s="39" t="e">
        <f t="shared" ca="1" si="37"/>
        <v>#REF!</v>
      </c>
      <c r="M234" s="39" t="e">
        <f t="shared" ca="1" si="38"/>
        <v>#REF!</v>
      </c>
    </row>
    <row r="235" spans="1:13">
      <c r="A235" s="39" t="e">
        <f t="shared" ca="1" si="35"/>
        <v>#REF!</v>
      </c>
      <c r="B235" s="39" t="e">
        <f t="shared" ca="1" si="36"/>
        <v>#REF!</v>
      </c>
      <c r="L235" s="39" t="e">
        <f t="shared" ca="1" si="37"/>
        <v>#REF!</v>
      </c>
      <c r="M235" s="39" t="e">
        <f t="shared" ca="1" si="38"/>
        <v>#REF!</v>
      </c>
    </row>
    <row r="236" spans="1:13">
      <c r="A236" s="39" t="e">
        <f t="shared" ca="1" si="35"/>
        <v>#REF!</v>
      </c>
      <c r="B236" s="39" t="e">
        <f t="shared" ca="1" si="36"/>
        <v>#REF!</v>
      </c>
      <c r="L236" s="39" t="e">
        <f t="shared" ca="1" si="37"/>
        <v>#REF!</v>
      </c>
      <c r="M236" s="39" t="e">
        <f t="shared" ca="1" si="38"/>
        <v>#REF!</v>
      </c>
    </row>
    <row r="237" spans="1:13">
      <c r="A237" s="39" t="e">
        <f t="shared" ca="1" si="35"/>
        <v>#REF!</v>
      </c>
      <c r="B237" s="39" t="e">
        <f t="shared" ca="1" si="36"/>
        <v>#REF!</v>
      </c>
      <c r="L237" s="39" t="e">
        <f t="shared" ca="1" si="37"/>
        <v>#REF!</v>
      </c>
      <c r="M237" s="39" t="e">
        <f t="shared" ca="1" si="38"/>
        <v>#REF!</v>
      </c>
    </row>
    <row r="238" spans="1:13">
      <c r="A238" s="39" t="e">
        <f t="shared" ca="1" si="35"/>
        <v>#REF!</v>
      </c>
      <c r="B238" s="39" t="e">
        <f t="shared" ca="1" si="36"/>
        <v>#REF!</v>
      </c>
      <c r="L238" s="39" t="e">
        <f t="shared" ca="1" si="37"/>
        <v>#REF!</v>
      </c>
      <c r="M238" s="39" t="e">
        <f t="shared" ca="1" si="38"/>
        <v>#REF!</v>
      </c>
    </row>
    <row r="239" spans="1:13">
      <c r="A239" s="39" t="e">
        <f t="shared" ca="1" si="35"/>
        <v>#REF!</v>
      </c>
      <c r="B239" s="39" t="e">
        <f t="shared" ca="1" si="36"/>
        <v>#REF!</v>
      </c>
      <c r="L239" s="39" t="e">
        <f t="shared" ca="1" si="37"/>
        <v>#REF!</v>
      </c>
      <c r="M239" s="39" t="e">
        <f t="shared" ca="1" si="38"/>
        <v>#REF!</v>
      </c>
    </row>
    <row r="240" spans="1:13">
      <c r="A240" s="39" t="e">
        <f t="shared" ca="1" si="35"/>
        <v>#REF!</v>
      </c>
      <c r="B240" s="39" t="e">
        <f t="shared" ca="1" si="36"/>
        <v>#REF!</v>
      </c>
      <c r="L240" s="39" t="e">
        <f t="shared" ca="1" si="37"/>
        <v>#REF!</v>
      </c>
      <c r="M240" s="39" t="e">
        <f t="shared" ca="1" si="38"/>
        <v>#REF!</v>
      </c>
    </row>
    <row r="241" spans="1:13">
      <c r="A241" s="39" t="e">
        <f t="shared" ca="1" si="35"/>
        <v>#REF!</v>
      </c>
      <c r="B241" s="39" t="e">
        <f t="shared" ca="1" si="36"/>
        <v>#REF!</v>
      </c>
      <c r="L241" s="39" t="e">
        <f t="shared" ca="1" si="37"/>
        <v>#REF!</v>
      </c>
      <c r="M241" s="39" t="e">
        <f t="shared" ca="1" si="38"/>
        <v>#REF!</v>
      </c>
    </row>
    <row r="242" spans="1:13">
      <c r="A242" s="39" t="e">
        <f t="shared" ca="1" si="35"/>
        <v>#REF!</v>
      </c>
      <c r="B242" s="39" t="e">
        <f t="shared" ca="1" si="36"/>
        <v>#REF!</v>
      </c>
      <c r="L242" s="39" t="e">
        <f t="shared" ca="1" si="37"/>
        <v>#REF!</v>
      </c>
      <c r="M242" s="39" t="e">
        <f t="shared" ca="1" si="38"/>
        <v>#REF!</v>
      </c>
    </row>
    <row r="243" spans="1:13">
      <c r="A243" s="39" t="e">
        <f t="shared" ca="1" si="35"/>
        <v>#REF!</v>
      </c>
      <c r="B243" s="39" t="e">
        <f t="shared" ca="1" si="36"/>
        <v>#REF!</v>
      </c>
      <c r="L243" s="39" t="e">
        <f t="shared" ca="1" si="37"/>
        <v>#REF!</v>
      </c>
      <c r="M243" s="39" t="e">
        <f t="shared" ca="1" si="38"/>
        <v>#REF!</v>
      </c>
    </row>
    <row r="244" spans="1:13">
      <c r="A244" s="39" t="e">
        <f t="shared" ca="1" si="35"/>
        <v>#REF!</v>
      </c>
      <c r="B244" s="39" t="e">
        <f t="shared" ca="1" si="36"/>
        <v>#REF!</v>
      </c>
      <c r="L244" s="39" t="e">
        <f t="shared" ca="1" si="37"/>
        <v>#REF!</v>
      </c>
      <c r="M244" s="39" t="e">
        <f t="shared" ca="1" si="38"/>
        <v>#REF!</v>
      </c>
    </row>
    <row r="245" spans="1:13">
      <c r="A245" s="39" t="e">
        <f t="shared" ca="1" si="35"/>
        <v>#REF!</v>
      </c>
      <c r="B245" s="39" t="e">
        <f t="shared" ca="1" si="36"/>
        <v>#REF!</v>
      </c>
      <c r="L245" s="39" t="e">
        <f t="shared" ca="1" si="37"/>
        <v>#REF!</v>
      </c>
      <c r="M245" s="39" t="e">
        <f t="shared" ca="1" si="38"/>
        <v>#REF!</v>
      </c>
    </row>
    <row r="246" spans="1:13">
      <c r="A246" s="39" t="e">
        <f t="shared" ca="1" si="35"/>
        <v>#REF!</v>
      </c>
      <c r="B246" s="39" t="e">
        <f t="shared" ca="1" si="36"/>
        <v>#REF!</v>
      </c>
      <c r="L246" s="39" t="e">
        <f t="shared" ca="1" si="37"/>
        <v>#REF!</v>
      </c>
      <c r="M246" s="39" t="e">
        <f t="shared" ca="1" si="38"/>
        <v>#REF!</v>
      </c>
    </row>
    <row r="247" spans="1:13">
      <c r="A247" s="39" t="e">
        <f t="shared" ca="1" si="35"/>
        <v>#REF!</v>
      </c>
      <c r="B247" s="39" t="e">
        <f t="shared" ca="1" si="36"/>
        <v>#REF!</v>
      </c>
      <c r="L247" s="39" t="e">
        <f t="shared" ca="1" si="37"/>
        <v>#REF!</v>
      </c>
      <c r="M247" s="39" t="e">
        <f t="shared" ca="1" si="38"/>
        <v>#REF!</v>
      </c>
    </row>
    <row r="248" spans="1:13">
      <c r="A248" s="39" t="e">
        <f t="shared" ca="1" si="35"/>
        <v>#REF!</v>
      </c>
      <c r="B248" s="39" t="e">
        <f t="shared" ca="1" si="36"/>
        <v>#REF!</v>
      </c>
      <c r="L248" s="39" t="e">
        <f t="shared" ca="1" si="37"/>
        <v>#REF!</v>
      </c>
      <c r="M248" s="39" t="e">
        <f t="shared" ca="1" si="38"/>
        <v>#REF!</v>
      </c>
    </row>
    <row r="249" spans="1:13">
      <c r="A249" s="39" t="e">
        <f t="shared" ca="1" si="35"/>
        <v>#REF!</v>
      </c>
      <c r="B249" s="39" t="e">
        <f t="shared" ca="1" si="36"/>
        <v>#REF!</v>
      </c>
      <c r="L249" s="39" t="e">
        <f t="shared" ca="1" si="37"/>
        <v>#REF!</v>
      </c>
      <c r="M249" s="39" t="e">
        <f t="shared" ca="1" si="38"/>
        <v>#REF!</v>
      </c>
    </row>
    <row r="250" spans="1:13">
      <c r="A250" s="39" t="e">
        <f t="shared" ca="1" si="35"/>
        <v>#REF!</v>
      </c>
      <c r="B250" s="39" t="e">
        <f t="shared" ca="1" si="36"/>
        <v>#REF!</v>
      </c>
      <c r="L250" s="39" t="e">
        <f t="shared" ca="1" si="37"/>
        <v>#REF!</v>
      </c>
      <c r="M250" s="39" t="e">
        <f t="shared" ca="1" si="38"/>
        <v>#REF!</v>
      </c>
    </row>
    <row r="251" spans="1:13">
      <c r="A251" s="39" t="e">
        <f t="shared" ca="1" si="35"/>
        <v>#REF!</v>
      </c>
      <c r="B251" s="39" t="e">
        <f t="shared" ca="1" si="36"/>
        <v>#REF!</v>
      </c>
      <c r="L251" s="39" t="e">
        <f t="shared" ca="1" si="37"/>
        <v>#REF!</v>
      </c>
      <c r="M251" s="39" t="e">
        <f t="shared" ca="1" si="38"/>
        <v>#REF!</v>
      </c>
    </row>
    <row r="252" spans="1:13">
      <c r="A252" s="39" t="e">
        <f t="shared" ca="1" si="35"/>
        <v>#REF!</v>
      </c>
      <c r="B252" s="39" t="e">
        <f t="shared" ca="1" si="36"/>
        <v>#REF!</v>
      </c>
      <c r="L252" s="39" t="e">
        <f t="shared" ca="1" si="37"/>
        <v>#REF!</v>
      </c>
      <c r="M252" s="39" t="e">
        <f t="shared" ca="1" si="38"/>
        <v>#REF!</v>
      </c>
    </row>
    <row r="253" spans="1:13">
      <c r="A253" s="39" t="e">
        <f t="shared" ca="1" si="35"/>
        <v>#REF!</v>
      </c>
      <c r="B253" s="39" t="e">
        <f t="shared" ca="1" si="36"/>
        <v>#REF!</v>
      </c>
      <c r="L253" s="39" t="e">
        <f t="shared" ca="1" si="37"/>
        <v>#REF!</v>
      </c>
      <c r="M253" s="39" t="e">
        <f t="shared" ca="1" si="38"/>
        <v>#REF!</v>
      </c>
    </row>
    <row r="254" spans="1:13">
      <c r="A254" s="39" t="e">
        <f t="shared" ca="1" si="35"/>
        <v>#REF!</v>
      </c>
      <c r="B254" s="39" t="e">
        <f t="shared" ca="1" si="36"/>
        <v>#REF!</v>
      </c>
      <c r="L254" s="39" t="e">
        <f t="shared" ca="1" si="37"/>
        <v>#REF!</v>
      </c>
      <c r="M254" s="39" t="e">
        <f t="shared" ca="1" si="38"/>
        <v>#REF!</v>
      </c>
    </row>
    <row r="255" spans="1:13">
      <c r="A255" s="39" t="e">
        <f t="shared" ca="1" si="35"/>
        <v>#REF!</v>
      </c>
      <c r="B255" s="39" t="e">
        <f t="shared" ca="1" si="36"/>
        <v>#REF!</v>
      </c>
      <c r="L255" s="39" t="e">
        <f t="shared" ca="1" si="37"/>
        <v>#REF!</v>
      </c>
      <c r="M255" s="39" t="e">
        <f t="shared" ca="1" si="38"/>
        <v>#REF!</v>
      </c>
    </row>
    <row r="256" spans="1:13">
      <c r="A256" s="39" t="e">
        <f t="shared" ca="1" si="35"/>
        <v>#REF!</v>
      </c>
      <c r="B256" s="39" t="e">
        <f t="shared" ca="1" si="36"/>
        <v>#REF!</v>
      </c>
      <c r="L256" s="39" t="e">
        <f t="shared" ca="1" si="37"/>
        <v>#REF!</v>
      </c>
      <c r="M256" s="39" t="e">
        <f t="shared" ca="1" si="38"/>
        <v>#REF!</v>
      </c>
    </row>
    <row r="257" spans="1:13">
      <c r="A257" s="39" t="e">
        <f t="shared" ca="1" si="35"/>
        <v>#REF!</v>
      </c>
      <c r="B257" s="39" t="e">
        <f t="shared" ca="1" si="36"/>
        <v>#REF!</v>
      </c>
      <c r="L257" s="39" t="e">
        <f t="shared" ca="1" si="37"/>
        <v>#REF!</v>
      </c>
      <c r="M257" s="39" t="e">
        <f t="shared" ca="1" si="38"/>
        <v>#REF!</v>
      </c>
    </row>
    <row r="258" spans="1:13">
      <c r="A258" s="39" t="e">
        <f t="shared" ca="1" si="35"/>
        <v>#REF!</v>
      </c>
      <c r="B258" s="39" t="e">
        <f t="shared" ca="1" si="36"/>
        <v>#REF!</v>
      </c>
      <c r="L258" s="39" t="e">
        <f t="shared" ca="1" si="37"/>
        <v>#REF!</v>
      </c>
      <c r="M258" s="39" t="e">
        <f t="shared" ca="1" si="38"/>
        <v>#REF!</v>
      </c>
    </row>
    <row r="259" spans="1:13">
      <c r="A259" s="39" t="e">
        <f t="shared" ca="1" si="35"/>
        <v>#REF!</v>
      </c>
      <c r="B259" s="39" t="e">
        <f t="shared" ca="1" si="36"/>
        <v>#REF!</v>
      </c>
      <c r="L259" s="39" t="e">
        <f t="shared" ca="1" si="37"/>
        <v>#REF!</v>
      </c>
      <c r="M259" s="39" t="e">
        <f t="shared" ca="1" si="38"/>
        <v>#REF!</v>
      </c>
    </row>
    <row r="260" spans="1:13">
      <c r="A260" s="39" t="e">
        <f t="shared" ca="1" si="35"/>
        <v>#REF!</v>
      </c>
      <c r="B260" s="39" t="e">
        <f t="shared" ca="1" si="36"/>
        <v>#REF!</v>
      </c>
      <c r="L260" s="39" t="e">
        <f t="shared" ca="1" si="37"/>
        <v>#REF!</v>
      </c>
      <c r="M260" s="39" t="e">
        <f t="shared" ca="1" si="38"/>
        <v>#REF!</v>
      </c>
    </row>
    <row r="261" spans="1:13">
      <c r="A261" s="39" t="e">
        <f t="shared" ca="1" si="35"/>
        <v>#REF!</v>
      </c>
      <c r="B261" s="39" t="e">
        <f t="shared" ca="1" si="36"/>
        <v>#REF!</v>
      </c>
      <c r="L261" s="39" t="e">
        <f t="shared" ca="1" si="37"/>
        <v>#REF!</v>
      </c>
      <c r="M261" s="39" t="e">
        <f t="shared" ca="1" si="38"/>
        <v>#REF!</v>
      </c>
    </row>
    <row r="262" spans="1:13">
      <c r="A262" s="39" t="e">
        <f t="shared" ca="1" si="35"/>
        <v>#REF!</v>
      </c>
      <c r="B262" s="39" t="e">
        <f t="shared" ca="1" si="36"/>
        <v>#REF!</v>
      </c>
      <c r="L262" s="39" t="e">
        <f t="shared" ca="1" si="37"/>
        <v>#REF!</v>
      </c>
      <c r="M262" s="39" t="e">
        <f t="shared" ca="1" si="38"/>
        <v>#REF!</v>
      </c>
    </row>
    <row r="263" spans="1:13">
      <c r="A263" s="39" t="e">
        <f t="shared" ca="1" si="35"/>
        <v>#REF!</v>
      </c>
      <c r="B263" s="39" t="e">
        <f t="shared" ca="1" si="36"/>
        <v>#REF!</v>
      </c>
      <c r="L263" s="39" t="e">
        <f t="shared" ca="1" si="37"/>
        <v>#REF!</v>
      </c>
      <c r="M263" s="39" t="e">
        <f t="shared" ca="1" si="38"/>
        <v>#REF!</v>
      </c>
    </row>
    <row r="264" spans="1:13">
      <c r="A264" s="39" t="e">
        <f t="shared" ca="1" si="35"/>
        <v>#REF!</v>
      </c>
      <c r="B264" s="39" t="e">
        <f t="shared" ca="1" si="36"/>
        <v>#REF!</v>
      </c>
      <c r="L264" s="39" t="e">
        <f t="shared" ca="1" si="37"/>
        <v>#REF!</v>
      </c>
      <c r="M264" s="39" t="e">
        <f t="shared" ca="1" si="38"/>
        <v>#REF!</v>
      </c>
    </row>
    <row r="265" spans="1:13">
      <c r="A265" s="39" t="e">
        <f t="shared" ca="1" si="35"/>
        <v>#REF!</v>
      </c>
      <c r="B265" s="39" t="e">
        <f t="shared" ca="1" si="36"/>
        <v>#REF!</v>
      </c>
      <c r="L265" s="39" t="e">
        <f t="shared" ca="1" si="37"/>
        <v>#REF!</v>
      </c>
      <c r="M265" s="39" t="e">
        <f t="shared" ca="1" si="38"/>
        <v>#REF!</v>
      </c>
    </row>
    <row r="266" spans="1:13">
      <c r="A266" s="39" t="e">
        <f t="shared" ca="1" si="35"/>
        <v>#REF!</v>
      </c>
      <c r="B266" s="39" t="e">
        <f t="shared" ca="1" si="36"/>
        <v>#REF!</v>
      </c>
      <c r="L266" s="39" t="e">
        <f t="shared" ca="1" si="37"/>
        <v>#REF!</v>
      </c>
      <c r="M266" s="39" t="e">
        <f t="shared" ca="1" si="38"/>
        <v>#REF!</v>
      </c>
    </row>
    <row r="267" spans="1:13">
      <c r="A267" s="39" t="e">
        <f t="shared" ca="1" si="35"/>
        <v>#REF!</v>
      </c>
      <c r="B267" s="39" t="e">
        <f t="shared" ca="1" si="36"/>
        <v>#REF!</v>
      </c>
      <c r="L267" s="39" t="e">
        <f t="shared" ca="1" si="37"/>
        <v>#REF!</v>
      </c>
      <c r="M267" s="39" t="e">
        <f t="shared" ca="1" si="38"/>
        <v>#REF!</v>
      </c>
    </row>
    <row r="268" spans="1:13">
      <c r="A268" s="39" t="e">
        <f t="shared" ca="1" si="35"/>
        <v>#REF!</v>
      </c>
      <c r="B268" s="39" t="e">
        <f t="shared" ca="1" si="36"/>
        <v>#REF!</v>
      </c>
      <c r="L268" s="39" t="e">
        <f t="shared" ca="1" si="37"/>
        <v>#REF!</v>
      </c>
      <c r="M268" s="39" t="e">
        <f t="shared" ca="1" si="38"/>
        <v>#REF!</v>
      </c>
    </row>
    <row r="269" spans="1:13">
      <c r="A269" s="39" t="e">
        <f t="shared" ca="1" si="35"/>
        <v>#REF!</v>
      </c>
      <c r="B269" s="39" t="e">
        <f t="shared" ca="1" si="36"/>
        <v>#REF!</v>
      </c>
      <c r="L269" s="39" t="e">
        <f t="shared" ca="1" si="37"/>
        <v>#REF!</v>
      </c>
      <c r="M269" s="39" t="e">
        <f t="shared" ca="1" si="38"/>
        <v>#REF!</v>
      </c>
    </row>
    <row r="270" spans="1:13">
      <c r="A270" s="39" t="e">
        <f t="shared" ca="1" si="35"/>
        <v>#REF!</v>
      </c>
      <c r="B270" s="39" t="e">
        <f t="shared" ca="1" si="36"/>
        <v>#REF!</v>
      </c>
      <c r="L270" s="39" t="e">
        <f t="shared" ca="1" si="37"/>
        <v>#REF!</v>
      </c>
      <c r="M270" s="39" t="e">
        <f t="shared" ca="1" si="38"/>
        <v>#REF!</v>
      </c>
    </row>
    <row r="271" spans="1:13">
      <c r="A271" s="39" t="e">
        <f t="shared" ca="1" si="35"/>
        <v>#REF!</v>
      </c>
      <c r="B271" s="39" t="e">
        <f t="shared" ca="1" si="36"/>
        <v>#REF!</v>
      </c>
      <c r="L271" s="39" t="e">
        <f t="shared" ca="1" si="37"/>
        <v>#REF!</v>
      </c>
      <c r="M271" s="39" t="e">
        <f t="shared" ca="1" si="38"/>
        <v>#REF!</v>
      </c>
    </row>
    <row r="272" spans="1:13">
      <c r="A272" s="39" t="e">
        <f t="shared" ca="1" si="35"/>
        <v>#REF!</v>
      </c>
      <c r="B272" s="39" t="e">
        <f t="shared" ca="1" si="36"/>
        <v>#REF!</v>
      </c>
      <c r="L272" s="39" t="e">
        <f t="shared" ca="1" si="37"/>
        <v>#REF!</v>
      </c>
      <c r="M272" s="39" t="e">
        <f t="shared" ca="1" si="38"/>
        <v>#REF!</v>
      </c>
    </row>
    <row r="273" spans="1:13">
      <c r="A273" s="39" t="e">
        <f t="shared" ca="1" si="35"/>
        <v>#REF!</v>
      </c>
      <c r="B273" s="39" t="e">
        <f t="shared" ca="1" si="36"/>
        <v>#REF!</v>
      </c>
      <c r="L273" s="39" t="e">
        <f t="shared" ca="1" si="37"/>
        <v>#REF!</v>
      </c>
      <c r="M273" s="39" t="e">
        <f t="shared" ca="1" si="38"/>
        <v>#REF!</v>
      </c>
    </row>
    <row r="274" spans="1:13">
      <c r="A274" s="39" t="e">
        <f t="shared" ca="1" si="35"/>
        <v>#REF!</v>
      </c>
      <c r="B274" s="39" t="e">
        <f t="shared" ca="1" si="36"/>
        <v>#REF!</v>
      </c>
      <c r="L274" s="39" t="e">
        <f t="shared" ca="1" si="37"/>
        <v>#REF!</v>
      </c>
      <c r="M274" s="39" t="e">
        <f t="shared" ca="1" si="38"/>
        <v>#REF!</v>
      </c>
    </row>
    <row r="275" spans="1:13">
      <c r="A275" s="39" t="e">
        <f t="shared" ca="1" si="35"/>
        <v>#REF!</v>
      </c>
      <c r="B275" s="39" t="e">
        <f t="shared" ca="1" si="36"/>
        <v>#REF!</v>
      </c>
      <c r="L275" s="39" t="e">
        <f t="shared" ca="1" si="37"/>
        <v>#REF!</v>
      </c>
      <c r="M275" s="39" t="e">
        <f t="shared" ca="1" si="38"/>
        <v>#REF!</v>
      </c>
    </row>
    <row r="276" spans="1:13">
      <c r="A276" s="39" t="e">
        <f t="shared" ca="1" si="35"/>
        <v>#REF!</v>
      </c>
      <c r="B276" s="39" t="e">
        <f t="shared" ca="1" si="36"/>
        <v>#REF!</v>
      </c>
      <c r="L276" s="39" t="e">
        <f t="shared" ca="1" si="37"/>
        <v>#REF!</v>
      </c>
      <c r="M276" s="39" t="e">
        <f t="shared" ca="1" si="38"/>
        <v>#REF!</v>
      </c>
    </row>
    <row r="277" spans="1:13">
      <c r="A277" s="39" t="e">
        <f t="shared" ca="1" si="35"/>
        <v>#REF!</v>
      </c>
      <c r="B277" s="39" t="e">
        <f t="shared" ca="1" si="36"/>
        <v>#REF!</v>
      </c>
      <c r="L277" s="39" t="e">
        <f t="shared" ca="1" si="37"/>
        <v>#REF!</v>
      </c>
      <c r="M277" s="39" t="e">
        <f t="shared" ca="1" si="38"/>
        <v>#REF!</v>
      </c>
    </row>
    <row r="278" spans="1:13">
      <c r="A278" s="39" t="e">
        <f t="shared" ca="1" si="35"/>
        <v>#REF!</v>
      </c>
      <c r="B278" s="39" t="e">
        <f t="shared" ca="1" si="36"/>
        <v>#REF!</v>
      </c>
      <c r="L278" s="39" t="e">
        <f t="shared" ca="1" si="37"/>
        <v>#REF!</v>
      </c>
      <c r="M278" s="39" t="e">
        <f t="shared" ca="1" si="38"/>
        <v>#REF!</v>
      </c>
    </row>
    <row r="279" spans="1:13">
      <c r="A279" s="39" t="e">
        <f t="shared" ca="1" si="35"/>
        <v>#REF!</v>
      </c>
      <c r="B279" s="39" t="e">
        <f t="shared" ca="1" si="36"/>
        <v>#REF!</v>
      </c>
      <c r="L279" s="39" t="e">
        <f t="shared" ca="1" si="37"/>
        <v>#REF!</v>
      </c>
      <c r="M279" s="39" t="e">
        <f t="shared" ca="1" si="38"/>
        <v>#REF!</v>
      </c>
    </row>
    <row r="280" spans="1:13">
      <c r="A280" s="39" t="e">
        <f t="shared" ca="1" si="35"/>
        <v>#REF!</v>
      </c>
      <c r="B280" s="39" t="e">
        <f t="shared" ca="1" si="36"/>
        <v>#REF!</v>
      </c>
      <c r="L280" s="39" t="e">
        <f t="shared" ca="1" si="37"/>
        <v>#REF!</v>
      </c>
      <c r="M280" s="39" t="e">
        <f t="shared" ca="1" si="38"/>
        <v>#REF!</v>
      </c>
    </row>
    <row r="281" spans="1:13">
      <c r="A281" s="39" t="e">
        <f t="shared" ca="1" si="35"/>
        <v>#REF!</v>
      </c>
      <c r="B281" s="39" t="e">
        <f t="shared" ca="1" si="36"/>
        <v>#REF!</v>
      </c>
      <c r="L281" s="39" t="e">
        <f t="shared" ca="1" si="37"/>
        <v>#REF!</v>
      </c>
      <c r="M281" s="39" t="e">
        <f t="shared" ca="1" si="38"/>
        <v>#REF!</v>
      </c>
    </row>
    <row r="282" spans="1:13">
      <c r="A282" s="39" t="e">
        <f t="shared" ca="1" si="35"/>
        <v>#REF!</v>
      </c>
      <c r="B282" s="39" t="e">
        <f t="shared" ca="1" si="36"/>
        <v>#REF!</v>
      </c>
      <c r="L282" s="39" t="e">
        <f t="shared" ca="1" si="37"/>
        <v>#REF!</v>
      </c>
      <c r="M282" s="39" t="e">
        <f t="shared" ca="1" si="38"/>
        <v>#REF!</v>
      </c>
    </row>
    <row r="283" spans="1:13">
      <c r="A283" s="39" t="e">
        <f t="shared" ca="1" si="35"/>
        <v>#REF!</v>
      </c>
      <c r="B283" s="39" t="e">
        <f t="shared" ca="1" si="36"/>
        <v>#REF!</v>
      </c>
      <c r="L283" s="39" t="e">
        <f t="shared" ca="1" si="37"/>
        <v>#REF!</v>
      </c>
      <c r="M283" s="39" t="e">
        <f t="shared" ca="1" si="38"/>
        <v>#REF!</v>
      </c>
    </row>
    <row r="284" spans="1:13">
      <c r="A284" s="39" t="e">
        <f t="shared" ca="1" si="35"/>
        <v>#REF!</v>
      </c>
      <c r="B284" s="39" t="e">
        <f t="shared" ca="1" si="36"/>
        <v>#REF!</v>
      </c>
      <c r="L284" s="39" t="e">
        <f t="shared" ca="1" si="37"/>
        <v>#REF!</v>
      </c>
      <c r="M284" s="39" t="e">
        <f t="shared" ca="1" si="38"/>
        <v>#REF!</v>
      </c>
    </row>
    <row r="285" spans="1:13">
      <c r="A285" s="39" t="e">
        <f t="shared" ca="1" si="35"/>
        <v>#REF!</v>
      </c>
      <c r="B285" s="39" t="e">
        <f t="shared" ca="1" si="36"/>
        <v>#REF!</v>
      </c>
      <c r="L285" s="39" t="e">
        <f t="shared" ca="1" si="37"/>
        <v>#REF!</v>
      </c>
      <c r="M285" s="39" t="e">
        <f t="shared" ca="1" si="38"/>
        <v>#REF!</v>
      </c>
    </row>
    <row r="286" spans="1:13">
      <c r="A286" s="39" t="e">
        <f t="shared" ca="1" si="35"/>
        <v>#REF!</v>
      </c>
      <c r="B286" s="39" t="e">
        <f t="shared" ca="1" si="36"/>
        <v>#REF!</v>
      </c>
      <c r="L286" s="39" t="e">
        <f t="shared" ca="1" si="37"/>
        <v>#REF!</v>
      </c>
      <c r="M286" s="39" t="e">
        <f t="shared" ca="1" si="38"/>
        <v>#REF!</v>
      </c>
    </row>
    <row r="287" spans="1:13">
      <c r="A287" s="39" t="e">
        <f t="shared" ca="1" si="35"/>
        <v>#REF!</v>
      </c>
      <c r="B287" s="39" t="e">
        <f t="shared" ca="1" si="36"/>
        <v>#REF!</v>
      </c>
      <c r="L287" s="39" t="e">
        <f t="shared" ca="1" si="37"/>
        <v>#REF!</v>
      </c>
      <c r="M287" s="39" t="e">
        <f t="shared" ca="1" si="38"/>
        <v>#REF!</v>
      </c>
    </row>
    <row r="288" spans="1:13">
      <c r="A288" s="39" t="e">
        <f t="shared" ca="1" si="35"/>
        <v>#REF!</v>
      </c>
      <c r="B288" s="39" t="e">
        <f t="shared" ca="1" si="36"/>
        <v>#REF!</v>
      </c>
      <c r="L288" s="39" t="e">
        <f t="shared" ca="1" si="37"/>
        <v>#REF!</v>
      </c>
      <c r="M288" s="39" t="e">
        <f t="shared" ca="1" si="38"/>
        <v>#REF!</v>
      </c>
    </row>
    <row r="289" spans="1:13">
      <c r="A289" s="39" t="e">
        <f t="shared" ca="1" si="35"/>
        <v>#REF!</v>
      </c>
      <c r="B289" s="39" t="e">
        <f t="shared" ca="1" si="36"/>
        <v>#REF!</v>
      </c>
      <c r="L289" s="39" t="e">
        <f t="shared" ca="1" si="37"/>
        <v>#REF!</v>
      </c>
      <c r="M289" s="39" t="e">
        <f t="shared" ca="1" si="38"/>
        <v>#REF!</v>
      </c>
    </row>
    <row r="290" spans="1:13">
      <c r="A290" s="39" t="e">
        <f t="shared" ca="1" si="35"/>
        <v>#REF!</v>
      </c>
      <c r="B290" s="39" t="e">
        <f t="shared" ca="1" si="36"/>
        <v>#REF!</v>
      </c>
      <c r="L290" s="39" t="e">
        <f t="shared" ca="1" si="37"/>
        <v>#REF!</v>
      </c>
      <c r="M290" s="39" t="e">
        <f t="shared" ca="1" si="38"/>
        <v>#REF!</v>
      </c>
    </row>
    <row r="291" spans="1:13">
      <c r="A291" s="39" t="e">
        <f t="shared" ca="1" si="35"/>
        <v>#REF!</v>
      </c>
      <c r="B291" s="39" t="e">
        <f t="shared" ca="1" si="36"/>
        <v>#REF!</v>
      </c>
      <c r="L291" s="39" t="e">
        <f t="shared" ca="1" si="37"/>
        <v>#REF!</v>
      </c>
      <c r="M291" s="39" t="e">
        <f t="shared" ca="1" si="38"/>
        <v>#REF!</v>
      </c>
    </row>
    <row r="292" spans="1:13">
      <c r="A292" s="39" t="e">
        <f t="shared" ca="1" si="35"/>
        <v>#REF!</v>
      </c>
      <c r="B292" s="39" t="e">
        <f t="shared" ca="1" si="36"/>
        <v>#REF!</v>
      </c>
      <c r="L292" s="39" t="e">
        <f t="shared" ca="1" si="37"/>
        <v>#REF!</v>
      </c>
      <c r="M292" s="39" t="e">
        <f t="shared" ca="1" si="38"/>
        <v>#REF!</v>
      </c>
    </row>
    <row r="293" spans="1:13">
      <c r="A293" s="39" t="e">
        <f t="shared" ca="1" si="35"/>
        <v>#REF!</v>
      </c>
      <c r="B293" s="39" t="e">
        <f t="shared" ca="1" si="36"/>
        <v>#REF!</v>
      </c>
      <c r="L293" s="39" t="e">
        <f t="shared" ca="1" si="37"/>
        <v>#REF!</v>
      </c>
      <c r="M293" s="39" t="e">
        <f t="shared" ca="1" si="38"/>
        <v>#REF!</v>
      </c>
    </row>
    <row r="294" spans="1:13">
      <c r="A294" s="39" t="e">
        <f t="shared" ref="A294:A357" ca="1" si="39">IF(INDIRECT($B$1&amp;ADDRESS(ROW($C$15),ROW(C271)-12))="","",INDIRECT($B$1&amp;ADDRESS(ROW($C$15),ROW(C271)-12)))</f>
        <v>#REF!</v>
      </c>
      <c r="B294" s="39" t="e">
        <f t="shared" ref="B294:B357" ca="1" si="40">IF(INDIRECT($B$1&amp;ADDRESS(ROW($C$5),ROW(C261)-2))="","",INDIRECT($B$1&amp;ADDRESS(ROW($C$5),ROW(C261)-2)))</f>
        <v>#REF!</v>
      </c>
      <c r="L294" s="39" t="e">
        <f t="shared" ref="L294:L357" ca="1" si="41">IF(INDIRECT($M$1&amp;ADDRESS(ROW($C$15),ROW(N271)-12))="","",INDIRECT($M$1&amp;ADDRESS(ROW($C$15),ROW(N271)-12)))</f>
        <v>#REF!</v>
      </c>
      <c r="M294" s="39" t="e">
        <f t="shared" ref="M294:M357" ca="1" si="42">IF(INDIRECT($M$1&amp;ADDRESS(ROW($C$5),ROW(N261)-2))="","",INDIRECT($M$1&amp;ADDRESS(ROW($C$5),ROW(N261)-2)))</f>
        <v>#REF!</v>
      </c>
    </row>
    <row r="295" spans="1:13">
      <c r="A295" s="39" t="e">
        <f t="shared" ca="1" si="39"/>
        <v>#REF!</v>
      </c>
      <c r="B295" s="39" t="e">
        <f t="shared" ca="1" si="40"/>
        <v>#REF!</v>
      </c>
      <c r="L295" s="39" t="e">
        <f t="shared" ca="1" si="41"/>
        <v>#REF!</v>
      </c>
      <c r="M295" s="39" t="e">
        <f t="shared" ca="1" si="42"/>
        <v>#REF!</v>
      </c>
    </row>
    <row r="296" spans="1:13">
      <c r="A296" s="39" t="e">
        <f t="shared" ca="1" si="39"/>
        <v>#REF!</v>
      </c>
      <c r="B296" s="39" t="e">
        <f t="shared" ca="1" si="40"/>
        <v>#REF!</v>
      </c>
      <c r="L296" s="39" t="e">
        <f t="shared" ca="1" si="41"/>
        <v>#REF!</v>
      </c>
      <c r="M296" s="39" t="e">
        <f t="shared" ca="1" si="42"/>
        <v>#REF!</v>
      </c>
    </row>
    <row r="297" spans="1:13">
      <c r="A297" s="39" t="e">
        <f t="shared" ca="1" si="39"/>
        <v>#REF!</v>
      </c>
      <c r="B297" s="39" t="e">
        <f t="shared" ca="1" si="40"/>
        <v>#REF!</v>
      </c>
      <c r="L297" s="39" t="e">
        <f t="shared" ca="1" si="41"/>
        <v>#REF!</v>
      </c>
      <c r="M297" s="39" t="e">
        <f t="shared" ca="1" si="42"/>
        <v>#REF!</v>
      </c>
    </row>
    <row r="298" spans="1:13">
      <c r="A298" s="39" t="e">
        <f t="shared" ca="1" si="39"/>
        <v>#REF!</v>
      </c>
      <c r="B298" s="39" t="e">
        <f t="shared" ca="1" si="40"/>
        <v>#REF!</v>
      </c>
      <c r="L298" s="39" t="e">
        <f t="shared" ca="1" si="41"/>
        <v>#REF!</v>
      </c>
      <c r="M298" s="39" t="e">
        <f t="shared" ca="1" si="42"/>
        <v>#REF!</v>
      </c>
    </row>
    <row r="299" spans="1:13">
      <c r="A299" s="39" t="e">
        <f t="shared" ca="1" si="39"/>
        <v>#REF!</v>
      </c>
      <c r="B299" s="39" t="e">
        <f t="shared" ca="1" si="40"/>
        <v>#REF!</v>
      </c>
      <c r="L299" s="39" t="e">
        <f t="shared" ca="1" si="41"/>
        <v>#REF!</v>
      </c>
      <c r="M299" s="39" t="e">
        <f t="shared" ca="1" si="42"/>
        <v>#REF!</v>
      </c>
    </row>
    <row r="300" spans="1:13">
      <c r="A300" s="39" t="e">
        <f t="shared" ca="1" si="39"/>
        <v>#REF!</v>
      </c>
      <c r="B300" s="39" t="e">
        <f t="shared" ca="1" si="40"/>
        <v>#REF!</v>
      </c>
      <c r="L300" s="39" t="e">
        <f t="shared" ca="1" si="41"/>
        <v>#REF!</v>
      </c>
      <c r="M300" s="39" t="e">
        <f t="shared" ca="1" si="42"/>
        <v>#REF!</v>
      </c>
    </row>
    <row r="301" spans="1:13">
      <c r="A301" s="39" t="e">
        <f t="shared" ca="1" si="39"/>
        <v>#REF!</v>
      </c>
      <c r="B301" s="39" t="e">
        <f t="shared" ca="1" si="40"/>
        <v>#REF!</v>
      </c>
      <c r="L301" s="39" t="e">
        <f t="shared" ca="1" si="41"/>
        <v>#REF!</v>
      </c>
      <c r="M301" s="39" t="e">
        <f t="shared" ca="1" si="42"/>
        <v>#REF!</v>
      </c>
    </row>
    <row r="302" spans="1:13">
      <c r="A302" s="39" t="e">
        <f t="shared" ca="1" si="39"/>
        <v>#REF!</v>
      </c>
      <c r="B302" s="39" t="e">
        <f t="shared" ca="1" si="40"/>
        <v>#REF!</v>
      </c>
      <c r="L302" s="39" t="e">
        <f t="shared" ca="1" si="41"/>
        <v>#REF!</v>
      </c>
      <c r="M302" s="39" t="e">
        <f t="shared" ca="1" si="42"/>
        <v>#REF!</v>
      </c>
    </row>
    <row r="303" spans="1:13">
      <c r="A303" s="39" t="e">
        <f t="shared" ca="1" si="39"/>
        <v>#REF!</v>
      </c>
      <c r="B303" s="39" t="e">
        <f t="shared" ca="1" si="40"/>
        <v>#REF!</v>
      </c>
      <c r="L303" s="39" t="e">
        <f t="shared" ca="1" si="41"/>
        <v>#REF!</v>
      </c>
      <c r="M303" s="39" t="e">
        <f t="shared" ca="1" si="42"/>
        <v>#REF!</v>
      </c>
    </row>
    <row r="304" spans="1:13">
      <c r="A304" s="39" t="e">
        <f t="shared" ca="1" si="39"/>
        <v>#REF!</v>
      </c>
      <c r="B304" s="39" t="e">
        <f t="shared" ca="1" si="40"/>
        <v>#REF!</v>
      </c>
      <c r="L304" s="39" t="e">
        <f t="shared" ca="1" si="41"/>
        <v>#REF!</v>
      </c>
      <c r="M304" s="39" t="e">
        <f t="shared" ca="1" si="42"/>
        <v>#REF!</v>
      </c>
    </row>
    <row r="305" spans="1:13">
      <c r="A305" s="39" t="e">
        <f t="shared" ca="1" si="39"/>
        <v>#REF!</v>
      </c>
      <c r="B305" s="39" t="e">
        <f t="shared" ca="1" si="40"/>
        <v>#REF!</v>
      </c>
      <c r="L305" s="39" t="e">
        <f t="shared" ca="1" si="41"/>
        <v>#REF!</v>
      </c>
      <c r="M305" s="39" t="e">
        <f t="shared" ca="1" si="42"/>
        <v>#REF!</v>
      </c>
    </row>
    <row r="306" spans="1:13">
      <c r="A306" s="39" t="e">
        <f t="shared" ca="1" si="39"/>
        <v>#REF!</v>
      </c>
      <c r="B306" s="39" t="e">
        <f t="shared" ca="1" si="40"/>
        <v>#REF!</v>
      </c>
      <c r="L306" s="39" t="e">
        <f t="shared" ca="1" si="41"/>
        <v>#REF!</v>
      </c>
      <c r="M306" s="39" t="e">
        <f t="shared" ca="1" si="42"/>
        <v>#REF!</v>
      </c>
    </row>
    <row r="307" spans="1:13">
      <c r="A307" s="39" t="e">
        <f t="shared" ca="1" si="39"/>
        <v>#REF!</v>
      </c>
      <c r="B307" s="39" t="e">
        <f t="shared" ca="1" si="40"/>
        <v>#REF!</v>
      </c>
      <c r="L307" s="39" t="e">
        <f t="shared" ca="1" si="41"/>
        <v>#REF!</v>
      </c>
      <c r="M307" s="39" t="e">
        <f t="shared" ca="1" si="42"/>
        <v>#REF!</v>
      </c>
    </row>
    <row r="308" spans="1:13">
      <c r="A308" s="39" t="e">
        <f t="shared" ca="1" si="39"/>
        <v>#REF!</v>
      </c>
      <c r="B308" s="39" t="e">
        <f t="shared" ca="1" si="40"/>
        <v>#REF!</v>
      </c>
      <c r="L308" s="39" t="e">
        <f t="shared" ca="1" si="41"/>
        <v>#REF!</v>
      </c>
      <c r="M308" s="39" t="e">
        <f t="shared" ca="1" si="42"/>
        <v>#REF!</v>
      </c>
    </row>
    <row r="309" spans="1:13">
      <c r="A309" s="39" t="e">
        <f t="shared" ca="1" si="39"/>
        <v>#REF!</v>
      </c>
      <c r="B309" s="39" t="e">
        <f t="shared" ca="1" si="40"/>
        <v>#REF!</v>
      </c>
      <c r="L309" s="39" t="e">
        <f t="shared" ca="1" si="41"/>
        <v>#REF!</v>
      </c>
      <c r="M309" s="39" t="e">
        <f t="shared" ca="1" si="42"/>
        <v>#REF!</v>
      </c>
    </row>
    <row r="310" spans="1:13">
      <c r="A310" s="39" t="e">
        <f t="shared" ca="1" si="39"/>
        <v>#REF!</v>
      </c>
      <c r="B310" s="39" t="e">
        <f t="shared" ca="1" si="40"/>
        <v>#REF!</v>
      </c>
      <c r="L310" s="39" t="e">
        <f t="shared" ca="1" si="41"/>
        <v>#REF!</v>
      </c>
      <c r="M310" s="39" t="e">
        <f t="shared" ca="1" si="42"/>
        <v>#REF!</v>
      </c>
    </row>
    <row r="311" spans="1:13">
      <c r="A311" s="39" t="e">
        <f t="shared" ca="1" si="39"/>
        <v>#REF!</v>
      </c>
      <c r="B311" s="39" t="e">
        <f t="shared" ca="1" si="40"/>
        <v>#REF!</v>
      </c>
      <c r="L311" s="39" t="e">
        <f t="shared" ca="1" si="41"/>
        <v>#REF!</v>
      </c>
      <c r="M311" s="39" t="e">
        <f t="shared" ca="1" si="42"/>
        <v>#REF!</v>
      </c>
    </row>
    <row r="312" spans="1:13">
      <c r="A312" s="39" t="e">
        <f t="shared" ca="1" si="39"/>
        <v>#REF!</v>
      </c>
      <c r="B312" s="39" t="e">
        <f t="shared" ca="1" si="40"/>
        <v>#REF!</v>
      </c>
      <c r="L312" s="39" t="e">
        <f t="shared" ca="1" si="41"/>
        <v>#REF!</v>
      </c>
      <c r="M312" s="39" t="e">
        <f t="shared" ca="1" si="42"/>
        <v>#REF!</v>
      </c>
    </row>
    <row r="313" spans="1:13">
      <c r="A313" s="39" t="e">
        <f t="shared" ca="1" si="39"/>
        <v>#REF!</v>
      </c>
      <c r="B313" s="39" t="e">
        <f t="shared" ca="1" si="40"/>
        <v>#REF!</v>
      </c>
      <c r="L313" s="39" t="e">
        <f t="shared" ca="1" si="41"/>
        <v>#REF!</v>
      </c>
      <c r="M313" s="39" t="e">
        <f t="shared" ca="1" si="42"/>
        <v>#REF!</v>
      </c>
    </row>
    <row r="314" spans="1:13">
      <c r="A314" s="39" t="e">
        <f t="shared" ca="1" si="39"/>
        <v>#REF!</v>
      </c>
      <c r="B314" s="39" t="e">
        <f t="shared" ca="1" si="40"/>
        <v>#REF!</v>
      </c>
      <c r="L314" s="39" t="e">
        <f t="shared" ca="1" si="41"/>
        <v>#REF!</v>
      </c>
      <c r="M314" s="39" t="e">
        <f t="shared" ca="1" si="42"/>
        <v>#REF!</v>
      </c>
    </row>
    <row r="315" spans="1:13">
      <c r="A315" s="39" t="e">
        <f t="shared" ca="1" si="39"/>
        <v>#REF!</v>
      </c>
      <c r="B315" s="39" t="e">
        <f t="shared" ca="1" si="40"/>
        <v>#REF!</v>
      </c>
      <c r="L315" s="39" t="e">
        <f t="shared" ca="1" si="41"/>
        <v>#REF!</v>
      </c>
      <c r="M315" s="39" t="e">
        <f t="shared" ca="1" si="42"/>
        <v>#REF!</v>
      </c>
    </row>
    <row r="316" spans="1:13">
      <c r="A316" s="39" t="e">
        <f t="shared" ca="1" si="39"/>
        <v>#REF!</v>
      </c>
      <c r="B316" s="39" t="e">
        <f t="shared" ca="1" si="40"/>
        <v>#REF!</v>
      </c>
      <c r="L316" s="39" t="e">
        <f t="shared" ca="1" si="41"/>
        <v>#REF!</v>
      </c>
      <c r="M316" s="39" t="e">
        <f t="shared" ca="1" si="42"/>
        <v>#REF!</v>
      </c>
    </row>
    <row r="317" spans="1:13">
      <c r="A317" s="39" t="e">
        <f t="shared" ca="1" si="39"/>
        <v>#REF!</v>
      </c>
      <c r="B317" s="39" t="e">
        <f t="shared" ca="1" si="40"/>
        <v>#REF!</v>
      </c>
      <c r="L317" s="39" t="e">
        <f t="shared" ca="1" si="41"/>
        <v>#REF!</v>
      </c>
      <c r="M317" s="39" t="e">
        <f t="shared" ca="1" si="42"/>
        <v>#REF!</v>
      </c>
    </row>
    <row r="318" spans="1:13">
      <c r="A318" s="39" t="e">
        <f t="shared" ca="1" si="39"/>
        <v>#REF!</v>
      </c>
      <c r="B318" s="39" t="e">
        <f t="shared" ca="1" si="40"/>
        <v>#REF!</v>
      </c>
      <c r="L318" s="39" t="e">
        <f t="shared" ca="1" si="41"/>
        <v>#REF!</v>
      </c>
      <c r="M318" s="39" t="e">
        <f t="shared" ca="1" si="42"/>
        <v>#REF!</v>
      </c>
    </row>
    <row r="319" spans="1:13">
      <c r="A319" s="39" t="e">
        <f t="shared" ca="1" si="39"/>
        <v>#REF!</v>
      </c>
      <c r="B319" s="39" t="e">
        <f t="shared" ca="1" si="40"/>
        <v>#REF!</v>
      </c>
      <c r="L319" s="39" t="e">
        <f t="shared" ca="1" si="41"/>
        <v>#REF!</v>
      </c>
      <c r="M319" s="39" t="e">
        <f t="shared" ca="1" si="42"/>
        <v>#REF!</v>
      </c>
    </row>
    <row r="320" spans="1:13">
      <c r="A320" s="39" t="e">
        <f t="shared" ca="1" si="39"/>
        <v>#REF!</v>
      </c>
      <c r="B320" s="39" t="e">
        <f t="shared" ca="1" si="40"/>
        <v>#REF!</v>
      </c>
      <c r="L320" s="39" t="e">
        <f t="shared" ca="1" si="41"/>
        <v>#REF!</v>
      </c>
      <c r="M320" s="39" t="e">
        <f t="shared" ca="1" si="42"/>
        <v>#REF!</v>
      </c>
    </row>
    <row r="321" spans="1:13">
      <c r="A321" s="39" t="e">
        <f t="shared" ca="1" si="39"/>
        <v>#REF!</v>
      </c>
      <c r="B321" s="39" t="e">
        <f t="shared" ca="1" si="40"/>
        <v>#REF!</v>
      </c>
      <c r="L321" s="39" t="e">
        <f t="shared" ca="1" si="41"/>
        <v>#REF!</v>
      </c>
      <c r="M321" s="39" t="e">
        <f t="shared" ca="1" si="42"/>
        <v>#REF!</v>
      </c>
    </row>
    <row r="322" spans="1:13">
      <c r="A322" s="39" t="e">
        <f t="shared" ca="1" si="39"/>
        <v>#REF!</v>
      </c>
      <c r="B322" s="39" t="e">
        <f t="shared" ca="1" si="40"/>
        <v>#REF!</v>
      </c>
      <c r="L322" s="39" t="e">
        <f t="shared" ca="1" si="41"/>
        <v>#REF!</v>
      </c>
      <c r="M322" s="39" t="e">
        <f t="shared" ca="1" si="42"/>
        <v>#REF!</v>
      </c>
    </row>
    <row r="323" spans="1:13">
      <c r="A323" s="39" t="e">
        <f t="shared" ca="1" si="39"/>
        <v>#REF!</v>
      </c>
      <c r="B323" s="39" t="e">
        <f t="shared" ca="1" si="40"/>
        <v>#REF!</v>
      </c>
      <c r="L323" s="39" t="e">
        <f t="shared" ca="1" si="41"/>
        <v>#REF!</v>
      </c>
      <c r="M323" s="39" t="e">
        <f t="shared" ca="1" si="42"/>
        <v>#REF!</v>
      </c>
    </row>
    <row r="324" spans="1:13">
      <c r="A324" s="39" t="e">
        <f t="shared" ca="1" si="39"/>
        <v>#REF!</v>
      </c>
      <c r="B324" s="39" t="e">
        <f t="shared" ca="1" si="40"/>
        <v>#REF!</v>
      </c>
      <c r="L324" s="39" t="e">
        <f t="shared" ca="1" si="41"/>
        <v>#REF!</v>
      </c>
      <c r="M324" s="39" t="e">
        <f t="shared" ca="1" si="42"/>
        <v>#REF!</v>
      </c>
    </row>
    <row r="325" spans="1:13">
      <c r="A325" s="39" t="e">
        <f t="shared" ca="1" si="39"/>
        <v>#REF!</v>
      </c>
      <c r="B325" s="39" t="e">
        <f t="shared" ca="1" si="40"/>
        <v>#REF!</v>
      </c>
      <c r="L325" s="39" t="e">
        <f t="shared" ca="1" si="41"/>
        <v>#REF!</v>
      </c>
      <c r="M325" s="39" t="e">
        <f t="shared" ca="1" si="42"/>
        <v>#REF!</v>
      </c>
    </row>
    <row r="326" spans="1:13">
      <c r="A326" s="39" t="e">
        <f t="shared" ca="1" si="39"/>
        <v>#REF!</v>
      </c>
      <c r="B326" s="39" t="e">
        <f t="shared" ca="1" si="40"/>
        <v>#REF!</v>
      </c>
      <c r="L326" s="39" t="e">
        <f t="shared" ca="1" si="41"/>
        <v>#REF!</v>
      </c>
      <c r="M326" s="39" t="e">
        <f t="shared" ca="1" si="42"/>
        <v>#REF!</v>
      </c>
    </row>
    <row r="327" spans="1:13">
      <c r="A327" s="39" t="e">
        <f t="shared" ca="1" si="39"/>
        <v>#REF!</v>
      </c>
      <c r="B327" s="39" t="e">
        <f t="shared" ca="1" si="40"/>
        <v>#REF!</v>
      </c>
      <c r="L327" s="39" t="e">
        <f t="shared" ca="1" si="41"/>
        <v>#REF!</v>
      </c>
      <c r="M327" s="39" t="e">
        <f t="shared" ca="1" si="42"/>
        <v>#REF!</v>
      </c>
    </row>
    <row r="328" spans="1:13">
      <c r="A328" s="39" t="e">
        <f t="shared" ca="1" si="39"/>
        <v>#REF!</v>
      </c>
      <c r="B328" s="39" t="e">
        <f t="shared" ca="1" si="40"/>
        <v>#REF!</v>
      </c>
      <c r="L328" s="39" t="e">
        <f t="shared" ca="1" si="41"/>
        <v>#REF!</v>
      </c>
      <c r="M328" s="39" t="e">
        <f t="shared" ca="1" si="42"/>
        <v>#REF!</v>
      </c>
    </row>
    <row r="329" spans="1:13">
      <c r="A329" s="39" t="e">
        <f t="shared" ca="1" si="39"/>
        <v>#REF!</v>
      </c>
      <c r="B329" s="39" t="e">
        <f t="shared" ca="1" si="40"/>
        <v>#REF!</v>
      </c>
      <c r="L329" s="39" t="e">
        <f t="shared" ca="1" si="41"/>
        <v>#REF!</v>
      </c>
      <c r="M329" s="39" t="e">
        <f t="shared" ca="1" si="42"/>
        <v>#REF!</v>
      </c>
    </row>
    <row r="330" spans="1:13">
      <c r="A330" s="39" t="e">
        <f t="shared" ca="1" si="39"/>
        <v>#REF!</v>
      </c>
      <c r="B330" s="39" t="e">
        <f t="shared" ca="1" si="40"/>
        <v>#REF!</v>
      </c>
      <c r="L330" s="39" t="e">
        <f t="shared" ca="1" si="41"/>
        <v>#REF!</v>
      </c>
      <c r="M330" s="39" t="e">
        <f t="shared" ca="1" si="42"/>
        <v>#REF!</v>
      </c>
    </row>
    <row r="331" spans="1:13">
      <c r="A331" s="39" t="e">
        <f t="shared" ca="1" si="39"/>
        <v>#REF!</v>
      </c>
      <c r="B331" s="39" t="e">
        <f t="shared" ca="1" si="40"/>
        <v>#REF!</v>
      </c>
      <c r="L331" s="39" t="e">
        <f t="shared" ca="1" si="41"/>
        <v>#REF!</v>
      </c>
      <c r="M331" s="39" t="e">
        <f t="shared" ca="1" si="42"/>
        <v>#REF!</v>
      </c>
    </row>
    <row r="332" spans="1:13">
      <c r="A332" s="39" t="e">
        <f t="shared" ca="1" si="39"/>
        <v>#REF!</v>
      </c>
      <c r="B332" s="39" t="e">
        <f t="shared" ca="1" si="40"/>
        <v>#REF!</v>
      </c>
      <c r="L332" s="39" t="e">
        <f t="shared" ca="1" si="41"/>
        <v>#REF!</v>
      </c>
      <c r="M332" s="39" t="e">
        <f t="shared" ca="1" si="42"/>
        <v>#REF!</v>
      </c>
    </row>
    <row r="333" spans="1:13">
      <c r="A333" s="39" t="e">
        <f t="shared" ca="1" si="39"/>
        <v>#REF!</v>
      </c>
      <c r="B333" s="39" t="e">
        <f t="shared" ca="1" si="40"/>
        <v>#REF!</v>
      </c>
      <c r="L333" s="39" t="e">
        <f t="shared" ca="1" si="41"/>
        <v>#REF!</v>
      </c>
      <c r="M333" s="39" t="e">
        <f t="shared" ca="1" si="42"/>
        <v>#REF!</v>
      </c>
    </row>
    <row r="334" spans="1:13">
      <c r="A334" s="39" t="e">
        <f t="shared" ca="1" si="39"/>
        <v>#REF!</v>
      </c>
      <c r="B334" s="39" t="e">
        <f t="shared" ca="1" si="40"/>
        <v>#REF!</v>
      </c>
      <c r="L334" s="39" t="e">
        <f t="shared" ca="1" si="41"/>
        <v>#REF!</v>
      </c>
      <c r="M334" s="39" t="e">
        <f t="shared" ca="1" si="42"/>
        <v>#REF!</v>
      </c>
    </row>
    <row r="335" spans="1:13">
      <c r="A335" s="39" t="e">
        <f t="shared" ca="1" si="39"/>
        <v>#REF!</v>
      </c>
      <c r="B335" s="39" t="e">
        <f t="shared" ca="1" si="40"/>
        <v>#REF!</v>
      </c>
      <c r="L335" s="39" t="e">
        <f t="shared" ca="1" si="41"/>
        <v>#REF!</v>
      </c>
      <c r="M335" s="39" t="e">
        <f t="shared" ca="1" si="42"/>
        <v>#REF!</v>
      </c>
    </row>
    <row r="336" spans="1:13">
      <c r="A336" s="39" t="e">
        <f t="shared" ca="1" si="39"/>
        <v>#REF!</v>
      </c>
      <c r="B336" s="39" t="e">
        <f t="shared" ca="1" si="40"/>
        <v>#REF!</v>
      </c>
      <c r="L336" s="39" t="e">
        <f t="shared" ca="1" si="41"/>
        <v>#REF!</v>
      </c>
      <c r="M336" s="39" t="e">
        <f t="shared" ca="1" si="42"/>
        <v>#REF!</v>
      </c>
    </row>
    <row r="337" spans="1:13">
      <c r="A337" s="39" t="e">
        <f t="shared" ca="1" si="39"/>
        <v>#REF!</v>
      </c>
      <c r="B337" s="39" t="e">
        <f t="shared" ca="1" si="40"/>
        <v>#REF!</v>
      </c>
      <c r="L337" s="39" t="e">
        <f t="shared" ca="1" si="41"/>
        <v>#REF!</v>
      </c>
      <c r="M337" s="39" t="e">
        <f t="shared" ca="1" si="42"/>
        <v>#REF!</v>
      </c>
    </row>
    <row r="338" spans="1:13">
      <c r="A338" s="39" t="e">
        <f t="shared" ca="1" si="39"/>
        <v>#REF!</v>
      </c>
      <c r="B338" s="39" t="e">
        <f t="shared" ca="1" si="40"/>
        <v>#REF!</v>
      </c>
      <c r="L338" s="39" t="e">
        <f t="shared" ca="1" si="41"/>
        <v>#REF!</v>
      </c>
      <c r="M338" s="39" t="e">
        <f t="shared" ca="1" si="42"/>
        <v>#REF!</v>
      </c>
    </row>
    <row r="339" spans="1:13">
      <c r="A339" s="39" t="e">
        <f t="shared" ca="1" si="39"/>
        <v>#REF!</v>
      </c>
      <c r="B339" s="39" t="e">
        <f t="shared" ca="1" si="40"/>
        <v>#REF!</v>
      </c>
      <c r="L339" s="39" t="e">
        <f t="shared" ca="1" si="41"/>
        <v>#REF!</v>
      </c>
      <c r="M339" s="39" t="e">
        <f t="shared" ca="1" si="42"/>
        <v>#REF!</v>
      </c>
    </row>
    <row r="340" spans="1:13">
      <c r="A340" s="39" t="e">
        <f t="shared" ca="1" si="39"/>
        <v>#REF!</v>
      </c>
      <c r="B340" s="39" t="e">
        <f t="shared" ca="1" si="40"/>
        <v>#REF!</v>
      </c>
      <c r="L340" s="39" t="e">
        <f t="shared" ca="1" si="41"/>
        <v>#REF!</v>
      </c>
      <c r="M340" s="39" t="e">
        <f t="shared" ca="1" si="42"/>
        <v>#REF!</v>
      </c>
    </row>
    <row r="341" spans="1:13">
      <c r="A341" s="39" t="e">
        <f t="shared" ca="1" si="39"/>
        <v>#REF!</v>
      </c>
      <c r="B341" s="39" t="e">
        <f t="shared" ca="1" si="40"/>
        <v>#REF!</v>
      </c>
      <c r="L341" s="39" t="e">
        <f t="shared" ca="1" si="41"/>
        <v>#REF!</v>
      </c>
      <c r="M341" s="39" t="e">
        <f t="shared" ca="1" si="42"/>
        <v>#REF!</v>
      </c>
    </row>
    <row r="342" spans="1:13">
      <c r="A342" s="39" t="e">
        <f t="shared" ca="1" si="39"/>
        <v>#REF!</v>
      </c>
      <c r="B342" s="39" t="e">
        <f t="shared" ca="1" si="40"/>
        <v>#REF!</v>
      </c>
      <c r="L342" s="39" t="e">
        <f t="shared" ca="1" si="41"/>
        <v>#REF!</v>
      </c>
      <c r="M342" s="39" t="e">
        <f t="shared" ca="1" si="42"/>
        <v>#REF!</v>
      </c>
    </row>
    <row r="343" spans="1:13">
      <c r="A343" s="39" t="e">
        <f t="shared" ca="1" si="39"/>
        <v>#REF!</v>
      </c>
      <c r="B343" s="39" t="e">
        <f t="shared" ca="1" si="40"/>
        <v>#REF!</v>
      </c>
      <c r="L343" s="39" t="e">
        <f t="shared" ca="1" si="41"/>
        <v>#REF!</v>
      </c>
      <c r="M343" s="39" t="e">
        <f t="shared" ca="1" si="42"/>
        <v>#REF!</v>
      </c>
    </row>
    <row r="344" spans="1:13">
      <c r="A344" s="39" t="e">
        <f t="shared" ca="1" si="39"/>
        <v>#REF!</v>
      </c>
      <c r="B344" s="39" t="e">
        <f t="shared" ca="1" si="40"/>
        <v>#REF!</v>
      </c>
      <c r="L344" s="39" t="e">
        <f t="shared" ca="1" si="41"/>
        <v>#REF!</v>
      </c>
      <c r="M344" s="39" t="e">
        <f t="shared" ca="1" si="42"/>
        <v>#REF!</v>
      </c>
    </row>
    <row r="345" spans="1:13">
      <c r="A345" s="39" t="e">
        <f t="shared" ca="1" si="39"/>
        <v>#REF!</v>
      </c>
      <c r="B345" s="39" t="e">
        <f t="shared" ca="1" si="40"/>
        <v>#REF!</v>
      </c>
      <c r="L345" s="39" t="e">
        <f t="shared" ca="1" si="41"/>
        <v>#REF!</v>
      </c>
      <c r="M345" s="39" t="e">
        <f t="shared" ca="1" si="42"/>
        <v>#REF!</v>
      </c>
    </row>
    <row r="346" spans="1:13">
      <c r="A346" s="39" t="e">
        <f t="shared" ca="1" si="39"/>
        <v>#REF!</v>
      </c>
      <c r="B346" s="39" t="e">
        <f t="shared" ca="1" si="40"/>
        <v>#REF!</v>
      </c>
      <c r="L346" s="39" t="e">
        <f t="shared" ca="1" si="41"/>
        <v>#REF!</v>
      </c>
      <c r="M346" s="39" t="e">
        <f t="shared" ca="1" si="42"/>
        <v>#REF!</v>
      </c>
    </row>
    <row r="347" spans="1:13">
      <c r="A347" s="39" t="e">
        <f t="shared" ca="1" si="39"/>
        <v>#REF!</v>
      </c>
      <c r="B347" s="39" t="e">
        <f t="shared" ca="1" si="40"/>
        <v>#REF!</v>
      </c>
      <c r="L347" s="39" t="e">
        <f t="shared" ca="1" si="41"/>
        <v>#REF!</v>
      </c>
      <c r="M347" s="39" t="e">
        <f t="shared" ca="1" si="42"/>
        <v>#REF!</v>
      </c>
    </row>
    <row r="348" spans="1:13">
      <c r="A348" s="39" t="e">
        <f t="shared" ca="1" si="39"/>
        <v>#REF!</v>
      </c>
      <c r="B348" s="39" t="e">
        <f t="shared" ca="1" si="40"/>
        <v>#REF!</v>
      </c>
      <c r="L348" s="39" t="e">
        <f t="shared" ca="1" si="41"/>
        <v>#REF!</v>
      </c>
      <c r="M348" s="39" t="e">
        <f t="shared" ca="1" si="42"/>
        <v>#REF!</v>
      </c>
    </row>
    <row r="349" spans="1:13">
      <c r="A349" s="39" t="e">
        <f t="shared" ca="1" si="39"/>
        <v>#REF!</v>
      </c>
      <c r="B349" s="39" t="e">
        <f t="shared" ca="1" si="40"/>
        <v>#REF!</v>
      </c>
      <c r="L349" s="39" t="e">
        <f t="shared" ca="1" si="41"/>
        <v>#REF!</v>
      </c>
      <c r="M349" s="39" t="e">
        <f t="shared" ca="1" si="42"/>
        <v>#REF!</v>
      </c>
    </row>
    <row r="350" spans="1:13">
      <c r="A350" s="39" t="e">
        <f t="shared" ca="1" si="39"/>
        <v>#REF!</v>
      </c>
      <c r="B350" s="39" t="e">
        <f t="shared" ca="1" si="40"/>
        <v>#REF!</v>
      </c>
      <c r="L350" s="39" t="e">
        <f t="shared" ca="1" si="41"/>
        <v>#REF!</v>
      </c>
      <c r="M350" s="39" t="e">
        <f t="shared" ca="1" si="42"/>
        <v>#REF!</v>
      </c>
    </row>
    <row r="351" spans="1:13">
      <c r="A351" s="39" t="e">
        <f t="shared" ca="1" si="39"/>
        <v>#REF!</v>
      </c>
      <c r="B351" s="39" t="e">
        <f t="shared" ca="1" si="40"/>
        <v>#REF!</v>
      </c>
      <c r="L351" s="39" t="e">
        <f t="shared" ca="1" si="41"/>
        <v>#REF!</v>
      </c>
      <c r="M351" s="39" t="e">
        <f t="shared" ca="1" si="42"/>
        <v>#REF!</v>
      </c>
    </row>
    <row r="352" spans="1:13">
      <c r="A352" s="39" t="e">
        <f t="shared" ca="1" si="39"/>
        <v>#REF!</v>
      </c>
      <c r="B352" s="39" t="e">
        <f t="shared" ca="1" si="40"/>
        <v>#REF!</v>
      </c>
      <c r="L352" s="39" t="e">
        <f t="shared" ca="1" si="41"/>
        <v>#REF!</v>
      </c>
      <c r="M352" s="39" t="e">
        <f t="shared" ca="1" si="42"/>
        <v>#REF!</v>
      </c>
    </row>
    <row r="353" spans="1:13">
      <c r="A353" s="39" t="e">
        <f t="shared" ca="1" si="39"/>
        <v>#REF!</v>
      </c>
      <c r="B353" s="39" t="e">
        <f t="shared" ca="1" si="40"/>
        <v>#REF!</v>
      </c>
      <c r="L353" s="39" t="e">
        <f t="shared" ca="1" si="41"/>
        <v>#REF!</v>
      </c>
      <c r="M353" s="39" t="e">
        <f t="shared" ca="1" si="42"/>
        <v>#REF!</v>
      </c>
    </row>
    <row r="354" spans="1:13">
      <c r="A354" s="39" t="e">
        <f t="shared" ca="1" si="39"/>
        <v>#REF!</v>
      </c>
      <c r="B354" s="39" t="e">
        <f t="shared" ca="1" si="40"/>
        <v>#REF!</v>
      </c>
      <c r="L354" s="39" t="e">
        <f t="shared" ca="1" si="41"/>
        <v>#REF!</v>
      </c>
      <c r="M354" s="39" t="e">
        <f t="shared" ca="1" si="42"/>
        <v>#REF!</v>
      </c>
    </row>
    <row r="355" spans="1:13">
      <c r="A355" s="39" t="e">
        <f t="shared" ca="1" si="39"/>
        <v>#REF!</v>
      </c>
      <c r="B355" s="39" t="e">
        <f t="shared" ca="1" si="40"/>
        <v>#REF!</v>
      </c>
      <c r="L355" s="39" t="e">
        <f t="shared" ca="1" si="41"/>
        <v>#REF!</v>
      </c>
      <c r="M355" s="39" t="e">
        <f t="shared" ca="1" si="42"/>
        <v>#REF!</v>
      </c>
    </row>
    <row r="356" spans="1:13">
      <c r="A356" s="39" t="e">
        <f t="shared" ca="1" si="39"/>
        <v>#REF!</v>
      </c>
      <c r="B356" s="39" t="e">
        <f t="shared" ca="1" si="40"/>
        <v>#REF!</v>
      </c>
      <c r="L356" s="39" t="e">
        <f t="shared" ca="1" si="41"/>
        <v>#REF!</v>
      </c>
      <c r="M356" s="39" t="e">
        <f t="shared" ca="1" si="42"/>
        <v>#REF!</v>
      </c>
    </row>
    <row r="357" spans="1:13">
      <c r="A357" s="39" t="e">
        <f t="shared" ca="1" si="39"/>
        <v>#REF!</v>
      </c>
      <c r="B357" s="39" t="e">
        <f t="shared" ca="1" si="40"/>
        <v>#REF!</v>
      </c>
      <c r="L357" s="39" t="e">
        <f t="shared" ca="1" si="41"/>
        <v>#REF!</v>
      </c>
      <c r="M357" s="39" t="e">
        <f t="shared" ca="1" si="42"/>
        <v>#REF!</v>
      </c>
    </row>
    <row r="358" spans="1:13">
      <c r="A358" s="39" t="e">
        <f t="shared" ref="A358:A421" ca="1" si="43">IF(INDIRECT($B$1&amp;ADDRESS(ROW($C$15),ROW(C335)-12))="","",INDIRECT($B$1&amp;ADDRESS(ROW($C$15),ROW(C335)-12)))</f>
        <v>#REF!</v>
      </c>
      <c r="B358" s="39" t="e">
        <f t="shared" ref="B358:B421" ca="1" si="44">IF(INDIRECT($B$1&amp;ADDRESS(ROW($C$5),ROW(C325)-2))="","",INDIRECT($B$1&amp;ADDRESS(ROW($C$5),ROW(C325)-2)))</f>
        <v>#REF!</v>
      </c>
      <c r="L358" s="39" t="e">
        <f t="shared" ref="L358:L421" ca="1" si="45">IF(INDIRECT($M$1&amp;ADDRESS(ROW($C$15),ROW(N335)-12))="","",INDIRECT($M$1&amp;ADDRESS(ROW($C$15),ROW(N335)-12)))</f>
        <v>#REF!</v>
      </c>
      <c r="M358" s="39" t="e">
        <f t="shared" ref="M358:M421" ca="1" si="46">IF(INDIRECT($M$1&amp;ADDRESS(ROW($C$5),ROW(N325)-2))="","",INDIRECT($M$1&amp;ADDRESS(ROW($C$5),ROW(N325)-2)))</f>
        <v>#REF!</v>
      </c>
    </row>
    <row r="359" spans="1:13">
      <c r="A359" s="39" t="e">
        <f t="shared" ca="1" si="43"/>
        <v>#REF!</v>
      </c>
      <c r="B359" s="39" t="e">
        <f t="shared" ca="1" si="44"/>
        <v>#REF!</v>
      </c>
      <c r="L359" s="39" t="e">
        <f t="shared" ca="1" si="45"/>
        <v>#REF!</v>
      </c>
      <c r="M359" s="39" t="e">
        <f t="shared" ca="1" si="46"/>
        <v>#REF!</v>
      </c>
    </row>
    <row r="360" spans="1:13">
      <c r="A360" s="39" t="e">
        <f t="shared" ca="1" si="43"/>
        <v>#REF!</v>
      </c>
      <c r="B360" s="39" t="e">
        <f t="shared" ca="1" si="44"/>
        <v>#REF!</v>
      </c>
      <c r="L360" s="39" t="e">
        <f t="shared" ca="1" si="45"/>
        <v>#REF!</v>
      </c>
      <c r="M360" s="39" t="e">
        <f t="shared" ca="1" si="46"/>
        <v>#REF!</v>
      </c>
    </row>
    <row r="361" spans="1:13">
      <c r="A361" s="39" t="e">
        <f t="shared" ca="1" si="43"/>
        <v>#REF!</v>
      </c>
      <c r="B361" s="39" t="e">
        <f t="shared" ca="1" si="44"/>
        <v>#REF!</v>
      </c>
      <c r="L361" s="39" t="e">
        <f t="shared" ca="1" si="45"/>
        <v>#REF!</v>
      </c>
      <c r="M361" s="39" t="e">
        <f t="shared" ca="1" si="46"/>
        <v>#REF!</v>
      </c>
    </row>
    <row r="362" spans="1:13">
      <c r="A362" s="39" t="e">
        <f t="shared" ca="1" si="43"/>
        <v>#REF!</v>
      </c>
      <c r="B362" s="39" t="e">
        <f t="shared" ca="1" si="44"/>
        <v>#REF!</v>
      </c>
      <c r="L362" s="39" t="e">
        <f t="shared" ca="1" si="45"/>
        <v>#REF!</v>
      </c>
      <c r="M362" s="39" t="e">
        <f t="shared" ca="1" si="46"/>
        <v>#REF!</v>
      </c>
    </row>
    <row r="363" spans="1:13">
      <c r="A363" s="39" t="e">
        <f t="shared" ca="1" si="43"/>
        <v>#REF!</v>
      </c>
      <c r="B363" s="39" t="e">
        <f t="shared" ca="1" si="44"/>
        <v>#REF!</v>
      </c>
      <c r="L363" s="39" t="e">
        <f t="shared" ca="1" si="45"/>
        <v>#REF!</v>
      </c>
      <c r="M363" s="39" t="e">
        <f t="shared" ca="1" si="46"/>
        <v>#REF!</v>
      </c>
    </row>
    <row r="364" spans="1:13">
      <c r="A364" s="39" t="e">
        <f t="shared" ca="1" si="43"/>
        <v>#REF!</v>
      </c>
      <c r="B364" s="39" t="e">
        <f t="shared" ca="1" si="44"/>
        <v>#REF!</v>
      </c>
      <c r="L364" s="39" t="e">
        <f t="shared" ca="1" si="45"/>
        <v>#REF!</v>
      </c>
      <c r="M364" s="39" t="e">
        <f t="shared" ca="1" si="46"/>
        <v>#REF!</v>
      </c>
    </row>
    <row r="365" spans="1:13">
      <c r="A365" s="39" t="e">
        <f t="shared" ca="1" si="43"/>
        <v>#REF!</v>
      </c>
      <c r="B365" s="39" t="e">
        <f t="shared" ca="1" si="44"/>
        <v>#REF!</v>
      </c>
      <c r="L365" s="39" t="e">
        <f t="shared" ca="1" si="45"/>
        <v>#REF!</v>
      </c>
      <c r="M365" s="39" t="e">
        <f t="shared" ca="1" si="46"/>
        <v>#REF!</v>
      </c>
    </row>
    <row r="366" spans="1:13">
      <c r="A366" s="39" t="e">
        <f t="shared" ca="1" si="43"/>
        <v>#REF!</v>
      </c>
      <c r="B366" s="39" t="e">
        <f t="shared" ca="1" si="44"/>
        <v>#REF!</v>
      </c>
      <c r="L366" s="39" t="e">
        <f t="shared" ca="1" si="45"/>
        <v>#REF!</v>
      </c>
      <c r="M366" s="39" t="e">
        <f t="shared" ca="1" si="46"/>
        <v>#REF!</v>
      </c>
    </row>
    <row r="367" spans="1:13">
      <c r="A367" s="39" t="e">
        <f t="shared" ca="1" si="43"/>
        <v>#REF!</v>
      </c>
      <c r="B367" s="39" t="e">
        <f t="shared" ca="1" si="44"/>
        <v>#REF!</v>
      </c>
      <c r="L367" s="39" t="e">
        <f t="shared" ca="1" si="45"/>
        <v>#REF!</v>
      </c>
      <c r="M367" s="39" t="e">
        <f t="shared" ca="1" si="46"/>
        <v>#REF!</v>
      </c>
    </row>
    <row r="368" spans="1:13">
      <c r="A368" s="39" t="e">
        <f t="shared" ca="1" si="43"/>
        <v>#REF!</v>
      </c>
      <c r="B368" s="39" t="e">
        <f t="shared" ca="1" si="44"/>
        <v>#REF!</v>
      </c>
      <c r="L368" s="39" t="e">
        <f t="shared" ca="1" si="45"/>
        <v>#REF!</v>
      </c>
      <c r="M368" s="39" t="e">
        <f t="shared" ca="1" si="46"/>
        <v>#REF!</v>
      </c>
    </row>
    <row r="369" spans="1:13">
      <c r="A369" s="39" t="e">
        <f t="shared" ca="1" si="43"/>
        <v>#REF!</v>
      </c>
      <c r="B369" s="39" t="e">
        <f t="shared" ca="1" si="44"/>
        <v>#REF!</v>
      </c>
      <c r="L369" s="39" t="e">
        <f t="shared" ca="1" si="45"/>
        <v>#REF!</v>
      </c>
      <c r="M369" s="39" t="e">
        <f t="shared" ca="1" si="46"/>
        <v>#REF!</v>
      </c>
    </row>
    <row r="370" spans="1:13">
      <c r="A370" s="39" t="e">
        <f t="shared" ca="1" si="43"/>
        <v>#REF!</v>
      </c>
      <c r="B370" s="39" t="e">
        <f t="shared" ca="1" si="44"/>
        <v>#REF!</v>
      </c>
      <c r="L370" s="39" t="e">
        <f t="shared" ca="1" si="45"/>
        <v>#REF!</v>
      </c>
      <c r="M370" s="39" t="e">
        <f t="shared" ca="1" si="46"/>
        <v>#REF!</v>
      </c>
    </row>
    <row r="371" spans="1:13">
      <c r="A371" s="39" t="e">
        <f t="shared" ca="1" si="43"/>
        <v>#REF!</v>
      </c>
      <c r="B371" s="39" t="e">
        <f t="shared" ca="1" si="44"/>
        <v>#REF!</v>
      </c>
      <c r="L371" s="39" t="e">
        <f t="shared" ca="1" si="45"/>
        <v>#REF!</v>
      </c>
      <c r="M371" s="39" t="e">
        <f t="shared" ca="1" si="46"/>
        <v>#REF!</v>
      </c>
    </row>
    <row r="372" spans="1:13">
      <c r="A372" s="39" t="e">
        <f t="shared" ca="1" si="43"/>
        <v>#REF!</v>
      </c>
      <c r="B372" s="39" t="e">
        <f t="shared" ca="1" si="44"/>
        <v>#REF!</v>
      </c>
      <c r="L372" s="39" t="e">
        <f t="shared" ca="1" si="45"/>
        <v>#REF!</v>
      </c>
      <c r="M372" s="39" t="e">
        <f t="shared" ca="1" si="46"/>
        <v>#REF!</v>
      </c>
    </row>
    <row r="373" spans="1:13">
      <c r="A373" s="39" t="e">
        <f t="shared" ca="1" si="43"/>
        <v>#REF!</v>
      </c>
      <c r="B373" s="39" t="e">
        <f t="shared" ca="1" si="44"/>
        <v>#REF!</v>
      </c>
      <c r="L373" s="39" t="e">
        <f t="shared" ca="1" si="45"/>
        <v>#REF!</v>
      </c>
      <c r="M373" s="39" t="e">
        <f t="shared" ca="1" si="46"/>
        <v>#REF!</v>
      </c>
    </row>
    <row r="374" spans="1:13">
      <c r="A374" s="39" t="e">
        <f t="shared" ca="1" si="43"/>
        <v>#REF!</v>
      </c>
      <c r="B374" s="39" t="e">
        <f t="shared" ca="1" si="44"/>
        <v>#REF!</v>
      </c>
      <c r="L374" s="39" t="e">
        <f t="shared" ca="1" si="45"/>
        <v>#REF!</v>
      </c>
      <c r="M374" s="39" t="e">
        <f t="shared" ca="1" si="46"/>
        <v>#REF!</v>
      </c>
    </row>
    <row r="375" spans="1:13">
      <c r="A375" s="39" t="e">
        <f t="shared" ca="1" si="43"/>
        <v>#REF!</v>
      </c>
      <c r="B375" s="39" t="e">
        <f t="shared" ca="1" si="44"/>
        <v>#REF!</v>
      </c>
      <c r="L375" s="39" t="e">
        <f t="shared" ca="1" si="45"/>
        <v>#REF!</v>
      </c>
      <c r="M375" s="39" t="e">
        <f t="shared" ca="1" si="46"/>
        <v>#REF!</v>
      </c>
    </row>
    <row r="376" spans="1:13">
      <c r="A376" s="39" t="e">
        <f t="shared" ca="1" si="43"/>
        <v>#REF!</v>
      </c>
      <c r="B376" s="39" t="e">
        <f t="shared" ca="1" si="44"/>
        <v>#REF!</v>
      </c>
      <c r="L376" s="39" t="e">
        <f t="shared" ca="1" si="45"/>
        <v>#REF!</v>
      </c>
      <c r="M376" s="39" t="e">
        <f t="shared" ca="1" si="46"/>
        <v>#REF!</v>
      </c>
    </row>
    <row r="377" spans="1:13">
      <c r="A377" s="39" t="e">
        <f t="shared" ca="1" si="43"/>
        <v>#REF!</v>
      </c>
      <c r="B377" s="39" t="e">
        <f t="shared" ca="1" si="44"/>
        <v>#REF!</v>
      </c>
      <c r="L377" s="39" t="e">
        <f t="shared" ca="1" si="45"/>
        <v>#REF!</v>
      </c>
      <c r="M377" s="39" t="e">
        <f t="shared" ca="1" si="46"/>
        <v>#REF!</v>
      </c>
    </row>
    <row r="378" spans="1:13">
      <c r="A378" s="39" t="e">
        <f t="shared" ca="1" si="43"/>
        <v>#REF!</v>
      </c>
      <c r="B378" s="39" t="e">
        <f t="shared" ca="1" si="44"/>
        <v>#REF!</v>
      </c>
      <c r="L378" s="39" t="e">
        <f t="shared" ca="1" si="45"/>
        <v>#REF!</v>
      </c>
      <c r="M378" s="39" t="e">
        <f t="shared" ca="1" si="46"/>
        <v>#REF!</v>
      </c>
    </row>
    <row r="379" spans="1:13">
      <c r="A379" s="39" t="e">
        <f t="shared" ca="1" si="43"/>
        <v>#REF!</v>
      </c>
      <c r="B379" s="39" t="e">
        <f t="shared" ca="1" si="44"/>
        <v>#REF!</v>
      </c>
      <c r="L379" s="39" t="e">
        <f t="shared" ca="1" si="45"/>
        <v>#REF!</v>
      </c>
      <c r="M379" s="39" t="e">
        <f t="shared" ca="1" si="46"/>
        <v>#REF!</v>
      </c>
    </row>
    <row r="380" spans="1:13">
      <c r="A380" s="39" t="e">
        <f t="shared" ca="1" si="43"/>
        <v>#REF!</v>
      </c>
      <c r="B380" s="39" t="e">
        <f t="shared" ca="1" si="44"/>
        <v>#REF!</v>
      </c>
      <c r="L380" s="39" t="e">
        <f t="shared" ca="1" si="45"/>
        <v>#REF!</v>
      </c>
      <c r="M380" s="39" t="e">
        <f t="shared" ca="1" si="46"/>
        <v>#REF!</v>
      </c>
    </row>
    <row r="381" spans="1:13">
      <c r="A381" s="39" t="e">
        <f t="shared" ca="1" si="43"/>
        <v>#REF!</v>
      </c>
      <c r="B381" s="39" t="e">
        <f t="shared" ca="1" si="44"/>
        <v>#REF!</v>
      </c>
      <c r="L381" s="39" t="e">
        <f t="shared" ca="1" si="45"/>
        <v>#REF!</v>
      </c>
      <c r="M381" s="39" t="e">
        <f t="shared" ca="1" si="46"/>
        <v>#REF!</v>
      </c>
    </row>
    <row r="382" spans="1:13">
      <c r="A382" s="39" t="e">
        <f t="shared" ca="1" si="43"/>
        <v>#REF!</v>
      </c>
      <c r="B382" s="39" t="e">
        <f t="shared" ca="1" si="44"/>
        <v>#REF!</v>
      </c>
      <c r="L382" s="39" t="e">
        <f t="shared" ca="1" si="45"/>
        <v>#REF!</v>
      </c>
      <c r="M382" s="39" t="e">
        <f t="shared" ca="1" si="46"/>
        <v>#REF!</v>
      </c>
    </row>
    <row r="383" spans="1:13">
      <c r="A383" s="39" t="e">
        <f t="shared" ca="1" si="43"/>
        <v>#REF!</v>
      </c>
      <c r="B383" s="39" t="e">
        <f t="shared" ca="1" si="44"/>
        <v>#REF!</v>
      </c>
      <c r="L383" s="39" t="e">
        <f t="shared" ca="1" si="45"/>
        <v>#REF!</v>
      </c>
      <c r="M383" s="39" t="e">
        <f t="shared" ca="1" si="46"/>
        <v>#REF!</v>
      </c>
    </row>
    <row r="384" spans="1:13">
      <c r="A384" s="39" t="e">
        <f t="shared" ca="1" si="43"/>
        <v>#REF!</v>
      </c>
      <c r="B384" s="39" t="e">
        <f t="shared" ca="1" si="44"/>
        <v>#REF!</v>
      </c>
      <c r="L384" s="39" t="e">
        <f t="shared" ca="1" si="45"/>
        <v>#REF!</v>
      </c>
      <c r="M384" s="39" t="e">
        <f t="shared" ca="1" si="46"/>
        <v>#REF!</v>
      </c>
    </row>
    <row r="385" spans="1:13">
      <c r="A385" s="39" t="e">
        <f t="shared" ca="1" si="43"/>
        <v>#REF!</v>
      </c>
      <c r="B385" s="39" t="e">
        <f t="shared" ca="1" si="44"/>
        <v>#REF!</v>
      </c>
      <c r="L385" s="39" t="e">
        <f t="shared" ca="1" si="45"/>
        <v>#REF!</v>
      </c>
      <c r="M385" s="39" t="e">
        <f t="shared" ca="1" si="46"/>
        <v>#REF!</v>
      </c>
    </row>
    <row r="386" spans="1:13">
      <c r="A386" s="39" t="e">
        <f t="shared" ca="1" si="43"/>
        <v>#REF!</v>
      </c>
      <c r="B386" s="39" t="e">
        <f t="shared" ca="1" si="44"/>
        <v>#REF!</v>
      </c>
      <c r="L386" s="39" t="e">
        <f t="shared" ca="1" si="45"/>
        <v>#REF!</v>
      </c>
      <c r="M386" s="39" t="e">
        <f t="shared" ca="1" si="46"/>
        <v>#REF!</v>
      </c>
    </row>
    <row r="387" spans="1:13">
      <c r="A387" s="39" t="e">
        <f t="shared" ca="1" si="43"/>
        <v>#REF!</v>
      </c>
      <c r="B387" s="39" t="e">
        <f t="shared" ca="1" si="44"/>
        <v>#REF!</v>
      </c>
      <c r="L387" s="39" t="e">
        <f t="shared" ca="1" si="45"/>
        <v>#REF!</v>
      </c>
      <c r="M387" s="39" t="e">
        <f t="shared" ca="1" si="46"/>
        <v>#REF!</v>
      </c>
    </row>
    <row r="388" spans="1:13">
      <c r="A388" s="39" t="e">
        <f t="shared" ca="1" si="43"/>
        <v>#REF!</v>
      </c>
      <c r="B388" s="39" t="e">
        <f t="shared" ca="1" si="44"/>
        <v>#REF!</v>
      </c>
      <c r="L388" s="39" t="e">
        <f t="shared" ca="1" si="45"/>
        <v>#REF!</v>
      </c>
      <c r="M388" s="39" t="e">
        <f t="shared" ca="1" si="46"/>
        <v>#REF!</v>
      </c>
    </row>
    <row r="389" spans="1:13">
      <c r="A389" s="39" t="e">
        <f t="shared" ca="1" si="43"/>
        <v>#REF!</v>
      </c>
      <c r="B389" s="39" t="e">
        <f t="shared" ca="1" si="44"/>
        <v>#REF!</v>
      </c>
      <c r="L389" s="39" t="e">
        <f t="shared" ca="1" si="45"/>
        <v>#REF!</v>
      </c>
      <c r="M389" s="39" t="e">
        <f t="shared" ca="1" si="46"/>
        <v>#REF!</v>
      </c>
    </row>
    <row r="390" spans="1:13">
      <c r="A390" s="39" t="e">
        <f t="shared" ca="1" si="43"/>
        <v>#REF!</v>
      </c>
      <c r="B390" s="39" t="e">
        <f t="shared" ca="1" si="44"/>
        <v>#REF!</v>
      </c>
      <c r="L390" s="39" t="e">
        <f t="shared" ca="1" si="45"/>
        <v>#REF!</v>
      </c>
      <c r="M390" s="39" t="e">
        <f t="shared" ca="1" si="46"/>
        <v>#REF!</v>
      </c>
    </row>
    <row r="391" spans="1:13">
      <c r="A391" s="39" t="e">
        <f t="shared" ca="1" si="43"/>
        <v>#REF!</v>
      </c>
      <c r="B391" s="39" t="e">
        <f t="shared" ca="1" si="44"/>
        <v>#REF!</v>
      </c>
      <c r="L391" s="39" t="e">
        <f t="shared" ca="1" si="45"/>
        <v>#REF!</v>
      </c>
      <c r="M391" s="39" t="e">
        <f t="shared" ca="1" si="46"/>
        <v>#REF!</v>
      </c>
    </row>
    <row r="392" spans="1:13">
      <c r="A392" s="39" t="e">
        <f t="shared" ca="1" si="43"/>
        <v>#REF!</v>
      </c>
      <c r="B392" s="39" t="e">
        <f t="shared" ca="1" si="44"/>
        <v>#REF!</v>
      </c>
      <c r="L392" s="39" t="e">
        <f t="shared" ca="1" si="45"/>
        <v>#REF!</v>
      </c>
      <c r="M392" s="39" t="e">
        <f t="shared" ca="1" si="46"/>
        <v>#REF!</v>
      </c>
    </row>
    <row r="393" spans="1:13">
      <c r="A393" s="39" t="e">
        <f t="shared" ca="1" si="43"/>
        <v>#REF!</v>
      </c>
      <c r="B393" s="39" t="e">
        <f t="shared" ca="1" si="44"/>
        <v>#REF!</v>
      </c>
      <c r="L393" s="39" t="e">
        <f t="shared" ca="1" si="45"/>
        <v>#REF!</v>
      </c>
      <c r="M393" s="39" t="e">
        <f t="shared" ca="1" si="46"/>
        <v>#REF!</v>
      </c>
    </row>
    <row r="394" spans="1:13">
      <c r="A394" s="39" t="e">
        <f t="shared" ca="1" si="43"/>
        <v>#REF!</v>
      </c>
      <c r="B394" s="39" t="e">
        <f t="shared" ca="1" si="44"/>
        <v>#REF!</v>
      </c>
      <c r="L394" s="39" t="e">
        <f t="shared" ca="1" si="45"/>
        <v>#REF!</v>
      </c>
      <c r="M394" s="39" t="e">
        <f t="shared" ca="1" si="46"/>
        <v>#REF!</v>
      </c>
    </row>
    <row r="395" spans="1:13">
      <c r="A395" s="39" t="e">
        <f t="shared" ca="1" si="43"/>
        <v>#REF!</v>
      </c>
      <c r="B395" s="39" t="e">
        <f t="shared" ca="1" si="44"/>
        <v>#REF!</v>
      </c>
      <c r="L395" s="39" t="e">
        <f t="shared" ca="1" si="45"/>
        <v>#REF!</v>
      </c>
      <c r="M395" s="39" t="e">
        <f t="shared" ca="1" si="46"/>
        <v>#REF!</v>
      </c>
    </row>
    <row r="396" spans="1:13">
      <c r="A396" s="39" t="e">
        <f t="shared" ca="1" si="43"/>
        <v>#REF!</v>
      </c>
      <c r="B396" s="39" t="e">
        <f t="shared" ca="1" si="44"/>
        <v>#REF!</v>
      </c>
      <c r="L396" s="39" t="e">
        <f t="shared" ca="1" si="45"/>
        <v>#REF!</v>
      </c>
      <c r="M396" s="39" t="e">
        <f t="shared" ca="1" si="46"/>
        <v>#REF!</v>
      </c>
    </row>
    <row r="397" spans="1:13">
      <c r="A397" s="39" t="e">
        <f t="shared" ca="1" si="43"/>
        <v>#REF!</v>
      </c>
      <c r="B397" s="39" t="e">
        <f t="shared" ca="1" si="44"/>
        <v>#REF!</v>
      </c>
      <c r="L397" s="39" t="e">
        <f t="shared" ca="1" si="45"/>
        <v>#REF!</v>
      </c>
      <c r="M397" s="39" t="e">
        <f t="shared" ca="1" si="46"/>
        <v>#REF!</v>
      </c>
    </row>
    <row r="398" spans="1:13">
      <c r="A398" s="39" t="e">
        <f t="shared" ca="1" si="43"/>
        <v>#REF!</v>
      </c>
      <c r="B398" s="39" t="e">
        <f t="shared" ca="1" si="44"/>
        <v>#REF!</v>
      </c>
      <c r="L398" s="39" t="e">
        <f t="shared" ca="1" si="45"/>
        <v>#REF!</v>
      </c>
      <c r="M398" s="39" t="e">
        <f t="shared" ca="1" si="46"/>
        <v>#REF!</v>
      </c>
    </row>
    <row r="399" spans="1:13">
      <c r="A399" s="39" t="e">
        <f t="shared" ca="1" si="43"/>
        <v>#REF!</v>
      </c>
      <c r="B399" s="39" t="e">
        <f t="shared" ca="1" si="44"/>
        <v>#REF!</v>
      </c>
      <c r="L399" s="39" t="e">
        <f t="shared" ca="1" si="45"/>
        <v>#REF!</v>
      </c>
      <c r="M399" s="39" t="e">
        <f t="shared" ca="1" si="46"/>
        <v>#REF!</v>
      </c>
    </row>
    <row r="400" spans="1:13">
      <c r="A400" s="39" t="e">
        <f t="shared" ca="1" si="43"/>
        <v>#REF!</v>
      </c>
      <c r="B400" s="39" t="e">
        <f t="shared" ca="1" si="44"/>
        <v>#REF!</v>
      </c>
      <c r="L400" s="39" t="e">
        <f t="shared" ca="1" si="45"/>
        <v>#REF!</v>
      </c>
      <c r="M400" s="39" t="e">
        <f t="shared" ca="1" si="46"/>
        <v>#REF!</v>
      </c>
    </row>
    <row r="401" spans="1:13">
      <c r="A401" s="39" t="e">
        <f t="shared" ca="1" si="43"/>
        <v>#REF!</v>
      </c>
      <c r="B401" s="39" t="e">
        <f t="shared" ca="1" si="44"/>
        <v>#REF!</v>
      </c>
      <c r="L401" s="39" t="e">
        <f t="shared" ca="1" si="45"/>
        <v>#REF!</v>
      </c>
      <c r="M401" s="39" t="e">
        <f t="shared" ca="1" si="46"/>
        <v>#REF!</v>
      </c>
    </row>
    <row r="402" spans="1:13">
      <c r="A402" s="39" t="e">
        <f t="shared" ca="1" si="43"/>
        <v>#REF!</v>
      </c>
      <c r="B402" s="39" t="e">
        <f t="shared" ca="1" si="44"/>
        <v>#REF!</v>
      </c>
      <c r="L402" s="39" t="e">
        <f t="shared" ca="1" si="45"/>
        <v>#REF!</v>
      </c>
      <c r="M402" s="39" t="e">
        <f t="shared" ca="1" si="46"/>
        <v>#REF!</v>
      </c>
    </row>
    <row r="403" spans="1:13">
      <c r="A403" s="39" t="e">
        <f t="shared" ca="1" si="43"/>
        <v>#REF!</v>
      </c>
      <c r="B403" s="39" t="e">
        <f t="shared" ca="1" si="44"/>
        <v>#REF!</v>
      </c>
      <c r="L403" s="39" t="e">
        <f t="shared" ca="1" si="45"/>
        <v>#REF!</v>
      </c>
      <c r="M403" s="39" t="e">
        <f t="shared" ca="1" si="46"/>
        <v>#REF!</v>
      </c>
    </row>
    <row r="404" spans="1:13">
      <c r="A404" s="39" t="e">
        <f t="shared" ca="1" si="43"/>
        <v>#REF!</v>
      </c>
      <c r="B404" s="39" t="e">
        <f t="shared" ca="1" si="44"/>
        <v>#REF!</v>
      </c>
      <c r="L404" s="39" t="e">
        <f t="shared" ca="1" si="45"/>
        <v>#REF!</v>
      </c>
      <c r="M404" s="39" t="e">
        <f t="shared" ca="1" si="46"/>
        <v>#REF!</v>
      </c>
    </row>
    <row r="405" spans="1:13">
      <c r="A405" s="39" t="e">
        <f t="shared" ca="1" si="43"/>
        <v>#REF!</v>
      </c>
      <c r="B405" s="39" t="e">
        <f t="shared" ca="1" si="44"/>
        <v>#REF!</v>
      </c>
      <c r="L405" s="39" t="e">
        <f t="shared" ca="1" si="45"/>
        <v>#REF!</v>
      </c>
      <c r="M405" s="39" t="e">
        <f t="shared" ca="1" si="46"/>
        <v>#REF!</v>
      </c>
    </row>
    <row r="406" spans="1:13">
      <c r="A406" s="39" t="e">
        <f t="shared" ca="1" si="43"/>
        <v>#REF!</v>
      </c>
      <c r="B406" s="39" t="e">
        <f t="shared" ca="1" si="44"/>
        <v>#REF!</v>
      </c>
      <c r="L406" s="39" t="e">
        <f t="shared" ca="1" si="45"/>
        <v>#REF!</v>
      </c>
      <c r="M406" s="39" t="e">
        <f t="shared" ca="1" si="46"/>
        <v>#REF!</v>
      </c>
    </row>
    <row r="407" spans="1:13">
      <c r="A407" s="39" t="e">
        <f t="shared" ca="1" si="43"/>
        <v>#REF!</v>
      </c>
      <c r="B407" s="39" t="e">
        <f t="shared" ca="1" si="44"/>
        <v>#REF!</v>
      </c>
      <c r="L407" s="39" t="e">
        <f t="shared" ca="1" si="45"/>
        <v>#REF!</v>
      </c>
      <c r="M407" s="39" t="e">
        <f t="shared" ca="1" si="46"/>
        <v>#REF!</v>
      </c>
    </row>
    <row r="408" spans="1:13">
      <c r="A408" s="39" t="e">
        <f t="shared" ca="1" si="43"/>
        <v>#REF!</v>
      </c>
      <c r="B408" s="39" t="e">
        <f t="shared" ca="1" si="44"/>
        <v>#REF!</v>
      </c>
      <c r="L408" s="39" t="e">
        <f t="shared" ca="1" si="45"/>
        <v>#REF!</v>
      </c>
      <c r="M408" s="39" t="e">
        <f t="shared" ca="1" si="46"/>
        <v>#REF!</v>
      </c>
    </row>
    <row r="409" spans="1:13">
      <c r="A409" s="39" t="e">
        <f t="shared" ca="1" si="43"/>
        <v>#REF!</v>
      </c>
      <c r="B409" s="39" t="e">
        <f t="shared" ca="1" si="44"/>
        <v>#REF!</v>
      </c>
      <c r="L409" s="39" t="e">
        <f t="shared" ca="1" si="45"/>
        <v>#REF!</v>
      </c>
      <c r="M409" s="39" t="e">
        <f t="shared" ca="1" si="46"/>
        <v>#REF!</v>
      </c>
    </row>
    <row r="410" spans="1:13">
      <c r="A410" s="39" t="e">
        <f t="shared" ca="1" si="43"/>
        <v>#REF!</v>
      </c>
      <c r="B410" s="39" t="e">
        <f t="shared" ca="1" si="44"/>
        <v>#REF!</v>
      </c>
      <c r="L410" s="39" t="e">
        <f t="shared" ca="1" si="45"/>
        <v>#REF!</v>
      </c>
      <c r="M410" s="39" t="e">
        <f t="shared" ca="1" si="46"/>
        <v>#REF!</v>
      </c>
    </row>
    <row r="411" spans="1:13">
      <c r="A411" s="39" t="e">
        <f t="shared" ca="1" si="43"/>
        <v>#REF!</v>
      </c>
      <c r="B411" s="39" t="e">
        <f t="shared" ca="1" si="44"/>
        <v>#REF!</v>
      </c>
      <c r="L411" s="39" t="e">
        <f t="shared" ca="1" si="45"/>
        <v>#REF!</v>
      </c>
      <c r="M411" s="39" t="e">
        <f t="shared" ca="1" si="46"/>
        <v>#REF!</v>
      </c>
    </row>
    <row r="412" spans="1:13">
      <c r="A412" s="39" t="e">
        <f t="shared" ca="1" si="43"/>
        <v>#REF!</v>
      </c>
      <c r="B412" s="39" t="e">
        <f t="shared" ca="1" si="44"/>
        <v>#REF!</v>
      </c>
      <c r="L412" s="39" t="e">
        <f t="shared" ca="1" si="45"/>
        <v>#REF!</v>
      </c>
      <c r="M412" s="39" t="e">
        <f t="shared" ca="1" si="46"/>
        <v>#REF!</v>
      </c>
    </row>
    <row r="413" spans="1:13">
      <c r="A413" s="39" t="e">
        <f t="shared" ca="1" si="43"/>
        <v>#REF!</v>
      </c>
      <c r="B413" s="39" t="e">
        <f t="shared" ca="1" si="44"/>
        <v>#REF!</v>
      </c>
      <c r="L413" s="39" t="e">
        <f t="shared" ca="1" si="45"/>
        <v>#REF!</v>
      </c>
      <c r="M413" s="39" t="e">
        <f t="shared" ca="1" si="46"/>
        <v>#REF!</v>
      </c>
    </row>
    <row r="414" spans="1:13">
      <c r="A414" s="39" t="e">
        <f t="shared" ca="1" si="43"/>
        <v>#REF!</v>
      </c>
      <c r="B414" s="39" t="e">
        <f t="shared" ca="1" si="44"/>
        <v>#REF!</v>
      </c>
      <c r="L414" s="39" t="e">
        <f t="shared" ca="1" si="45"/>
        <v>#REF!</v>
      </c>
      <c r="M414" s="39" t="e">
        <f t="shared" ca="1" si="46"/>
        <v>#REF!</v>
      </c>
    </row>
    <row r="415" spans="1:13">
      <c r="A415" s="39" t="e">
        <f t="shared" ca="1" si="43"/>
        <v>#REF!</v>
      </c>
      <c r="B415" s="39" t="e">
        <f t="shared" ca="1" si="44"/>
        <v>#REF!</v>
      </c>
      <c r="L415" s="39" t="e">
        <f t="shared" ca="1" si="45"/>
        <v>#REF!</v>
      </c>
      <c r="M415" s="39" t="e">
        <f t="shared" ca="1" si="46"/>
        <v>#REF!</v>
      </c>
    </row>
    <row r="416" spans="1:13">
      <c r="A416" s="39" t="e">
        <f t="shared" ca="1" si="43"/>
        <v>#REF!</v>
      </c>
      <c r="B416" s="39" t="e">
        <f t="shared" ca="1" si="44"/>
        <v>#REF!</v>
      </c>
      <c r="L416" s="39" t="e">
        <f t="shared" ca="1" si="45"/>
        <v>#REF!</v>
      </c>
      <c r="M416" s="39" t="e">
        <f t="shared" ca="1" si="46"/>
        <v>#REF!</v>
      </c>
    </row>
    <row r="417" spans="1:13">
      <c r="A417" s="39" t="e">
        <f t="shared" ca="1" si="43"/>
        <v>#REF!</v>
      </c>
      <c r="B417" s="39" t="e">
        <f t="shared" ca="1" si="44"/>
        <v>#REF!</v>
      </c>
      <c r="L417" s="39" t="e">
        <f t="shared" ca="1" si="45"/>
        <v>#REF!</v>
      </c>
      <c r="M417" s="39" t="e">
        <f t="shared" ca="1" si="46"/>
        <v>#REF!</v>
      </c>
    </row>
    <row r="418" spans="1:13">
      <c r="A418" s="39" t="e">
        <f t="shared" ca="1" si="43"/>
        <v>#REF!</v>
      </c>
      <c r="B418" s="39" t="e">
        <f t="shared" ca="1" si="44"/>
        <v>#REF!</v>
      </c>
      <c r="L418" s="39" t="e">
        <f t="shared" ca="1" si="45"/>
        <v>#REF!</v>
      </c>
      <c r="M418" s="39" t="e">
        <f t="shared" ca="1" si="46"/>
        <v>#REF!</v>
      </c>
    </row>
    <row r="419" spans="1:13">
      <c r="A419" s="39" t="e">
        <f t="shared" ca="1" si="43"/>
        <v>#REF!</v>
      </c>
      <c r="B419" s="39" t="e">
        <f t="shared" ca="1" si="44"/>
        <v>#REF!</v>
      </c>
      <c r="L419" s="39" t="e">
        <f t="shared" ca="1" si="45"/>
        <v>#REF!</v>
      </c>
      <c r="M419" s="39" t="e">
        <f t="shared" ca="1" si="46"/>
        <v>#REF!</v>
      </c>
    </row>
    <row r="420" spans="1:13">
      <c r="A420" s="39" t="e">
        <f t="shared" ca="1" si="43"/>
        <v>#REF!</v>
      </c>
      <c r="B420" s="39" t="e">
        <f t="shared" ca="1" si="44"/>
        <v>#REF!</v>
      </c>
      <c r="L420" s="39" t="e">
        <f t="shared" ca="1" si="45"/>
        <v>#REF!</v>
      </c>
      <c r="M420" s="39" t="e">
        <f t="shared" ca="1" si="46"/>
        <v>#REF!</v>
      </c>
    </row>
    <row r="421" spans="1:13">
      <c r="A421" s="39" t="e">
        <f t="shared" ca="1" si="43"/>
        <v>#REF!</v>
      </c>
      <c r="B421" s="39" t="e">
        <f t="shared" ca="1" si="44"/>
        <v>#REF!</v>
      </c>
      <c r="L421" s="39" t="e">
        <f t="shared" ca="1" si="45"/>
        <v>#REF!</v>
      </c>
      <c r="M421" s="39" t="e">
        <f t="shared" ca="1" si="46"/>
        <v>#REF!</v>
      </c>
    </row>
    <row r="422" spans="1:13">
      <c r="A422" s="39" t="e">
        <f t="shared" ref="A422:A485" ca="1" si="47">IF(INDIRECT($B$1&amp;ADDRESS(ROW($C$15),ROW(C399)-12))="","",INDIRECT($B$1&amp;ADDRESS(ROW($C$15),ROW(C399)-12)))</f>
        <v>#REF!</v>
      </c>
      <c r="B422" s="39" t="e">
        <f t="shared" ref="B422:B485" ca="1" si="48">IF(INDIRECT($B$1&amp;ADDRESS(ROW($C$5),ROW(C389)-2))="","",INDIRECT($B$1&amp;ADDRESS(ROW($C$5),ROW(C389)-2)))</f>
        <v>#REF!</v>
      </c>
      <c r="L422" s="39" t="e">
        <f t="shared" ref="L422:L485" ca="1" si="49">IF(INDIRECT($M$1&amp;ADDRESS(ROW($C$15),ROW(N399)-12))="","",INDIRECT($M$1&amp;ADDRESS(ROW($C$15),ROW(N399)-12)))</f>
        <v>#REF!</v>
      </c>
      <c r="M422" s="39" t="e">
        <f t="shared" ref="M422:M485" ca="1" si="50">IF(INDIRECT($M$1&amp;ADDRESS(ROW($C$5),ROW(N389)-2))="","",INDIRECT($M$1&amp;ADDRESS(ROW($C$5),ROW(N389)-2)))</f>
        <v>#REF!</v>
      </c>
    </row>
    <row r="423" spans="1:13">
      <c r="A423" s="39" t="e">
        <f t="shared" ca="1" si="47"/>
        <v>#REF!</v>
      </c>
      <c r="B423" s="39" t="e">
        <f t="shared" ca="1" si="48"/>
        <v>#REF!</v>
      </c>
      <c r="L423" s="39" t="e">
        <f t="shared" ca="1" si="49"/>
        <v>#REF!</v>
      </c>
      <c r="M423" s="39" t="e">
        <f t="shared" ca="1" si="50"/>
        <v>#REF!</v>
      </c>
    </row>
    <row r="424" spans="1:13">
      <c r="A424" s="39" t="e">
        <f t="shared" ca="1" si="47"/>
        <v>#REF!</v>
      </c>
      <c r="B424" s="39" t="e">
        <f t="shared" ca="1" si="48"/>
        <v>#REF!</v>
      </c>
      <c r="L424" s="39" t="e">
        <f t="shared" ca="1" si="49"/>
        <v>#REF!</v>
      </c>
      <c r="M424" s="39" t="e">
        <f t="shared" ca="1" si="50"/>
        <v>#REF!</v>
      </c>
    </row>
    <row r="425" spans="1:13">
      <c r="A425" s="39" t="e">
        <f t="shared" ca="1" si="47"/>
        <v>#REF!</v>
      </c>
      <c r="B425" s="39" t="e">
        <f t="shared" ca="1" si="48"/>
        <v>#REF!</v>
      </c>
      <c r="L425" s="39" t="e">
        <f t="shared" ca="1" si="49"/>
        <v>#REF!</v>
      </c>
      <c r="M425" s="39" t="e">
        <f t="shared" ca="1" si="50"/>
        <v>#REF!</v>
      </c>
    </row>
    <row r="426" spans="1:13">
      <c r="A426" s="39" t="e">
        <f t="shared" ca="1" si="47"/>
        <v>#REF!</v>
      </c>
      <c r="B426" s="39" t="e">
        <f t="shared" ca="1" si="48"/>
        <v>#REF!</v>
      </c>
      <c r="L426" s="39" t="e">
        <f t="shared" ca="1" si="49"/>
        <v>#REF!</v>
      </c>
      <c r="M426" s="39" t="e">
        <f t="shared" ca="1" si="50"/>
        <v>#REF!</v>
      </c>
    </row>
    <row r="427" spans="1:13">
      <c r="A427" s="39" t="e">
        <f t="shared" ca="1" si="47"/>
        <v>#REF!</v>
      </c>
      <c r="B427" s="39" t="e">
        <f t="shared" ca="1" si="48"/>
        <v>#REF!</v>
      </c>
      <c r="L427" s="39" t="e">
        <f t="shared" ca="1" si="49"/>
        <v>#REF!</v>
      </c>
      <c r="M427" s="39" t="e">
        <f t="shared" ca="1" si="50"/>
        <v>#REF!</v>
      </c>
    </row>
    <row r="428" spans="1:13">
      <c r="A428" s="39" t="e">
        <f t="shared" ca="1" si="47"/>
        <v>#REF!</v>
      </c>
      <c r="B428" s="39" t="e">
        <f t="shared" ca="1" si="48"/>
        <v>#REF!</v>
      </c>
      <c r="L428" s="39" t="e">
        <f t="shared" ca="1" si="49"/>
        <v>#REF!</v>
      </c>
      <c r="M428" s="39" t="e">
        <f t="shared" ca="1" si="50"/>
        <v>#REF!</v>
      </c>
    </row>
    <row r="429" spans="1:13">
      <c r="A429" s="39" t="e">
        <f t="shared" ca="1" si="47"/>
        <v>#REF!</v>
      </c>
      <c r="B429" s="39" t="e">
        <f t="shared" ca="1" si="48"/>
        <v>#REF!</v>
      </c>
      <c r="L429" s="39" t="e">
        <f t="shared" ca="1" si="49"/>
        <v>#REF!</v>
      </c>
      <c r="M429" s="39" t="e">
        <f t="shared" ca="1" si="50"/>
        <v>#REF!</v>
      </c>
    </row>
    <row r="430" spans="1:13">
      <c r="A430" s="39" t="e">
        <f t="shared" ca="1" si="47"/>
        <v>#REF!</v>
      </c>
      <c r="B430" s="39" t="e">
        <f t="shared" ca="1" si="48"/>
        <v>#REF!</v>
      </c>
      <c r="L430" s="39" t="e">
        <f t="shared" ca="1" si="49"/>
        <v>#REF!</v>
      </c>
      <c r="M430" s="39" t="e">
        <f t="shared" ca="1" si="50"/>
        <v>#REF!</v>
      </c>
    </row>
    <row r="431" spans="1:13">
      <c r="A431" s="39" t="e">
        <f t="shared" ca="1" si="47"/>
        <v>#REF!</v>
      </c>
      <c r="B431" s="39" t="e">
        <f t="shared" ca="1" si="48"/>
        <v>#REF!</v>
      </c>
      <c r="L431" s="39" t="e">
        <f t="shared" ca="1" si="49"/>
        <v>#REF!</v>
      </c>
      <c r="M431" s="39" t="e">
        <f t="shared" ca="1" si="50"/>
        <v>#REF!</v>
      </c>
    </row>
    <row r="432" spans="1:13">
      <c r="A432" s="39" t="e">
        <f t="shared" ca="1" si="47"/>
        <v>#REF!</v>
      </c>
      <c r="B432" s="39" t="e">
        <f t="shared" ca="1" si="48"/>
        <v>#REF!</v>
      </c>
      <c r="L432" s="39" t="e">
        <f t="shared" ca="1" si="49"/>
        <v>#REF!</v>
      </c>
      <c r="M432" s="39" t="e">
        <f t="shared" ca="1" si="50"/>
        <v>#REF!</v>
      </c>
    </row>
    <row r="433" spans="1:13">
      <c r="A433" s="39" t="e">
        <f t="shared" ca="1" si="47"/>
        <v>#REF!</v>
      </c>
      <c r="B433" s="39" t="e">
        <f t="shared" ca="1" si="48"/>
        <v>#REF!</v>
      </c>
      <c r="L433" s="39" t="e">
        <f t="shared" ca="1" si="49"/>
        <v>#REF!</v>
      </c>
      <c r="M433" s="39" t="e">
        <f t="shared" ca="1" si="50"/>
        <v>#REF!</v>
      </c>
    </row>
    <row r="434" spans="1:13">
      <c r="A434" s="39" t="e">
        <f t="shared" ca="1" si="47"/>
        <v>#REF!</v>
      </c>
      <c r="B434" s="39" t="e">
        <f t="shared" ca="1" si="48"/>
        <v>#REF!</v>
      </c>
      <c r="L434" s="39" t="e">
        <f t="shared" ca="1" si="49"/>
        <v>#REF!</v>
      </c>
      <c r="M434" s="39" t="e">
        <f t="shared" ca="1" si="50"/>
        <v>#REF!</v>
      </c>
    </row>
    <row r="435" spans="1:13">
      <c r="A435" s="39" t="e">
        <f t="shared" ca="1" si="47"/>
        <v>#REF!</v>
      </c>
      <c r="B435" s="39" t="e">
        <f t="shared" ca="1" si="48"/>
        <v>#REF!</v>
      </c>
      <c r="L435" s="39" t="e">
        <f t="shared" ca="1" si="49"/>
        <v>#REF!</v>
      </c>
      <c r="M435" s="39" t="e">
        <f t="shared" ca="1" si="50"/>
        <v>#REF!</v>
      </c>
    </row>
    <row r="436" spans="1:13">
      <c r="A436" s="39" t="e">
        <f t="shared" ca="1" si="47"/>
        <v>#REF!</v>
      </c>
      <c r="B436" s="39" t="e">
        <f t="shared" ca="1" si="48"/>
        <v>#REF!</v>
      </c>
      <c r="L436" s="39" t="e">
        <f t="shared" ca="1" si="49"/>
        <v>#REF!</v>
      </c>
      <c r="M436" s="39" t="e">
        <f t="shared" ca="1" si="50"/>
        <v>#REF!</v>
      </c>
    </row>
    <row r="437" spans="1:13">
      <c r="A437" s="39" t="e">
        <f t="shared" ca="1" si="47"/>
        <v>#REF!</v>
      </c>
      <c r="B437" s="39" t="e">
        <f t="shared" ca="1" si="48"/>
        <v>#REF!</v>
      </c>
      <c r="L437" s="39" t="e">
        <f t="shared" ca="1" si="49"/>
        <v>#REF!</v>
      </c>
      <c r="M437" s="39" t="e">
        <f t="shared" ca="1" si="50"/>
        <v>#REF!</v>
      </c>
    </row>
    <row r="438" spans="1:13">
      <c r="A438" s="39" t="e">
        <f t="shared" ca="1" si="47"/>
        <v>#REF!</v>
      </c>
      <c r="B438" s="39" t="e">
        <f t="shared" ca="1" si="48"/>
        <v>#REF!</v>
      </c>
      <c r="L438" s="39" t="e">
        <f t="shared" ca="1" si="49"/>
        <v>#REF!</v>
      </c>
      <c r="M438" s="39" t="e">
        <f t="shared" ca="1" si="50"/>
        <v>#REF!</v>
      </c>
    </row>
    <row r="439" spans="1:13">
      <c r="A439" s="39" t="e">
        <f t="shared" ca="1" si="47"/>
        <v>#REF!</v>
      </c>
      <c r="B439" s="39" t="e">
        <f t="shared" ca="1" si="48"/>
        <v>#REF!</v>
      </c>
      <c r="L439" s="39" t="e">
        <f t="shared" ca="1" si="49"/>
        <v>#REF!</v>
      </c>
      <c r="M439" s="39" t="e">
        <f t="shared" ca="1" si="50"/>
        <v>#REF!</v>
      </c>
    </row>
    <row r="440" spans="1:13">
      <c r="A440" s="39" t="e">
        <f t="shared" ca="1" si="47"/>
        <v>#REF!</v>
      </c>
      <c r="B440" s="39" t="e">
        <f t="shared" ca="1" si="48"/>
        <v>#REF!</v>
      </c>
      <c r="L440" s="39" t="e">
        <f t="shared" ca="1" si="49"/>
        <v>#REF!</v>
      </c>
      <c r="M440" s="39" t="e">
        <f t="shared" ca="1" si="50"/>
        <v>#REF!</v>
      </c>
    </row>
    <row r="441" spans="1:13">
      <c r="A441" s="39" t="e">
        <f t="shared" ca="1" si="47"/>
        <v>#REF!</v>
      </c>
      <c r="B441" s="39" t="e">
        <f t="shared" ca="1" si="48"/>
        <v>#REF!</v>
      </c>
      <c r="L441" s="39" t="e">
        <f t="shared" ca="1" si="49"/>
        <v>#REF!</v>
      </c>
      <c r="M441" s="39" t="e">
        <f t="shared" ca="1" si="50"/>
        <v>#REF!</v>
      </c>
    </row>
    <row r="442" spans="1:13">
      <c r="A442" s="39" t="e">
        <f t="shared" ca="1" si="47"/>
        <v>#REF!</v>
      </c>
      <c r="B442" s="39" t="e">
        <f t="shared" ca="1" si="48"/>
        <v>#REF!</v>
      </c>
      <c r="L442" s="39" t="e">
        <f t="shared" ca="1" si="49"/>
        <v>#REF!</v>
      </c>
      <c r="M442" s="39" t="e">
        <f t="shared" ca="1" si="50"/>
        <v>#REF!</v>
      </c>
    </row>
    <row r="443" spans="1:13">
      <c r="A443" s="39" t="e">
        <f t="shared" ca="1" si="47"/>
        <v>#REF!</v>
      </c>
      <c r="B443" s="39" t="e">
        <f t="shared" ca="1" si="48"/>
        <v>#REF!</v>
      </c>
      <c r="L443" s="39" t="e">
        <f t="shared" ca="1" si="49"/>
        <v>#REF!</v>
      </c>
      <c r="M443" s="39" t="e">
        <f t="shared" ca="1" si="50"/>
        <v>#REF!</v>
      </c>
    </row>
    <row r="444" spans="1:13">
      <c r="A444" s="39" t="e">
        <f t="shared" ca="1" si="47"/>
        <v>#REF!</v>
      </c>
      <c r="B444" s="39" t="e">
        <f t="shared" ca="1" si="48"/>
        <v>#REF!</v>
      </c>
      <c r="L444" s="39" t="e">
        <f t="shared" ca="1" si="49"/>
        <v>#REF!</v>
      </c>
      <c r="M444" s="39" t="e">
        <f t="shared" ca="1" si="50"/>
        <v>#REF!</v>
      </c>
    </row>
    <row r="445" spans="1:13">
      <c r="A445" s="39" t="e">
        <f t="shared" ca="1" si="47"/>
        <v>#REF!</v>
      </c>
      <c r="B445" s="39" t="e">
        <f t="shared" ca="1" si="48"/>
        <v>#REF!</v>
      </c>
      <c r="L445" s="39" t="e">
        <f t="shared" ca="1" si="49"/>
        <v>#REF!</v>
      </c>
      <c r="M445" s="39" t="e">
        <f t="shared" ca="1" si="50"/>
        <v>#REF!</v>
      </c>
    </row>
    <row r="446" spans="1:13">
      <c r="A446" s="39" t="e">
        <f t="shared" ca="1" si="47"/>
        <v>#REF!</v>
      </c>
      <c r="B446" s="39" t="e">
        <f t="shared" ca="1" si="48"/>
        <v>#REF!</v>
      </c>
      <c r="L446" s="39" t="e">
        <f t="shared" ca="1" si="49"/>
        <v>#REF!</v>
      </c>
      <c r="M446" s="39" t="e">
        <f t="shared" ca="1" si="50"/>
        <v>#REF!</v>
      </c>
    </row>
    <row r="447" spans="1:13">
      <c r="A447" s="39" t="e">
        <f t="shared" ca="1" si="47"/>
        <v>#REF!</v>
      </c>
      <c r="B447" s="39" t="e">
        <f t="shared" ca="1" si="48"/>
        <v>#REF!</v>
      </c>
      <c r="L447" s="39" t="e">
        <f t="shared" ca="1" si="49"/>
        <v>#REF!</v>
      </c>
      <c r="M447" s="39" t="e">
        <f t="shared" ca="1" si="50"/>
        <v>#REF!</v>
      </c>
    </row>
    <row r="448" spans="1:13">
      <c r="A448" s="39" t="e">
        <f t="shared" ca="1" si="47"/>
        <v>#REF!</v>
      </c>
      <c r="B448" s="39" t="e">
        <f t="shared" ca="1" si="48"/>
        <v>#REF!</v>
      </c>
      <c r="L448" s="39" t="e">
        <f t="shared" ca="1" si="49"/>
        <v>#REF!</v>
      </c>
      <c r="M448" s="39" t="e">
        <f t="shared" ca="1" si="50"/>
        <v>#REF!</v>
      </c>
    </row>
    <row r="449" spans="1:13">
      <c r="A449" s="39" t="e">
        <f t="shared" ca="1" si="47"/>
        <v>#REF!</v>
      </c>
      <c r="B449" s="39" t="e">
        <f t="shared" ca="1" si="48"/>
        <v>#REF!</v>
      </c>
      <c r="L449" s="39" t="e">
        <f t="shared" ca="1" si="49"/>
        <v>#REF!</v>
      </c>
      <c r="M449" s="39" t="e">
        <f t="shared" ca="1" si="50"/>
        <v>#REF!</v>
      </c>
    </row>
    <row r="450" spans="1:13">
      <c r="A450" s="39" t="e">
        <f t="shared" ca="1" si="47"/>
        <v>#REF!</v>
      </c>
      <c r="B450" s="39" t="e">
        <f t="shared" ca="1" si="48"/>
        <v>#REF!</v>
      </c>
      <c r="L450" s="39" t="e">
        <f t="shared" ca="1" si="49"/>
        <v>#REF!</v>
      </c>
      <c r="M450" s="39" t="e">
        <f t="shared" ca="1" si="50"/>
        <v>#REF!</v>
      </c>
    </row>
    <row r="451" spans="1:13">
      <c r="A451" s="39" t="e">
        <f t="shared" ca="1" si="47"/>
        <v>#REF!</v>
      </c>
      <c r="B451" s="39" t="e">
        <f t="shared" ca="1" si="48"/>
        <v>#REF!</v>
      </c>
      <c r="L451" s="39" t="e">
        <f t="shared" ca="1" si="49"/>
        <v>#REF!</v>
      </c>
      <c r="M451" s="39" t="e">
        <f t="shared" ca="1" si="50"/>
        <v>#REF!</v>
      </c>
    </row>
    <row r="452" spans="1:13">
      <c r="A452" s="39" t="e">
        <f t="shared" ca="1" si="47"/>
        <v>#REF!</v>
      </c>
      <c r="B452" s="39" t="e">
        <f t="shared" ca="1" si="48"/>
        <v>#REF!</v>
      </c>
      <c r="L452" s="39" t="e">
        <f t="shared" ca="1" si="49"/>
        <v>#REF!</v>
      </c>
      <c r="M452" s="39" t="e">
        <f t="shared" ca="1" si="50"/>
        <v>#REF!</v>
      </c>
    </row>
    <row r="453" spans="1:13">
      <c r="A453" s="39" t="e">
        <f t="shared" ca="1" si="47"/>
        <v>#REF!</v>
      </c>
      <c r="B453" s="39" t="e">
        <f t="shared" ca="1" si="48"/>
        <v>#REF!</v>
      </c>
      <c r="L453" s="39" t="e">
        <f t="shared" ca="1" si="49"/>
        <v>#REF!</v>
      </c>
      <c r="M453" s="39" t="e">
        <f t="shared" ca="1" si="50"/>
        <v>#REF!</v>
      </c>
    </row>
    <row r="454" spans="1:13">
      <c r="A454" s="39" t="e">
        <f t="shared" ca="1" si="47"/>
        <v>#REF!</v>
      </c>
      <c r="B454" s="39" t="e">
        <f t="shared" ca="1" si="48"/>
        <v>#REF!</v>
      </c>
      <c r="L454" s="39" t="e">
        <f t="shared" ca="1" si="49"/>
        <v>#REF!</v>
      </c>
      <c r="M454" s="39" t="e">
        <f t="shared" ca="1" si="50"/>
        <v>#REF!</v>
      </c>
    </row>
    <row r="455" spans="1:13">
      <c r="A455" s="39" t="e">
        <f t="shared" ca="1" si="47"/>
        <v>#REF!</v>
      </c>
      <c r="B455" s="39" t="e">
        <f t="shared" ca="1" si="48"/>
        <v>#REF!</v>
      </c>
      <c r="L455" s="39" t="e">
        <f t="shared" ca="1" si="49"/>
        <v>#REF!</v>
      </c>
      <c r="M455" s="39" t="e">
        <f t="shared" ca="1" si="50"/>
        <v>#REF!</v>
      </c>
    </row>
    <row r="456" spans="1:13">
      <c r="A456" s="39" t="e">
        <f t="shared" ca="1" si="47"/>
        <v>#REF!</v>
      </c>
      <c r="B456" s="39" t="e">
        <f t="shared" ca="1" si="48"/>
        <v>#REF!</v>
      </c>
      <c r="L456" s="39" t="e">
        <f t="shared" ca="1" si="49"/>
        <v>#REF!</v>
      </c>
      <c r="M456" s="39" t="e">
        <f t="shared" ca="1" si="50"/>
        <v>#REF!</v>
      </c>
    </row>
    <row r="457" spans="1:13">
      <c r="A457" s="39" t="e">
        <f t="shared" ca="1" si="47"/>
        <v>#REF!</v>
      </c>
      <c r="B457" s="39" t="e">
        <f t="shared" ca="1" si="48"/>
        <v>#REF!</v>
      </c>
      <c r="L457" s="39" t="e">
        <f t="shared" ca="1" si="49"/>
        <v>#REF!</v>
      </c>
      <c r="M457" s="39" t="e">
        <f t="shared" ca="1" si="50"/>
        <v>#REF!</v>
      </c>
    </row>
    <row r="458" spans="1:13">
      <c r="A458" s="39" t="e">
        <f t="shared" ca="1" si="47"/>
        <v>#REF!</v>
      </c>
      <c r="B458" s="39" t="e">
        <f t="shared" ca="1" si="48"/>
        <v>#REF!</v>
      </c>
      <c r="L458" s="39" t="e">
        <f t="shared" ca="1" si="49"/>
        <v>#REF!</v>
      </c>
      <c r="M458" s="39" t="e">
        <f t="shared" ca="1" si="50"/>
        <v>#REF!</v>
      </c>
    </row>
    <row r="459" spans="1:13">
      <c r="A459" s="39" t="e">
        <f t="shared" ca="1" si="47"/>
        <v>#REF!</v>
      </c>
      <c r="B459" s="39" t="e">
        <f t="shared" ca="1" si="48"/>
        <v>#REF!</v>
      </c>
      <c r="L459" s="39" t="e">
        <f t="shared" ca="1" si="49"/>
        <v>#REF!</v>
      </c>
      <c r="M459" s="39" t="e">
        <f t="shared" ca="1" si="50"/>
        <v>#REF!</v>
      </c>
    </row>
    <row r="460" spans="1:13">
      <c r="A460" s="39" t="e">
        <f t="shared" ca="1" si="47"/>
        <v>#REF!</v>
      </c>
      <c r="B460" s="39" t="e">
        <f t="shared" ca="1" si="48"/>
        <v>#REF!</v>
      </c>
      <c r="L460" s="39" t="e">
        <f t="shared" ca="1" si="49"/>
        <v>#REF!</v>
      </c>
      <c r="M460" s="39" t="e">
        <f t="shared" ca="1" si="50"/>
        <v>#REF!</v>
      </c>
    </row>
    <row r="461" spans="1:13">
      <c r="A461" s="39" t="e">
        <f t="shared" ca="1" si="47"/>
        <v>#REF!</v>
      </c>
      <c r="B461" s="39" t="e">
        <f t="shared" ca="1" si="48"/>
        <v>#REF!</v>
      </c>
      <c r="L461" s="39" t="e">
        <f t="shared" ca="1" si="49"/>
        <v>#REF!</v>
      </c>
      <c r="M461" s="39" t="e">
        <f t="shared" ca="1" si="50"/>
        <v>#REF!</v>
      </c>
    </row>
    <row r="462" spans="1:13">
      <c r="A462" s="39" t="e">
        <f t="shared" ca="1" si="47"/>
        <v>#REF!</v>
      </c>
      <c r="B462" s="39" t="e">
        <f t="shared" ca="1" si="48"/>
        <v>#REF!</v>
      </c>
      <c r="L462" s="39" t="e">
        <f t="shared" ca="1" si="49"/>
        <v>#REF!</v>
      </c>
      <c r="M462" s="39" t="e">
        <f t="shared" ca="1" si="50"/>
        <v>#REF!</v>
      </c>
    </row>
    <row r="463" spans="1:13">
      <c r="A463" s="39" t="e">
        <f t="shared" ca="1" si="47"/>
        <v>#REF!</v>
      </c>
      <c r="B463" s="39" t="e">
        <f t="shared" ca="1" si="48"/>
        <v>#REF!</v>
      </c>
      <c r="L463" s="39" t="e">
        <f t="shared" ca="1" si="49"/>
        <v>#REF!</v>
      </c>
      <c r="M463" s="39" t="e">
        <f t="shared" ca="1" si="50"/>
        <v>#REF!</v>
      </c>
    </row>
    <row r="464" spans="1:13">
      <c r="A464" s="39" t="e">
        <f t="shared" ca="1" si="47"/>
        <v>#REF!</v>
      </c>
      <c r="B464" s="39" t="e">
        <f t="shared" ca="1" si="48"/>
        <v>#REF!</v>
      </c>
      <c r="L464" s="39" t="e">
        <f t="shared" ca="1" si="49"/>
        <v>#REF!</v>
      </c>
      <c r="M464" s="39" t="e">
        <f t="shared" ca="1" si="50"/>
        <v>#REF!</v>
      </c>
    </row>
    <row r="465" spans="1:13">
      <c r="A465" s="39" t="e">
        <f t="shared" ca="1" si="47"/>
        <v>#REF!</v>
      </c>
      <c r="B465" s="39" t="e">
        <f t="shared" ca="1" si="48"/>
        <v>#REF!</v>
      </c>
      <c r="L465" s="39" t="e">
        <f t="shared" ca="1" si="49"/>
        <v>#REF!</v>
      </c>
      <c r="M465" s="39" t="e">
        <f t="shared" ca="1" si="50"/>
        <v>#REF!</v>
      </c>
    </row>
    <row r="466" spans="1:13">
      <c r="A466" s="39" t="e">
        <f t="shared" ca="1" si="47"/>
        <v>#REF!</v>
      </c>
      <c r="B466" s="39" t="e">
        <f t="shared" ca="1" si="48"/>
        <v>#REF!</v>
      </c>
      <c r="L466" s="39" t="e">
        <f t="shared" ca="1" si="49"/>
        <v>#REF!</v>
      </c>
      <c r="M466" s="39" t="e">
        <f t="shared" ca="1" si="50"/>
        <v>#REF!</v>
      </c>
    </row>
    <row r="467" spans="1:13">
      <c r="A467" s="39" t="e">
        <f t="shared" ca="1" si="47"/>
        <v>#REF!</v>
      </c>
      <c r="B467" s="39" t="e">
        <f t="shared" ca="1" si="48"/>
        <v>#REF!</v>
      </c>
      <c r="L467" s="39" t="e">
        <f t="shared" ca="1" si="49"/>
        <v>#REF!</v>
      </c>
      <c r="M467" s="39" t="e">
        <f t="shared" ca="1" si="50"/>
        <v>#REF!</v>
      </c>
    </row>
    <row r="468" spans="1:13">
      <c r="A468" s="39" t="e">
        <f t="shared" ca="1" si="47"/>
        <v>#REF!</v>
      </c>
      <c r="B468" s="39" t="e">
        <f t="shared" ca="1" si="48"/>
        <v>#REF!</v>
      </c>
      <c r="L468" s="39" t="e">
        <f t="shared" ca="1" si="49"/>
        <v>#REF!</v>
      </c>
      <c r="M468" s="39" t="e">
        <f t="shared" ca="1" si="50"/>
        <v>#REF!</v>
      </c>
    </row>
    <row r="469" spans="1:13">
      <c r="A469" s="39" t="e">
        <f t="shared" ca="1" si="47"/>
        <v>#REF!</v>
      </c>
      <c r="B469" s="39" t="e">
        <f t="shared" ca="1" si="48"/>
        <v>#REF!</v>
      </c>
      <c r="L469" s="39" t="e">
        <f t="shared" ca="1" si="49"/>
        <v>#REF!</v>
      </c>
      <c r="M469" s="39" t="e">
        <f t="shared" ca="1" si="50"/>
        <v>#REF!</v>
      </c>
    </row>
    <row r="470" spans="1:13">
      <c r="A470" s="39" t="e">
        <f t="shared" ca="1" si="47"/>
        <v>#REF!</v>
      </c>
      <c r="B470" s="39" t="e">
        <f t="shared" ca="1" si="48"/>
        <v>#REF!</v>
      </c>
      <c r="L470" s="39" t="e">
        <f t="shared" ca="1" si="49"/>
        <v>#REF!</v>
      </c>
      <c r="M470" s="39" t="e">
        <f t="shared" ca="1" si="50"/>
        <v>#REF!</v>
      </c>
    </row>
    <row r="471" spans="1:13">
      <c r="A471" s="39" t="e">
        <f t="shared" ca="1" si="47"/>
        <v>#REF!</v>
      </c>
      <c r="B471" s="39" t="e">
        <f t="shared" ca="1" si="48"/>
        <v>#REF!</v>
      </c>
      <c r="L471" s="39" t="e">
        <f t="shared" ca="1" si="49"/>
        <v>#REF!</v>
      </c>
      <c r="M471" s="39" t="e">
        <f t="shared" ca="1" si="50"/>
        <v>#REF!</v>
      </c>
    </row>
    <row r="472" spans="1:13">
      <c r="A472" s="39" t="e">
        <f t="shared" ca="1" si="47"/>
        <v>#REF!</v>
      </c>
      <c r="B472" s="39" t="e">
        <f t="shared" ca="1" si="48"/>
        <v>#REF!</v>
      </c>
      <c r="L472" s="39" t="e">
        <f t="shared" ca="1" si="49"/>
        <v>#REF!</v>
      </c>
      <c r="M472" s="39" t="e">
        <f t="shared" ca="1" si="50"/>
        <v>#REF!</v>
      </c>
    </row>
    <row r="473" spans="1:13">
      <c r="A473" s="39" t="e">
        <f t="shared" ca="1" si="47"/>
        <v>#REF!</v>
      </c>
      <c r="B473" s="39" t="e">
        <f t="shared" ca="1" si="48"/>
        <v>#REF!</v>
      </c>
      <c r="L473" s="39" t="e">
        <f t="shared" ca="1" si="49"/>
        <v>#REF!</v>
      </c>
      <c r="M473" s="39" t="e">
        <f t="shared" ca="1" si="50"/>
        <v>#REF!</v>
      </c>
    </row>
    <row r="474" spans="1:13">
      <c r="A474" s="39" t="e">
        <f t="shared" ca="1" si="47"/>
        <v>#REF!</v>
      </c>
      <c r="B474" s="39" t="e">
        <f t="shared" ca="1" si="48"/>
        <v>#REF!</v>
      </c>
      <c r="L474" s="39" t="e">
        <f t="shared" ca="1" si="49"/>
        <v>#REF!</v>
      </c>
      <c r="M474" s="39" t="e">
        <f t="shared" ca="1" si="50"/>
        <v>#REF!</v>
      </c>
    </row>
    <row r="475" spans="1:13">
      <c r="A475" s="39" t="e">
        <f t="shared" ca="1" si="47"/>
        <v>#REF!</v>
      </c>
      <c r="B475" s="39" t="e">
        <f t="shared" ca="1" si="48"/>
        <v>#REF!</v>
      </c>
      <c r="L475" s="39" t="e">
        <f t="shared" ca="1" si="49"/>
        <v>#REF!</v>
      </c>
      <c r="M475" s="39" t="e">
        <f t="shared" ca="1" si="50"/>
        <v>#REF!</v>
      </c>
    </row>
    <row r="476" spans="1:13">
      <c r="A476" s="39" t="e">
        <f t="shared" ca="1" si="47"/>
        <v>#REF!</v>
      </c>
      <c r="B476" s="39" t="e">
        <f t="shared" ca="1" si="48"/>
        <v>#REF!</v>
      </c>
      <c r="L476" s="39" t="e">
        <f t="shared" ca="1" si="49"/>
        <v>#REF!</v>
      </c>
      <c r="M476" s="39" t="e">
        <f t="shared" ca="1" si="50"/>
        <v>#REF!</v>
      </c>
    </row>
    <row r="477" spans="1:13">
      <c r="A477" s="39" t="e">
        <f t="shared" ca="1" si="47"/>
        <v>#REF!</v>
      </c>
      <c r="B477" s="39" t="e">
        <f t="shared" ca="1" si="48"/>
        <v>#REF!</v>
      </c>
      <c r="L477" s="39" t="e">
        <f t="shared" ca="1" si="49"/>
        <v>#REF!</v>
      </c>
      <c r="M477" s="39" t="e">
        <f t="shared" ca="1" si="50"/>
        <v>#REF!</v>
      </c>
    </row>
    <row r="478" spans="1:13">
      <c r="A478" s="39" t="e">
        <f t="shared" ca="1" si="47"/>
        <v>#REF!</v>
      </c>
      <c r="B478" s="39" t="e">
        <f t="shared" ca="1" si="48"/>
        <v>#REF!</v>
      </c>
      <c r="L478" s="39" t="e">
        <f t="shared" ca="1" si="49"/>
        <v>#REF!</v>
      </c>
      <c r="M478" s="39" t="e">
        <f t="shared" ca="1" si="50"/>
        <v>#REF!</v>
      </c>
    </row>
    <row r="479" spans="1:13">
      <c r="A479" s="39" t="e">
        <f t="shared" ca="1" si="47"/>
        <v>#REF!</v>
      </c>
      <c r="B479" s="39" t="e">
        <f t="shared" ca="1" si="48"/>
        <v>#REF!</v>
      </c>
      <c r="L479" s="39" t="e">
        <f t="shared" ca="1" si="49"/>
        <v>#REF!</v>
      </c>
      <c r="M479" s="39" t="e">
        <f t="shared" ca="1" si="50"/>
        <v>#REF!</v>
      </c>
    </row>
    <row r="480" spans="1:13">
      <c r="A480" s="39" t="e">
        <f t="shared" ca="1" si="47"/>
        <v>#REF!</v>
      </c>
      <c r="B480" s="39" t="e">
        <f t="shared" ca="1" si="48"/>
        <v>#REF!</v>
      </c>
      <c r="L480" s="39" t="e">
        <f t="shared" ca="1" si="49"/>
        <v>#REF!</v>
      </c>
      <c r="M480" s="39" t="e">
        <f t="shared" ca="1" si="50"/>
        <v>#REF!</v>
      </c>
    </row>
    <row r="481" spans="1:13">
      <c r="A481" s="39" t="e">
        <f t="shared" ca="1" si="47"/>
        <v>#REF!</v>
      </c>
      <c r="B481" s="39" t="e">
        <f t="shared" ca="1" si="48"/>
        <v>#REF!</v>
      </c>
      <c r="L481" s="39" t="e">
        <f t="shared" ca="1" si="49"/>
        <v>#REF!</v>
      </c>
      <c r="M481" s="39" t="e">
        <f t="shared" ca="1" si="50"/>
        <v>#REF!</v>
      </c>
    </row>
    <row r="482" spans="1:13">
      <c r="A482" s="39" t="e">
        <f t="shared" ca="1" si="47"/>
        <v>#REF!</v>
      </c>
      <c r="B482" s="39" t="e">
        <f t="shared" ca="1" si="48"/>
        <v>#REF!</v>
      </c>
      <c r="L482" s="39" t="e">
        <f t="shared" ca="1" si="49"/>
        <v>#REF!</v>
      </c>
      <c r="M482" s="39" t="e">
        <f t="shared" ca="1" si="50"/>
        <v>#REF!</v>
      </c>
    </row>
    <row r="483" spans="1:13">
      <c r="A483" s="39" t="e">
        <f t="shared" ca="1" si="47"/>
        <v>#REF!</v>
      </c>
      <c r="B483" s="39" t="e">
        <f t="shared" ca="1" si="48"/>
        <v>#REF!</v>
      </c>
      <c r="L483" s="39" t="e">
        <f t="shared" ca="1" si="49"/>
        <v>#REF!</v>
      </c>
      <c r="M483" s="39" t="e">
        <f t="shared" ca="1" si="50"/>
        <v>#REF!</v>
      </c>
    </row>
    <row r="484" spans="1:13">
      <c r="A484" s="39" t="e">
        <f t="shared" ca="1" si="47"/>
        <v>#REF!</v>
      </c>
      <c r="B484" s="39" t="e">
        <f t="shared" ca="1" si="48"/>
        <v>#REF!</v>
      </c>
      <c r="L484" s="39" t="e">
        <f t="shared" ca="1" si="49"/>
        <v>#REF!</v>
      </c>
      <c r="M484" s="39" t="e">
        <f t="shared" ca="1" si="50"/>
        <v>#REF!</v>
      </c>
    </row>
    <row r="485" spans="1:13">
      <c r="A485" s="39" t="e">
        <f t="shared" ca="1" si="47"/>
        <v>#REF!</v>
      </c>
      <c r="B485" s="39" t="e">
        <f t="shared" ca="1" si="48"/>
        <v>#REF!</v>
      </c>
      <c r="L485" s="39" t="e">
        <f t="shared" ca="1" si="49"/>
        <v>#REF!</v>
      </c>
      <c r="M485" s="39" t="e">
        <f t="shared" ca="1" si="50"/>
        <v>#REF!</v>
      </c>
    </row>
    <row r="486" spans="1:13">
      <c r="A486" s="39" t="e">
        <f t="shared" ref="A486:A516" ca="1" si="51">IF(INDIRECT($B$1&amp;ADDRESS(ROW($C$15),ROW(C463)-12))="","",INDIRECT($B$1&amp;ADDRESS(ROW($C$15),ROW(C463)-12)))</f>
        <v>#REF!</v>
      </c>
      <c r="B486" s="39" t="e">
        <f t="shared" ref="B486:B516" ca="1" si="52">IF(INDIRECT($B$1&amp;ADDRESS(ROW($C$5),ROW(C453)-2))="","",INDIRECT($B$1&amp;ADDRESS(ROW($C$5),ROW(C453)-2)))</f>
        <v>#REF!</v>
      </c>
      <c r="L486" s="39" t="e">
        <f t="shared" ref="L486:L516" ca="1" si="53">IF(INDIRECT($M$1&amp;ADDRESS(ROW($C$15),ROW(N463)-12))="","",INDIRECT($M$1&amp;ADDRESS(ROW($C$15),ROW(N463)-12)))</f>
        <v>#REF!</v>
      </c>
      <c r="M486" s="39" t="e">
        <f t="shared" ref="M486:M516" ca="1" si="54">IF(INDIRECT($M$1&amp;ADDRESS(ROW($C$5),ROW(N453)-2))="","",INDIRECT($M$1&amp;ADDRESS(ROW($C$5),ROW(N453)-2)))</f>
        <v>#REF!</v>
      </c>
    </row>
    <row r="487" spans="1:13">
      <c r="A487" s="39" t="e">
        <f t="shared" ca="1" si="51"/>
        <v>#REF!</v>
      </c>
      <c r="B487" s="39" t="e">
        <f t="shared" ca="1" si="52"/>
        <v>#REF!</v>
      </c>
      <c r="L487" s="39" t="e">
        <f t="shared" ca="1" si="53"/>
        <v>#REF!</v>
      </c>
      <c r="M487" s="39" t="e">
        <f t="shared" ca="1" si="54"/>
        <v>#REF!</v>
      </c>
    </row>
    <row r="488" spans="1:13">
      <c r="A488" s="39" t="e">
        <f t="shared" ca="1" si="51"/>
        <v>#REF!</v>
      </c>
      <c r="B488" s="39" t="e">
        <f t="shared" ca="1" si="52"/>
        <v>#REF!</v>
      </c>
      <c r="L488" s="39" t="e">
        <f t="shared" ca="1" si="53"/>
        <v>#REF!</v>
      </c>
      <c r="M488" s="39" t="e">
        <f t="shared" ca="1" si="54"/>
        <v>#REF!</v>
      </c>
    </row>
    <row r="489" spans="1:13">
      <c r="A489" s="39" t="e">
        <f t="shared" ca="1" si="51"/>
        <v>#REF!</v>
      </c>
      <c r="B489" s="39" t="e">
        <f t="shared" ca="1" si="52"/>
        <v>#REF!</v>
      </c>
      <c r="L489" s="39" t="e">
        <f t="shared" ca="1" si="53"/>
        <v>#REF!</v>
      </c>
      <c r="M489" s="39" t="e">
        <f t="shared" ca="1" si="54"/>
        <v>#REF!</v>
      </c>
    </row>
    <row r="490" spans="1:13">
      <c r="A490" s="39" t="e">
        <f t="shared" ca="1" si="51"/>
        <v>#REF!</v>
      </c>
      <c r="B490" s="39" t="e">
        <f t="shared" ca="1" si="52"/>
        <v>#REF!</v>
      </c>
      <c r="L490" s="39" t="e">
        <f t="shared" ca="1" si="53"/>
        <v>#REF!</v>
      </c>
      <c r="M490" s="39" t="e">
        <f t="shared" ca="1" si="54"/>
        <v>#REF!</v>
      </c>
    </row>
    <row r="491" spans="1:13">
      <c r="A491" s="39" t="e">
        <f t="shared" ca="1" si="51"/>
        <v>#REF!</v>
      </c>
      <c r="B491" s="39" t="e">
        <f t="shared" ca="1" si="52"/>
        <v>#REF!</v>
      </c>
      <c r="L491" s="39" t="e">
        <f t="shared" ca="1" si="53"/>
        <v>#REF!</v>
      </c>
      <c r="M491" s="39" t="e">
        <f t="shared" ca="1" si="54"/>
        <v>#REF!</v>
      </c>
    </row>
    <row r="492" spans="1:13">
      <c r="A492" s="39" t="e">
        <f t="shared" ca="1" si="51"/>
        <v>#REF!</v>
      </c>
      <c r="B492" s="39" t="e">
        <f t="shared" ca="1" si="52"/>
        <v>#REF!</v>
      </c>
      <c r="L492" s="39" t="e">
        <f t="shared" ca="1" si="53"/>
        <v>#REF!</v>
      </c>
      <c r="M492" s="39" t="e">
        <f t="shared" ca="1" si="54"/>
        <v>#REF!</v>
      </c>
    </row>
    <row r="493" spans="1:13">
      <c r="A493" s="39" t="e">
        <f t="shared" ca="1" si="51"/>
        <v>#REF!</v>
      </c>
      <c r="B493" s="39" t="e">
        <f t="shared" ca="1" si="52"/>
        <v>#REF!</v>
      </c>
      <c r="L493" s="39" t="e">
        <f t="shared" ca="1" si="53"/>
        <v>#REF!</v>
      </c>
      <c r="M493" s="39" t="e">
        <f t="shared" ca="1" si="54"/>
        <v>#REF!</v>
      </c>
    </row>
    <row r="494" spans="1:13">
      <c r="A494" s="39" t="e">
        <f t="shared" ca="1" si="51"/>
        <v>#REF!</v>
      </c>
      <c r="B494" s="39" t="e">
        <f t="shared" ca="1" si="52"/>
        <v>#REF!</v>
      </c>
      <c r="L494" s="39" t="e">
        <f t="shared" ca="1" si="53"/>
        <v>#REF!</v>
      </c>
      <c r="M494" s="39" t="e">
        <f t="shared" ca="1" si="54"/>
        <v>#REF!</v>
      </c>
    </row>
    <row r="495" spans="1:13">
      <c r="A495" s="39" t="e">
        <f t="shared" ca="1" si="51"/>
        <v>#REF!</v>
      </c>
      <c r="B495" s="39" t="e">
        <f t="shared" ca="1" si="52"/>
        <v>#REF!</v>
      </c>
      <c r="L495" s="39" t="e">
        <f t="shared" ca="1" si="53"/>
        <v>#REF!</v>
      </c>
      <c r="M495" s="39" t="e">
        <f t="shared" ca="1" si="54"/>
        <v>#REF!</v>
      </c>
    </row>
    <row r="496" spans="1:13">
      <c r="A496" s="39" t="e">
        <f t="shared" ca="1" si="51"/>
        <v>#REF!</v>
      </c>
      <c r="B496" s="39" t="e">
        <f t="shared" ca="1" si="52"/>
        <v>#REF!</v>
      </c>
      <c r="L496" s="39" t="e">
        <f t="shared" ca="1" si="53"/>
        <v>#REF!</v>
      </c>
      <c r="M496" s="39" t="e">
        <f t="shared" ca="1" si="54"/>
        <v>#REF!</v>
      </c>
    </row>
    <row r="497" spans="1:13">
      <c r="A497" s="39" t="e">
        <f t="shared" ca="1" si="51"/>
        <v>#REF!</v>
      </c>
      <c r="B497" s="39" t="e">
        <f t="shared" ca="1" si="52"/>
        <v>#REF!</v>
      </c>
      <c r="L497" s="39" t="e">
        <f t="shared" ca="1" si="53"/>
        <v>#REF!</v>
      </c>
      <c r="M497" s="39" t="e">
        <f t="shared" ca="1" si="54"/>
        <v>#REF!</v>
      </c>
    </row>
    <row r="498" spans="1:13">
      <c r="A498" s="39" t="e">
        <f t="shared" ca="1" si="51"/>
        <v>#REF!</v>
      </c>
      <c r="B498" s="39" t="e">
        <f t="shared" ca="1" si="52"/>
        <v>#REF!</v>
      </c>
      <c r="L498" s="39" t="e">
        <f t="shared" ca="1" si="53"/>
        <v>#REF!</v>
      </c>
      <c r="M498" s="39" t="e">
        <f t="shared" ca="1" si="54"/>
        <v>#REF!</v>
      </c>
    </row>
    <row r="499" spans="1:13">
      <c r="A499" s="39" t="e">
        <f t="shared" ca="1" si="51"/>
        <v>#REF!</v>
      </c>
      <c r="B499" s="39" t="e">
        <f t="shared" ca="1" si="52"/>
        <v>#REF!</v>
      </c>
      <c r="L499" s="39" t="e">
        <f t="shared" ca="1" si="53"/>
        <v>#REF!</v>
      </c>
      <c r="M499" s="39" t="e">
        <f t="shared" ca="1" si="54"/>
        <v>#REF!</v>
      </c>
    </row>
    <row r="500" spans="1:13">
      <c r="A500" s="39" t="e">
        <f t="shared" ca="1" si="51"/>
        <v>#REF!</v>
      </c>
      <c r="B500" s="39" t="e">
        <f t="shared" ca="1" si="52"/>
        <v>#REF!</v>
      </c>
      <c r="L500" s="39" t="e">
        <f t="shared" ca="1" si="53"/>
        <v>#REF!</v>
      </c>
      <c r="M500" s="39" t="e">
        <f t="shared" ca="1" si="54"/>
        <v>#REF!</v>
      </c>
    </row>
    <row r="501" spans="1:13">
      <c r="A501" s="39" t="e">
        <f t="shared" ca="1" si="51"/>
        <v>#REF!</v>
      </c>
      <c r="B501" s="39" t="e">
        <f t="shared" ca="1" si="52"/>
        <v>#REF!</v>
      </c>
      <c r="L501" s="39" t="e">
        <f t="shared" ca="1" si="53"/>
        <v>#REF!</v>
      </c>
      <c r="M501" s="39" t="e">
        <f t="shared" ca="1" si="54"/>
        <v>#REF!</v>
      </c>
    </row>
    <row r="502" spans="1:13">
      <c r="A502" s="39" t="e">
        <f t="shared" ca="1" si="51"/>
        <v>#REF!</v>
      </c>
      <c r="B502" s="39" t="e">
        <f t="shared" ca="1" si="52"/>
        <v>#REF!</v>
      </c>
      <c r="L502" s="39" t="e">
        <f t="shared" ca="1" si="53"/>
        <v>#REF!</v>
      </c>
      <c r="M502" s="39" t="e">
        <f t="shared" ca="1" si="54"/>
        <v>#REF!</v>
      </c>
    </row>
    <row r="503" spans="1:13">
      <c r="A503" s="39" t="e">
        <f t="shared" ca="1" si="51"/>
        <v>#REF!</v>
      </c>
      <c r="B503" s="39" t="e">
        <f t="shared" ca="1" si="52"/>
        <v>#REF!</v>
      </c>
      <c r="L503" s="39" t="e">
        <f t="shared" ca="1" si="53"/>
        <v>#REF!</v>
      </c>
      <c r="M503" s="39" t="e">
        <f t="shared" ca="1" si="54"/>
        <v>#REF!</v>
      </c>
    </row>
    <row r="504" spans="1:13">
      <c r="A504" s="39" t="e">
        <f t="shared" ca="1" si="51"/>
        <v>#REF!</v>
      </c>
      <c r="B504" s="39" t="e">
        <f t="shared" ca="1" si="52"/>
        <v>#REF!</v>
      </c>
      <c r="L504" s="39" t="e">
        <f t="shared" ca="1" si="53"/>
        <v>#REF!</v>
      </c>
      <c r="M504" s="39" t="e">
        <f t="shared" ca="1" si="54"/>
        <v>#REF!</v>
      </c>
    </row>
    <row r="505" spans="1:13">
      <c r="A505" s="39" t="e">
        <f t="shared" ca="1" si="51"/>
        <v>#REF!</v>
      </c>
      <c r="B505" s="39" t="e">
        <f t="shared" ca="1" si="52"/>
        <v>#REF!</v>
      </c>
      <c r="L505" s="39" t="e">
        <f t="shared" ca="1" si="53"/>
        <v>#REF!</v>
      </c>
      <c r="M505" s="39" t="e">
        <f t="shared" ca="1" si="54"/>
        <v>#REF!</v>
      </c>
    </row>
    <row r="506" spans="1:13">
      <c r="A506" s="39" t="e">
        <f t="shared" ca="1" si="51"/>
        <v>#REF!</v>
      </c>
      <c r="B506" s="39" t="e">
        <f t="shared" ca="1" si="52"/>
        <v>#REF!</v>
      </c>
      <c r="L506" s="39" t="e">
        <f t="shared" ca="1" si="53"/>
        <v>#REF!</v>
      </c>
      <c r="M506" s="39" t="e">
        <f t="shared" ca="1" si="54"/>
        <v>#REF!</v>
      </c>
    </row>
    <row r="507" spans="1:13">
      <c r="A507" s="39" t="e">
        <f t="shared" ca="1" si="51"/>
        <v>#REF!</v>
      </c>
      <c r="B507" s="39" t="e">
        <f t="shared" ca="1" si="52"/>
        <v>#REF!</v>
      </c>
      <c r="L507" s="39" t="e">
        <f t="shared" ca="1" si="53"/>
        <v>#REF!</v>
      </c>
      <c r="M507" s="39" t="e">
        <f t="shared" ca="1" si="54"/>
        <v>#REF!</v>
      </c>
    </row>
    <row r="508" spans="1:13">
      <c r="A508" s="39" t="e">
        <f t="shared" ca="1" si="51"/>
        <v>#REF!</v>
      </c>
      <c r="B508" s="39" t="e">
        <f t="shared" ca="1" si="52"/>
        <v>#REF!</v>
      </c>
      <c r="L508" s="39" t="e">
        <f t="shared" ca="1" si="53"/>
        <v>#REF!</v>
      </c>
      <c r="M508" s="39" t="e">
        <f t="shared" ca="1" si="54"/>
        <v>#REF!</v>
      </c>
    </row>
    <row r="509" spans="1:13">
      <c r="A509" s="39" t="e">
        <f t="shared" ca="1" si="51"/>
        <v>#REF!</v>
      </c>
      <c r="B509" s="39" t="e">
        <f t="shared" ca="1" si="52"/>
        <v>#REF!</v>
      </c>
      <c r="L509" s="39" t="e">
        <f t="shared" ca="1" si="53"/>
        <v>#REF!</v>
      </c>
      <c r="M509" s="39" t="e">
        <f t="shared" ca="1" si="54"/>
        <v>#REF!</v>
      </c>
    </row>
    <row r="510" spans="1:13">
      <c r="A510" s="39" t="e">
        <f t="shared" ca="1" si="51"/>
        <v>#REF!</v>
      </c>
      <c r="B510" s="39" t="e">
        <f t="shared" ca="1" si="52"/>
        <v>#REF!</v>
      </c>
      <c r="L510" s="39" t="e">
        <f t="shared" ca="1" si="53"/>
        <v>#REF!</v>
      </c>
      <c r="M510" s="39" t="e">
        <f t="shared" ca="1" si="54"/>
        <v>#REF!</v>
      </c>
    </row>
    <row r="511" spans="1:13">
      <c r="A511" s="39" t="e">
        <f t="shared" ca="1" si="51"/>
        <v>#REF!</v>
      </c>
      <c r="B511" s="39" t="e">
        <f t="shared" ca="1" si="52"/>
        <v>#REF!</v>
      </c>
      <c r="L511" s="39" t="e">
        <f t="shared" ca="1" si="53"/>
        <v>#REF!</v>
      </c>
      <c r="M511" s="39" t="e">
        <f t="shared" ca="1" si="54"/>
        <v>#REF!</v>
      </c>
    </row>
    <row r="512" spans="1:13">
      <c r="A512" s="39" t="e">
        <f t="shared" ca="1" si="51"/>
        <v>#REF!</v>
      </c>
      <c r="B512" s="39" t="e">
        <f t="shared" ca="1" si="52"/>
        <v>#REF!</v>
      </c>
      <c r="L512" s="39" t="e">
        <f t="shared" ca="1" si="53"/>
        <v>#REF!</v>
      </c>
      <c r="M512" s="39" t="e">
        <f t="shared" ca="1" si="54"/>
        <v>#REF!</v>
      </c>
    </row>
    <row r="513" spans="1:13">
      <c r="A513" s="39" t="e">
        <f t="shared" ca="1" si="51"/>
        <v>#REF!</v>
      </c>
      <c r="B513" s="39" t="e">
        <f t="shared" ca="1" si="52"/>
        <v>#REF!</v>
      </c>
      <c r="L513" s="39" t="e">
        <f t="shared" ca="1" si="53"/>
        <v>#REF!</v>
      </c>
      <c r="M513" s="39" t="e">
        <f t="shared" ca="1" si="54"/>
        <v>#REF!</v>
      </c>
    </row>
    <row r="514" spans="1:13">
      <c r="A514" s="39" t="e">
        <f t="shared" ca="1" si="51"/>
        <v>#REF!</v>
      </c>
      <c r="B514" s="39" t="e">
        <f t="shared" ca="1" si="52"/>
        <v>#REF!</v>
      </c>
      <c r="L514" s="39" t="e">
        <f t="shared" ca="1" si="53"/>
        <v>#REF!</v>
      </c>
      <c r="M514" s="39" t="e">
        <f t="shared" ca="1" si="54"/>
        <v>#REF!</v>
      </c>
    </row>
    <row r="515" spans="1:13">
      <c r="A515" s="39" t="e">
        <f t="shared" ca="1" si="51"/>
        <v>#REF!</v>
      </c>
      <c r="B515" s="39" t="e">
        <f t="shared" ca="1" si="52"/>
        <v>#REF!</v>
      </c>
      <c r="L515" s="39" t="e">
        <f t="shared" ca="1" si="53"/>
        <v>#REF!</v>
      </c>
      <c r="M515" s="39" t="e">
        <f t="shared" ca="1" si="54"/>
        <v>#REF!</v>
      </c>
    </row>
    <row r="516" spans="1:13">
      <c r="A516" s="39" t="e">
        <f t="shared" ca="1" si="51"/>
        <v>#REF!</v>
      </c>
      <c r="B516" s="39" t="e">
        <f t="shared" ca="1" si="52"/>
        <v>#REF!</v>
      </c>
      <c r="L516" s="39" t="e">
        <f t="shared" ca="1" si="53"/>
        <v>#REF!</v>
      </c>
      <c r="M516" s="39" t="e">
        <f t="shared" ca="1" si="54"/>
        <v>#REF!</v>
      </c>
    </row>
    <row r="517" spans="1:13">
      <c r="B517" s="41"/>
    </row>
    <row r="518" spans="1:13">
      <c r="B518" s="41"/>
    </row>
    <row r="519" spans="1:13">
      <c r="B519" s="41"/>
    </row>
    <row r="520" spans="1:13">
      <c r="B520" s="41"/>
    </row>
    <row r="521" spans="1:13">
      <c r="B521" s="41"/>
    </row>
    <row r="522" spans="1:13">
      <c r="B522" s="41"/>
    </row>
    <row r="523" spans="1:13">
      <c r="B523" s="41"/>
    </row>
    <row r="524" spans="1:13">
      <c r="B524" s="41"/>
    </row>
    <row r="525" spans="1:13">
      <c r="B525" s="41"/>
    </row>
    <row r="526" spans="1:13">
      <c r="B526" s="41"/>
    </row>
    <row r="527" spans="1:13">
      <c r="B527" s="41"/>
    </row>
    <row r="528" spans="1:13">
      <c r="B528" s="41"/>
    </row>
    <row r="529" spans="2:2">
      <c r="B529" s="41"/>
    </row>
    <row r="530" spans="2:2">
      <c r="B530" s="41"/>
    </row>
    <row r="531" spans="2:2">
      <c r="B531" s="41"/>
    </row>
    <row r="532" spans="2:2">
      <c r="B532" s="41"/>
    </row>
    <row r="533" spans="2:2">
      <c r="B533" s="41"/>
    </row>
    <row r="534" spans="2:2">
      <c r="B534" s="41"/>
    </row>
    <row r="535" spans="2:2">
      <c r="B535" s="41"/>
    </row>
    <row r="536" spans="2:2">
      <c r="B536" s="41"/>
    </row>
    <row r="537" spans="2:2">
      <c r="B537" s="41"/>
    </row>
    <row r="538" spans="2:2">
      <c r="B538" s="41"/>
    </row>
    <row r="539" spans="2:2">
      <c r="B539" s="41"/>
    </row>
    <row r="540" spans="2:2">
      <c r="B540" s="41"/>
    </row>
    <row r="541" spans="2:2">
      <c r="B541" s="41"/>
    </row>
    <row r="542" spans="2:2">
      <c r="B542" s="41"/>
    </row>
    <row r="543" spans="2:2">
      <c r="B543" s="41"/>
    </row>
    <row r="544" spans="2:2">
      <c r="B544" s="41"/>
    </row>
    <row r="545" spans="2:2">
      <c r="B545" s="41"/>
    </row>
    <row r="546" spans="2:2">
      <c r="B546" s="41"/>
    </row>
    <row r="547" spans="2:2">
      <c r="B547" s="41"/>
    </row>
    <row r="548" spans="2:2">
      <c r="B548" s="41"/>
    </row>
    <row r="549" spans="2:2">
      <c r="B549" s="41"/>
    </row>
    <row r="550" spans="2:2">
      <c r="B550" s="41"/>
    </row>
    <row r="551" spans="2:2">
      <c r="B551" s="41"/>
    </row>
    <row r="552" spans="2:2">
      <c r="B552" s="41"/>
    </row>
    <row r="553" spans="2:2">
      <c r="B553" s="41"/>
    </row>
    <row r="554" spans="2:2">
      <c r="B554" s="41"/>
    </row>
    <row r="555" spans="2:2">
      <c r="B555" s="41"/>
    </row>
    <row r="556" spans="2:2">
      <c r="B556" s="41"/>
    </row>
    <row r="557" spans="2:2">
      <c r="B557" s="41"/>
    </row>
    <row r="558" spans="2:2">
      <c r="B558" s="41"/>
    </row>
    <row r="559" spans="2:2">
      <c r="B559" s="41"/>
    </row>
    <row r="560" spans="2:2">
      <c r="B560" s="41"/>
    </row>
    <row r="561" spans="2:2">
      <c r="B561" s="41"/>
    </row>
    <row r="562" spans="2:2">
      <c r="B562" s="41"/>
    </row>
    <row r="563" spans="2:2">
      <c r="B563" s="41"/>
    </row>
    <row r="564" spans="2:2">
      <c r="B564" s="41"/>
    </row>
    <row r="565" spans="2:2">
      <c r="B565" s="41"/>
    </row>
    <row r="566" spans="2:2">
      <c r="B566" s="41"/>
    </row>
    <row r="567" spans="2:2">
      <c r="B567" s="41"/>
    </row>
    <row r="568" spans="2:2">
      <c r="B568" s="41"/>
    </row>
    <row r="569" spans="2:2">
      <c r="B569" s="41"/>
    </row>
    <row r="570" spans="2:2">
      <c r="B570" s="41"/>
    </row>
    <row r="571" spans="2:2">
      <c r="B571" s="41"/>
    </row>
    <row r="572" spans="2:2">
      <c r="B572" s="41"/>
    </row>
    <row r="573" spans="2:2">
      <c r="B573" s="41"/>
    </row>
    <row r="574" spans="2:2">
      <c r="B574" s="41"/>
    </row>
    <row r="575" spans="2:2">
      <c r="B575" s="41"/>
    </row>
    <row r="576" spans="2:2">
      <c r="B576" s="41"/>
    </row>
    <row r="577" spans="2:2">
      <c r="B577" s="41"/>
    </row>
    <row r="578" spans="2:2">
      <c r="B578" s="41"/>
    </row>
    <row r="579" spans="2:2">
      <c r="B579" s="41"/>
    </row>
    <row r="580" spans="2:2">
      <c r="B580" s="41"/>
    </row>
    <row r="581" spans="2:2">
      <c r="B581" s="41"/>
    </row>
    <row r="582" spans="2:2">
      <c r="B582" s="41"/>
    </row>
    <row r="583" spans="2:2">
      <c r="B583" s="41"/>
    </row>
    <row r="584" spans="2:2">
      <c r="B584" s="41"/>
    </row>
    <row r="585" spans="2:2">
      <c r="B585" s="41"/>
    </row>
    <row r="586" spans="2:2">
      <c r="B586" s="41"/>
    </row>
    <row r="587" spans="2:2">
      <c r="B587" s="41"/>
    </row>
    <row r="588" spans="2:2">
      <c r="B588" s="41"/>
    </row>
    <row r="589" spans="2:2">
      <c r="B589" s="41"/>
    </row>
    <row r="590" spans="2:2">
      <c r="B590" s="41"/>
    </row>
    <row r="591" spans="2:2">
      <c r="B591" s="41"/>
    </row>
    <row r="592" spans="2:2">
      <c r="B592" s="41"/>
    </row>
    <row r="593" spans="2:2">
      <c r="B593" s="41"/>
    </row>
    <row r="594" spans="2:2">
      <c r="B594" s="41"/>
    </row>
    <row r="595" spans="2:2">
      <c r="B595" s="41"/>
    </row>
    <row r="596" spans="2:2">
      <c r="B596" s="41"/>
    </row>
    <row r="597" spans="2:2">
      <c r="B597" s="41"/>
    </row>
    <row r="598" spans="2:2">
      <c r="B598" s="41"/>
    </row>
    <row r="599" spans="2:2">
      <c r="B599" s="41"/>
    </row>
    <row r="600" spans="2:2">
      <c r="B600" s="41"/>
    </row>
    <row r="601" spans="2:2">
      <c r="B601" s="41"/>
    </row>
    <row r="602" spans="2:2">
      <c r="B602" s="41"/>
    </row>
    <row r="603" spans="2:2">
      <c r="B603" s="41"/>
    </row>
    <row r="604" spans="2:2">
      <c r="B604" s="41"/>
    </row>
    <row r="605" spans="2:2">
      <c r="B605" s="41"/>
    </row>
    <row r="606" spans="2:2">
      <c r="B606" s="41"/>
    </row>
    <row r="607" spans="2:2">
      <c r="B607" s="41"/>
    </row>
    <row r="608" spans="2:2">
      <c r="B608" s="41"/>
    </row>
    <row r="609" spans="2:2">
      <c r="B609" s="41"/>
    </row>
    <row r="610" spans="2:2">
      <c r="B610" s="41"/>
    </row>
    <row r="611" spans="2:2">
      <c r="B611" s="41"/>
    </row>
    <row r="612" spans="2:2">
      <c r="B612" s="41"/>
    </row>
    <row r="613" spans="2:2">
      <c r="B613" s="41"/>
    </row>
    <row r="614" spans="2:2">
      <c r="B614" s="41"/>
    </row>
    <row r="615" spans="2:2">
      <c r="B615" s="41"/>
    </row>
    <row r="616" spans="2:2">
      <c r="B616" s="41"/>
    </row>
    <row r="617" spans="2:2">
      <c r="B617" s="41"/>
    </row>
    <row r="618" spans="2:2">
      <c r="B618" s="41"/>
    </row>
    <row r="619" spans="2:2">
      <c r="B619" s="41"/>
    </row>
    <row r="620" spans="2:2">
      <c r="B620" s="41"/>
    </row>
    <row r="621" spans="2:2">
      <c r="B621" s="41"/>
    </row>
    <row r="622" spans="2:2">
      <c r="B622" s="41"/>
    </row>
    <row r="623" spans="2:2">
      <c r="B623" s="41"/>
    </row>
    <row r="624" spans="2:2">
      <c r="B624" s="41"/>
    </row>
    <row r="625" spans="2:2">
      <c r="B625" s="41"/>
    </row>
    <row r="626" spans="2:2">
      <c r="B626" s="41"/>
    </row>
    <row r="627" spans="2:2">
      <c r="B627" s="41"/>
    </row>
    <row r="628" spans="2:2">
      <c r="B628" s="41"/>
    </row>
    <row r="629" spans="2:2">
      <c r="B629" s="41"/>
    </row>
    <row r="630" spans="2:2">
      <c r="B630" s="41"/>
    </row>
    <row r="631" spans="2:2">
      <c r="B631" s="41"/>
    </row>
    <row r="632" spans="2:2">
      <c r="B632" s="41"/>
    </row>
    <row r="633" spans="2:2">
      <c r="B633" s="41"/>
    </row>
    <row r="634" spans="2:2">
      <c r="B634" s="41"/>
    </row>
    <row r="635" spans="2:2">
      <c r="B635" s="41"/>
    </row>
    <row r="636" spans="2:2">
      <c r="B636" s="41"/>
    </row>
    <row r="637" spans="2:2">
      <c r="B637" s="41"/>
    </row>
    <row r="638" spans="2:2">
      <c r="B638" s="41"/>
    </row>
    <row r="639" spans="2:2">
      <c r="B639" s="41"/>
    </row>
    <row r="640" spans="2:2">
      <c r="B640" s="41"/>
    </row>
    <row r="641" spans="2:2">
      <c r="B641" s="41"/>
    </row>
    <row r="642" spans="2:2">
      <c r="B642" s="41"/>
    </row>
    <row r="643" spans="2:2">
      <c r="B643" s="41"/>
    </row>
    <row r="644" spans="2:2">
      <c r="B644" s="41"/>
    </row>
    <row r="645" spans="2:2">
      <c r="B645" s="41"/>
    </row>
    <row r="646" spans="2:2">
      <c r="B646" s="41"/>
    </row>
    <row r="647" spans="2:2">
      <c r="B647" s="41"/>
    </row>
    <row r="648" spans="2:2">
      <c r="B648" s="41"/>
    </row>
    <row r="649" spans="2:2">
      <c r="B649" s="41"/>
    </row>
    <row r="650" spans="2:2">
      <c r="B650" s="41"/>
    </row>
    <row r="651" spans="2:2">
      <c r="B651" s="41"/>
    </row>
    <row r="652" spans="2:2">
      <c r="B652" s="41"/>
    </row>
    <row r="653" spans="2:2">
      <c r="B653" s="41"/>
    </row>
    <row r="654" spans="2:2">
      <c r="B654" s="41"/>
    </row>
    <row r="655" spans="2:2">
      <c r="B655" s="41"/>
    </row>
    <row r="656" spans="2:2">
      <c r="B656" s="41"/>
    </row>
    <row r="657" spans="2:2">
      <c r="B657" s="41"/>
    </row>
    <row r="658" spans="2:2">
      <c r="B658" s="41"/>
    </row>
    <row r="659" spans="2:2">
      <c r="B659" s="41"/>
    </row>
    <row r="660" spans="2:2">
      <c r="B660" s="41"/>
    </row>
    <row r="661" spans="2:2">
      <c r="B661" s="41"/>
    </row>
    <row r="662" spans="2:2">
      <c r="B662" s="41"/>
    </row>
    <row r="663" spans="2:2">
      <c r="B663" s="41"/>
    </row>
    <row r="664" spans="2:2">
      <c r="B664" s="41"/>
    </row>
    <row r="665" spans="2:2">
      <c r="B665" s="41"/>
    </row>
    <row r="666" spans="2:2">
      <c r="B666" s="41"/>
    </row>
    <row r="667" spans="2:2">
      <c r="B667" s="41"/>
    </row>
    <row r="668" spans="2:2">
      <c r="B668" s="41"/>
    </row>
    <row r="669" spans="2:2">
      <c r="B669" s="41"/>
    </row>
    <row r="670" spans="2:2">
      <c r="B670" s="41"/>
    </row>
    <row r="671" spans="2:2">
      <c r="B671" s="41"/>
    </row>
    <row r="672" spans="2:2">
      <c r="B672" s="41"/>
    </row>
    <row r="673" spans="2:2">
      <c r="B673" s="41"/>
    </row>
    <row r="674" spans="2:2">
      <c r="B674" s="41"/>
    </row>
    <row r="675" spans="2:2">
      <c r="B675" s="41"/>
    </row>
    <row r="676" spans="2:2">
      <c r="B676" s="41"/>
    </row>
    <row r="677" spans="2:2">
      <c r="B677" s="41"/>
    </row>
    <row r="678" spans="2:2">
      <c r="B678" s="41"/>
    </row>
    <row r="679" spans="2:2">
      <c r="B679" s="41"/>
    </row>
    <row r="680" spans="2:2">
      <c r="B680" s="41"/>
    </row>
    <row r="681" spans="2:2">
      <c r="B681" s="41"/>
    </row>
    <row r="682" spans="2:2">
      <c r="B682" s="41"/>
    </row>
    <row r="683" spans="2:2">
      <c r="B683" s="41"/>
    </row>
    <row r="684" spans="2:2">
      <c r="B684" s="41"/>
    </row>
    <row r="685" spans="2:2">
      <c r="B685" s="41"/>
    </row>
    <row r="686" spans="2:2">
      <c r="B686" s="41"/>
    </row>
    <row r="687" spans="2:2">
      <c r="B687" s="41"/>
    </row>
    <row r="688" spans="2:2">
      <c r="B688" s="41"/>
    </row>
    <row r="689" spans="2:2">
      <c r="B689" s="41"/>
    </row>
    <row r="690" spans="2:2">
      <c r="B690" s="41"/>
    </row>
    <row r="691" spans="2:2">
      <c r="B691" s="41"/>
    </row>
    <row r="692" spans="2:2">
      <c r="B692" s="41"/>
    </row>
    <row r="693" spans="2:2">
      <c r="B693" s="41"/>
    </row>
    <row r="694" spans="2:2">
      <c r="B694" s="41"/>
    </row>
    <row r="695" spans="2:2">
      <c r="B695" s="41"/>
    </row>
    <row r="696" spans="2:2">
      <c r="B696" s="41"/>
    </row>
    <row r="697" spans="2:2">
      <c r="B697" s="41"/>
    </row>
    <row r="698" spans="2:2">
      <c r="B698" s="41"/>
    </row>
    <row r="699" spans="2:2">
      <c r="B699" s="41"/>
    </row>
    <row r="700" spans="2:2">
      <c r="B700" s="41"/>
    </row>
    <row r="701" spans="2:2">
      <c r="B701" s="41"/>
    </row>
    <row r="702" spans="2:2">
      <c r="B702" s="41"/>
    </row>
    <row r="703" spans="2:2">
      <c r="B703" s="41"/>
    </row>
    <row r="704" spans="2:2">
      <c r="B704" s="41"/>
    </row>
    <row r="705" spans="2:2">
      <c r="B705" s="41"/>
    </row>
    <row r="706" spans="2:2">
      <c r="B706" s="41"/>
    </row>
    <row r="707" spans="2:2">
      <c r="B707" s="41"/>
    </row>
    <row r="708" spans="2:2">
      <c r="B708" s="41"/>
    </row>
    <row r="709" spans="2:2">
      <c r="B709" s="41"/>
    </row>
    <row r="710" spans="2:2">
      <c r="B710" s="41"/>
    </row>
    <row r="711" spans="2:2">
      <c r="B711" s="41"/>
    </row>
    <row r="712" spans="2:2">
      <c r="B712" s="41"/>
    </row>
    <row r="713" spans="2:2">
      <c r="B713" s="41"/>
    </row>
    <row r="714" spans="2:2">
      <c r="B714" s="41"/>
    </row>
    <row r="715" spans="2:2">
      <c r="B715" s="41"/>
    </row>
    <row r="716" spans="2:2">
      <c r="B716" s="41"/>
    </row>
    <row r="717" spans="2:2">
      <c r="B717" s="41"/>
    </row>
    <row r="718" spans="2:2">
      <c r="B718" s="41"/>
    </row>
    <row r="719" spans="2:2">
      <c r="B719" s="41"/>
    </row>
    <row r="720" spans="2:2">
      <c r="B720" s="41"/>
    </row>
    <row r="721" spans="2:2">
      <c r="B721" s="41"/>
    </row>
    <row r="722" spans="2:2">
      <c r="B722" s="41"/>
    </row>
    <row r="723" spans="2:2">
      <c r="B723" s="41"/>
    </row>
    <row r="724" spans="2:2">
      <c r="B724" s="41"/>
    </row>
    <row r="725" spans="2:2">
      <c r="B725" s="41"/>
    </row>
    <row r="726" spans="2:2">
      <c r="B726" s="41"/>
    </row>
    <row r="727" spans="2:2">
      <c r="B727" s="41"/>
    </row>
    <row r="728" spans="2:2">
      <c r="B728" s="41"/>
    </row>
    <row r="729" spans="2:2">
      <c r="B729" s="41"/>
    </row>
    <row r="730" spans="2:2">
      <c r="B730" s="41"/>
    </row>
    <row r="731" spans="2:2">
      <c r="B731" s="41"/>
    </row>
    <row r="732" spans="2:2">
      <c r="B732" s="41"/>
    </row>
    <row r="733" spans="2:2">
      <c r="B733" s="41"/>
    </row>
    <row r="734" spans="2:2">
      <c r="B734" s="41"/>
    </row>
    <row r="735" spans="2:2">
      <c r="B735" s="41"/>
    </row>
    <row r="736" spans="2:2">
      <c r="B736" s="41"/>
    </row>
    <row r="737" spans="2:2">
      <c r="B737" s="41"/>
    </row>
    <row r="738" spans="2:2">
      <c r="B738" s="41"/>
    </row>
    <row r="739" spans="2:2">
      <c r="B739" s="41"/>
    </row>
    <row r="740" spans="2:2">
      <c r="B740" s="41"/>
    </row>
    <row r="741" spans="2:2">
      <c r="B741" s="41"/>
    </row>
    <row r="742" spans="2:2">
      <c r="B742" s="41"/>
    </row>
    <row r="743" spans="2:2">
      <c r="B743" s="41"/>
    </row>
    <row r="744" spans="2:2">
      <c r="B744" s="41"/>
    </row>
    <row r="745" spans="2:2">
      <c r="B745" s="41"/>
    </row>
    <row r="746" spans="2:2">
      <c r="B746" s="41"/>
    </row>
    <row r="747" spans="2:2">
      <c r="B747" s="41"/>
    </row>
    <row r="748" spans="2:2">
      <c r="B748" s="41"/>
    </row>
    <row r="749" spans="2:2">
      <c r="B749" s="41"/>
    </row>
    <row r="750" spans="2:2">
      <c r="B750" s="41"/>
    </row>
    <row r="751" spans="2:2">
      <c r="B751" s="41"/>
    </row>
    <row r="752" spans="2:2">
      <c r="B752" s="41"/>
    </row>
    <row r="753" spans="2:2">
      <c r="B753" s="41"/>
    </row>
    <row r="754" spans="2:2">
      <c r="B754" s="41"/>
    </row>
    <row r="755" spans="2:2">
      <c r="B755" s="41"/>
    </row>
    <row r="756" spans="2:2">
      <c r="B756" s="41"/>
    </row>
    <row r="757" spans="2:2">
      <c r="B757" s="41"/>
    </row>
    <row r="758" spans="2:2">
      <c r="B758" s="41"/>
    </row>
    <row r="759" spans="2:2">
      <c r="B759" s="41"/>
    </row>
    <row r="760" spans="2:2">
      <c r="B760" s="41"/>
    </row>
    <row r="761" spans="2:2">
      <c r="B761" s="41"/>
    </row>
    <row r="762" spans="2:2">
      <c r="B762" s="41"/>
    </row>
    <row r="763" spans="2:2">
      <c r="B763" s="41"/>
    </row>
    <row r="764" spans="2:2">
      <c r="B764" s="41"/>
    </row>
    <row r="765" spans="2:2">
      <c r="B765" s="41"/>
    </row>
    <row r="766" spans="2:2">
      <c r="B766" s="41"/>
    </row>
    <row r="767" spans="2:2">
      <c r="B767" s="41"/>
    </row>
    <row r="768" spans="2:2">
      <c r="B768" s="41"/>
    </row>
    <row r="769" spans="2:2">
      <c r="B769" s="41"/>
    </row>
    <row r="770" spans="2:2">
      <c r="B770" s="41"/>
    </row>
    <row r="771" spans="2:2">
      <c r="B771" s="41"/>
    </row>
    <row r="772" spans="2:2">
      <c r="B772" s="41"/>
    </row>
    <row r="773" spans="2:2">
      <c r="B773" s="41"/>
    </row>
    <row r="774" spans="2:2">
      <c r="B774" s="41"/>
    </row>
    <row r="775" spans="2:2">
      <c r="B775" s="41"/>
    </row>
    <row r="776" spans="2:2">
      <c r="B776" s="41"/>
    </row>
    <row r="777" spans="2:2">
      <c r="B777" s="41"/>
    </row>
    <row r="778" spans="2:2">
      <c r="B778" s="41"/>
    </row>
    <row r="779" spans="2:2">
      <c r="B779" s="41"/>
    </row>
    <row r="780" spans="2:2">
      <c r="B780" s="41"/>
    </row>
    <row r="781" spans="2:2">
      <c r="B781" s="41"/>
    </row>
    <row r="782" spans="2:2">
      <c r="B782" s="41"/>
    </row>
    <row r="783" spans="2:2">
      <c r="B783" s="41"/>
    </row>
    <row r="784" spans="2:2">
      <c r="B784" s="41"/>
    </row>
    <row r="785" spans="2:2">
      <c r="B785" s="41"/>
    </row>
    <row r="786" spans="2:2">
      <c r="B786" s="41"/>
    </row>
    <row r="787" spans="2:2">
      <c r="B787" s="41"/>
    </row>
    <row r="788" spans="2:2">
      <c r="B788" s="41"/>
    </row>
    <row r="789" spans="2:2">
      <c r="B789" s="41"/>
    </row>
    <row r="790" spans="2:2">
      <c r="B790" s="41"/>
    </row>
    <row r="791" spans="2:2">
      <c r="B791" s="41"/>
    </row>
    <row r="792" spans="2:2">
      <c r="B792" s="41"/>
    </row>
    <row r="793" spans="2:2">
      <c r="B793" s="41"/>
    </row>
    <row r="794" spans="2:2">
      <c r="B794" s="41"/>
    </row>
    <row r="795" spans="2:2">
      <c r="B795" s="41"/>
    </row>
    <row r="796" spans="2:2">
      <c r="B796" s="41"/>
    </row>
    <row r="797" spans="2:2">
      <c r="B797" s="41"/>
    </row>
    <row r="798" spans="2:2">
      <c r="B798" s="41"/>
    </row>
    <row r="799" spans="2:2">
      <c r="B799" s="41"/>
    </row>
    <row r="800" spans="2:2">
      <c r="B800" s="41"/>
    </row>
    <row r="801" spans="2:2">
      <c r="B801" s="41"/>
    </row>
    <row r="802" spans="2:2">
      <c r="B802" s="41"/>
    </row>
    <row r="803" spans="2:2">
      <c r="B803" s="41"/>
    </row>
    <row r="804" spans="2:2">
      <c r="B804" s="41"/>
    </row>
    <row r="805" spans="2:2">
      <c r="B805" s="41"/>
    </row>
    <row r="806" spans="2:2">
      <c r="B806" s="41"/>
    </row>
    <row r="807" spans="2:2">
      <c r="B807" s="41"/>
    </row>
    <row r="808" spans="2:2">
      <c r="B808" s="41"/>
    </row>
    <row r="809" spans="2:2">
      <c r="B809" s="41"/>
    </row>
    <row r="810" spans="2:2">
      <c r="B810" s="41"/>
    </row>
    <row r="811" spans="2:2">
      <c r="B811" s="41"/>
    </row>
    <row r="812" spans="2:2">
      <c r="B812" s="41"/>
    </row>
    <row r="813" spans="2:2">
      <c r="B813" s="41"/>
    </row>
    <row r="814" spans="2:2">
      <c r="B814" s="41"/>
    </row>
    <row r="815" spans="2:2">
      <c r="B815" s="41"/>
    </row>
    <row r="816" spans="2:2">
      <c r="B816" s="41"/>
    </row>
    <row r="817" spans="2:2">
      <c r="B817" s="41"/>
    </row>
    <row r="818" spans="2:2">
      <c r="B818" s="41"/>
    </row>
    <row r="819" spans="2:2">
      <c r="B819" s="41"/>
    </row>
    <row r="820" spans="2:2">
      <c r="B820" s="41"/>
    </row>
    <row r="821" spans="2:2">
      <c r="B821" s="41"/>
    </row>
    <row r="822" spans="2:2">
      <c r="B822" s="41"/>
    </row>
    <row r="823" spans="2:2">
      <c r="B823" s="41"/>
    </row>
    <row r="824" spans="2:2">
      <c r="B824" s="41"/>
    </row>
    <row r="825" spans="2:2">
      <c r="B825" s="41"/>
    </row>
    <row r="826" spans="2:2">
      <c r="B826" s="41"/>
    </row>
    <row r="827" spans="2:2">
      <c r="B827" s="41"/>
    </row>
    <row r="828" spans="2:2">
      <c r="B828" s="41"/>
    </row>
    <row r="829" spans="2:2">
      <c r="B829" s="41"/>
    </row>
    <row r="830" spans="2:2">
      <c r="B830" s="41"/>
    </row>
    <row r="831" spans="2:2">
      <c r="B831" s="41"/>
    </row>
    <row r="832" spans="2:2">
      <c r="B832" s="41"/>
    </row>
    <row r="833" spans="2:2">
      <c r="B833" s="41"/>
    </row>
    <row r="834" spans="2:2">
      <c r="B834" s="41"/>
    </row>
    <row r="835" spans="2:2">
      <c r="B835" s="41"/>
    </row>
    <row r="836" spans="2:2">
      <c r="B836" s="41"/>
    </row>
    <row r="837" spans="2:2">
      <c r="B837" s="41"/>
    </row>
    <row r="838" spans="2:2">
      <c r="B838" s="41"/>
    </row>
    <row r="839" spans="2:2">
      <c r="B839" s="41"/>
    </row>
    <row r="840" spans="2:2">
      <c r="B840" s="41"/>
    </row>
    <row r="841" spans="2:2">
      <c r="B841" s="41"/>
    </row>
    <row r="842" spans="2:2">
      <c r="B842" s="41"/>
    </row>
    <row r="843" spans="2:2">
      <c r="B843" s="41"/>
    </row>
    <row r="844" spans="2:2">
      <c r="B844" s="41"/>
    </row>
    <row r="845" spans="2:2">
      <c r="B845" s="41"/>
    </row>
    <row r="846" spans="2:2">
      <c r="B846" s="41"/>
    </row>
    <row r="847" spans="2:2">
      <c r="B847" s="41"/>
    </row>
    <row r="848" spans="2:2">
      <c r="B848" s="41"/>
    </row>
    <row r="849" spans="2:2">
      <c r="B849" s="41"/>
    </row>
    <row r="850" spans="2:2">
      <c r="B850" s="41"/>
    </row>
    <row r="851" spans="2:2">
      <c r="B851" s="41"/>
    </row>
    <row r="852" spans="2:2">
      <c r="B852" s="41"/>
    </row>
    <row r="853" spans="2:2">
      <c r="B853" s="41"/>
    </row>
    <row r="854" spans="2:2">
      <c r="B854" s="41"/>
    </row>
    <row r="855" spans="2:2">
      <c r="B855" s="41"/>
    </row>
    <row r="856" spans="2:2">
      <c r="B856" s="41"/>
    </row>
    <row r="857" spans="2:2">
      <c r="B857" s="41"/>
    </row>
    <row r="858" spans="2:2">
      <c r="B858" s="41"/>
    </row>
    <row r="859" spans="2:2">
      <c r="B859" s="41"/>
    </row>
    <row r="860" spans="2:2">
      <c r="B860" s="41"/>
    </row>
    <row r="861" spans="2:2">
      <c r="B861" s="41"/>
    </row>
    <row r="862" spans="2:2">
      <c r="B862" s="41"/>
    </row>
    <row r="863" spans="2:2">
      <c r="B863" s="41"/>
    </row>
    <row r="864" spans="2:2">
      <c r="B864" s="41"/>
    </row>
    <row r="865" spans="2:2">
      <c r="B865" s="41"/>
    </row>
    <row r="866" spans="2:2">
      <c r="B866" s="41"/>
    </row>
    <row r="867" spans="2:2">
      <c r="B867" s="41"/>
    </row>
    <row r="868" spans="2:2">
      <c r="B868" s="41"/>
    </row>
    <row r="869" spans="2:2">
      <c r="B869" s="41"/>
    </row>
    <row r="870" spans="2:2">
      <c r="B870" s="41"/>
    </row>
    <row r="871" spans="2:2">
      <c r="B871" s="41"/>
    </row>
    <row r="872" spans="2:2">
      <c r="B872" s="41"/>
    </row>
    <row r="873" spans="2:2">
      <c r="B873" s="41"/>
    </row>
    <row r="874" spans="2:2">
      <c r="B874" s="41"/>
    </row>
    <row r="875" spans="2:2">
      <c r="B875" s="41"/>
    </row>
    <row r="876" spans="2:2">
      <c r="B876" s="41"/>
    </row>
    <row r="877" spans="2:2">
      <c r="B877" s="41"/>
    </row>
    <row r="878" spans="2:2">
      <c r="B878" s="41"/>
    </row>
    <row r="879" spans="2:2">
      <c r="B879" s="41"/>
    </row>
    <row r="880" spans="2:2">
      <c r="B880" s="41"/>
    </row>
    <row r="881" spans="2:2">
      <c r="B881" s="41"/>
    </row>
    <row r="882" spans="2:2">
      <c r="B882" s="41"/>
    </row>
    <row r="883" spans="2:2">
      <c r="B883" s="41"/>
    </row>
    <row r="884" spans="2:2">
      <c r="B884" s="41"/>
    </row>
    <row r="885" spans="2:2">
      <c r="B885" s="41"/>
    </row>
    <row r="886" spans="2:2">
      <c r="B886" s="41"/>
    </row>
    <row r="887" spans="2:2">
      <c r="B887" s="41"/>
    </row>
    <row r="888" spans="2:2">
      <c r="B888" s="41"/>
    </row>
    <row r="889" spans="2:2">
      <c r="B889" s="41"/>
    </row>
    <row r="890" spans="2:2">
      <c r="B890" s="41"/>
    </row>
    <row r="891" spans="2:2">
      <c r="B891" s="41"/>
    </row>
    <row r="892" spans="2:2">
      <c r="B892" s="41"/>
    </row>
    <row r="893" spans="2:2">
      <c r="B893" s="41"/>
    </row>
    <row r="894" spans="2:2">
      <c r="B894" s="41"/>
    </row>
    <row r="895" spans="2:2">
      <c r="B895" s="41"/>
    </row>
    <row r="896" spans="2:2">
      <c r="B896" s="41"/>
    </row>
    <row r="897" spans="2:2">
      <c r="B897" s="41"/>
    </row>
    <row r="898" spans="2:2">
      <c r="B898" s="41"/>
    </row>
    <row r="899" spans="2:2">
      <c r="B899" s="41"/>
    </row>
    <row r="900" spans="2:2">
      <c r="B900" s="41"/>
    </row>
    <row r="901" spans="2:2">
      <c r="B901" s="41"/>
    </row>
    <row r="902" spans="2:2">
      <c r="B902" s="41"/>
    </row>
    <row r="903" spans="2:2">
      <c r="B903" s="41"/>
    </row>
    <row r="904" spans="2:2">
      <c r="B904" s="41"/>
    </row>
    <row r="905" spans="2:2">
      <c r="B905" s="41"/>
    </row>
    <row r="906" spans="2:2">
      <c r="B906" s="41"/>
    </row>
    <row r="907" spans="2:2">
      <c r="B907" s="41"/>
    </row>
    <row r="908" spans="2:2">
      <c r="B908" s="41"/>
    </row>
    <row r="909" spans="2:2">
      <c r="B909" s="41"/>
    </row>
    <row r="910" spans="2:2">
      <c r="B910" s="41"/>
    </row>
    <row r="911" spans="2:2">
      <c r="B911" s="41"/>
    </row>
    <row r="912" spans="2:2">
      <c r="B912" s="41"/>
    </row>
    <row r="913" spans="2:2">
      <c r="B913" s="41"/>
    </row>
    <row r="914" spans="2:2">
      <c r="B914" s="41"/>
    </row>
    <row r="915" spans="2:2">
      <c r="B915" s="41"/>
    </row>
    <row r="916" spans="2:2">
      <c r="B916" s="41"/>
    </row>
    <row r="917" spans="2:2">
      <c r="B917" s="41"/>
    </row>
    <row r="918" spans="2:2">
      <c r="B918" s="41"/>
    </row>
    <row r="919" spans="2:2">
      <c r="B919" s="41"/>
    </row>
    <row r="920" spans="2:2">
      <c r="B920" s="41"/>
    </row>
    <row r="921" spans="2:2">
      <c r="B921" s="41"/>
    </row>
    <row r="922" spans="2:2">
      <c r="B922" s="41"/>
    </row>
    <row r="923" spans="2:2">
      <c r="B923" s="41"/>
    </row>
    <row r="924" spans="2:2">
      <c r="B924" s="41"/>
    </row>
    <row r="925" spans="2:2">
      <c r="B925" s="41"/>
    </row>
    <row r="926" spans="2:2">
      <c r="B926" s="41"/>
    </row>
    <row r="927" spans="2:2">
      <c r="B927" s="41"/>
    </row>
    <row r="928" spans="2:2">
      <c r="B928" s="41"/>
    </row>
    <row r="929" spans="2:2">
      <c r="B929" s="41"/>
    </row>
    <row r="930" spans="2:2">
      <c r="B930" s="41"/>
    </row>
    <row r="931" spans="2:2">
      <c r="B931" s="41"/>
    </row>
    <row r="932" spans="2:2">
      <c r="B932" s="41"/>
    </row>
    <row r="933" spans="2:2">
      <c r="B933" s="41"/>
    </row>
    <row r="934" spans="2:2">
      <c r="B934" s="41"/>
    </row>
    <row r="935" spans="2:2">
      <c r="B935" s="41"/>
    </row>
    <row r="936" spans="2:2">
      <c r="B936" s="41"/>
    </row>
    <row r="937" spans="2:2">
      <c r="B937" s="41"/>
    </row>
    <row r="938" spans="2:2">
      <c r="B938" s="41"/>
    </row>
    <row r="939" spans="2:2">
      <c r="B939" s="41"/>
    </row>
    <row r="940" spans="2:2">
      <c r="B940" s="41"/>
    </row>
    <row r="941" spans="2:2">
      <c r="B941" s="41"/>
    </row>
    <row r="942" spans="2:2">
      <c r="B942" s="41"/>
    </row>
    <row r="943" spans="2:2">
      <c r="B943" s="41"/>
    </row>
    <row r="944" spans="2:2">
      <c r="B944" s="41"/>
    </row>
    <row r="945" spans="2:2">
      <c r="B945" s="41"/>
    </row>
    <row r="946" spans="2:2">
      <c r="B946" s="41"/>
    </row>
    <row r="947" spans="2:2">
      <c r="B947" s="41"/>
    </row>
    <row r="948" spans="2:2">
      <c r="B948" s="41"/>
    </row>
    <row r="949" spans="2:2">
      <c r="B949" s="41"/>
    </row>
    <row r="950" spans="2:2">
      <c r="B950" s="41"/>
    </row>
    <row r="951" spans="2:2">
      <c r="B951" s="41"/>
    </row>
    <row r="952" spans="2:2">
      <c r="B952" s="41"/>
    </row>
    <row r="953" spans="2:2">
      <c r="B953" s="41"/>
    </row>
    <row r="954" spans="2:2">
      <c r="B954" s="41"/>
    </row>
    <row r="955" spans="2:2">
      <c r="B955" s="41"/>
    </row>
    <row r="956" spans="2:2">
      <c r="B956" s="41"/>
    </row>
    <row r="957" spans="2:2">
      <c r="B957" s="41"/>
    </row>
    <row r="958" spans="2:2">
      <c r="B958" s="41"/>
    </row>
    <row r="959" spans="2:2">
      <c r="B959" s="41"/>
    </row>
    <row r="960" spans="2:2">
      <c r="B960" s="41"/>
    </row>
    <row r="961" spans="2:2">
      <c r="B961" s="41"/>
    </row>
    <row r="962" spans="2:2">
      <c r="B962" s="41"/>
    </row>
    <row r="963" spans="2:2">
      <c r="B963" s="41"/>
    </row>
    <row r="964" spans="2:2">
      <c r="B964" s="41"/>
    </row>
    <row r="965" spans="2:2">
      <c r="B965" s="41"/>
    </row>
    <row r="966" spans="2:2">
      <c r="B966" s="41"/>
    </row>
    <row r="967" spans="2:2">
      <c r="B967" s="41"/>
    </row>
    <row r="968" spans="2:2">
      <c r="B968" s="41"/>
    </row>
    <row r="969" spans="2:2">
      <c r="B969" s="41"/>
    </row>
    <row r="970" spans="2:2">
      <c r="B970" s="41"/>
    </row>
    <row r="971" spans="2:2">
      <c r="B971" s="41"/>
    </row>
    <row r="972" spans="2:2">
      <c r="B972" s="41"/>
    </row>
    <row r="973" spans="2:2">
      <c r="B973" s="41"/>
    </row>
    <row r="974" spans="2:2">
      <c r="B974" s="41"/>
    </row>
    <row r="975" spans="2:2">
      <c r="B975" s="41"/>
    </row>
    <row r="976" spans="2:2">
      <c r="B976" s="41"/>
    </row>
    <row r="977" spans="2:2">
      <c r="B977" s="41"/>
    </row>
    <row r="978" spans="2:2">
      <c r="B978" s="41"/>
    </row>
    <row r="979" spans="2:2">
      <c r="B979" s="41"/>
    </row>
    <row r="980" spans="2:2">
      <c r="B980" s="41"/>
    </row>
    <row r="981" spans="2:2">
      <c r="B981" s="41"/>
    </row>
    <row r="982" spans="2:2">
      <c r="B982" s="41"/>
    </row>
    <row r="983" spans="2:2">
      <c r="B983" s="41"/>
    </row>
    <row r="984" spans="2:2">
      <c r="B984" s="41"/>
    </row>
    <row r="985" spans="2:2">
      <c r="B985" s="41"/>
    </row>
    <row r="986" spans="2:2">
      <c r="B986" s="41"/>
    </row>
    <row r="987" spans="2:2">
      <c r="B987" s="41"/>
    </row>
    <row r="988" spans="2:2">
      <c r="B988" s="41"/>
    </row>
    <row r="989" spans="2:2">
      <c r="B989" s="41"/>
    </row>
    <row r="990" spans="2:2">
      <c r="B990" s="41"/>
    </row>
    <row r="991" spans="2:2">
      <c r="B991" s="41"/>
    </row>
    <row r="992" spans="2:2">
      <c r="B992" s="41"/>
    </row>
    <row r="993" spans="2:2">
      <c r="B993" s="41"/>
    </row>
    <row r="994" spans="2:2">
      <c r="B994" s="41"/>
    </row>
    <row r="995" spans="2:2">
      <c r="B995" s="41"/>
    </row>
    <row r="996" spans="2:2">
      <c r="B996" s="41"/>
    </row>
    <row r="997" spans="2:2">
      <c r="B997" s="41"/>
    </row>
    <row r="998" spans="2:2">
      <c r="B998" s="41"/>
    </row>
    <row r="999" spans="2:2">
      <c r="B999" s="41"/>
    </row>
    <row r="1000" spans="2:2">
      <c r="B1000" s="41"/>
    </row>
    <row r="1001" spans="2:2">
      <c r="B1001" s="41"/>
    </row>
    <row r="1002" spans="2:2">
      <c r="B1002" s="41"/>
    </row>
    <row r="1003" spans="2:2">
      <c r="B1003" s="41"/>
    </row>
    <row r="1004" spans="2:2">
      <c r="B1004" s="41"/>
    </row>
    <row r="1005" spans="2:2">
      <c r="B1005" s="41"/>
    </row>
    <row r="1006" spans="2:2">
      <c r="B1006" s="41"/>
    </row>
    <row r="1007" spans="2:2">
      <c r="B1007" s="41"/>
    </row>
    <row r="1008" spans="2:2">
      <c r="B1008" s="41"/>
    </row>
    <row r="1009" spans="2:2">
      <c r="B1009" s="41"/>
    </row>
    <row r="1010" spans="2:2">
      <c r="B1010" s="41"/>
    </row>
    <row r="1011" spans="2:2">
      <c r="B1011" s="41"/>
    </row>
    <row r="1012" spans="2:2">
      <c r="B1012" s="41"/>
    </row>
    <row r="1013" spans="2:2">
      <c r="B1013" s="41"/>
    </row>
    <row r="1014" spans="2:2">
      <c r="B1014" s="41"/>
    </row>
    <row r="1015" spans="2:2">
      <c r="B1015" s="41"/>
    </row>
    <row r="1016" spans="2:2">
      <c r="B1016" s="41"/>
    </row>
    <row r="1017" spans="2:2">
      <c r="B1017" s="41"/>
    </row>
    <row r="1018" spans="2:2">
      <c r="B1018" s="41"/>
    </row>
    <row r="1019" spans="2:2">
      <c r="B1019" s="41"/>
    </row>
    <row r="1020" spans="2:2">
      <c r="B1020" s="41"/>
    </row>
    <row r="1021" spans="2:2">
      <c r="B1021" s="41"/>
    </row>
    <row r="1022" spans="2:2">
      <c r="B1022" s="41"/>
    </row>
    <row r="1023" spans="2:2">
      <c r="B1023" s="41"/>
    </row>
  </sheetData>
  <sheetProtection password="90EA" sheet="1" objects="1" scenarios="1"/>
  <dataConsolidate/>
  <phoneticPr fontId="3" type="noConversion"/>
  <conditionalFormatting sqref="B12:B13 M12:M13">
    <cfRule type="cellIs" dxfId="10" priority="1" stopIfTrue="1" operator="lessThan">
      <formula>1.33</formula>
    </cfRule>
    <cfRule type="cellIs" dxfId="9" priority="2" stopIfTrue="1" operator="greaterThanOrEqual">
      <formula>1.33</formula>
    </cfRule>
  </conditionalFormatting>
  <conditionalFormatting sqref="B14 M14">
    <cfRule type="cellIs" dxfId="8" priority="3" stopIfTrue="1" operator="greaterThanOrEqual">
      <formula>0.995</formula>
    </cfRule>
    <cfRule type="cellIs" dxfId="7" priority="4" stopIfTrue="1" operator="between">
      <formula>0.9</formula>
      <formula>0.995</formula>
    </cfRule>
    <cfRule type="cellIs" dxfId="6" priority="5" stopIfTrue="1" operator="lessThan">
      <formula>0.9</formula>
    </cfRule>
  </conditionalFormatting>
  <conditionalFormatting sqref="B8:B9">
    <cfRule type="cellIs" dxfId="5" priority="11" stopIfTrue="1" operator="between">
      <formula>$B$7</formula>
      <formula>$B$6</formula>
    </cfRule>
    <cfRule type="cellIs" dxfId="4" priority="12" stopIfTrue="1" operator="greaterThan">
      <formula>$B$6</formula>
    </cfRule>
    <cfRule type="cellIs" dxfId="3" priority="13" stopIfTrue="1" operator="lessThan">
      <formula>$B$7</formula>
    </cfRule>
  </conditionalFormatting>
  <conditionalFormatting sqref="M8:M9">
    <cfRule type="cellIs" dxfId="2" priority="14" stopIfTrue="1" operator="between">
      <formula>$M$7</formula>
      <formula>$M$6</formula>
    </cfRule>
    <cfRule type="cellIs" dxfId="1" priority="15" stopIfTrue="1" operator="greaterThan">
      <formula>$M$6</formula>
    </cfRule>
    <cfRule type="cellIs" dxfId="0" priority="16" stopIfTrue="1" operator="lessThan">
      <formula>$M$7</formula>
    </cfRule>
  </conditionalFormatting>
  <dataValidations count="2">
    <dataValidation type="list" allowBlank="1" showInputMessage="1" showErrorMessage="1" sqref="B2" xr:uid="{00000000-0002-0000-0600-000000000000}">
      <formula1>$A$38:$A$516</formula1>
    </dataValidation>
    <dataValidation type="list" allowBlank="1" showInputMessage="1" showErrorMessage="1" sqref="M2" xr:uid="{00000000-0002-0000-0600-000001000000}">
      <formula1>$L$38:$L$516</formula1>
    </dataValidation>
  </dataValidations>
  <pageMargins left="0.75" right="0.75" top="1" bottom="1" header="0.5" footer="0.5"/>
  <pageSetup paperSize="9" orientation="portrait" horizontalDpi="4294967292" verticalDpi="4294967292"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2:B95"/>
  <sheetViews>
    <sheetView showGridLines="0" workbookViewId="0">
      <selection activeCell="D41" sqref="D41"/>
    </sheetView>
  </sheetViews>
  <sheetFormatPr defaultColWidth="11" defaultRowHeight="12.75"/>
  <cols>
    <col min="1" max="1" width="3.625" customWidth="1"/>
  </cols>
  <sheetData>
    <row r="2" spans="2:2" ht="41.1" customHeight="1">
      <c r="B2" s="54" t="s">
        <v>29</v>
      </c>
    </row>
    <row r="94" spans="2:2" ht="15.75" customHeight="1"/>
    <row r="95" spans="2:2" ht="23.25">
      <c r="B95" s="53" t="s">
        <v>35</v>
      </c>
    </row>
  </sheetData>
  <phoneticPr fontId="3" type="noConversion"/>
  <pageMargins left="0.75" right="0.75" top="1" bottom="1" header="0.5" footer="0.5"/>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12"/>
  <sheetViews>
    <sheetView zoomScale="150" workbookViewId="0">
      <selection activeCell="D41" sqref="D41"/>
    </sheetView>
  </sheetViews>
  <sheetFormatPr defaultColWidth="11" defaultRowHeight="12.75"/>
  <cols>
    <col min="1" max="1" width="110.125" customWidth="1"/>
  </cols>
  <sheetData>
    <row r="1" spans="1:1" s="55" customFormat="1"/>
    <row r="2" spans="1:1" s="55" customFormat="1" ht="38.25">
      <c r="A2" s="55" t="s">
        <v>2</v>
      </c>
    </row>
    <row r="3" spans="1:1" s="55" customFormat="1"/>
    <row r="4" spans="1:1" ht="38.25">
      <c r="A4" s="57" t="s">
        <v>28</v>
      </c>
    </row>
    <row r="5" spans="1:1">
      <c r="A5" s="55"/>
    </row>
    <row r="6" spans="1:1" ht="51">
      <c r="A6" s="57" t="s">
        <v>6</v>
      </c>
    </row>
    <row r="8" spans="1:1" ht="25.5">
      <c r="A8" s="57" t="s">
        <v>5</v>
      </c>
    </row>
    <row r="10" spans="1:1">
      <c r="A10" s="56" t="s">
        <v>36</v>
      </c>
    </row>
    <row r="12" spans="1:1" ht="63.75">
      <c r="A12" s="55" t="s">
        <v>34</v>
      </c>
    </row>
  </sheetData>
  <phoneticPr fontId="3" type="noConversion"/>
  <pageMargins left="0.75" right="0.75" top="1" bottom="1" header="0.5" footer="0.5"/>
  <pageSetup paperSize="0" orientation="portrait" horizontalDpi="4294967292" verticalDpi="4294967292"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8</vt:i4>
      </vt:variant>
    </vt:vector>
  </HeadingPairs>
  <TitlesOfParts>
    <vt:vector size="17" baseType="lpstr">
      <vt:lpstr>Cpk Summary</vt:lpstr>
      <vt:lpstr>Data</vt:lpstr>
      <vt:lpstr>CAV1_</vt:lpstr>
      <vt:lpstr>CaV2_ABC</vt:lpstr>
      <vt:lpstr>Cpk_3</vt:lpstr>
      <vt:lpstr>Cpk_4</vt:lpstr>
      <vt:lpstr>Histogram Chart</vt:lpstr>
      <vt:lpstr>CpK and yield explanation</vt:lpstr>
      <vt:lpstr>CpK Scenario</vt:lpstr>
      <vt:lpstr>CAV1_!Print_Area</vt:lpstr>
      <vt:lpstr>CaV2_ABC!Print_Area</vt:lpstr>
      <vt:lpstr>Cpk_3!Print_Area</vt:lpstr>
      <vt:lpstr>Cpk_4!Print_Area</vt:lpstr>
      <vt:lpstr>CAV1_!Print_Titles</vt:lpstr>
      <vt:lpstr>CaV2_ABC!Print_Titles</vt:lpstr>
      <vt:lpstr>Cpk_3!Print_Titles</vt:lpstr>
      <vt:lpstr>Cpk_4!Print_Titles</vt:lpstr>
    </vt:vector>
  </TitlesOfParts>
  <Company>Apple,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 Kim</dc:creator>
  <cp:lastModifiedBy>1124418</cp:lastModifiedBy>
  <cp:lastPrinted>2010-02-08T10:27:24Z</cp:lastPrinted>
  <dcterms:created xsi:type="dcterms:W3CDTF">2008-05-31T01:27:16Z</dcterms:created>
  <dcterms:modified xsi:type="dcterms:W3CDTF">2020-12-30T08:22:32Z</dcterms:modified>
</cp:coreProperties>
</file>