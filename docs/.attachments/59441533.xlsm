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/>
  <workbookPr filterPrivacy="1" codeName="ThisWorkbook" defaultThemeVersion="124226"/>
  <xr:revisionPtr revIDLastSave="0" documentId="13_ncr:1_{6E02A7D4-D076-4A08-A6BE-4B352E863B09}" xr6:coauthVersionLast="43" xr6:coauthVersionMax="43" xr10:uidLastSave="{00000000-0000-0000-0000-000000000000}"/>
  <bookViews>
    <workbookView xWindow="-108" yWindow="-108" windowWidth="23256" windowHeight="12576" activeTab="2" xr2:uid="{00000000-000D-0000-FFFF-FFFF00000000}"/>
  </bookViews>
  <sheets>
    <sheet name="1358" sheetId="12" r:id="rId1"/>
    <sheet name="1375" sheetId="14" r:id="rId2"/>
    <sheet name="1361" sheetId="13" r:id="rId3"/>
    <sheet name="#Sheet1" sheetId="15" r:id="rId4"/>
  </sheets>
  <definedNames>
    <definedName name="_xlnm._FilterDatabase" localSheetId="0" hidden="1">'1358'!$C$1:$C$266</definedName>
    <definedName name="_xlnm._FilterDatabase" localSheetId="2" hidden="1">'1361'!$C$1:$C$266</definedName>
    <definedName name="_xlnm._FilterDatabase" localSheetId="1" hidden="1">'1375'!$C$1:$C$266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12" l="1"/>
  <c r="M5" i="12"/>
  <c r="O5" i="12"/>
  <c r="L6" i="12"/>
  <c r="M6" i="12"/>
  <c r="O6" i="12"/>
  <c r="L7" i="12"/>
  <c r="M7" i="12"/>
  <c r="O7" i="12"/>
  <c r="L8" i="12"/>
  <c r="M8" i="12"/>
  <c r="O8" i="12"/>
  <c r="L9" i="12"/>
  <c r="M9" i="12"/>
  <c r="O9" i="12"/>
  <c r="L10" i="12"/>
  <c r="M10" i="12"/>
  <c r="O10" i="12"/>
  <c r="L11" i="12"/>
  <c r="M11" i="12"/>
  <c r="O11" i="12"/>
  <c r="L12" i="12"/>
  <c r="M12" i="12"/>
  <c r="O12" i="12"/>
  <c r="L13" i="12"/>
  <c r="M13" i="12"/>
  <c r="O13" i="12"/>
  <c r="L14" i="12"/>
  <c r="M14" i="12"/>
  <c r="O14" i="12"/>
  <c r="L15" i="12"/>
  <c r="M15" i="12"/>
  <c r="O15" i="12"/>
  <c r="L16" i="12"/>
  <c r="N16" i="12" s="1"/>
  <c r="M16" i="12"/>
  <c r="O16" i="12"/>
  <c r="L17" i="12"/>
  <c r="M17" i="12"/>
  <c r="O17" i="12"/>
  <c r="L18" i="12"/>
  <c r="M18" i="12"/>
  <c r="O18" i="12"/>
  <c r="L19" i="12"/>
  <c r="M19" i="12"/>
  <c r="O19" i="12"/>
  <c r="L20" i="12"/>
  <c r="N20" i="12" s="1"/>
  <c r="M20" i="12"/>
  <c r="O20" i="12"/>
  <c r="L21" i="12"/>
  <c r="M21" i="12"/>
  <c r="O21" i="12"/>
  <c r="L22" i="12"/>
  <c r="M22" i="12"/>
  <c r="O22" i="12"/>
  <c r="L23" i="12"/>
  <c r="M23" i="12"/>
  <c r="O23" i="12"/>
  <c r="L24" i="12"/>
  <c r="N24" i="12" s="1"/>
  <c r="M24" i="12"/>
  <c r="O24" i="12"/>
  <c r="L25" i="12"/>
  <c r="M25" i="12"/>
  <c r="O25" i="12"/>
  <c r="L26" i="12"/>
  <c r="M26" i="12"/>
  <c r="O26" i="12"/>
  <c r="L27" i="12"/>
  <c r="M27" i="12"/>
  <c r="O27" i="12"/>
  <c r="L28" i="12"/>
  <c r="M28" i="12"/>
  <c r="O28" i="12"/>
  <c r="L29" i="12"/>
  <c r="M29" i="12"/>
  <c r="O29" i="12"/>
  <c r="L30" i="12"/>
  <c r="M30" i="12"/>
  <c r="O30" i="12"/>
  <c r="L31" i="12"/>
  <c r="M31" i="12"/>
  <c r="O31" i="12"/>
  <c r="L32" i="12"/>
  <c r="N32" i="12" s="1"/>
  <c r="M32" i="12"/>
  <c r="O32" i="12"/>
  <c r="L33" i="12"/>
  <c r="M33" i="12"/>
  <c r="O33" i="12"/>
  <c r="L34" i="12"/>
  <c r="M34" i="12"/>
  <c r="O34" i="12"/>
  <c r="L35" i="12"/>
  <c r="M35" i="12"/>
  <c r="O35" i="12"/>
  <c r="L36" i="12"/>
  <c r="N36" i="12" s="1"/>
  <c r="M36" i="12"/>
  <c r="O36" i="12"/>
  <c r="L37" i="12"/>
  <c r="M37" i="12"/>
  <c r="O37" i="12"/>
  <c r="L38" i="12"/>
  <c r="M38" i="12"/>
  <c r="O38" i="12"/>
  <c r="L39" i="12"/>
  <c r="M39" i="12"/>
  <c r="O39" i="12"/>
  <c r="L40" i="12"/>
  <c r="N40" i="12" s="1"/>
  <c r="M40" i="12"/>
  <c r="O40" i="12"/>
  <c r="L41" i="12"/>
  <c r="M41" i="12"/>
  <c r="O41" i="12"/>
  <c r="L42" i="12"/>
  <c r="M42" i="12"/>
  <c r="O42" i="12"/>
  <c r="L43" i="12"/>
  <c r="M43" i="12"/>
  <c r="O43" i="12"/>
  <c r="L44" i="12"/>
  <c r="M44" i="12"/>
  <c r="O44" i="12"/>
  <c r="L45" i="12"/>
  <c r="M45" i="12"/>
  <c r="O45" i="12"/>
  <c r="L46" i="12"/>
  <c r="M46" i="12"/>
  <c r="O46" i="12"/>
  <c r="L47" i="12"/>
  <c r="M47" i="12"/>
  <c r="O47" i="12"/>
  <c r="L48" i="12"/>
  <c r="M48" i="12"/>
  <c r="O48" i="12"/>
  <c r="L49" i="12"/>
  <c r="M49" i="12"/>
  <c r="O49" i="12"/>
  <c r="L50" i="12"/>
  <c r="M50" i="12"/>
  <c r="O50" i="12"/>
  <c r="L51" i="12"/>
  <c r="M51" i="12"/>
  <c r="O51" i="12"/>
  <c r="L52" i="12"/>
  <c r="N52" i="12" s="1"/>
  <c r="M52" i="12"/>
  <c r="O52" i="12"/>
  <c r="L53" i="12"/>
  <c r="M53" i="12"/>
  <c r="O53" i="12"/>
  <c r="L54" i="12"/>
  <c r="M54" i="12"/>
  <c r="O54" i="12"/>
  <c r="L55" i="12"/>
  <c r="M55" i="12"/>
  <c r="O55" i="12"/>
  <c r="L56" i="12"/>
  <c r="N56" i="12" s="1"/>
  <c r="M56" i="12"/>
  <c r="O56" i="12"/>
  <c r="L57" i="12"/>
  <c r="M57" i="12"/>
  <c r="O57" i="12"/>
  <c r="L58" i="12"/>
  <c r="M58" i="12"/>
  <c r="O58" i="12"/>
  <c r="L59" i="12"/>
  <c r="M59" i="12"/>
  <c r="O59" i="12"/>
  <c r="L60" i="12"/>
  <c r="M60" i="12"/>
  <c r="O60" i="12"/>
  <c r="L61" i="12"/>
  <c r="M61" i="12"/>
  <c r="O61" i="12"/>
  <c r="L62" i="12"/>
  <c r="M62" i="12"/>
  <c r="O62" i="12"/>
  <c r="L63" i="12"/>
  <c r="M63" i="12"/>
  <c r="O63" i="12"/>
  <c r="L64" i="12"/>
  <c r="M64" i="12"/>
  <c r="O64" i="12"/>
  <c r="L65" i="12"/>
  <c r="M65" i="12"/>
  <c r="O65" i="12"/>
  <c r="L66" i="12"/>
  <c r="M66" i="12"/>
  <c r="O66" i="12"/>
  <c r="L67" i="12"/>
  <c r="M67" i="12"/>
  <c r="O67" i="12"/>
  <c r="L68" i="12"/>
  <c r="M68" i="12"/>
  <c r="O68" i="12"/>
  <c r="L69" i="12"/>
  <c r="M69" i="12"/>
  <c r="O69" i="12"/>
  <c r="L70" i="12"/>
  <c r="M70" i="12"/>
  <c r="O70" i="12"/>
  <c r="L71" i="12"/>
  <c r="M71" i="12"/>
  <c r="O71" i="12"/>
  <c r="L72" i="12"/>
  <c r="N72" i="12" s="1"/>
  <c r="M72" i="12"/>
  <c r="O72" i="12"/>
  <c r="L73" i="12"/>
  <c r="M73" i="12"/>
  <c r="O73" i="12"/>
  <c r="L74" i="12"/>
  <c r="M74" i="12"/>
  <c r="O74" i="12"/>
  <c r="L75" i="12"/>
  <c r="M75" i="12"/>
  <c r="O75" i="12"/>
  <c r="L76" i="12"/>
  <c r="M76" i="12"/>
  <c r="O76" i="12"/>
  <c r="L77" i="12"/>
  <c r="M77" i="12"/>
  <c r="O77" i="12"/>
  <c r="L78" i="12"/>
  <c r="M78" i="12"/>
  <c r="O78" i="12"/>
  <c r="L79" i="12"/>
  <c r="M79" i="12"/>
  <c r="O79" i="12"/>
  <c r="L80" i="12"/>
  <c r="M80" i="12"/>
  <c r="O80" i="12"/>
  <c r="L81" i="12"/>
  <c r="M81" i="12"/>
  <c r="O81" i="12"/>
  <c r="L82" i="12"/>
  <c r="M82" i="12"/>
  <c r="O82" i="12"/>
  <c r="L83" i="12"/>
  <c r="M83" i="12"/>
  <c r="O83" i="12"/>
  <c r="L84" i="12"/>
  <c r="M84" i="12"/>
  <c r="O84" i="12"/>
  <c r="L85" i="12"/>
  <c r="M85" i="12"/>
  <c r="O85" i="12"/>
  <c r="L86" i="12"/>
  <c r="M86" i="12"/>
  <c r="O86" i="12"/>
  <c r="L87" i="12"/>
  <c r="M87" i="12"/>
  <c r="O87" i="12"/>
  <c r="L88" i="12"/>
  <c r="M88" i="12"/>
  <c r="O88" i="12"/>
  <c r="L89" i="12"/>
  <c r="M89" i="12"/>
  <c r="O89" i="12"/>
  <c r="L90" i="12"/>
  <c r="M90" i="12"/>
  <c r="O90" i="12"/>
  <c r="L91" i="12"/>
  <c r="M91" i="12"/>
  <c r="N91" i="12" s="1"/>
  <c r="O91" i="12"/>
  <c r="L92" i="12"/>
  <c r="M92" i="12"/>
  <c r="O92" i="12"/>
  <c r="L93" i="12"/>
  <c r="M93" i="12"/>
  <c r="O93" i="12"/>
  <c r="L94" i="12"/>
  <c r="M94" i="12"/>
  <c r="O94" i="12"/>
  <c r="L95" i="12"/>
  <c r="M95" i="12"/>
  <c r="O95" i="12"/>
  <c r="L96" i="12"/>
  <c r="M96" i="12"/>
  <c r="O96" i="12"/>
  <c r="L97" i="12"/>
  <c r="M97" i="12"/>
  <c r="O97" i="12"/>
  <c r="L98" i="12"/>
  <c r="M98" i="12"/>
  <c r="O98" i="12"/>
  <c r="L99" i="12"/>
  <c r="M99" i="12"/>
  <c r="O99" i="12"/>
  <c r="L100" i="12"/>
  <c r="M100" i="12"/>
  <c r="O100" i="12"/>
  <c r="L101" i="12"/>
  <c r="M101" i="12"/>
  <c r="O101" i="12"/>
  <c r="L102" i="12"/>
  <c r="M102" i="12"/>
  <c r="O102" i="12"/>
  <c r="L103" i="12"/>
  <c r="M103" i="12"/>
  <c r="O103" i="12"/>
  <c r="L104" i="12"/>
  <c r="M104" i="12"/>
  <c r="O104" i="12"/>
  <c r="L105" i="12"/>
  <c r="M105" i="12"/>
  <c r="O105" i="12"/>
  <c r="L106" i="12"/>
  <c r="M106" i="12"/>
  <c r="O106" i="12"/>
  <c r="L107" i="12"/>
  <c r="M107" i="12"/>
  <c r="O107" i="12"/>
  <c r="L108" i="12"/>
  <c r="M108" i="12"/>
  <c r="O108" i="12"/>
  <c r="L109" i="12"/>
  <c r="M109" i="12"/>
  <c r="O109" i="12"/>
  <c r="L110" i="12"/>
  <c r="M110" i="12"/>
  <c r="O110" i="12"/>
  <c r="L111" i="12"/>
  <c r="M111" i="12"/>
  <c r="O111" i="12"/>
  <c r="L112" i="12"/>
  <c r="M112" i="12"/>
  <c r="O112" i="12"/>
  <c r="L113" i="12"/>
  <c r="M113" i="12"/>
  <c r="O113" i="12"/>
  <c r="L114" i="12"/>
  <c r="M114" i="12"/>
  <c r="O114" i="12"/>
  <c r="L115" i="12"/>
  <c r="M115" i="12"/>
  <c r="O115" i="12"/>
  <c r="L116" i="12"/>
  <c r="M116" i="12"/>
  <c r="O116" i="12"/>
  <c r="L117" i="12"/>
  <c r="M117" i="12"/>
  <c r="O117" i="12"/>
  <c r="L118" i="12"/>
  <c r="M118" i="12"/>
  <c r="O118" i="12"/>
  <c r="L119" i="12"/>
  <c r="M119" i="12"/>
  <c r="O119" i="12"/>
  <c r="L120" i="12"/>
  <c r="M120" i="12"/>
  <c r="O120" i="12"/>
  <c r="L121" i="12"/>
  <c r="M121" i="12"/>
  <c r="O121" i="12"/>
  <c r="L122" i="12"/>
  <c r="M122" i="12"/>
  <c r="O122" i="12"/>
  <c r="L123" i="12"/>
  <c r="M123" i="12"/>
  <c r="N123" i="12" s="1"/>
  <c r="O123" i="12"/>
  <c r="L124" i="12"/>
  <c r="M124" i="12"/>
  <c r="O124" i="12"/>
  <c r="L125" i="12"/>
  <c r="M125" i="12"/>
  <c r="O125" i="12"/>
  <c r="L126" i="12"/>
  <c r="M126" i="12"/>
  <c r="O126" i="12"/>
  <c r="L127" i="12"/>
  <c r="M127" i="12"/>
  <c r="O127" i="12"/>
  <c r="L128" i="12"/>
  <c r="M128" i="12"/>
  <c r="O128" i="12"/>
  <c r="L129" i="12"/>
  <c r="M129" i="12"/>
  <c r="O129" i="12"/>
  <c r="L130" i="12"/>
  <c r="M130" i="12"/>
  <c r="O130" i="12"/>
  <c r="L131" i="12"/>
  <c r="M131" i="12"/>
  <c r="N131" i="12" s="1"/>
  <c r="O131" i="12"/>
  <c r="L132" i="12"/>
  <c r="M132" i="12"/>
  <c r="O132" i="12"/>
  <c r="L133" i="12"/>
  <c r="M133" i="12"/>
  <c r="O133" i="12"/>
  <c r="L134" i="12"/>
  <c r="M134" i="12"/>
  <c r="O134" i="12"/>
  <c r="L135" i="12"/>
  <c r="M135" i="12"/>
  <c r="N135" i="12" s="1"/>
  <c r="O135" i="12"/>
  <c r="L136" i="12"/>
  <c r="M136" i="12"/>
  <c r="O136" i="12"/>
  <c r="L137" i="12"/>
  <c r="M137" i="12"/>
  <c r="O137" i="12"/>
  <c r="L138" i="12"/>
  <c r="M138" i="12"/>
  <c r="O138" i="12"/>
  <c r="L139" i="12"/>
  <c r="M139" i="12"/>
  <c r="N139" i="12" s="1"/>
  <c r="O139" i="12"/>
  <c r="L140" i="12"/>
  <c r="M140" i="12"/>
  <c r="O140" i="12"/>
  <c r="L141" i="12"/>
  <c r="M141" i="12"/>
  <c r="O141" i="12"/>
  <c r="L142" i="12"/>
  <c r="M142" i="12"/>
  <c r="O142" i="12"/>
  <c r="L143" i="12"/>
  <c r="M143" i="12"/>
  <c r="N143" i="12" s="1"/>
  <c r="O143" i="12"/>
  <c r="L144" i="12"/>
  <c r="M144" i="12"/>
  <c r="O144" i="12"/>
  <c r="L145" i="12"/>
  <c r="M145" i="12"/>
  <c r="O145" i="12"/>
  <c r="L146" i="12"/>
  <c r="M146" i="12"/>
  <c r="O146" i="12"/>
  <c r="L147" i="12"/>
  <c r="M147" i="12"/>
  <c r="N147" i="12" s="1"/>
  <c r="O147" i="12"/>
  <c r="L148" i="12"/>
  <c r="M148" i="12"/>
  <c r="O148" i="12"/>
  <c r="L149" i="12"/>
  <c r="M149" i="12"/>
  <c r="O149" i="12"/>
  <c r="L150" i="12"/>
  <c r="M150" i="12"/>
  <c r="O150" i="12"/>
  <c r="L151" i="12"/>
  <c r="M151" i="12"/>
  <c r="O151" i="12"/>
  <c r="L152" i="12"/>
  <c r="M152" i="12"/>
  <c r="O152" i="12"/>
  <c r="L153" i="12"/>
  <c r="M153" i="12"/>
  <c r="O153" i="12"/>
  <c r="L154" i="12"/>
  <c r="M154" i="12"/>
  <c r="O154" i="12"/>
  <c r="L155" i="12"/>
  <c r="M155" i="12"/>
  <c r="N155" i="12" s="1"/>
  <c r="O155" i="12"/>
  <c r="L156" i="12"/>
  <c r="M156" i="12"/>
  <c r="O156" i="12"/>
  <c r="L157" i="12"/>
  <c r="M157" i="12"/>
  <c r="O157" i="12"/>
  <c r="L158" i="12"/>
  <c r="M158" i="12"/>
  <c r="O158" i="12"/>
  <c r="L159" i="12"/>
  <c r="M159" i="12"/>
  <c r="O159" i="12"/>
  <c r="L160" i="12"/>
  <c r="M160" i="12"/>
  <c r="O160" i="12"/>
  <c r="L161" i="12"/>
  <c r="M161" i="12"/>
  <c r="O161" i="12"/>
  <c r="L162" i="12"/>
  <c r="M162" i="12"/>
  <c r="O162" i="12"/>
  <c r="L163" i="12"/>
  <c r="M163" i="12"/>
  <c r="O163" i="12"/>
  <c r="L164" i="12"/>
  <c r="M164" i="12"/>
  <c r="O164" i="12"/>
  <c r="L165" i="12"/>
  <c r="M165" i="12"/>
  <c r="O165" i="12"/>
  <c r="L166" i="12"/>
  <c r="M166" i="12"/>
  <c r="O166" i="12"/>
  <c r="L167" i="12"/>
  <c r="M167" i="12"/>
  <c r="O167" i="12"/>
  <c r="L168" i="12"/>
  <c r="M168" i="12"/>
  <c r="O168" i="12"/>
  <c r="L169" i="12"/>
  <c r="M169" i="12"/>
  <c r="O169" i="12"/>
  <c r="L170" i="12"/>
  <c r="M170" i="12"/>
  <c r="O170" i="12"/>
  <c r="L171" i="12"/>
  <c r="M171" i="12"/>
  <c r="O171" i="12"/>
  <c r="L172" i="12"/>
  <c r="M172" i="12"/>
  <c r="O172" i="12"/>
  <c r="L173" i="12"/>
  <c r="M173" i="12"/>
  <c r="O173" i="12"/>
  <c r="L174" i="12"/>
  <c r="M174" i="12"/>
  <c r="O174" i="12"/>
  <c r="L175" i="12"/>
  <c r="M175" i="12"/>
  <c r="O175" i="12"/>
  <c r="L176" i="12"/>
  <c r="M176" i="12"/>
  <c r="O176" i="12"/>
  <c r="L177" i="12"/>
  <c r="M177" i="12"/>
  <c r="O177" i="12"/>
  <c r="L178" i="12"/>
  <c r="M178" i="12"/>
  <c r="O178" i="12"/>
  <c r="L179" i="12"/>
  <c r="M179" i="12"/>
  <c r="O179" i="12"/>
  <c r="L180" i="12"/>
  <c r="M180" i="12"/>
  <c r="O180" i="12"/>
  <c r="L181" i="12"/>
  <c r="M181" i="12"/>
  <c r="O181" i="12"/>
  <c r="L182" i="12"/>
  <c r="M182" i="12"/>
  <c r="O182" i="12"/>
  <c r="L183" i="12"/>
  <c r="M183" i="12"/>
  <c r="O183" i="12"/>
  <c r="L184" i="12"/>
  <c r="M184" i="12"/>
  <c r="O184" i="12"/>
  <c r="L185" i="12"/>
  <c r="M185" i="12"/>
  <c r="O185" i="12"/>
  <c r="L186" i="12"/>
  <c r="M186" i="12"/>
  <c r="O186" i="12"/>
  <c r="L187" i="12"/>
  <c r="M187" i="12"/>
  <c r="O187" i="12"/>
  <c r="L188" i="12"/>
  <c r="N188" i="12" s="1"/>
  <c r="M188" i="12"/>
  <c r="O188" i="12"/>
  <c r="L189" i="12"/>
  <c r="M189" i="12"/>
  <c r="O189" i="12"/>
  <c r="L190" i="12"/>
  <c r="M190" i="12"/>
  <c r="O190" i="12"/>
  <c r="L191" i="12"/>
  <c r="M191" i="12"/>
  <c r="O191" i="12"/>
  <c r="L192" i="12"/>
  <c r="N192" i="12" s="1"/>
  <c r="M192" i="12"/>
  <c r="O192" i="12"/>
  <c r="L193" i="12"/>
  <c r="M193" i="12"/>
  <c r="O193" i="12"/>
  <c r="L194" i="12"/>
  <c r="M194" i="12"/>
  <c r="O194" i="12"/>
  <c r="L195" i="12"/>
  <c r="M195" i="12"/>
  <c r="O195" i="12"/>
  <c r="L196" i="12"/>
  <c r="N196" i="12" s="1"/>
  <c r="M196" i="12"/>
  <c r="O196" i="12"/>
  <c r="L197" i="12"/>
  <c r="M197" i="12"/>
  <c r="O197" i="12"/>
  <c r="L198" i="12"/>
  <c r="M198" i="12"/>
  <c r="O198" i="12"/>
  <c r="L199" i="12"/>
  <c r="M199" i="12"/>
  <c r="O199" i="12"/>
  <c r="L200" i="12"/>
  <c r="N200" i="12" s="1"/>
  <c r="M200" i="12"/>
  <c r="O200" i="12"/>
  <c r="L201" i="12"/>
  <c r="M201" i="12"/>
  <c r="O201" i="12"/>
  <c r="L202" i="12"/>
  <c r="M202" i="12"/>
  <c r="O202" i="12"/>
  <c r="L203" i="12"/>
  <c r="M203" i="12"/>
  <c r="O203" i="12"/>
  <c r="L204" i="12"/>
  <c r="M204" i="12"/>
  <c r="O204" i="12"/>
  <c r="L205" i="12"/>
  <c r="M205" i="12"/>
  <c r="O205" i="12"/>
  <c r="L206" i="12"/>
  <c r="M206" i="12"/>
  <c r="O206" i="12"/>
  <c r="L207" i="12"/>
  <c r="M207" i="12"/>
  <c r="O207" i="12"/>
  <c r="L208" i="12"/>
  <c r="N208" i="12" s="1"/>
  <c r="M208" i="12"/>
  <c r="O208" i="12"/>
  <c r="L209" i="12"/>
  <c r="M209" i="12"/>
  <c r="O209" i="12"/>
  <c r="L210" i="12"/>
  <c r="M210" i="12"/>
  <c r="O210" i="12"/>
  <c r="L211" i="12"/>
  <c r="M211" i="12"/>
  <c r="O211" i="12"/>
  <c r="L212" i="12"/>
  <c r="M212" i="12"/>
  <c r="O212" i="12"/>
  <c r="L213" i="12"/>
  <c r="M213" i="12"/>
  <c r="O213" i="12"/>
  <c r="L214" i="12"/>
  <c r="M214" i="12"/>
  <c r="O214" i="12"/>
  <c r="L215" i="12"/>
  <c r="M215" i="12"/>
  <c r="O215" i="12"/>
  <c r="L216" i="12"/>
  <c r="M216" i="12"/>
  <c r="O216" i="12"/>
  <c r="L217" i="12"/>
  <c r="M217" i="12"/>
  <c r="O217" i="12"/>
  <c r="L218" i="12"/>
  <c r="M218" i="12"/>
  <c r="O218" i="12"/>
  <c r="L219" i="12"/>
  <c r="M219" i="12"/>
  <c r="O219" i="12"/>
  <c r="L220" i="12"/>
  <c r="M220" i="12"/>
  <c r="O220" i="12"/>
  <c r="L221" i="12"/>
  <c r="M221" i="12"/>
  <c r="O221" i="12"/>
  <c r="L222" i="12"/>
  <c r="M222" i="12"/>
  <c r="O222" i="12"/>
  <c r="L223" i="12"/>
  <c r="M223" i="12"/>
  <c r="O223" i="12"/>
  <c r="L224" i="12"/>
  <c r="N224" i="12" s="1"/>
  <c r="M224" i="12"/>
  <c r="O224" i="12"/>
  <c r="L225" i="12"/>
  <c r="M225" i="12"/>
  <c r="O225" i="12"/>
  <c r="L226" i="12"/>
  <c r="M226" i="12"/>
  <c r="O226" i="12"/>
  <c r="L227" i="12"/>
  <c r="M227" i="12"/>
  <c r="O227" i="12"/>
  <c r="L228" i="12"/>
  <c r="M228" i="12"/>
  <c r="O228" i="12"/>
  <c r="L229" i="12"/>
  <c r="M229" i="12"/>
  <c r="O229" i="12"/>
  <c r="L230" i="12"/>
  <c r="M230" i="12"/>
  <c r="O230" i="12"/>
  <c r="P230" i="12"/>
  <c r="L231" i="12"/>
  <c r="M231" i="12"/>
  <c r="O231" i="12"/>
  <c r="P231" i="12"/>
  <c r="L232" i="12"/>
  <c r="M232" i="12"/>
  <c r="O232" i="12"/>
  <c r="L233" i="12"/>
  <c r="M233" i="12"/>
  <c r="O233" i="12"/>
  <c r="L234" i="12"/>
  <c r="M234" i="12"/>
  <c r="O234" i="12"/>
  <c r="L235" i="12"/>
  <c r="M235" i="12"/>
  <c r="O235" i="12"/>
  <c r="L236" i="12"/>
  <c r="M236" i="12"/>
  <c r="O236" i="12"/>
  <c r="L237" i="12"/>
  <c r="M237" i="12"/>
  <c r="O237" i="12"/>
  <c r="L238" i="12"/>
  <c r="M238" i="12"/>
  <c r="O238" i="12"/>
  <c r="L239" i="12"/>
  <c r="M239" i="12"/>
  <c r="O239" i="12"/>
  <c r="L240" i="12"/>
  <c r="M240" i="12"/>
  <c r="O240" i="12"/>
  <c r="L241" i="12"/>
  <c r="M241" i="12"/>
  <c r="O241" i="12"/>
  <c r="L242" i="12"/>
  <c r="M242" i="12"/>
  <c r="O242" i="12"/>
  <c r="L243" i="12"/>
  <c r="M243" i="12"/>
  <c r="O243" i="12"/>
  <c r="L244" i="12"/>
  <c r="M244" i="12"/>
  <c r="O244" i="12"/>
  <c r="Q248" i="12"/>
  <c r="R248" i="12"/>
  <c r="S248" i="12"/>
  <c r="T248" i="12"/>
  <c r="U248" i="12"/>
  <c r="V248" i="12"/>
  <c r="W248" i="12"/>
  <c r="X248" i="12"/>
  <c r="Y248" i="12"/>
  <c r="Z248" i="12"/>
  <c r="AA248" i="12"/>
  <c r="AB248" i="12"/>
  <c r="AC248" i="12"/>
  <c r="AD248" i="12"/>
  <c r="AE248" i="12"/>
  <c r="AF248" i="12"/>
  <c r="AG248" i="12"/>
  <c r="AH248" i="12"/>
  <c r="AI248" i="12"/>
  <c r="AJ248" i="12"/>
  <c r="AK248" i="12"/>
  <c r="AL248" i="12"/>
  <c r="AM248" i="12"/>
  <c r="AN248" i="12"/>
  <c r="AO248" i="12"/>
  <c r="AP248" i="12"/>
  <c r="AQ248" i="12"/>
  <c r="AR248" i="12"/>
  <c r="AS248" i="12"/>
  <c r="AT248" i="12"/>
  <c r="AU248" i="12"/>
  <c r="AV248" i="12"/>
  <c r="AW248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L5" i="14"/>
  <c r="M5" i="14"/>
  <c r="O5" i="14"/>
  <c r="L6" i="14"/>
  <c r="M6" i="14"/>
  <c r="O6" i="14"/>
  <c r="L7" i="14"/>
  <c r="M7" i="14"/>
  <c r="O7" i="14"/>
  <c r="L8" i="14"/>
  <c r="M8" i="14"/>
  <c r="O8" i="14"/>
  <c r="L9" i="14"/>
  <c r="M9" i="14"/>
  <c r="O9" i="14"/>
  <c r="L10" i="14"/>
  <c r="M10" i="14"/>
  <c r="O10" i="14"/>
  <c r="L11" i="14"/>
  <c r="M11" i="14"/>
  <c r="O11" i="14"/>
  <c r="L12" i="14"/>
  <c r="M12" i="14"/>
  <c r="O12" i="14"/>
  <c r="L13" i="14"/>
  <c r="M13" i="14"/>
  <c r="O13" i="14"/>
  <c r="L14" i="14"/>
  <c r="M14" i="14"/>
  <c r="O14" i="14"/>
  <c r="L15" i="14"/>
  <c r="M15" i="14"/>
  <c r="O15" i="14"/>
  <c r="L16" i="14"/>
  <c r="M16" i="14"/>
  <c r="O16" i="14"/>
  <c r="L17" i="14"/>
  <c r="M17" i="14"/>
  <c r="O17" i="14"/>
  <c r="L18" i="14"/>
  <c r="M18" i="14"/>
  <c r="O18" i="14"/>
  <c r="L19" i="14"/>
  <c r="M19" i="14"/>
  <c r="O19" i="14"/>
  <c r="L20" i="14"/>
  <c r="M20" i="14"/>
  <c r="O20" i="14"/>
  <c r="L21" i="14"/>
  <c r="M21" i="14"/>
  <c r="O21" i="14"/>
  <c r="L22" i="14"/>
  <c r="M22" i="14"/>
  <c r="O22" i="14"/>
  <c r="L23" i="14"/>
  <c r="M23" i="14"/>
  <c r="O23" i="14"/>
  <c r="L24" i="14"/>
  <c r="M24" i="14"/>
  <c r="O24" i="14"/>
  <c r="L25" i="14"/>
  <c r="M25" i="14"/>
  <c r="O25" i="14"/>
  <c r="L26" i="14"/>
  <c r="M26" i="14"/>
  <c r="O26" i="14"/>
  <c r="L27" i="14"/>
  <c r="M27" i="14"/>
  <c r="O27" i="14"/>
  <c r="L28" i="14"/>
  <c r="M28" i="14"/>
  <c r="O28" i="14"/>
  <c r="L29" i="14"/>
  <c r="M29" i="14"/>
  <c r="O29" i="14"/>
  <c r="L30" i="14"/>
  <c r="M30" i="14"/>
  <c r="O30" i="14"/>
  <c r="L31" i="14"/>
  <c r="M31" i="14"/>
  <c r="O31" i="14"/>
  <c r="L32" i="14"/>
  <c r="M32" i="14"/>
  <c r="O32" i="14"/>
  <c r="L33" i="14"/>
  <c r="M33" i="14"/>
  <c r="O33" i="14"/>
  <c r="L34" i="14"/>
  <c r="M34" i="14"/>
  <c r="O34" i="14"/>
  <c r="L35" i="14"/>
  <c r="M35" i="14"/>
  <c r="O35" i="14"/>
  <c r="L36" i="14"/>
  <c r="M36" i="14"/>
  <c r="O36" i="14"/>
  <c r="L37" i="14"/>
  <c r="M37" i="14"/>
  <c r="O37" i="14"/>
  <c r="L38" i="14"/>
  <c r="M38" i="14"/>
  <c r="O38" i="14"/>
  <c r="L39" i="14"/>
  <c r="M39" i="14"/>
  <c r="O39" i="14"/>
  <c r="L40" i="14"/>
  <c r="N40" i="14" s="1"/>
  <c r="M40" i="14"/>
  <c r="O40" i="14"/>
  <c r="L41" i="14"/>
  <c r="M41" i="14"/>
  <c r="O41" i="14"/>
  <c r="L42" i="14"/>
  <c r="M42" i="14"/>
  <c r="O42" i="14"/>
  <c r="L43" i="14"/>
  <c r="M43" i="14"/>
  <c r="O43" i="14"/>
  <c r="L44" i="14"/>
  <c r="N44" i="14" s="1"/>
  <c r="M44" i="14"/>
  <c r="O44" i="14"/>
  <c r="L45" i="14"/>
  <c r="M45" i="14"/>
  <c r="O45" i="14"/>
  <c r="L46" i="14"/>
  <c r="M46" i="14"/>
  <c r="O46" i="14"/>
  <c r="L47" i="14"/>
  <c r="M47" i="14"/>
  <c r="O47" i="14"/>
  <c r="L48" i="14"/>
  <c r="N48" i="14" s="1"/>
  <c r="M48" i="14"/>
  <c r="O48" i="14"/>
  <c r="L49" i="14"/>
  <c r="M49" i="14"/>
  <c r="O49" i="14"/>
  <c r="L50" i="14"/>
  <c r="M50" i="14"/>
  <c r="O50" i="14"/>
  <c r="L51" i="14"/>
  <c r="M51" i="14"/>
  <c r="O51" i="14"/>
  <c r="L52" i="14"/>
  <c r="N52" i="14" s="1"/>
  <c r="M52" i="14"/>
  <c r="O52" i="14"/>
  <c r="L53" i="14"/>
  <c r="M53" i="14"/>
  <c r="O53" i="14"/>
  <c r="L54" i="14"/>
  <c r="M54" i="14"/>
  <c r="O54" i="14"/>
  <c r="L55" i="14"/>
  <c r="M55" i="14"/>
  <c r="O55" i="14"/>
  <c r="L56" i="14"/>
  <c r="N56" i="14" s="1"/>
  <c r="M56" i="14"/>
  <c r="O56" i="14"/>
  <c r="L57" i="14"/>
  <c r="M57" i="14"/>
  <c r="O57" i="14"/>
  <c r="L58" i="14"/>
  <c r="M58" i="14"/>
  <c r="O58" i="14"/>
  <c r="L59" i="14"/>
  <c r="M59" i="14"/>
  <c r="O59" i="14"/>
  <c r="L60" i="14"/>
  <c r="N60" i="14" s="1"/>
  <c r="M60" i="14"/>
  <c r="O60" i="14"/>
  <c r="L61" i="14"/>
  <c r="M61" i="14"/>
  <c r="O61" i="14"/>
  <c r="L62" i="14"/>
  <c r="M62" i="14"/>
  <c r="O62" i="14"/>
  <c r="L63" i="14"/>
  <c r="M63" i="14"/>
  <c r="O63" i="14"/>
  <c r="L64" i="14"/>
  <c r="N64" i="14" s="1"/>
  <c r="M64" i="14"/>
  <c r="O64" i="14"/>
  <c r="L65" i="14"/>
  <c r="M65" i="14"/>
  <c r="O65" i="14"/>
  <c r="L66" i="14"/>
  <c r="M66" i="14"/>
  <c r="O66" i="14"/>
  <c r="L67" i="14"/>
  <c r="M67" i="14"/>
  <c r="O67" i="14"/>
  <c r="L68" i="14"/>
  <c r="N68" i="14" s="1"/>
  <c r="M68" i="14"/>
  <c r="O68" i="14"/>
  <c r="L69" i="14"/>
  <c r="M69" i="14"/>
  <c r="O69" i="14"/>
  <c r="L70" i="14"/>
  <c r="M70" i="14"/>
  <c r="O70" i="14"/>
  <c r="L71" i="14"/>
  <c r="M71" i="14"/>
  <c r="O71" i="14"/>
  <c r="L72" i="14"/>
  <c r="N72" i="14" s="1"/>
  <c r="M72" i="14"/>
  <c r="O72" i="14"/>
  <c r="L73" i="14"/>
  <c r="M73" i="14"/>
  <c r="O73" i="14"/>
  <c r="L74" i="14"/>
  <c r="M74" i="14"/>
  <c r="O74" i="14"/>
  <c r="L75" i="14"/>
  <c r="M75" i="14"/>
  <c r="O75" i="14"/>
  <c r="L76" i="14"/>
  <c r="N76" i="14" s="1"/>
  <c r="M76" i="14"/>
  <c r="O76" i="14"/>
  <c r="L77" i="14"/>
  <c r="M77" i="14"/>
  <c r="O77" i="14"/>
  <c r="L78" i="14"/>
  <c r="M78" i="14"/>
  <c r="O78" i="14"/>
  <c r="L79" i="14"/>
  <c r="M79" i="14"/>
  <c r="O79" i="14"/>
  <c r="L80" i="14"/>
  <c r="N80" i="14" s="1"/>
  <c r="M80" i="14"/>
  <c r="O80" i="14"/>
  <c r="L81" i="14"/>
  <c r="M81" i="14"/>
  <c r="O81" i="14"/>
  <c r="L82" i="14"/>
  <c r="M82" i="14"/>
  <c r="O82" i="14"/>
  <c r="L83" i="14"/>
  <c r="M83" i="14"/>
  <c r="O83" i="14"/>
  <c r="L84" i="14"/>
  <c r="N84" i="14" s="1"/>
  <c r="M84" i="14"/>
  <c r="O84" i="14"/>
  <c r="L85" i="14"/>
  <c r="M85" i="14"/>
  <c r="O85" i="14"/>
  <c r="L86" i="14"/>
  <c r="M86" i="14"/>
  <c r="O86" i="14"/>
  <c r="L87" i="14"/>
  <c r="M87" i="14"/>
  <c r="O87" i="14"/>
  <c r="L88" i="14"/>
  <c r="N88" i="14" s="1"/>
  <c r="M88" i="14"/>
  <c r="O88" i="14"/>
  <c r="L89" i="14"/>
  <c r="M89" i="14"/>
  <c r="O89" i="14"/>
  <c r="L90" i="14"/>
  <c r="M90" i="14"/>
  <c r="O90" i="14"/>
  <c r="L91" i="14"/>
  <c r="M91" i="14"/>
  <c r="O91" i="14"/>
  <c r="L92" i="14"/>
  <c r="N92" i="14" s="1"/>
  <c r="M92" i="14"/>
  <c r="O92" i="14"/>
  <c r="L93" i="14"/>
  <c r="M93" i="14"/>
  <c r="O93" i="14"/>
  <c r="L94" i="14"/>
  <c r="M94" i="14"/>
  <c r="O94" i="14"/>
  <c r="L95" i="14"/>
  <c r="M95" i="14"/>
  <c r="O95" i="14"/>
  <c r="L96" i="14"/>
  <c r="N96" i="14" s="1"/>
  <c r="M96" i="14"/>
  <c r="O96" i="14"/>
  <c r="L97" i="14"/>
  <c r="M97" i="14"/>
  <c r="O97" i="14"/>
  <c r="L98" i="14"/>
  <c r="M98" i="14"/>
  <c r="O98" i="14"/>
  <c r="L99" i="14"/>
  <c r="M99" i="14"/>
  <c r="O99" i="14"/>
  <c r="L100" i="14"/>
  <c r="M100" i="14"/>
  <c r="O100" i="14"/>
  <c r="L101" i="14"/>
  <c r="M101" i="14"/>
  <c r="O101" i="14"/>
  <c r="L102" i="14"/>
  <c r="M102" i="14"/>
  <c r="O102" i="14"/>
  <c r="L103" i="14"/>
  <c r="M103" i="14"/>
  <c r="O103" i="14"/>
  <c r="L104" i="14"/>
  <c r="M104" i="14"/>
  <c r="O104" i="14"/>
  <c r="L105" i="14"/>
  <c r="M105" i="14"/>
  <c r="O105" i="14"/>
  <c r="L106" i="14"/>
  <c r="M106" i="14"/>
  <c r="O106" i="14"/>
  <c r="L107" i="14"/>
  <c r="M107" i="14"/>
  <c r="O107" i="14"/>
  <c r="L108" i="14"/>
  <c r="M108" i="14"/>
  <c r="O108" i="14"/>
  <c r="L109" i="14"/>
  <c r="M109" i="14"/>
  <c r="O109" i="14"/>
  <c r="L110" i="14"/>
  <c r="M110" i="14"/>
  <c r="O110" i="14"/>
  <c r="L111" i="14"/>
  <c r="M111" i="14"/>
  <c r="O111" i="14"/>
  <c r="L112" i="14"/>
  <c r="M112" i="14"/>
  <c r="O112" i="14"/>
  <c r="L113" i="14"/>
  <c r="M113" i="14"/>
  <c r="O113" i="14"/>
  <c r="L114" i="14"/>
  <c r="M114" i="14"/>
  <c r="O114" i="14"/>
  <c r="L115" i="14"/>
  <c r="M115" i="14"/>
  <c r="O115" i="14"/>
  <c r="L116" i="14"/>
  <c r="M116" i="14"/>
  <c r="O116" i="14"/>
  <c r="L117" i="14"/>
  <c r="M117" i="14"/>
  <c r="O117" i="14"/>
  <c r="L118" i="14"/>
  <c r="M118" i="14"/>
  <c r="O118" i="14"/>
  <c r="L119" i="14"/>
  <c r="M119" i="14"/>
  <c r="O119" i="14"/>
  <c r="L120" i="14"/>
  <c r="N120" i="14" s="1"/>
  <c r="M120" i="14"/>
  <c r="O120" i="14"/>
  <c r="L121" i="14"/>
  <c r="M121" i="14"/>
  <c r="O121" i="14"/>
  <c r="L122" i="14"/>
  <c r="M122" i="14"/>
  <c r="O122" i="14"/>
  <c r="L123" i="14"/>
  <c r="M123" i="14"/>
  <c r="O123" i="14"/>
  <c r="L124" i="14"/>
  <c r="N124" i="14" s="1"/>
  <c r="M124" i="14"/>
  <c r="O124" i="14"/>
  <c r="L125" i="14"/>
  <c r="M125" i="14"/>
  <c r="O125" i="14"/>
  <c r="L126" i="14"/>
  <c r="M126" i="14"/>
  <c r="O126" i="14"/>
  <c r="L127" i="14"/>
  <c r="M127" i="14"/>
  <c r="O127" i="14"/>
  <c r="L128" i="14"/>
  <c r="N128" i="14" s="1"/>
  <c r="M128" i="14"/>
  <c r="O128" i="14"/>
  <c r="L129" i="14"/>
  <c r="M129" i="14"/>
  <c r="O129" i="14"/>
  <c r="L130" i="14"/>
  <c r="M130" i="14"/>
  <c r="O130" i="14"/>
  <c r="L131" i="14"/>
  <c r="M131" i="14"/>
  <c r="O131" i="14"/>
  <c r="L132" i="14"/>
  <c r="M132" i="14"/>
  <c r="O132" i="14"/>
  <c r="L133" i="14"/>
  <c r="M133" i="14"/>
  <c r="O133" i="14"/>
  <c r="L134" i="14"/>
  <c r="M134" i="14"/>
  <c r="O134" i="14"/>
  <c r="L135" i="14"/>
  <c r="M135" i="14"/>
  <c r="O135" i="14"/>
  <c r="L136" i="14"/>
  <c r="M136" i="14"/>
  <c r="O136" i="14"/>
  <c r="L137" i="14"/>
  <c r="M137" i="14"/>
  <c r="O137" i="14"/>
  <c r="L138" i="14"/>
  <c r="M138" i="14"/>
  <c r="O138" i="14"/>
  <c r="L139" i="14"/>
  <c r="M139" i="14"/>
  <c r="O139" i="14"/>
  <c r="L140" i="14"/>
  <c r="N140" i="14" s="1"/>
  <c r="M140" i="14"/>
  <c r="O140" i="14"/>
  <c r="L141" i="14"/>
  <c r="M141" i="14"/>
  <c r="O141" i="14"/>
  <c r="L142" i="14"/>
  <c r="M142" i="14"/>
  <c r="O142" i="14"/>
  <c r="L143" i="14"/>
  <c r="M143" i="14"/>
  <c r="O143" i="14"/>
  <c r="L144" i="14"/>
  <c r="M144" i="14"/>
  <c r="O144" i="14"/>
  <c r="L145" i="14"/>
  <c r="M145" i="14"/>
  <c r="O145" i="14"/>
  <c r="L146" i="14"/>
  <c r="M146" i="14"/>
  <c r="O146" i="14"/>
  <c r="L147" i="14"/>
  <c r="M147" i="14"/>
  <c r="O147" i="14"/>
  <c r="L148" i="14"/>
  <c r="M148" i="14"/>
  <c r="O148" i="14"/>
  <c r="L149" i="14"/>
  <c r="M149" i="14"/>
  <c r="O149" i="14"/>
  <c r="L150" i="14"/>
  <c r="M150" i="14"/>
  <c r="O150" i="14"/>
  <c r="L151" i="14"/>
  <c r="M151" i="14"/>
  <c r="O151" i="14"/>
  <c r="L152" i="14"/>
  <c r="M152" i="14"/>
  <c r="O152" i="14"/>
  <c r="L153" i="14"/>
  <c r="M153" i="14"/>
  <c r="O153" i="14"/>
  <c r="L154" i="14"/>
  <c r="M154" i="14"/>
  <c r="O154" i="14"/>
  <c r="L155" i="14"/>
  <c r="M155" i="14"/>
  <c r="O155" i="14"/>
  <c r="L156" i="14"/>
  <c r="M156" i="14"/>
  <c r="O156" i="14"/>
  <c r="L157" i="14"/>
  <c r="M157" i="14"/>
  <c r="O157" i="14"/>
  <c r="L158" i="14"/>
  <c r="M158" i="14"/>
  <c r="O158" i="14"/>
  <c r="L159" i="14"/>
  <c r="M159" i="14"/>
  <c r="O159" i="14"/>
  <c r="L160" i="14"/>
  <c r="M160" i="14"/>
  <c r="O160" i="14"/>
  <c r="L161" i="14"/>
  <c r="M161" i="14"/>
  <c r="O161" i="14"/>
  <c r="L162" i="14"/>
  <c r="M162" i="14"/>
  <c r="O162" i="14"/>
  <c r="L163" i="14"/>
  <c r="M163" i="14"/>
  <c r="O163" i="14"/>
  <c r="L164" i="14"/>
  <c r="M164" i="14"/>
  <c r="O164" i="14"/>
  <c r="L165" i="14"/>
  <c r="M165" i="14"/>
  <c r="O165" i="14"/>
  <c r="L166" i="14"/>
  <c r="M166" i="14"/>
  <c r="O166" i="14"/>
  <c r="L167" i="14"/>
  <c r="M167" i="14"/>
  <c r="O167" i="14"/>
  <c r="L168" i="14"/>
  <c r="M168" i="14"/>
  <c r="O168" i="14"/>
  <c r="L169" i="14"/>
  <c r="M169" i="14"/>
  <c r="O169" i="14"/>
  <c r="L170" i="14"/>
  <c r="M170" i="14"/>
  <c r="O170" i="14"/>
  <c r="L171" i="14"/>
  <c r="M171" i="14"/>
  <c r="O171" i="14"/>
  <c r="L172" i="14"/>
  <c r="M172" i="14"/>
  <c r="O172" i="14"/>
  <c r="L173" i="14"/>
  <c r="M173" i="14"/>
  <c r="O173" i="14"/>
  <c r="L174" i="14"/>
  <c r="M174" i="14"/>
  <c r="O174" i="14"/>
  <c r="L175" i="14"/>
  <c r="M175" i="14"/>
  <c r="O175" i="14"/>
  <c r="L176" i="14"/>
  <c r="M176" i="14"/>
  <c r="O176" i="14"/>
  <c r="L177" i="14"/>
  <c r="M177" i="14"/>
  <c r="O177" i="14"/>
  <c r="L178" i="14"/>
  <c r="M178" i="14"/>
  <c r="O178" i="14"/>
  <c r="L179" i="14"/>
  <c r="M179" i="14"/>
  <c r="O179" i="14"/>
  <c r="L180" i="14"/>
  <c r="M180" i="14"/>
  <c r="O180" i="14"/>
  <c r="L181" i="14"/>
  <c r="M181" i="14"/>
  <c r="O181" i="14"/>
  <c r="L182" i="14"/>
  <c r="M182" i="14"/>
  <c r="O182" i="14"/>
  <c r="L183" i="14"/>
  <c r="M183" i="14"/>
  <c r="O183" i="14"/>
  <c r="L184" i="14"/>
  <c r="M184" i="14"/>
  <c r="O184" i="14"/>
  <c r="L185" i="14"/>
  <c r="M185" i="14"/>
  <c r="O185" i="14"/>
  <c r="L186" i="14"/>
  <c r="M186" i="14"/>
  <c r="O186" i="14"/>
  <c r="L187" i="14"/>
  <c r="M187" i="14"/>
  <c r="O187" i="14"/>
  <c r="L188" i="14"/>
  <c r="M188" i="14"/>
  <c r="O188" i="14"/>
  <c r="L189" i="14"/>
  <c r="M189" i="14"/>
  <c r="O189" i="14"/>
  <c r="L190" i="14"/>
  <c r="M190" i="14"/>
  <c r="O190" i="14"/>
  <c r="L191" i="14"/>
  <c r="M191" i="14"/>
  <c r="O191" i="14"/>
  <c r="L192" i="14"/>
  <c r="M192" i="14"/>
  <c r="O192" i="14"/>
  <c r="L193" i="14"/>
  <c r="M193" i="14"/>
  <c r="O193" i="14"/>
  <c r="L194" i="14"/>
  <c r="M194" i="14"/>
  <c r="O194" i="14"/>
  <c r="L195" i="14"/>
  <c r="M195" i="14"/>
  <c r="O195" i="14"/>
  <c r="L196" i="14"/>
  <c r="M196" i="14"/>
  <c r="O196" i="14"/>
  <c r="L197" i="14"/>
  <c r="M197" i="14"/>
  <c r="O197" i="14"/>
  <c r="L198" i="14"/>
  <c r="M198" i="14"/>
  <c r="O198" i="14"/>
  <c r="L199" i="14"/>
  <c r="M199" i="14"/>
  <c r="O199" i="14"/>
  <c r="L200" i="14"/>
  <c r="M200" i="14"/>
  <c r="O200" i="14"/>
  <c r="L201" i="14"/>
  <c r="M201" i="14"/>
  <c r="O201" i="14"/>
  <c r="L202" i="14"/>
  <c r="M202" i="14"/>
  <c r="O202" i="14"/>
  <c r="L203" i="14"/>
  <c r="M203" i="14"/>
  <c r="O203" i="14"/>
  <c r="L204" i="14"/>
  <c r="M204" i="14"/>
  <c r="O204" i="14"/>
  <c r="L205" i="14"/>
  <c r="M205" i="14"/>
  <c r="O205" i="14"/>
  <c r="L206" i="14"/>
  <c r="M206" i="14"/>
  <c r="O206" i="14"/>
  <c r="L207" i="14"/>
  <c r="M207" i="14"/>
  <c r="O207" i="14"/>
  <c r="L208" i="14"/>
  <c r="M208" i="14"/>
  <c r="O208" i="14"/>
  <c r="L209" i="14"/>
  <c r="M209" i="14"/>
  <c r="O209" i="14"/>
  <c r="L210" i="14"/>
  <c r="M210" i="14"/>
  <c r="O210" i="14"/>
  <c r="L211" i="14"/>
  <c r="M211" i="14"/>
  <c r="O211" i="14"/>
  <c r="L212" i="14"/>
  <c r="M212" i="14"/>
  <c r="O212" i="14"/>
  <c r="L213" i="14"/>
  <c r="M213" i="14"/>
  <c r="O213" i="14"/>
  <c r="L214" i="14"/>
  <c r="M214" i="14"/>
  <c r="O214" i="14"/>
  <c r="L215" i="14"/>
  <c r="M215" i="14"/>
  <c r="O215" i="14"/>
  <c r="L216" i="14"/>
  <c r="M216" i="14"/>
  <c r="O216" i="14"/>
  <c r="L217" i="14"/>
  <c r="M217" i="14"/>
  <c r="O217" i="14"/>
  <c r="L218" i="14"/>
  <c r="M218" i="14"/>
  <c r="O218" i="14"/>
  <c r="L219" i="14"/>
  <c r="M219" i="14"/>
  <c r="O219" i="14"/>
  <c r="L220" i="14"/>
  <c r="M220" i="14"/>
  <c r="O220" i="14"/>
  <c r="L221" i="14"/>
  <c r="M221" i="14"/>
  <c r="O221" i="14"/>
  <c r="L222" i="14"/>
  <c r="M222" i="14"/>
  <c r="O222" i="14"/>
  <c r="L223" i="14"/>
  <c r="M223" i="14"/>
  <c r="O223" i="14"/>
  <c r="L224" i="14"/>
  <c r="M224" i="14"/>
  <c r="O224" i="14"/>
  <c r="L225" i="14"/>
  <c r="M225" i="14"/>
  <c r="O225" i="14"/>
  <c r="L226" i="14"/>
  <c r="M226" i="14"/>
  <c r="O226" i="14"/>
  <c r="L227" i="14"/>
  <c r="M227" i="14"/>
  <c r="O227" i="14"/>
  <c r="L228" i="14"/>
  <c r="M228" i="14"/>
  <c r="O228" i="14"/>
  <c r="L229" i="14"/>
  <c r="M229" i="14"/>
  <c r="O229" i="14"/>
  <c r="L230" i="14"/>
  <c r="M230" i="14"/>
  <c r="O230" i="14"/>
  <c r="P230" i="14"/>
  <c r="L231" i="14"/>
  <c r="M231" i="14"/>
  <c r="O231" i="14"/>
  <c r="P231" i="14"/>
  <c r="L232" i="14"/>
  <c r="M232" i="14"/>
  <c r="O232" i="14"/>
  <c r="L233" i="14"/>
  <c r="M233" i="14"/>
  <c r="O233" i="14"/>
  <c r="L234" i="14"/>
  <c r="M234" i="14"/>
  <c r="O234" i="14"/>
  <c r="L235" i="14"/>
  <c r="M235" i="14"/>
  <c r="O235" i="14"/>
  <c r="L236" i="14"/>
  <c r="M236" i="14"/>
  <c r="O236" i="14"/>
  <c r="L237" i="14"/>
  <c r="M237" i="14"/>
  <c r="O237" i="14"/>
  <c r="L238" i="14"/>
  <c r="M238" i="14"/>
  <c r="O238" i="14"/>
  <c r="L239" i="14"/>
  <c r="M239" i="14"/>
  <c r="O239" i="14"/>
  <c r="L240" i="14"/>
  <c r="M240" i="14"/>
  <c r="O240" i="14"/>
  <c r="L241" i="14"/>
  <c r="M241" i="14"/>
  <c r="O241" i="14"/>
  <c r="L242" i="14"/>
  <c r="M242" i="14"/>
  <c r="O242" i="14"/>
  <c r="L243" i="14"/>
  <c r="M243" i="14"/>
  <c r="O243" i="14"/>
  <c r="L244" i="14"/>
  <c r="M244" i="14"/>
  <c r="O244" i="14"/>
  <c r="Q248" i="14"/>
  <c r="R248" i="14"/>
  <c r="S248" i="14"/>
  <c r="T248" i="14"/>
  <c r="U248" i="14"/>
  <c r="V248" i="14"/>
  <c r="W248" i="14"/>
  <c r="X248" i="14"/>
  <c r="Y248" i="14"/>
  <c r="Z248" i="14"/>
  <c r="AA248" i="14"/>
  <c r="AB248" i="14"/>
  <c r="AC248" i="14"/>
  <c r="AD248" i="14"/>
  <c r="AE248" i="14"/>
  <c r="AF248" i="14"/>
  <c r="AG248" i="14"/>
  <c r="AH248" i="14"/>
  <c r="AI248" i="14"/>
  <c r="AJ248" i="14"/>
  <c r="AK248" i="14"/>
  <c r="AL248" i="14"/>
  <c r="AM248" i="14"/>
  <c r="AN248" i="14"/>
  <c r="AO248" i="14"/>
  <c r="AP248" i="14"/>
  <c r="AQ248" i="14"/>
  <c r="AR248" i="14"/>
  <c r="AS248" i="14"/>
  <c r="AT248" i="14"/>
  <c r="AU248" i="14"/>
  <c r="AV248" i="14"/>
  <c r="AW248" i="14"/>
  <c r="Q249" i="14"/>
  <c r="R249" i="14"/>
  <c r="S249" i="14"/>
  <c r="T249" i="14"/>
  <c r="U249" i="14"/>
  <c r="V249" i="14"/>
  <c r="W249" i="14"/>
  <c r="X249" i="14"/>
  <c r="Y249" i="14"/>
  <c r="Z249" i="14"/>
  <c r="AA249" i="14"/>
  <c r="AB249" i="14"/>
  <c r="AC249" i="14"/>
  <c r="AD249" i="14"/>
  <c r="AE249" i="14"/>
  <c r="AF249" i="14"/>
  <c r="AG249" i="14"/>
  <c r="AH249" i="14"/>
  <c r="AI249" i="14"/>
  <c r="AJ249" i="14"/>
  <c r="AK249" i="14"/>
  <c r="AL249" i="14"/>
  <c r="AM249" i="14"/>
  <c r="AN249" i="14"/>
  <c r="AO249" i="14"/>
  <c r="AP249" i="14"/>
  <c r="AQ249" i="14"/>
  <c r="AR249" i="14"/>
  <c r="AS249" i="14"/>
  <c r="AT249" i="14"/>
  <c r="AU249" i="14"/>
  <c r="AV249" i="14"/>
  <c r="AW249" i="14"/>
  <c r="Q250" i="14"/>
  <c r="R250" i="14"/>
  <c r="S250" i="14"/>
  <c r="T250" i="14"/>
  <c r="U250" i="14"/>
  <c r="V250" i="14"/>
  <c r="W250" i="14"/>
  <c r="X250" i="14"/>
  <c r="Y250" i="14"/>
  <c r="Z250" i="14"/>
  <c r="AA250" i="14"/>
  <c r="AB250" i="14"/>
  <c r="AC250" i="14"/>
  <c r="AD250" i="14"/>
  <c r="AE250" i="14"/>
  <c r="AF250" i="14"/>
  <c r="AG250" i="14"/>
  <c r="AH250" i="14"/>
  <c r="AI250" i="14"/>
  <c r="AJ250" i="14"/>
  <c r="AK250" i="14"/>
  <c r="AL250" i="14"/>
  <c r="AM250" i="14"/>
  <c r="AN250" i="14"/>
  <c r="AO250" i="14"/>
  <c r="AP250" i="14"/>
  <c r="AQ250" i="14"/>
  <c r="AR250" i="14"/>
  <c r="AS250" i="14"/>
  <c r="AT250" i="14"/>
  <c r="AU250" i="14"/>
  <c r="AV250" i="14"/>
  <c r="AW250" i="14"/>
  <c r="Q251" i="14"/>
  <c r="R251" i="14"/>
  <c r="S251" i="14"/>
  <c r="T251" i="14"/>
  <c r="U251" i="14"/>
  <c r="V251" i="14"/>
  <c r="W251" i="14"/>
  <c r="X251" i="14"/>
  <c r="Y251" i="14"/>
  <c r="Z251" i="14"/>
  <c r="AA251" i="14"/>
  <c r="AB251" i="14"/>
  <c r="AC251" i="14"/>
  <c r="AD251" i="14"/>
  <c r="AE251" i="14"/>
  <c r="AF251" i="14"/>
  <c r="AG251" i="14"/>
  <c r="AH251" i="14"/>
  <c r="AI251" i="14"/>
  <c r="AJ251" i="14"/>
  <c r="AK251" i="14"/>
  <c r="AL251" i="14"/>
  <c r="AM251" i="14"/>
  <c r="AN251" i="14"/>
  <c r="AO251" i="14"/>
  <c r="AP251" i="14"/>
  <c r="AQ251" i="14"/>
  <c r="AR251" i="14"/>
  <c r="AS251" i="14"/>
  <c r="AT251" i="14"/>
  <c r="AU251" i="14"/>
  <c r="AV251" i="14"/>
  <c r="AW251" i="14"/>
  <c r="Q252" i="14"/>
  <c r="R252" i="14"/>
  <c r="S252" i="14"/>
  <c r="T252" i="14"/>
  <c r="U252" i="14"/>
  <c r="V252" i="14"/>
  <c r="W252" i="14"/>
  <c r="X252" i="14"/>
  <c r="Y252" i="14"/>
  <c r="Z252" i="14"/>
  <c r="AA252" i="14"/>
  <c r="AB252" i="14"/>
  <c r="AC252" i="14"/>
  <c r="AD252" i="14"/>
  <c r="AE252" i="14"/>
  <c r="AF252" i="14"/>
  <c r="AG252" i="14"/>
  <c r="AH252" i="14"/>
  <c r="AI252" i="14"/>
  <c r="AJ252" i="14"/>
  <c r="AK252" i="14"/>
  <c r="AL252" i="14"/>
  <c r="AM252" i="14"/>
  <c r="AN252" i="14"/>
  <c r="AO252" i="14"/>
  <c r="AP252" i="14"/>
  <c r="AQ252" i="14"/>
  <c r="AR252" i="14"/>
  <c r="AS252" i="14"/>
  <c r="AT252" i="14"/>
  <c r="AU252" i="14"/>
  <c r="AV252" i="14"/>
  <c r="AW252" i="14"/>
  <c r="Q253" i="14"/>
  <c r="R253" i="14"/>
  <c r="S253" i="14"/>
  <c r="T253" i="14"/>
  <c r="U253" i="14"/>
  <c r="V253" i="14"/>
  <c r="W253" i="14"/>
  <c r="X253" i="14"/>
  <c r="Y253" i="14"/>
  <c r="Z253" i="14"/>
  <c r="AA253" i="14"/>
  <c r="AB253" i="14"/>
  <c r="AC253" i="14"/>
  <c r="AD253" i="14"/>
  <c r="AE253" i="14"/>
  <c r="AF253" i="14"/>
  <c r="AG253" i="14"/>
  <c r="AH253" i="14"/>
  <c r="AI253" i="14"/>
  <c r="AJ253" i="14"/>
  <c r="AK253" i="14"/>
  <c r="AL253" i="14"/>
  <c r="AM253" i="14"/>
  <c r="AN253" i="14"/>
  <c r="AO253" i="14"/>
  <c r="AP253" i="14"/>
  <c r="AQ253" i="14"/>
  <c r="AR253" i="14"/>
  <c r="AS253" i="14"/>
  <c r="AT253" i="14"/>
  <c r="AU253" i="14"/>
  <c r="AV253" i="14"/>
  <c r="AW253" i="14"/>
  <c r="Q254" i="14"/>
  <c r="R254" i="14"/>
  <c r="S254" i="14"/>
  <c r="T254" i="14"/>
  <c r="U254" i="14"/>
  <c r="V254" i="14"/>
  <c r="W254" i="14"/>
  <c r="X254" i="14"/>
  <c r="Y254" i="14"/>
  <c r="Z254" i="14"/>
  <c r="AA254" i="14"/>
  <c r="AB254" i="14"/>
  <c r="AC254" i="14"/>
  <c r="AD254" i="14"/>
  <c r="AE254" i="14"/>
  <c r="AF254" i="14"/>
  <c r="AG254" i="14"/>
  <c r="AH254" i="14"/>
  <c r="AI254" i="14"/>
  <c r="AJ254" i="14"/>
  <c r="AK254" i="14"/>
  <c r="AL254" i="14"/>
  <c r="AM254" i="14"/>
  <c r="AN254" i="14"/>
  <c r="AO254" i="14"/>
  <c r="AP254" i="14"/>
  <c r="AQ254" i="14"/>
  <c r="AR254" i="14"/>
  <c r="AS254" i="14"/>
  <c r="AT254" i="14"/>
  <c r="AU254" i="14"/>
  <c r="AV254" i="14"/>
  <c r="AW254" i="14"/>
  <c r="Q255" i="14"/>
  <c r="R255" i="14"/>
  <c r="S255" i="14"/>
  <c r="T255" i="14"/>
  <c r="U255" i="14"/>
  <c r="V255" i="14"/>
  <c r="W255" i="14"/>
  <c r="X255" i="14"/>
  <c r="Y255" i="14"/>
  <c r="Z255" i="14"/>
  <c r="AA255" i="14"/>
  <c r="AB255" i="14"/>
  <c r="AC255" i="14"/>
  <c r="AD255" i="14"/>
  <c r="AE255" i="14"/>
  <c r="AF255" i="14"/>
  <c r="AG255" i="14"/>
  <c r="AH255" i="14"/>
  <c r="AI255" i="14"/>
  <c r="AJ255" i="14"/>
  <c r="AK255" i="14"/>
  <c r="AL255" i="14"/>
  <c r="AM255" i="14"/>
  <c r="AN255" i="14"/>
  <c r="AO255" i="14"/>
  <c r="AP255" i="14"/>
  <c r="AQ255" i="14"/>
  <c r="AR255" i="14"/>
  <c r="AS255" i="14"/>
  <c r="AT255" i="14"/>
  <c r="AU255" i="14"/>
  <c r="AV255" i="14"/>
  <c r="AW255" i="14"/>
  <c r="Q256" i="14"/>
  <c r="R256" i="14"/>
  <c r="S256" i="14"/>
  <c r="T256" i="14"/>
  <c r="U256" i="14"/>
  <c r="V256" i="14"/>
  <c r="W256" i="14"/>
  <c r="X256" i="14"/>
  <c r="Y256" i="14"/>
  <c r="Z256" i="14"/>
  <c r="AA256" i="14"/>
  <c r="AB256" i="14"/>
  <c r="AC256" i="14"/>
  <c r="AD256" i="14"/>
  <c r="AE256" i="14"/>
  <c r="AF256" i="14"/>
  <c r="AG256" i="14"/>
  <c r="AH256" i="14"/>
  <c r="AI256" i="14"/>
  <c r="AJ256" i="14"/>
  <c r="AK256" i="14"/>
  <c r="AL256" i="14"/>
  <c r="AM256" i="14"/>
  <c r="AN256" i="14"/>
  <c r="AO256" i="14"/>
  <c r="AP256" i="14"/>
  <c r="AQ256" i="14"/>
  <c r="AR256" i="14"/>
  <c r="AS256" i="14"/>
  <c r="AT256" i="14"/>
  <c r="AU256" i="14"/>
  <c r="AV256" i="14"/>
  <c r="AW256" i="14"/>
  <c r="Q257" i="14"/>
  <c r="R257" i="14"/>
  <c r="S257" i="14"/>
  <c r="T257" i="14"/>
  <c r="U257" i="14"/>
  <c r="V257" i="14"/>
  <c r="W257" i="14"/>
  <c r="X257" i="14"/>
  <c r="Y257" i="14"/>
  <c r="Z257" i="14"/>
  <c r="AA257" i="14"/>
  <c r="AB257" i="14"/>
  <c r="AC257" i="14"/>
  <c r="AD257" i="14"/>
  <c r="AE257" i="14"/>
  <c r="AF257" i="14"/>
  <c r="AG257" i="14"/>
  <c r="AH257" i="14"/>
  <c r="AI257" i="14"/>
  <c r="AJ257" i="14"/>
  <c r="AK257" i="14"/>
  <c r="AL257" i="14"/>
  <c r="AM257" i="14"/>
  <c r="AN257" i="14"/>
  <c r="AO257" i="14"/>
  <c r="AP257" i="14"/>
  <c r="AQ257" i="14"/>
  <c r="AR257" i="14"/>
  <c r="AS257" i="14"/>
  <c r="AT257" i="14"/>
  <c r="AU257" i="14"/>
  <c r="AV257" i="14"/>
  <c r="AW257" i="14"/>
  <c r="L5" i="13"/>
  <c r="M5" i="13"/>
  <c r="O5" i="13"/>
  <c r="L6" i="13"/>
  <c r="M6" i="13"/>
  <c r="O6" i="13"/>
  <c r="L7" i="13"/>
  <c r="M7" i="13"/>
  <c r="O7" i="13"/>
  <c r="L8" i="13"/>
  <c r="M8" i="13"/>
  <c r="O8" i="13"/>
  <c r="L9" i="13"/>
  <c r="M9" i="13"/>
  <c r="O9" i="13"/>
  <c r="L10" i="13"/>
  <c r="M10" i="13"/>
  <c r="O10" i="13"/>
  <c r="L11" i="13"/>
  <c r="M11" i="13"/>
  <c r="O11" i="13"/>
  <c r="L12" i="13"/>
  <c r="M12" i="13"/>
  <c r="O12" i="13"/>
  <c r="L13" i="13"/>
  <c r="M13" i="13"/>
  <c r="O13" i="13"/>
  <c r="L14" i="13"/>
  <c r="M14" i="13"/>
  <c r="O14" i="13"/>
  <c r="L15" i="13"/>
  <c r="M15" i="13"/>
  <c r="O15" i="13"/>
  <c r="L16" i="13"/>
  <c r="M16" i="13"/>
  <c r="O16" i="13"/>
  <c r="L17" i="13"/>
  <c r="M17" i="13"/>
  <c r="O17" i="13"/>
  <c r="L18" i="13"/>
  <c r="M18" i="13"/>
  <c r="O18" i="13"/>
  <c r="L19" i="13"/>
  <c r="M19" i="13"/>
  <c r="O19" i="13"/>
  <c r="L20" i="13"/>
  <c r="M20" i="13"/>
  <c r="O20" i="13"/>
  <c r="L21" i="13"/>
  <c r="M21" i="13"/>
  <c r="O21" i="13"/>
  <c r="L22" i="13"/>
  <c r="M22" i="13"/>
  <c r="O22" i="13"/>
  <c r="L23" i="13"/>
  <c r="M23" i="13"/>
  <c r="O23" i="13"/>
  <c r="L24" i="13"/>
  <c r="M24" i="13"/>
  <c r="O24" i="13"/>
  <c r="L25" i="13"/>
  <c r="M25" i="13"/>
  <c r="O25" i="13"/>
  <c r="L26" i="13"/>
  <c r="M26" i="13"/>
  <c r="O26" i="13"/>
  <c r="L27" i="13"/>
  <c r="M27" i="13"/>
  <c r="O27" i="13"/>
  <c r="L28" i="13"/>
  <c r="M28" i="13"/>
  <c r="O28" i="13"/>
  <c r="L29" i="13"/>
  <c r="M29" i="13"/>
  <c r="O29" i="13"/>
  <c r="L30" i="13"/>
  <c r="M30" i="13"/>
  <c r="O30" i="13"/>
  <c r="L31" i="13"/>
  <c r="M31" i="13"/>
  <c r="O31" i="13"/>
  <c r="L32" i="13"/>
  <c r="M32" i="13"/>
  <c r="O32" i="13"/>
  <c r="L33" i="13"/>
  <c r="M33" i="13"/>
  <c r="O33" i="13"/>
  <c r="L34" i="13"/>
  <c r="M34" i="13"/>
  <c r="O34" i="13"/>
  <c r="L35" i="13"/>
  <c r="M35" i="13"/>
  <c r="O35" i="13"/>
  <c r="L36" i="13"/>
  <c r="M36" i="13"/>
  <c r="O36" i="13"/>
  <c r="L37" i="13"/>
  <c r="M37" i="13"/>
  <c r="O37" i="13"/>
  <c r="L38" i="13"/>
  <c r="M38" i="13"/>
  <c r="O38" i="13"/>
  <c r="L39" i="13"/>
  <c r="M39" i="13"/>
  <c r="O39" i="13"/>
  <c r="L40" i="13"/>
  <c r="M40" i="13"/>
  <c r="O40" i="13"/>
  <c r="L41" i="13"/>
  <c r="M41" i="13"/>
  <c r="O41" i="13"/>
  <c r="L42" i="13"/>
  <c r="M42" i="13"/>
  <c r="O42" i="13"/>
  <c r="L43" i="13"/>
  <c r="M43" i="13"/>
  <c r="O43" i="13"/>
  <c r="L44" i="13"/>
  <c r="M44" i="13"/>
  <c r="O44" i="13"/>
  <c r="L45" i="13"/>
  <c r="M45" i="13"/>
  <c r="O45" i="13"/>
  <c r="L46" i="13"/>
  <c r="M46" i="13"/>
  <c r="O46" i="13"/>
  <c r="L47" i="13"/>
  <c r="M47" i="13"/>
  <c r="O47" i="13"/>
  <c r="L48" i="13"/>
  <c r="M48" i="13"/>
  <c r="O48" i="13"/>
  <c r="L49" i="13"/>
  <c r="M49" i="13"/>
  <c r="O49" i="13"/>
  <c r="L50" i="13"/>
  <c r="M50" i="13"/>
  <c r="O50" i="13"/>
  <c r="L51" i="13"/>
  <c r="M51" i="13"/>
  <c r="O51" i="13"/>
  <c r="L52" i="13"/>
  <c r="M52" i="13"/>
  <c r="O52" i="13"/>
  <c r="L53" i="13"/>
  <c r="M53" i="13"/>
  <c r="O53" i="13"/>
  <c r="L54" i="13"/>
  <c r="M54" i="13"/>
  <c r="O54" i="13"/>
  <c r="L55" i="13"/>
  <c r="M55" i="13"/>
  <c r="O55" i="13"/>
  <c r="L56" i="13"/>
  <c r="M56" i="13"/>
  <c r="O56" i="13"/>
  <c r="L57" i="13"/>
  <c r="M57" i="13"/>
  <c r="O57" i="13"/>
  <c r="L58" i="13"/>
  <c r="M58" i="13"/>
  <c r="O58" i="13"/>
  <c r="L59" i="13"/>
  <c r="M59" i="13"/>
  <c r="O59" i="13"/>
  <c r="L60" i="13"/>
  <c r="M60" i="13"/>
  <c r="O60" i="13"/>
  <c r="L61" i="13"/>
  <c r="M61" i="13"/>
  <c r="O61" i="13"/>
  <c r="L62" i="13"/>
  <c r="M62" i="13"/>
  <c r="O62" i="13"/>
  <c r="L63" i="13"/>
  <c r="M63" i="13"/>
  <c r="O63" i="13"/>
  <c r="L64" i="13"/>
  <c r="M64" i="13"/>
  <c r="O64" i="13"/>
  <c r="L65" i="13"/>
  <c r="M65" i="13"/>
  <c r="O65" i="13"/>
  <c r="L66" i="13"/>
  <c r="M66" i="13"/>
  <c r="O66" i="13"/>
  <c r="L67" i="13"/>
  <c r="M67" i="13"/>
  <c r="O67" i="13"/>
  <c r="L68" i="13"/>
  <c r="M68" i="13"/>
  <c r="O68" i="13"/>
  <c r="L69" i="13"/>
  <c r="M69" i="13"/>
  <c r="O69" i="13"/>
  <c r="L70" i="13"/>
  <c r="M70" i="13"/>
  <c r="O70" i="13"/>
  <c r="L71" i="13"/>
  <c r="M71" i="13"/>
  <c r="O71" i="13"/>
  <c r="L72" i="13"/>
  <c r="M72" i="13"/>
  <c r="O72" i="13"/>
  <c r="L73" i="13"/>
  <c r="M73" i="13"/>
  <c r="O73" i="13"/>
  <c r="L74" i="13"/>
  <c r="M74" i="13"/>
  <c r="O74" i="13"/>
  <c r="L75" i="13"/>
  <c r="M75" i="13"/>
  <c r="O75" i="13"/>
  <c r="L76" i="13"/>
  <c r="M76" i="13"/>
  <c r="O76" i="13"/>
  <c r="L77" i="13"/>
  <c r="M77" i="13"/>
  <c r="O77" i="13"/>
  <c r="L78" i="13"/>
  <c r="M78" i="13"/>
  <c r="O78" i="13"/>
  <c r="L79" i="13"/>
  <c r="M79" i="13"/>
  <c r="O79" i="13"/>
  <c r="L80" i="13"/>
  <c r="M80" i="13"/>
  <c r="O80" i="13"/>
  <c r="L81" i="13"/>
  <c r="M81" i="13"/>
  <c r="O81" i="13"/>
  <c r="L82" i="13"/>
  <c r="M82" i="13"/>
  <c r="O82" i="13"/>
  <c r="L83" i="13"/>
  <c r="M83" i="13"/>
  <c r="O83" i="13"/>
  <c r="L84" i="13"/>
  <c r="M84" i="13"/>
  <c r="O84" i="13"/>
  <c r="L85" i="13"/>
  <c r="M85" i="13"/>
  <c r="O85" i="13"/>
  <c r="L86" i="13"/>
  <c r="M86" i="13"/>
  <c r="O86" i="13"/>
  <c r="L87" i="13"/>
  <c r="M87" i="13"/>
  <c r="O87" i="13"/>
  <c r="L88" i="13"/>
  <c r="M88" i="13"/>
  <c r="O88" i="13"/>
  <c r="L89" i="13"/>
  <c r="M89" i="13"/>
  <c r="O89" i="13"/>
  <c r="L90" i="13"/>
  <c r="M90" i="13"/>
  <c r="O90" i="13"/>
  <c r="L91" i="13"/>
  <c r="M91" i="13"/>
  <c r="O91" i="13"/>
  <c r="L92" i="13"/>
  <c r="M92" i="13"/>
  <c r="O92" i="13"/>
  <c r="L93" i="13"/>
  <c r="M93" i="13"/>
  <c r="O93" i="13"/>
  <c r="L94" i="13"/>
  <c r="M94" i="13"/>
  <c r="O94" i="13"/>
  <c r="L95" i="13"/>
  <c r="M95" i="13"/>
  <c r="O95" i="13"/>
  <c r="L96" i="13"/>
  <c r="M96" i="13"/>
  <c r="O96" i="13"/>
  <c r="L97" i="13"/>
  <c r="M97" i="13"/>
  <c r="O97" i="13"/>
  <c r="L98" i="13"/>
  <c r="M98" i="13"/>
  <c r="O98" i="13"/>
  <c r="L99" i="13"/>
  <c r="M99" i="13"/>
  <c r="O99" i="13"/>
  <c r="L100" i="13"/>
  <c r="M100" i="13"/>
  <c r="O100" i="13"/>
  <c r="L101" i="13"/>
  <c r="M101" i="13"/>
  <c r="O101" i="13"/>
  <c r="L102" i="13"/>
  <c r="M102" i="13"/>
  <c r="O102" i="13"/>
  <c r="L103" i="13"/>
  <c r="M103" i="13"/>
  <c r="O103" i="13"/>
  <c r="L104" i="13"/>
  <c r="M104" i="13"/>
  <c r="O104" i="13"/>
  <c r="L105" i="13"/>
  <c r="M105" i="13"/>
  <c r="O105" i="13"/>
  <c r="L106" i="13"/>
  <c r="M106" i="13"/>
  <c r="O106" i="13"/>
  <c r="L107" i="13"/>
  <c r="M107" i="13"/>
  <c r="O107" i="13"/>
  <c r="L108" i="13"/>
  <c r="M108" i="13"/>
  <c r="O108" i="13"/>
  <c r="L109" i="13"/>
  <c r="M109" i="13"/>
  <c r="O109" i="13"/>
  <c r="L110" i="13"/>
  <c r="M110" i="13"/>
  <c r="O110" i="13"/>
  <c r="L111" i="13"/>
  <c r="M111" i="13"/>
  <c r="O111" i="13"/>
  <c r="L112" i="13"/>
  <c r="M112" i="13"/>
  <c r="O112" i="13"/>
  <c r="L113" i="13"/>
  <c r="M113" i="13"/>
  <c r="O113" i="13"/>
  <c r="L114" i="13"/>
  <c r="M114" i="13"/>
  <c r="O114" i="13"/>
  <c r="L115" i="13"/>
  <c r="M115" i="13"/>
  <c r="O115" i="13"/>
  <c r="L116" i="13"/>
  <c r="M116" i="13"/>
  <c r="O116" i="13"/>
  <c r="L117" i="13"/>
  <c r="M117" i="13"/>
  <c r="O117" i="13"/>
  <c r="L118" i="13"/>
  <c r="M118" i="13"/>
  <c r="O118" i="13"/>
  <c r="L119" i="13"/>
  <c r="M119" i="13"/>
  <c r="O119" i="13"/>
  <c r="L120" i="13"/>
  <c r="M120" i="13"/>
  <c r="O120" i="13"/>
  <c r="L121" i="13"/>
  <c r="M121" i="13"/>
  <c r="O121" i="13"/>
  <c r="L122" i="13"/>
  <c r="M122" i="13"/>
  <c r="O122" i="13"/>
  <c r="L123" i="13"/>
  <c r="M123" i="13"/>
  <c r="O123" i="13"/>
  <c r="L124" i="13"/>
  <c r="M124" i="13"/>
  <c r="O124" i="13"/>
  <c r="L125" i="13"/>
  <c r="M125" i="13"/>
  <c r="O125" i="13"/>
  <c r="L126" i="13"/>
  <c r="M126" i="13"/>
  <c r="O126" i="13"/>
  <c r="L127" i="13"/>
  <c r="M127" i="13"/>
  <c r="O127" i="13"/>
  <c r="L128" i="13"/>
  <c r="M128" i="13"/>
  <c r="O128" i="13"/>
  <c r="L129" i="13"/>
  <c r="M129" i="13"/>
  <c r="O129" i="13"/>
  <c r="L130" i="13"/>
  <c r="M130" i="13"/>
  <c r="O130" i="13"/>
  <c r="L131" i="13"/>
  <c r="M131" i="13"/>
  <c r="O131" i="13"/>
  <c r="L132" i="13"/>
  <c r="M132" i="13"/>
  <c r="O132" i="13"/>
  <c r="L133" i="13"/>
  <c r="M133" i="13"/>
  <c r="O133" i="13"/>
  <c r="L134" i="13"/>
  <c r="M134" i="13"/>
  <c r="O134" i="13"/>
  <c r="L135" i="13"/>
  <c r="M135" i="13"/>
  <c r="O135" i="13"/>
  <c r="L136" i="13"/>
  <c r="M136" i="13"/>
  <c r="O136" i="13"/>
  <c r="L137" i="13"/>
  <c r="M137" i="13"/>
  <c r="O137" i="13"/>
  <c r="L138" i="13"/>
  <c r="M138" i="13"/>
  <c r="O138" i="13"/>
  <c r="L139" i="13"/>
  <c r="M139" i="13"/>
  <c r="O139" i="13"/>
  <c r="L140" i="13"/>
  <c r="M140" i="13"/>
  <c r="O140" i="13"/>
  <c r="L141" i="13"/>
  <c r="M141" i="13"/>
  <c r="O141" i="13"/>
  <c r="L142" i="13"/>
  <c r="M142" i="13"/>
  <c r="O142" i="13"/>
  <c r="L143" i="13"/>
  <c r="M143" i="13"/>
  <c r="O143" i="13"/>
  <c r="L144" i="13"/>
  <c r="M144" i="13"/>
  <c r="O144" i="13"/>
  <c r="L145" i="13"/>
  <c r="M145" i="13"/>
  <c r="O145" i="13"/>
  <c r="L146" i="13"/>
  <c r="M146" i="13"/>
  <c r="O146" i="13"/>
  <c r="L147" i="13"/>
  <c r="M147" i="13"/>
  <c r="O147" i="13"/>
  <c r="L148" i="13"/>
  <c r="M148" i="13"/>
  <c r="O148" i="13"/>
  <c r="L149" i="13"/>
  <c r="M149" i="13"/>
  <c r="O149" i="13"/>
  <c r="L150" i="13"/>
  <c r="M150" i="13"/>
  <c r="O150" i="13"/>
  <c r="L151" i="13"/>
  <c r="M151" i="13"/>
  <c r="O151" i="13"/>
  <c r="L152" i="13"/>
  <c r="M152" i="13"/>
  <c r="O152" i="13"/>
  <c r="L153" i="13"/>
  <c r="M153" i="13"/>
  <c r="O153" i="13"/>
  <c r="L154" i="13"/>
  <c r="M154" i="13"/>
  <c r="O154" i="13"/>
  <c r="L155" i="13"/>
  <c r="M155" i="13"/>
  <c r="O155" i="13"/>
  <c r="L156" i="13"/>
  <c r="M156" i="13"/>
  <c r="O156" i="13"/>
  <c r="L157" i="13"/>
  <c r="M157" i="13"/>
  <c r="O157" i="13"/>
  <c r="L158" i="13"/>
  <c r="M158" i="13"/>
  <c r="O158" i="13"/>
  <c r="L159" i="13"/>
  <c r="M159" i="13"/>
  <c r="O159" i="13"/>
  <c r="L160" i="13"/>
  <c r="M160" i="13"/>
  <c r="O160" i="13"/>
  <c r="L161" i="13"/>
  <c r="M161" i="13"/>
  <c r="O161" i="13"/>
  <c r="L162" i="13"/>
  <c r="M162" i="13"/>
  <c r="O162" i="13"/>
  <c r="L163" i="13"/>
  <c r="M163" i="13"/>
  <c r="O163" i="13"/>
  <c r="L164" i="13"/>
  <c r="M164" i="13"/>
  <c r="O164" i="13"/>
  <c r="L165" i="13"/>
  <c r="M165" i="13"/>
  <c r="O165" i="13"/>
  <c r="L166" i="13"/>
  <c r="M166" i="13"/>
  <c r="O166" i="13"/>
  <c r="L167" i="13"/>
  <c r="M167" i="13"/>
  <c r="O167" i="13"/>
  <c r="L168" i="13"/>
  <c r="M168" i="13"/>
  <c r="O168" i="13"/>
  <c r="L169" i="13"/>
  <c r="M169" i="13"/>
  <c r="O169" i="13"/>
  <c r="L170" i="13"/>
  <c r="M170" i="13"/>
  <c r="O170" i="13"/>
  <c r="L171" i="13"/>
  <c r="M171" i="13"/>
  <c r="O171" i="13"/>
  <c r="L172" i="13"/>
  <c r="M172" i="13"/>
  <c r="O172" i="13"/>
  <c r="L173" i="13"/>
  <c r="M173" i="13"/>
  <c r="O173" i="13"/>
  <c r="L174" i="13"/>
  <c r="M174" i="13"/>
  <c r="O174" i="13"/>
  <c r="L175" i="13"/>
  <c r="M175" i="13"/>
  <c r="O175" i="13"/>
  <c r="L176" i="13"/>
  <c r="M176" i="13"/>
  <c r="O176" i="13"/>
  <c r="L177" i="13"/>
  <c r="M177" i="13"/>
  <c r="O177" i="13"/>
  <c r="L178" i="13"/>
  <c r="M178" i="13"/>
  <c r="O178" i="13"/>
  <c r="L179" i="13"/>
  <c r="M179" i="13"/>
  <c r="O179" i="13"/>
  <c r="L180" i="13"/>
  <c r="M180" i="13"/>
  <c r="O180" i="13"/>
  <c r="L181" i="13"/>
  <c r="M181" i="13"/>
  <c r="O181" i="13"/>
  <c r="L182" i="13"/>
  <c r="M182" i="13"/>
  <c r="O182" i="13"/>
  <c r="L183" i="13"/>
  <c r="M183" i="13"/>
  <c r="O183" i="13"/>
  <c r="L184" i="13"/>
  <c r="M184" i="13"/>
  <c r="O184" i="13"/>
  <c r="L185" i="13"/>
  <c r="M185" i="13"/>
  <c r="O185" i="13"/>
  <c r="L186" i="13"/>
  <c r="M186" i="13"/>
  <c r="O186" i="13"/>
  <c r="L187" i="13"/>
  <c r="M187" i="13"/>
  <c r="O187" i="13"/>
  <c r="L188" i="13"/>
  <c r="M188" i="13"/>
  <c r="O188" i="13"/>
  <c r="L189" i="13"/>
  <c r="M189" i="13"/>
  <c r="O189" i="13"/>
  <c r="L190" i="13"/>
  <c r="M190" i="13"/>
  <c r="O190" i="13"/>
  <c r="L191" i="13"/>
  <c r="M191" i="13"/>
  <c r="O191" i="13"/>
  <c r="L192" i="13"/>
  <c r="M192" i="13"/>
  <c r="O192" i="13"/>
  <c r="L193" i="13"/>
  <c r="M193" i="13"/>
  <c r="O193" i="13"/>
  <c r="L194" i="13"/>
  <c r="M194" i="13"/>
  <c r="O194" i="13"/>
  <c r="L195" i="13"/>
  <c r="M195" i="13"/>
  <c r="O195" i="13"/>
  <c r="L196" i="13"/>
  <c r="M196" i="13"/>
  <c r="O196" i="13"/>
  <c r="L197" i="13"/>
  <c r="M197" i="13"/>
  <c r="O197" i="13"/>
  <c r="L198" i="13"/>
  <c r="M198" i="13"/>
  <c r="O198" i="13"/>
  <c r="L199" i="13"/>
  <c r="M199" i="13"/>
  <c r="O199" i="13"/>
  <c r="L200" i="13"/>
  <c r="M200" i="13"/>
  <c r="O200" i="13"/>
  <c r="L201" i="13"/>
  <c r="M201" i="13"/>
  <c r="O201" i="13"/>
  <c r="L202" i="13"/>
  <c r="M202" i="13"/>
  <c r="O202" i="13"/>
  <c r="L203" i="13"/>
  <c r="M203" i="13"/>
  <c r="O203" i="13"/>
  <c r="L204" i="13"/>
  <c r="M204" i="13"/>
  <c r="O204" i="13"/>
  <c r="L205" i="13"/>
  <c r="M205" i="13"/>
  <c r="O205" i="13"/>
  <c r="L206" i="13"/>
  <c r="M206" i="13"/>
  <c r="O206" i="13"/>
  <c r="L207" i="13"/>
  <c r="M207" i="13"/>
  <c r="O207" i="13"/>
  <c r="L208" i="13"/>
  <c r="M208" i="13"/>
  <c r="O208" i="13"/>
  <c r="L209" i="13"/>
  <c r="M209" i="13"/>
  <c r="O209" i="13"/>
  <c r="L210" i="13"/>
  <c r="M210" i="13"/>
  <c r="O210" i="13"/>
  <c r="L211" i="13"/>
  <c r="M211" i="13"/>
  <c r="O211" i="13"/>
  <c r="L212" i="13"/>
  <c r="M212" i="13"/>
  <c r="O212" i="13"/>
  <c r="L213" i="13"/>
  <c r="M213" i="13"/>
  <c r="O213" i="13"/>
  <c r="L214" i="13"/>
  <c r="M214" i="13"/>
  <c r="O214" i="13"/>
  <c r="L215" i="13"/>
  <c r="M215" i="13"/>
  <c r="O215" i="13"/>
  <c r="L216" i="13"/>
  <c r="M216" i="13"/>
  <c r="O216" i="13"/>
  <c r="L217" i="13"/>
  <c r="M217" i="13"/>
  <c r="O217" i="13"/>
  <c r="L218" i="13"/>
  <c r="M218" i="13"/>
  <c r="O218" i="13"/>
  <c r="L219" i="13"/>
  <c r="M219" i="13"/>
  <c r="O219" i="13"/>
  <c r="L220" i="13"/>
  <c r="M220" i="13"/>
  <c r="O220" i="13"/>
  <c r="L221" i="13"/>
  <c r="M221" i="13"/>
  <c r="O221" i="13"/>
  <c r="L222" i="13"/>
  <c r="M222" i="13"/>
  <c r="O222" i="13"/>
  <c r="L223" i="13"/>
  <c r="M223" i="13"/>
  <c r="O223" i="13"/>
  <c r="L224" i="13"/>
  <c r="M224" i="13"/>
  <c r="O224" i="13"/>
  <c r="L225" i="13"/>
  <c r="M225" i="13"/>
  <c r="O225" i="13"/>
  <c r="L226" i="13"/>
  <c r="M226" i="13"/>
  <c r="O226" i="13"/>
  <c r="L227" i="13"/>
  <c r="M227" i="13"/>
  <c r="O227" i="13"/>
  <c r="L228" i="13"/>
  <c r="M228" i="13"/>
  <c r="O228" i="13"/>
  <c r="L229" i="13"/>
  <c r="M229" i="13"/>
  <c r="O229" i="13"/>
  <c r="L230" i="13"/>
  <c r="M230" i="13"/>
  <c r="O230" i="13"/>
  <c r="P230" i="13"/>
  <c r="L231" i="13"/>
  <c r="M231" i="13"/>
  <c r="O231" i="13"/>
  <c r="P231" i="13"/>
  <c r="L232" i="13"/>
  <c r="M232" i="13"/>
  <c r="O232" i="13"/>
  <c r="L233" i="13"/>
  <c r="M233" i="13"/>
  <c r="O233" i="13"/>
  <c r="L234" i="13"/>
  <c r="M234" i="13"/>
  <c r="O234" i="13"/>
  <c r="L235" i="13"/>
  <c r="M235" i="13"/>
  <c r="O235" i="13"/>
  <c r="L236" i="13"/>
  <c r="M236" i="13"/>
  <c r="O236" i="13"/>
  <c r="L237" i="13"/>
  <c r="M237" i="13"/>
  <c r="O237" i="13"/>
  <c r="L238" i="13"/>
  <c r="M238" i="13"/>
  <c r="O238" i="13"/>
  <c r="L239" i="13"/>
  <c r="M239" i="13"/>
  <c r="O239" i="13"/>
  <c r="L240" i="13"/>
  <c r="M240" i="13"/>
  <c r="O240" i="13"/>
  <c r="L241" i="13"/>
  <c r="M241" i="13"/>
  <c r="O241" i="13"/>
  <c r="L242" i="13"/>
  <c r="M242" i="13"/>
  <c r="O242" i="13"/>
  <c r="L243" i="13"/>
  <c r="M243" i="13"/>
  <c r="O243" i="13"/>
  <c r="L244" i="13"/>
  <c r="M244" i="13"/>
  <c r="O244" i="13"/>
  <c r="Q248" i="13"/>
  <c r="R248" i="13"/>
  <c r="S248" i="13"/>
  <c r="T248" i="13"/>
  <c r="U248" i="13"/>
  <c r="V248" i="13"/>
  <c r="W248" i="13"/>
  <c r="X248" i="13"/>
  <c r="Y248" i="13"/>
  <c r="Z248" i="13"/>
  <c r="AA248" i="13"/>
  <c r="AB248" i="13"/>
  <c r="AC248" i="13"/>
  <c r="AD248" i="13"/>
  <c r="AE248" i="13"/>
  <c r="AF248" i="13"/>
  <c r="AG248" i="13"/>
  <c r="AH248" i="13"/>
  <c r="AI248" i="13"/>
  <c r="AJ248" i="13"/>
  <c r="AK248" i="13"/>
  <c r="AL248" i="13"/>
  <c r="AM248" i="13"/>
  <c r="AN248" i="13"/>
  <c r="AO248" i="13"/>
  <c r="AP248" i="13"/>
  <c r="AQ248" i="13"/>
  <c r="AR248" i="13"/>
  <c r="AS248" i="13"/>
  <c r="AT248" i="13"/>
  <c r="AU248" i="13"/>
  <c r="AV248" i="13"/>
  <c r="AW248" i="13"/>
  <c r="Q249" i="13"/>
  <c r="R249" i="13"/>
  <c r="S249" i="13"/>
  <c r="T249" i="13"/>
  <c r="U249" i="13"/>
  <c r="V249" i="13"/>
  <c r="W249" i="13"/>
  <c r="X249" i="13"/>
  <c r="Y249" i="13"/>
  <c r="Z249" i="13"/>
  <c r="AA249" i="13"/>
  <c r="AB249" i="13"/>
  <c r="AC249" i="13"/>
  <c r="AD249" i="13"/>
  <c r="AE249" i="13"/>
  <c r="AF249" i="13"/>
  <c r="AG249" i="13"/>
  <c r="AH249" i="13"/>
  <c r="AI249" i="13"/>
  <c r="AJ249" i="13"/>
  <c r="AK249" i="13"/>
  <c r="AL249" i="13"/>
  <c r="AM249" i="13"/>
  <c r="AN249" i="13"/>
  <c r="AO249" i="13"/>
  <c r="AP249" i="13"/>
  <c r="AQ249" i="13"/>
  <c r="AR249" i="13"/>
  <c r="AS249" i="13"/>
  <c r="AT249" i="13"/>
  <c r="AU249" i="13"/>
  <c r="AV249" i="13"/>
  <c r="AW249" i="13"/>
  <c r="Q250" i="13"/>
  <c r="R250" i="13"/>
  <c r="S250" i="13"/>
  <c r="T250" i="13"/>
  <c r="U250" i="13"/>
  <c r="V250" i="13"/>
  <c r="W250" i="13"/>
  <c r="X250" i="13"/>
  <c r="Y250" i="13"/>
  <c r="Z250" i="13"/>
  <c r="AA250" i="13"/>
  <c r="AB250" i="13"/>
  <c r="AC250" i="13"/>
  <c r="AD250" i="13"/>
  <c r="AE250" i="13"/>
  <c r="AF250" i="13"/>
  <c r="AG250" i="13"/>
  <c r="AH250" i="13"/>
  <c r="AI250" i="13"/>
  <c r="AJ250" i="13"/>
  <c r="AK250" i="13"/>
  <c r="AL250" i="13"/>
  <c r="AM250" i="13"/>
  <c r="AN250" i="13"/>
  <c r="AO250" i="13"/>
  <c r="AP250" i="13"/>
  <c r="AQ250" i="13"/>
  <c r="AR250" i="13"/>
  <c r="AS250" i="13"/>
  <c r="AT250" i="13"/>
  <c r="AU250" i="13"/>
  <c r="AV250" i="13"/>
  <c r="AW250" i="13"/>
  <c r="Q251" i="13"/>
  <c r="R251" i="13"/>
  <c r="S251" i="13"/>
  <c r="T251" i="13"/>
  <c r="U251" i="13"/>
  <c r="V251" i="13"/>
  <c r="W251" i="13"/>
  <c r="X251" i="13"/>
  <c r="Y251" i="13"/>
  <c r="Z251" i="13"/>
  <c r="AA251" i="13"/>
  <c r="AB251" i="13"/>
  <c r="AC251" i="13"/>
  <c r="AD251" i="13"/>
  <c r="AE251" i="13"/>
  <c r="AF251" i="13"/>
  <c r="AG251" i="13"/>
  <c r="AH251" i="13"/>
  <c r="AI251" i="13"/>
  <c r="AJ251" i="13"/>
  <c r="AK251" i="13"/>
  <c r="AL251" i="13"/>
  <c r="AM251" i="13"/>
  <c r="AN251" i="13"/>
  <c r="AO251" i="13"/>
  <c r="AP251" i="13"/>
  <c r="AQ251" i="13"/>
  <c r="AR251" i="13"/>
  <c r="AS251" i="13"/>
  <c r="AT251" i="13"/>
  <c r="AU251" i="13"/>
  <c r="AV251" i="13"/>
  <c r="AW251" i="13"/>
  <c r="Q252" i="13"/>
  <c r="R252" i="13"/>
  <c r="S252" i="13"/>
  <c r="T252" i="13"/>
  <c r="U252" i="13"/>
  <c r="V252" i="13"/>
  <c r="W252" i="13"/>
  <c r="X252" i="13"/>
  <c r="Y252" i="13"/>
  <c r="Z252" i="13"/>
  <c r="AA252" i="13"/>
  <c r="AB252" i="13"/>
  <c r="AC252" i="13"/>
  <c r="AD252" i="13"/>
  <c r="AE252" i="13"/>
  <c r="AF252" i="13"/>
  <c r="AG252" i="13"/>
  <c r="AH252" i="13"/>
  <c r="AI252" i="13"/>
  <c r="AJ252" i="13"/>
  <c r="AK252" i="13"/>
  <c r="AL252" i="13"/>
  <c r="AM252" i="13"/>
  <c r="AN252" i="13"/>
  <c r="AO252" i="13"/>
  <c r="AP252" i="13"/>
  <c r="AQ252" i="13"/>
  <c r="AR252" i="13"/>
  <c r="AS252" i="13"/>
  <c r="AT252" i="13"/>
  <c r="AU252" i="13"/>
  <c r="AV252" i="13"/>
  <c r="AW252" i="13"/>
  <c r="Q253" i="13"/>
  <c r="R253" i="13"/>
  <c r="S253" i="13"/>
  <c r="T253" i="13"/>
  <c r="U253" i="13"/>
  <c r="V253" i="13"/>
  <c r="W253" i="13"/>
  <c r="X253" i="13"/>
  <c r="Y253" i="13"/>
  <c r="Z253" i="13"/>
  <c r="AA253" i="13"/>
  <c r="AB253" i="13"/>
  <c r="AC253" i="13"/>
  <c r="AD253" i="13"/>
  <c r="AE253" i="13"/>
  <c r="AF253" i="13"/>
  <c r="AG253" i="13"/>
  <c r="AH253" i="13"/>
  <c r="AI253" i="13"/>
  <c r="AJ253" i="13"/>
  <c r="AK253" i="13"/>
  <c r="AL253" i="13"/>
  <c r="AM253" i="13"/>
  <c r="AN253" i="13"/>
  <c r="AO253" i="13"/>
  <c r="AP253" i="13"/>
  <c r="AQ253" i="13"/>
  <c r="AR253" i="13"/>
  <c r="AS253" i="13"/>
  <c r="AT253" i="13"/>
  <c r="AU253" i="13"/>
  <c r="AV253" i="13"/>
  <c r="AW253" i="13"/>
  <c r="Q254" i="13"/>
  <c r="R254" i="13"/>
  <c r="S254" i="13"/>
  <c r="T254" i="13"/>
  <c r="U254" i="13"/>
  <c r="V254" i="13"/>
  <c r="W254" i="13"/>
  <c r="X254" i="13"/>
  <c r="Y254" i="13"/>
  <c r="Z254" i="13"/>
  <c r="AA254" i="13"/>
  <c r="AB254" i="13"/>
  <c r="AC254" i="13"/>
  <c r="AD254" i="13"/>
  <c r="AE254" i="13"/>
  <c r="AF254" i="13"/>
  <c r="AG254" i="13"/>
  <c r="AH254" i="13"/>
  <c r="AI254" i="13"/>
  <c r="AJ254" i="13"/>
  <c r="AK254" i="13"/>
  <c r="AL254" i="13"/>
  <c r="AM254" i="13"/>
  <c r="AN254" i="13"/>
  <c r="AO254" i="13"/>
  <c r="AP254" i="13"/>
  <c r="AQ254" i="13"/>
  <c r="AR254" i="13"/>
  <c r="AS254" i="13"/>
  <c r="AT254" i="13"/>
  <c r="AU254" i="13"/>
  <c r="AV254" i="13"/>
  <c r="AW254" i="13"/>
  <c r="Q255" i="13"/>
  <c r="R255" i="13"/>
  <c r="S255" i="13"/>
  <c r="T255" i="13"/>
  <c r="U255" i="13"/>
  <c r="V255" i="13"/>
  <c r="W255" i="13"/>
  <c r="X255" i="13"/>
  <c r="Y255" i="13"/>
  <c r="Z255" i="13"/>
  <c r="AA255" i="13"/>
  <c r="AB255" i="13"/>
  <c r="AC255" i="13"/>
  <c r="AD255" i="13"/>
  <c r="AE255" i="13"/>
  <c r="AF255" i="13"/>
  <c r="AG255" i="13"/>
  <c r="AH255" i="13"/>
  <c r="AI255" i="13"/>
  <c r="AJ255" i="13"/>
  <c r="AK255" i="13"/>
  <c r="AL255" i="13"/>
  <c r="AM255" i="13"/>
  <c r="AN255" i="13"/>
  <c r="AO255" i="13"/>
  <c r="AP255" i="13"/>
  <c r="AQ255" i="13"/>
  <c r="AR255" i="13"/>
  <c r="AS255" i="13"/>
  <c r="AT255" i="13"/>
  <c r="AU255" i="13"/>
  <c r="AV255" i="13"/>
  <c r="AW255" i="13"/>
  <c r="Q256" i="13"/>
  <c r="R256" i="13"/>
  <c r="S256" i="13"/>
  <c r="T256" i="13"/>
  <c r="U256" i="13"/>
  <c r="V256" i="13"/>
  <c r="W256" i="13"/>
  <c r="X256" i="13"/>
  <c r="Y256" i="13"/>
  <c r="Z256" i="13"/>
  <c r="AA256" i="13"/>
  <c r="AB256" i="13"/>
  <c r="AC256" i="13"/>
  <c r="AD256" i="13"/>
  <c r="AE256" i="13"/>
  <c r="AF256" i="13"/>
  <c r="AG256" i="13"/>
  <c r="AH256" i="13"/>
  <c r="AI256" i="13"/>
  <c r="AJ256" i="13"/>
  <c r="AK256" i="13"/>
  <c r="AL256" i="13"/>
  <c r="AM256" i="13"/>
  <c r="AN256" i="13"/>
  <c r="AO256" i="13"/>
  <c r="AP256" i="13"/>
  <c r="AQ256" i="13"/>
  <c r="AR256" i="13"/>
  <c r="AS256" i="13"/>
  <c r="AT256" i="13"/>
  <c r="AU256" i="13"/>
  <c r="AV256" i="13"/>
  <c r="AW256" i="13"/>
  <c r="Q257" i="13"/>
  <c r="R257" i="13"/>
  <c r="S257" i="13"/>
  <c r="T257" i="13"/>
  <c r="U257" i="13"/>
  <c r="V257" i="13"/>
  <c r="W257" i="13"/>
  <c r="X257" i="13"/>
  <c r="Y257" i="13"/>
  <c r="Z257" i="13"/>
  <c r="AA257" i="13"/>
  <c r="AB257" i="13"/>
  <c r="AC257" i="13"/>
  <c r="AD257" i="13"/>
  <c r="AE257" i="13"/>
  <c r="AF257" i="13"/>
  <c r="AG257" i="13"/>
  <c r="AH257" i="13"/>
  <c r="AI257" i="13"/>
  <c r="AJ257" i="13"/>
  <c r="AK257" i="13"/>
  <c r="AL257" i="13"/>
  <c r="AM257" i="13"/>
  <c r="AN257" i="13"/>
  <c r="AO257" i="13"/>
  <c r="AP257" i="13"/>
  <c r="AQ257" i="13"/>
  <c r="AR257" i="13"/>
  <c r="AS257" i="13"/>
  <c r="AT257" i="13"/>
  <c r="AU257" i="13"/>
  <c r="AV257" i="13"/>
  <c r="AW257" i="13"/>
  <c r="N224" i="14" l="1"/>
  <c r="N220" i="14"/>
  <c r="N216" i="14"/>
  <c r="N212" i="14"/>
  <c r="N208" i="14"/>
  <c r="N204" i="14"/>
  <c r="N196" i="14"/>
  <c r="N192" i="14"/>
  <c r="N184" i="14"/>
  <c r="N180" i="14"/>
  <c r="N176" i="14"/>
  <c r="N172" i="14"/>
  <c r="N168" i="14"/>
  <c r="N164" i="14"/>
  <c r="N156" i="14"/>
  <c r="N136" i="14"/>
  <c r="N173" i="12"/>
  <c r="N169" i="12"/>
  <c r="N165" i="12"/>
  <c r="N161" i="12"/>
  <c r="N157" i="12"/>
  <c r="N153" i="12"/>
  <c r="N149" i="12"/>
  <c r="N129" i="12"/>
  <c r="N125" i="12"/>
  <c r="N117" i="12"/>
  <c r="N105" i="12"/>
  <c r="N101" i="12"/>
  <c r="N97" i="12"/>
  <c r="N93" i="12"/>
  <c r="N63" i="13"/>
  <c r="N175" i="12"/>
  <c r="N171" i="12"/>
  <c r="N167" i="12"/>
  <c r="N119" i="12"/>
  <c r="N115" i="12"/>
  <c r="N111" i="12"/>
  <c r="N107" i="12"/>
  <c r="N103" i="12"/>
  <c r="N99" i="12"/>
  <c r="N36" i="14"/>
  <c r="N32" i="14"/>
  <c r="N28" i="14"/>
  <c r="N24" i="14"/>
  <c r="N20" i="14"/>
  <c r="N16" i="14"/>
  <c r="N12" i="14"/>
  <c r="N220" i="12"/>
  <c r="N216" i="12"/>
  <c r="N212" i="12"/>
  <c r="N184" i="12"/>
  <c r="N180" i="12"/>
  <c r="N176" i="12"/>
  <c r="N145" i="12"/>
  <c r="N141" i="12"/>
  <c r="N137" i="12"/>
  <c r="N133" i="12"/>
  <c r="N121" i="12"/>
  <c r="N113" i="12"/>
  <c r="N109" i="12"/>
  <c r="N88" i="12"/>
  <c r="N80" i="12"/>
  <c r="N64" i="12"/>
  <c r="N60" i="12"/>
  <c r="N12" i="12"/>
  <c r="N8" i="12"/>
  <c r="N230" i="14"/>
  <c r="N89" i="13"/>
  <c r="N231" i="14"/>
  <c r="N228" i="14"/>
  <c r="N200" i="14"/>
  <c r="N188" i="14"/>
  <c r="N160" i="14"/>
  <c r="N152" i="14"/>
  <c r="N148" i="14"/>
  <c r="N144" i="14"/>
  <c r="N132" i="14"/>
  <c r="N116" i="14"/>
  <c r="N112" i="14"/>
  <c r="N108" i="14"/>
  <c r="N104" i="14"/>
  <c r="N100" i="14"/>
  <c r="N228" i="12"/>
  <c r="N204" i="12"/>
  <c r="N48" i="12"/>
  <c r="N76" i="13"/>
  <c r="N8" i="14"/>
  <c r="N76" i="12"/>
  <c r="N85" i="13"/>
  <c r="N81" i="13"/>
  <c r="N77" i="13"/>
  <c r="N73" i="13"/>
  <c r="N69" i="13"/>
  <c r="N65" i="13"/>
  <c r="N84" i="12"/>
  <c r="N68" i="12"/>
  <c r="N44" i="12"/>
  <c r="N28" i="12"/>
  <c r="N80" i="13"/>
  <c r="N68" i="13"/>
  <c r="N210" i="12"/>
  <c r="N206" i="12"/>
  <c r="N202" i="12"/>
  <c r="N198" i="12"/>
  <c r="N194" i="12"/>
  <c r="N186" i="12"/>
  <c r="N182" i="12"/>
  <c r="N91" i="13"/>
  <c r="N87" i="13"/>
  <c r="N178" i="12"/>
  <c r="N223" i="13"/>
  <c r="N64" i="13"/>
  <c r="N226" i="14"/>
  <c r="N84" i="13"/>
  <c r="N72" i="13"/>
  <c r="N56" i="13"/>
  <c r="N52" i="13"/>
  <c r="N48" i="13"/>
  <c r="N44" i="13"/>
  <c r="N40" i="13"/>
  <c r="N36" i="13"/>
  <c r="N32" i="13"/>
  <c r="N28" i="13"/>
  <c r="N24" i="13"/>
  <c r="N16" i="13"/>
  <c r="N223" i="12"/>
  <c r="N219" i="12"/>
  <c r="N215" i="12"/>
  <c r="N211" i="12"/>
  <c r="N207" i="12"/>
  <c r="N203" i="12"/>
  <c r="N199" i="12"/>
  <c r="N191" i="12"/>
  <c r="N187" i="12"/>
  <c r="N231" i="13"/>
  <c r="N226" i="12"/>
  <c r="N92" i="13"/>
  <c r="N88" i="13"/>
  <c r="N20" i="13"/>
  <c r="N8" i="13"/>
  <c r="N183" i="12"/>
  <c r="N230" i="13"/>
  <c r="N226" i="13"/>
  <c r="N218" i="13"/>
  <c r="N214" i="13"/>
  <c r="N210" i="13"/>
  <c r="N206" i="13"/>
  <c r="N202" i="13"/>
  <c r="N194" i="13"/>
  <c r="N190" i="13"/>
  <c r="N186" i="13"/>
  <c r="N178" i="13"/>
  <c r="N174" i="13"/>
  <c r="N166" i="13"/>
  <c r="N162" i="13"/>
  <c r="N158" i="13"/>
  <c r="N154" i="13"/>
  <c r="N146" i="13"/>
  <c r="N142" i="13"/>
  <c r="N126" i="13"/>
  <c r="N122" i="13"/>
  <c r="N118" i="13"/>
  <c r="N114" i="13"/>
  <c r="N110" i="13"/>
  <c r="N106" i="13"/>
  <c r="N102" i="13"/>
  <c r="N90" i="13"/>
  <c r="N86" i="13"/>
  <c r="N82" i="13"/>
  <c r="N78" i="13"/>
  <c r="N74" i="13"/>
  <c r="N70" i="13"/>
  <c r="N66" i="13"/>
  <c r="N229" i="12"/>
  <c r="N225" i="12"/>
  <c r="N221" i="12"/>
  <c r="N217" i="12"/>
  <c r="N213" i="12"/>
  <c r="N209" i="12"/>
  <c r="N205" i="12"/>
  <c r="N201" i="12"/>
  <c r="N197" i="12"/>
  <c r="N193" i="12"/>
  <c r="N189" i="12"/>
  <c r="N185" i="12"/>
  <c r="N181" i="12"/>
  <c r="N177" i="12"/>
  <c r="N242" i="13"/>
  <c r="N227" i="13"/>
  <c r="N219" i="13"/>
  <c r="N215" i="13"/>
  <c r="N83" i="13"/>
  <c r="N79" i="13"/>
  <c r="N75" i="13"/>
  <c r="N71" i="13"/>
  <c r="N67" i="13"/>
  <c r="N230" i="12"/>
  <c r="N222" i="12"/>
  <c r="N218" i="12"/>
  <c r="N214" i="12"/>
  <c r="N190" i="12"/>
  <c r="N163" i="12"/>
  <c r="N227" i="12"/>
  <c r="N195" i="12"/>
  <c r="N179" i="12"/>
  <c r="N229" i="14"/>
  <c r="N225" i="14"/>
  <c r="N238" i="13"/>
  <c r="N234" i="13"/>
  <c r="N211" i="13"/>
  <c r="N207" i="13"/>
  <c r="N203" i="13"/>
  <c r="N199" i="13"/>
  <c r="N195" i="13"/>
  <c r="N191" i="13"/>
  <c r="N187" i="13"/>
  <c r="N183" i="13"/>
  <c r="N179" i="13"/>
  <c r="N175" i="13"/>
  <c r="N171" i="13"/>
  <c r="N167" i="13"/>
  <c r="N163" i="13"/>
  <c r="N159" i="13"/>
  <c r="N155" i="13"/>
  <c r="N151" i="13"/>
  <c r="N147" i="13"/>
  <c r="N143" i="13"/>
  <c r="N139" i="13"/>
  <c r="N135" i="13"/>
  <c r="N131" i="13"/>
  <c r="N127" i="13"/>
  <c r="N123" i="13"/>
  <c r="N119" i="13"/>
  <c r="N115" i="13"/>
  <c r="N111" i="13"/>
  <c r="N107" i="13"/>
  <c r="N103" i="13"/>
  <c r="N99" i="13"/>
  <c r="N95" i="13"/>
  <c r="N61" i="13"/>
  <c r="N57" i="13"/>
  <c r="N53" i="13"/>
  <c r="N49" i="13"/>
  <c r="N45" i="13"/>
  <c r="N41" i="13"/>
  <c r="N37" i="13"/>
  <c r="N33" i="13"/>
  <c r="N29" i="13"/>
  <c r="N25" i="13"/>
  <c r="N21" i="13"/>
  <c r="N17" i="13"/>
  <c r="N13" i="13"/>
  <c r="N9" i="13"/>
  <c r="N5" i="13"/>
  <c r="N243" i="14"/>
  <c r="N239" i="14"/>
  <c r="N235" i="14"/>
  <c r="N227" i="14"/>
  <c r="N223" i="14"/>
  <c r="N174" i="12"/>
  <c r="N170" i="12"/>
  <c r="N166" i="12"/>
  <c r="N162" i="12"/>
  <c r="N158" i="12"/>
  <c r="N154" i="12"/>
  <c r="N150" i="12"/>
  <c r="N146" i="12"/>
  <c r="N142" i="12"/>
  <c r="N138" i="12"/>
  <c r="N134" i="12"/>
  <c r="N130" i="12"/>
  <c r="N126" i="12"/>
  <c r="N122" i="12"/>
  <c r="N118" i="12"/>
  <c r="N114" i="12"/>
  <c r="N110" i="12"/>
  <c r="N106" i="12"/>
  <c r="N102" i="12"/>
  <c r="N98" i="12"/>
  <c r="N94" i="12"/>
  <c r="N90" i="12"/>
  <c r="N180" i="13"/>
  <c r="N228" i="13"/>
  <c r="N220" i="13"/>
  <c r="N212" i="13"/>
  <c r="N208" i="13"/>
  <c r="N224" i="13"/>
  <c r="N216" i="13"/>
  <c r="N204" i="13"/>
  <c r="N176" i="13"/>
  <c r="N172" i="13"/>
  <c r="N168" i="13"/>
  <c r="N160" i="13"/>
  <c r="N156" i="13"/>
  <c r="N152" i="13"/>
  <c r="N148" i="13"/>
  <c r="N144" i="13"/>
  <c r="N140" i="13"/>
  <c r="N136" i="13"/>
  <c r="N132" i="13"/>
  <c r="N128" i="13"/>
  <c r="N124" i="13"/>
  <c r="N120" i="13"/>
  <c r="N116" i="13"/>
  <c r="N112" i="13"/>
  <c r="N108" i="13"/>
  <c r="N104" i="13"/>
  <c r="N100" i="13"/>
  <c r="N96" i="13"/>
  <c r="N30" i="13"/>
  <c r="N26" i="13"/>
  <c r="N22" i="13"/>
  <c r="N18" i="13"/>
  <c r="N14" i="13"/>
  <c r="N10" i="13"/>
  <c r="N6" i="13"/>
  <c r="N221" i="14"/>
  <c r="N217" i="14"/>
  <c r="N213" i="14"/>
  <c r="N209" i="14"/>
  <c r="N205" i="14"/>
  <c r="N201" i="14"/>
  <c r="N197" i="14"/>
  <c r="N193" i="14"/>
  <c r="N189" i="14"/>
  <c r="N185" i="14"/>
  <c r="N181" i="14"/>
  <c r="N177" i="14"/>
  <c r="N173" i="14"/>
  <c r="N169" i="14"/>
  <c r="N165" i="14"/>
  <c r="N161" i="14"/>
  <c r="N157" i="14"/>
  <c r="N153" i="14"/>
  <c r="N149" i="14"/>
  <c r="N145" i="14"/>
  <c r="N141" i="14"/>
  <c r="N137" i="14"/>
  <c r="N133" i="14"/>
  <c r="N129" i="14"/>
  <c r="N125" i="14"/>
  <c r="N121" i="14"/>
  <c r="N117" i="14"/>
  <c r="N113" i="14"/>
  <c r="N109" i="14"/>
  <c r="N105" i="14"/>
  <c r="N101" i="14"/>
  <c r="N97" i="14"/>
  <c r="N93" i="14"/>
  <c r="N89" i="14"/>
  <c r="N85" i="14"/>
  <c r="N81" i="14"/>
  <c r="N77" i="14"/>
  <c r="N73" i="14"/>
  <c r="N69" i="14"/>
  <c r="N200" i="13"/>
  <c r="N196" i="13"/>
  <c r="N192" i="13"/>
  <c r="N164" i="13"/>
  <c r="N229" i="13"/>
  <c r="N225" i="13"/>
  <c r="N221" i="13"/>
  <c r="N217" i="13"/>
  <c r="N213" i="13"/>
  <c r="N209" i="13"/>
  <c r="N205" i="13"/>
  <c r="N201" i="13"/>
  <c r="N197" i="13"/>
  <c r="N193" i="13"/>
  <c r="N189" i="13"/>
  <c r="N185" i="13"/>
  <c r="N181" i="13"/>
  <c r="N177" i="13"/>
  <c r="N173" i="13"/>
  <c r="N169" i="13"/>
  <c r="N165" i="13"/>
  <c r="N161" i="13"/>
  <c r="N157" i="13"/>
  <c r="N153" i="13"/>
  <c r="N149" i="13"/>
  <c r="N145" i="13"/>
  <c r="N141" i="13"/>
  <c r="N137" i="13"/>
  <c r="N133" i="13"/>
  <c r="N129" i="13"/>
  <c r="N125" i="13"/>
  <c r="N121" i="13"/>
  <c r="N117" i="13"/>
  <c r="N113" i="13"/>
  <c r="N109" i="13"/>
  <c r="N105" i="13"/>
  <c r="N101" i="13"/>
  <c r="N97" i="13"/>
  <c r="N93" i="13"/>
  <c r="N31" i="13"/>
  <c r="N27" i="13"/>
  <c r="N23" i="13"/>
  <c r="N19" i="13"/>
  <c r="N15" i="13"/>
  <c r="N11" i="13"/>
  <c r="N7" i="13"/>
  <c r="N222" i="14"/>
  <c r="N218" i="14"/>
  <c r="N214" i="14"/>
  <c r="N210" i="14"/>
  <c r="N206" i="14"/>
  <c r="N202" i="14"/>
  <c r="N198" i="14"/>
  <c r="N194" i="14"/>
  <c r="N190" i="14"/>
  <c r="N186" i="14"/>
  <c r="N182" i="14"/>
  <c r="N178" i="14"/>
  <c r="N174" i="14"/>
  <c r="N170" i="14"/>
  <c r="N166" i="14"/>
  <c r="N162" i="14"/>
  <c r="N158" i="14"/>
  <c r="N154" i="14"/>
  <c r="N150" i="14"/>
  <c r="N146" i="14"/>
  <c r="N142" i="14"/>
  <c r="N138" i="14"/>
  <c r="N134" i="14"/>
  <c r="N130" i="14"/>
  <c r="N126" i="14"/>
  <c r="N122" i="14"/>
  <c r="N118" i="14"/>
  <c r="N114" i="14"/>
  <c r="N110" i="14"/>
  <c r="N106" i="14"/>
  <c r="N102" i="14"/>
  <c r="N98" i="14"/>
  <c r="N94" i="14"/>
  <c r="N90" i="14"/>
  <c r="N86" i="14"/>
  <c r="N82" i="14"/>
  <c r="N78" i="14"/>
  <c r="N74" i="14"/>
  <c r="N70" i="14"/>
  <c r="N188" i="13"/>
  <c r="N184" i="13"/>
  <c r="N222" i="13"/>
  <c r="N198" i="13"/>
  <c r="N182" i="13"/>
  <c r="N170" i="13"/>
  <c r="N150" i="13"/>
  <c r="N138" i="13"/>
  <c r="N134" i="13"/>
  <c r="N130" i="13"/>
  <c r="N98" i="13"/>
  <c r="N94" i="13"/>
  <c r="N60" i="13"/>
  <c r="N12" i="13"/>
  <c r="N219" i="14"/>
  <c r="N215" i="14"/>
  <c r="N211" i="14"/>
  <c r="N207" i="14"/>
  <c r="N203" i="14"/>
  <c r="N199" i="14"/>
  <c r="N195" i="14"/>
  <c r="N191" i="14"/>
  <c r="N187" i="14"/>
  <c r="N183" i="14"/>
  <c r="N179" i="14"/>
  <c r="N175" i="14"/>
  <c r="N171" i="14"/>
  <c r="N167" i="14"/>
  <c r="N163" i="14"/>
  <c r="N159" i="14"/>
  <c r="N155" i="14"/>
  <c r="N151" i="14"/>
  <c r="N147" i="14"/>
  <c r="N143" i="14"/>
  <c r="N139" i="14"/>
  <c r="N135" i="14"/>
  <c r="N131" i="14"/>
  <c r="N127" i="14"/>
  <c r="N123" i="14"/>
  <c r="N119" i="14"/>
  <c r="N115" i="14"/>
  <c r="N111" i="14"/>
  <c r="N107" i="14"/>
  <c r="N103" i="14"/>
  <c r="N99" i="14"/>
  <c r="N95" i="14"/>
  <c r="N91" i="14"/>
  <c r="N87" i="14"/>
  <c r="N83" i="14"/>
  <c r="N79" i="14"/>
  <c r="N75" i="14"/>
  <c r="N71" i="14"/>
  <c r="N65" i="14"/>
  <c r="N61" i="14"/>
  <c r="N57" i="14"/>
  <c r="N53" i="14"/>
  <c r="N49" i="14"/>
  <c r="N45" i="14"/>
  <c r="N41" i="14"/>
  <c r="N37" i="14"/>
  <c r="N33" i="14"/>
  <c r="N29" i="14"/>
  <c r="N25" i="14"/>
  <c r="N21" i="14"/>
  <c r="N17" i="14"/>
  <c r="N13" i="14"/>
  <c r="N9" i="14"/>
  <c r="N5" i="14"/>
  <c r="N66" i="14"/>
  <c r="N62" i="14"/>
  <c r="N58" i="14"/>
  <c r="N54" i="14"/>
  <c r="N50" i="14"/>
  <c r="N46" i="14"/>
  <c r="N42" i="14"/>
  <c r="N38" i="14"/>
  <c r="N34" i="14"/>
  <c r="N30" i="14"/>
  <c r="N26" i="14"/>
  <c r="N22" i="14"/>
  <c r="N18" i="14"/>
  <c r="N14" i="14"/>
  <c r="N10" i="14"/>
  <c r="N6" i="14"/>
  <c r="N67" i="14"/>
  <c r="N63" i="14"/>
  <c r="N59" i="14"/>
  <c r="N55" i="14"/>
  <c r="N51" i="14"/>
  <c r="N47" i="14"/>
  <c r="N43" i="14"/>
  <c r="N39" i="14"/>
  <c r="N35" i="14"/>
  <c r="N31" i="14"/>
  <c r="N27" i="14"/>
  <c r="N23" i="14"/>
  <c r="N19" i="14"/>
  <c r="N15" i="14"/>
  <c r="N11" i="14"/>
  <c r="N7" i="14"/>
  <c r="N89" i="12"/>
  <c r="N85" i="12"/>
  <c r="N81" i="12"/>
  <c r="N77" i="12"/>
  <c r="N73" i="12"/>
  <c r="N69" i="12"/>
  <c r="N65" i="12"/>
  <c r="N61" i="12"/>
  <c r="N57" i="12"/>
  <c r="N53" i="12"/>
  <c r="N49" i="12"/>
  <c r="N45" i="12"/>
  <c r="N41" i="12"/>
  <c r="N37" i="12"/>
  <c r="N33" i="12"/>
  <c r="N29" i="12"/>
  <c r="N25" i="12"/>
  <c r="N21" i="12"/>
  <c r="N17" i="12"/>
  <c r="N13" i="12"/>
  <c r="N9" i="12"/>
  <c r="N5" i="12"/>
  <c r="N244" i="12"/>
  <c r="N240" i="12"/>
  <c r="N236" i="12"/>
  <c r="N232" i="12"/>
  <c r="N159" i="12"/>
  <c r="N151" i="12"/>
  <c r="N127" i="12"/>
  <c r="N95" i="12"/>
  <c r="N172" i="12"/>
  <c r="N168" i="12"/>
  <c r="N164" i="12"/>
  <c r="N160" i="12"/>
  <c r="N156" i="12"/>
  <c r="N152" i="12"/>
  <c r="N148" i="12"/>
  <c r="N144" i="12"/>
  <c r="N140" i="12"/>
  <c r="N136" i="12"/>
  <c r="N132" i="12"/>
  <c r="N128" i="12"/>
  <c r="N124" i="12"/>
  <c r="N120" i="12"/>
  <c r="N116" i="12"/>
  <c r="N112" i="12"/>
  <c r="N108" i="12"/>
  <c r="N104" i="12"/>
  <c r="N100" i="12"/>
  <c r="N96" i="12"/>
  <c r="N92" i="12"/>
  <c r="N243" i="13"/>
  <c r="N239" i="13"/>
  <c r="N235" i="13"/>
  <c r="N244" i="13"/>
  <c r="N236" i="13"/>
  <c r="N231" i="12"/>
  <c r="N240" i="13"/>
  <c r="N232" i="13"/>
  <c r="N241" i="13"/>
  <c r="N237" i="13"/>
  <c r="N233" i="13"/>
  <c r="N62" i="13"/>
  <c r="N58" i="13"/>
  <c r="N54" i="13"/>
  <c r="N50" i="13"/>
  <c r="N46" i="13"/>
  <c r="N42" i="13"/>
  <c r="N38" i="13"/>
  <c r="N34" i="13"/>
  <c r="N244" i="14"/>
  <c r="N240" i="14"/>
  <c r="N236" i="14"/>
  <c r="N232" i="14"/>
  <c r="N241" i="12"/>
  <c r="N237" i="12"/>
  <c r="N233" i="12"/>
  <c r="N59" i="13"/>
  <c r="N55" i="13"/>
  <c r="N51" i="13"/>
  <c r="N47" i="13"/>
  <c r="N43" i="13"/>
  <c r="N39" i="13"/>
  <c r="N35" i="13"/>
  <c r="N241" i="14"/>
  <c r="N237" i="14"/>
  <c r="N233" i="14"/>
  <c r="N242" i="12"/>
  <c r="N238" i="12"/>
  <c r="N234" i="12"/>
  <c r="N86" i="12"/>
  <c r="N82" i="12"/>
  <c r="N78" i="12"/>
  <c r="N74" i="12"/>
  <c r="N70" i="12"/>
  <c r="N66" i="12"/>
  <c r="N62" i="12"/>
  <c r="N58" i="12"/>
  <c r="N54" i="12"/>
  <c r="N50" i="12"/>
  <c r="N46" i="12"/>
  <c r="N42" i="12"/>
  <c r="N38" i="12"/>
  <c r="N34" i="12"/>
  <c r="N30" i="12"/>
  <c r="N26" i="12"/>
  <c r="N22" i="12"/>
  <c r="N18" i="12"/>
  <c r="N14" i="12"/>
  <c r="N10" i="12"/>
  <c r="N6" i="12"/>
  <c r="N242" i="14"/>
  <c r="N238" i="14"/>
  <c r="N234" i="14"/>
  <c r="N243" i="12"/>
  <c r="N239" i="12"/>
  <c r="N235" i="12"/>
  <c r="N87" i="12"/>
  <c r="N83" i="12"/>
  <c r="N79" i="12"/>
  <c r="N75" i="12"/>
  <c r="N71" i="12"/>
  <c r="N67" i="12"/>
  <c r="N63" i="12"/>
  <c r="N59" i="12"/>
  <c r="N55" i="12"/>
  <c r="N51" i="12"/>
  <c r="N47" i="12"/>
  <c r="N43" i="12"/>
  <c r="N39" i="12"/>
  <c r="N35" i="12"/>
  <c r="N31" i="12"/>
  <c r="N27" i="12"/>
  <c r="N23" i="12"/>
  <c r="N19" i="12"/>
  <c r="N15" i="12"/>
  <c r="N11" i="12"/>
  <c r="N7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21" authorId="0" shapeId="0" xr:uid="{00000000-0006-0000-0000-000001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1.586
1260014</t>
        </r>
      </text>
    </comment>
    <comment ref="T21" authorId="0" shapeId="0" xr:uid="{00000000-0006-0000-0000-000002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1.589
1368762</t>
        </r>
      </text>
    </comment>
    <comment ref="Z21" authorId="0" shapeId="0" xr:uid="{00000000-0006-0000-0000-000003000000}">
      <text>
        <r>
          <rPr>
            <b/>
            <sz val="9"/>
            <color rgb="FF000000"/>
            <rFont val="宋体"/>
            <family val="2"/>
          </rPr>
          <t>Author:</t>
        </r>
        <r>
          <rPr>
            <sz val="9"/>
            <color rgb="FF000000"/>
            <rFont val="宋体"/>
            <family val="2"/>
          </rPr>
          <t xml:space="preserve">
1.594
1368762</t>
        </r>
      </text>
    </comment>
    <comment ref="T22" authorId="0" shapeId="0" xr:uid="{00000000-0006-0000-0000-000004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1.581
1368762</t>
        </r>
      </text>
    </comment>
    <comment ref="T25" authorId="0" shapeId="0" xr:uid="{00000000-0006-0000-0000-000005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1.585
1368762</t>
        </r>
      </text>
    </comment>
    <comment ref="AH124" authorId="0" shapeId="0" xr:uid="{00000000-0006-0000-0000-000006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-0.103
1368762</t>
        </r>
      </text>
    </comment>
    <comment ref="Q148" authorId="0" shapeId="0" xr:uid="{00000000-0006-0000-0000-000007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4.102
</t>
        </r>
      </text>
    </comment>
    <comment ref="Q149" authorId="0" shapeId="0" xr:uid="{00000000-0006-0000-0000-000008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4.100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S124" authorId="0" shapeId="0" xr:uid="{00000000-0006-0000-0100-000001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0.008
1374999
</t>
        </r>
      </text>
    </comment>
    <comment ref="AS211" authorId="0" shapeId="0" xr:uid="{00000000-0006-0000-0100-000002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 12.209057 
1249819
CMM05</t>
        </r>
      </text>
    </comment>
    <comment ref="AD212" authorId="0" shapeId="0" xr:uid="{00000000-0006-0000-0100-000003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12.208695
1249819
CMM05</t>
        </r>
      </text>
    </comment>
    <comment ref="AS212" authorId="0" shapeId="0" xr:uid="{00000000-0006-0000-0100-00000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12.214729</t>
        </r>
      </text>
    </comment>
    <comment ref="AU244" authorId="0" shapeId="0" xr:uid="{00000000-0006-0000-0100-000005000000}">
      <text>
        <r>
          <rPr>
            <b/>
            <sz val="9"/>
            <color rgb="FF000000"/>
            <rFont val="宋体"/>
            <family val="2"/>
          </rPr>
          <t>Author:</t>
        </r>
        <r>
          <rPr>
            <sz val="9"/>
            <color rgb="FF000000"/>
            <rFont val="宋体"/>
            <family val="2"/>
          </rPr>
          <t xml:space="preserve">
0.005
1301479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Q38" authorId="0" shapeId="0" xr:uid="{00000000-0006-0000-0200-000001000000}">
      <text>
        <r>
          <rPr>
            <b/>
            <sz val="9"/>
            <color rgb="FF000000"/>
            <rFont val="宋体"/>
            <family val="2"/>
          </rPr>
          <t>Author:</t>
        </r>
        <r>
          <rPr>
            <sz val="9"/>
            <color rgb="FF000000"/>
            <rFont val="宋体"/>
            <family val="2"/>
          </rPr>
          <t xml:space="preserve">
2.609
</t>
        </r>
      </text>
    </comment>
    <comment ref="AQ39" authorId="0" shapeId="0" xr:uid="{00000000-0006-0000-0200-000002000000}">
      <text>
        <r>
          <rPr>
            <b/>
            <sz val="9"/>
            <color rgb="FF000000"/>
            <rFont val="宋体"/>
            <family val="2"/>
          </rPr>
          <t>Author:</t>
        </r>
        <r>
          <rPr>
            <sz val="9"/>
            <color rgb="FF000000"/>
            <rFont val="宋体"/>
            <family val="2"/>
          </rPr>
          <t xml:space="preserve">
2.605
</t>
        </r>
      </text>
    </comment>
    <comment ref="AQ42" authorId="0" shapeId="0" xr:uid="{00000000-0006-0000-0200-000003000000}">
      <text>
        <r>
          <rPr>
            <b/>
            <sz val="9"/>
            <color rgb="FF000000"/>
            <rFont val="宋体"/>
            <family val="2"/>
          </rPr>
          <t>Author:</t>
        </r>
        <r>
          <rPr>
            <sz val="9"/>
            <color rgb="FF000000"/>
            <rFont val="宋体"/>
            <family val="2"/>
          </rPr>
          <t xml:space="preserve">
2.564
</t>
        </r>
      </text>
    </comment>
    <comment ref="AR114" authorId="0" shapeId="0" xr:uid="{00000000-0006-0000-0200-000004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0.167
1121134
CMM1</t>
        </r>
      </text>
    </comment>
    <comment ref="Y116" authorId="0" shapeId="0" xr:uid="{00000000-0006-0000-0200-000005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0.154174
1260014</t>
        </r>
      </text>
    </comment>
    <comment ref="AK116" authorId="0" shapeId="0" xr:uid="{00000000-0006-0000-0200-000006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0.157153
1249819
CMM05</t>
        </r>
      </text>
    </comment>
    <comment ref="AP116" authorId="0" shapeId="0" xr:uid="{00000000-0006-0000-0200-000007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0.1814
1301476
CMM01
</t>
        </r>
      </text>
    </comment>
    <comment ref="Y119" authorId="0" shapeId="0" xr:uid="{00000000-0006-0000-0200-000008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10.999620
1260014</t>
        </r>
      </text>
    </comment>
    <comment ref="T234" authorId="0" shapeId="0" xr:uid="{00000000-0006-0000-0200-000009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0.172749
1249819
CMM01</t>
        </r>
      </text>
    </comment>
    <comment ref="AE234" authorId="0" shapeId="0" xr:uid="{00000000-0006-0000-0200-00000A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0.167867
1249819
CMM05</t>
        </r>
      </text>
    </comment>
    <comment ref="AR234" authorId="0" shapeId="0" xr:uid="{00000000-0006-0000-0200-00000B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0.171
1121134
CMM1</t>
        </r>
      </text>
    </comment>
    <comment ref="AD236" authorId="0" shapeId="0" xr:uid="{00000000-0006-0000-0200-00000C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0.149117
1249819
CMM05</t>
        </r>
      </text>
    </comment>
    <comment ref="AS236" authorId="0" shapeId="0" xr:uid="{00000000-0006-0000-0200-00000D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0.157111
1249819
CMM05</t>
        </r>
      </text>
    </comment>
    <comment ref="AD237" authorId="0" shapeId="0" xr:uid="{00000000-0006-0000-0200-00000E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0.149827</t>
        </r>
      </text>
    </comment>
    <comment ref="AS237" authorId="0" shapeId="0" xr:uid="{00000000-0006-0000-0200-00000F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0.163123
1249819
CMM05</t>
        </r>
      </text>
    </comment>
    <comment ref="AS238" authorId="0" shapeId="0" xr:uid="{00000000-0006-0000-0200-000010000000}">
      <text>
        <r>
          <rPr>
            <b/>
            <sz val="9"/>
            <color rgb="FF000000"/>
            <rFont val="Tahoma"/>
            <family val="2"/>
          </rPr>
          <t>Author:</t>
        </r>
        <r>
          <rPr>
            <sz val="9"/>
            <color rgb="FF000000"/>
            <rFont val="Tahoma"/>
            <family val="2"/>
          </rPr>
          <t xml:space="preserve">
 11.097738</t>
        </r>
      </text>
    </comment>
  </commentList>
</comments>
</file>

<file path=xl/sharedStrings.xml><?xml version="1.0" encoding="utf-8"?>
<sst xmlns="http://schemas.openxmlformats.org/spreadsheetml/2006/main" count="2488" uniqueCount="483">
  <si>
    <r>
      <rPr>
        <b/>
        <sz val="28"/>
        <color theme="1"/>
        <rFont val="宋体"/>
        <family val="3"/>
      </rPr>
      <t>A6_A81 Bottom Cover_1358#_G11_SBC276101A0B</t>
    </r>
    <phoneticPr fontId="0" type="noConversion"/>
  </si>
  <si>
    <r>
      <rPr>
        <sz val="20"/>
        <color theme="1"/>
        <rFont val="宋体"/>
        <family val="3"/>
      </rPr>
      <t>2018/4/1</t>
    </r>
    <phoneticPr fontId="0" type="noConversion"/>
  </si>
  <si>
    <t>2018/4/2</t>
  </si>
  <si>
    <t>2018/4/3</t>
  </si>
  <si>
    <t>2018/4/4</t>
  </si>
  <si>
    <t>2018/4/5</t>
  </si>
  <si>
    <t>2018/4/6</t>
  </si>
  <si>
    <t>2018/4/7</t>
  </si>
  <si>
    <t>2018/4/8</t>
  </si>
  <si>
    <t>2018/4/9</t>
  </si>
  <si>
    <t>2018/4/10</t>
  </si>
  <si>
    <t>2018/4/11</t>
  </si>
  <si>
    <r>
      <rPr>
        <sz val="11"/>
        <color theme="1"/>
        <rFont val="宋体"/>
        <family val="2"/>
      </rPr>
      <t>表示NG</t>
    </r>
    <phoneticPr fontId="0" type="noConversion"/>
  </si>
  <si>
    <r>
      <rPr>
        <sz val="11"/>
        <color theme="1"/>
        <rFont val="宋体"/>
        <family val="2"/>
      </rPr>
      <t>表示特采</t>
    </r>
    <phoneticPr fontId="0" type="noConversion"/>
  </si>
  <si>
    <r>
      <rPr>
        <sz val="11"/>
        <color rgb="FF0000CC"/>
        <rFont val="宋体"/>
        <family val="3"/>
      </rPr>
      <t>差值大于0.05 &amp; 相邻时间段差异〉=公差带30%  用蓝色表示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</si>
  <si>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</si>
  <si>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</si>
  <si>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</si>
  <si>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</si>
  <si>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</si>
  <si>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</si>
  <si>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</si>
  <si>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</si>
  <si>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</si>
  <si>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</si>
  <si>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</si>
  <si>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</si>
  <si>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</si>
  <si>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</si>
  <si>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</si>
  <si>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</si>
  <si>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</si>
  <si>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</si>
  <si>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</si>
  <si>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</si>
  <si>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</si>
  <si>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</si>
  <si>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</si>
  <si>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</si>
  <si>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</si>
  <si>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</si>
  <si>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</si>
  <si>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</si>
  <si>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</si>
  <si>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</si>
  <si>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</si>
  <si>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</si>
  <si>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</si>
  <si>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t>备注</t>
  </si>
  <si>
    <t>序號</t>
  </si>
  <si>
    <t>儀器代碼</t>
  </si>
  <si>
    <t>SPC</t>
  </si>
  <si>
    <t>TXT编号</t>
  </si>
  <si>
    <t>FAI#</t>
  </si>
  <si>
    <t>規格</t>
  </si>
  <si>
    <t>正公差</t>
  </si>
  <si>
    <t>負公差</t>
  </si>
  <si>
    <r>
      <rPr>
        <sz val="11"/>
        <color theme="1"/>
        <rFont val="宋体"/>
        <family val="2"/>
      </rPr>
      <t>特采上限</t>
    </r>
    <phoneticPr fontId="0" type="noConversion"/>
  </si>
  <si>
    <r>
      <rPr>
        <sz val="11"/>
        <color theme="1"/>
        <rFont val="宋体"/>
        <family val="2"/>
      </rPr>
      <t>特采下限</t>
    </r>
    <phoneticPr fontId="0" type="noConversion"/>
  </si>
  <si>
    <t>Max</t>
  </si>
  <si>
    <t>Min</t>
  </si>
  <si>
    <t>差值</t>
  </si>
  <si>
    <t>平均值</t>
  </si>
  <si>
    <t>第一模</t>
  </si>
  <si>
    <r>
      <rPr>
        <sz val="36"/>
        <color theme="1"/>
        <rFont val="宋体"/>
        <family val="2"/>
      </rPr>
      <t>1#</t>
    </r>
    <phoneticPr fontId="0" type="noConversion"/>
  </si>
  <si>
    <t>OMM</t>
  </si>
  <si>
    <r>
      <rPr>
        <sz val="11"/>
        <color theme="1"/>
        <rFont val="宋体"/>
        <family val="2"/>
      </rPr>
      <t>CH</t>
    </r>
    <phoneticPr fontId="0" type="noConversion"/>
  </si>
  <si>
    <t>11</t>
  </si>
  <si>
    <t>E</t>
  </si>
  <si>
    <t>35</t>
  </si>
  <si>
    <t>F</t>
  </si>
  <si>
    <t>46</t>
  </si>
  <si>
    <t>CL</t>
  </si>
  <si>
    <r>
      <rPr>
        <sz val="11"/>
        <color theme="1"/>
        <rFont val="宋体"/>
        <family val="2"/>
      </rPr>
      <t>Y</t>
    </r>
    <phoneticPr fontId="0" type="noConversion"/>
  </si>
  <si>
    <t>15</t>
  </si>
  <si>
    <t>CJ</t>
  </si>
  <si>
    <t>5</t>
  </si>
  <si>
    <t>OGP</t>
  </si>
  <si>
    <t>K.01</t>
  </si>
  <si>
    <t>37.01</t>
  </si>
  <si>
    <t>K.02</t>
  </si>
  <si>
    <t>37.02</t>
  </si>
  <si>
    <t>K.03</t>
  </si>
  <si>
    <t>37.03</t>
  </si>
  <si>
    <t>CN</t>
  </si>
  <si>
    <t>8</t>
  </si>
  <si>
    <t>M.01</t>
  </si>
  <si>
    <t>44.01</t>
  </si>
  <si>
    <t>M.02</t>
  </si>
  <si>
    <t>44.02</t>
  </si>
  <si>
    <t>M.03</t>
  </si>
  <si>
    <t>44.03</t>
  </si>
  <si>
    <t>M.04</t>
  </si>
  <si>
    <t>44.04</t>
  </si>
  <si>
    <t>M.05</t>
  </si>
  <si>
    <r>
      <rPr>
        <sz val="11"/>
        <color theme="1"/>
        <rFont val="宋体"/>
        <family val="2"/>
      </rPr>
      <t>Y</t>
    </r>
    <phoneticPr fontId="0" type="noConversion"/>
  </si>
  <si>
    <t>44.05</t>
  </si>
  <si>
    <t>M.06</t>
  </si>
  <si>
    <t>44.06</t>
  </si>
  <si>
    <t>M.07</t>
  </si>
  <si>
    <t>44.07</t>
  </si>
  <si>
    <t>M.08</t>
  </si>
  <si>
    <t>44.08</t>
  </si>
  <si>
    <t>M.09</t>
  </si>
  <si>
    <t>44.09</t>
  </si>
  <si>
    <t>M.10</t>
  </si>
  <si>
    <t>44.10</t>
  </si>
  <si>
    <t>M.11</t>
  </si>
  <si>
    <t>44.11</t>
  </si>
  <si>
    <t>M.12</t>
  </si>
  <si>
    <t>44.12</t>
  </si>
  <si>
    <t>M.13</t>
  </si>
  <si>
    <t>44.13</t>
  </si>
  <si>
    <t>M.14</t>
  </si>
  <si>
    <t>44.14</t>
  </si>
  <si>
    <t>HG</t>
  </si>
  <si>
    <t>AL.01</t>
  </si>
  <si>
    <r>
      <rPr>
        <sz val="11"/>
        <color theme="1"/>
        <rFont val="宋体"/>
        <family val="2"/>
      </rPr>
      <t>Y</t>
    </r>
    <phoneticPr fontId="0" type="noConversion"/>
  </si>
  <si>
    <t>67.01</t>
  </si>
  <si>
    <t>AL.02</t>
  </si>
  <si>
    <t>67.02</t>
  </si>
  <si>
    <t>AL.03</t>
  </si>
  <si>
    <t>67.03</t>
  </si>
  <si>
    <t>AL.04</t>
  </si>
  <si>
    <t>67.04</t>
  </si>
  <si>
    <t>AQ.01</t>
  </si>
  <si>
    <t>75.01</t>
  </si>
  <si>
    <t>AQ.02</t>
  </si>
  <si>
    <t>75.02</t>
  </si>
  <si>
    <t>AP.01</t>
  </si>
  <si>
    <t>78.01</t>
  </si>
  <si>
    <t>AP.02</t>
  </si>
  <si>
    <t>78.02</t>
  </si>
  <si>
    <t>AX</t>
  </si>
  <si>
    <t>119</t>
  </si>
  <si>
    <t>BA</t>
  </si>
  <si>
    <t>125</t>
  </si>
  <si>
    <t>BE.01</t>
  </si>
  <si>
    <t>129.01</t>
  </si>
  <si>
    <t>BE.02</t>
  </si>
  <si>
    <t>129.02</t>
  </si>
  <si>
    <t>BH</t>
  </si>
  <si>
    <r>
      <rPr>
        <sz val="11"/>
        <color theme="1"/>
        <rFont val="宋体"/>
        <family val="2"/>
      </rPr>
      <t>Y</t>
    </r>
    <phoneticPr fontId="0" type="noConversion"/>
  </si>
  <si>
    <t>133</t>
  </si>
  <si>
    <t>BM.01</t>
  </si>
  <si>
    <t>165.01</t>
  </si>
  <si>
    <t>BM.02</t>
  </si>
  <si>
    <t>165.02</t>
  </si>
  <si>
    <r>
      <rPr>
        <sz val="11"/>
        <color theme="1"/>
        <rFont val="宋体"/>
        <family val="2"/>
      </rPr>
      <t>BY.01</t>
    </r>
    <phoneticPr fontId="0" type="noConversion"/>
  </si>
  <si>
    <t>42.01</t>
  </si>
  <si>
    <r>
      <rPr>
        <sz val="11"/>
        <color theme="1"/>
        <rFont val="宋体"/>
        <family val="2"/>
      </rPr>
      <t>BY.02</t>
    </r>
    <phoneticPr fontId="0" type="noConversion"/>
  </si>
  <si>
    <t>42.02</t>
  </si>
  <si>
    <r>
      <rPr>
        <sz val="11"/>
        <color theme="1"/>
        <rFont val="宋体"/>
        <family val="2"/>
      </rPr>
      <t>BY.03</t>
    </r>
    <phoneticPr fontId="0" type="noConversion"/>
  </si>
  <si>
    <t>42.03</t>
  </si>
  <si>
    <r>
      <rPr>
        <sz val="11"/>
        <color theme="1"/>
        <rFont val="宋体"/>
        <family val="2"/>
      </rPr>
      <t>BY.04</t>
    </r>
    <phoneticPr fontId="0" type="noConversion"/>
  </si>
  <si>
    <t>42.04</t>
  </si>
  <si>
    <r>
      <rPr>
        <sz val="11"/>
        <color theme="1"/>
        <rFont val="宋体"/>
        <family val="2"/>
      </rPr>
      <t>BY.05</t>
    </r>
    <phoneticPr fontId="0" type="noConversion"/>
  </si>
  <si>
    <t>42.05</t>
  </si>
  <si>
    <r>
      <rPr>
        <sz val="11"/>
        <color theme="1"/>
        <rFont val="宋体"/>
        <family val="2"/>
      </rPr>
      <t>BY.06</t>
    </r>
    <phoneticPr fontId="0" type="noConversion"/>
  </si>
  <si>
    <t>42.06</t>
  </si>
  <si>
    <r>
      <rPr>
        <sz val="11"/>
        <color theme="1"/>
        <rFont val="宋体"/>
        <family val="2"/>
      </rPr>
      <t>BY.07</t>
    </r>
    <phoneticPr fontId="0" type="noConversion"/>
  </si>
  <si>
    <t>42.07</t>
  </si>
  <si>
    <r>
      <rPr>
        <sz val="11"/>
        <color theme="1"/>
        <rFont val="宋体"/>
        <family val="2"/>
      </rPr>
      <t>BY.08</t>
    </r>
    <phoneticPr fontId="0" type="noConversion"/>
  </si>
  <si>
    <t>42.08</t>
  </si>
  <si>
    <r>
      <rPr>
        <sz val="11"/>
        <color theme="1"/>
        <rFont val="宋体"/>
        <family val="2"/>
      </rPr>
      <t>BY.09</t>
    </r>
    <phoneticPr fontId="0" type="noConversion"/>
  </si>
  <si>
    <t>42.09</t>
  </si>
  <si>
    <t>BY.10</t>
  </si>
  <si>
    <t>42.10</t>
  </si>
  <si>
    <t>BY.11</t>
  </si>
  <si>
    <t>42.11</t>
  </si>
  <si>
    <t>BY.12</t>
  </si>
  <si>
    <t>42.12</t>
  </si>
  <si>
    <t>BY.13</t>
  </si>
  <si>
    <t>42.13</t>
  </si>
  <si>
    <t>BY.14</t>
  </si>
  <si>
    <t>42.14</t>
  </si>
  <si>
    <t>CA.01</t>
  </si>
  <si>
    <t>115.01</t>
  </si>
  <si>
    <t>CA.02</t>
  </si>
  <si>
    <t>115.02</t>
  </si>
  <si>
    <t>CA.03</t>
  </si>
  <si>
    <t>115.03</t>
  </si>
  <si>
    <t>CA.04</t>
  </si>
  <si>
    <t>115.04</t>
  </si>
  <si>
    <t>CD.01</t>
  </si>
  <si>
    <t>68.01</t>
  </si>
  <si>
    <t>CD.02</t>
  </si>
  <si>
    <t>68.02</t>
  </si>
  <si>
    <t>CD.03</t>
  </si>
  <si>
    <t>68.03</t>
  </si>
  <si>
    <t>CD.04</t>
  </si>
  <si>
    <t>68.04</t>
  </si>
  <si>
    <t>CK</t>
  </si>
  <si>
    <t>3</t>
  </si>
  <si>
    <t>CO</t>
  </si>
  <si>
    <t>10</t>
  </si>
  <si>
    <t>CI</t>
  </si>
  <si>
    <t>12</t>
  </si>
  <si>
    <t>CM</t>
  </si>
  <si>
    <t>16</t>
  </si>
  <si>
    <t>CX</t>
  </si>
  <si>
    <t>93</t>
  </si>
  <si>
    <t>J.01</t>
  </si>
  <si>
    <t>38.01</t>
  </si>
  <si>
    <t>J.02</t>
  </si>
  <si>
    <t>38.02</t>
  </si>
  <si>
    <t>J.03</t>
  </si>
  <si>
    <t>38.03</t>
  </si>
  <si>
    <t>J.04</t>
  </si>
  <si>
    <t>38.04</t>
  </si>
  <si>
    <t>J.05</t>
  </si>
  <si>
    <t>38.05</t>
  </si>
  <si>
    <r>
      <rPr>
        <sz val="11"/>
        <color theme="1"/>
        <rFont val="宋体"/>
        <family val="2"/>
      </rPr>
      <t>GF</t>
    </r>
    <phoneticPr fontId="0" type="noConversion"/>
  </si>
  <si>
    <t>71</t>
  </si>
  <si>
    <t>R</t>
  </si>
  <si>
    <t>72</t>
  </si>
  <si>
    <t>C</t>
  </si>
  <si>
    <t>87</t>
  </si>
  <si>
    <t>D</t>
  </si>
  <si>
    <t>91</t>
  </si>
  <si>
    <t>光面PMD</t>
  </si>
  <si>
    <t>G</t>
  </si>
  <si>
    <t>40</t>
  </si>
  <si>
    <t>CB</t>
  </si>
  <si>
    <t>41</t>
  </si>
  <si>
    <t>CMM</t>
  </si>
  <si>
    <t>CY</t>
  </si>
  <si>
    <t>100</t>
  </si>
  <si>
    <t>BD</t>
  </si>
  <si>
    <t>128</t>
  </si>
  <si>
    <t>BS.01</t>
  </si>
  <si>
    <t>172.01</t>
  </si>
  <si>
    <t>BS.02</t>
  </si>
  <si>
    <t>172.02</t>
  </si>
  <si>
    <t>BS.03</t>
  </si>
  <si>
    <t>172.03</t>
  </si>
  <si>
    <t>BS.04</t>
  </si>
  <si>
    <t>172.04</t>
  </si>
  <si>
    <t>BS.05</t>
  </si>
  <si>
    <t>172.05</t>
  </si>
  <si>
    <t>BS.06</t>
  </si>
  <si>
    <t>172.06</t>
  </si>
  <si>
    <t>BS.07</t>
  </si>
  <si>
    <t>172.07</t>
  </si>
  <si>
    <t>BS.08</t>
  </si>
  <si>
    <t>172.08</t>
  </si>
  <si>
    <t>BS.09</t>
  </si>
  <si>
    <t>172.09</t>
  </si>
  <si>
    <t>BS.10</t>
  </si>
  <si>
    <t>172.10</t>
  </si>
  <si>
    <t>BS.11</t>
  </si>
  <si>
    <t>172.11</t>
  </si>
  <si>
    <t>BS.12</t>
  </si>
  <si>
    <t>172.12</t>
  </si>
  <si>
    <t>BS.13</t>
  </si>
  <si>
    <t>172.13</t>
  </si>
  <si>
    <t>BS.14</t>
  </si>
  <si>
    <t>172.14</t>
  </si>
  <si>
    <t>BR.01</t>
  </si>
  <si>
    <t>173.01</t>
  </si>
  <si>
    <t>BR.02</t>
  </si>
  <si>
    <t>173.02</t>
  </si>
  <si>
    <t>BR.03</t>
  </si>
  <si>
    <t>173.03</t>
  </si>
  <si>
    <t>BR.04</t>
  </si>
  <si>
    <t>173.04</t>
  </si>
  <si>
    <t>BR.05</t>
  </si>
  <si>
    <r>
      <rPr>
        <sz val="11"/>
        <color theme="1"/>
        <rFont val="宋体"/>
        <family val="2"/>
      </rPr>
      <t>Y</t>
    </r>
    <phoneticPr fontId="0" type="noConversion"/>
  </si>
  <si>
    <t>173.05</t>
  </si>
  <si>
    <t>BR.06</t>
  </si>
  <si>
    <t>173.06</t>
  </si>
  <si>
    <t>BR.07</t>
  </si>
  <si>
    <t>173.07</t>
  </si>
  <si>
    <t>BR.08</t>
  </si>
  <si>
    <t>173.08</t>
  </si>
  <si>
    <t>BR.09</t>
  </si>
  <si>
    <t>173.09</t>
  </si>
  <si>
    <t>BR.10</t>
  </si>
  <si>
    <t>173.10</t>
  </si>
  <si>
    <t>BR.11</t>
  </si>
  <si>
    <t>173.11</t>
  </si>
  <si>
    <t>BR.12</t>
  </si>
  <si>
    <t>173.12</t>
  </si>
  <si>
    <t>BR.13</t>
  </si>
  <si>
    <t>173.13</t>
  </si>
  <si>
    <t>BR.14</t>
  </si>
  <si>
    <t>173.14</t>
  </si>
  <si>
    <t>BX</t>
  </si>
  <si>
    <r>
      <rPr>
        <sz val="11"/>
        <color theme="1"/>
        <rFont val="Calibri"/>
        <family val="2"/>
      </rPr>
      <t>50_X</t>
    </r>
    <phoneticPr fontId="0" type="noConversion"/>
  </si>
  <si>
    <r>
      <rPr>
        <sz val="11"/>
        <color theme="1"/>
        <rFont val="Calibri"/>
        <family val="2"/>
      </rPr>
      <t>50_Z</t>
    </r>
    <phoneticPr fontId="0" type="noConversion"/>
  </si>
  <si>
    <r>
      <rPr>
        <sz val="11"/>
        <color theme="1"/>
        <rFont val="Calibri"/>
        <family val="2"/>
      </rPr>
      <t>50_P</t>
    </r>
    <phoneticPr fontId="0" type="noConversion"/>
  </si>
  <si>
    <t>A</t>
  </si>
  <si>
    <t>51</t>
  </si>
  <si>
    <t>CC</t>
  </si>
  <si>
    <t>69</t>
  </si>
  <si>
    <t>O</t>
  </si>
  <si>
    <t>70</t>
  </si>
  <si>
    <t>DA.01</t>
  </si>
  <si>
    <t>142.01</t>
  </si>
  <si>
    <t>DA.02</t>
  </si>
  <si>
    <t>142.02</t>
  </si>
  <si>
    <t>DA.03</t>
  </si>
  <si>
    <t>142.03</t>
  </si>
  <si>
    <t>CZ.1</t>
  </si>
  <si>
    <t>32.01</t>
  </si>
  <si>
    <t>CZ.2</t>
  </si>
  <si>
    <t>32.02</t>
  </si>
  <si>
    <t>CZ.3</t>
  </si>
  <si>
    <t>32.03</t>
  </si>
  <si>
    <t>水口高度</t>
  </si>
  <si>
    <r>
      <rPr>
        <sz val="36"/>
        <color theme="1"/>
        <rFont val="宋体"/>
        <family val="2"/>
      </rPr>
      <t>2#</t>
    </r>
    <phoneticPr fontId="0" type="noConversion"/>
  </si>
  <si>
    <t>ch</t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</si>
  <si>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</si>
  <si>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</si>
  <si>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</si>
  <si>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</si>
  <si>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t>BY.01</t>
  </si>
  <si>
    <t>BY.02</t>
  </si>
  <si>
    <t>BY.03</t>
  </si>
  <si>
    <t>BY.04</t>
  </si>
  <si>
    <t>BY.05</t>
  </si>
  <si>
    <t>BY.06</t>
  </si>
  <si>
    <t>BY.07</t>
  </si>
  <si>
    <t>BY.08</t>
  </si>
  <si>
    <t>BY.09</t>
  </si>
  <si>
    <r>
      <rPr>
        <sz val="11"/>
        <color theme="1"/>
        <rFont val="宋体"/>
        <family val="2"/>
      </rPr>
      <t>GF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</si>
  <si>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</si>
  <si>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Calibri"/>
        <family val="2"/>
      </rPr>
      <t>50_X</t>
    </r>
    <phoneticPr fontId="0" type="noConversion"/>
  </si>
  <si>
    <r>
      <rPr>
        <sz val="11"/>
        <color theme="1"/>
        <rFont val="Calibri"/>
        <family val="2"/>
      </rPr>
      <t>50_Z</t>
    </r>
    <phoneticPr fontId="0" type="noConversion"/>
  </si>
  <si>
    <r>
      <rPr>
        <sz val="11"/>
        <color theme="1"/>
        <rFont val="Calibri"/>
        <family val="2"/>
      </rPr>
      <t>50_P</t>
    </r>
    <phoneticPr fontId="0" type="noConversion"/>
  </si>
  <si>
    <r>
      <rPr>
        <sz val="11"/>
        <color theme="1"/>
        <rFont val="宋体"/>
        <family val="2"/>
      </rPr>
      <t>TXT</t>
    </r>
    <phoneticPr fontId="0" type="noConversion"/>
  </si>
  <si>
    <r>
      <rPr>
        <sz val="11"/>
        <color theme="1"/>
        <rFont val="宋体"/>
        <family val="2"/>
      </rPr>
      <t>数</t>
    </r>
    <phoneticPr fontId="0" type="noConversion"/>
  </si>
  <si>
    <r>
      <rPr>
        <sz val="11"/>
        <color theme="1"/>
        <rFont val="宋体"/>
        <family val="2"/>
      </rPr>
      <t>据</t>
    </r>
    <phoneticPr fontId="0" type="noConversion"/>
  </si>
  <si>
    <r>
      <rPr>
        <b/>
        <sz val="28"/>
        <color theme="1"/>
        <rFont val="宋体"/>
        <family val="3"/>
      </rPr>
      <t>A5_A81 Bottom Cover_1375#_G07_SBC276101A0B</t>
    </r>
    <phoneticPr fontId="0" type="noConversion"/>
  </si>
  <si>
    <r>
      <rPr>
        <sz val="20"/>
        <color theme="1"/>
        <rFont val="宋体"/>
        <family val="2"/>
      </rPr>
      <t>2018/4/1</t>
    </r>
    <phoneticPr fontId="0" type="noConversion"/>
  </si>
  <si>
    <r>
      <rPr>
        <sz val="11"/>
        <color theme="1"/>
        <rFont val="宋体"/>
        <family val="2"/>
      </rPr>
      <t>表示NG</t>
    </r>
    <phoneticPr fontId="0" type="noConversion"/>
  </si>
  <si>
    <r>
      <rPr>
        <sz val="11"/>
        <color theme="1"/>
        <rFont val="宋体"/>
        <family val="2"/>
      </rPr>
      <t>表示特采</t>
    </r>
    <phoneticPr fontId="0" type="noConversion"/>
  </si>
  <si>
    <r>
      <rPr>
        <sz val="11"/>
        <color rgb="FF0000CC"/>
        <rFont val="宋体"/>
        <family val="3"/>
      </rPr>
      <t>差值大于0.05 &amp; 相邻时间段差异〉=公差带30%  用蓝色表示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</si>
  <si>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</si>
  <si>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</si>
  <si>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</si>
  <si>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</si>
  <si>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</si>
  <si>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</si>
  <si>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</si>
  <si>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</si>
  <si>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</si>
  <si>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</si>
  <si>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</si>
  <si>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</si>
  <si>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</si>
  <si>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</si>
  <si>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</si>
  <si>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</si>
  <si>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</si>
  <si>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</si>
  <si>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</si>
  <si>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</si>
  <si>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</si>
  <si>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</si>
  <si>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</si>
  <si>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</si>
  <si>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</si>
  <si>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</si>
  <si>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</si>
  <si>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</si>
  <si>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</si>
  <si>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</si>
  <si>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</si>
  <si>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</si>
  <si>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</si>
  <si>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特采上限</t>
    </r>
    <phoneticPr fontId="0" type="noConversion"/>
  </si>
  <si>
    <r>
      <rPr>
        <sz val="11"/>
        <color theme="1"/>
        <rFont val="宋体"/>
        <family val="2"/>
      </rPr>
      <t>特采下限</t>
    </r>
    <phoneticPr fontId="0" type="noConversion"/>
  </si>
  <si>
    <r>
      <rPr>
        <sz val="36"/>
        <color theme="1"/>
        <rFont val="宋体"/>
        <family val="2"/>
      </rPr>
      <t>1#</t>
    </r>
    <phoneticPr fontId="0" type="noConversion"/>
  </si>
  <si>
    <r>
      <rPr>
        <sz val="11"/>
        <color theme="1"/>
        <rFont val="宋体"/>
        <family val="2"/>
      </rPr>
      <t>CH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</si>
  <si>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</si>
  <si>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</si>
  <si>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</si>
  <si>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</si>
  <si>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BY.01</t>
    </r>
    <phoneticPr fontId="0" type="noConversion"/>
  </si>
  <si>
    <r>
      <rPr>
        <sz val="11"/>
        <color theme="1"/>
        <rFont val="宋体"/>
        <family val="2"/>
      </rPr>
      <t>BY.02</t>
    </r>
    <phoneticPr fontId="0" type="noConversion"/>
  </si>
  <si>
    <r>
      <rPr>
        <sz val="11"/>
        <color theme="1"/>
        <rFont val="宋体"/>
        <family val="2"/>
      </rPr>
      <t>BY.03</t>
    </r>
    <phoneticPr fontId="0" type="noConversion"/>
  </si>
  <si>
    <r>
      <rPr>
        <sz val="11"/>
        <color theme="1"/>
        <rFont val="宋体"/>
        <family val="2"/>
      </rPr>
      <t>BY.04</t>
    </r>
    <phoneticPr fontId="0" type="noConversion"/>
  </si>
  <si>
    <r>
      <rPr>
        <sz val="11"/>
        <color theme="1"/>
        <rFont val="宋体"/>
        <family val="2"/>
      </rPr>
      <t>BY.05</t>
    </r>
    <phoneticPr fontId="0" type="noConversion"/>
  </si>
  <si>
    <r>
      <rPr>
        <sz val="11"/>
        <color theme="1"/>
        <rFont val="宋体"/>
        <family val="2"/>
      </rPr>
      <t>BY.06</t>
    </r>
    <phoneticPr fontId="0" type="noConversion"/>
  </si>
  <si>
    <r>
      <rPr>
        <sz val="11"/>
        <color theme="1"/>
        <rFont val="宋体"/>
        <family val="2"/>
      </rPr>
      <t>BY.07</t>
    </r>
    <phoneticPr fontId="0" type="noConversion"/>
  </si>
  <si>
    <r>
      <rPr>
        <sz val="11"/>
        <color theme="1"/>
        <rFont val="宋体"/>
        <family val="2"/>
      </rPr>
      <t>BY.08</t>
    </r>
    <phoneticPr fontId="0" type="noConversion"/>
  </si>
  <si>
    <r>
      <rPr>
        <sz val="11"/>
        <color theme="1"/>
        <rFont val="宋体"/>
        <family val="2"/>
      </rPr>
      <t>BY.09</t>
    </r>
    <phoneticPr fontId="0" type="noConversion"/>
  </si>
  <si>
    <r>
      <rPr>
        <sz val="11"/>
        <color theme="1"/>
        <rFont val="宋体"/>
        <family val="2"/>
      </rPr>
      <t>GF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</si>
  <si>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</si>
  <si>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Calibri"/>
        <family val="2"/>
      </rPr>
      <t>50_X</t>
    </r>
    <phoneticPr fontId="0" type="noConversion"/>
  </si>
  <si>
    <r>
      <rPr>
        <sz val="11"/>
        <color theme="1"/>
        <rFont val="Calibri"/>
        <family val="2"/>
      </rPr>
      <t>50_Z</t>
    </r>
    <phoneticPr fontId="0" type="noConversion"/>
  </si>
  <si>
    <r>
      <rPr>
        <sz val="11"/>
        <color theme="1"/>
        <rFont val="Calibri"/>
        <family val="2"/>
      </rPr>
      <t>50_P</t>
    </r>
    <phoneticPr fontId="0" type="noConversion"/>
  </si>
  <si>
    <r>
      <rPr>
        <sz val="36"/>
        <color theme="1"/>
        <rFont val="宋体"/>
        <family val="2"/>
      </rPr>
      <t>2#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</si>
  <si>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</si>
  <si>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</si>
  <si>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</si>
  <si>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</si>
  <si>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GF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</si>
  <si>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</si>
  <si>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Calibri"/>
        <family val="2"/>
      </rPr>
      <t>50_X</t>
    </r>
    <phoneticPr fontId="0" type="noConversion"/>
  </si>
  <si>
    <r>
      <rPr>
        <sz val="11"/>
        <color theme="1"/>
        <rFont val="Calibri"/>
        <family val="2"/>
      </rPr>
      <t>50_Z</t>
    </r>
    <phoneticPr fontId="0" type="noConversion"/>
  </si>
  <si>
    <r>
      <rPr>
        <sz val="11"/>
        <color theme="1"/>
        <rFont val="Calibri"/>
        <family val="2"/>
      </rPr>
      <t>50_P</t>
    </r>
    <phoneticPr fontId="0" type="noConversion"/>
  </si>
  <si>
    <r>
      <rPr>
        <sz val="11"/>
        <color theme="1"/>
        <rFont val="宋体"/>
        <family val="2"/>
      </rPr>
      <t>TXT</t>
    </r>
    <phoneticPr fontId="0" type="noConversion"/>
  </si>
  <si>
    <r>
      <rPr>
        <sz val="11"/>
        <color theme="1"/>
        <rFont val="宋体"/>
        <family val="2"/>
      </rPr>
      <t>数</t>
    </r>
    <phoneticPr fontId="0" type="noConversion"/>
  </si>
  <si>
    <r>
      <rPr>
        <sz val="11"/>
        <color theme="1"/>
        <rFont val="宋体"/>
        <family val="2"/>
      </rPr>
      <t>据</t>
    </r>
    <phoneticPr fontId="0" type="noConversion"/>
  </si>
  <si>
    <r>
      <rPr>
        <b/>
        <sz val="28"/>
        <color theme="1"/>
        <rFont val="宋体"/>
        <family val="3"/>
      </rPr>
      <t>A5_A81 Bottom Cover_</t>
    </r>
    <r>
      <rPr>
        <b/>
        <sz val="28"/>
        <color rgb="FFFF0000"/>
        <rFont val="宋体"/>
        <family val="3"/>
      </rPr>
      <t>1361</t>
    </r>
    <r>
      <rPr>
        <b/>
        <sz val="28"/>
        <color theme="1"/>
        <rFont val="宋体"/>
        <family val="3"/>
      </rPr>
      <t>#_</t>
    </r>
    <r>
      <rPr>
        <b/>
        <sz val="28"/>
        <color rgb="FFFF0000"/>
        <rFont val="宋体"/>
        <family val="3"/>
      </rPr>
      <t>G02</t>
    </r>
    <r>
      <rPr>
        <b/>
        <sz val="28"/>
        <color theme="1"/>
        <rFont val="宋体"/>
        <family val="3"/>
      </rPr>
      <t>_SBC276101A0B</t>
    </r>
  </si>
  <si>
    <r>
      <rPr>
        <sz val="20"/>
        <color theme="1"/>
        <rFont val="宋体"/>
        <family val="3"/>
      </rPr>
      <t>2018/4/1</t>
    </r>
    <phoneticPr fontId="0" type="noConversion"/>
  </si>
  <si>
    <t>2019/6/27</t>
  </si>
  <si>
    <r>
      <rPr>
        <sz val="11"/>
        <color theme="1"/>
        <rFont val="宋体"/>
        <family val="2"/>
      </rPr>
      <t>表示NG</t>
    </r>
    <phoneticPr fontId="0" type="noConversion"/>
  </si>
  <si>
    <r>
      <rPr>
        <sz val="11"/>
        <color theme="1"/>
        <rFont val="宋体"/>
        <family val="2"/>
      </rPr>
      <t>表示特采</t>
    </r>
    <phoneticPr fontId="0" type="noConversion"/>
  </si>
  <si>
    <r>
      <rPr>
        <sz val="11"/>
        <color rgb="FF0000CC"/>
        <rFont val="宋体"/>
        <family val="3"/>
      </rPr>
      <t>差值大于0.05 &amp; 相邻时间段差异〉=公差带30%  用蓝色表示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</si>
  <si>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</si>
  <si>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</si>
  <si>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</si>
  <si>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</si>
  <si>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</si>
  <si>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</si>
  <si>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</si>
  <si>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</si>
  <si>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</si>
  <si>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</si>
  <si>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</si>
  <si>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</si>
  <si>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</si>
  <si>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</si>
  <si>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</si>
  <si>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</si>
  <si>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</si>
  <si>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</si>
  <si>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</si>
  <si>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</si>
  <si>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</si>
  <si>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</si>
  <si>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</si>
  <si>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</si>
  <si>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</si>
  <si>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</si>
  <si>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</si>
  <si>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</si>
  <si>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</si>
  <si>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</si>
  <si>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</si>
  <si>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</si>
  <si>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</si>
  <si>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</si>
  <si>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</si>
  <si>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</si>
  <si>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特采上限</t>
    </r>
    <phoneticPr fontId="0" type="noConversion"/>
  </si>
  <si>
    <r>
      <rPr>
        <sz val="11"/>
        <color theme="1"/>
        <rFont val="宋体"/>
        <family val="2"/>
      </rPr>
      <t>特采下限</t>
    </r>
    <phoneticPr fontId="0" type="noConversion"/>
  </si>
  <si>
    <r>
      <rPr>
        <sz val="36"/>
        <color theme="1"/>
        <rFont val="宋体"/>
        <family val="2"/>
      </rPr>
      <t>1#</t>
    </r>
    <phoneticPr fontId="0" type="noConversion"/>
  </si>
  <si>
    <r>
      <rPr>
        <sz val="11"/>
        <color theme="1"/>
        <rFont val="宋体"/>
        <family val="2"/>
      </rPr>
      <t>CH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</si>
  <si>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</si>
  <si>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</si>
  <si>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</si>
  <si>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</si>
  <si>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BY.01</t>
    </r>
    <phoneticPr fontId="0" type="noConversion"/>
  </si>
  <si>
    <r>
      <rPr>
        <sz val="11"/>
        <color theme="1"/>
        <rFont val="宋体"/>
        <family val="2"/>
      </rPr>
      <t>BY.02</t>
    </r>
    <phoneticPr fontId="0" type="noConversion"/>
  </si>
  <si>
    <r>
      <rPr>
        <sz val="11"/>
        <color theme="1"/>
        <rFont val="宋体"/>
        <family val="2"/>
      </rPr>
      <t>BY.03</t>
    </r>
    <phoneticPr fontId="0" type="noConversion"/>
  </si>
  <si>
    <r>
      <rPr>
        <sz val="11"/>
        <color theme="1"/>
        <rFont val="宋体"/>
        <family val="2"/>
      </rPr>
      <t>BY.04</t>
    </r>
    <phoneticPr fontId="0" type="noConversion"/>
  </si>
  <si>
    <r>
      <rPr>
        <sz val="11"/>
        <color theme="1"/>
        <rFont val="宋体"/>
        <family val="2"/>
      </rPr>
      <t>BY.05</t>
    </r>
    <phoneticPr fontId="0" type="noConversion"/>
  </si>
  <si>
    <r>
      <rPr>
        <sz val="11"/>
        <color theme="1"/>
        <rFont val="宋体"/>
        <family val="2"/>
      </rPr>
      <t>BY.06</t>
    </r>
    <phoneticPr fontId="0" type="noConversion"/>
  </si>
  <si>
    <r>
      <rPr>
        <sz val="11"/>
        <color theme="1"/>
        <rFont val="宋体"/>
        <family val="2"/>
      </rPr>
      <t>BY.07</t>
    </r>
    <phoneticPr fontId="0" type="noConversion"/>
  </si>
  <si>
    <r>
      <rPr>
        <sz val="11"/>
        <color theme="1"/>
        <rFont val="宋体"/>
        <family val="2"/>
      </rPr>
      <t>BY.08</t>
    </r>
    <phoneticPr fontId="0" type="noConversion"/>
  </si>
  <si>
    <r>
      <rPr>
        <sz val="11"/>
        <color theme="1"/>
        <rFont val="宋体"/>
        <family val="2"/>
      </rPr>
      <t>BY.09</t>
    </r>
    <phoneticPr fontId="0" type="noConversion"/>
  </si>
  <si>
    <r>
      <rPr>
        <sz val="11"/>
        <color theme="1"/>
        <rFont val="宋体"/>
        <family val="2"/>
      </rPr>
      <t>GF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</si>
  <si>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</si>
  <si>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Calibri"/>
        <family val="2"/>
      </rPr>
      <t>50_X</t>
    </r>
    <phoneticPr fontId="0" type="noConversion"/>
  </si>
  <si>
    <r>
      <rPr>
        <sz val="11"/>
        <color theme="1"/>
        <rFont val="Calibri"/>
        <family val="2"/>
      </rPr>
      <t>50_Z</t>
    </r>
    <phoneticPr fontId="0" type="noConversion"/>
  </si>
  <si>
    <r>
      <rPr>
        <sz val="11"/>
        <color theme="1"/>
        <rFont val="Calibri"/>
        <family val="2"/>
      </rPr>
      <t>50_P</t>
    </r>
    <phoneticPr fontId="0" type="noConversion"/>
  </si>
  <si>
    <r>
      <rPr>
        <sz val="36"/>
        <color theme="1"/>
        <rFont val="宋体"/>
        <family val="2"/>
      </rPr>
      <t>2#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</si>
  <si>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</si>
  <si>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</si>
  <si>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</si>
  <si>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</si>
  <si>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GF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</si>
  <si>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</si>
  <si>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Calibri"/>
        <family val="2"/>
      </rPr>
      <t>50_X</t>
    </r>
    <phoneticPr fontId="0" type="noConversion"/>
  </si>
  <si>
    <r>
      <rPr>
        <sz val="11"/>
        <color theme="1"/>
        <rFont val="Calibri"/>
        <family val="2"/>
      </rPr>
      <t>50_Z</t>
    </r>
    <phoneticPr fontId="0" type="noConversion"/>
  </si>
  <si>
    <r>
      <rPr>
        <sz val="11"/>
        <color theme="1"/>
        <rFont val="Calibri"/>
        <family val="2"/>
      </rPr>
      <t>50_P</t>
    </r>
    <phoneticPr fontId="0" type="noConversion"/>
  </si>
  <si>
    <r>
      <rPr>
        <sz val="11"/>
        <color theme="1"/>
        <rFont val="宋体"/>
        <family val="2"/>
      </rPr>
      <t>TXT</t>
    </r>
    <phoneticPr fontId="0" type="noConversion"/>
  </si>
  <si>
    <r>
      <rPr>
        <sz val="11"/>
        <color theme="1"/>
        <rFont val="宋体"/>
        <family val="2"/>
      </rPr>
      <t>数</t>
    </r>
    <phoneticPr fontId="0" type="noConversion"/>
  </si>
  <si>
    <r>
      <rPr>
        <sz val="11"/>
        <color theme="1"/>
        <rFont val="宋体"/>
        <family val="2"/>
      </rPr>
      <t>据</t>
    </r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</si>
</sst>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_ "/>
    <numFmt numFmtId="165" formatCode="0.00_ "/>
    <numFmt numFmtId="166" formatCode="0.00_);[Red]\(0.00\)"/>
    <numFmt numFmtId="167" formatCode="0.000_);[Red]\(0.000\)"/>
  </numFmts>
  <fonts count="23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宋体"/>
      <family val="2"/>
    </font>
    <font>
      <sz val="36"/>
      <color theme="1"/>
      <name val="宋体"/>
      <family val="2"/>
    </font>
    <font>
      <b/>
      <sz val="28"/>
      <color theme="1"/>
      <name val="宋体"/>
      <family val="3"/>
      <charset val="134"/>
    </font>
    <font>
      <sz val="20"/>
      <color theme="1"/>
      <name val="宋体"/>
      <family val="2"/>
    </font>
    <font>
      <sz val="20"/>
      <color theme="1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4"/>
      <color theme="1"/>
      <name val="新細明體"/>
      <family val="1"/>
    </font>
    <font>
      <b/>
      <sz val="28"/>
      <color theme="1"/>
      <name val="宋体"/>
      <family val="3"/>
    </font>
    <font>
      <sz val="11"/>
      <color rgb="FF0000CC"/>
      <name val="宋体"/>
      <family val="2"/>
    </font>
    <font>
      <sz val="11"/>
      <color rgb="FF0000CC"/>
      <name val="宋体"/>
      <family val="3"/>
    </font>
    <font>
      <b/>
      <sz val="9"/>
      <color rgb="FF000000"/>
      <name val="宋体"/>
      <family val="3"/>
    </font>
    <font>
      <sz val="9"/>
      <color rgb="FF000000"/>
      <name val="宋体"/>
      <family val="3"/>
    </font>
    <font>
      <sz val="20"/>
      <color theme="1"/>
      <name val="宋体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宋体"/>
      <family val="2"/>
    </font>
    <font>
      <b/>
      <sz val="9"/>
      <color rgb="FF000000"/>
      <name val="宋体"/>
      <family val="2"/>
    </font>
    <font>
      <sz val="11"/>
      <color theme="1"/>
      <name val="Calibri"/>
      <family val="2"/>
    </font>
    <font>
      <b/>
      <sz val="28"/>
      <color rgb="FFFF0000"/>
      <name val="宋体"/>
      <family val="3"/>
    </font>
  </fonts>
  <fills count="13">
    <fill>
      <patternFill patternType="none"/>
    </fill>
    <fill>
      <patternFill patternType="gray125"/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49" fontId="8" fillId="3" borderId="27" xfId="0" applyNumberFormat="1" applyFont="1" applyFill="1" applyBorder="1" applyAlignment="1" applyProtection="1">
      <alignment horizontal="center" vertical="center"/>
    </xf>
    <xf numFmtId="49" fontId="8" fillId="3" borderId="26" xfId="0" applyNumberFormat="1" applyFont="1" applyFill="1" applyBorder="1" applyAlignment="1" applyProtection="1">
      <alignment horizontal="center" vertical="center"/>
    </xf>
    <xf numFmtId="49" fontId="8" fillId="3" borderId="25" xfId="0" applyNumberFormat="1" applyFont="1" applyFill="1" applyBorder="1" applyAlignment="1" applyProtection="1">
      <alignment horizontal="center" vertical="center"/>
    </xf>
    <xf numFmtId="49" fontId="7" fillId="6" borderId="25" xfId="0" applyNumberFormat="1" applyFont="1" applyFill="1" applyBorder="1" applyAlignment="1" applyProtection="1">
      <alignment horizontal="center" vertical="center"/>
    </xf>
    <xf numFmtId="0" fontId="6" fillId="0" borderId="24" xfId="0" applyNumberFormat="1" applyFont="1" applyFill="1" applyBorder="1" applyAlignment="1" applyProtection="1">
      <alignment horizontal="center" vertical="center" wrapText="1"/>
    </xf>
    <xf numFmtId="0" fontId="6" fillId="0" borderId="14" xfId="0" applyNumberFormat="1" applyFont="1" applyFill="1" applyBorder="1" applyAlignment="1" applyProtection="1">
      <alignment horizontal="center" vertical="center" wrapText="1"/>
    </xf>
    <xf numFmtId="0" fontId="6" fillId="0" borderId="23" xfId="0" applyNumberFormat="1" applyFont="1" applyFill="1" applyBorder="1" applyAlignment="1" applyProtection="1">
      <alignment horizontal="center" vertical="center" wrapText="1"/>
    </xf>
    <xf numFmtId="0" fontId="6" fillId="0" borderId="22" xfId="0" applyNumberFormat="1" applyFont="1" applyFill="1" applyBorder="1" applyAlignment="1" applyProtection="1">
      <alignment horizontal="center" vertical="center" wrapText="1"/>
    </xf>
    <xf numFmtId="0" fontId="6" fillId="0" borderId="10" xfId="0" applyNumberFormat="1" applyFont="1" applyFill="1" applyBorder="1" applyAlignment="1" applyProtection="1">
      <alignment horizontal="center" vertical="center" wrapText="1"/>
    </xf>
    <xf numFmtId="0" fontId="6" fillId="0" borderId="21" xfId="0" applyNumberFormat="1" applyFont="1" applyFill="1" applyBorder="1" applyAlignment="1" applyProtection="1">
      <alignment horizontal="center" vertical="center" wrapText="1"/>
    </xf>
    <xf numFmtId="0" fontId="2" fillId="5" borderId="18" xfId="0" applyNumberFormat="1" applyFont="1" applyFill="1" applyBorder="1" applyAlignment="1" applyProtection="1">
      <alignment horizontal="center" vertical="center"/>
    </xf>
    <xf numFmtId="0" fontId="2" fillId="5" borderId="6" xfId="0" applyNumberFormat="1" applyFont="1" applyFill="1" applyBorder="1" applyAlignment="1" applyProtection="1">
      <alignment horizontal="center" vertical="center"/>
    </xf>
    <xf numFmtId="0" fontId="2" fillId="5" borderId="3" xfId="0" applyNumberFormat="1" applyFont="1" applyFill="1" applyBorder="1" applyAlignment="1" applyProtection="1">
      <alignment horizontal="center" vertical="center"/>
    </xf>
    <xf numFmtId="49" fontId="8" fillId="6" borderId="27" xfId="0" applyNumberFormat="1" applyFont="1" applyFill="1" applyBorder="1" applyAlignment="1" applyProtection="1">
      <alignment horizontal="center" vertical="center"/>
    </xf>
    <xf numFmtId="49" fontId="8" fillId="6" borderId="26" xfId="0" applyNumberFormat="1" applyFont="1" applyFill="1" applyBorder="1" applyAlignment="1" applyProtection="1">
      <alignment horizontal="center" vertical="center"/>
    </xf>
    <xf numFmtId="49" fontId="8" fillId="6" borderId="25" xfId="0" applyNumberFormat="1" applyFont="1" applyFill="1" applyBorder="1" applyAlignment="1" applyProtection="1">
      <alignment horizontal="center" vertical="center"/>
    </xf>
    <xf numFmtId="0" fontId="2" fillId="7" borderId="8" xfId="0" applyNumberFormat="1" applyFont="1" applyFill="1" applyBorder="1" applyAlignment="1" applyProtection="1">
      <alignment horizontal="center" vertical="center"/>
    </xf>
    <xf numFmtId="0" fontId="2" fillId="7" borderId="18" xfId="0" applyNumberFormat="1" applyFont="1" applyFill="1" applyBorder="1" applyAlignment="1" applyProtection="1">
      <alignment horizontal="center" vertical="center"/>
    </xf>
    <xf numFmtId="0" fontId="2" fillId="7" borderId="6" xfId="0" applyNumberFormat="1" applyFont="1" applyFill="1" applyBorder="1" applyAlignment="1" applyProtection="1">
      <alignment horizontal="center" vertical="center"/>
    </xf>
    <xf numFmtId="0" fontId="2" fillId="7" borderId="3" xfId="0" applyNumberFormat="1" applyFont="1" applyFill="1" applyBorder="1" applyAlignment="1" applyProtection="1">
      <alignment horizontal="center" vertical="center"/>
    </xf>
    <xf numFmtId="0" fontId="0" fillId="0" borderId="29" xfId="0" applyNumberFormat="1" applyFill="1" applyBorder="1" applyAlignment="1" applyProtection="1">
      <alignment horizontal="center"/>
    </xf>
    <xf numFmtId="0" fontId="0" fillId="0" borderId="30" xfId="0" applyNumberFormat="1" applyFill="1" applyBorder="1" applyAlignment="1" applyProtection="1">
      <alignment horizontal="center"/>
    </xf>
    <xf numFmtId="0" fontId="0" fillId="0" borderId="28" xfId="0" applyNumberFormat="1" applyFill="1" applyBorder="1" applyAlignment="1" applyProtection="1">
      <alignment horizontal="center"/>
    </xf>
    <xf numFmtId="0" fontId="0" fillId="0" borderId="11" xfId="0" applyNumberFormat="1" applyFill="1" applyBorder="1" applyAlignment="1" applyProtection="1">
      <alignment horizontal="center"/>
    </xf>
    <xf numFmtId="49" fontId="0" fillId="0" borderId="2" xfId="0" applyNumberFormat="1" applyFill="1" applyBorder="1" applyAlignment="1" applyProtection="1">
      <alignment horizontal="center"/>
    </xf>
    <xf numFmtId="49" fontId="0" fillId="0" borderId="4" xfId="0" applyNumberFormat="1" applyFill="1" applyBorder="1" applyAlignment="1" applyProtection="1">
      <alignment horizontal="center"/>
    </xf>
    <xf numFmtId="164" fontId="0" fillId="0" borderId="4" xfId="0" applyNumberFormat="1" applyFill="1" applyBorder="1" applyAlignment="1" applyProtection="1">
      <alignment horizontal="center"/>
    </xf>
    <xf numFmtId="164" fontId="0" fillId="0" borderId="5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/>
    </xf>
    <xf numFmtId="164" fontId="0" fillId="0" borderId="7" xfId="0" applyNumberFormat="1" applyFill="1" applyBorder="1" applyAlignment="1" applyProtection="1">
      <alignment horizontal="center"/>
    </xf>
    <xf numFmtId="164" fontId="0" fillId="0" borderId="2" xfId="0" applyNumberFormat="1" applyFill="1" applyBorder="1" applyAlignment="1" applyProtection="1">
      <alignment horizontal="center"/>
    </xf>
    <xf numFmtId="164" fontId="0" fillId="0" borderId="9" xfId="0" applyNumberFormat="1" applyFill="1" applyBorder="1" applyAlignment="1" applyProtection="1">
      <alignment horizontal="center"/>
    </xf>
    <xf numFmtId="165" fontId="0" fillId="0" borderId="4" xfId="0" applyNumberFormat="1" applyFill="1" applyBorder="1" applyAlignment="1" applyProtection="1">
      <alignment horizontal="center"/>
    </xf>
    <xf numFmtId="165" fontId="0" fillId="0" borderId="1" xfId="0" applyNumberFormat="1" applyFill="1" applyBorder="1" applyAlignment="1" applyProtection="1">
      <alignment horizontal="center"/>
    </xf>
    <xf numFmtId="165" fontId="0" fillId="0" borderId="2" xfId="0" applyNumberFormat="1" applyFill="1" applyBorder="1" applyAlignment="1" applyProtection="1">
      <alignment horizontal="center"/>
    </xf>
    <xf numFmtId="166" fontId="0" fillId="0" borderId="4" xfId="0" applyNumberFormat="1" applyFill="1" applyBorder="1" applyAlignment="1" applyProtection="1">
      <alignment horizontal="center"/>
    </xf>
    <xf numFmtId="166" fontId="0" fillId="0" borderId="1" xfId="0" applyNumberFormat="1" applyFill="1" applyBorder="1" applyAlignment="1" applyProtection="1">
      <alignment horizont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49" fontId="0" fillId="0" borderId="12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8" xfId="0" applyNumberFormat="1" applyFill="1" applyBorder="1" applyAlignment="1" applyProtection="1">
      <alignment horizontal="center" vertical="center"/>
    </xf>
    <xf numFmtId="0" fontId="0" fillId="0" borderId="2" xfId="0" applyNumberFormat="1" applyFill="1" applyBorder="1" applyAlignment="1" applyProtection="1">
      <alignment horizontal="center" vertical="center"/>
    </xf>
    <xf numFmtId="49" fontId="0" fillId="0" borderId="2" xfId="0" applyNumberFormat="1" applyFill="1" applyBorder="1" applyAlignment="1" applyProtection="1">
      <alignment horizontal="center" vertical="center"/>
    </xf>
    <xf numFmtId="0" fontId="0" fillId="0" borderId="9" xfId="0" applyNumberFormat="1" applyFill="1" applyBorder="1" applyAlignment="1" applyProtection="1">
      <alignment horizontal="center" vertical="center"/>
    </xf>
    <xf numFmtId="0" fontId="3" fillId="0" borderId="14" xfId="0" applyNumberFormat="1" applyFont="1" applyFill="1" applyBorder="1" applyAlignment="1" applyProtection="1">
      <alignment horizontal="center"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/>
    </xf>
    <xf numFmtId="164" fontId="0" fillId="0" borderId="17" xfId="0" applyNumberFormat="1" applyFill="1" applyBorder="1" applyAlignment="1" applyProtection="1">
      <alignment horizontal="center"/>
    </xf>
    <xf numFmtId="164" fontId="0" fillId="0" borderId="16" xfId="0" applyNumberFormat="1" applyFill="1" applyBorder="1" applyAlignment="1" applyProtection="1">
      <alignment horizontal="center"/>
    </xf>
    <xf numFmtId="166" fontId="0" fillId="0" borderId="2" xfId="0" applyNumberFormat="1" applyFill="1" applyBorder="1" applyAlignment="1" applyProtection="1">
      <alignment horizontal="center"/>
    </xf>
    <xf numFmtId="0" fontId="0" fillId="0" borderId="29" xfId="0" applyNumberFormat="1" applyFill="1" applyBorder="1" applyAlignment="1" applyProtection="1">
      <alignment horizontal="center" vertical="center"/>
    </xf>
    <xf numFmtId="165" fontId="0" fillId="0" borderId="19" xfId="0" applyNumberFormat="1" applyFill="1" applyBorder="1" applyAlignment="1" applyProtection="1">
      <alignment horizontal="center"/>
    </xf>
    <xf numFmtId="49" fontId="0" fillId="0" borderId="19" xfId="0" applyNumberFormat="1" applyFill="1" applyBorder="1" applyAlignment="1" applyProtection="1">
      <alignment horizontal="center"/>
    </xf>
    <xf numFmtId="166" fontId="0" fillId="0" borderId="19" xfId="0" applyNumberFormat="1" applyFill="1" applyBorder="1" applyAlignment="1" applyProtection="1">
      <alignment horizontal="center"/>
    </xf>
    <xf numFmtId="164" fontId="0" fillId="0" borderId="19" xfId="0" applyNumberFormat="1" applyFill="1" applyBorder="1" applyAlignment="1" applyProtection="1">
      <alignment horizontal="center"/>
    </xf>
    <xf numFmtId="164" fontId="0" fillId="0" borderId="20" xfId="0" applyNumberFormat="1" applyFill="1" applyBorder="1" applyAlignment="1" applyProtection="1">
      <alignment horizontal="center"/>
    </xf>
    <xf numFmtId="164" fontId="9" fillId="0" borderId="1" xfId="0" applyNumberFormat="1" applyFont="1" applyFill="1" applyBorder="1" applyAlignment="1" applyProtection="1">
      <alignment horizontal="center"/>
    </xf>
    <xf numFmtId="164" fontId="0" fillId="0" borderId="31" xfId="0" applyNumberFormat="1" applyFill="1" applyBorder="1" applyAlignment="1" applyProtection="1">
      <alignment horizontal="center"/>
    </xf>
    <xf numFmtId="0" fontId="12" fillId="0" borderId="12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0" fontId="0" fillId="2" borderId="12" xfId="0" applyNumberFormat="1" applyFill="1" applyBorder="1" applyAlignment="1" applyProtection="1">
      <alignment horizontal="center" vertical="center"/>
    </xf>
    <xf numFmtId="0" fontId="0" fillId="3" borderId="12" xfId="0" applyNumberFormat="1" applyFill="1" applyBorder="1" applyAlignment="1" applyProtection="1">
      <alignment horizontal="center" vertical="center"/>
    </xf>
    <xf numFmtId="49" fontId="0" fillId="4" borderId="3" xfId="0" applyNumberFormat="1" applyFill="1" applyBorder="1" applyAlignment="1" applyProtection="1">
      <alignment horizontal="center" vertical="center"/>
    </xf>
    <xf numFmtId="49" fontId="0" fillId="4" borderId="4" xfId="0" applyNumberFormat="1" applyFill="1" applyBorder="1" applyAlignment="1" applyProtection="1">
      <alignment horizontal="center" vertical="center"/>
    </xf>
    <xf numFmtId="49" fontId="0" fillId="4" borderId="5" xfId="0" applyNumberFormat="1" applyFill="1" applyBorder="1" applyAlignment="1" applyProtection="1">
      <alignment horizontal="center" vertical="center"/>
    </xf>
    <xf numFmtId="0" fontId="0" fillId="3" borderId="2" xfId="0" applyNumberFormat="1" applyFill="1" applyBorder="1" applyAlignment="1" applyProtection="1">
      <alignment horizontal="center" vertical="center"/>
    </xf>
    <xf numFmtId="0" fontId="0" fillId="4" borderId="18" xfId="0" applyNumberFormat="1" applyFill="1" applyBorder="1" applyAlignment="1" applyProtection="1">
      <alignment horizontal="center" vertical="center"/>
    </xf>
    <xf numFmtId="0" fontId="0" fillId="4" borderId="19" xfId="0" applyNumberFormat="1" applyFill="1" applyBorder="1" applyAlignment="1" applyProtection="1">
      <alignment horizontal="center" vertical="center"/>
    </xf>
    <xf numFmtId="0" fontId="0" fillId="4" borderId="20" xfId="0" applyNumberFormat="1" applyFill="1" applyBorder="1" applyAlignment="1" applyProtection="1">
      <alignment horizontal="center" vertical="center"/>
    </xf>
    <xf numFmtId="165" fontId="0" fillId="8" borderId="4" xfId="0" applyNumberFormat="1" applyFill="1" applyBorder="1" applyAlignment="1" applyProtection="1">
      <alignment horizontal="center"/>
    </xf>
    <xf numFmtId="165" fontId="0" fillId="8" borderId="1" xfId="0" applyNumberFormat="1" applyFill="1" applyBorder="1" applyAlignment="1" applyProtection="1">
      <alignment horizontal="center"/>
    </xf>
    <xf numFmtId="165" fontId="0" fillId="10" borderId="1" xfId="0" applyNumberFormat="1" applyFill="1" applyBorder="1" applyAlignment="1" applyProtection="1">
      <alignment horizontal="center"/>
    </xf>
    <xf numFmtId="165" fontId="0" fillId="10" borderId="1" xfId="0" applyNumberFormat="1" applyFill="1" applyBorder="1" applyAlignment="1" applyProtection="1">
      <alignment horizontal="center" vertical="center"/>
    </xf>
    <xf numFmtId="165" fontId="0" fillId="11" borderId="1" xfId="0" applyNumberFormat="1" applyFill="1" applyBorder="1" applyAlignment="1" applyProtection="1">
      <alignment horizontal="center"/>
    </xf>
    <xf numFmtId="165" fontId="0" fillId="9" borderId="1" xfId="0" applyNumberFormat="1" applyFill="1" applyBorder="1" applyAlignment="1" applyProtection="1">
      <alignment horizontal="center"/>
    </xf>
    <xf numFmtId="165" fontId="0" fillId="9" borderId="19" xfId="0" applyNumberFormat="1" applyFill="1" applyBorder="1" applyAlignment="1" applyProtection="1">
      <alignment horizontal="center"/>
    </xf>
    <xf numFmtId="165" fontId="0" fillId="11" borderId="19" xfId="0" applyNumberFormat="1" applyFill="1" applyBorder="1" applyAlignment="1" applyProtection="1">
      <alignment horizontal="center"/>
    </xf>
    <xf numFmtId="165" fontId="0" fillId="11" borderId="2" xfId="0" applyNumberFormat="1" applyFill="1" applyBorder="1" applyAlignment="1" applyProtection="1">
      <alignment horizontal="center"/>
    </xf>
    <xf numFmtId="0" fontId="0" fillId="8" borderId="0" xfId="0" applyNumberFormat="1" applyFill="1" applyAlignment="1" applyProtection="1">
      <alignment horizontal="center"/>
    </xf>
    <xf numFmtId="167" fontId="10" fillId="12" borderId="1" xfId="0" applyNumberFormat="1" applyFont="1" applyFill="1" applyBorder="1" applyAlignment="1" applyProtection="1">
      <alignment horizontal="center" vertical="center"/>
    </xf>
    <xf numFmtId="49" fontId="0" fillId="3" borderId="3" xfId="0" applyNumberFormat="1" applyFill="1" applyBorder="1" applyAlignment="1" applyProtection="1">
      <alignment horizontal="center" vertical="center"/>
    </xf>
    <xf numFmtId="49" fontId="0" fillId="3" borderId="4" xfId="0" applyNumberFormat="1" applyFill="1" applyBorder="1" applyAlignment="1" applyProtection="1">
      <alignment horizontal="center" vertical="center"/>
    </xf>
    <xf numFmtId="49" fontId="0" fillId="3" borderId="5" xfId="0" applyNumberFormat="1" applyFill="1" applyBorder="1" applyAlignment="1" applyProtection="1">
      <alignment horizontal="center" vertical="center"/>
    </xf>
    <xf numFmtId="49" fontId="0" fillId="3" borderId="2" xfId="0" applyNumberFormat="1" applyFill="1" applyBorder="1" applyAlignment="1" applyProtection="1">
      <alignment horizontal="center" vertical="center"/>
    </xf>
    <xf numFmtId="0" fontId="0" fillId="8" borderId="2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15">
    <dxf>
      <font>
        <color rgb="FF0000CC"/>
      </font>
      <fill>
        <patternFill patternType="none"/>
      </fill>
    </dxf>
    <dxf>
      <font>
        <color rgb="FF0000CC"/>
      </font>
      <fill>
        <patternFill patternType="none"/>
      </fill>
    </dxf>
    <dxf>
      <fill>
        <patternFill patternType="solid">
          <fgColor auto="1"/>
          <bgColor rgb="FFFFFF00"/>
        </patternFill>
      </fill>
    </dxf>
    <dxf>
      <fill>
        <patternFill patternType="solid">
          <fgColor auto="1"/>
          <bgColor rgb="FFFF66CC"/>
        </patternFill>
      </fill>
    </dxf>
    <dxf>
      <font>
        <color rgb="FF0000CC"/>
      </font>
      <fill>
        <patternFill patternType="none"/>
      </fill>
    </dxf>
    <dxf>
      <fill>
        <patternFill patternType="solid">
          <fgColor auto="1"/>
          <bgColor rgb="FFFFFF00"/>
        </patternFill>
      </fill>
    </dxf>
    <dxf>
      <fill>
        <patternFill patternType="solid">
          <fgColor auto="1"/>
          <bgColor rgb="FFFF66CC"/>
        </patternFill>
      </fill>
    </dxf>
    <dxf>
      <font>
        <color rgb="FF0000CC"/>
      </font>
      <fill>
        <patternFill patternType="none"/>
      </fill>
    </dxf>
    <dxf>
      <font>
        <color rgb="FF0000CC"/>
      </font>
      <fill>
        <patternFill patternType="none"/>
      </fill>
    </dxf>
    <dxf>
      <fill>
        <patternFill patternType="solid">
          <fgColor auto="1"/>
          <bgColor rgb="FFFFFF00"/>
        </patternFill>
      </fill>
    </dxf>
    <dxf>
      <fill>
        <patternFill patternType="solid">
          <fgColor auto="1"/>
          <bgColor rgb="FFFF66CC"/>
        </patternFill>
      </fill>
    </dxf>
    <dxf>
      <font>
        <color rgb="FF0000CC"/>
      </font>
      <fill>
        <patternFill patternType="none"/>
      </fill>
    </dxf>
    <dxf>
      <font>
        <color rgb="FF0000CC"/>
      </font>
      <fill>
        <patternFill patternType="none"/>
      </fill>
    </dxf>
    <dxf>
      <fill>
        <patternFill patternType="solid">
          <fgColor auto="1"/>
          <bgColor rgb="FFFFFF00"/>
        </patternFill>
      </fill>
    </dxf>
    <dxf>
      <fill>
        <patternFill patternType="solid">
          <fgColor auto="1"/>
          <bgColor rgb="FFFF66CC"/>
        </patternFill>
      </fill>
    </dxf>
  </dxfs>
  <tableStyles count="0" defaultTableStyle="TableStyleMedium2" defaultPivotStyle="PivotStyleMedium9"/>
  <colors>
    <mruColors>
      <color rgb="FF0000CC"/>
      <color rgb="FFFFFF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A1:AW266"/>
  <sheetViews>
    <sheetView showGridLines="0" zoomScale="60" zoomScaleNormal="60" workbookViewId="0">
      <pane xSplit="15" ySplit="4" topLeftCell="CZ5" activePane="bottomRight" state="frozenSplit"/>
      <selection activeCell="N116" sqref="N116"/>
      <selection pane="topRight"/>
      <selection pane="bottomLeft"/>
      <selection pane="bottomRight" activeCell="N116" sqref="N116"/>
    </sheetView>
  </sheetViews>
  <sheetFormatPr defaultColWidth="9" defaultRowHeight="14.4"/>
  <cols>
    <col min="1" max="1" width="9.6640625" hidden="1" customWidth="1"/>
    <col min="2" max="2" width="7.109375" customWidth="1"/>
    <col min="3" max="3" width="8.21875" customWidth="1"/>
    <col min="4" max="4" width="8.77734375" customWidth="1"/>
    <col min="5" max="5" width="9.6640625" customWidth="1"/>
    <col min="6" max="15" width="7.88671875" customWidth="1"/>
    <col min="16" max="16" width="0.44140625" customWidth="1"/>
    <col min="17" max="45" width="8.77734375" customWidth="1"/>
    <col min="46" max="46" width="9.6640625" customWidth="1"/>
    <col min="47" max="48" width="8.77734375" customWidth="1"/>
    <col min="49" max="49" width="9.6640625" customWidth="1"/>
    <col min="50" max="50" width="9" customWidth="1"/>
  </cols>
  <sheetData>
    <row r="1" spans="1:49" ht="18" customHeight="1" thickBot="1">
      <c r="A1" s="10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8"/>
      <c r="P1" s="64"/>
    </row>
    <row r="2" spans="1:49" ht="50.1" customHeight="1" thickBot="1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5"/>
      <c r="P2" s="48"/>
      <c r="Q2" s="16" t="s">
        <v>1</v>
      </c>
      <c r="R2" s="15"/>
      <c r="S2" s="14"/>
      <c r="T2" s="16" t="s">
        <v>2</v>
      </c>
      <c r="U2" s="15"/>
      <c r="V2" s="14"/>
      <c r="W2" s="16" t="s">
        <v>3</v>
      </c>
      <c r="X2" s="15"/>
      <c r="Y2" s="14"/>
      <c r="Z2" s="16" t="s">
        <v>4</v>
      </c>
      <c r="AA2" s="15"/>
      <c r="AB2" s="14"/>
      <c r="AC2" s="16" t="s">
        <v>5</v>
      </c>
      <c r="AD2" s="15"/>
      <c r="AE2" s="14"/>
      <c r="AF2" s="16" t="s">
        <v>6</v>
      </c>
      <c r="AG2" s="15"/>
      <c r="AH2" s="14"/>
      <c r="AI2" s="16" t="s">
        <v>7</v>
      </c>
      <c r="AJ2" s="15"/>
      <c r="AK2" s="14"/>
      <c r="AL2" s="16" t="s">
        <v>8</v>
      </c>
      <c r="AM2" s="15"/>
      <c r="AN2" s="14"/>
      <c r="AO2" s="16" t="s">
        <v>9</v>
      </c>
      <c r="AP2" s="15"/>
      <c r="AQ2" s="14"/>
      <c r="AR2" s="16" t="s">
        <v>10</v>
      </c>
      <c r="AS2" s="15"/>
      <c r="AT2" s="14"/>
      <c r="AU2" s="16" t="s">
        <v>11</v>
      </c>
      <c r="AV2" s="15"/>
      <c r="AW2" s="14"/>
    </row>
    <row r="3" spans="1:49" ht="20.100000000000001" customHeight="1">
      <c r="A3" s="39"/>
      <c r="B3" s="39"/>
      <c r="C3" s="65"/>
      <c r="D3" s="40" t="s">
        <v>12</v>
      </c>
      <c r="E3" s="40"/>
      <c r="F3" s="41"/>
      <c r="G3" s="42"/>
      <c r="H3" s="66"/>
      <c r="I3" s="40" t="s">
        <v>13</v>
      </c>
      <c r="J3" s="42"/>
      <c r="K3" s="42"/>
      <c r="M3" s="63" t="s">
        <v>14</v>
      </c>
      <c r="N3" s="40"/>
      <c r="O3" s="43"/>
      <c r="P3" s="49"/>
      <c r="Q3" s="67" t="s">
        <v>15</v>
      </c>
      <c r="R3" s="68" t="s">
        <v>16</v>
      </c>
      <c r="S3" s="69" t="s">
        <v>17</v>
      </c>
      <c r="T3" s="67" t="s">
        <v>18</v>
      </c>
      <c r="U3" s="68" t="s">
        <v>19</v>
      </c>
      <c r="V3" s="69" t="s">
        <v>20</v>
      </c>
      <c r="W3" s="67" t="s">
        <v>21</v>
      </c>
      <c r="X3" s="68" t="s">
        <v>22</v>
      </c>
      <c r="Y3" s="69" t="s">
        <v>23</v>
      </c>
      <c r="Z3" s="67" t="s">
        <v>24</v>
      </c>
      <c r="AA3" s="68" t="s">
        <v>25</v>
      </c>
      <c r="AB3" s="69" t="s">
        <v>26</v>
      </c>
      <c r="AC3" s="67" t="s">
        <v>27</v>
      </c>
      <c r="AD3" s="68" t="s">
        <v>28</v>
      </c>
      <c r="AE3" s="69" t="s">
        <v>29</v>
      </c>
      <c r="AF3" s="67" t="s">
        <v>30</v>
      </c>
      <c r="AG3" s="68" t="s">
        <v>31</v>
      </c>
      <c r="AH3" s="69" t="s">
        <v>32</v>
      </c>
      <c r="AI3" s="67" t="s">
        <v>33</v>
      </c>
      <c r="AJ3" s="68" t="s">
        <v>34</v>
      </c>
      <c r="AK3" s="69" t="s">
        <v>35</v>
      </c>
      <c r="AL3" s="67" t="s">
        <v>36</v>
      </c>
      <c r="AM3" s="68" t="s">
        <v>37</v>
      </c>
      <c r="AN3" s="69" t="s">
        <v>38</v>
      </c>
      <c r="AO3" s="67" t="s">
        <v>39</v>
      </c>
      <c r="AP3" s="68" t="s">
        <v>40</v>
      </c>
      <c r="AQ3" s="69" t="s">
        <v>41</v>
      </c>
      <c r="AR3" s="67" t="s">
        <v>42</v>
      </c>
      <c r="AS3" s="68" t="s">
        <v>43</v>
      </c>
      <c r="AT3" s="69" t="s">
        <v>44</v>
      </c>
      <c r="AU3" s="67" t="s">
        <v>45</v>
      </c>
      <c r="AV3" s="68" t="s">
        <v>46</v>
      </c>
      <c r="AW3" s="69" t="s">
        <v>47</v>
      </c>
    </row>
    <row r="4" spans="1:49" ht="20.100000000000001" customHeight="1" thickBot="1">
      <c r="A4" s="55" t="s">
        <v>48</v>
      </c>
      <c r="B4" s="44" t="s">
        <v>49</v>
      </c>
      <c r="C4" s="45" t="s">
        <v>50</v>
      </c>
      <c r="D4" s="45" t="s">
        <v>51</v>
      </c>
      <c r="E4" s="45" t="s">
        <v>52</v>
      </c>
      <c r="F4" s="46" t="s">
        <v>53</v>
      </c>
      <c r="G4" s="45" t="s">
        <v>54</v>
      </c>
      <c r="H4" s="45" t="s">
        <v>55</v>
      </c>
      <c r="I4" s="45" t="s">
        <v>56</v>
      </c>
      <c r="J4" s="70" t="s">
        <v>57</v>
      </c>
      <c r="K4" s="70" t="s">
        <v>58</v>
      </c>
      <c r="L4" s="45" t="s">
        <v>59</v>
      </c>
      <c r="M4" s="45" t="s">
        <v>60</v>
      </c>
      <c r="N4" s="45" t="s">
        <v>61</v>
      </c>
      <c r="O4" s="47" t="s">
        <v>62</v>
      </c>
      <c r="P4" s="50"/>
      <c r="Q4" s="71" t="s">
        <v>63</v>
      </c>
      <c r="R4" s="72" t="s">
        <v>63</v>
      </c>
      <c r="S4" s="73" t="s">
        <v>63</v>
      </c>
      <c r="T4" s="71" t="s">
        <v>63</v>
      </c>
      <c r="U4" s="72" t="s">
        <v>63</v>
      </c>
      <c r="V4" s="73" t="s">
        <v>63</v>
      </c>
      <c r="W4" s="71" t="s">
        <v>63</v>
      </c>
      <c r="X4" s="72" t="s">
        <v>63</v>
      </c>
      <c r="Y4" s="73" t="s">
        <v>63</v>
      </c>
      <c r="Z4" s="71" t="s">
        <v>63</v>
      </c>
      <c r="AA4" s="72" t="s">
        <v>63</v>
      </c>
      <c r="AB4" s="73" t="s">
        <v>63</v>
      </c>
      <c r="AC4" s="71" t="s">
        <v>63</v>
      </c>
      <c r="AD4" s="72" t="s">
        <v>63</v>
      </c>
      <c r="AE4" s="73" t="s">
        <v>63</v>
      </c>
      <c r="AF4" s="71" t="s">
        <v>63</v>
      </c>
      <c r="AG4" s="72" t="s">
        <v>63</v>
      </c>
      <c r="AH4" s="73" t="s">
        <v>63</v>
      </c>
      <c r="AI4" s="71" t="s">
        <v>63</v>
      </c>
      <c r="AJ4" s="72" t="s">
        <v>63</v>
      </c>
      <c r="AK4" s="73" t="s">
        <v>63</v>
      </c>
      <c r="AL4" s="71" t="s">
        <v>63</v>
      </c>
      <c r="AM4" s="72" t="s">
        <v>63</v>
      </c>
      <c r="AN4" s="73" t="s">
        <v>63</v>
      </c>
      <c r="AO4" s="71" t="s">
        <v>63</v>
      </c>
      <c r="AP4" s="72" t="s">
        <v>63</v>
      </c>
      <c r="AQ4" s="73" t="s">
        <v>63</v>
      </c>
      <c r="AR4" s="71" t="s">
        <v>63</v>
      </c>
      <c r="AS4" s="72" t="s">
        <v>63</v>
      </c>
      <c r="AT4" s="73" t="s">
        <v>63</v>
      </c>
      <c r="AU4" s="71" t="s">
        <v>63</v>
      </c>
      <c r="AV4" s="72" t="s">
        <v>63</v>
      </c>
      <c r="AW4" s="73" t="s">
        <v>63</v>
      </c>
    </row>
    <row r="5" spans="1:49" ht="18" customHeight="1">
      <c r="A5" s="24"/>
      <c r="B5" s="13" t="s">
        <v>64</v>
      </c>
      <c r="C5" s="74" t="s">
        <v>65</v>
      </c>
      <c r="D5" s="34" t="s">
        <v>66</v>
      </c>
      <c r="E5" s="34"/>
      <c r="F5" s="26" t="s">
        <v>67</v>
      </c>
      <c r="G5" s="37">
        <v>80</v>
      </c>
      <c r="H5" s="37">
        <v>0.1</v>
      </c>
      <c r="I5" s="37">
        <v>0.1</v>
      </c>
      <c r="J5" s="37">
        <v>0.2</v>
      </c>
      <c r="K5" s="37">
        <v>0.1</v>
      </c>
      <c r="L5" s="27">
        <f t="shared" ref="L5:L68" si="0">MAX(Q5:AT5)</f>
        <v>80.006</v>
      </c>
      <c r="M5" s="27">
        <f t="shared" ref="M5:M68" si="1">MIN(Q5:AT5)</f>
        <v>79.965999999999994</v>
      </c>
      <c r="N5" s="27">
        <f t="shared" ref="N5:N68" si="2">L5-M5</f>
        <v>4.0000000000006253E-2</v>
      </c>
      <c r="O5" s="28">
        <f t="shared" ref="O5:O68" si="3">AVERAGE(Q5:AT5)</f>
        <v>79.984499999999997</v>
      </c>
      <c r="P5" s="51"/>
      <c r="Q5" s="30">
        <v>79.983000000000004</v>
      </c>
      <c r="R5" s="30">
        <v>79.981999999999999</v>
      </c>
      <c r="S5" s="30">
        <v>79.984999999999999</v>
      </c>
      <c r="T5" s="30">
        <v>79.981999999999999</v>
      </c>
      <c r="U5" s="30">
        <v>79.98</v>
      </c>
      <c r="V5" s="30">
        <v>79.992000000000004</v>
      </c>
      <c r="W5" s="30">
        <v>79.984999999999999</v>
      </c>
      <c r="X5" s="30">
        <v>80.006</v>
      </c>
      <c r="Y5" s="30">
        <v>79.992999999999995</v>
      </c>
      <c r="Z5" s="30">
        <v>79.986999999999995</v>
      </c>
      <c r="AA5" s="30">
        <v>79.989000000000004</v>
      </c>
      <c r="AB5" s="30">
        <v>79.994</v>
      </c>
      <c r="AC5" s="30">
        <v>79.992000000000004</v>
      </c>
      <c r="AD5" s="30">
        <v>79.995999999999995</v>
      </c>
      <c r="AE5" s="30">
        <v>80.001000000000005</v>
      </c>
      <c r="AF5" s="30"/>
      <c r="AG5" s="30"/>
      <c r="AH5" s="30">
        <v>79.978999999999999</v>
      </c>
      <c r="AI5" s="30">
        <v>79.972999999999999</v>
      </c>
      <c r="AJ5" s="30">
        <v>79.992000000000004</v>
      </c>
      <c r="AK5" s="30">
        <v>79.983000000000004</v>
      </c>
      <c r="AL5" s="30">
        <v>79.972999999999999</v>
      </c>
      <c r="AM5" s="30">
        <v>79.975999999999999</v>
      </c>
      <c r="AN5" s="30">
        <v>79.981999999999999</v>
      </c>
      <c r="AO5" s="30">
        <v>79.978999999999999</v>
      </c>
      <c r="AP5" s="30">
        <v>79.98</v>
      </c>
      <c r="AQ5" s="30">
        <v>79.974000000000004</v>
      </c>
      <c r="AR5" s="30">
        <v>79.972999999999999</v>
      </c>
      <c r="AS5" s="30">
        <v>79.989000000000004</v>
      </c>
      <c r="AT5" s="30">
        <v>79.965999999999994</v>
      </c>
      <c r="AU5" s="30">
        <v>79.995999999999995</v>
      </c>
      <c r="AV5" s="30">
        <v>79.995999999999995</v>
      </c>
      <c r="AW5" s="30">
        <v>79.975999999999999</v>
      </c>
    </row>
    <row r="6" spans="1:49" ht="18" customHeight="1">
      <c r="A6" s="23"/>
      <c r="B6" s="12"/>
      <c r="C6" s="75" t="s">
        <v>65</v>
      </c>
      <c r="D6" s="35" t="s">
        <v>68</v>
      </c>
      <c r="E6" s="35"/>
      <c r="F6" s="29" t="s">
        <v>69</v>
      </c>
      <c r="G6" s="38">
        <v>73.31</v>
      </c>
      <c r="H6" s="38">
        <v>0.09</v>
      </c>
      <c r="I6" s="38">
        <v>0.06</v>
      </c>
      <c r="J6" s="38">
        <v>0.09</v>
      </c>
      <c r="K6" s="38">
        <v>0.06</v>
      </c>
      <c r="L6" s="30">
        <f t="shared" si="0"/>
        <v>73.363</v>
      </c>
      <c r="M6" s="30">
        <f t="shared" si="1"/>
        <v>73.335999999999999</v>
      </c>
      <c r="N6" s="30">
        <f t="shared" si="2"/>
        <v>2.7000000000001023E-2</v>
      </c>
      <c r="O6" s="31">
        <f t="shared" si="3"/>
        <v>73.345535714285703</v>
      </c>
      <c r="P6" s="52"/>
      <c r="Q6" s="30">
        <v>73.344999999999999</v>
      </c>
      <c r="R6" s="30">
        <v>73.340999999999994</v>
      </c>
      <c r="S6" s="30">
        <v>73.343000000000004</v>
      </c>
      <c r="T6" s="30">
        <v>73.337000000000003</v>
      </c>
      <c r="U6" s="30">
        <v>73.338999999999999</v>
      </c>
      <c r="V6" s="30">
        <v>73.343999999999994</v>
      </c>
      <c r="W6" s="30">
        <v>73.349000000000004</v>
      </c>
      <c r="X6" s="30">
        <v>73.356999999999999</v>
      </c>
      <c r="Y6" s="30">
        <v>73.355000000000004</v>
      </c>
      <c r="Z6" s="30">
        <v>73.347999999999999</v>
      </c>
      <c r="AA6" s="30">
        <v>73.349000000000004</v>
      </c>
      <c r="AB6" s="30">
        <v>73.361000000000004</v>
      </c>
      <c r="AC6" s="30">
        <v>73.352000000000004</v>
      </c>
      <c r="AD6" s="30">
        <v>73.356999999999999</v>
      </c>
      <c r="AE6" s="30">
        <v>73.363</v>
      </c>
      <c r="AF6" s="30"/>
      <c r="AG6" s="30"/>
      <c r="AH6" s="30">
        <v>73.337999999999994</v>
      </c>
      <c r="AI6" s="30">
        <v>73.34</v>
      </c>
      <c r="AJ6" s="30">
        <v>73.343999999999994</v>
      </c>
      <c r="AK6" s="30">
        <v>73.341999999999999</v>
      </c>
      <c r="AL6" s="30">
        <v>73.34</v>
      </c>
      <c r="AM6" s="30">
        <v>73.341999999999999</v>
      </c>
      <c r="AN6" s="30">
        <v>73.343000000000004</v>
      </c>
      <c r="AO6" s="30">
        <v>73.337000000000003</v>
      </c>
      <c r="AP6" s="30">
        <v>73.343000000000004</v>
      </c>
      <c r="AQ6" s="30">
        <v>73.340999999999994</v>
      </c>
      <c r="AR6" s="30">
        <v>73.34</v>
      </c>
      <c r="AS6" s="30">
        <v>73.349000000000004</v>
      </c>
      <c r="AT6" s="30">
        <v>73.335999999999999</v>
      </c>
      <c r="AU6" s="30">
        <v>73.356999999999999</v>
      </c>
      <c r="AV6" s="30">
        <v>73.355000000000004</v>
      </c>
      <c r="AW6" s="30">
        <v>73.343000000000004</v>
      </c>
    </row>
    <row r="7" spans="1:49" ht="18" customHeight="1">
      <c r="A7" s="23"/>
      <c r="B7" s="12"/>
      <c r="C7" s="75" t="s">
        <v>65</v>
      </c>
      <c r="D7" s="35" t="s">
        <v>70</v>
      </c>
      <c r="E7" s="35"/>
      <c r="F7" s="29" t="s">
        <v>71</v>
      </c>
      <c r="G7" s="38"/>
      <c r="H7" s="38">
        <v>0.08</v>
      </c>
      <c r="I7" s="38"/>
      <c r="J7" s="38">
        <v>0.08</v>
      </c>
      <c r="K7" s="38"/>
      <c r="L7" s="30">
        <f t="shared" si="0"/>
        <v>4.2000000000000003E-2</v>
      </c>
      <c r="M7" s="30">
        <f t="shared" si="1"/>
        <v>2.9000000000000001E-2</v>
      </c>
      <c r="N7" s="30">
        <f t="shared" si="2"/>
        <v>1.3000000000000001E-2</v>
      </c>
      <c r="O7" s="31">
        <f t="shared" si="3"/>
        <v>3.4071428571428593E-2</v>
      </c>
      <c r="P7" s="52"/>
      <c r="Q7" s="30">
        <v>4.2000000000000003E-2</v>
      </c>
      <c r="R7" s="30">
        <v>3.7999999999999999E-2</v>
      </c>
      <c r="S7" s="30">
        <v>3.5000000000000003E-2</v>
      </c>
      <c r="T7" s="30">
        <v>3.6999999999999998E-2</v>
      </c>
      <c r="U7" s="30">
        <v>3.5000000000000003E-2</v>
      </c>
      <c r="V7" s="30">
        <v>3.7999999999999999E-2</v>
      </c>
      <c r="W7" s="30">
        <v>3.4000000000000002E-2</v>
      </c>
      <c r="X7" s="30">
        <v>3.3000000000000002E-2</v>
      </c>
      <c r="Y7" s="30">
        <v>3.3000000000000002E-2</v>
      </c>
      <c r="Z7" s="30">
        <v>3.1E-2</v>
      </c>
      <c r="AA7" s="30">
        <v>3.6999999999999998E-2</v>
      </c>
      <c r="AB7" s="30">
        <v>0.03</v>
      </c>
      <c r="AC7" s="30">
        <v>3.1E-2</v>
      </c>
      <c r="AD7" s="30">
        <v>3.4000000000000002E-2</v>
      </c>
      <c r="AE7" s="30">
        <v>0.03</v>
      </c>
      <c r="AF7" s="30"/>
      <c r="AG7" s="30"/>
      <c r="AH7" s="30">
        <v>3.6999999999999998E-2</v>
      </c>
      <c r="AI7" s="30">
        <v>2.9000000000000001E-2</v>
      </c>
      <c r="AJ7" s="30">
        <v>3.3000000000000002E-2</v>
      </c>
      <c r="AK7" s="30">
        <v>3.5000000000000003E-2</v>
      </c>
      <c r="AL7" s="30">
        <v>2.9000000000000001E-2</v>
      </c>
      <c r="AM7" s="30">
        <v>3.7999999999999999E-2</v>
      </c>
      <c r="AN7" s="30">
        <v>3.5000000000000003E-2</v>
      </c>
      <c r="AO7" s="30">
        <v>3.3000000000000002E-2</v>
      </c>
      <c r="AP7" s="30">
        <v>2.9000000000000001E-2</v>
      </c>
      <c r="AQ7" s="30">
        <v>3.2000000000000001E-2</v>
      </c>
      <c r="AR7" s="30">
        <v>3.1E-2</v>
      </c>
      <c r="AS7" s="30">
        <v>3.4000000000000002E-2</v>
      </c>
      <c r="AT7" s="30">
        <v>4.1000000000000002E-2</v>
      </c>
      <c r="AU7" s="30">
        <v>2.7E-2</v>
      </c>
      <c r="AV7" s="30">
        <v>3.5000000000000003E-2</v>
      </c>
      <c r="AW7" s="30">
        <v>3.1E-2</v>
      </c>
    </row>
    <row r="8" spans="1:49" ht="18" customHeight="1">
      <c r="A8" s="23"/>
      <c r="B8" s="12"/>
      <c r="C8" s="75" t="s">
        <v>65</v>
      </c>
      <c r="D8" s="35" t="s">
        <v>72</v>
      </c>
      <c r="E8" s="35" t="s">
        <v>73</v>
      </c>
      <c r="F8" s="29" t="s">
        <v>74</v>
      </c>
      <c r="G8" s="38">
        <v>80</v>
      </c>
      <c r="H8" s="38">
        <v>0.1</v>
      </c>
      <c r="I8" s="38">
        <v>0.1</v>
      </c>
      <c r="J8" s="38">
        <v>0.1</v>
      </c>
      <c r="K8" s="38">
        <v>0.1</v>
      </c>
      <c r="L8" s="30">
        <f t="shared" si="0"/>
        <v>80.067999999999998</v>
      </c>
      <c r="M8" s="30">
        <f t="shared" si="1"/>
        <v>80.02</v>
      </c>
      <c r="N8" s="30">
        <f t="shared" si="2"/>
        <v>4.8000000000001819E-2</v>
      </c>
      <c r="O8" s="31">
        <f t="shared" si="3"/>
        <v>80.054571428571435</v>
      </c>
      <c r="P8" s="52"/>
      <c r="Q8" s="30">
        <v>80.054000000000002</v>
      </c>
      <c r="R8" s="30">
        <v>80.06</v>
      </c>
      <c r="S8" s="30">
        <v>80.055999999999997</v>
      </c>
      <c r="T8" s="30">
        <v>80.063000000000002</v>
      </c>
      <c r="U8" s="30">
        <v>80.052000000000007</v>
      </c>
      <c r="V8" s="30">
        <v>80.055000000000007</v>
      </c>
      <c r="W8" s="30">
        <v>80.055000000000007</v>
      </c>
      <c r="X8" s="30">
        <v>80.066999999999993</v>
      </c>
      <c r="Y8" s="30">
        <v>80.063999999999993</v>
      </c>
      <c r="Z8" s="30">
        <v>80.067999999999998</v>
      </c>
      <c r="AA8" s="30">
        <v>80.052000000000007</v>
      </c>
      <c r="AB8" s="30">
        <v>80.067999999999998</v>
      </c>
      <c r="AC8" s="30">
        <v>80.067999999999998</v>
      </c>
      <c r="AD8" s="30">
        <v>80.061000000000007</v>
      </c>
      <c r="AE8" s="30">
        <v>80.063000000000002</v>
      </c>
      <c r="AF8" s="30"/>
      <c r="AG8" s="30"/>
      <c r="AH8" s="30">
        <v>80.034999999999997</v>
      </c>
      <c r="AI8" s="30">
        <v>80.048000000000002</v>
      </c>
      <c r="AJ8" s="30">
        <v>80.066999999999993</v>
      </c>
      <c r="AK8" s="30">
        <v>80.067999999999998</v>
      </c>
      <c r="AL8" s="30">
        <v>80.048000000000002</v>
      </c>
      <c r="AM8" s="30">
        <v>80.039000000000001</v>
      </c>
      <c r="AN8" s="30">
        <v>80.05</v>
      </c>
      <c r="AO8" s="30">
        <v>80.054000000000002</v>
      </c>
      <c r="AP8" s="30">
        <v>80.049000000000007</v>
      </c>
      <c r="AQ8" s="30">
        <v>80.042000000000002</v>
      </c>
      <c r="AR8" s="30">
        <v>80.043000000000006</v>
      </c>
      <c r="AS8" s="30">
        <v>80.058999999999997</v>
      </c>
      <c r="AT8" s="30">
        <v>80.02</v>
      </c>
      <c r="AU8" s="30">
        <v>80.075999999999993</v>
      </c>
      <c r="AV8" s="30">
        <v>80.067999999999998</v>
      </c>
      <c r="AW8" s="30">
        <v>80.05</v>
      </c>
    </row>
    <row r="9" spans="1:49" ht="18" customHeight="1">
      <c r="A9" s="23"/>
      <c r="B9" s="12"/>
      <c r="C9" s="75" t="s">
        <v>65</v>
      </c>
      <c r="D9" s="35" t="s">
        <v>75</v>
      </c>
      <c r="E9" s="35"/>
      <c r="F9" s="29" t="s">
        <v>76</v>
      </c>
      <c r="G9" s="38">
        <v>80</v>
      </c>
      <c r="H9" s="38">
        <v>0.1</v>
      </c>
      <c r="I9" s="38">
        <v>0.1</v>
      </c>
      <c r="J9" s="38">
        <v>0.1</v>
      </c>
      <c r="K9" s="38">
        <v>0.1</v>
      </c>
      <c r="L9" s="30">
        <f t="shared" si="0"/>
        <v>80.040000000000006</v>
      </c>
      <c r="M9" s="30">
        <f t="shared" si="1"/>
        <v>79.984999999999999</v>
      </c>
      <c r="N9" s="30">
        <f t="shared" si="2"/>
        <v>5.5000000000006821E-2</v>
      </c>
      <c r="O9" s="31">
        <f t="shared" si="3"/>
        <v>80.001142857142852</v>
      </c>
      <c r="P9" s="52"/>
      <c r="Q9" s="30">
        <v>79.992999999999995</v>
      </c>
      <c r="R9" s="30">
        <v>79.995000000000005</v>
      </c>
      <c r="S9" s="30">
        <v>79.989000000000004</v>
      </c>
      <c r="T9" s="30">
        <v>79.989000000000004</v>
      </c>
      <c r="U9" s="30">
        <v>79.989999999999995</v>
      </c>
      <c r="V9" s="30">
        <v>80.001000000000005</v>
      </c>
      <c r="W9" s="30">
        <v>80.001000000000005</v>
      </c>
      <c r="X9" s="30">
        <v>80.040000000000006</v>
      </c>
      <c r="Y9" s="30">
        <v>80.016999999999996</v>
      </c>
      <c r="Z9" s="30">
        <v>80.004000000000005</v>
      </c>
      <c r="AA9" s="30">
        <v>80.015000000000001</v>
      </c>
      <c r="AB9" s="30">
        <v>80.013000000000005</v>
      </c>
      <c r="AC9" s="30">
        <v>80.004999999999995</v>
      </c>
      <c r="AD9" s="30">
        <v>80.010999999999996</v>
      </c>
      <c r="AE9" s="30">
        <v>80.016999999999996</v>
      </c>
      <c r="AF9" s="30"/>
      <c r="AG9" s="30"/>
      <c r="AH9" s="30">
        <v>79.992999999999995</v>
      </c>
      <c r="AI9" s="30">
        <v>80.001000000000005</v>
      </c>
      <c r="AJ9" s="30">
        <v>79.991</v>
      </c>
      <c r="AK9" s="30">
        <v>79.992999999999995</v>
      </c>
      <c r="AL9" s="30">
        <v>80.001000000000005</v>
      </c>
      <c r="AM9" s="30">
        <v>80.013000000000005</v>
      </c>
      <c r="AN9" s="30">
        <v>79.989999999999995</v>
      </c>
      <c r="AO9" s="30">
        <v>79.992000000000004</v>
      </c>
      <c r="AP9" s="30">
        <v>79.995999999999995</v>
      </c>
      <c r="AQ9" s="30">
        <v>79.995999999999995</v>
      </c>
      <c r="AR9" s="30">
        <v>79.995000000000005</v>
      </c>
      <c r="AS9" s="30">
        <v>80.006</v>
      </c>
      <c r="AT9" s="30">
        <v>79.984999999999999</v>
      </c>
      <c r="AU9" s="30">
        <v>80.016999999999996</v>
      </c>
      <c r="AV9" s="30">
        <v>80.010000000000005</v>
      </c>
      <c r="AW9" s="30">
        <v>79.998999999999995</v>
      </c>
    </row>
    <row r="10" spans="1:49" ht="18" customHeight="1">
      <c r="A10" s="23"/>
      <c r="B10" s="12"/>
      <c r="C10" s="76" t="s">
        <v>77</v>
      </c>
      <c r="D10" s="35" t="s">
        <v>78</v>
      </c>
      <c r="E10" s="35"/>
      <c r="F10" s="29" t="s">
        <v>79</v>
      </c>
      <c r="G10" s="38">
        <v>3.75</v>
      </c>
      <c r="H10" s="38">
        <v>0.08</v>
      </c>
      <c r="I10" s="38">
        <v>0.05</v>
      </c>
      <c r="J10" s="38">
        <v>0.08</v>
      </c>
      <c r="K10" s="38">
        <v>0.05</v>
      </c>
      <c r="L10" s="30">
        <f t="shared" si="0"/>
        <v>3.7850000000000001</v>
      </c>
      <c r="M10" s="30">
        <f t="shared" si="1"/>
        <v>3.77</v>
      </c>
      <c r="N10" s="30">
        <f t="shared" si="2"/>
        <v>1.5000000000000124E-2</v>
      </c>
      <c r="O10" s="31">
        <f t="shared" si="3"/>
        <v>3.7765</v>
      </c>
      <c r="P10" s="52"/>
      <c r="Q10" s="30">
        <v>3.7839999999999998</v>
      </c>
      <c r="R10" s="30">
        <v>3.774</v>
      </c>
      <c r="S10" s="30">
        <v>3.7749999999999999</v>
      </c>
      <c r="T10" s="30">
        <v>3.7789999999999999</v>
      </c>
      <c r="U10" s="30">
        <v>3.7759999999999998</v>
      </c>
      <c r="V10" s="30">
        <v>3.7759999999999998</v>
      </c>
      <c r="W10" s="30">
        <v>3.7759999999999998</v>
      </c>
      <c r="X10" s="30">
        <v>3.7829999999999999</v>
      </c>
      <c r="Y10" s="30">
        <v>3.7719999999999998</v>
      </c>
      <c r="Z10" s="30">
        <v>3.7749999999999999</v>
      </c>
      <c r="AA10" s="30">
        <v>3.7759999999999998</v>
      </c>
      <c r="AB10" s="30">
        <v>3.7719999999999998</v>
      </c>
      <c r="AC10" s="30">
        <v>3.7759999999999998</v>
      </c>
      <c r="AD10" s="30">
        <v>3.7759999999999998</v>
      </c>
      <c r="AE10" s="30">
        <v>3.778</v>
      </c>
      <c r="AF10" s="30"/>
      <c r="AG10" s="30"/>
      <c r="AH10" s="30">
        <v>3.7810000000000001</v>
      </c>
      <c r="AI10" s="30">
        <v>3.778</v>
      </c>
      <c r="AJ10" s="30">
        <v>3.7839999999999998</v>
      </c>
      <c r="AK10" s="30">
        <v>3.774</v>
      </c>
      <c r="AL10" s="30">
        <v>3.7719999999999998</v>
      </c>
      <c r="AM10" s="30">
        <v>3.7829999999999999</v>
      </c>
      <c r="AN10" s="30">
        <v>3.7709999999999999</v>
      </c>
      <c r="AO10" s="30">
        <v>3.7749999999999999</v>
      </c>
      <c r="AP10" s="30">
        <v>3.774</v>
      </c>
      <c r="AQ10" s="30">
        <v>3.7759999999999998</v>
      </c>
      <c r="AR10" s="30">
        <v>3.7709999999999999</v>
      </c>
      <c r="AS10" s="30">
        <v>3.77</v>
      </c>
      <c r="AT10" s="30">
        <v>3.7850000000000001</v>
      </c>
      <c r="AU10" s="30">
        <v>3.774</v>
      </c>
      <c r="AV10" s="30">
        <v>3.7730000000000001</v>
      </c>
      <c r="AW10" s="30">
        <v>3.782</v>
      </c>
    </row>
    <row r="11" spans="1:49" ht="18" customHeight="1">
      <c r="A11" s="23"/>
      <c r="B11" s="12"/>
      <c r="C11" s="76" t="s">
        <v>77</v>
      </c>
      <c r="D11" s="35" t="s">
        <v>80</v>
      </c>
      <c r="E11" s="35"/>
      <c r="F11" s="29" t="s">
        <v>81</v>
      </c>
      <c r="G11" s="38">
        <v>3.75</v>
      </c>
      <c r="H11" s="38">
        <v>0.08</v>
      </c>
      <c r="I11" s="38">
        <v>0.05</v>
      </c>
      <c r="J11" s="38">
        <v>0.08</v>
      </c>
      <c r="K11" s="38">
        <v>0.05</v>
      </c>
      <c r="L11" s="30">
        <f t="shared" si="0"/>
        <v>3.774</v>
      </c>
      <c r="M11" s="30">
        <f t="shared" si="1"/>
        <v>3.7549999999999999</v>
      </c>
      <c r="N11" s="30">
        <f t="shared" si="2"/>
        <v>1.9000000000000128E-2</v>
      </c>
      <c r="O11" s="31">
        <f t="shared" si="3"/>
        <v>3.7657499999999997</v>
      </c>
      <c r="P11" s="52"/>
      <c r="Q11" s="30">
        <v>3.7669999999999999</v>
      </c>
      <c r="R11" s="30">
        <v>3.7639999999999998</v>
      </c>
      <c r="S11" s="30">
        <v>3.7690000000000001</v>
      </c>
      <c r="T11" s="30">
        <v>3.7690000000000001</v>
      </c>
      <c r="U11" s="30">
        <v>3.7639999999999998</v>
      </c>
      <c r="V11" s="30">
        <v>3.774</v>
      </c>
      <c r="W11" s="30">
        <v>3.7690000000000001</v>
      </c>
      <c r="X11" s="30">
        <v>3.7719999999999998</v>
      </c>
      <c r="Y11" s="30">
        <v>3.7719999999999998</v>
      </c>
      <c r="Z11" s="30">
        <v>3.77</v>
      </c>
      <c r="AA11" s="30">
        <v>3.7570000000000001</v>
      </c>
      <c r="AB11" s="30">
        <v>3.7629999999999999</v>
      </c>
      <c r="AC11" s="30">
        <v>3.7549999999999999</v>
      </c>
      <c r="AD11" s="30">
        <v>3.7629999999999999</v>
      </c>
      <c r="AE11" s="30">
        <v>3.7629999999999999</v>
      </c>
      <c r="AF11" s="30"/>
      <c r="AG11" s="30"/>
      <c r="AH11" s="30">
        <v>3.77</v>
      </c>
      <c r="AI11" s="30">
        <v>3.7549999999999999</v>
      </c>
      <c r="AJ11" s="30">
        <v>3.7650000000000001</v>
      </c>
      <c r="AK11" s="30">
        <v>3.77</v>
      </c>
      <c r="AL11" s="30">
        <v>3.7639999999999998</v>
      </c>
      <c r="AM11" s="30">
        <v>3.7570000000000001</v>
      </c>
      <c r="AN11" s="30">
        <v>3.7650000000000001</v>
      </c>
      <c r="AO11" s="30">
        <v>3.7709999999999999</v>
      </c>
      <c r="AP11" s="30">
        <v>3.7639999999999998</v>
      </c>
      <c r="AQ11" s="30">
        <v>3.7650000000000001</v>
      </c>
      <c r="AR11" s="30">
        <v>3.7639999999999998</v>
      </c>
      <c r="AS11" s="30">
        <v>3.7669999999999999</v>
      </c>
      <c r="AT11" s="30">
        <v>3.7730000000000001</v>
      </c>
      <c r="AU11" s="30">
        <v>3.7690000000000001</v>
      </c>
      <c r="AV11" s="30">
        <v>3.77</v>
      </c>
      <c r="AW11" s="30">
        <v>3.762</v>
      </c>
    </row>
    <row r="12" spans="1:49" ht="18" customHeight="1">
      <c r="A12" s="23"/>
      <c r="B12" s="12"/>
      <c r="C12" s="76" t="s">
        <v>77</v>
      </c>
      <c r="D12" s="35" t="s">
        <v>82</v>
      </c>
      <c r="E12" s="35"/>
      <c r="F12" s="29" t="s">
        <v>83</v>
      </c>
      <c r="G12" s="38">
        <v>3.75</v>
      </c>
      <c r="H12" s="38">
        <v>0.08</v>
      </c>
      <c r="I12" s="38">
        <v>0.05</v>
      </c>
      <c r="J12" s="38">
        <v>0.08</v>
      </c>
      <c r="K12" s="38">
        <v>0.05</v>
      </c>
      <c r="L12" s="30">
        <f t="shared" si="0"/>
        <v>3.7759999999999998</v>
      </c>
      <c r="M12" s="30">
        <f t="shared" si="1"/>
        <v>3.7480000000000002</v>
      </c>
      <c r="N12" s="30">
        <f t="shared" si="2"/>
        <v>2.7999999999999581E-2</v>
      </c>
      <c r="O12" s="31">
        <f t="shared" si="3"/>
        <v>3.7589642857142853</v>
      </c>
      <c r="P12" s="52"/>
      <c r="Q12" s="30">
        <v>3.758</v>
      </c>
      <c r="R12" s="30">
        <v>3.7650000000000001</v>
      </c>
      <c r="S12" s="30">
        <v>3.7639999999999998</v>
      </c>
      <c r="T12" s="30">
        <v>3.758</v>
      </c>
      <c r="U12" s="30">
        <v>3.7639999999999998</v>
      </c>
      <c r="V12" s="30">
        <v>3.758</v>
      </c>
      <c r="W12" s="30">
        <v>3.7549999999999999</v>
      </c>
      <c r="X12" s="30">
        <v>3.7759999999999998</v>
      </c>
      <c r="Y12" s="30">
        <v>3.7650000000000001</v>
      </c>
      <c r="Z12" s="30">
        <v>3.7589999999999999</v>
      </c>
      <c r="AA12" s="30">
        <v>3.7610000000000001</v>
      </c>
      <c r="AB12" s="30">
        <v>3.762</v>
      </c>
      <c r="AC12" s="30">
        <v>3.7509999999999999</v>
      </c>
      <c r="AD12" s="30">
        <v>3.76</v>
      </c>
      <c r="AE12" s="30">
        <v>3.7570000000000001</v>
      </c>
      <c r="AF12" s="30"/>
      <c r="AG12" s="30"/>
      <c r="AH12" s="30">
        <v>3.7709999999999999</v>
      </c>
      <c r="AI12" s="30">
        <v>3.7629999999999999</v>
      </c>
      <c r="AJ12" s="30">
        <v>3.754</v>
      </c>
      <c r="AK12" s="30">
        <v>3.7589999999999999</v>
      </c>
      <c r="AL12" s="30">
        <v>3.7480000000000002</v>
      </c>
      <c r="AM12" s="30">
        <v>3.7559999999999998</v>
      </c>
      <c r="AN12" s="30">
        <v>3.754</v>
      </c>
      <c r="AO12" s="30">
        <v>3.7530000000000001</v>
      </c>
      <c r="AP12" s="30">
        <v>3.754</v>
      </c>
      <c r="AQ12" s="30">
        <v>3.7549999999999999</v>
      </c>
      <c r="AR12" s="30">
        <v>3.7519999999999998</v>
      </c>
      <c r="AS12" s="30">
        <v>3.7549999999999999</v>
      </c>
      <c r="AT12" s="30">
        <v>3.7639999999999998</v>
      </c>
      <c r="AU12" s="30">
        <v>3.7650000000000001</v>
      </c>
      <c r="AV12" s="30">
        <v>3.7530000000000001</v>
      </c>
      <c r="AW12" s="30">
        <v>3.7570000000000001</v>
      </c>
    </row>
    <row r="13" spans="1:49" ht="18" customHeight="1">
      <c r="A13" s="23"/>
      <c r="B13" s="12"/>
      <c r="C13" s="75" t="s">
        <v>65</v>
      </c>
      <c r="D13" s="35" t="s">
        <v>84</v>
      </c>
      <c r="E13" s="35"/>
      <c r="F13" s="29" t="s">
        <v>85</v>
      </c>
      <c r="G13" s="38">
        <v>80</v>
      </c>
      <c r="H13" s="38">
        <v>0.1</v>
      </c>
      <c r="I13" s="38">
        <v>0.1</v>
      </c>
      <c r="J13" s="38">
        <v>0.1</v>
      </c>
      <c r="K13" s="38">
        <v>0.1</v>
      </c>
      <c r="L13" s="30">
        <f t="shared" si="0"/>
        <v>79.978999999999999</v>
      </c>
      <c r="M13" s="30">
        <f t="shared" si="1"/>
        <v>79.947999999999993</v>
      </c>
      <c r="N13" s="30">
        <f t="shared" si="2"/>
        <v>3.1000000000005912E-2</v>
      </c>
      <c r="O13" s="31">
        <f t="shared" si="3"/>
        <v>79.958571428571418</v>
      </c>
      <c r="P13" s="52"/>
      <c r="Q13" s="30">
        <v>79.953999999999994</v>
      </c>
      <c r="R13" s="30">
        <v>79.953999999999994</v>
      </c>
      <c r="S13" s="30">
        <v>79.953000000000003</v>
      </c>
      <c r="T13" s="30">
        <v>79.950999999999993</v>
      </c>
      <c r="U13" s="30">
        <v>79.95</v>
      </c>
      <c r="V13" s="30">
        <v>79.962999999999994</v>
      </c>
      <c r="W13" s="30">
        <v>79.962000000000003</v>
      </c>
      <c r="X13" s="30">
        <v>79.977999999999994</v>
      </c>
      <c r="Y13" s="30">
        <v>79.968999999999994</v>
      </c>
      <c r="Z13" s="30">
        <v>79.963999999999999</v>
      </c>
      <c r="AA13" s="30">
        <v>79.968000000000004</v>
      </c>
      <c r="AB13" s="30">
        <v>79.962999999999994</v>
      </c>
      <c r="AC13" s="30">
        <v>79.962999999999994</v>
      </c>
      <c r="AD13" s="30">
        <v>79.971000000000004</v>
      </c>
      <c r="AE13" s="30">
        <v>79.978999999999999</v>
      </c>
      <c r="AF13" s="30"/>
      <c r="AG13" s="30"/>
      <c r="AH13" s="30">
        <v>79.954999999999998</v>
      </c>
      <c r="AI13" s="30">
        <v>79.951999999999998</v>
      </c>
      <c r="AJ13" s="30">
        <v>79.954999999999998</v>
      </c>
      <c r="AK13" s="30">
        <v>79.956000000000003</v>
      </c>
      <c r="AL13" s="30">
        <v>79.951999999999998</v>
      </c>
      <c r="AM13" s="30">
        <v>79.956999999999994</v>
      </c>
      <c r="AN13" s="30">
        <v>79.953999999999994</v>
      </c>
      <c r="AO13" s="30">
        <v>79.95</v>
      </c>
      <c r="AP13" s="30">
        <v>79.956999999999994</v>
      </c>
      <c r="AQ13" s="30">
        <v>79.95</v>
      </c>
      <c r="AR13" s="30">
        <v>79.947999999999993</v>
      </c>
      <c r="AS13" s="30">
        <v>79.963999999999999</v>
      </c>
      <c r="AT13" s="30">
        <v>79.947999999999993</v>
      </c>
      <c r="AU13" s="30">
        <v>79.968999999999994</v>
      </c>
      <c r="AV13" s="30">
        <v>79.968999999999994</v>
      </c>
      <c r="AW13" s="30">
        <v>79.953999999999994</v>
      </c>
    </row>
    <row r="14" spans="1:49" ht="18" customHeight="1">
      <c r="A14" s="23"/>
      <c r="B14" s="12"/>
      <c r="C14" s="76" t="s">
        <v>77</v>
      </c>
      <c r="D14" s="35" t="s">
        <v>86</v>
      </c>
      <c r="E14" s="35"/>
      <c r="F14" s="29" t="s">
        <v>87</v>
      </c>
      <c r="G14" s="38">
        <v>1.55</v>
      </c>
      <c r="H14" s="38">
        <v>0.03</v>
      </c>
      <c r="I14" s="38">
        <v>0.03</v>
      </c>
      <c r="J14" s="38">
        <v>0.03</v>
      </c>
      <c r="K14" s="38">
        <v>0.03</v>
      </c>
      <c r="L14" s="30">
        <f t="shared" si="0"/>
        <v>1.5840000000000001</v>
      </c>
      <c r="M14" s="30">
        <f t="shared" si="1"/>
        <v>1.55</v>
      </c>
      <c r="N14" s="30">
        <f t="shared" si="2"/>
        <v>3.400000000000003E-2</v>
      </c>
      <c r="O14" s="31">
        <f t="shared" si="3"/>
        <v>1.5704285714285715</v>
      </c>
      <c r="P14" s="52"/>
      <c r="Q14" s="30">
        <v>1.571</v>
      </c>
      <c r="R14" s="30">
        <v>1.571</v>
      </c>
      <c r="S14" s="30">
        <v>1.5669999999999999</v>
      </c>
      <c r="T14" s="30">
        <v>1.5660000000000001</v>
      </c>
      <c r="U14" s="30">
        <v>1.5720000000000001</v>
      </c>
      <c r="V14" s="30">
        <v>1.5720000000000001</v>
      </c>
      <c r="W14" s="30">
        <v>1.569</v>
      </c>
      <c r="X14" s="30">
        <v>1.573</v>
      </c>
      <c r="Y14" s="30">
        <v>1.5740000000000001</v>
      </c>
      <c r="Z14" s="30">
        <v>1.5740000000000001</v>
      </c>
      <c r="AA14" s="30">
        <v>1.5740000000000001</v>
      </c>
      <c r="AB14" s="30">
        <v>1.5680000000000001</v>
      </c>
      <c r="AC14" s="30">
        <v>1.58</v>
      </c>
      <c r="AD14" s="30">
        <v>1.5660000000000001</v>
      </c>
      <c r="AE14" s="30">
        <v>1.5669999999999999</v>
      </c>
      <c r="AF14" s="30"/>
      <c r="AG14" s="30"/>
      <c r="AH14" s="30">
        <v>1.5720000000000001</v>
      </c>
      <c r="AI14" s="30">
        <v>1.569</v>
      </c>
      <c r="AJ14" s="30">
        <v>1.5629999999999999</v>
      </c>
      <c r="AK14" s="30">
        <v>1.571</v>
      </c>
      <c r="AL14" s="30">
        <v>1.571</v>
      </c>
      <c r="AM14" s="30">
        <v>1.5760000000000001</v>
      </c>
      <c r="AN14" s="30">
        <v>1.5680000000000001</v>
      </c>
      <c r="AO14" s="30">
        <v>1.5740000000000001</v>
      </c>
      <c r="AP14" s="30">
        <v>1.58</v>
      </c>
      <c r="AQ14" s="30">
        <v>1.5840000000000001</v>
      </c>
      <c r="AR14" s="30">
        <v>1.5669999999999999</v>
      </c>
      <c r="AS14" s="30">
        <v>1.5629999999999999</v>
      </c>
      <c r="AT14" s="30">
        <v>1.55</v>
      </c>
      <c r="AU14" s="30">
        <v>1.5620000000000001</v>
      </c>
      <c r="AV14" s="30">
        <v>1.5629999999999999</v>
      </c>
      <c r="AW14" s="30">
        <v>1.5620000000000001</v>
      </c>
    </row>
    <row r="15" spans="1:49" ht="18" customHeight="1">
      <c r="A15" s="23"/>
      <c r="B15" s="12"/>
      <c r="C15" s="76" t="s">
        <v>77</v>
      </c>
      <c r="D15" s="35" t="s">
        <v>88</v>
      </c>
      <c r="E15" s="35"/>
      <c r="F15" s="29" t="s">
        <v>89</v>
      </c>
      <c r="G15" s="38">
        <v>1.55</v>
      </c>
      <c r="H15" s="38">
        <v>0.03</v>
      </c>
      <c r="I15" s="38">
        <v>0.03</v>
      </c>
      <c r="J15" s="38">
        <v>0.03</v>
      </c>
      <c r="K15" s="38">
        <v>0.03</v>
      </c>
      <c r="L15" s="30">
        <f t="shared" si="0"/>
        <v>1.58</v>
      </c>
      <c r="M15" s="30">
        <f t="shared" si="1"/>
        <v>1.5669999999999999</v>
      </c>
      <c r="N15" s="30">
        <f t="shared" si="2"/>
        <v>1.3000000000000123E-2</v>
      </c>
      <c r="O15" s="31">
        <f t="shared" si="3"/>
        <v>1.5740357142857142</v>
      </c>
      <c r="P15" s="52"/>
      <c r="Q15" s="30">
        <v>1.573</v>
      </c>
      <c r="R15" s="30">
        <v>1.571</v>
      </c>
      <c r="S15" s="30">
        <v>1.577</v>
      </c>
      <c r="T15" s="30">
        <v>1.573</v>
      </c>
      <c r="U15" s="30">
        <v>1.5780000000000001</v>
      </c>
      <c r="V15" s="30">
        <v>1.5740000000000001</v>
      </c>
      <c r="W15" s="30">
        <v>1.573</v>
      </c>
      <c r="X15" s="30">
        <v>1.5780000000000001</v>
      </c>
      <c r="Y15" s="30">
        <v>1.571</v>
      </c>
      <c r="Z15" s="30">
        <v>1.577</v>
      </c>
      <c r="AA15" s="30">
        <v>1.573</v>
      </c>
      <c r="AB15" s="30">
        <v>1.575</v>
      </c>
      <c r="AC15" s="30">
        <v>1.58</v>
      </c>
      <c r="AD15" s="30">
        <v>1.5740000000000001</v>
      </c>
      <c r="AE15" s="30">
        <v>1.5740000000000001</v>
      </c>
      <c r="AF15" s="30"/>
      <c r="AG15" s="30"/>
      <c r="AH15" s="30">
        <v>1.573</v>
      </c>
      <c r="AI15" s="30">
        <v>1.5780000000000001</v>
      </c>
      <c r="AJ15" s="30">
        <v>1.5780000000000001</v>
      </c>
      <c r="AK15" s="30">
        <v>1.569</v>
      </c>
      <c r="AL15" s="30">
        <v>1.571</v>
      </c>
      <c r="AM15" s="30">
        <v>1.575</v>
      </c>
      <c r="AN15" s="30">
        <v>1.5740000000000001</v>
      </c>
      <c r="AO15" s="30">
        <v>1.5669999999999999</v>
      </c>
      <c r="AP15" s="30">
        <v>1.5740000000000001</v>
      </c>
      <c r="AQ15" s="30">
        <v>1.571</v>
      </c>
      <c r="AR15" s="30">
        <v>1.5680000000000001</v>
      </c>
      <c r="AS15" s="30">
        <v>1.575</v>
      </c>
      <c r="AT15" s="30">
        <v>1.579</v>
      </c>
      <c r="AU15" s="30">
        <v>1.575</v>
      </c>
      <c r="AV15" s="30">
        <v>1.5720000000000001</v>
      </c>
      <c r="AW15" s="30">
        <v>1.5740000000000001</v>
      </c>
    </row>
    <row r="16" spans="1:49" ht="18" customHeight="1">
      <c r="A16" s="23"/>
      <c r="B16" s="12"/>
      <c r="C16" s="76" t="s">
        <v>77</v>
      </c>
      <c r="D16" s="35" t="s">
        <v>90</v>
      </c>
      <c r="E16" s="35"/>
      <c r="F16" s="29" t="s">
        <v>91</v>
      </c>
      <c r="G16" s="38">
        <v>1.55</v>
      </c>
      <c r="H16" s="38">
        <v>0.03</v>
      </c>
      <c r="I16" s="38">
        <v>0.03</v>
      </c>
      <c r="J16" s="38">
        <v>0.03</v>
      </c>
      <c r="K16" s="38">
        <v>0.03</v>
      </c>
      <c r="L16" s="30">
        <f t="shared" si="0"/>
        <v>1.583</v>
      </c>
      <c r="M16" s="30">
        <f t="shared" si="1"/>
        <v>1.5680000000000001</v>
      </c>
      <c r="N16" s="30">
        <f t="shared" si="2"/>
        <v>1.4999999999999902E-2</v>
      </c>
      <c r="O16" s="31">
        <f t="shared" si="3"/>
        <v>1.574214285714286</v>
      </c>
      <c r="P16" s="52"/>
      <c r="Q16" s="30">
        <v>1.575</v>
      </c>
      <c r="R16" s="30">
        <v>1.569</v>
      </c>
      <c r="S16" s="30">
        <v>1.5720000000000001</v>
      </c>
      <c r="T16" s="30">
        <v>1.58</v>
      </c>
      <c r="U16" s="30">
        <v>1.5820000000000001</v>
      </c>
      <c r="V16" s="30">
        <v>1.5760000000000001</v>
      </c>
      <c r="W16" s="30">
        <v>1.5740000000000001</v>
      </c>
      <c r="X16" s="30">
        <v>1.5720000000000001</v>
      </c>
      <c r="Y16" s="30">
        <v>1.575</v>
      </c>
      <c r="Z16" s="30">
        <v>1.5680000000000001</v>
      </c>
      <c r="AA16" s="30">
        <v>1.5740000000000001</v>
      </c>
      <c r="AB16" s="30">
        <v>1.57</v>
      </c>
      <c r="AC16" s="30">
        <v>1.5720000000000001</v>
      </c>
      <c r="AD16" s="30">
        <v>1.5740000000000001</v>
      </c>
      <c r="AE16" s="30">
        <v>1.5740000000000001</v>
      </c>
      <c r="AF16" s="30"/>
      <c r="AG16" s="30"/>
      <c r="AH16" s="30">
        <v>1.58</v>
      </c>
      <c r="AI16" s="30">
        <v>1.5740000000000001</v>
      </c>
      <c r="AJ16" s="30">
        <v>1.583</v>
      </c>
      <c r="AK16" s="30">
        <v>1.5780000000000001</v>
      </c>
      <c r="AL16" s="30">
        <v>1.5680000000000001</v>
      </c>
      <c r="AM16" s="30">
        <v>1.57</v>
      </c>
      <c r="AN16" s="30">
        <v>1.573</v>
      </c>
      <c r="AO16" s="30">
        <v>1.5760000000000001</v>
      </c>
      <c r="AP16" s="30">
        <v>1.579</v>
      </c>
      <c r="AQ16" s="30">
        <v>1.575</v>
      </c>
      <c r="AR16" s="30">
        <v>1.569</v>
      </c>
      <c r="AS16" s="30">
        <v>1.5760000000000001</v>
      </c>
      <c r="AT16" s="30">
        <v>1.57</v>
      </c>
      <c r="AU16" s="30">
        <v>1.5720000000000001</v>
      </c>
      <c r="AV16" s="30">
        <v>1.575</v>
      </c>
      <c r="AW16" s="30">
        <v>1.577</v>
      </c>
    </row>
    <row r="17" spans="1:49" ht="18" customHeight="1">
      <c r="A17" s="23"/>
      <c r="B17" s="12"/>
      <c r="C17" s="76" t="s">
        <v>77</v>
      </c>
      <c r="D17" s="35" t="s">
        <v>92</v>
      </c>
      <c r="E17" s="35"/>
      <c r="F17" s="29" t="s">
        <v>93</v>
      </c>
      <c r="G17" s="38">
        <v>1.55</v>
      </c>
      <c r="H17" s="38">
        <v>0.03</v>
      </c>
      <c r="I17" s="38">
        <v>0.03</v>
      </c>
      <c r="J17" s="38">
        <v>0.03</v>
      </c>
      <c r="K17" s="38">
        <v>0.03</v>
      </c>
      <c r="L17" s="30">
        <f t="shared" si="0"/>
        <v>1.58</v>
      </c>
      <c r="M17" s="30">
        <f t="shared" si="1"/>
        <v>1.5649999999999999</v>
      </c>
      <c r="N17" s="30">
        <f t="shared" si="2"/>
        <v>1.5000000000000124E-2</v>
      </c>
      <c r="O17" s="31">
        <f t="shared" si="3"/>
        <v>1.5721071428571427</v>
      </c>
      <c r="P17" s="52"/>
      <c r="Q17" s="30">
        <v>1.569</v>
      </c>
      <c r="R17" s="30">
        <v>1.573</v>
      </c>
      <c r="S17" s="30">
        <v>1.5760000000000001</v>
      </c>
      <c r="T17" s="30">
        <v>1.569</v>
      </c>
      <c r="U17" s="30">
        <v>1.571</v>
      </c>
      <c r="V17" s="30">
        <v>1.5760000000000001</v>
      </c>
      <c r="W17" s="30">
        <v>1.5720000000000001</v>
      </c>
      <c r="X17" s="30">
        <v>1.5649999999999999</v>
      </c>
      <c r="Y17" s="30">
        <v>1.5720000000000001</v>
      </c>
      <c r="Z17" s="30">
        <v>1.5740000000000001</v>
      </c>
      <c r="AA17" s="30">
        <v>1.58</v>
      </c>
      <c r="AB17" s="30">
        <v>1.571</v>
      </c>
      <c r="AC17" s="30">
        <v>1.57</v>
      </c>
      <c r="AD17" s="30">
        <v>1.573</v>
      </c>
      <c r="AE17" s="30">
        <v>1.569</v>
      </c>
      <c r="AF17" s="30"/>
      <c r="AG17" s="30"/>
      <c r="AH17" s="30">
        <v>1.573</v>
      </c>
      <c r="AI17" s="30">
        <v>1.58</v>
      </c>
      <c r="AJ17" s="30">
        <v>1.571</v>
      </c>
      <c r="AK17" s="30">
        <v>1.575</v>
      </c>
      <c r="AL17" s="30">
        <v>1.575</v>
      </c>
      <c r="AM17" s="30">
        <v>1.5669999999999999</v>
      </c>
      <c r="AN17" s="30">
        <v>1.571</v>
      </c>
      <c r="AO17" s="30">
        <v>1.5760000000000001</v>
      </c>
      <c r="AP17" s="30">
        <v>1.57</v>
      </c>
      <c r="AQ17" s="30">
        <v>1.5680000000000001</v>
      </c>
      <c r="AR17" s="30">
        <v>1.5720000000000001</v>
      </c>
      <c r="AS17" s="30">
        <v>1.571</v>
      </c>
      <c r="AT17" s="30">
        <v>1.57</v>
      </c>
      <c r="AU17" s="30">
        <v>1.5840000000000001</v>
      </c>
      <c r="AV17" s="30">
        <v>1.573</v>
      </c>
      <c r="AW17" s="30">
        <v>1.579</v>
      </c>
    </row>
    <row r="18" spans="1:49" ht="18" customHeight="1">
      <c r="A18" s="23"/>
      <c r="B18" s="12"/>
      <c r="C18" s="76" t="s">
        <v>77</v>
      </c>
      <c r="D18" s="35" t="s">
        <v>94</v>
      </c>
      <c r="E18" s="35" t="s">
        <v>95</v>
      </c>
      <c r="F18" s="29" t="s">
        <v>96</v>
      </c>
      <c r="G18" s="38">
        <v>1.55</v>
      </c>
      <c r="H18" s="38">
        <v>0.03</v>
      </c>
      <c r="I18" s="38">
        <v>0.03</v>
      </c>
      <c r="J18" s="38">
        <v>0.03</v>
      </c>
      <c r="K18" s="38">
        <v>0.03</v>
      </c>
      <c r="L18" s="30">
        <f t="shared" si="0"/>
        <v>1.55</v>
      </c>
      <c r="M18" s="30">
        <f t="shared" si="1"/>
        <v>1.53</v>
      </c>
      <c r="N18" s="30">
        <f t="shared" si="2"/>
        <v>2.0000000000000018E-2</v>
      </c>
      <c r="O18" s="31">
        <f t="shared" si="3"/>
        <v>1.5406071428571428</v>
      </c>
      <c r="P18" s="52"/>
      <c r="Q18" s="30">
        <v>1.5429999999999999</v>
      </c>
      <c r="R18" s="30">
        <v>1.5429999999999999</v>
      </c>
      <c r="S18" s="30">
        <v>1.546</v>
      </c>
      <c r="T18" s="30">
        <v>1.5409999999999999</v>
      </c>
      <c r="U18" s="30">
        <v>1.5429999999999999</v>
      </c>
      <c r="V18" s="30">
        <v>1.53</v>
      </c>
      <c r="W18" s="30">
        <v>1.5369999999999999</v>
      </c>
      <c r="X18" s="30">
        <v>1.5409999999999999</v>
      </c>
      <c r="Y18" s="30">
        <v>1.54</v>
      </c>
      <c r="Z18" s="30">
        <v>1.54</v>
      </c>
      <c r="AA18" s="30">
        <v>1.538</v>
      </c>
      <c r="AB18" s="30">
        <v>1.542</v>
      </c>
      <c r="AC18" s="30">
        <v>1.54</v>
      </c>
      <c r="AD18" s="30">
        <v>1.538</v>
      </c>
      <c r="AE18" s="30">
        <v>1.536</v>
      </c>
      <c r="AF18" s="30"/>
      <c r="AG18" s="30"/>
      <c r="AH18" s="30">
        <v>1.542</v>
      </c>
      <c r="AI18" s="30">
        <v>1.5469999999999999</v>
      </c>
      <c r="AJ18" s="30">
        <v>1.544</v>
      </c>
      <c r="AK18" s="30">
        <v>1.5429999999999999</v>
      </c>
      <c r="AL18" s="30">
        <v>1.54</v>
      </c>
      <c r="AM18" s="30">
        <v>1.5369999999999999</v>
      </c>
      <c r="AN18" s="30">
        <v>1.536</v>
      </c>
      <c r="AO18" s="30">
        <v>1.55</v>
      </c>
      <c r="AP18" s="30">
        <v>1.5389999999999999</v>
      </c>
      <c r="AQ18" s="30">
        <v>1.542</v>
      </c>
      <c r="AR18" s="30">
        <v>1.538</v>
      </c>
      <c r="AS18" s="30">
        <v>1.54</v>
      </c>
      <c r="AT18" s="30">
        <v>1.5409999999999999</v>
      </c>
      <c r="AU18" s="30">
        <v>1.54</v>
      </c>
      <c r="AV18" s="30">
        <v>1.5429999999999999</v>
      </c>
      <c r="AW18" s="30">
        <v>1.5369999999999999</v>
      </c>
    </row>
    <row r="19" spans="1:49" ht="18" customHeight="1">
      <c r="A19" s="23"/>
      <c r="B19" s="12"/>
      <c r="C19" s="76" t="s">
        <v>77</v>
      </c>
      <c r="D19" s="35" t="s">
        <v>97</v>
      </c>
      <c r="E19" s="35"/>
      <c r="F19" s="29" t="s">
        <v>98</v>
      </c>
      <c r="G19" s="38">
        <v>1.55</v>
      </c>
      <c r="H19" s="38">
        <v>0.03</v>
      </c>
      <c r="I19" s="38">
        <v>0.03</v>
      </c>
      <c r="J19" s="38">
        <v>0.03</v>
      </c>
      <c r="K19" s="38">
        <v>0.03</v>
      </c>
      <c r="L19" s="30">
        <f t="shared" si="0"/>
        <v>1.55</v>
      </c>
      <c r="M19" s="30">
        <f t="shared" si="1"/>
        <v>1.532</v>
      </c>
      <c r="N19" s="30">
        <f t="shared" si="2"/>
        <v>1.8000000000000016E-2</v>
      </c>
      <c r="O19" s="31">
        <f t="shared" si="3"/>
        <v>1.5423214285714286</v>
      </c>
      <c r="P19" s="52"/>
      <c r="Q19" s="30">
        <v>1.55</v>
      </c>
      <c r="R19" s="30">
        <v>1.532</v>
      </c>
      <c r="S19" s="30">
        <v>1.538</v>
      </c>
      <c r="T19" s="30">
        <v>1.546</v>
      </c>
      <c r="U19" s="30">
        <v>1.5349999999999999</v>
      </c>
      <c r="V19" s="30">
        <v>1.542</v>
      </c>
      <c r="W19" s="30">
        <v>1.536</v>
      </c>
      <c r="X19" s="30">
        <v>1.548</v>
      </c>
      <c r="Y19" s="30">
        <v>1.5429999999999999</v>
      </c>
      <c r="Z19" s="30">
        <v>1.5449999999999999</v>
      </c>
      <c r="AA19" s="30">
        <v>1.5369999999999999</v>
      </c>
      <c r="AB19" s="30">
        <v>1.546</v>
      </c>
      <c r="AC19" s="30">
        <v>1.544</v>
      </c>
      <c r="AD19" s="30">
        <v>1.5389999999999999</v>
      </c>
      <c r="AE19" s="30">
        <v>1.5429999999999999</v>
      </c>
      <c r="AF19" s="30"/>
      <c r="AG19" s="30"/>
      <c r="AH19" s="30">
        <v>1.5469999999999999</v>
      </c>
      <c r="AI19" s="30">
        <v>1.542</v>
      </c>
      <c r="AJ19" s="30">
        <v>1.5469999999999999</v>
      </c>
      <c r="AK19" s="30">
        <v>1.546</v>
      </c>
      <c r="AL19" s="30">
        <v>1.542</v>
      </c>
      <c r="AM19" s="30">
        <v>1.542</v>
      </c>
      <c r="AN19" s="30">
        <v>1.5429999999999999</v>
      </c>
      <c r="AO19" s="30">
        <v>1.542</v>
      </c>
      <c r="AP19" s="30">
        <v>1.5449999999999999</v>
      </c>
      <c r="AQ19" s="30">
        <v>1.544</v>
      </c>
      <c r="AR19" s="30">
        <v>1.534</v>
      </c>
      <c r="AS19" s="30">
        <v>1.5449999999999999</v>
      </c>
      <c r="AT19" s="30">
        <v>1.542</v>
      </c>
      <c r="AU19" s="30">
        <v>1.538</v>
      </c>
      <c r="AV19" s="30">
        <v>1.534</v>
      </c>
      <c r="AW19" s="30">
        <v>1.5429999999999999</v>
      </c>
    </row>
    <row r="20" spans="1:49" ht="18" customHeight="1">
      <c r="A20" s="23"/>
      <c r="B20" s="12"/>
      <c r="C20" s="76" t="s">
        <v>77</v>
      </c>
      <c r="D20" s="35" t="s">
        <v>99</v>
      </c>
      <c r="E20" s="35"/>
      <c r="F20" s="29" t="s">
        <v>100</v>
      </c>
      <c r="G20" s="38">
        <v>1.55</v>
      </c>
      <c r="H20" s="38">
        <v>0.03</v>
      </c>
      <c r="I20" s="38">
        <v>0.03</v>
      </c>
      <c r="J20" s="38">
        <v>0.03</v>
      </c>
      <c r="K20" s="38">
        <v>0.03</v>
      </c>
      <c r="L20" s="30">
        <f t="shared" si="0"/>
        <v>1.58</v>
      </c>
      <c r="M20" s="30">
        <f t="shared" si="1"/>
        <v>1.5669999999999999</v>
      </c>
      <c r="N20" s="30">
        <f t="shared" si="2"/>
        <v>1.3000000000000123E-2</v>
      </c>
      <c r="O20" s="31">
        <f t="shared" si="3"/>
        <v>1.5734642857142858</v>
      </c>
      <c r="P20" s="52"/>
      <c r="Q20" s="30">
        <v>1.571</v>
      </c>
      <c r="R20" s="30">
        <v>1.5669999999999999</v>
      </c>
      <c r="S20" s="30">
        <v>1.57</v>
      </c>
      <c r="T20" s="30">
        <v>1.5760000000000001</v>
      </c>
      <c r="U20" s="30">
        <v>1.5760000000000001</v>
      </c>
      <c r="V20" s="30">
        <v>1.575</v>
      </c>
      <c r="W20" s="30">
        <v>1.5760000000000001</v>
      </c>
      <c r="X20" s="30">
        <v>1.5740000000000001</v>
      </c>
      <c r="Y20" s="30">
        <v>1.57</v>
      </c>
      <c r="Z20" s="30">
        <v>1.573</v>
      </c>
      <c r="AA20" s="30">
        <v>1.5720000000000001</v>
      </c>
      <c r="AB20" s="30">
        <v>1.5780000000000001</v>
      </c>
      <c r="AC20" s="30">
        <v>1.5760000000000001</v>
      </c>
      <c r="AD20" s="30">
        <v>1.573</v>
      </c>
      <c r="AE20" s="30">
        <v>1.577</v>
      </c>
      <c r="AF20" s="30"/>
      <c r="AG20" s="30"/>
      <c r="AH20" s="30">
        <v>1.5760000000000001</v>
      </c>
      <c r="AI20" s="30">
        <v>1.57</v>
      </c>
      <c r="AJ20" s="30">
        <v>1.5760000000000001</v>
      </c>
      <c r="AK20" s="30">
        <v>1.573</v>
      </c>
      <c r="AL20" s="30">
        <v>1.5680000000000001</v>
      </c>
      <c r="AM20" s="30">
        <v>1.573</v>
      </c>
      <c r="AN20" s="30">
        <v>1.5760000000000001</v>
      </c>
      <c r="AO20" s="30">
        <v>1.571</v>
      </c>
      <c r="AP20" s="30">
        <v>1.57</v>
      </c>
      <c r="AQ20" s="30">
        <v>1.5720000000000001</v>
      </c>
      <c r="AR20" s="30">
        <v>1.573</v>
      </c>
      <c r="AS20" s="30">
        <v>1.575</v>
      </c>
      <c r="AT20" s="30">
        <v>1.58</v>
      </c>
      <c r="AU20" s="30">
        <v>1.583</v>
      </c>
      <c r="AV20" s="30">
        <v>1.575</v>
      </c>
      <c r="AW20" s="30">
        <v>1.577</v>
      </c>
    </row>
    <row r="21" spans="1:49" ht="18" customHeight="1">
      <c r="A21" s="23"/>
      <c r="B21" s="12"/>
      <c r="C21" s="76" t="s">
        <v>77</v>
      </c>
      <c r="D21" s="35" t="s">
        <v>101</v>
      </c>
      <c r="E21" s="35"/>
      <c r="F21" s="29" t="s">
        <v>102</v>
      </c>
      <c r="G21" s="38">
        <v>1.55</v>
      </c>
      <c r="H21" s="38">
        <v>0.03</v>
      </c>
      <c r="I21" s="38">
        <v>0.03</v>
      </c>
      <c r="J21" s="38">
        <v>0.03</v>
      </c>
      <c r="K21" s="38">
        <v>0.03</v>
      </c>
      <c r="L21" s="30">
        <f t="shared" si="0"/>
        <v>1.591</v>
      </c>
      <c r="M21" s="30">
        <f t="shared" si="1"/>
        <v>1.5640000000000001</v>
      </c>
      <c r="N21" s="30">
        <f t="shared" si="2"/>
        <v>2.6999999999999913E-2</v>
      </c>
      <c r="O21" s="31">
        <f t="shared" si="3"/>
        <v>1.5806071428571431</v>
      </c>
      <c r="P21" s="52"/>
      <c r="Q21" s="30">
        <v>1.5740000000000001</v>
      </c>
      <c r="R21" s="30">
        <v>1.5880000000000001</v>
      </c>
      <c r="S21" s="30">
        <v>1.575</v>
      </c>
      <c r="T21" s="30">
        <v>1.589</v>
      </c>
      <c r="U21" s="30">
        <v>1.581</v>
      </c>
      <c r="V21" s="30">
        <v>1.577</v>
      </c>
      <c r="W21" s="30">
        <v>1.58</v>
      </c>
      <c r="X21" s="30">
        <v>1.58</v>
      </c>
      <c r="Y21" s="30">
        <v>1.59</v>
      </c>
      <c r="Z21" s="30">
        <v>1.591</v>
      </c>
      <c r="AA21" s="30">
        <v>1.5760000000000001</v>
      </c>
      <c r="AB21" s="30">
        <v>1.58</v>
      </c>
      <c r="AC21" s="30">
        <v>1.571</v>
      </c>
      <c r="AD21" s="30">
        <v>1.5740000000000001</v>
      </c>
      <c r="AE21" s="30">
        <v>1.575</v>
      </c>
      <c r="AF21" s="30"/>
      <c r="AG21" s="30"/>
      <c r="AH21" s="30">
        <v>1.58</v>
      </c>
      <c r="AI21" s="30">
        <v>1.58</v>
      </c>
      <c r="AJ21" s="30">
        <v>1.5820000000000001</v>
      </c>
      <c r="AK21" s="30">
        <v>1.585</v>
      </c>
      <c r="AL21" s="30">
        <v>1.5640000000000001</v>
      </c>
      <c r="AM21" s="30">
        <v>1.575</v>
      </c>
      <c r="AN21" s="30">
        <v>1.58</v>
      </c>
      <c r="AO21" s="30">
        <v>1.581</v>
      </c>
      <c r="AP21" s="30">
        <v>1.58</v>
      </c>
      <c r="AQ21" s="30">
        <v>1.591</v>
      </c>
      <c r="AR21" s="30">
        <v>1.589</v>
      </c>
      <c r="AS21" s="30">
        <v>1.58</v>
      </c>
      <c r="AT21" s="30">
        <v>1.589</v>
      </c>
      <c r="AU21" s="30">
        <v>1.579</v>
      </c>
      <c r="AV21" s="30">
        <v>1.575</v>
      </c>
      <c r="AW21" s="30">
        <v>1.5820000000000001</v>
      </c>
    </row>
    <row r="22" spans="1:49" ht="18" customHeight="1">
      <c r="A22" s="23"/>
      <c r="B22" s="12"/>
      <c r="C22" s="76" t="s">
        <v>77</v>
      </c>
      <c r="D22" s="35" t="s">
        <v>103</v>
      </c>
      <c r="E22" s="35"/>
      <c r="F22" s="29" t="s">
        <v>104</v>
      </c>
      <c r="G22" s="38">
        <v>1.55</v>
      </c>
      <c r="H22" s="38">
        <v>0.03</v>
      </c>
      <c r="I22" s="38">
        <v>0.03</v>
      </c>
      <c r="J22" s="38">
        <v>0.03</v>
      </c>
      <c r="K22" s="38">
        <v>0.03</v>
      </c>
      <c r="L22" s="30">
        <f t="shared" si="0"/>
        <v>1.583</v>
      </c>
      <c r="M22" s="30">
        <f t="shared" si="1"/>
        <v>1.5680000000000001</v>
      </c>
      <c r="N22" s="30">
        <f t="shared" si="2"/>
        <v>1.4999999999999902E-2</v>
      </c>
      <c r="O22" s="31">
        <f t="shared" si="3"/>
        <v>1.5764642857142857</v>
      </c>
      <c r="P22" s="52"/>
      <c r="Q22" s="30">
        <v>1.58</v>
      </c>
      <c r="R22" s="30">
        <v>1.581</v>
      </c>
      <c r="S22" s="30">
        <v>1.5760000000000001</v>
      </c>
      <c r="T22" s="30">
        <v>1.581</v>
      </c>
      <c r="U22" s="30">
        <v>1.575</v>
      </c>
      <c r="V22" s="30">
        <v>1.58</v>
      </c>
      <c r="W22" s="30">
        <v>1.5720000000000001</v>
      </c>
      <c r="X22" s="30">
        <v>1.575</v>
      </c>
      <c r="Y22" s="30">
        <v>1.577</v>
      </c>
      <c r="Z22" s="30">
        <v>1.573</v>
      </c>
      <c r="AA22" s="30">
        <v>1.5780000000000001</v>
      </c>
      <c r="AB22" s="30">
        <v>1.569</v>
      </c>
      <c r="AC22" s="30">
        <v>1.571</v>
      </c>
      <c r="AD22" s="30">
        <v>1.5760000000000001</v>
      </c>
      <c r="AE22" s="30">
        <v>1.58</v>
      </c>
      <c r="AF22" s="30"/>
      <c r="AG22" s="30"/>
      <c r="AH22" s="30">
        <v>1.58</v>
      </c>
      <c r="AI22" s="30">
        <v>1.58</v>
      </c>
      <c r="AJ22" s="30">
        <v>1.583</v>
      </c>
      <c r="AK22" s="30">
        <v>1.575</v>
      </c>
      <c r="AL22" s="30">
        <v>1.5740000000000001</v>
      </c>
      <c r="AM22" s="30">
        <v>1.5680000000000001</v>
      </c>
      <c r="AN22" s="30">
        <v>1.575</v>
      </c>
      <c r="AO22" s="30">
        <v>1.579</v>
      </c>
      <c r="AP22" s="30">
        <v>1.5760000000000001</v>
      </c>
      <c r="AQ22" s="30">
        <v>1.569</v>
      </c>
      <c r="AR22" s="30">
        <v>1.58</v>
      </c>
      <c r="AS22" s="30">
        <v>1.58</v>
      </c>
      <c r="AT22" s="30">
        <v>1.5780000000000001</v>
      </c>
      <c r="AU22" s="30">
        <v>1.5760000000000001</v>
      </c>
      <c r="AV22" s="30">
        <v>1.569</v>
      </c>
      <c r="AW22" s="30">
        <v>1.575</v>
      </c>
    </row>
    <row r="23" spans="1:49" ht="18" customHeight="1">
      <c r="A23" s="23"/>
      <c r="B23" s="12"/>
      <c r="C23" s="76" t="s">
        <v>77</v>
      </c>
      <c r="D23" s="35" t="s">
        <v>105</v>
      </c>
      <c r="E23" s="35"/>
      <c r="F23" s="29" t="s">
        <v>106</v>
      </c>
      <c r="G23" s="38">
        <v>1.55</v>
      </c>
      <c r="H23" s="38">
        <v>0.03</v>
      </c>
      <c r="I23" s="38">
        <v>0.03</v>
      </c>
      <c r="J23" s="38">
        <v>0.03</v>
      </c>
      <c r="K23" s="38">
        <v>0.03</v>
      </c>
      <c r="L23" s="30">
        <f t="shared" si="0"/>
        <v>1.577</v>
      </c>
      <c r="M23" s="30">
        <f t="shared" si="1"/>
        <v>1.5569999999999999</v>
      </c>
      <c r="N23" s="30">
        <f t="shared" si="2"/>
        <v>2.0000000000000018E-2</v>
      </c>
      <c r="O23" s="31">
        <f t="shared" si="3"/>
        <v>1.5689999999999995</v>
      </c>
      <c r="P23" s="52"/>
      <c r="Q23" s="30">
        <v>1.571</v>
      </c>
      <c r="R23" s="30">
        <v>1.571</v>
      </c>
      <c r="S23" s="30">
        <v>1.5669999999999999</v>
      </c>
      <c r="T23" s="30">
        <v>1.571</v>
      </c>
      <c r="U23" s="30">
        <v>1.5620000000000001</v>
      </c>
      <c r="V23" s="30">
        <v>1.5660000000000001</v>
      </c>
      <c r="W23" s="30">
        <v>1.569</v>
      </c>
      <c r="X23" s="30">
        <v>1.5669999999999999</v>
      </c>
      <c r="Y23" s="30">
        <v>1.575</v>
      </c>
      <c r="Z23" s="30">
        <v>1.5640000000000001</v>
      </c>
      <c r="AA23" s="30">
        <v>1.577</v>
      </c>
      <c r="AB23" s="30">
        <v>1.5569999999999999</v>
      </c>
      <c r="AC23" s="30">
        <v>1.5660000000000001</v>
      </c>
      <c r="AD23" s="30">
        <v>1.5740000000000001</v>
      </c>
      <c r="AE23" s="30">
        <v>1.5720000000000001</v>
      </c>
      <c r="AF23" s="30"/>
      <c r="AG23" s="30"/>
      <c r="AH23" s="30">
        <v>1.57</v>
      </c>
      <c r="AI23" s="30">
        <v>1.5649999999999999</v>
      </c>
      <c r="AJ23" s="30">
        <v>1.573</v>
      </c>
      <c r="AK23" s="30">
        <v>1.5680000000000001</v>
      </c>
      <c r="AL23" s="30">
        <v>1.575</v>
      </c>
      <c r="AM23" s="30">
        <v>1.5660000000000001</v>
      </c>
      <c r="AN23" s="30">
        <v>1.5680000000000001</v>
      </c>
      <c r="AO23" s="30">
        <v>1.57</v>
      </c>
      <c r="AP23" s="30">
        <v>1.571</v>
      </c>
      <c r="AQ23" s="30">
        <v>1.571</v>
      </c>
      <c r="AR23" s="30">
        <v>1.57</v>
      </c>
      <c r="AS23" s="30">
        <v>1.5680000000000001</v>
      </c>
      <c r="AT23" s="30">
        <v>1.5680000000000001</v>
      </c>
      <c r="AU23" s="30">
        <v>1.5669999999999999</v>
      </c>
      <c r="AV23" s="30">
        <v>1.571</v>
      </c>
      <c r="AW23" s="30">
        <v>1.5720000000000001</v>
      </c>
    </row>
    <row r="24" spans="1:49" ht="18" customHeight="1">
      <c r="A24" s="23"/>
      <c r="B24" s="12"/>
      <c r="C24" s="76" t="s">
        <v>77</v>
      </c>
      <c r="D24" s="35" t="s">
        <v>107</v>
      </c>
      <c r="E24" s="35"/>
      <c r="F24" s="29" t="s">
        <v>108</v>
      </c>
      <c r="G24" s="38">
        <v>1.55</v>
      </c>
      <c r="H24" s="38">
        <v>0.03</v>
      </c>
      <c r="I24" s="38">
        <v>0.03</v>
      </c>
      <c r="J24" s="38">
        <v>0.03</v>
      </c>
      <c r="K24" s="38">
        <v>0.03</v>
      </c>
      <c r="L24" s="30">
        <f t="shared" si="0"/>
        <v>1.577</v>
      </c>
      <c r="M24" s="30">
        <f t="shared" si="1"/>
        <v>1.5649999999999999</v>
      </c>
      <c r="N24" s="30">
        <f t="shared" si="2"/>
        <v>1.2000000000000011E-2</v>
      </c>
      <c r="O24" s="31">
        <f t="shared" si="3"/>
        <v>1.5701785714285719</v>
      </c>
      <c r="P24" s="52"/>
      <c r="Q24" s="30">
        <v>1.5669999999999999</v>
      </c>
      <c r="R24" s="30">
        <v>1.57</v>
      </c>
      <c r="S24" s="30">
        <v>1.573</v>
      </c>
      <c r="T24" s="30">
        <v>1.5680000000000001</v>
      </c>
      <c r="U24" s="30">
        <v>1.5720000000000001</v>
      </c>
      <c r="V24" s="30">
        <v>1.5720000000000001</v>
      </c>
      <c r="W24" s="30">
        <v>1.5740000000000001</v>
      </c>
      <c r="X24" s="30">
        <v>1.5720000000000001</v>
      </c>
      <c r="Y24" s="30">
        <v>1.569</v>
      </c>
      <c r="Z24" s="30">
        <v>1.577</v>
      </c>
      <c r="AA24" s="30">
        <v>1.57</v>
      </c>
      <c r="AB24" s="30">
        <v>1.57</v>
      </c>
      <c r="AC24" s="30">
        <v>1.5680000000000001</v>
      </c>
      <c r="AD24" s="30">
        <v>1.5720000000000001</v>
      </c>
      <c r="AE24" s="30">
        <v>1.569</v>
      </c>
      <c r="AF24" s="30"/>
      <c r="AG24" s="30"/>
      <c r="AH24" s="30">
        <v>1.5669999999999999</v>
      </c>
      <c r="AI24" s="30">
        <v>1.57</v>
      </c>
      <c r="AJ24" s="30">
        <v>1.5740000000000001</v>
      </c>
      <c r="AK24" s="30">
        <v>1.57</v>
      </c>
      <c r="AL24" s="30">
        <v>1.5680000000000001</v>
      </c>
      <c r="AM24" s="30">
        <v>1.5669999999999999</v>
      </c>
      <c r="AN24" s="30">
        <v>1.575</v>
      </c>
      <c r="AO24" s="30">
        <v>1.5649999999999999</v>
      </c>
      <c r="AP24" s="30">
        <v>1.5720000000000001</v>
      </c>
      <c r="AQ24" s="30">
        <v>1.5669999999999999</v>
      </c>
      <c r="AR24" s="30">
        <v>1.5660000000000001</v>
      </c>
      <c r="AS24" s="30">
        <v>1.5720000000000001</v>
      </c>
      <c r="AT24" s="30">
        <v>1.569</v>
      </c>
      <c r="AU24" s="30">
        <v>1.5629999999999999</v>
      </c>
      <c r="AV24" s="30">
        <v>1.569</v>
      </c>
      <c r="AW24" s="30">
        <v>1.5760000000000001</v>
      </c>
    </row>
    <row r="25" spans="1:49" ht="18" customHeight="1">
      <c r="A25" s="23"/>
      <c r="B25" s="12"/>
      <c r="C25" s="76" t="s">
        <v>77</v>
      </c>
      <c r="D25" s="35" t="s">
        <v>109</v>
      </c>
      <c r="E25" s="35"/>
      <c r="F25" s="29" t="s">
        <v>110</v>
      </c>
      <c r="G25" s="38">
        <v>1.55</v>
      </c>
      <c r="H25" s="38">
        <v>0.03</v>
      </c>
      <c r="I25" s="38">
        <v>0.03</v>
      </c>
      <c r="J25" s="38">
        <v>0.03</v>
      </c>
      <c r="K25" s="38">
        <v>0.03</v>
      </c>
      <c r="L25" s="30">
        <f t="shared" si="0"/>
        <v>1.585</v>
      </c>
      <c r="M25" s="30">
        <f t="shared" si="1"/>
        <v>1.5669999999999999</v>
      </c>
      <c r="N25" s="30">
        <f t="shared" si="2"/>
        <v>1.8000000000000016E-2</v>
      </c>
      <c r="O25" s="31">
        <f t="shared" si="3"/>
        <v>1.5774999999999999</v>
      </c>
      <c r="P25" s="52"/>
      <c r="Q25" s="30">
        <v>1.575</v>
      </c>
      <c r="R25" s="30">
        <v>1.5840000000000001</v>
      </c>
      <c r="S25" s="30">
        <v>1.581</v>
      </c>
      <c r="T25" s="30">
        <v>1.585</v>
      </c>
      <c r="U25" s="30">
        <v>1.5780000000000001</v>
      </c>
      <c r="V25" s="30">
        <v>1.575</v>
      </c>
      <c r="W25" s="30">
        <v>1.575</v>
      </c>
      <c r="X25" s="30">
        <v>1.577</v>
      </c>
      <c r="Y25" s="30">
        <v>1.5740000000000001</v>
      </c>
      <c r="Z25" s="30">
        <v>1.577</v>
      </c>
      <c r="AA25" s="30">
        <v>1.579</v>
      </c>
      <c r="AB25" s="30">
        <v>1.5840000000000001</v>
      </c>
      <c r="AC25" s="30">
        <v>1.581</v>
      </c>
      <c r="AD25" s="30">
        <v>1.583</v>
      </c>
      <c r="AE25" s="30">
        <v>1.5780000000000001</v>
      </c>
      <c r="AF25" s="30"/>
      <c r="AG25" s="30"/>
      <c r="AH25" s="30">
        <v>1.57</v>
      </c>
      <c r="AI25" s="30">
        <v>1.58</v>
      </c>
      <c r="AJ25" s="30">
        <v>1.5780000000000001</v>
      </c>
      <c r="AK25" s="30">
        <v>1.5760000000000001</v>
      </c>
      <c r="AL25" s="30">
        <v>1.5720000000000001</v>
      </c>
      <c r="AM25" s="30">
        <v>1.5669999999999999</v>
      </c>
      <c r="AN25" s="30">
        <v>1.5760000000000001</v>
      </c>
      <c r="AO25" s="30">
        <v>1.583</v>
      </c>
      <c r="AP25" s="30">
        <v>1.58</v>
      </c>
      <c r="AQ25" s="30">
        <v>1.5780000000000001</v>
      </c>
      <c r="AR25" s="30">
        <v>1.579</v>
      </c>
      <c r="AS25" s="30">
        <v>1.571</v>
      </c>
      <c r="AT25" s="30">
        <v>1.5740000000000001</v>
      </c>
      <c r="AU25" s="30">
        <v>1.57</v>
      </c>
      <c r="AV25" s="30">
        <v>1.5860000000000001</v>
      </c>
      <c r="AW25" s="30">
        <v>1.58</v>
      </c>
    </row>
    <row r="26" spans="1:49" ht="18" customHeight="1">
      <c r="A26" s="23"/>
      <c r="B26" s="12"/>
      <c r="C26" s="76" t="s">
        <v>77</v>
      </c>
      <c r="D26" s="35" t="s">
        <v>111</v>
      </c>
      <c r="E26" s="35"/>
      <c r="F26" s="29" t="s">
        <v>112</v>
      </c>
      <c r="G26" s="38">
        <v>1.55</v>
      </c>
      <c r="H26" s="38">
        <v>0.03</v>
      </c>
      <c r="I26" s="38">
        <v>0.03</v>
      </c>
      <c r="J26" s="38">
        <v>0.03</v>
      </c>
      <c r="K26" s="38">
        <v>0.03</v>
      </c>
      <c r="L26" s="30">
        <f t="shared" si="0"/>
        <v>1.58</v>
      </c>
      <c r="M26" s="30">
        <f t="shared" si="1"/>
        <v>1.5669999999999999</v>
      </c>
      <c r="N26" s="30">
        <f t="shared" si="2"/>
        <v>1.3000000000000123E-2</v>
      </c>
      <c r="O26" s="31">
        <f t="shared" si="3"/>
        <v>1.5744642857142856</v>
      </c>
      <c r="P26" s="52"/>
      <c r="Q26" s="30">
        <v>1.5720000000000001</v>
      </c>
      <c r="R26" s="30">
        <v>1.5760000000000001</v>
      </c>
      <c r="S26" s="30">
        <v>1.573</v>
      </c>
      <c r="T26" s="30">
        <v>1.575</v>
      </c>
      <c r="U26" s="30">
        <v>1.5669999999999999</v>
      </c>
      <c r="V26" s="30">
        <v>1.577</v>
      </c>
      <c r="W26" s="30">
        <v>1.571</v>
      </c>
      <c r="X26" s="30">
        <v>1.5760000000000001</v>
      </c>
      <c r="Y26" s="30">
        <v>1.575</v>
      </c>
      <c r="Z26" s="30">
        <v>1.5780000000000001</v>
      </c>
      <c r="AA26" s="30">
        <v>1.5740000000000001</v>
      </c>
      <c r="AB26" s="30">
        <v>1.5720000000000001</v>
      </c>
      <c r="AC26" s="30">
        <v>1.577</v>
      </c>
      <c r="AD26" s="30">
        <v>1.577</v>
      </c>
      <c r="AE26" s="30">
        <v>1.575</v>
      </c>
      <c r="AF26" s="30"/>
      <c r="AG26" s="30"/>
      <c r="AH26" s="30">
        <v>1.5780000000000001</v>
      </c>
      <c r="AI26" s="30">
        <v>1.57</v>
      </c>
      <c r="AJ26" s="30">
        <v>1.575</v>
      </c>
      <c r="AK26" s="30">
        <v>1.5740000000000001</v>
      </c>
      <c r="AL26" s="30">
        <v>1.571</v>
      </c>
      <c r="AM26" s="30">
        <v>1.57</v>
      </c>
      <c r="AN26" s="30">
        <v>1.573</v>
      </c>
      <c r="AO26" s="30">
        <v>1.58</v>
      </c>
      <c r="AP26" s="30">
        <v>1.5760000000000001</v>
      </c>
      <c r="AQ26" s="30">
        <v>1.5720000000000001</v>
      </c>
      <c r="AR26" s="30">
        <v>1.577</v>
      </c>
      <c r="AS26" s="30">
        <v>1.5780000000000001</v>
      </c>
      <c r="AT26" s="30">
        <v>1.5760000000000001</v>
      </c>
      <c r="AU26" s="30">
        <v>1.5740000000000001</v>
      </c>
      <c r="AV26" s="30">
        <v>1.575</v>
      </c>
      <c r="AW26" s="30">
        <v>1.57</v>
      </c>
    </row>
    <row r="27" spans="1:49" ht="18" customHeight="1">
      <c r="A27" s="23"/>
      <c r="B27" s="12"/>
      <c r="C27" s="77" t="s">
        <v>77</v>
      </c>
      <c r="D27" s="35" t="s">
        <v>113</v>
      </c>
      <c r="E27" s="35"/>
      <c r="F27" s="29" t="s">
        <v>114</v>
      </c>
      <c r="G27" s="38">
        <v>1.55</v>
      </c>
      <c r="H27" s="38">
        <v>0.03</v>
      </c>
      <c r="I27" s="38">
        <v>0.03</v>
      </c>
      <c r="J27" s="38">
        <v>0.03</v>
      </c>
      <c r="K27" s="38">
        <v>0.03</v>
      </c>
      <c r="L27" s="30">
        <f t="shared" si="0"/>
        <v>1.5760000000000001</v>
      </c>
      <c r="M27" s="30">
        <f t="shared" si="1"/>
        <v>1.5609999999999999</v>
      </c>
      <c r="N27" s="30">
        <f t="shared" si="2"/>
        <v>1.5000000000000124E-2</v>
      </c>
      <c r="O27" s="31">
        <f t="shared" si="3"/>
        <v>1.5669999999999999</v>
      </c>
      <c r="P27" s="52"/>
      <c r="Q27" s="30">
        <v>1.5609999999999999</v>
      </c>
      <c r="R27" s="30">
        <v>1.5680000000000001</v>
      </c>
      <c r="S27" s="30">
        <v>1.5720000000000001</v>
      </c>
      <c r="T27" s="30">
        <v>1.5760000000000001</v>
      </c>
      <c r="U27" s="30">
        <v>1.571</v>
      </c>
      <c r="V27" s="30">
        <v>1.5640000000000001</v>
      </c>
      <c r="W27" s="30">
        <v>1.5640000000000001</v>
      </c>
      <c r="X27" s="30">
        <v>1.5609999999999999</v>
      </c>
      <c r="Y27" s="30">
        <v>1.5660000000000001</v>
      </c>
      <c r="Z27" s="30">
        <v>1.5660000000000001</v>
      </c>
      <c r="AA27" s="30">
        <v>1.5660000000000001</v>
      </c>
      <c r="AB27" s="30">
        <v>1.5609999999999999</v>
      </c>
      <c r="AC27" s="30">
        <v>1.5720000000000001</v>
      </c>
      <c r="AD27" s="30">
        <v>1.575</v>
      </c>
      <c r="AE27" s="30">
        <v>1.5629999999999999</v>
      </c>
      <c r="AF27" s="30"/>
      <c r="AG27" s="30"/>
      <c r="AH27" s="30">
        <v>1.5620000000000001</v>
      </c>
      <c r="AI27" s="30">
        <v>1.57</v>
      </c>
      <c r="AJ27" s="30">
        <v>1.5669999999999999</v>
      </c>
      <c r="AK27" s="30">
        <v>1.5640000000000001</v>
      </c>
      <c r="AL27" s="30">
        <v>1.5660000000000001</v>
      </c>
      <c r="AM27" s="30">
        <v>1.5640000000000001</v>
      </c>
      <c r="AN27" s="30">
        <v>1.5649999999999999</v>
      </c>
      <c r="AO27" s="30">
        <v>1.571</v>
      </c>
      <c r="AP27" s="30">
        <v>1.569</v>
      </c>
      <c r="AQ27" s="30">
        <v>1.5609999999999999</v>
      </c>
      <c r="AR27" s="30">
        <v>1.5740000000000001</v>
      </c>
      <c r="AS27" s="30">
        <v>1.569</v>
      </c>
      <c r="AT27" s="30">
        <v>1.5680000000000001</v>
      </c>
      <c r="AU27" s="30">
        <v>1.5640000000000001</v>
      </c>
      <c r="AV27" s="30">
        <v>1.571</v>
      </c>
      <c r="AW27" s="30">
        <v>1.5720000000000001</v>
      </c>
    </row>
    <row r="28" spans="1:49" ht="18" customHeight="1">
      <c r="A28" s="23"/>
      <c r="B28" s="12"/>
      <c r="C28" s="78" t="s">
        <v>115</v>
      </c>
      <c r="D28" s="35" t="s">
        <v>116</v>
      </c>
      <c r="E28" s="35" t="s">
        <v>117</v>
      </c>
      <c r="F28" s="29" t="s">
        <v>118</v>
      </c>
      <c r="G28" s="38">
        <v>4.1399999999999997</v>
      </c>
      <c r="H28" s="38">
        <v>0.03</v>
      </c>
      <c r="I28" s="38">
        <v>0.03</v>
      </c>
      <c r="J28" s="38">
        <v>0.03</v>
      </c>
      <c r="K28" s="38">
        <v>0.03</v>
      </c>
      <c r="L28" s="30">
        <f t="shared" si="0"/>
        <v>4.1310000000000002</v>
      </c>
      <c r="M28" s="30">
        <f t="shared" si="1"/>
        <v>4.1120000000000001</v>
      </c>
      <c r="N28" s="30">
        <f t="shared" si="2"/>
        <v>1.9000000000000128E-2</v>
      </c>
      <c r="O28" s="31">
        <f t="shared" si="3"/>
        <v>4.1204285714285707</v>
      </c>
      <c r="P28" s="52"/>
      <c r="Q28" s="30">
        <v>4.13</v>
      </c>
      <c r="R28" s="30">
        <v>4.12</v>
      </c>
      <c r="S28" s="30">
        <v>4.1230000000000002</v>
      </c>
      <c r="T28" s="30">
        <v>4.1189999999999998</v>
      </c>
      <c r="U28" s="30">
        <v>4.1260000000000003</v>
      </c>
      <c r="V28" s="30">
        <v>4.1310000000000002</v>
      </c>
      <c r="W28" s="30">
        <v>4.1239999999999997</v>
      </c>
      <c r="X28" s="30">
        <v>4.1219999999999999</v>
      </c>
      <c r="Y28" s="30">
        <v>4.12</v>
      </c>
      <c r="Z28" s="30">
        <v>4.1180000000000003</v>
      </c>
      <c r="AA28" s="30">
        <v>4.1210000000000004</v>
      </c>
      <c r="AB28" s="30">
        <v>4.1230000000000002</v>
      </c>
      <c r="AC28" s="30">
        <v>4.1219999999999999</v>
      </c>
      <c r="AD28" s="30">
        <v>4.1230000000000002</v>
      </c>
      <c r="AE28" s="30">
        <v>4.1210000000000004</v>
      </c>
      <c r="AF28" s="30"/>
      <c r="AG28" s="30"/>
      <c r="AH28" s="30">
        <v>4.1210000000000004</v>
      </c>
      <c r="AI28" s="30">
        <v>4.1189999999999998</v>
      </c>
      <c r="AJ28" s="30">
        <v>4.1180000000000003</v>
      </c>
      <c r="AK28" s="30">
        <v>4.1219999999999999</v>
      </c>
      <c r="AL28" s="30">
        <v>4.12</v>
      </c>
      <c r="AM28" s="30">
        <v>4.1139999999999999</v>
      </c>
      <c r="AN28" s="30">
        <v>4.117</v>
      </c>
      <c r="AO28" s="30">
        <v>4.1189999999999998</v>
      </c>
      <c r="AP28" s="30">
        <v>4.1210000000000004</v>
      </c>
      <c r="AQ28" s="30">
        <v>4.1120000000000001</v>
      </c>
      <c r="AR28" s="30">
        <v>4.1120000000000001</v>
      </c>
      <c r="AS28" s="30">
        <v>4.1180000000000003</v>
      </c>
      <c r="AT28" s="30">
        <v>4.1159999999999997</v>
      </c>
      <c r="AU28" s="30">
        <v>4.12</v>
      </c>
      <c r="AV28" s="30">
        <v>4.117</v>
      </c>
      <c r="AW28" s="30">
        <v>4.1150000000000002</v>
      </c>
    </row>
    <row r="29" spans="1:49" ht="18" customHeight="1">
      <c r="A29" s="23"/>
      <c r="B29" s="12"/>
      <c r="C29" s="78" t="s">
        <v>115</v>
      </c>
      <c r="D29" s="35" t="s">
        <v>119</v>
      </c>
      <c r="E29" s="35"/>
      <c r="F29" s="29" t="s">
        <v>120</v>
      </c>
      <c r="G29" s="38">
        <v>4.1399999999999997</v>
      </c>
      <c r="H29" s="38">
        <v>0.03</v>
      </c>
      <c r="I29" s="38">
        <v>0.03</v>
      </c>
      <c r="J29" s="38">
        <v>0.03</v>
      </c>
      <c r="K29" s="38">
        <v>0.03</v>
      </c>
      <c r="L29" s="30">
        <f t="shared" si="0"/>
        <v>4.1429999999999998</v>
      </c>
      <c r="M29" s="30">
        <f t="shared" si="1"/>
        <v>4.117</v>
      </c>
      <c r="N29" s="30">
        <f t="shared" si="2"/>
        <v>2.5999999999999801E-2</v>
      </c>
      <c r="O29" s="31">
        <f t="shared" si="3"/>
        <v>4.1278928571428564</v>
      </c>
      <c r="P29" s="52"/>
      <c r="Q29" s="30">
        <v>4.1429999999999998</v>
      </c>
      <c r="R29" s="30">
        <v>4.1260000000000003</v>
      </c>
      <c r="S29" s="30">
        <v>4.1289999999999996</v>
      </c>
      <c r="T29" s="30">
        <v>4.125</v>
      </c>
      <c r="U29" s="30">
        <v>4.13</v>
      </c>
      <c r="V29" s="30">
        <v>4.1340000000000003</v>
      </c>
      <c r="W29" s="30">
        <v>4.1289999999999996</v>
      </c>
      <c r="X29" s="30">
        <v>4.1310000000000002</v>
      </c>
      <c r="Y29" s="30">
        <v>4.13</v>
      </c>
      <c r="Z29" s="30">
        <v>4.1289999999999996</v>
      </c>
      <c r="AA29" s="30">
        <v>4.1289999999999996</v>
      </c>
      <c r="AB29" s="30">
        <v>4.1319999999999997</v>
      </c>
      <c r="AC29" s="30">
        <v>4.1280000000000001</v>
      </c>
      <c r="AD29" s="30">
        <v>4.1310000000000002</v>
      </c>
      <c r="AE29" s="30">
        <v>4.1310000000000002</v>
      </c>
      <c r="AF29" s="30"/>
      <c r="AG29" s="30"/>
      <c r="AH29" s="30">
        <v>4.1269999999999998</v>
      </c>
      <c r="AI29" s="30">
        <v>4.1269999999999998</v>
      </c>
      <c r="AJ29" s="30">
        <v>4.1289999999999996</v>
      </c>
      <c r="AK29" s="30">
        <v>4.13</v>
      </c>
      <c r="AL29" s="30">
        <v>4.1280000000000001</v>
      </c>
      <c r="AM29" s="30">
        <v>4.1180000000000003</v>
      </c>
      <c r="AN29" s="30">
        <v>4.1269999999999998</v>
      </c>
      <c r="AO29" s="30">
        <v>4.1280000000000001</v>
      </c>
      <c r="AP29" s="30">
        <v>4.1289999999999996</v>
      </c>
      <c r="AQ29" s="30">
        <v>4.117</v>
      </c>
      <c r="AR29" s="30">
        <v>4.1219999999999999</v>
      </c>
      <c r="AS29" s="30">
        <v>4.1210000000000004</v>
      </c>
      <c r="AT29" s="30">
        <v>4.1210000000000004</v>
      </c>
      <c r="AU29" s="30">
        <v>4.1260000000000003</v>
      </c>
      <c r="AV29" s="30">
        <v>4.12</v>
      </c>
      <c r="AW29" s="30">
        <v>4.1189999999999998</v>
      </c>
    </row>
    <row r="30" spans="1:49" ht="18" customHeight="1">
      <c r="A30" s="23"/>
      <c r="B30" s="12"/>
      <c r="C30" s="78" t="s">
        <v>115</v>
      </c>
      <c r="D30" s="35" t="s">
        <v>121</v>
      </c>
      <c r="E30" s="35"/>
      <c r="F30" s="29" t="s">
        <v>122</v>
      </c>
      <c r="G30" s="38">
        <v>4.1399999999999997</v>
      </c>
      <c r="H30" s="38">
        <v>0.03</v>
      </c>
      <c r="I30" s="38">
        <v>0.03</v>
      </c>
      <c r="J30" s="38">
        <v>0.03</v>
      </c>
      <c r="K30" s="38">
        <v>0.03</v>
      </c>
      <c r="L30" s="30">
        <f t="shared" si="0"/>
        <v>4.1420000000000003</v>
      </c>
      <c r="M30" s="30">
        <f t="shared" si="1"/>
        <v>4.1280000000000001</v>
      </c>
      <c r="N30" s="30">
        <f t="shared" si="2"/>
        <v>1.4000000000000234E-2</v>
      </c>
      <c r="O30" s="31">
        <f t="shared" si="3"/>
        <v>4.1361428571428567</v>
      </c>
      <c r="P30" s="52"/>
      <c r="Q30" s="30">
        <v>4.1420000000000003</v>
      </c>
      <c r="R30" s="30">
        <v>4.1349999999999998</v>
      </c>
      <c r="S30" s="30">
        <v>4.141</v>
      </c>
      <c r="T30" s="30">
        <v>4.1340000000000003</v>
      </c>
      <c r="U30" s="30">
        <v>4.1420000000000003</v>
      </c>
      <c r="V30" s="30">
        <v>4.1420000000000003</v>
      </c>
      <c r="W30" s="30">
        <v>4.141</v>
      </c>
      <c r="X30" s="30">
        <v>4.1369999999999996</v>
      </c>
      <c r="Y30" s="30">
        <v>4.1349999999999998</v>
      </c>
      <c r="Z30" s="30">
        <v>4.133</v>
      </c>
      <c r="AA30" s="30">
        <v>4.1360000000000001</v>
      </c>
      <c r="AB30" s="30">
        <v>4.1379999999999999</v>
      </c>
      <c r="AC30" s="30">
        <v>4.1379999999999999</v>
      </c>
      <c r="AD30" s="30">
        <v>4.1379999999999999</v>
      </c>
      <c r="AE30" s="30">
        <v>4.1360000000000001</v>
      </c>
      <c r="AF30" s="30"/>
      <c r="AG30" s="30"/>
      <c r="AH30" s="30">
        <v>4.1360000000000001</v>
      </c>
      <c r="AI30" s="30">
        <v>4.1399999999999997</v>
      </c>
      <c r="AJ30" s="30">
        <v>4.133</v>
      </c>
      <c r="AK30" s="30">
        <v>4.1420000000000003</v>
      </c>
      <c r="AL30" s="30">
        <v>4.1379999999999999</v>
      </c>
      <c r="AM30" s="30">
        <v>4.1310000000000002</v>
      </c>
      <c r="AN30" s="30">
        <v>4.1310000000000002</v>
      </c>
      <c r="AO30" s="30">
        <v>4.1349999999999998</v>
      </c>
      <c r="AP30" s="30">
        <v>4.1390000000000002</v>
      </c>
      <c r="AQ30" s="30">
        <v>4.13</v>
      </c>
      <c r="AR30" s="30">
        <v>4.1280000000000001</v>
      </c>
      <c r="AS30" s="30">
        <v>4.1319999999999997</v>
      </c>
      <c r="AT30" s="30">
        <v>4.1289999999999996</v>
      </c>
      <c r="AU30" s="30">
        <v>4.1360000000000001</v>
      </c>
      <c r="AV30" s="30">
        <v>4.1310000000000002</v>
      </c>
      <c r="AW30" s="30">
        <v>4.1269999999999998</v>
      </c>
    </row>
    <row r="31" spans="1:49" ht="18" customHeight="1">
      <c r="A31" s="23"/>
      <c r="B31" s="12"/>
      <c r="C31" s="78" t="s">
        <v>115</v>
      </c>
      <c r="D31" s="35" t="s">
        <v>123</v>
      </c>
      <c r="E31" s="35"/>
      <c r="F31" s="29" t="s">
        <v>124</v>
      </c>
      <c r="G31" s="38">
        <v>4.1399999999999997</v>
      </c>
      <c r="H31" s="38">
        <v>0.03</v>
      </c>
      <c r="I31" s="38">
        <v>0.03</v>
      </c>
      <c r="J31" s="38">
        <v>0.03</v>
      </c>
      <c r="K31" s="38">
        <v>0.03</v>
      </c>
      <c r="L31" s="30">
        <f t="shared" si="0"/>
        <v>4.1529999999999996</v>
      </c>
      <c r="M31" s="30">
        <f t="shared" si="1"/>
        <v>4.1180000000000003</v>
      </c>
      <c r="N31" s="30">
        <f t="shared" si="2"/>
        <v>3.4999999999999254E-2</v>
      </c>
      <c r="O31" s="31">
        <f t="shared" si="3"/>
        <v>4.1234642857142854</v>
      </c>
      <c r="P31" s="52"/>
      <c r="Q31" s="30">
        <v>4.1529999999999996</v>
      </c>
      <c r="R31" s="30">
        <v>4.1219999999999999</v>
      </c>
      <c r="S31" s="30">
        <v>4.1260000000000003</v>
      </c>
      <c r="T31" s="30">
        <v>4.12</v>
      </c>
      <c r="U31" s="30">
        <v>4.13</v>
      </c>
      <c r="V31" s="30">
        <v>4.1349999999999998</v>
      </c>
      <c r="W31" s="30">
        <v>4.1289999999999996</v>
      </c>
      <c r="X31" s="30">
        <v>4.1189999999999998</v>
      </c>
      <c r="Y31" s="30">
        <v>4.1189999999999998</v>
      </c>
      <c r="Z31" s="30">
        <v>4.1189999999999998</v>
      </c>
      <c r="AA31" s="30">
        <v>4.1180000000000003</v>
      </c>
      <c r="AB31" s="30">
        <v>4.1219999999999999</v>
      </c>
      <c r="AC31" s="30">
        <v>4.12</v>
      </c>
      <c r="AD31" s="30">
        <v>4.1210000000000004</v>
      </c>
      <c r="AE31" s="30">
        <v>4.12</v>
      </c>
      <c r="AF31" s="30"/>
      <c r="AG31" s="30"/>
      <c r="AH31" s="30">
        <v>4.1180000000000003</v>
      </c>
      <c r="AI31" s="30">
        <v>4.1210000000000004</v>
      </c>
      <c r="AJ31" s="30">
        <v>4.1230000000000002</v>
      </c>
      <c r="AK31" s="30">
        <v>4.1230000000000002</v>
      </c>
      <c r="AL31" s="30">
        <v>4.1369999999999996</v>
      </c>
      <c r="AM31" s="30">
        <v>4.1189999999999998</v>
      </c>
      <c r="AN31" s="30">
        <v>4.1210000000000004</v>
      </c>
      <c r="AO31" s="30">
        <v>4.1210000000000004</v>
      </c>
      <c r="AP31" s="30">
        <v>4.1239999999999997</v>
      </c>
      <c r="AQ31" s="30">
        <v>4.1180000000000003</v>
      </c>
      <c r="AR31" s="30">
        <v>4.1180000000000003</v>
      </c>
      <c r="AS31" s="30">
        <v>4.12</v>
      </c>
      <c r="AT31" s="30">
        <v>4.1210000000000004</v>
      </c>
      <c r="AU31" s="30">
        <v>4.1319999999999997</v>
      </c>
      <c r="AV31" s="30">
        <v>4.1180000000000003</v>
      </c>
      <c r="AW31" s="30">
        <v>4.12</v>
      </c>
    </row>
    <row r="32" spans="1:49" ht="18" customHeight="1">
      <c r="A32" s="23"/>
      <c r="B32" s="12"/>
      <c r="C32" s="76" t="s">
        <v>77</v>
      </c>
      <c r="D32" s="35" t="s">
        <v>125</v>
      </c>
      <c r="E32" s="35"/>
      <c r="F32" s="29" t="s">
        <v>126</v>
      </c>
      <c r="G32" s="38">
        <v>3.75</v>
      </c>
      <c r="H32" s="38">
        <v>0.08</v>
      </c>
      <c r="I32" s="38">
        <v>0.05</v>
      </c>
      <c r="J32" s="38">
        <v>0.08</v>
      </c>
      <c r="K32" s="38">
        <v>0.05</v>
      </c>
      <c r="L32" s="30">
        <f t="shared" si="0"/>
        <v>3.76</v>
      </c>
      <c r="M32" s="30">
        <f t="shared" si="1"/>
        <v>3.7389999999999999</v>
      </c>
      <c r="N32" s="30">
        <f t="shared" si="2"/>
        <v>2.0999999999999908E-2</v>
      </c>
      <c r="O32" s="31">
        <f t="shared" si="3"/>
        <v>3.7526428571428574</v>
      </c>
      <c r="P32" s="52"/>
      <c r="Q32" s="30">
        <v>3.75</v>
      </c>
      <c r="R32" s="30">
        <v>3.7530000000000001</v>
      </c>
      <c r="S32" s="30">
        <v>3.7530000000000001</v>
      </c>
      <c r="T32" s="30">
        <v>3.76</v>
      </c>
      <c r="U32" s="30">
        <v>3.7509999999999999</v>
      </c>
      <c r="V32" s="30">
        <v>3.7570000000000001</v>
      </c>
      <c r="W32" s="30">
        <v>3.75</v>
      </c>
      <c r="X32" s="30">
        <v>3.7570000000000001</v>
      </c>
      <c r="Y32" s="30">
        <v>3.7559999999999998</v>
      </c>
      <c r="Z32" s="30">
        <v>3.7530000000000001</v>
      </c>
      <c r="AA32" s="30">
        <v>3.7509999999999999</v>
      </c>
      <c r="AB32" s="30">
        <v>3.7429999999999999</v>
      </c>
      <c r="AC32" s="30">
        <v>3.7389999999999999</v>
      </c>
      <c r="AD32" s="30">
        <v>3.7570000000000001</v>
      </c>
      <c r="AE32" s="30">
        <v>3.7570000000000001</v>
      </c>
      <c r="AF32" s="30"/>
      <c r="AG32" s="30"/>
      <c r="AH32" s="30">
        <v>3.7570000000000001</v>
      </c>
      <c r="AI32" s="30">
        <v>3.7530000000000001</v>
      </c>
      <c r="AJ32" s="30">
        <v>3.75</v>
      </c>
      <c r="AK32" s="30">
        <v>3.7570000000000001</v>
      </c>
      <c r="AL32" s="30">
        <v>3.7450000000000001</v>
      </c>
      <c r="AM32" s="30">
        <v>3.7589999999999999</v>
      </c>
      <c r="AN32" s="30">
        <v>3.7480000000000002</v>
      </c>
      <c r="AO32" s="30">
        <v>3.7509999999999999</v>
      </c>
      <c r="AP32" s="30">
        <v>3.7549999999999999</v>
      </c>
      <c r="AQ32" s="30">
        <v>3.746</v>
      </c>
      <c r="AR32" s="30">
        <v>3.758</v>
      </c>
      <c r="AS32" s="30">
        <v>3.754</v>
      </c>
      <c r="AT32" s="30">
        <v>3.754</v>
      </c>
      <c r="AU32" s="30">
        <v>3.758</v>
      </c>
      <c r="AV32" s="30">
        <v>3.7549999999999999</v>
      </c>
      <c r="AW32" s="30">
        <v>3.7559999999999998</v>
      </c>
    </row>
    <row r="33" spans="1:49" ht="18" customHeight="1">
      <c r="A33" s="23"/>
      <c r="B33" s="12"/>
      <c r="C33" s="76" t="s">
        <v>77</v>
      </c>
      <c r="D33" s="35" t="s">
        <v>127</v>
      </c>
      <c r="E33" s="35"/>
      <c r="F33" s="29" t="s">
        <v>128</v>
      </c>
      <c r="G33" s="38">
        <v>3.75</v>
      </c>
      <c r="H33" s="38">
        <v>0.08</v>
      </c>
      <c r="I33" s="38">
        <v>0.05</v>
      </c>
      <c r="J33" s="38">
        <v>0.08</v>
      </c>
      <c r="K33" s="38">
        <v>0.05</v>
      </c>
      <c r="L33" s="30">
        <f t="shared" si="0"/>
        <v>3.7530000000000001</v>
      </c>
      <c r="M33" s="30">
        <f t="shared" si="1"/>
        <v>3.7370000000000001</v>
      </c>
      <c r="N33" s="61">
        <f t="shared" si="2"/>
        <v>1.6000000000000014E-2</v>
      </c>
      <c r="O33" s="31">
        <f t="shared" si="3"/>
        <v>3.7434642857142855</v>
      </c>
      <c r="P33" s="52"/>
      <c r="Q33" s="30">
        <v>3.7490000000000001</v>
      </c>
      <c r="R33" s="30">
        <v>3.742</v>
      </c>
      <c r="S33" s="30">
        <v>3.7410000000000001</v>
      </c>
      <c r="T33" s="30">
        <v>3.74</v>
      </c>
      <c r="U33" s="30">
        <v>3.7389999999999999</v>
      </c>
      <c r="V33" s="30">
        <v>3.7389999999999999</v>
      </c>
      <c r="W33" s="30">
        <v>3.7450000000000001</v>
      </c>
      <c r="X33" s="30">
        <v>3.7469999999999999</v>
      </c>
      <c r="Y33" s="30">
        <v>3.7429999999999999</v>
      </c>
      <c r="Z33" s="30">
        <v>3.7530000000000001</v>
      </c>
      <c r="AA33" s="30">
        <v>3.7440000000000002</v>
      </c>
      <c r="AB33" s="30">
        <v>3.7410000000000001</v>
      </c>
      <c r="AC33" s="30">
        <v>3.7410000000000001</v>
      </c>
      <c r="AD33" s="30">
        <v>3.742</v>
      </c>
      <c r="AE33" s="30">
        <v>3.7440000000000002</v>
      </c>
      <c r="AF33" s="30"/>
      <c r="AG33" s="30"/>
      <c r="AH33" s="30">
        <v>3.738</v>
      </c>
      <c r="AI33" s="30">
        <v>3.7440000000000002</v>
      </c>
      <c r="AJ33" s="30">
        <v>3.7440000000000002</v>
      </c>
      <c r="AK33" s="30">
        <v>3.7429999999999999</v>
      </c>
      <c r="AL33" s="30">
        <v>3.738</v>
      </c>
      <c r="AM33" s="30">
        <v>3.7410000000000001</v>
      </c>
      <c r="AN33" s="30">
        <v>3.75</v>
      </c>
      <c r="AO33" s="30">
        <v>3.746</v>
      </c>
      <c r="AP33" s="30">
        <v>3.7480000000000002</v>
      </c>
      <c r="AQ33" s="30">
        <v>3.7480000000000002</v>
      </c>
      <c r="AR33" s="30">
        <v>3.7370000000000001</v>
      </c>
      <c r="AS33" s="30">
        <v>3.7429999999999999</v>
      </c>
      <c r="AT33" s="30">
        <v>3.7469999999999999</v>
      </c>
      <c r="AU33" s="30">
        <v>3.7440000000000002</v>
      </c>
      <c r="AV33" s="30">
        <v>3.742</v>
      </c>
      <c r="AW33" s="30">
        <v>3.7440000000000002</v>
      </c>
    </row>
    <row r="34" spans="1:49" ht="18" customHeight="1">
      <c r="A34" s="23"/>
      <c r="B34" s="12"/>
      <c r="C34" s="76" t="s">
        <v>77</v>
      </c>
      <c r="D34" s="35" t="s">
        <v>129</v>
      </c>
      <c r="E34" s="35"/>
      <c r="F34" s="29" t="s">
        <v>130</v>
      </c>
      <c r="G34" s="38">
        <v>3.75</v>
      </c>
      <c r="H34" s="38">
        <v>0.05</v>
      </c>
      <c r="I34" s="38">
        <v>0.05</v>
      </c>
      <c r="J34" s="38">
        <v>0.05</v>
      </c>
      <c r="K34" s="38">
        <v>0.05</v>
      </c>
      <c r="L34" s="30">
        <f t="shared" si="0"/>
        <v>3.76</v>
      </c>
      <c r="M34" s="30">
        <f t="shared" si="1"/>
        <v>3.738</v>
      </c>
      <c r="N34" s="30">
        <f t="shared" si="2"/>
        <v>2.1999999999999797E-2</v>
      </c>
      <c r="O34" s="31">
        <f t="shared" si="3"/>
        <v>3.7498928571428567</v>
      </c>
      <c r="P34" s="52"/>
      <c r="Q34" s="30">
        <v>3.7480000000000002</v>
      </c>
      <c r="R34" s="30">
        <v>3.7519999999999998</v>
      </c>
      <c r="S34" s="30">
        <v>3.75</v>
      </c>
      <c r="T34" s="30">
        <v>3.7490000000000001</v>
      </c>
      <c r="U34" s="30">
        <v>3.7549999999999999</v>
      </c>
      <c r="V34" s="30">
        <v>3.746</v>
      </c>
      <c r="W34" s="30">
        <v>3.7429999999999999</v>
      </c>
      <c r="X34" s="30">
        <v>3.7519999999999998</v>
      </c>
      <c r="Y34" s="30">
        <v>3.75</v>
      </c>
      <c r="Z34" s="30">
        <v>3.7480000000000002</v>
      </c>
      <c r="AA34" s="30">
        <v>3.746</v>
      </c>
      <c r="AB34" s="30">
        <v>3.754</v>
      </c>
      <c r="AC34" s="30">
        <v>3.7440000000000002</v>
      </c>
      <c r="AD34" s="30">
        <v>3.7480000000000002</v>
      </c>
      <c r="AE34" s="30">
        <v>3.7480000000000002</v>
      </c>
      <c r="AF34" s="30"/>
      <c r="AG34" s="30"/>
      <c r="AH34" s="30">
        <v>3.742</v>
      </c>
      <c r="AI34" s="30">
        <v>3.76</v>
      </c>
      <c r="AJ34" s="30">
        <v>3.7549999999999999</v>
      </c>
      <c r="AK34" s="30">
        <v>3.75</v>
      </c>
      <c r="AL34" s="30">
        <v>3.7450000000000001</v>
      </c>
      <c r="AM34" s="30">
        <v>3.754</v>
      </c>
      <c r="AN34" s="30">
        <v>3.758</v>
      </c>
      <c r="AO34" s="30">
        <v>3.7509999999999999</v>
      </c>
      <c r="AP34" s="30">
        <v>3.738</v>
      </c>
      <c r="AQ34" s="30">
        <v>3.754</v>
      </c>
      <c r="AR34" s="30">
        <v>3.7589999999999999</v>
      </c>
      <c r="AS34" s="30">
        <v>3.7549999999999999</v>
      </c>
      <c r="AT34" s="30">
        <v>3.7429999999999999</v>
      </c>
      <c r="AU34" s="30">
        <v>3.75</v>
      </c>
      <c r="AV34" s="30">
        <v>3.7549999999999999</v>
      </c>
      <c r="AW34" s="30">
        <v>3.738</v>
      </c>
    </row>
    <row r="35" spans="1:49" ht="18" customHeight="1">
      <c r="A35" s="23"/>
      <c r="B35" s="12"/>
      <c r="C35" s="76" t="s">
        <v>77</v>
      </c>
      <c r="D35" s="35" t="s">
        <v>131</v>
      </c>
      <c r="E35" s="35"/>
      <c r="F35" s="29" t="s">
        <v>132</v>
      </c>
      <c r="G35" s="38">
        <v>3.75</v>
      </c>
      <c r="H35" s="38">
        <v>0.05</v>
      </c>
      <c r="I35" s="38">
        <v>0.05</v>
      </c>
      <c r="J35" s="38">
        <v>0.05</v>
      </c>
      <c r="K35" s="38">
        <v>0.05</v>
      </c>
      <c r="L35" s="30">
        <f t="shared" si="0"/>
        <v>3.7679999999999998</v>
      </c>
      <c r="M35" s="30">
        <f t="shared" si="1"/>
        <v>3.738</v>
      </c>
      <c r="N35" s="30">
        <f t="shared" si="2"/>
        <v>2.9999999999999805E-2</v>
      </c>
      <c r="O35" s="31">
        <f t="shared" si="3"/>
        <v>3.7504642857142865</v>
      </c>
      <c r="P35" s="52"/>
      <c r="Q35" s="30">
        <v>3.7450000000000001</v>
      </c>
      <c r="R35" s="30">
        <v>3.7480000000000002</v>
      </c>
      <c r="S35" s="30">
        <v>3.7480000000000002</v>
      </c>
      <c r="T35" s="30">
        <v>3.7469999999999999</v>
      </c>
      <c r="U35" s="30">
        <v>3.7519999999999998</v>
      </c>
      <c r="V35" s="30">
        <v>3.76</v>
      </c>
      <c r="W35" s="30">
        <v>3.7509999999999999</v>
      </c>
      <c r="X35" s="30">
        <v>3.7490000000000001</v>
      </c>
      <c r="Y35" s="30">
        <v>3.7549999999999999</v>
      </c>
      <c r="Z35" s="30">
        <v>3.7480000000000002</v>
      </c>
      <c r="AA35" s="30">
        <v>3.7490000000000001</v>
      </c>
      <c r="AB35" s="30">
        <v>3.7530000000000001</v>
      </c>
      <c r="AC35" s="30">
        <v>3.7559999999999998</v>
      </c>
      <c r="AD35" s="30">
        <v>3.7490000000000001</v>
      </c>
      <c r="AE35" s="30">
        <v>3.7530000000000001</v>
      </c>
      <c r="AF35" s="30"/>
      <c r="AG35" s="30"/>
      <c r="AH35" s="30">
        <v>3.7610000000000001</v>
      </c>
      <c r="AI35" s="30">
        <v>3.7530000000000001</v>
      </c>
      <c r="AJ35" s="30">
        <v>3.7469999999999999</v>
      </c>
      <c r="AK35" s="30">
        <v>3.75</v>
      </c>
      <c r="AL35" s="30">
        <v>3.7469999999999999</v>
      </c>
      <c r="AM35" s="30">
        <v>3.7389999999999999</v>
      </c>
      <c r="AN35" s="30">
        <v>3.7509999999999999</v>
      </c>
      <c r="AO35" s="30">
        <v>3.7509999999999999</v>
      </c>
      <c r="AP35" s="30">
        <v>3.7679999999999998</v>
      </c>
      <c r="AQ35" s="30">
        <v>3.7480000000000002</v>
      </c>
      <c r="AR35" s="30">
        <v>3.7509999999999999</v>
      </c>
      <c r="AS35" s="30">
        <v>3.746</v>
      </c>
      <c r="AT35" s="30">
        <v>3.738</v>
      </c>
      <c r="AU35" s="30">
        <v>3.762</v>
      </c>
      <c r="AV35" s="30">
        <v>3.758</v>
      </c>
      <c r="AW35" s="30">
        <v>3.7469999999999999</v>
      </c>
    </row>
    <row r="36" spans="1:49" ht="18" customHeight="1">
      <c r="A36" s="23"/>
      <c r="B36" s="12"/>
      <c r="C36" s="78" t="s">
        <v>115</v>
      </c>
      <c r="D36" s="35" t="s">
        <v>133</v>
      </c>
      <c r="E36" s="35"/>
      <c r="F36" s="29" t="s">
        <v>134</v>
      </c>
      <c r="G36" s="38">
        <v>0.95</v>
      </c>
      <c r="H36" s="38">
        <v>0.04</v>
      </c>
      <c r="I36" s="38">
        <v>0.04</v>
      </c>
      <c r="J36" s="38">
        <v>0.04</v>
      </c>
      <c r="K36" s="38">
        <v>0.04</v>
      </c>
      <c r="L36" s="30">
        <f t="shared" si="0"/>
        <v>0.94499999999999995</v>
      </c>
      <c r="M36" s="30">
        <f t="shared" si="1"/>
        <v>0.93200000000000005</v>
      </c>
      <c r="N36" s="30">
        <f t="shared" si="2"/>
        <v>1.2999999999999901E-2</v>
      </c>
      <c r="O36" s="31">
        <f t="shared" si="3"/>
        <v>0.93642857142857128</v>
      </c>
      <c r="P36" s="52"/>
      <c r="Q36" s="30">
        <v>0.93300000000000005</v>
      </c>
      <c r="R36" s="30">
        <v>0.93500000000000005</v>
      </c>
      <c r="S36" s="30">
        <v>0.94099999999999995</v>
      </c>
      <c r="T36" s="30">
        <v>0.93400000000000005</v>
      </c>
      <c r="U36" s="30">
        <v>0.94299999999999995</v>
      </c>
      <c r="V36" s="30">
        <v>0.94499999999999995</v>
      </c>
      <c r="W36" s="30">
        <v>0.94099999999999995</v>
      </c>
      <c r="X36" s="30">
        <v>0.93600000000000005</v>
      </c>
      <c r="Y36" s="30">
        <v>0.93500000000000005</v>
      </c>
      <c r="Z36" s="30">
        <v>0.93400000000000005</v>
      </c>
      <c r="AA36" s="30">
        <v>0.93400000000000005</v>
      </c>
      <c r="AB36" s="30">
        <v>0.93799999999999994</v>
      </c>
      <c r="AC36" s="30">
        <v>0.93300000000000005</v>
      </c>
      <c r="AD36" s="30">
        <v>0.93600000000000005</v>
      </c>
      <c r="AE36" s="30">
        <v>0.93700000000000006</v>
      </c>
      <c r="AF36" s="30"/>
      <c r="AG36" s="30"/>
      <c r="AH36" s="30">
        <v>0.93200000000000005</v>
      </c>
      <c r="AI36" s="30">
        <v>0.93200000000000005</v>
      </c>
      <c r="AJ36" s="30">
        <v>0.93500000000000005</v>
      </c>
      <c r="AK36" s="30">
        <v>0.93500000000000005</v>
      </c>
      <c r="AL36" s="30">
        <v>0.93400000000000005</v>
      </c>
      <c r="AM36" s="30">
        <v>0.93600000000000005</v>
      </c>
      <c r="AN36" s="30">
        <v>0.93300000000000005</v>
      </c>
      <c r="AO36" s="30">
        <v>0.93799999999999994</v>
      </c>
      <c r="AP36" s="30">
        <v>0.94299999999999995</v>
      </c>
      <c r="AQ36" s="30">
        <v>0.93500000000000005</v>
      </c>
      <c r="AR36" s="30">
        <v>0.93600000000000005</v>
      </c>
      <c r="AS36" s="30">
        <v>0.93799999999999994</v>
      </c>
      <c r="AT36" s="30">
        <v>0.93799999999999994</v>
      </c>
      <c r="AU36" s="30">
        <v>0.93200000000000005</v>
      </c>
      <c r="AV36" s="30">
        <v>0.93700000000000006</v>
      </c>
      <c r="AW36" s="30">
        <v>0.93700000000000006</v>
      </c>
    </row>
    <row r="37" spans="1:49" ht="18" customHeight="1">
      <c r="A37" s="23"/>
      <c r="B37" s="12"/>
      <c r="C37" s="78" t="s">
        <v>115</v>
      </c>
      <c r="D37" s="35" t="s">
        <v>135</v>
      </c>
      <c r="E37" s="35"/>
      <c r="F37" s="29" t="s">
        <v>136</v>
      </c>
      <c r="G37" s="38">
        <v>1.85</v>
      </c>
      <c r="H37" s="38">
        <v>0.05</v>
      </c>
      <c r="I37" s="38">
        <v>0.09</v>
      </c>
      <c r="J37" s="38">
        <v>0.05</v>
      </c>
      <c r="K37" s="38">
        <v>0.09</v>
      </c>
      <c r="L37" s="30">
        <f t="shared" si="0"/>
        <v>1.8280000000000001</v>
      </c>
      <c r="M37" s="30">
        <f t="shared" si="1"/>
        <v>1.8129999999999999</v>
      </c>
      <c r="N37" s="30">
        <f t="shared" si="2"/>
        <v>1.5000000000000124E-2</v>
      </c>
      <c r="O37" s="31">
        <f t="shared" si="3"/>
        <v>1.8224642857142859</v>
      </c>
      <c r="P37" s="52"/>
      <c r="Q37" s="30">
        <v>1.8129999999999999</v>
      </c>
      <c r="R37" s="30">
        <v>1.8240000000000001</v>
      </c>
      <c r="S37" s="30">
        <v>1.823</v>
      </c>
      <c r="T37" s="30">
        <v>1.8220000000000001</v>
      </c>
      <c r="U37" s="30">
        <v>1.8280000000000001</v>
      </c>
      <c r="V37" s="30">
        <v>1.8260000000000001</v>
      </c>
      <c r="W37" s="30">
        <v>1.8260000000000001</v>
      </c>
      <c r="X37" s="30">
        <v>1.82</v>
      </c>
      <c r="Y37" s="30">
        <v>1.8220000000000001</v>
      </c>
      <c r="Z37" s="30">
        <v>1.8240000000000001</v>
      </c>
      <c r="AA37" s="30">
        <v>1.8180000000000001</v>
      </c>
      <c r="AB37" s="30">
        <v>1.8240000000000001</v>
      </c>
      <c r="AC37" s="30">
        <v>1.823</v>
      </c>
      <c r="AD37" s="30">
        <v>1.82</v>
      </c>
      <c r="AE37" s="30">
        <v>1.8220000000000001</v>
      </c>
      <c r="AF37" s="30"/>
      <c r="AG37" s="30"/>
      <c r="AH37" s="30">
        <v>1.821</v>
      </c>
      <c r="AI37" s="30">
        <v>1.8240000000000001</v>
      </c>
      <c r="AJ37" s="30">
        <v>1.82</v>
      </c>
      <c r="AK37" s="30">
        <v>1.827</v>
      </c>
      <c r="AL37" s="30">
        <v>1.823</v>
      </c>
      <c r="AM37" s="30">
        <v>1.825</v>
      </c>
      <c r="AN37" s="30">
        <v>1.8180000000000001</v>
      </c>
      <c r="AO37" s="30">
        <v>1.82</v>
      </c>
      <c r="AP37" s="30">
        <v>1.8220000000000001</v>
      </c>
      <c r="AQ37" s="30">
        <v>1.8240000000000001</v>
      </c>
      <c r="AR37" s="30">
        <v>1.823</v>
      </c>
      <c r="AS37" s="30">
        <v>1.8260000000000001</v>
      </c>
      <c r="AT37" s="30">
        <v>1.821</v>
      </c>
      <c r="AU37" s="30">
        <v>1.833</v>
      </c>
      <c r="AV37" s="30">
        <v>1.825</v>
      </c>
      <c r="AW37" s="30">
        <v>1.819</v>
      </c>
    </row>
    <row r="38" spans="1:49" ht="18" customHeight="1">
      <c r="A38" s="23"/>
      <c r="B38" s="12"/>
      <c r="C38" s="75" t="s">
        <v>65</v>
      </c>
      <c r="D38" s="35" t="s">
        <v>137</v>
      </c>
      <c r="E38" s="35"/>
      <c r="F38" s="29" t="s">
        <v>138</v>
      </c>
      <c r="G38" s="38">
        <v>2.5299999999999998</v>
      </c>
      <c r="H38" s="38">
        <v>0.08</v>
      </c>
      <c r="I38" s="38">
        <v>0.03</v>
      </c>
      <c r="J38" s="38">
        <v>0.08</v>
      </c>
      <c r="K38" s="38">
        <v>0.03</v>
      </c>
      <c r="L38" s="30">
        <f t="shared" si="0"/>
        <v>2.5369999999999999</v>
      </c>
      <c r="M38" s="30">
        <f t="shared" si="1"/>
        <v>2.5219999999999998</v>
      </c>
      <c r="N38" s="30">
        <f t="shared" si="2"/>
        <v>1.5000000000000124E-2</v>
      </c>
      <c r="O38" s="31">
        <f t="shared" si="3"/>
        <v>2.5282142857142853</v>
      </c>
      <c r="P38" s="52"/>
      <c r="Q38" s="30">
        <v>2.5289999999999999</v>
      </c>
      <c r="R38" s="30">
        <v>2.528</v>
      </c>
      <c r="S38" s="30">
        <v>2.528</v>
      </c>
      <c r="T38" s="30">
        <v>2.528</v>
      </c>
      <c r="U38" s="30">
        <v>2.5249999999999999</v>
      </c>
      <c r="V38" s="30">
        <v>2.5259999999999998</v>
      </c>
      <c r="W38" s="30">
        <v>2.5270000000000001</v>
      </c>
      <c r="X38" s="30">
        <v>2.5299999999999998</v>
      </c>
      <c r="Y38" s="30">
        <v>2.528</v>
      </c>
      <c r="Z38" s="30">
        <v>2.5289999999999999</v>
      </c>
      <c r="AA38" s="30">
        <v>2.528</v>
      </c>
      <c r="AB38" s="30">
        <v>2.528</v>
      </c>
      <c r="AC38" s="30">
        <v>2.5289999999999999</v>
      </c>
      <c r="AD38" s="30">
        <v>2.524</v>
      </c>
      <c r="AE38" s="30">
        <v>2.5259999999999998</v>
      </c>
      <c r="AF38" s="30"/>
      <c r="AG38" s="30"/>
      <c r="AH38" s="30">
        <v>2.528</v>
      </c>
      <c r="AI38" s="30">
        <v>2.528</v>
      </c>
      <c r="AJ38" s="30">
        <v>2.5270000000000001</v>
      </c>
      <c r="AK38" s="30">
        <v>2.5369999999999999</v>
      </c>
      <c r="AL38" s="30">
        <v>2.528</v>
      </c>
      <c r="AM38" s="30">
        <v>2.5339999999999998</v>
      </c>
      <c r="AN38" s="30">
        <v>2.528</v>
      </c>
      <c r="AO38" s="30">
        <v>2.5289999999999999</v>
      </c>
      <c r="AP38" s="30">
        <v>2.5310000000000001</v>
      </c>
      <c r="AQ38" s="30">
        <v>2.5219999999999998</v>
      </c>
      <c r="AR38" s="30">
        <v>2.528</v>
      </c>
      <c r="AS38" s="30">
        <v>2.5289999999999999</v>
      </c>
      <c r="AT38" s="30">
        <v>2.528</v>
      </c>
      <c r="AU38" s="30">
        <v>2.5289999999999999</v>
      </c>
      <c r="AV38" s="30">
        <v>2.5289999999999999</v>
      </c>
      <c r="AW38" s="30">
        <v>2.5339999999999998</v>
      </c>
    </row>
    <row r="39" spans="1:49" ht="18" customHeight="1">
      <c r="A39" s="23"/>
      <c r="B39" s="12"/>
      <c r="C39" s="75" t="s">
        <v>65</v>
      </c>
      <c r="D39" s="35" t="s">
        <v>139</v>
      </c>
      <c r="E39" s="35"/>
      <c r="F39" s="29" t="s">
        <v>140</v>
      </c>
      <c r="G39" s="38">
        <v>2.5299999999999998</v>
      </c>
      <c r="H39" s="38">
        <v>0.08</v>
      </c>
      <c r="I39" s="38">
        <v>0.03</v>
      </c>
      <c r="J39" s="38">
        <v>0.08</v>
      </c>
      <c r="K39" s="38">
        <v>0.03</v>
      </c>
      <c r="L39" s="30">
        <f t="shared" si="0"/>
        <v>2.5339999999999998</v>
      </c>
      <c r="M39" s="30">
        <f t="shared" si="1"/>
        <v>2.5110000000000001</v>
      </c>
      <c r="N39" s="30">
        <f t="shared" si="2"/>
        <v>2.2999999999999687E-2</v>
      </c>
      <c r="O39" s="31">
        <f t="shared" si="3"/>
        <v>2.5221428571428568</v>
      </c>
      <c r="P39" s="52"/>
      <c r="Q39" s="30">
        <v>2.5139999999999998</v>
      </c>
      <c r="R39" s="30">
        <v>2.5179999999999998</v>
      </c>
      <c r="S39" s="30">
        <v>2.5150000000000001</v>
      </c>
      <c r="T39" s="30">
        <v>2.5139999999999998</v>
      </c>
      <c r="U39" s="30">
        <v>2.5129999999999999</v>
      </c>
      <c r="V39" s="30">
        <v>2.5150000000000001</v>
      </c>
      <c r="W39" s="30">
        <v>2.516</v>
      </c>
      <c r="X39" s="30">
        <v>2.5110000000000001</v>
      </c>
      <c r="Y39" s="30">
        <v>2.512</v>
      </c>
      <c r="Z39" s="30">
        <v>2.5299999999999998</v>
      </c>
      <c r="AA39" s="30">
        <v>2.5289999999999999</v>
      </c>
      <c r="AB39" s="30">
        <v>2.5249999999999999</v>
      </c>
      <c r="AC39" s="30">
        <v>2.5270000000000001</v>
      </c>
      <c r="AD39" s="30">
        <v>2.5209999999999999</v>
      </c>
      <c r="AE39" s="30">
        <v>2.5259999999999998</v>
      </c>
      <c r="AF39" s="30"/>
      <c r="AG39" s="30"/>
      <c r="AH39" s="30">
        <v>2.524</v>
      </c>
      <c r="AI39" s="30">
        <v>2.5249999999999999</v>
      </c>
      <c r="AJ39" s="30">
        <v>2.5219999999999998</v>
      </c>
      <c r="AK39" s="30">
        <v>2.5339999999999998</v>
      </c>
      <c r="AL39" s="30">
        <v>2.5249999999999999</v>
      </c>
      <c r="AM39" s="30">
        <v>2.5259999999999998</v>
      </c>
      <c r="AN39" s="30">
        <v>2.524</v>
      </c>
      <c r="AO39" s="30">
        <v>2.5270000000000001</v>
      </c>
      <c r="AP39" s="30">
        <v>2.528</v>
      </c>
      <c r="AQ39" s="30">
        <v>2.5190000000000001</v>
      </c>
      <c r="AR39" s="30">
        <v>2.5259999999999998</v>
      </c>
      <c r="AS39" s="30">
        <v>2.528</v>
      </c>
      <c r="AT39" s="30">
        <v>2.5259999999999998</v>
      </c>
      <c r="AU39" s="30">
        <v>2.524</v>
      </c>
      <c r="AV39" s="30">
        <v>2.5270000000000001</v>
      </c>
      <c r="AW39" s="30">
        <v>2.532</v>
      </c>
    </row>
    <row r="40" spans="1:49" ht="18" customHeight="1">
      <c r="A40" s="23"/>
      <c r="B40" s="12"/>
      <c r="C40" s="76" t="s">
        <v>77</v>
      </c>
      <c r="D40" s="35" t="s">
        <v>141</v>
      </c>
      <c r="E40" s="35" t="s">
        <v>142</v>
      </c>
      <c r="F40" s="29" t="s">
        <v>143</v>
      </c>
      <c r="G40" s="38"/>
      <c r="H40" s="38">
        <v>0.1</v>
      </c>
      <c r="I40" s="38"/>
      <c r="J40" s="38">
        <v>0.1</v>
      </c>
      <c r="K40" s="38"/>
      <c r="L40" s="30">
        <f t="shared" si="0"/>
        <v>5.8999999999999997E-2</v>
      </c>
      <c r="M40" s="30">
        <f t="shared" si="1"/>
        <v>4.2999999999999997E-2</v>
      </c>
      <c r="N40" s="30">
        <f t="shared" si="2"/>
        <v>1.6E-2</v>
      </c>
      <c r="O40" s="31">
        <f t="shared" si="3"/>
        <v>4.9785714285714287E-2</v>
      </c>
      <c r="P40" s="52"/>
      <c r="Q40" s="30">
        <v>4.4999999999999998E-2</v>
      </c>
      <c r="R40" s="30">
        <v>5.1999999999999998E-2</v>
      </c>
      <c r="S40" s="30">
        <v>5.2999999999999999E-2</v>
      </c>
      <c r="T40" s="30">
        <v>5.8000000000000003E-2</v>
      </c>
      <c r="U40" s="30">
        <v>5.2999999999999999E-2</v>
      </c>
      <c r="V40" s="30">
        <v>5.2999999999999999E-2</v>
      </c>
      <c r="W40" s="30">
        <v>5.5E-2</v>
      </c>
      <c r="X40" s="30">
        <v>4.4999999999999998E-2</v>
      </c>
      <c r="Y40" s="30">
        <v>0.05</v>
      </c>
      <c r="Z40" s="30">
        <v>5.2999999999999999E-2</v>
      </c>
      <c r="AA40" s="30">
        <v>0.05</v>
      </c>
      <c r="AB40" s="30">
        <v>5.2999999999999999E-2</v>
      </c>
      <c r="AC40" s="30">
        <v>5.0999999999999997E-2</v>
      </c>
      <c r="AD40" s="30">
        <v>0.05</v>
      </c>
      <c r="AE40" s="30">
        <v>4.8000000000000001E-2</v>
      </c>
      <c r="AF40" s="30"/>
      <c r="AG40" s="30"/>
      <c r="AH40" s="30">
        <v>4.4999999999999998E-2</v>
      </c>
      <c r="AI40" s="30">
        <v>5.8999999999999997E-2</v>
      </c>
      <c r="AJ40" s="30">
        <v>4.9000000000000002E-2</v>
      </c>
      <c r="AK40" s="30">
        <v>5.5E-2</v>
      </c>
      <c r="AL40" s="30">
        <v>4.2999999999999997E-2</v>
      </c>
      <c r="AM40" s="30">
        <v>4.2999999999999997E-2</v>
      </c>
      <c r="AN40" s="30">
        <v>5.0999999999999997E-2</v>
      </c>
      <c r="AO40" s="30">
        <v>4.9000000000000002E-2</v>
      </c>
      <c r="AP40" s="30">
        <v>4.8000000000000001E-2</v>
      </c>
      <c r="AQ40" s="30">
        <v>4.3999999999999997E-2</v>
      </c>
      <c r="AR40" s="30">
        <v>4.5999999999999999E-2</v>
      </c>
      <c r="AS40" s="30">
        <v>4.3999999999999997E-2</v>
      </c>
      <c r="AT40" s="30">
        <v>4.9000000000000002E-2</v>
      </c>
      <c r="AU40" s="30">
        <v>5.3999999999999999E-2</v>
      </c>
      <c r="AV40" s="30">
        <v>5.1999999999999998E-2</v>
      </c>
      <c r="AW40" s="30">
        <v>4.9000000000000002E-2</v>
      </c>
    </row>
    <row r="41" spans="1:49" ht="18" customHeight="1">
      <c r="A41" s="23"/>
      <c r="B41" s="12"/>
      <c r="C41" s="75" t="s">
        <v>65</v>
      </c>
      <c r="D41" s="35" t="s">
        <v>144</v>
      </c>
      <c r="E41" s="35"/>
      <c r="F41" s="29" t="s">
        <v>145</v>
      </c>
      <c r="G41" s="38">
        <v>2.48</v>
      </c>
      <c r="H41" s="38">
        <v>0.08</v>
      </c>
      <c r="I41" s="38">
        <v>0.03</v>
      </c>
      <c r="J41" s="38">
        <v>0.08</v>
      </c>
      <c r="K41" s="38">
        <v>0.03</v>
      </c>
      <c r="L41" s="30">
        <f t="shared" si="0"/>
        <v>2.4740000000000002</v>
      </c>
      <c r="M41" s="30">
        <f t="shared" si="1"/>
        <v>2.46</v>
      </c>
      <c r="N41" s="30">
        <f t="shared" si="2"/>
        <v>1.4000000000000234E-2</v>
      </c>
      <c r="O41" s="31">
        <f t="shared" si="3"/>
        <v>2.4652500000000006</v>
      </c>
      <c r="P41" s="52"/>
      <c r="Q41" s="30">
        <v>2.4649999999999999</v>
      </c>
      <c r="R41" s="30">
        <v>2.464</v>
      </c>
      <c r="S41" s="30">
        <v>2.4609999999999999</v>
      </c>
      <c r="T41" s="30">
        <v>2.4630000000000001</v>
      </c>
      <c r="U41" s="30">
        <v>2.4620000000000002</v>
      </c>
      <c r="V41" s="30">
        <v>2.4630000000000001</v>
      </c>
      <c r="W41" s="30">
        <v>2.464</v>
      </c>
      <c r="X41" s="30">
        <v>2.4740000000000002</v>
      </c>
      <c r="Y41" s="30">
        <v>2.4660000000000002</v>
      </c>
      <c r="Z41" s="30">
        <v>2.4670000000000001</v>
      </c>
      <c r="AA41" s="30">
        <v>2.4670000000000001</v>
      </c>
      <c r="AB41" s="30">
        <v>2.464</v>
      </c>
      <c r="AC41" s="30">
        <v>2.4630000000000001</v>
      </c>
      <c r="AD41" s="30">
        <v>2.46</v>
      </c>
      <c r="AE41" s="30">
        <v>2.4630000000000001</v>
      </c>
      <c r="AF41" s="30"/>
      <c r="AG41" s="30"/>
      <c r="AH41" s="30">
        <v>2.4630000000000001</v>
      </c>
      <c r="AI41" s="30">
        <v>2.4660000000000002</v>
      </c>
      <c r="AJ41" s="30">
        <v>2.4620000000000002</v>
      </c>
      <c r="AK41" s="30">
        <v>2.472</v>
      </c>
      <c r="AL41" s="30">
        <v>2.4660000000000002</v>
      </c>
      <c r="AM41" s="30">
        <v>2.4729999999999999</v>
      </c>
      <c r="AN41" s="30">
        <v>2.4630000000000001</v>
      </c>
      <c r="AO41" s="30">
        <v>2.4660000000000002</v>
      </c>
      <c r="AP41" s="30">
        <v>2.4689999999999999</v>
      </c>
      <c r="AQ41" s="30">
        <v>2.46</v>
      </c>
      <c r="AR41" s="30">
        <v>2.4660000000000002</v>
      </c>
      <c r="AS41" s="30">
        <v>2.4670000000000001</v>
      </c>
      <c r="AT41" s="30">
        <v>2.468</v>
      </c>
      <c r="AU41" s="30">
        <v>2.4630000000000001</v>
      </c>
      <c r="AV41" s="30">
        <v>2.4660000000000002</v>
      </c>
      <c r="AW41" s="30">
        <v>2.4710000000000001</v>
      </c>
    </row>
    <row r="42" spans="1:49" ht="18" customHeight="1">
      <c r="A42" s="23"/>
      <c r="B42" s="12"/>
      <c r="C42" s="75" t="s">
        <v>65</v>
      </c>
      <c r="D42" s="35" t="s">
        <v>146</v>
      </c>
      <c r="E42" s="35"/>
      <c r="F42" s="29" t="s">
        <v>147</v>
      </c>
      <c r="G42" s="38">
        <v>2.48</v>
      </c>
      <c r="H42" s="38">
        <v>0.08</v>
      </c>
      <c r="I42" s="38">
        <v>0.03</v>
      </c>
      <c r="J42" s="38">
        <v>0.08</v>
      </c>
      <c r="K42" s="38">
        <v>0.03</v>
      </c>
      <c r="L42" s="30">
        <f t="shared" si="0"/>
        <v>2.4729999999999999</v>
      </c>
      <c r="M42" s="30">
        <f t="shared" si="1"/>
        <v>2.4590000000000001</v>
      </c>
      <c r="N42" s="30">
        <f t="shared" si="2"/>
        <v>1.399999999999979E-2</v>
      </c>
      <c r="O42" s="31">
        <f t="shared" si="3"/>
        <v>2.4649642857142857</v>
      </c>
      <c r="P42" s="52"/>
      <c r="Q42" s="30">
        <v>2.464</v>
      </c>
      <c r="R42" s="30">
        <v>2.464</v>
      </c>
      <c r="S42" s="30">
        <v>2.4609999999999999</v>
      </c>
      <c r="T42" s="30">
        <v>2.4620000000000002</v>
      </c>
      <c r="U42" s="30">
        <v>2.4620000000000002</v>
      </c>
      <c r="V42" s="30">
        <v>2.4620000000000002</v>
      </c>
      <c r="W42" s="30">
        <v>2.464</v>
      </c>
      <c r="X42" s="30">
        <v>2.472</v>
      </c>
      <c r="Y42" s="30">
        <v>2.4660000000000002</v>
      </c>
      <c r="Z42" s="30">
        <v>2.468</v>
      </c>
      <c r="AA42" s="30">
        <v>2.468</v>
      </c>
      <c r="AB42" s="30">
        <v>2.464</v>
      </c>
      <c r="AC42" s="30">
        <v>2.4630000000000001</v>
      </c>
      <c r="AD42" s="30">
        <v>2.46</v>
      </c>
      <c r="AE42" s="30">
        <v>2.464</v>
      </c>
      <c r="AF42" s="30"/>
      <c r="AG42" s="30"/>
      <c r="AH42" s="30">
        <v>2.4630000000000001</v>
      </c>
      <c r="AI42" s="30">
        <v>2.4649999999999999</v>
      </c>
      <c r="AJ42" s="30">
        <v>2.4620000000000002</v>
      </c>
      <c r="AK42" s="30">
        <v>2.472</v>
      </c>
      <c r="AL42" s="30">
        <v>2.4649999999999999</v>
      </c>
      <c r="AM42" s="30">
        <v>2.4729999999999999</v>
      </c>
      <c r="AN42" s="30">
        <v>2.4620000000000002</v>
      </c>
      <c r="AO42" s="30">
        <v>2.4649999999999999</v>
      </c>
      <c r="AP42" s="30">
        <v>2.468</v>
      </c>
      <c r="AQ42" s="30">
        <v>2.4590000000000001</v>
      </c>
      <c r="AR42" s="30">
        <v>2.4660000000000002</v>
      </c>
      <c r="AS42" s="30">
        <v>2.468</v>
      </c>
      <c r="AT42" s="30">
        <v>2.4670000000000001</v>
      </c>
      <c r="AU42" s="30">
        <v>2.4630000000000001</v>
      </c>
      <c r="AV42" s="30">
        <v>2.4660000000000002</v>
      </c>
      <c r="AW42" s="30">
        <v>2.4710000000000001</v>
      </c>
    </row>
    <row r="43" spans="1:49" ht="18" customHeight="1">
      <c r="A43" s="23"/>
      <c r="B43" s="12"/>
      <c r="C43" s="75" t="s">
        <v>65</v>
      </c>
      <c r="D43" s="35" t="s">
        <v>148</v>
      </c>
      <c r="E43" s="35"/>
      <c r="F43" s="29" t="s">
        <v>149</v>
      </c>
      <c r="G43" s="38">
        <v>1.17</v>
      </c>
      <c r="H43" s="38">
        <v>0.05</v>
      </c>
      <c r="I43" s="38">
        <v>7.0000000000000007E-2</v>
      </c>
      <c r="J43" s="38">
        <v>0.05</v>
      </c>
      <c r="K43" s="38">
        <v>7.0000000000000007E-2</v>
      </c>
      <c r="L43" s="30">
        <f t="shared" si="0"/>
        <v>1.1719999999999999</v>
      </c>
      <c r="M43" s="30">
        <f t="shared" si="1"/>
        <v>1.161</v>
      </c>
      <c r="N43" s="30">
        <f t="shared" si="2"/>
        <v>1.0999999999999899E-2</v>
      </c>
      <c r="O43" s="31">
        <f t="shared" si="3"/>
        <v>1.1672857142857145</v>
      </c>
      <c r="P43" s="52"/>
      <c r="Q43" s="30">
        <v>1.1659999999999999</v>
      </c>
      <c r="R43" s="30">
        <v>1.165</v>
      </c>
      <c r="S43" s="30">
        <v>1.165</v>
      </c>
      <c r="T43" s="30">
        <v>1.1659999999999999</v>
      </c>
      <c r="U43" s="30">
        <v>1.161</v>
      </c>
      <c r="V43" s="30">
        <v>1.169</v>
      </c>
      <c r="W43" s="30">
        <v>1.17</v>
      </c>
      <c r="X43" s="30">
        <v>1.169</v>
      </c>
      <c r="Y43" s="30">
        <v>1.1659999999999999</v>
      </c>
      <c r="Z43" s="30">
        <v>1.161</v>
      </c>
      <c r="AA43" s="30">
        <v>1.1679999999999999</v>
      </c>
      <c r="AB43" s="30">
        <v>1.1659999999999999</v>
      </c>
      <c r="AC43" s="30">
        <v>1.167</v>
      </c>
      <c r="AD43" s="30">
        <v>1.1679999999999999</v>
      </c>
      <c r="AE43" s="30">
        <v>1.17</v>
      </c>
      <c r="AF43" s="30"/>
      <c r="AG43" s="30"/>
      <c r="AH43" s="30">
        <v>1.169</v>
      </c>
      <c r="AI43" s="30">
        <v>1.169</v>
      </c>
      <c r="AJ43" s="30">
        <v>1.1679999999999999</v>
      </c>
      <c r="AK43" s="30">
        <v>1.167</v>
      </c>
      <c r="AL43" s="30">
        <v>1.169</v>
      </c>
      <c r="AM43" s="30">
        <v>1.167</v>
      </c>
      <c r="AN43" s="30">
        <v>1.1679999999999999</v>
      </c>
      <c r="AO43" s="30">
        <v>1.1719999999999999</v>
      </c>
      <c r="AP43" s="30">
        <v>1.167</v>
      </c>
      <c r="AQ43" s="30">
        <v>1.167</v>
      </c>
      <c r="AR43" s="30">
        <v>1.17</v>
      </c>
      <c r="AS43" s="30">
        <v>1.165</v>
      </c>
      <c r="AT43" s="30">
        <v>1.169</v>
      </c>
      <c r="AU43" s="30">
        <v>1.167</v>
      </c>
      <c r="AV43" s="30">
        <v>1.17</v>
      </c>
      <c r="AW43" s="30">
        <v>1.169</v>
      </c>
    </row>
    <row r="44" spans="1:49" ht="18" customHeight="1">
      <c r="A44" s="23"/>
      <c r="B44" s="12"/>
      <c r="C44" s="75" t="s">
        <v>65</v>
      </c>
      <c r="D44" s="35" t="s">
        <v>150</v>
      </c>
      <c r="E44" s="35"/>
      <c r="F44" s="29" t="s">
        <v>151</v>
      </c>
      <c r="G44" s="38">
        <v>1.17</v>
      </c>
      <c r="H44" s="38">
        <v>0.05</v>
      </c>
      <c r="I44" s="38">
        <v>7.0000000000000007E-2</v>
      </c>
      <c r="J44" s="38">
        <v>0.05</v>
      </c>
      <c r="K44" s="38">
        <v>7.0000000000000007E-2</v>
      </c>
      <c r="L44" s="30">
        <f t="shared" si="0"/>
        <v>1.194</v>
      </c>
      <c r="M44" s="30">
        <f t="shared" si="1"/>
        <v>1.1599999999999999</v>
      </c>
      <c r="N44" s="30">
        <f t="shared" si="2"/>
        <v>3.400000000000003E-2</v>
      </c>
      <c r="O44" s="31">
        <f t="shared" si="3"/>
        <v>1.1633214285714286</v>
      </c>
      <c r="P44" s="52"/>
      <c r="Q44" s="30">
        <v>1.1639999999999999</v>
      </c>
      <c r="R44" s="30">
        <v>1.161</v>
      </c>
      <c r="S44" s="30">
        <v>1.1619999999999999</v>
      </c>
      <c r="T44" s="30">
        <v>1.1639999999999999</v>
      </c>
      <c r="U44" s="30">
        <v>1.1639999999999999</v>
      </c>
      <c r="V44" s="30">
        <v>1.1599999999999999</v>
      </c>
      <c r="W44" s="30">
        <v>1.1619999999999999</v>
      </c>
      <c r="X44" s="30">
        <v>1.161</v>
      </c>
      <c r="Y44" s="30">
        <v>1.161</v>
      </c>
      <c r="Z44" s="30">
        <v>1.1619999999999999</v>
      </c>
      <c r="AA44" s="30">
        <v>1.1639999999999999</v>
      </c>
      <c r="AB44" s="30">
        <v>1.1599999999999999</v>
      </c>
      <c r="AC44" s="30">
        <v>1.161</v>
      </c>
      <c r="AD44" s="30">
        <v>1.1619999999999999</v>
      </c>
      <c r="AE44" s="30">
        <v>1.1619999999999999</v>
      </c>
      <c r="AF44" s="30"/>
      <c r="AG44" s="30"/>
      <c r="AH44" s="30">
        <v>1.161</v>
      </c>
      <c r="AI44" s="30">
        <v>1.1619999999999999</v>
      </c>
      <c r="AJ44" s="30">
        <v>1.1639999999999999</v>
      </c>
      <c r="AK44" s="30">
        <v>1.194</v>
      </c>
      <c r="AL44" s="30">
        <v>1.1619999999999999</v>
      </c>
      <c r="AM44" s="30">
        <v>1.161</v>
      </c>
      <c r="AN44" s="30">
        <v>1.165</v>
      </c>
      <c r="AO44" s="30">
        <v>1.1639999999999999</v>
      </c>
      <c r="AP44" s="30">
        <v>1.161</v>
      </c>
      <c r="AQ44" s="30">
        <v>1.1619999999999999</v>
      </c>
      <c r="AR44" s="30">
        <v>1.161</v>
      </c>
      <c r="AS44" s="30">
        <v>1.1619999999999999</v>
      </c>
      <c r="AT44" s="30">
        <v>1.1639999999999999</v>
      </c>
      <c r="AU44" s="30">
        <v>1.1639999999999999</v>
      </c>
      <c r="AV44" s="30">
        <v>1.1619999999999999</v>
      </c>
      <c r="AW44" s="30">
        <v>1.161</v>
      </c>
    </row>
    <row r="45" spans="1:49" ht="18" customHeight="1">
      <c r="A45" s="23"/>
      <c r="B45" s="12"/>
      <c r="C45" s="75" t="s">
        <v>65</v>
      </c>
      <c r="D45" s="35" t="s">
        <v>152</v>
      </c>
      <c r="E45" s="35"/>
      <c r="F45" s="29" t="s">
        <v>153</v>
      </c>
      <c r="G45" s="38">
        <v>1.17</v>
      </c>
      <c r="H45" s="38">
        <v>0.05</v>
      </c>
      <c r="I45" s="38">
        <v>7.0000000000000007E-2</v>
      </c>
      <c r="J45" s="38">
        <v>0.05</v>
      </c>
      <c r="K45" s="38">
        <v>7.0000000000000007E-2</v>
      </c>
      <c r="L45" s="30">
        <f t="shared" si="0"/>
        <v>1.165</v>
      </c>
      <c r="M45" s="30">
        <f t="shared" si="1"/>
        <v>1.159</v>
      </c>
      <c r="N45" s="30">
        <f t="shared" si="2"/>
        <v>6.0000000000000053E-3</v>
      </c>
      <c r="O45" s="31">
        <f t="shared" si="3"/>
        <v>1.161357142857143</v>
      </c>
      <c r="P45" s="52"/>
      <c r="Q45" s="30">
        <v>1.161</v>
      </c>
      <c r="R45" s="30">
        <v>1.161</v>
      </c>
      <c r="S45" s="30">
        <v>1.1599999999999999</v>
      </c>
      <c r="T45" s="30">
        <v>1.1599999999999999</v>
      </c>
      <c r="U45" s="30">
        <v>1.161</v>
      </c>
      <c r="V45" s="30">
        <v>1.159</v>
      </c>
      <c r="W45" s="30">
        <v>1.1619999999999999</v>
      </c>
      <c r="X45" s="30">
        <v>1.1619999999999999</v>
      </c>
      <c r="Y45" s="30">
        <v>1.1599999999999999</v>
      </c>
      <c r="Z45" s="30">
        <v>1.1619999999999999</v>
      </c>
      <c r="AA45" s="30">
        <v>1.1619999999999999</v>
      </c>
      <c r="AB45" s="30">
        <v>1.1599999999999999</v>
      </c>
      <c r="AC45" s="30">
        <v>1.161</v>
      </c>
      <c r="AD45" s="30">
        <v>1.161</v>
      </c>
      <c r="AE45" s="30">
        <v>1.161</v>
      </c>
      <c r="AF45" s="30"/>
      <c r="AG45" s="30"/>
      <c r="AH45" s="30">
        <v>1.1619999999999999</v>
      </c>
      <c r="AI45" s="30">
        <v>1.1619999999999999</v>
      </c>
      <c r="AJ45" s="30">
        <v>1.1619999999999999</v>
      </c>
      <c r="AK45" s="30">
        <v>1.161</v>
      </c>
      <c r="AL45" s="30">
        <v>1.1619999999999999</v>
      </c>
      <c r="AM45" s="30">
        <v>1.161</v>
      </c>
      <c r="AN45" s="30">
        <v>1.163</v>
      </c>
      <c r="AO45" s="30">
        <v>1.165</v>
      </c>
      <c r="AP45" s="30">
        <v>1.1599999999999999</v>
      </c>
      <c r="AQ45" s="30">
        <v>1.161</v>
      </c>
      <c r="AR45" s="30">
        <v>1.163</v>
      </c>
      <c r="AS45" s="30">
        <v>1.1619999999999999</v>
      </c>
      <c r="AT45" s="30">
        <v>1.161</v>
      </c>
      <c r="AU45" s="30">
        <v>1.161</v>
      </c>
      <c r="AV45" s="30">
        <v>1.159</v>
      </c>
      <c r="AW45" s="30">
        <v>1.1599999999999999</v>
      </c>
    </row>
    <row r="46" spans="1:49" ht="18" customHeight="1">
      <c r="A46" s="23"/>
      <c r="B46" s="12"/>
      <c r="C46" s="75" t="s">
        <v>65</v>
      </c>
      <c r="D46" s="35" t="s">
        <v>154</v>
      </c>
      <c r="E46" s="35"/>
      <c r="F46" s="29" t="s">
        <v>155</v>
      </c>
      <c r="G46" s="38">
        <v>1.17</v>
      </c>
      <c r="H46" s="38">
        <v>0.05</v>
      </c>
      <c r="I46" s="38">
        <v>7.0000000000000007E-2</v>
      </c>
      <c r="J46" s="38">
        <v>0.05</v>
      </c>
      <c r="K46" s="38">
        <v>7.0000000000000007E-2</v>
      </c>
      <c r="L46" s="30">
        <f t="shared" si="0"/>
        <v>1.17</v>
      </c>
      <c r="M46" s="30">
        <f t="shared" si="1"/>
        <v>1.1619999999999999</v>
      </c>
      <c r="N46" s="30">
        <f t="shared" si="2"/>
        <v>8.0000000000000071E-3</v>
      </c>
      <c r="O46" s="31">
        <f t="shared" si="3"/>
        <v>1.165964285714286</v>
      </c>
      <c r="P46" s="52"/>
      <c r="Q46" s="30">
        <v>1.1679999999999999</v>
      </c>
      <c r="R46" s="30">
        <v>1.169</v>
      </c>
      <c r="S46" s="30">
        <v>1.165</v>
      </c>
      <c r="T46" s="30">
        <v>1.167</v>
      </c>
      <c r="U46" s="30">
        <v>1.1639999999999999</v>
      </c>
      <c r="V46" s="30">
        <v>1.1639999999999999</v>
      </c>
      <c r="W46" s="30">
        <v>1.1659999999999999</v>
      </c>
      <c r="X46" s="30">
        <v>1.1679999999999999</v>
      </c>
      <c r="Y46" s="30">
        <v>1.165</v>
      </c>
      <c r="Z46" s="30">
        <v>1.1659999999999999</v>
      </c>
      <c r="AA46" s="30">
        <v>1.1659999999999999</v>
      </c>
      <c r="AB46" s="30">
        <v>1.1639999999999999</v>
      </c>
      <c r="AC46" s="30">
        <v>1.1639999999999999</v>
      </c>
      <c r="AD46" s="30">
        <v>1.165</v>
      </c>
      <c r="AE46" s="30">
        <v>1.1639999999999999</v>
      </c>
      <c r="AF46" s="30"/>
      <c r="AG46" s="30"/>
      <c r="AH46" s="30">
        <v>1.17</v>
      </c>
      <c r="AI46" s="30">
        <v>1.1659999999999999</v>
      </c>
      <c r="AJ46" s="30">
        <v>1.169</v>
      </c>
      <c r="AK46" s="30">
        <v>1.167</v>
      </c>
      <c r="AL46" s="30">
        <v>1.1659999999999999</v>
      </c>
      <c r="AM46" s="30">
        <v>1.17</v>
      </c>
      <c r="AN46" s="30">
        <v>1.1659999999999999</v>
      </c>
      <c r="AO46" s="30">
        <v>1.167</v>
      </c>
      <c r="AP46" s="30">
        <v>1.1659999999999999</v>
      </c>
      <c r="AQ46" s="30">
        <v>1.163</v>
      </c>
      <c r="AR46" s="30">
        <v>1.1639999999999999</v>
      </c>
      <c r="AS46" s="30">
        <v>1.1619999999999999</v>
      </c>
      <c r="AT46" s="30">
        <v>1.1659999999999999</v>
      </c>
      <c r="AU46" s="30">
        <v>1.1659999999999999</v>
      </c>
      <c r="AV46" s="30">
        <v>1.1659999999999999</v>
      </c>
      <c r="AW46" s="30">
        <v>1.1679999999999999</v>
      </c>
    </row>
    <row r="47" spans="1:49" ht="18" customHeight="1">
      <c r="A47" s="23"/>
      <c r="B47" s="12"/>
      <c r="C47" s="75" t="s">
        <v>65</v>
      </c>
      <c r="D47" s="35" t="s">
        <v>156</v>
      </c>
      <c r="E47" s="35"/>
      <c r="F47" s="29" t="s">
        <v>157</v>
      </c>
      <c r="G47" s="38">
        <v>1.17</v>
      </c>
      <c r="H47" s="38">
        <v>0.05</v>
      </c>
      <c r="I47" s="38">
        <v>7.0000000000000007E-2</v>
      </c>
      <c r="J47" s="38">
        <v>0.05</v>
      </c>
      <c r="K47" s="38">
        <v>7.0000000000000007E-2</v>
      </c>
      <c r="L47" s="30">
        <f t="shared" si="0"/>
        <v>1.165</v>
      </c>
      <c r="M47" s="30">
        <f t="shared" si="1"/>
        <v>1.1539999999999999</v>
      </c>
      <c r="N47" s="30">
        <f t="shared" si="2"/>
        <v>1.1000000000000121E-2</v>
      </c>
      <c r="O47" s="31">
        <f t="shared" si="3"/>
        <v>1.1580357142857143</v>
      </c>
      <c r="P47" s="52"/>
      <c r="Q47" s="30">
        <v>1.161</v>
      </c>
      <c r="R47" s="30">
        <v>1.161</v>
      </c>
      <c r="S47" s="30">
        <v>1.1579999999999999</v>
      </c>
      <c r="T47" s="30">
        <v>1.1599999999999999</v>
      </c>
      <c r="U47" s="30">
        <v>1.157</v>
      </c>
      <c r="V47" s="30">
        <v>1.157</v>
      </c>
      <c r="W47" s="30">
        <v>1.1599999999999999</v>
      </c>
      <c r="X47" s="30">
        <v>1.161</v>
      </c>
      <c r="Y47" s="30">
        <v>1.157</v>
      </c>
      <c r="Z47" s="30">
        <v>1.1539999999999999</v>
      </c>
      <c r="AA47" s="30">
        <v>1.1579999999999999</v>
      </c>
      <c r="AB47" s="30">
        <v>1.155</v>
      </c>
      <c r="AC47" s="30">
        <v>1.157</v>
      </c>
      <c r="AD47" s="30">
        <v>1.157</v>
      </c>
      <c r="AE47" s="30">
        <v>1.155</v>
      </c>
      <c r="AF47" s="30"/>
      <c r="AG47" s="30"/>
      <c r="AH47" s="30">
        <v>1.159</v>
      </c>
      <c r="AI47" s="30">
        <v>1.159</v>
      </c>
      <c r="AJ47" s="30">
        <v>1.159</v>
      </c>
      <c r="AK47" s="30">
        <v>1.1559999999999999</v>
      </c>
      <c r="AL47" s="30">
        <v>1.159</v>
      </c>
      <c r="AM47" s="30">
        <v>1.165</v>
      </c>
      <c r="AN47" s="30">
        <v>1.1579999999999999</v>
      </c>
      <c r="AO47" s="30">
        <v>1.1599999999999999</v>
      </c>
      <c r="AP47" s="30">
        <v>1.157</v>
      </c>
      <c r="AQ47" s="30">
        <v>1.1579999999999999</v>
      </c>
      <c r="AR47" s="30">
        <v>1.157</v>
      </c>
      <c r="AS47" s="30">
        <v>1.1559999999999999</v>
      </c>
      <c r="AT47" s="30">
        <v>1.1539999999999999</v>
      </c>
      <c r="AU47" s="30">
        <v>1.1599999999999999</v>
      </c>
      <c r="AV47" s="30">
        <v>1.157</v>
      </c>
      <c r="AW47" s="30">
        <v>1.159</v>
      </c>
    </row>
    <row r="48" spans="1:49" ht="18" customHeight="1">
      <c r="A48" s="23"/>
      <c r="B48" s="12"/>
      <c r="C48" s="75" t="s">
        <v>65</v>
      </c>
      <c r="D48" s="35" t="s">
        <v>158</v>
      </c>
      <c r="E48" s="35"/>
      <c r="F48" s="29" t="s">
        <v>159</v>
      </c>
      <c r="G48" s="38">
        <v>1.17</v>
      </c>
      <c r="H48" s="38">
        <v>0.05</v>
      </c>
      <c r="I48" s="38">
        <v>7.0000000000000007E-2</v>
      </c>
      <c r="J48" s="38">
        <v>0.05</v>
      </c>
      <c r="K48" s="38">
        <v>7.0000000000000007E-2</v>
      </c>
      <c r="L48" s="30">
        <f t="shared" si="0"/>
        <v>1.1870000000000001</v>
      </c>
      <c r="M48" s="30">
        <f t="shared" si="1"/>
        <v>1.1519999999999999</v>
      </c>
      <c r="N48" s="30">
        <f t="shared" si="2"/>
        <v>3.5000000000000142E-2</v>
      </c>
      <c r="O48" s="31">
        <f t="shared" si="3"/>
        <v>1.1606071428571432</v>
      </c>
      <c r="P48" s="52"/>
      <c r="Q48" s="30">
        <v>1.157</v>
      </c>
      <c r="R48" s="30">
        <v>1.1579999999999999</v>
      </c>
      <c r="S48" s="30">
        <v>1.157</v>
      </c>
      <c r="T48" s="30">
        <v>1.1830000000000001</v>
      </c>
      <c r="U48" s="30">
        <v>1.1539999999999999</v>
      </c>
      <c r="V48" s="30">
        <v>1.1539999999999999</v>
      </c>
      <c r="W48" s="30">
        <v>1.1870000000000001</v>
      </c>
      <c r="X48" s="30">
        <v>1.1599999999999999</v>
      </c>
      <c r="Y48" s="30">
        <v>1.1870000000000001</v>
      </c>
      <c r="Z48" s="30">
        <v>1.1559999999999999</v>
      </c>
      <c r="AA48" s="30">
        <v>1.157</v>
      </c>
      <c r="AB48" s="30">
        <v>1.181</v>
      </c>
      <c r="AC48" s="30">
        <v>1.161</v>
      </c>
      <c r="AD48" s="30">
        <v>1.159</v>
      </c>
      <c r="AE48" s="30">
        <v>1.1559999999999999</v>
      </c>
      <c r="AF48" s="30"/>
      <c r="AG48" s="30"/>
      <c r="AH48" s="30">
        <v>1.1539999999999999</v>
      </c>
      <c r="AI48" s="30">
        <v>1.157</v>
      </c>
      <c r="AJ48" s="30">
        <v>1.1579999999999999</v>
      </c>
      <c r="AK48" s="30">
        <v>1.155</v>
      </c>
      <c r="AL48" s="30">
        <v>1.157</v>
      </c>
      <c r="AM48" s="30">
        <v>1.1639999999999999</v>
      </c>
      <c r="AN48" s="30">
        <v>1.155</v>
      </c>
      <c r="AO48" s="30">
        <v>1.159</v>
      </c>
      <c r="AP48" s="30">
        <v>1.1539999999999999</v>
      </c>
      <c r="AQ48" s="30">
        <v>1.155</v>
      </c>
      <c r="AR48" s="30">
        <v>1.155</v>
      </c>
      <c r="AS48" s="30">
        <v>1.1519999999999999</v>
      </c>
      <c r="AT48" s="30">
        <v>1.155</v>
      </c>
      <c r="AU48" s="30">
        <v>1.1579999999999999</v>
      </c>
      <c r="AV48" s="30">
        <v>1.1559999999999999</v>
      </c>
      <c r="AW48" s="30">
        <v>1.1559999999999999</v>
      </c>
    </row>
    <row r="49" spans="1:49" ht="18" customHeight="1">
      <c r="A49" s="23"/>
      <c r="B49" s="12"/>
      <c r="C49" s="75" t="s">
        <v>65</v>
      </c>
      <c r="D49" s="35" t="s">
        <v>160</v>
      </c>
      <c r="E49" s="35"/>
      <c r="F49" s="29" t="s">
        <v>161</v>
      </c>
      <c r="G49" s="38">
        <v>1.17</v>
      </c>
      <c r="H49" s="38">
        <v>0.05</v>
      </c>
      <c r="I49" s="38">
        <v>7.0000000000000007E-2</v>
      </c>
      <c r="J49" s="38">
        <v>0.05</v>
      </c>
      <c r="K49" s="38">
        <v>7.0000000000000007E-2</v>
      </c>
      <c r="L49" s="30">
        <f t="shared" si="0"/>
        <v>1.1819999999999999</v>
      </c>
      <c r="M49" s="30">
        <f t="shared" si="1"/>
        <v>1.17</v>
      </c>
      <c r="N49" s="30">
        <f t="shared" si="2"/>
        <v>1.2000000000000011E-2</v>
      </c>
      <c r="O49" s="31">
        <f t="shared" si="3"/>
        <v>1.1778214285714284</v>
      </c>
      <c r="P49" s="52"/>
      <c r="Q49" s="30">
        <v>1.18</v>
      </c>
      <c r="R49" s="30">
        <v>1.181</v>
      </c>
      <c r="S49" s="30">
        <v>1.177</v>
      </c>
      <c r="T49" s="30">
        <v>1.181</v>
      </c>
      <c r="U49" s="30">
        <v>1.179</v>
      </c>
      <c r="V49" s="30">
        <v>1.1779999999999999</v>
      </c>
      <c r="W49" s="30">
        <v>1.18</v>
      </c>
      <c r="X49" s="30">
        <v>1.181</v>
      </c>
      <c r="Y49" s="30">
        <v>1.1779999999999999</v>
      </c>
      <c r="Z49" s="30">
        <v>1.175</v>
      </c>
      <c r="AA49" s="30">
        <v>1.179</v>
      </c>
      <c r="AB49" s="30">
        <v>1.1779999999999999</v>
      </c>
      <c r="AC49" s="30">
        <v>1.1779999999999999</v>
      </c>
      <c r="AD49" s="30">
        <v>1.179</v>
      </c>
      <c r="AE49" s="30">
        <v>1.17</v>
      </c>
      <c r="AF49" s="30"/>
      <c r="AG49" s="30"/>
      <c r="AH49" s="30">
        <v>1.18</v>
      </c>
      <c r="AI49" s="30">
        <v>1.179</v>
      </c>
      <c r="AJ49" s="30">
        <v>1.17</v>
      </c>
      <c r="AK49" s="30">
        <v>1.1779999999999999</v>
      </c>
      <c r="AL49" s="30">
        <v>1.179</v>
      </c>
      <c r="AM49" s="30">
        <v>1.1819999999999999</v>
      </c>
      <c r="AN49" s="30">
        <v>1.1759999999999999</v>
      </c>
      <c r="AO49" s="30">
        <v>1.179</v>
      </c>
      <c r="AP49" s="30">
        <v>1.177</v>
      </c>
      <c r="AQ49" s="30">
        <v>1.1779999999999999</v>
      </c>
      <c r="AR49" s="30">
        <v>1.1759999999999999</v>
      </c>
      <c r="AS49" s="30">
        <v>1.175</v>
      </c>
      <c r="AT49" s="30">
        <v>1.1759999999999999</v>
      </c>
      <c r="AU49" s="30">
        <v>1.1779999999999999</v>
      </c>
      <c r="AV49" s="30">
        <v>1.1779999999999999</v>
      </c>
      <c r="AW49" s="30">
        <v>1.179</v>
      </c>
    </row>
    <row r="50" spans="1:49" ht="18" customHeight="1">
      <c r="A50" s="23"/>
      <c r="B50" s="12"/>
      <c r="C50" s="75" t="s">
        <v>65</v>
      </c>
      <c r="D50" s="35" t="s">
        <v>162</v>
      </c>
      <c r="E50" s="35"/>
      <c r="F50" s="29" t="s">
        <v>163</v>
      </c>
      <c r="G50" s="38">
        <v>1.17</v>
      </c>
      <c r="H50" s="38">
        <v>0.05</v>
      </c>
      <c r="I50" s="38">
        <v>7.0000000000000007E-2</v>
      </c>
      <c r="J50" s="38">
        <v>0.05</v>
      </c>
      <c r="K50" s="38">
        <v>7.0000000000000007E-2</v>
      </c>
      <c r="L50" s="30">
        <f t="shared" si="0"/>
        <v>1.1719999999999999</v>
      </c>
      <c r="M50" s="30">
        <f t="shared" si="1"/>
        <v>1.1619999999999999</v>
      </c>
      <c r="N50" s="30">
        <f t="shared" si="2"/>
        <v>1.0000000000000009E-2</v>
      </c>
      <c r="O50" s="31">
        <f t="shared" si="3"/>
        <v>1.167</v>
      </c>
      <c r="P50" s="52"/>
      <c r="Q50" s="30">
        <v>1.167</v>
      </c>
      <c r="R50" s="30">
        <v>1.169</v>
      </c>
      <c r="S50" s="30">
        <v>1.167</v>
      </c>
      <c r="T50" s="30">
        <v>1.169</v>
      </c>
      <c r="U50" s="30">
        <v>1.165</v>
      </c>
      <c r="V50" s="30">
        <v>1.167</v>
      </c>
      <c r="W50" s="30">
        <v>1.167</v>
      </c>
      <c r="X50" s="30">
        <v>1.169</v>
      </c>
      <c r="Y50" s="30">
        <v>1.1659999999999999</v>
      </c>
      <c r="Z50" s="30">
        <v>1.1659999999999999</v>
      </c>
      <c r="AA50" s="30">
        <v>1.167</v>
      </c>
      <c r="AB50" s="30">
        <v>1.167</v>
      </c>
      <c r="AC50" s="30">
        <v>1.1679999999999999</v>
      </c>
      <c r="AD50" s="30">
        <v>1.169</v>
      </c>
      <c r="AE50" s="30">
        <v>1.165</v>
      </c>
      <c r="AF50" s="30"/>
      <c r="AG50" s="30"/>
      <c r="AH50" s="30">
        <v>1.165</v>
      </c>
      <c r="AI50" s="30">
        <v>1.1679999999999999</v>
      </c>
      <c r="AJ50" s="30">
        <v>1.1679999999999999</v>
      </c>
      <c r="AK50" s="30">
        <v>1.169</v>
      </c>
      <c r="AL50" s="30">
        <v>1.1679999999999999</v>
      </c>
      <c r="AM50" s="30">
        <v>1.1719999999999999</v>
      </c>
      <c r="AN50" s="30">
        <v>1.167</v>
      </c>
      <c r="AO50" s="30">
        <v>1.167</v>
      </c>
      <c r="AP50" s="30">
        <v>1.165</v>
      </c>
      <c r="AQ50" s="30">
        <v>1.167</v>
      </c>
      <c r="AR50" s="30">
        <v>1.165</v>
      </c>
      <c r="AS50" s="30">
        <v>1.1619999999999999</v>
      </c>
      <c r="AT50" s="30">
        <v>1.165</v>
      </c>
      <c r="AU50" s="30">
        <v>1.167</v>
      </c>
      <c r="AV50" s="30">
        <v>1.1659999999999999</v>
      </c>
      <c r="AW50" s="30">
        <v>1.1659999999999999</v>
      </c>
    </row>
    <row r="51" spans="1:49" ht="18" customHeight="1">
      <c r="A51" s="23"/>
      <c r="B51" s="12"/>
      <c r="C51" s="75" t="s">
        <v>65</v>
      </c>
      <c r="D51" s="35" t="s">
        <v>164</v>
      </c>
      <c r="E51" s="35"/>
      <c r="F51" s="29" t="s">
        <v>165</v>
      </c>
      <c r="G51" s="38">
        <v>1.17</v>
      </c>
      <c r="H51" s="38">
        <v>0.05</v>
      </c>
      <c r="I51" s="38">
        <v>7.0000000000000007E-2</v>
      </c>
      <c r="J51" s="38">
        <v>0.05</v>
      </c>
      <c r="K51" s="38">
        <v>7.0000000000000007E-2</v>
      </c>
      <c r="L51" s="30">
        <f t="shared" si="0"/>
        <v>1.1990000000000001</v>
      </c>
      <c r="M51" s="30">
        <f t="shared" si="1"/>
        <v>1.165</v>
      </c>
      <c r="N51" s="30">
        <f t="shared" si="2"/>
        <v>3.400000000000003E-2</v>
      </c>
      <c r="O51" s="31">
        <f t="shared" si="3"/>
        <v>1.1718928571428575</v>
      </c>
      <c r="P51" s="52"/>
      <c r="Q51" s="30">
        <v>1.1659999999999999</v>
      </c>
      <c r="R51" s="30">
        <v>1.167</v>
      </c>
      <c r="S51" s="30">
        <v>1.1679999999999999</v>
      </c>
      <c r="T51" s="30">
        <v>1.169</v>
      </c>
      <c r="U51" s="30">
        <v>1.1679999999999999</v>
      </c>
      <c r="V51" s="30">
        <v>1.169</v>
      </c>
      <c r="W51" s="30">
        <v>1.167</v>
      </c>
      <c r="X51" s="30">
        <v>1.17</v>
      </c>
      <c r="Y51" s="30">
        <v>1.167</v>
      </c>
      <c r="Z51" s="30">
        <v>1.165</v>
      </c>
      <c r="AA51" s="30">
        <v>1.1679999999999999</v>
      </c>
      <c r="AB51" s="30">
        <v>1.1679999999999999</v>
      </c>
      <c r="AC51" s="30">
        <v>1.1679999999999999</v>
      </c>
      <c r="AD51" s="30">
        <v>1.17</v>
      </c>
      <c r="AE51" s="30">
        <v>1.167</v>
      </c>
      <c r="AF51" s="30"/>
      <c r="AG51" s="30"/>
      <c r="AH51" s="30">
        <v>1.169</v>
      </c>
      <c r="AI51" s="30">
        <v>1.1659999999999999</v>
      </c>
      <c r="AJ51" s="30">
        <v>1.17</v>
      </c>
      <c r="AK51" s="30">
        <v>1.196</v>
      </c>
      <c r="AL51" s="30">
        <v>1.1659999999999999</v>
      </c>
      <c r="AM51" s="30">
        <v>1.1990000000000001</v>
      </c>
      <c r="AN51" s="30">
        <v>1.194</v>
      </c>
      <c r="AO51" s="30">
        <v>1.167</v>
      </c>
      <c r="AP51" s="30">
        <v>1.167</v>
      </c>
      <c r="AQ51" s="30">
        <v>1.1990000000000001</v>
      </c>
      <c r="AR51" s="30">
        <v>1.167</v>
      </c>
      <c r="AS51" s="30">
        <v>1.169</v>
      </c>
      <c r="AT51" s="30">
        <v>1.167</v>
      </c>
      <c r="AU51" s="30">
        <v>1.17</v>
      </c>
      <c r="AV51" s="30">
        <v>1.169</v>
      </c>
      <c r="AW51" s="30">
        <v>1.169</v>
      </c>
    </row>
    <row r="52" spans="1:49" ht="18" customHeight="1">
      <c r="A52" s="23"/>
      <c r="B52" s="12"/>
      <c r="C52" s="75" t="s">
        <v>65</v>
      </c>
      <c r="D52" s="35" t="s">
        <v>166</v>
      </c>
      <c r="E52" s="35"/>
      <c r="F52" s="29" t="s">
        <v>167</v>
      </c>
      <c r="G52" s="38">
        <v>1.17</v>
      </c>
      <c r="H52" s="38">
        <v>0.05</v>
      </c>
      <c r="I52" s="38">
        <v>7.0000000000000007E-2</v>
      </c>
      <c r="J52" s="38">
        <v>0.05</v>
      </c>
      <c r="K52" s="38">
        <v>7.0000000000000007E-2</v>
      </c>
      <c r="L52" s="30">
        <f t="shared" si="0"/>
        <v>1.161</v>
      </c>
      <c r="M52" s="30">
        <f t="shared" si="1"/>
        <v>1.1539999999999999</v>
      </c>
      <c r="N52" s="30">
        <f t="shared" si="2"/>
        <v>7.0000000000001172E-3</v>
      </c>
      <c r="O52" s="31">
        <f t="shared" si="3"/>
        <v>1.1577500000000001</v>
      </c>
      <c r="P52" s="52"/>
      <c r="Q52" s="30">
        <v>1.157</v>
      </c>
      <c r="R52" s="30">
        <v>1.1579999999999999</v>
      </c>
      <c r="S52" s="30">
        <v>1.159</v>
      </c>
      <c r="T52" s="30">
        <v>1.157</v>
      </c>
      <c r="U52" s="30">
        <v>1.1599999999999999</v>
      </c>
      <c r="V52" s="30">
        <v>1.1579999999999999</v>
      </c>
      <c r="W52" s="30">
        <v>1.1579999999999999</v>
      </c>
      <c r="X52" s="30">
        <v>1.161</v>
      </c>
      <c r="Y52" s="30">
        <v>1.1559999999999999</v>
      </c>
      <c r="Z52" s="30">
        <v>1.159</v>
      </c>
      <c r="AA52" s="30">
        <v>1.159</v>
      </c>
      <c r="AB52" s="30">
        <v>1.159</v>
      </c>
      <c r="AC52" s="30">
        <v>1.1579999999999999</v>
      </c>
      <c r="AD52" s="30">
        <v>1.159</v>
      </c>
      <c r="AE52" s="30">
        <v>1.1559999999999999</v>
      </c>
      <c r="AF52" s="30"/>
      <c r="AG52" s="30"/>
      <c r="AH52" s="30">
        <v>1.159</v>
      </c>
      <c r="AI52" s="30">
        <v>1.1579999999999999</v>
      </c>
      <c r="AJ52" s="30">
        <v>1.159</v>
      </c>
      <c r="AK52" s="30">
        <v>1.1579999999999999</v>
      </c>
      <c r="AL52" s="30">
        <v>1.1579999999999999</v>
      </c>
      <c r="AM52" s="30">
        <v>1.1559999999999999</v>
      </c>
      <c r="AN52" s="30">
        <v>1.1539999999999999</v>
      </c>
      <c r="AO52" s="30">
        <v>1.155</v>
      </c>
      <c r="AP52" s="30">
        <v>1.157</v>
      </c>
      <c r="AQ52" s="30">
        <v>1.157</v>
      </c>
      <c r="AR52" s="30">
        <v>1.155</v>
      </c>
      <c r="AS52" s="30">
        <v>1.1579999999999999</v>
      </c>
      <c r="AT52" s="30">
        <v>1.159</v>
      </c>
      <c r="AU52" s="30">
        <v>1.1599999999999999</v>
      </c>
      <c r="AV52" s="30">
        <v>1.1559999999999999</v>
      </c>
      <c r="AW52" s="30">
        <v>1.157</v>
      </c>
    </row>
    <row r="53" spans="1:49" ht="18" customHeight="1">
      <c r="A53" s="23"/>
      <c r="B53" s="12"/>
      <c r="C53" s="75" t="s">
        <v>65</v>
      </c>
      <c r="D53" s="35" t="s">
        <v>168</v>
      </c>
      <c r="E53" s="35"/>
      <c r="F53" s="29" t="s">
        <v>169</v>
      </c>
      <c r="G53" s="38">
        <v>1.17</v>
      </c>
      <c r="H53" s="38">
        <v>0.05</v>
      </c>
      <c r="I53" s="38">
        <v>7.0000000000000007E-2</v>
      </c>
      <c r="J53" s="38">
        <v>0.05</v>
      </c>
      <c r="K53" s="38">
        <v>7.0000000000000007E-2</v>
      </c>
      <c r="L53" s="30">
        <f t="shared" si="0"/>
        <v>1.167</v>
      </c>
      <c r="M53" s="30">
        <f t="shared" si="1"/>
        <v>1.153</v>
      </c>
      <c r="N53" s="30">
        <f t="shared" si="2"/>
        <v>1.4000000000000012E-2</v>
      </c>
      <c r="O53" s="31">
        <f t="shared" si="3"/>
        <v>1.1551428571428572</v>
      </c>
      <c r="P53" s="52"/>
      <c r="Q53" s="30">
        <v>1.167</v>
      </c>
      <c r="R53" s="30">
        <v>1.155</v>
      </c>
      <c r="S53" s="30">
        <v>1.153</v>
      </c>
      <c r="T53" s="30">
        <v>1.1539999999999999</v>
      </c>
      <c r="U53" s="30">
        <v>1.155</v>
      </c>
      <c r="V53" s="30">
        <v>1.155</v>
      </c>
      <c r="W53" s="30">
        <v>1.1559999999999999</v>
      </c>
      <c r="X53" s="30">
        <v>1.1579999999999999</v>
      </c>
      <c r="Y53" s="30">
        <v>1.1559999999999999</v>
      </c>
      <c r="Z53" s="30">
        <v>1.1539999999999999</v>
      </c>
      <c r="AA53" s="30">
        <v>1.1539999999999999</v>
      </c>
      <c r="AB53" s="30">
        <v>1.155</v>
      </c>
      <c r="AC53" s="30">
        <v>1.155</v>
      </c>
      <c r="AD53" s="30">
        <v>1.1539999999999999</v>
      </c>
      <c r="AE53" s="30">
        <v>1.155</v>
      </c>
      <c r="AF53" s="30"/>
      <c r="AG53" s="30"/>
      <c r="AH53" s="30">
        <v>1.1559999999999999</v>
      </c>
      <c r="AI53" s="30">
        <v>1.155</v>
      </c>
      <c r="AJ53" s="30">
        <v>1.155</v>
      </c>
      <c r="AK53" s="30">
        <v>1.153</v>
      </c>
      <c r="AL53" s="30">
        <v>1.155</v>
      </c>
      <c r="AM53" s="30">
        <v>1.1539999999999999</v>
      </c>
      <c r="AN53" s="30">
        <v>1.1539999999999999</v>
      </c>
      <c r="AO53" s="30">
        <v>1.1539999999999999</v>
      </c>
      <c r="AP53" s="30">
        <v>1.153</v>
      </c>
      <c r="AQ53" s="30">
        <v>1.1539999999999999</v>
      </c>
      <c r="AR53" s="30">
        <v>1.1539999999999999</v>
      </c>
      <c r="AS53" s="30">
        <v>1.155</v>
      </c>
      <c r="AT53" s="30">
        <v>1.1559999999999999</v>
      </c>
      <c r="AU53" s="30">
        <v>1.157</v>
      </c>
      <c r="AV53" s="30">
        <v>1.1539999999999999</v>
      </c>
      <c r="AW53" s="30">
        <v>1.155</v>
      </c>
    </row>
    <row r="54" spans="1:49" ht="18" customHeight="1">
      <c r="A54" s="23"/>
      <c r="B54" s="12"/>
      <c r="C54" s="75" t="s">
        <v>65</v>
      </c>
      <c r="D54" s="35" t="s">
        <v>170</v>
      </c>
      <c r="E54" s="35"/>
      <c r="F54" s="29" t="s">
        <v>171</v>
      </c>
      <c r="G54" s="38">
        <v>1.17</v>
      </c>
      <c r="H54" s="38">
        <v>0.05</v>
      </c>
      <c r="I54" s="38">
        <v>7.0000000000000007E-2</v>
      </c>
      <c r="J54" s="38">
        <v>0.05</v>
      </c>
      <c r="K54" s="38">
        <v>7.0000000000000007E-2</v>
      </c>
      <c r="L54" s="30">
        <f t="shared" si="0"/>
        <v>1.1599999999999999</v>
      </c>
      <c r="M54" s="30">
        <f t="shared" si="1"/>
        <v>1.155</v>
      </c>
      <c r="N54" s="30">
        <f t="shared" si="2"/>
        <v>4.9999999999998934E-3</v>
      </c>
      <c r="O54" s="31">
        <f t="shared" si="3"/>
        <v>1.1572857142857145</v>
      </c>
      <c r="P54" s="52"/>
      <c r="Q54" s="30">
        <v>1.1559999999999999</v>
      </c>
      <c r="R54" s="30">
        <v>1.1559999999999999</v>
      </c>
      <c r="S54" s="30">
        <v>1.155</v>
      </c>
      <c r="T54" s="30">
        <v>1.155</v>
      </c>
      <c r="U54" s="30">
        <v>1.157</v>
      </c>
      <c r="V54" s="30">
        <v>1.1579999999999999</v>
      </c>
      <c r="W54" s="30">
        <v>1.157</v>
      </c>
      <c r="X54" s="30">
        <v>1.157</v>
      </c>
      <c r="Y54" s="30">
        <v>1.1579999999999999</v>
      </c>
      <c r="Z54" s="30">
        <v>1.157</v>
      </c>
      <c r="AA54" s="30">
        <v>1.157</v>
      </c>
      <c r="AB54" s="30">
        <v>1.157</v>
      </c>
      <c r="AC54" s="30">
        <v>1.159</v>
      </c>
      <c r="AD54" s="30">
        <v>1.157</v>
      </c>
      <c r="AE54" s="30">
        <v>1.1579999999999999</v>
      </c>
      <c r="AF54" s="30"/>
      <c r="AG54" s="30"/>
      <c r="AH54" s="30">
        <v>1.1579999999999999</v>
      </c>
      <c r="AI54" s="30">
        <v>1.1579999999999999</v>
      </c>
      <c r="AJ54" s="30">
        <v>1.157</v>
      </c>
      <c r="AK54" s="30">
        <v>1.1579999999999999</v>
      </c>
      <c r="AL54" s="30">
        <v>1.1579999999999999</v>
      </c>
      <c r="AM54" s="30">
        <v>1.157</v>
      </c>
      <c r="AN54" s="30">
        <v>1.159</v>
      </c>
      <c r="AO54" s="30">
        <v>1.1599999999999999</v>
      </c>
      <c r="AP54" s="30">
        <v>1.159</v>
      </c>
      <c r="AQ54" s="30">
        <v>1.157</v>
      </c>
      <c r="AR54" s="30">
        <v>1.1559999999999999</v>
      </c>
      <c r="AS54" s="30">
        <v>1.1579999999999999</v>
      </c>
      <c r="AT54" s="30">
        <v>1.155</v>
      </c>
      <c r="AU54" s="30">
        <v>1.159</v>
      </c>
      <c r="AV54" s="30">
        <v>1.157</v>
      </c>
      <c r="AW54" s="30">
        <v>1.1579999999999999</v>
      </c>
    </row>
    <row r="55" spans="1:49" ht="18" customHeight="1">
      <c r="A55" s="23"/>
      <c r="B55" s="12"/>
      <c r="C55" s="75" t="s">
        <v>65</v>
      </c>
      <c r="D55" s="35" t="s">
        <v>172</v>
      </c>
      <c r="E55" s="35"/>
      <c r="F55" s="29" t="s">
        <v>173</v>
      </c>
      <c r="G55" s="38">
        <v>1.17</v>
      </c>
      <c r="H55" s="38">
        <v>0.05</v>
      </c>
      <c r="I55" s="38">
        <v>7.0000000000000007E-2</v>
      </c>
      <c r="J55" s="38">
        <v>0.05</v>
      </c>
      <c r="K55" s="38">
        <v>7.0000000000000007E-2</v>
      </c>
      <c r="L55" s="30">
        <f t="shared" si="0"/>
        <v>1.1599999999999999</v>
      </c>
      <c r="M55" s="30">
        <f t="shared" si="1"/>
        <v>1.155</v>
      </c>
      <c r="N55" s="30">
        <f t="shared" si="2"/>
        <v>4.9999999999998934E-3</v>
      </c>
      <c r="O55" s="31">
        <f t="shared" si="3"/>
        <v>1.1575357142857143</v>
      </c>
      <c r="P55" s="52"/>
      <c r="Q55" s="30">
        <v>1.1559999999999999</v>
      </c>
      <c r="R55" s="30">
        <v>1.157</v>
      </c>
      <c r="S55" s="30">
        <v>1.1559999999999999</v>
      </c>
      <c r="T55" s="30">
        <v>1.155</v>
      </c>
      <c r="U55" s="30">
        <v>1.1559999999999999</v>
      </c>
      <c r="V55" s="30">
        <v>1.159</v>
      </c>
      <c r="W55" s="30">
        <v>1.1579999999999999</v>
      </c>
      <c r="X55" s="30">
        <v>1.159</v>
      </c>
      <c r="Y55" s="30">
        <v>1.157</v>
      </c>
      <c r="Z55" s="30">
        <v>1.1579999999999999</v>
      </c>
      <c r="AA55" s="30">
        <v>1.1579999999999999</v>
      </c>
      <c r="AB55" s="30">
        <v>1.157</v>
      </c>
      <c r="AC55" s="30">
        <v>1.1579999999999999</v>
      </c>
      <c r="AD55" s="30">
        <v>1.1579999999999999</v>
      </c>
      <c r="AE55" s="30">
        <v>1.157</v>
      </c>
      <c r="AF55" s="30"/>
      <c r="AG55" s="30"/>
      <c r="AH55" s="30">
        <v>1.1579999999999999</v>
      </c>
      <c r="AI55" s="30">
        <v>1.1599999999999999</v>
      </c>
      <c r="AJ55" s="30">
        <v>1.157</v>
      </c>
      <c r="AK55" s="30">
        <v>1.157</v>
      </c>
      <c r="AL55" s="30">
        <v>1.1599999999999999</v>
      </c>
      <c r="AM55" s="30">
        <v>1.157</v>
      </c>
      <c r="AN55" s="30">
        <v>1.1579999999999999</v>
      </c>
      <c r="AO55" s="30">
        <v>1.1599999999999999</v>
      </c>
      <c r="AP55" s="30">
        <v>1.1579999999999999</v>
      </c>
      <c r="AQ55" s="30">
        <v>1.157</v>
      </c>
      <c r="AR55" s="30">
        <v>1.1559999999999999</v>
      </c>
      <c r="AS55" s="30">
        <v>1.1579999999999999</v>
      </c>
      <c r="AT55" s="30">
        <v>1.1559999999999999</v>
      </c>
      <c r="AU55" s="30">
        <v>1.159</v>
      </c>
      <c r="AV55" s="30">
        <v>1.1579999999999999</v>
      </c>
      <c r="AW55" s="30">
        <v>1.159</v>
      </c>
    </row>
    <row r="56" spans="1:49" ht="18" customHeight="1">
      <c r="A56" s="23"/>
      <c r="B56" s="12"/>
      <c r="C56" s="75" t="s">
        <v>65</v>
      </c>
      <c r="D56" s="35" t="s">
        <v>174</v>
      </c>
      <c r="E56" s="35"/>
      <c r="F56" s="29" t="s">
        <v>175</v>
      </c>
      <c r="G56" s="38">
        <v>1.17</v>
      </c>
      <c r="H56" s="38">
        <v>0.05</v>
      </c>
      <c r="I56" s="38">
        <v>7.0000000000000007E-2</v>
      </c>
      <c r="J56" s="38">
        <v>0.05</v>
      </c>
      <c r="K56" s="38">
        <v>7.0000000000000007E-2</v>
      </c>
      <c r="L56" s="30">
        <f t="shared" si="0"/>
        <v>1.177</v>
      </c>
      <c r="M56" s="30">
        <f t="shared" si="1"/>
        <v>1.157</v>
      </c>
      <c r="N56" s="30">
        <f t="shared" si="2"/>
        <v>2.0000000000000018E-2</v>
      </c>
      <c r="O56" s="31">
        <f t="shared" si="3"/>
        <v>1.1688928571428572</v>
      </c>
      <c r="P56" s="52"/>
      <c r="Q56" s="30">
        <v>1.167</v>
      </c>
      <c r="R56" s="30">
        <v>1.1659999999999999</v>
      </c>
      <c r="S56" s="30">
        <v>1.1719999999999999</v>
      </c>
      <c r="T56" s="30">
        <v>1.1719999999999999</v>
      </c>
      <c r="U56" s="30">
        <v>1.161</v>
      </c>
      <c r="V56" s="30">
        <v>1.171</v>
      </c>
      <c r="W56" s="30">
        <v>1.159</v>
      </c>
      <c r="X56" s="30">
        <v>1.159</v>
      </c>
      <c r="Y56" s="30">
        <v>1.173</v>
      </c>
      <c r="Z56" s="30">
        <v>1.173</v>
      </c>
      <c r="AA56" s="30">
        <v>1.167</v>
      </c>
      <c r="AB56" s="30">
        <v>1.1719999999999999</v>
      </c>
      <c r="AC56" s="30">
        <v>1.175</v>
      </c>
      <c r="AD56" s="30">
        <v>1.1759999999999999</v>
      </c>
      <c r="AE56" s="30">
        <v>1.1639999999999999</v>
      </c>
      <c r="AF56" s="30"/>
      <c r="AG56" s="30"/>
      <c r="AH56" s="30">
        <v>1.173</v>
      </c>
      <c r="AI56" s="30">
        <v>1.175</v>
      </c>
      <c r="AJ56" s="30">
        <v>1.163</v>
      </c>
      <c r="AK56" s="30">
        <v>1.1739999999999999</v>
      </c>
      <c r="AL56" s="30">
        <v>1.175</v>
      </c>
      <c r="AM56" s="30">
        <v>1.165</v>
      </c>
      <c r="AN56" s="30">
        <v>1.1739999999999999</v>
      </c>
      <c r="AO56" s="30">
        <v>1.177</v>
      </c>
      <c r="AP56" s="30">
        <v>1.1619999999999999</v>
      </c>
      <c r="AQ56" s="30">
        <v>1.1739999999999999</v>
      </c>
      <c r="AR56" s="30">
        <v>1.173</v>
      </c>
      <c r="AS56" s="30">
        <v>1.1599999999999999</v>
      </c>
      <c r="AT56" s="30">
        <v>1.157</v>
      </c>
      <c r="AU56" s="30">
        <v>1.167</v>
      </c>
      <c r="AV56" s="30">
        <v>1.161</v>
      </c>
      <c r="AW56" s="30">
        <v>1.1719999999999999</v>
      </c>
    </row>
    <row r="57" spans="1:49" ht="18" customHeight="1">
      <c r="A57" s="23"/>
      <c r="B57" s="12"/>
      <c r="C57" s="75" t="s">
        <v>65</v>
      </c>
      <c r="D57" s="35" t="s">
        <v>176</v>
      </c>
      <c r="E57" s="35"/>
      <c r="F57" s="29" t="s">
        <v>177</v>
      </c>
      <c r="G57" s="38">
        <v>0.84</v>
      </c>
      <c r="H57" s="38">
        <v>0.05</v>
      </c>
      <c r="I57" s="38">
        <v>0.05</v>
      </c>
      <c r="J57" s="38">
        <v>0.05</v>
      </c>
      <c r="K57" s="38">
        <v>0.05</v>
      </c>
      <c r="L57" s="30">
        <f t="shared" si="0"/>
        <v>0.84299999999999997</v>
      </c>
      <c r="M57" s="30">
        <f t="shared" si="1"/>
        <v>0.83899999999999997</v>
      </c>
      <c r="N57" s="30">
        <f t="shared" si="2"/>
        <v>4.0000000000000036E-3</v>
      </c>
      <c r="O57" s="31">
        <f t="shared" si="3"/>
        <v>0.84057142857142864</v>
      </c>
      <c r="P57" s="52"/>
      <c r="Q57" s="30">
        <v>0.84</v>
      </c>
      <c r="R57" s="30">
        <v>0.84199999999999997</v>
      </c>
      <c r="S57" s="30">
        <v>0.84099999999999997</v>
      </c>
      <c r="T57" s="30">
        <v>0.84</v>
      </c>
      <c r="U57" s="30">
        <v>0.84</v>
      </c>
      <c r="V57" s="30">
        <v>0.84</v>
      </c>
      <c r="W57" s="30">
        <v>0.83899999999999997</v>
      </c>
      <c r="X57" s="30">
        <v>0.84099999999999997</v>
      </c>
      <c r="Y57" s="30">
        <v>0.84</v>
      </c>
      <c r="Z57" s="30">
        <v>0.84099999999999997</v>
      </c>
      <c r="AA57" s="30">
        <v>0.84099999999999997</v>
      </c>
      <c r="AB57" s="30">
        <v>0.84099999999999997</v>
      </c>
      <c r="AC57" s="30">
        <v>0.84099999999999997</v>
      </c>
      <c r="AD57" s="30">
        <v>0.84199999999999997</v>
      </c>
      <c r="AE57" s="30">
        <v>0.84</v>
      </c>
      <c r="AF57" s="30"/>
      <c r="AG57" s="30"/>
      <c r="AH57" s="30">
        <v>0.83899999999999997</v>
      </c>
      <c r="AI57" s="30">
        <v>0.84</v>
      </c>
      <c r="AJ57" s="30">
        <v>0.83899999999999997</v>
      </c>
      <c r="AK57" s="30">
        <v>0.84299999999999997</v>
      </c>
      <c r="AL57" s="30">
        <v>0.84</v>
      </c>
      <c r="AM57" s="30">
        <v>0.84099999999999997</v>
      </c>
      <c r="AN57" s="30">
        <v>0.84</v>
      </c>
      <c r="AO57" s="30">
        <v>0.84</v>
      </c>
      <c r="AP57" s="30">
        <v>0.84099999999999997</v>
      </c>
      <c r="AQ57" s="30">
        <v>0.84</v>
      </c>
      <c r="AR57" s="30">
        <v>0.84199999999999997</v>
      </c>
      <c r="AS57" s="30">
        <v>0.84099999999999997</v>
      </c>
      <c r="AT57" s="30">
        <v>0.84099999999999997</v>
      </c>
      <c r="AU57" s="30">
        <v>0.84</v>
      </c>
      <c r="AV57" s="30">
        <v>0.84</v>
      </c>
      <c r="AW57" s="30">
        <v>0.84099999999999997</v>
      </c>
    </row>
    <row r="58" spans="1:49" ht="18" customHeight="1">
      <c r="A58" s="23"/>
      <c r="B58" s="12"/>
      <c r="C58" s="75" t="s">
        <v>65</v>
      </c>
      <c r="D58" s="35" t="s">
        <v>178</v>
      </c>
      <c r="E58" s="35"/>
      <c r="F58" s="29" t="s">
        <v>179</v>
      </c>
      <c r="G58" s="38">
        <v>0.84</v>
      </c>
      <c r="H58" s="38">
        <v>0.05</v>
      </c>
      <c r="I58" s="38">
        <v>0.05</v>
      </c>
      <c r="J58" s="38">
        <v>0.05</v>
      </c>
      <c r="K58" s="38">
        <v>0.05</v>
      </c>
      <c r="L58" s="30">
        <f t="shared" si="0"/>
        <v>0.84799999999999998</v>
      </c>
      <c r="M58" s="30">
        <f t="shared" si="1"/>
        <v>0.84299999999999997</v>
      </c>
      <c r="N58" s="30">
        <f t="shared" si="2"/>
        <v>5.0000000000000044E-3</v>
      </c>
      <c r="O58" s="31">
        <f t="shared" si="3"/>
        <v>0.84678571428571447</v>
      </c>
      <c r="P58" s="52"/>
      <c r="Q58" s="30">
        <v>0.84699999999999998</v>
      </c>
      <c r="R58" s="30">
        <v>0.84699999999999998</v>
      </c>
      <c r="S58" s="30">
        <v>0.84699999999999998</v>
      </c>
      <c r="T58" s="30">
        <v>0.84699999999999998</v>
      </c>
      <c r="U58" s="30">
        <v>0.84699999999999998</v>
      </c>
      <c r="V58" s="30">
        <v>0.84599999999999997</v>
      </c>
      <c r="W58" s="30">
        <v>0.84599999999999997</v>
      </c>
      <c r="X58" s="30">
        <v>0.84499999999999997</v>
      </c>
      <c r="Y58" s="30">
        <v>0.84799999999999998</v>
      </c>
      <c r="Z58" s="30">
        <v>0.84799999999999998</v>
      </c>
      <c r="AA58" s="30">
        <v>0.84799999999999998</v>
      </c>
      <c r="AB58" s="30">
        <v>0.84699999999999998</v>
      </c>
      <c r="AC58" s="30">
        <v>0.84599999999999997</v>
      </c>
      <c r="AD58" s="30">
        <v>0.84599999999999997</v>
      </c>
      <c r="AE58" s="30">
        <v>0.84799999999999998</v>
      </c>
      <c r="AF58" s="30"/>
      <c r="AG58" s="30"/>
      <c r="AH58" s="30">
        <v>0.84599999999999997</v>
      </c>
      <c r="AI58" s="30">
        <v>0.84699999999999998</v>
      </c>
      <c r="AJ58" s="30">
        <v>0.84599999999999997</v>
      </c>
      <c r="AK58" s="30">
        <v>0.84599999999999997</v>
      </c>
      <c r="AL58" s="30">
        <v>0.84699999999999998</v>
      </c>
      <c r="AM58" s="30">
        <v>0.84799999999999998</v>
      </c>
      <c r="AN58" s="30">
        <v>0.84699999999999998</v>
      </c>
      <c r="AO58" s="30">
        <v>0.84699999999999998</v>
      </c>
      <c r="AP58" s="30">
        <v>0.84699999999999998</v>
      </c>
      <c r="AQ58" s="30">
        <v>0.84799999999999998</v>
      </c>
      <c r="AR58" s="30">
        <v>0.84699999999999998</v>
      </c>
      <c r="AS58" s="30">
        <v>0.84799999999999998</v>
      </c>
      <c r="AT58" s="30">
        <v>0.84299999999999997</v>
      </c>
      <c r="AU58" s="30">
        <v>0.84799999999999998</v>
      </c>
      <c r="AV58" s="30">
        <v>0.84599999999999997</v>
      </c>
      <c r="AW58" s="30">
        <v>0.84499999999999997</v>
      </c>
    </row>
    <row r="59" spans="1:49" ht="18" customHeight="1">
      <c r="A59" s="23"/>
      <c r="B59" s="12"/>
      <c r="C59" s="75" t="s">
        <v>65</v>
      </c>
      <c r="D59" s="35" t="s">
        <v>180</v>
      </c>
      <c r="E59" s="35"/>
      <c r="F59" s="29" t="s">
        <v>181</v>
      </c>
      <c r="G59" s="38">
        <v>0.84</v>
      </c>
      <c r="H59" s="38">
        <v>0.05</v>
      </c>
      <c r="I59" s="38">
        <v>0.05</v>
      </c>
      <c r="J59" s="38">
        <v>0.05</v>
      </c>
      <c r="K59" s="38">
        <v>0.05</v>
      </c>
      <c r="L59" s="30">
        <f t="shared" si="0"/>
        <v>0.84599999999999997</v>
      </c>
      <c r="M59" s="30">
        <f t="shared" si="1"/>
        <v>0.84199999999999997</v>
      </c>
      <c r="N59" s="30">
        <f t="shared" si="2"/>
        <v>4.0000000000000036E-3</v>
      </c>
      <c r="O59" s="31">
        <f t="shared" si="3"/>
        <v>0.84449999999999992</v>
      </c>
      <c r="P59" s="52"/>
      <c r="Q59" s="30">
        <v>0.84299999999999997</v>
      </c>
      <c r="R59" s="30">
        <v>0.84499999999999997</v>
      </c>
      <c r="S59" s="30">
        <v>0.84399999999999997</v>
      </c>
      <c r="T59" s="30">
        <v>0.84499999999999997</v>
      </c>
      <c r="U59" s="30">
        <v>0.84599999999999997</v>
      </c>
      <c r="V59" s="30">
        <v>0.84499999999999997</v>
      </c>
      <c r="W59" s="30">
        <v>0.84399999999999997</v>
      </c>
      <c r="X59" s="30">
        <v>0.84599999999999997</v>
      </c>
      <c r="Y59" s="30">
        <v>0.84499999999999997</v>
      </c>
      <c r="Z59" s="30">
        <v>0.84499999999999997</v>
      </c>
      <c r="AA59" s="30">
        <v>0.84499999999999997</v>
      </c>
      <c r="AB59" s="30">
        <v>0.84599999999999997</v>
      </c>
      <c r="AC59" s="30">
        <v>0.84399999999999997</v>
      </c>
      <c r="AD59" s="30">
        <v>0.84499999999999997</v>
      </c>
      <c r="AE59" s="30">
        <v>0.84599999999999997</v>
      </c>
      <c r="AF59" s="30"/>
      <c r="AG59" s="30"/>
      <c r="AH59" s="30">
        <v>0.84299999999999997</v>
      </c>
      <c r="AI59" s="30">
        <v>0.84299999999999997</v>
      </c>
      <c r="AJ59" s="30">
        <v>0.84399999999999997</v>
      </c>
      <c r="AK59" s="30">
        <v>0.84399999999999997</v>
      </c>
      <c r="AL59" s="30">
        <v>0.84299999999999997</v>
      </c>
      <c r="AM59" s="30">
        <v>0.84499999999999997</v>
      </c>
      <c r="AN59" s="30">
        <v>0.84499999999999997</v>
      </c>
      <c r="AO59" s="30">
        <v>0.84499999999999997</v>
      </c>
      <c r="AP59" s="30">
        <v>0.84499999999999997</v>
      </c>
      <c r="AQ59" s="30">
        <v>0.84399999999999997</v>
      </c>
      <c r="AR59" s="30">
        <v>0.84399999999999997</v>
      </c>
      <c r="AS59" s="30">
        <v>0.84499999999999997</v>
      </c>
      <c r="AT59" s="30">
        <v>0.84199999999999997</v>
      </c>
      <c r="AU59" s="30">
        <v>0.84499999999999997</v>
      </c>
      <c r="AV59" s="30">
        <v>0.84199999999999997</v>
      </c>
      <c r="AW59" s="30">
        <v>0.84299999999999997</v>
      </c>
    </row>
    <row r="60" spans="1:49" ht="18" customHeight="1">
      <c r="A60" s="23"/>
      <c r="B60" s="12"/>
      <c r="C60" s="75" t="s">
        <v>65</v>
      </c>
      <c r="D60" s="35" t="s">
        <v>182</v>
      </c>
      <c r="E60" s="35"/>
      <c r="F60" s="29" t="s">
        <v>183</v>
      </c>
      <c r="G60" s="38">
        <v>0.84</v>
      </c>
      <c r="H60" s="38">
        <v>0.05</v>
      </c>
      <c r="I60" s="38">
        <v>0.05</v>
      </c>
      <c r="J60" s="38">
        <v>0.05</v>
      </c>
      <c r="K60" s="38">
        <v>0.05</v>
      </c>
      <c r="L60" s="30">
        <f t="shared" si="0"/>
        <v>0.83799999999999997</v>
      </c>
      <c r="M60" s="30">
        <f t="shared" si="1"/>
        <v>0.83399999999999996</v>
      </c>
      <c r="N60" s="30">
        <f t="shared" si="2"/>
        <v>4.0000000000000036E-3</v>
      </c>
      <c r="O60" s="31">
        <f t="shared" si="3"/>
        <v>0.83539285714285694</v>
      </c>
      <c r="P60" s="52"/>
      <c r="Q60" s="30">
        <v>0.83399999999999996</v>
      </c>
      <c r="R60" s="30">
        <v>0.83699999999999997</v>
      </c>
      <c r="S60" s="30">
        <v>0.83499999999999996</v>
      </c>
      <c r="T60" s="30">
        <v>0.83699999999999997</v>
      </c>
      <c r="U60" s="30">
        <v>0.83699999999999997</v>
      </c>
      <c r="V60" s="30">
        <v>0.83499999999999996</v>
      </c>
      <c r="W60" s="30">
        <v>0.83399999999999996</v>
      </c>
      <c r="X60" s="30">
        <v>0.83499999999999996</v>
      </c>
      <c r="Y60" s="30">
        <v>0.83599999999999997</v>
      </c>
      <c r="Z60" s="30">
        <v>0.83599999999999997</v>
      </c>
      <c r="AA60" s="30">
        <v>0.83599999999999997</v>
      </c>
      <c r="AB60" s="30">
        <v>0.83599999999999997</v>
      </c>
      <c r="AC60" s="30">
        <v>0.83499999999999996</v>
      </c>
      <c r="AD60" s="30">
        <v>0.83599999999999997</v>
      </c>
      <c r="AE60" s="30">
        <v>0.83599999999999997</v>
      </c>
      <c r="AF60" s="30"/>
      <c r="AG60" s="30"/>
      <c r="AH60" s="30">
        <v>0.83399999999999996</v>
      </c>
      <c r="AI60" s="30">
        <v>0.83399999999999996</v>
      </c>
      <c r="AJ60" s="30">
        <v>0.83599999999999997</v>
      </c>
      <c r="AK60" s="30">
        <v>0.83499999999999996</v>
      </c>
      <c r="AL60" s="30">
        <v>0.83399999999999996</v>
      </c>
      <c r="AM60" s="30">
        <v>0.83399999999999996</v>
      </c>
      <c r="AN60" s="30">
        <v>0.83799999999999997</v>
      </c>
      <c r="AO60" s="30">
        <v>0.83599999999999997</v>
      </c>
      <c r="AP60" s="30">
        <v>0.83499999999999996</v>
      </c>
      <c r="AQ60" s="30">
        <v>0.83599999999999997</v>
      </c>
      <c r="AR60" s="30">
        <v>0.83599999999999997</v>
      </c>
      <c r="AS60" s="30">
        <v>0.83399999999999996</v>
      </c>
      <c r="AT60" s="30">
        <v>0.83399999999999996</v>
      </c>
      <c r="AU60" s="30">
        <v>0.83399999999999996</v>
      </c>
      <c r="AV60" s="30">
        <v>0.83399999999999996</v>
      </c>
      <c r="AW60" s="30">
        <v>0.83299999999999996</v>
      </c>
    </row>
    <row r="61" spans="1:49" ht="18" customHeight="1">
      <c r="A61" s="23"/>
      <c r="B61" s="12"/>
      <c r="C61" s="78" t="s">
        <v>115</v>
      </c>
      <c r="D61" s="35" t="s">
        <v>184</v>
      </c>
      <c r="E61" s="35"/>
      <c r="F61" s="29" t="s">
        <v>185</v>
      </c>
      <c r="G61" s="38">
        <v>2.14</v>
      </c>
      <c r="H61" s="38">
        <v>0.03</v>
      </c>
      <c r="I61" s="38">
        <v>0.03</v>
      </c>
      <c r="J61" s="38">
        <v>0.03</v>
      </c>
      <c r="K61" s="38">
        <v>0.03</v>
      </c>
      <c r="L61" s="30">
        <f t="shared" si="0"/>
        <v>2.1269999999999998</v>
      </c>
      <c r="M61" s="30">
        <f t="shared" si="1"/>
        <v>2.121</v>
      </c>
      <c r="N61" s="30">
        <f t="shared" si="2"/>
        <v>5.9999999999997833E-3</v>
      </c>
      <c r="O61" s="31">
        <f t="shared" si="3"/>
        <v>2.123964285714286</v>
      </c>
      <c r="P61" s="52"/>
      <c r="Q61" s="30">
        <v>2.125</v>
      </c>
      <c r="R61" s="30">
        <v>2.1230000000000002</v>
      </c>
      <c r="S61" s="30">
        <v>2.1269999999999998</v>
      </c>
      <c r="T61" s="30">
        <v>2.121</v>
      </c>
      <c r="U61" s="30">
        <v>2.1269999999999998</v>
      </c>
      <c r="V61" s="30">
        <v>2.1269999999999998</v>
      </c>
      <c r="W61" s="30">
        <v>2.125</v>
      </c>
      <c r="X61" s="30">
        <v>2.1240000000000001</v>
      </c>
      <c r="Y61" s="30">
        <v>2.1240000000000001</v>
      </c>
      <c r="Z61" s="30">
        <v>2.1240000000000001</v>
      </c>
      <c r="AA61" s="30">
        <v>2.1230000000000002</v>
      </c>
      <c r="AB61" s="30">
        <v>2.1269999999999998</v>
      </c>
      <c r="AC61" s="30">
        <v>2.1230000000000002</v>
      </c>
      <c r="AD61" s="30">
        <v>2.125</v>
      </c>
      <c r="AE61" s="30">
        <v>2.125</v>
      </c>
      <c r="AF61" s="30"/>
      <c r="AG61" s="30"/>
      <c r="AH61" s="30">
        <v>2.1219999999999999</v>
      </c>
      <c r="AI61" s="30">
        <v>2.121</v>
      </c>
      <c r="AJ61" s="30">
        <v>2.1230000000000002</v>
      </c>
      <c r="AK61" s="30">
        <v>2.1240000000000001</v>
      </c>
      <c r="AL61" s="30">
        <v>2.1240000000000001</v>
      </c>
      <c r="AM61" s="30">
        <v>2.1240000000000001</v>
      </c>
      <c r="AN61" s="30">
        <v>2.1219999999999999</v>
      </c>
      <c r="AO61" s="30">
        <v>2.1230000000000002</v>
      </c>
      <c r="AP61" s="30">
        <v>2.1240000000000001</v>
      </c>
      <c r="AQ61" s="30">
        <v>2.1219999999999999</v>
      </c>
      <c r="AR61" s="30">
        <v>2.1269999999999998</v>
      </c>
      <c r="AS61" s="30">
        <v>2.1240000000000001</v>
      </c>
      <c r="AT61" s="30">
        <v>2.121</v>
      </c>
      <c r="AU61" s="30">
        <v>2.1240000000000001</v>
      </c>
      <c r="AV61" s="30">
        <v>2.1230000000000002</v>
      </c>
      <c r="AW61" s="30">
        <v>2.1190000000000002</v>
      </c>
    </row>
    <row r="62" spans="1:49" ht="18" customHeight="1">
      <c r="A62" s="23"/>
      <c r="B62" s="12"/>
      <c r="C62" s="78" t="s">
        <v>115</v>
      </c>
      <c r="D62" s="35" t="s">
        <v>186</v>
      </c>
      <c r="E62" s="35"/>
      <c r="F62" s="29" t="s">
        <v>187</v>
      </c>
      <c r="G62" s="38">
        <v>2.14</v>
      </c>
      <c r="H62" s="38">
        <v>0.03</v>
      </c>
      <c r="I62" s="38">
        <v>0.03</v>
      </c>
      <c r="J62" s="38">
        <v>0.03</v>
      </c>
      <c r="K62" s="38">
        <v>0.03</v>
      </c>
      <c r="L62" s="30">
        <f t="shared" si="0"/>
        <v>2.1379999999999999</v>
      </c>
      <c r="M62" s="30">
        <f t="shared" si="1"/>
        <v>2.1219999999999999</v>
      </c>
      <c r="N62" s="30">
        <f t="shared" si="2"/>
        <v>1.6000000000000014E-2</v>
      </c>
      <c r="O62" s="31">
        <f t="shared" si="3"/>
        <v>2.1273571428571425</v>
      </c>
      <c r="P62" s="52"/>
      <c r="Q62" s="30">
        <v>2.1219999999999999</v>
      </c>
      <c r="R62" s="30">
        <v>2.1259999999999999</v>
      </c>
      <c r="S62" s="30">
        <v>2.1309999999999998</v>
      </c>
      <c r="T62" s="30">
        <v>2.125</v>
      </c>
      <c r="U62" s="30">
        <v>2.133</v>
      </c>
      <c r="V62" s="30">
        <v>2.1379999999999999</v>
      </c>
      <c r="W62" s="30">
        <v>2.1309999999999998</v>
      </c>
      <c r="X62" s="30">
        <v>2.125</v>
      </c>
      <c r="Y62" s="30">
        <v>2.1280000000000001</v>
      </c>
      <c r="Z62" s="30">
        <v>2.1309999999999998</v>
      </c>
      <c r="AA62" s="30">
        <v>2.1240000000000001</v>
      </c>
      <c r="AB62" s="30">
        <v>2.1309999999999998</v>
      </c>
      <c r="AC62" s="30">
        <v>2.1280000000000001</v>
      </c>
      <c r="AD62" s="30">
        <v>2.1269999999999998</v>
      </c>
      <c r="AE62" s="30">
        <v>2.13</v>
      </c>
      <c r="AF62" s="30"/>
      <c r="AG62" s="30"/>
      <c r="AH62" s="30">
        <v>2.1269999999999998</v>
      </c>
      <c r="AI62" s="30">
        <v>2.1280000000000001</v>
      </c>
      <c r="AJ62" s="30">
        <v>2.1280000000000001</v>
      </c>
      <c r="AK62" s="30">
        <v>2.1309999999999998</v>
      </c>
      <c r="AL62" s="30">
        <v>2.1280000000000001</v>
      </c>
      <c r="AM62" s="30">
        <v>2.1240000000000001</v>
      </c>
      <c r="AN62" s="30">
        <v>2.1259999999999999</v>
      </c>
      <c r="AO62" s="30">
        <v>2.1240000000000001</v>
      </c>
      <c r="AP62" s="30">
        <v>2.1219999999999999</v>
      </c>
      <c r="AQ62" s="30">
        <v>2.1230000000000002</v>
      </c>
      <c r="AR62" s="30">
        <v>2.1269999999999998</v>
      </c>
      <c r="AS62" s="30">
        <v>2.1259999999999999</v>
      </c>
      <c r="AT62" s="30">
        <v>2.1219999999999999</v>
      </c>
      <c r="AU62" s="30">
        <v>2.1240000000000001</v>
      </c>
      <c r="AV62" s="30">
        <v>2.1240000000000001</v>
      </c>
      <c r="AW62" s="30">
        <v>2.121</v>
      </c>
    </row>
    <row r="63" spans="1:49" ht="18" customHeight="1">
      <c r="A63" s="23"/>
      <c r="B63" s="12"/>
      <c r="C63" s="78" t="s">
        <v>115</v>
      </c>
      <c r="D63" s="35" t="s">
        <v>188</v>
      </c>
      <c r="E63" s="35"/>
      <c r="F63" s="29" t="s">
        <v>189</v>
      </c>
      <c r="G63" s="38">
        <v>2.14</v>
      </c>
      <c r="H63" s="38">
        <v>0.03</v>
      </c>
      <c r="I63" s="38">
        <v>0.03</v>
      </c>
      <c r="J63" s="38">
        <v>0.03</v>
      </c>
      <c r="K63" s="38">
        <v>0.03</v>
      </c>
      <c r="L63" s="30">
        <f t="shared" si="0"/>
        <v>2.1389999999999998</v>
      </c>
      <c r="M63" s="30">
        <f t="shared" si="1"/>
        <v>2.1269999999999998</v>
      </c>
      <c r="N63" s="30">
        <f t="shared" si="2"/>
        <v>1.2000000000000011E-2</v>
      </c>
      <c r="O63" s="31">
        <f t="shared" si="3"/>
        <v>2.1320357142857143</v>
      </c>
      <c r="P63" s="52"/>
      <c r="Q63" s="30">
        <v>2.1389999999999998</v>
      </c>
      <c r="R63" s="30">
        <v>2.1280000000000001</v>
      </c>
      <c r="S63" s="30">
        <v>2.1280000000000001</v>
      </c>
      <c r="T63" s="30">
        <v>2.1269999999999998</v>
      </c>
      <c r="U63" s="30">
        <v>2.13</v>
      </c>
      <c r="V63" s="30">
        <v>2.1339999999999999</v>
      </c>
      <c r="W63" s="30">
        <v>2.129</v>
      </c>
      <c r="X63" s="30">
        <v>2.13</v>
      </c>
      <c r="Y63" s="30">
        <v>2.133</v>
      </c>
      <c r="Z63" s="30">
        <v>2.1360000000000001</v>
      </c>
      <c r="AA63" s="30">
        <v>2.129</v>
      </c>
      <c r="AB63" s="30">
        <v>2.1349999999999998</v>
      </c>
      <c r="AC63" s="30">
        <v>2.1360000000000001</v>
      </c>
      <c r="AD63" s="30">
        <v>2.1309999999999998</v>
      </c>
      <c r="AE63" s="30">
        <v>2.1339999999999999</v>
      </c>
      <c r="AF63" s="30"/>
      <c r="AG63" s="30"/>
      <c r="AH63" s="30">
        <v>2.1349999999999998</v>
      </c>
      <c r="AI63" s="30">
        <v>2.1349999999999998</v>
      </c>
      <c r="AJ63" s="30">
        <v>2.1309999999999998</v>
      </c>
      <c r="AK63" s="30">
        <v>2.137</v>
      </c>
      <c r="AL63" s="30">
        <v>2.129</v>
      </c>
      <c r="AM63" s="30">
        <v>2.129</v>
      </c>
      <c r="AN63" s="30">
        <v>2.129</v>
      </c>
      <c r="AO63" s="30">
        <v>2.1339999999999999</v>
      </c>
      <c r="AP63" s="30">
        <v>2.1389999999999998</v>
      </c>
      <c r="AQ63" s="30">
        <v>2.1269999999999998</v>
      </c>
      <c r="AR63" s="30">
        <v>2.1269999999999998</v>
      </c>
      <c r="AS63" s="30">
        <v>2.133</v>
      </c>
      <c r="AT63" s="30">
        <v>2.133</v>
      </c>
      <c r="AU63" s="30">
        <v>2.1320000000000001</v>
      </c>
      <c r="AV63" s="30">
        <v>2.1320000000000001</v>
      </c>
      <c r="AW63" s="30">
        <v>2.1320000000000001</v>
      </c>
    </row>
    <row r="64" spans="1:49" ht="18" customHeight="1">
      <c r="A64" s="23"/>
      <c r="B64" s="12"/>
      <c r="C64" s="78" t="s">
        <v>115</v>
      </c>
      <c r="D64" s="35" t="s">
        <v>190</v>
      </c>
      <c r="E64" s="35"/>
      <c r="F64" s="29" t="s">
        <v>191</v>
      </c>
      <c r="G64" s="38">
        <v>2.14</v>
      </c>
      <c r="H64" s="38">
        <v>0.03</v>
      </c>
      <c r="I64" s="38">
        <v>0.03</v>
      </c>
      <c r="J64" s="38">
        <v>0.03</v>
      </c>
      <c r="K64" s="38">
        <v>0.03</v>
      </c>
      <c r="L64" s="30">
        <f t="shared" si="0"/>
        <v>2.141</v>
      </c>
      <c r="M64" s="30">
        <f t="shared" si="1"/>
        <v>2.125</v>
      </c>
      <c r="N64" s="30">
        <f t="shared" si="2"/>
        <v>1.6000000000000014E-2</v>
      </c>
      <c r="O64" s="31">
        <f t="shared" si="3"/>
        <v>2.1333571428571427</v>
      </c>
      <c r="P64" s="52"/>
      <c r="Q64" s="30">
        <v>2.141</v>
      </c>
      <c r="R64" s="30">
        <v>2.13</v>
      </c>
      <c r="S64" s="30">
        <v>2.1280000000000001</v>
      </c>
      <c r="T64" s="30">
        <v>2.1280000000000001</v>
      </c>
      <c r="U64" s="30">
        <v>2.1280000000000001</v>
      </c>
      <c r="V64" s="30">
        <v>2.1320000000000001</v>
      </c>
      <c r="W64" s="30">
        <v>2.1259999999999999</v>
      </c>
      <c r="X64" s="30">
        <v>2.1313</v>
      </c>
      <c r="Y64" s="30">
        <v>2.1349999999999998</v>
      </c>
      <c r="Z64" s="30">
        <v>2.1387</v>
      </c>
      <c r="AA64" s="30">
        <v>2.13</v>
      </c>
      <c r="AB64" s="30">
        <v>2.1379999999999999</v>
      </c>
      <c r="AC64" s="30">
        <v>2.1379999999999999</v>
      </c>
      <c r="AD64" s="30">
        <v>2.133</v>
      </c>
      <c r="AE64" s="30">
        <v>2.137</v>
      </c>
      <c r="AF64" s="30"/>
      <c r="AG64" s="30"/>
      <c r="AH64" s="30">
        <v>2.137</v>
      </c>
      <c r="AI64" s="30">
        <v>2.1379999999999999</v>
      </c>
      <c r="AJ64" s="30">
        <v>2.1339999999999999</v>
      </c>
      <c r="AK64" s="30">
        <v>2.141</v>
      </c>
      <c r="AL64" s="30">
        <v>2.125</v>
      </c>
      <c r="AM64" s="30">
        <v>2.13</v>
      </c>
      <c r="AN64" s="30">
        <v>2.133</v>
      </c>
      <c r="AO64" s="30">
        <v>2.1360000000000001</v>
      </c>
      <c r="AP64" s="30">
        <v>2.1389999999999998</v>
      </c>
      <c r="AQ64" s="30">
        <v>2.129</v>
      </c>
      <c r="AR64" s="30">
        <v>2.133</v>
      </c>
      <c r="AS64" s="30">
        <v>2.1309999999999998</v>
      </c>
      <c r="AT64" s="30">
        <v>2.1339999999999999</v>
      </c>
      <c r="AU64" s="30">
        <v>2.129</v>
      </c>
      <c r="AV64" s="30">
        <v>2.13</v>
      </c>
      <c r="AW64" s="30">
        <v>2.1320000000000001</v>
      </c>
    </row>
    <row r="65" spans="1:49" ht="18" customHeight="1">
      <c r="A65" s="23"/>
      <c r="B65" s="12"/>
      <c r="C65" s="75" t="s">
        <v>65</v>
      </c>
      <c r="D65" s="35" t="s">
        <v>192</v>
      </c>
      <c r="E65" s="35"/>
      <c r="F65" s="29" t="s">
        <v>193</v>
      </c>
      <c r="G65" s="38">
        <v>78.16</v>
      </c>
      <c r="H65" s="38">
        <v>0.1</v>
      </c>
      <c r="I65" s="38">
        <v>0.1</v>
      </c>
      <c r="J65" s="38">
        <v>0.1</v>
      </c>
      <c r="K65" s="38">
        <v>0.1</v>
      </c>
      <c r="L65" s="30">
        <f t="shared" si="0"/>
        <v>78.183000000000007</v>
      </c>
      <c r="M65" s="30">
        <f t="shared" si="1"/>
        <v>78.123999999999995</v>
      </c>
      <c r="N65" s="30">
        <f t="shared" si="2"/>
        <v>5.900000000001171E-2</v>
      </c>
      <c r="O65" s="31">
        <f t="shared" si="3"/>
        <v>78.140321428571411</v>
      </c>
      <c r="P65" s="52"/>
      <c r="Q65" s="30">
        <v>78.137</v>
      </c>
      <c r="R65" s="30">
        <v>78.132000000000005</v>
      </c>
      <c r="S65" s="30">
        <v>78.134</v>
      </c>
      <c r="T65" s="30">
        <v>78.132000000000005</v>
      </c>
      <c r="U65" s="30">
        <v>78.131</v>
      </c>
      <c r="V65" s="30">
        <v>78.14</v>
      </c>
      <c r="W65" s="30">
        <v>78.143000000000001</v>
      </c>
      <c r="X65" s="30">
        <v>78.183000000000007</v>
      </c>
      <c r="Y65" s="30">
        <v>78.153000000000006</v>
      </c>
      <c r="Z65" s="30">
        <v>78.143000000000001</v>
      </c>
      <c r="AA65" s="30">
        <v>78.149000000000001</v>
      </c>
      <c r="AB65" s="30">
        <v>78.153000000000006</v>
      </c>
      <c r="AC65" s="30">
        <v>78.144999999999996</v>
      </c>
      <c r="AD65" s="30">
        <v>78.153000000000006</v>
      </c>
      <c r="AE65" s="30">
        <v>78.156000000000006</v>
      </c>
      <c r="AF65" s="30"/>
      <c r="AG65" s="30"/>
      <c r="AH65" s="30">
        <v>78.132999999999996</v>
      </c>
      <c r="AI65" s="30">
        <v>78.138999999999996</v>
      </c>
      <c r="AJ65" s="30">
        <v>78.132000000000005</v>
      </c>
      <c r="AK65" s="30">
        <v>78.128</v>
      </c>
      <c r="AL65" s="30">
        <v>78.138999999999996</v>
      </c>
      <c r="AM65" s="30">
        <v>78.149000000000001</v>
      </c>
      <c r="AN65" s="30">
        <v>78.131</v>
      </c>
      <c r="AO65" s="30">
        <v>78.132000000000005</v>
      </c>
      <c r="AP65" s="30">
        <v>78.138000000000005</v>
      </c>
      <c r="AQ65" s="30">
        <v>78.129000000000005</v>
      </c>
      <c r="AR65" s="30">
        <v>78.132000000000005</v>
      </c>
      <c r="AS65" s="30">
        <v>78.138999999999996</v>
      </c>
      <c r="AT65" s="30">
        <v>78.123999999999995</v>
      </c>
      <c r="AU65" s="30">
        <v>78.150999999999996</v>
      </c>
      <c r="AV65" s="30">
        <v>78.143000000000001</v>
      </c>
      <c r="AW65" s="30">
        <v>78.134</v>
      </c>
    </row>
    <row r="66" spans="1:49" ht="18" customHeight="1">
      <c r="A66" s="23"/>
      <c r="B66" s="12"/>
      <c r="C66" s="75" t="s">
        <v>65</v>
      </c>
      <c r="D66" s="35" t="s">
        <v>194</v>
      </c>
      <c r="E66" s="35"/>
      <c r="F66" s="29" t="s">
        <v>195</v>
      </c>
      <c r="G66" s="38">
        <v>78.16</v>
      </c>
      <c r="H66" s="38">
        <v>0.1</v>
      </c>
      <c r="I66" s="38">
        <v>0.1</v>
      </c>
      <c r="J66" s="38">
        <v>0.1</v>
      </c>
      <c r="K66" s="38">
        <v>0.1</v>
      </c>
      <c r="L66" s="30">
        <f t="shared" si="0"/>
        <v>78.147000000000006</v>
      </c>
      <c r="M66" s="30">
        <f t="shared" si="1"/>
        <v>78.093999999999994</v>
      </c>
      <c r="N66" s="30">
        <f t="shared" si="2"/>
        <v>5.3000000000011482E-2</v>
      </c>
      <c r="O66" s="31">
        <f t="shared" si="3"/>
        <v>78.113428571428557</v>
      </c>
      <c r="P66" s="52"/>
      <c r="Q66" s="30">
        <v>78.12</v>
      </c>
      <c r="R66" s="30">
        <v>78.102999999999994</v>
      </c>
      <c r="S66" s="30">
        <v>78.122</v>
      </c>
      <c r="T66" s="30">
        <v>78.114000000000004</v>
      </c>
      <c r="U66" s="30">
        <v>78.100999999999999</v>
      </c>
      <c r="V66" s="30">
        <v>78.111000000000004</v>
      </c>
      <c r="W66" s="30">
        <v>78.125</v>
      </c>
      <c r="X66" s="30">
        <v>78.131</v>
      </c>
      <c r="Y66" s="30">
        <v>78.116</v>
      </c>
      <c r="Z66" s="30">
        <v>78.111999999999995</v>
      </c>
      <c r="AA66" s="30">
        <v>78.132000000000005</v>
      </c>
      <c r="AB66" s="30">
        <v>78.137</v>
      </c>
      <c r="AC66" s="30">
        <v>78.113</v>
      </c>
      <c r="AD66" s="30">
        <v>78.137</v>
      </c>
      <c r="AE66" s="30">
        <v>78.138999999999996</v>
      </c>
      <c r="AF66" s="30"/>
      <c r="AG66" s="30"/>
      <c r="AH66" s="30">
        <v>78.147000000000006</v>
      </c>
      <c r="AI66" s="30">
        <v>78.099000000000004</v>
      </c>
      <c r="AJ66" s="30">
        <v>78.117000000000004</v>
      </c>
      <c r="AK66" s="30">
        <v>78.100999999999999</v>
      </c>
      <c r="AL66" s="30">
        <v>78.099000000000004</v>
      </c>
      <c r="AM66" s="30">
        <v>78.105000000000004</v>
      </c>
      <c r="AN66" s="30">
        <v>78.097999999999999</v>
      </c>
      <c r="AO66" s="30">
        <v>78.099999999999994</v>
      </c>
      <c r="AP66" s="30">
        <v>78.102999999999994</v>
      </c>
      <c r="AQ66" s="30">
        <v>78.096000000000004</v>
      </c>
      <c r="AR66" s="30">
        <v>78.096000000000004</v>
      </c>
      <c r="AS66" s="30">
        <v>78.108000000000004</v>
      </c>
      <c r="AT66" s="30">
        <v>78.093999999999994</v>
      </c>
      <c r="AU66" s="30">
        <v>78.114999999999995</v>
      </c>
      <c r="AV66" s="30">
        <v>78.114999999999995</v>
      </c>
      <c r="AW66" s="30">
        <v>78.097999999999999</v>
      </c>
    </row>
    <row r="67" spans="1:49" ht="18" customHeight="1">
      <c r="A67" s="23"/>
      <c r="B67" s="12"/>
      <c r="C67" s="75" t="s">
        <v>65</v>
      </c>
      <c r="D67" s="35" t="s">
        <v>196</v>
      </c>
      <c r="E67" s="35"/>
      <c r="F67" s="29" t="s">
        <v>197</v>
      </c>
      <c r="G67" s="38">
        <v>78.16</v>
      </c>
      <c r="H67" s="38">
        <v>0.1</v>
      </c>
      <c r="I67" s="38">
        <v>0.1</v>
      </c>
      <c r="J67" s="38">
        <v>0.1</v>
      </c>
      <c r="K67" s="38">
        <v>0.1</v>
      </c>
      <c r="L67" s="30">
        <f t="shared" si="0"/>
        <v>78.12</v>
      </c>
      <c r="M67" s="30">
        <f t="shared" si="1"/>
        <v>78.093999999999994</v>
      </c>
      <c r="N67" s="30">
        <f t="shared" si="2"/>
        <v>2.6000000000010459E-2</v>
      </c>
      <c r="O67" s="31">
        <f t="shared" si="3"/>
        <v>78.103142857142842</v>
      </c>
      <c r="P67" s="52"/>
      <c r="Q67" s="30">
        <v>78.102000000000004</v>
      </c>
      <c r="R67" s="30">
        <v>78.096999999999994</v>
      </c>
      <c r="S67" s="30">
        <v>78.102999999999994</v>
      </c>
      <c r="T67" s="30">
        <v>78.099000000000004</v>
      </c>
      <c r="U67" s="30">
        <v>78.096000000000004</v>
      </c>
      <c r="V67" s="30">
        <v>78.105999999999995</v>
      </c>
      <c r="W67" s="30">
        <v>78.102000000000004</v>
      </c>
      <c r="X67" s="30">
        <v>78.12</v>
      </c>
      <c r="Y67" s="30">
        <v>78.106999999999999</v>
      </c>
      <c r="Z67" s="30">
        <v>78.099999999999994</v>
      </c>
      <c r="AA67" s="30">
        <v>78.102999999999994</v>
      </c>
      <c r="AB67" s="30">
        <v>78.108000000000004</v>
      </c>
      <c r="AC67" s="30">
        <v>78.108000000000004</v>
      </c>
      <c r="AD67" s="30">
        <v>78.108999999999995</v>
      </c>
      <c r="AE67" s="30">
        <v>78.111999999999995</v>
      </c>
      <c r="AF67" s="30"/>
      <c r="AG67" s="30"/>
      <c r="AH67" s="30">
        <v>78.096000000000004</v>
      </c>
      <c r="AI67" s="30">
        <v>78.099000000000004</v>
      </c>
      <c r="AJ67" s="30">
        <v>78.099999999999994</v>
      </c>
      <c r="AK67" s="30">
        <v>78.108000000000004</v>
      </c>
      <c r="AL67" s="30">
        <v>78.099000000000004</v>
      </c>
      <c r="AM67" s="30">
        <v>78.099999999999994</v>
      </c>
      <c r="AN67" s="30">
        <v>78.105000000000004</v>
      </c>
      <c r="AO67" s="30">
        <v>78.103999999999999</v>
      </c>
      <c r="AP67" s="30">
        <v>78.105000000000004</v>
      </c>
      <c r="AQ67" s="30">
        <v>78.099000000000004</v>
      </c>
      <c r="AR67" s="30">
        <v>78.096000000000004</v>
      </c>
      <c r="AS67" s="30">
        <v>78.111000000000004</v>
      </c>
      <c r="AT67" s="30">
        <v>78.093999999999994</v>
      </c>
      <c r="AU67" s="30">
        <v>78.120999999999995</v>
      </c>
      <c r="AV67" s="30">
        <v>78.119</v>
      </c>
      <c r="AW67" s="30">
        <v>78.097999999999999</v>
      </c>
    </row>
    <row r="68" spans="1:49" ht="18" customHeight="1">
      <c r="A68" s="23"/>
      <c r="B68" s="12"/>
      <c r="C68" s="75" t="s">
        <v>65</v>
      </c>
      <c r="D68" s="35" t="s">
        <v>198</v>
      </c>
      <c r="E68" s="35"/>
      <c r="F68" s="29" t="s">
        <v>199</v>
      </c>
      <c r="G68" s="38">
        <v>78.16</v>
      </c>
      <c r="H68" s="38">
        <v>0.1</v>
      </c>
      <c r="I68" s="38">
        <v>0.1</v>
      </c>
      <c r="J68" s="38">
        <v>0.1</v>
      </c>
      <c r="K68" s="38">
        <v>0.1</v>
      </c>
      <c r="L68" s="30">
        <f t="shared" si="0"/>
        <v>78.191999999999993</v>
      </c>
      <c r="M68" s="30">
        <f t="shared" si="1"/>
        <v>78.134</v>
      </c>
      <c r="N68" s="30">
        <f t="shared" si="2"/>
        <v>5.7999999999992724E-2</v>
      </c>
      <c r="O68" s="31">
        <f t="shared" si="3"/>
        <v>78.169928571428585</v>
      </c>
      <c r="P68" s="52"/>
      <c r="Q68" s="30">
        <v>78.173000000000002</v>
      </c>
      <c r="R68" s="30">
        <v>78.174000000000007</v>
      </c>
      <c r="S68" s="30">
        <v>78.177000000000007</v>
      </c>
      <c r="T68" s="30">
        <v>78.180000000000007</v>
      </c>
      <c r="U68" s="30">
        <v>78.168999999999997</v>
      </c>
      <c r="V68" s="30">
        <v>78.171999999999997</v>
      </c>
      <c r="W68" s="30">
        <v>78.173000000000002</v>
      </c>
      <c r="X68" s="30">
        <v>78.185000000000002</v>
      </c>
      <c r="Y68" s="30">
        <v>78.180000000000007</v>
      </c>
      <c r="Z68" s="30">
        <v>78.180999999999997</v>
      </c>
      <c r="AA68" s="30">
        <v>78.168000000000006</v>
      </c>
      <c r="AB68" s="30">
        <v>78.191999999999993</v>
      </c>
      <c r="AC68" s="30">
        <v>78.186999999999998</v>
      </c>
      <c r="AD68" s="30">
        <v>78.179000000000002</v>
      </c>
      <c r="AE68" s="30">
        <v>78.182000000000002</v>
      </c>
      <c r="AF68" s="30"/>
      <c r="AG68" s="30"/>
      <c r="AH68" s="30">
        <v>78.153999999999996</v>
      </c>
      <c r="AI68" s="30">
        <v>78.16</v>
      </c>
      <c r="AJ68" s="30">
        <v>78.180000000000007</v>
      </c>
      <c r="AK68" s="30">
        <v>78.176000000000002</v>
      </c>
      <c r="AL68" s="30">
        <v>78.16</v>
      </c>
      <c r="AM68" s="30">
        <v>78.155000000000001</v>
      </c>
      <c r="AN68" s="30">
        <v>78.164000000000001</v>
      </c>
      <c r="AO68" s="30">
        <v>78.165999999999997</v>
      </c>
      <c r="AP68" s="30">
        <v>78.161000000000001</v>
      </c>
      <c r="AQ68" s="30">
        <v>78.153999999999996</v>
      </c>
      <c r="AR68" s="30">
        <v>78.156999999999996</v>
      </c>
      <c r="AS68" s="30">
        <v>78.165000000000006</v>
      </c>
      <c r="AT68" s="30">
        <v>78.134</v>
      </c>
      <c r="AU68" s="30">
        <v>78.186000000000007</v>
      </c>
      <c r="AV68" s="30">
        <v>78.176000000000002</v>
      </c>
      <c r="AW68" s="30">
        <v>78.156999999999996</v>
      </c>
    </row>
    <row r="69" spans="1:49" ht="18" customHeight="1">
      <c r="A69" s="23"/>
      <c r="B69" s="12"/>
      <c r="C69" s="75" t="s">
        <v>65</v>
      </c>
      <c r="D69" s="35" t="s">
        <v>200</v>
      </c>
      <c r="E69" s="35"/>
      <c r="F69" s="29" t="s">
        <v>201</v>
      </c>
      <c r="G69" s="38">
        <v>4.03</v>
      </c>
      <c r="H69" s="38">
        <v>0.03</v>
      </c>
      <c r="I69" s="38">
        <v>0.03</v>
      </c>
      <c r="J69" s="38">
        <v>0.03</v>
      </c>
      <c r="K69" s="38">
        <v>0.03</v>
      </c>
      <c r="L69" s="30">
        <f t="shared" ref="L69:L132" si="4">MAX(Q69:AT69)</f>
        <v>4.0229999999999997</v>
      </c>
      <c r="M69" s="30">
        <f t="shared" ref="M69:M132" si="5">MIN(Q69:AT69)</f>
        <v>4.0110000000000001</v>
      </c>
      <c r="N69" s="30">
        <f t="shared" ref="N69:N132" si="6">L69-M69</f>
        <v>1.1999999999999567E-2</v>
      </c>
      <c r="O69" s="31">
        <f t="shared" ref="O69:O132" si="7">AVERAGE(Q69:AT69)</f>
        <v>4.0196071428571436</v>
      </c>
      <c r="P69" s="52"/>
      <c r="Q69" s="30">
        <v>4.0229999999999997</v>
      </c>
      <c r="R69" s="30">
        <v>4.0170000000000003</v>
      </c>
      <c r="S69" s="30">
        <v>4.0209999999999999</v>
      </c>
      <c r="T69" s="30">
        <v>4.0209999999999999</v>
      </c>
      <c r="U69" s="30">
        <v>4.0190000000000001</v>
      </c>
      <c r="V69" s="30">
        <v>4.0190000000000001</v>
      </c>
      <c r="W69" s="30">
        <v>4.0190000000000001</v>
      </c>
      <c r="X69" s="30">
        <v>4.0190000000000001</v>
      </c>
      <c r="Y69" s="30">
        <v>4.0179999999999998</v>
      </c>
      <c r="Z69" s="30">
        <v>4.0190000000000001</v>
      </c>
      <c r="AA69" s="30">
        <v>4.0199999999999996</v>
      </c>
      <c r="AB69" s="30">
        <v>4.0179999999999998</v>
      </c>
      <c r="AC69" s="30">
        <v>4.0209999999999999</v>
      </c>
      <c r="AD69" s="30">
        <v>4.0190000000000001</v>
      </c>
      <c r="AE69" s="30">
        <v>4.0170000000000003</v>
      </c>
      <c r="AF69" s="30"/>
      <c r="AG69" s="30"/>
      <c r="AH69" s="30">
        <v>4.0199999999999996</v>
      </c>
      <c r="AI69" s="30">
        <v>4.0220000000000002</v>
      </c>
      <c r="AJ69" s="30">
        <v>4.0110000000000001</v>
      </c>
      <c r="AK69" s="30">
        <v>4.0220000000000002</v>
      </c>
      <c r="AL69" s="30">
        <v>4.0220000000000002</v>
      </c>
      <c r="AM69" s="30">
        <v>4.0220000000000002</v>
      </c>
      <c r="AN69" s="30">
        <v>4.0220000000000002</v>
      </c>
      <c r="AO69" s="30">
        <v>4.0209999999999999</v>
      </c>
      <c r="AP69" s="30">
        <v>4.0220000000000002</v>
      </c>
      <c r="AQ69" s="30">
        <v>4.0199999999999996</v>
      </c>
      <c r="AR69" s="30">
        <v>4.0190000000000001</v>
      </c>
      <c r="AS69" s="30">
        <v>4.0129999999999999</v>
      </c>
      <c r="AT69" s="30">
        <v>4.0229999999999997</v>
      </c>
      <c r="AU69" s="30">
        <v>4.0199999999999996</v>
      </c>
      <c r="AV69" s="30">
        <v>4.0209999999999999</v>
      </c>
      <c r="AW69" s="30">
        <v>4.0179999999999998</v>
      </c>
    </row>
    <row r="70" spans="1:49" ht="18" customHeight="1">
      <c r="A70" s="23"/>
      <c r="B70" s="12"/>
      <c r="C70" s="75" t="s">
        <v>65</v>
      </c>
      <c r="D70" s="35" t="s">
        <v>202</v>
      </c>
      <c r="E70" s="35"/>
      <c r="F70" s="29" t="s">
        <v>203</v>
      </c>
      <c r="G70" s="38">
        <v>1.08</v>
      </c>
      <c r="H70" s="38">
        <v>0.08</v>
      </c>
      <c r="I70" s="38">
        <v>0.08</v>
      </c>
      <c r="J70" s="38">
        <v>0.08</v>
      </c>
      <c r="K70" s="38">
        <v>0.08</v>
      </c>
      <c r="L70" s="30">
        <f t="shared" si="4"/>
        <v>1.1599999999999999</v>
      </c>
      <c r="M70" s="30">
        <f t="shared" si="5"/>
        <v>1.143</v>
      </c>
      <c r="N70" s="30">
        <f t="shared" si="6"/>
        <v>1.6999999999999904E-2</v>
      </c>
      <c r="O70" s="31">
        <f t="shared" si="7"/>
        <v>1.1548214285714287</v>
      </c>
      <c r="P70" s="52"/>
      <c r="Q70" s="30">
        <v>1.143</v>
      </c>
      <c r="R70" s="30">
        <v>1.147</v>
      </c>
      <c r="S70" s="30">
        <v>1.153</v>
      </c>
      <c r="T70" s="30">
        <v>1.1459999999999999</v>
      </c>
      <c r="U70" s="30">
        <v>1.1539999999999999</v>
      </c>
      <c r="V70" s="30">
        <v>1.1559999999999999</v>
      </c>
      <c r="W70" s="30">
        <v>1.1519999999999999</v>
      </c>
      <c r="X70" s="30">
        <v>1.1539999999999999</v>
      </c>
      <c r="Y70" s="30">
        <v>1.1579999999999999</v>
      </c>
      <c r="Z70" s="30">
        <v>1.157</v>
      </c>
      <c r="AA70" s="30">
        <v>1.153</v>
      </c>
      <c r="AB70" s="30">
        <v>1.1599999999999999</v>
      </c>
      <c r="AC70" s="30">
        <v>1.1559999999999999</v>
      </c>
      <c r="AD70" s="30">
        <v>1.155</v>
      </c>
      <c r="AE70" s="30">
        <v>1.1579999999999999</v>
      </c>
      <c r="AF70" s="30"/>
      <c r="AG70" s="30"/>
      <c r="AH70" s="30">
        <v>1.1539999999999999</v>
      </c>
      <c r="AI70" s="30">
        <v>1.157</v>
      </c>
      <c r="AJ70" s="30">
        <v>1.1559999999999999</v>
      </c>
      <c r="AK70" s="30">
        <v>1.1599999999999999</v>
      </c>
      <c r="AL70" s="30">
        <v>1.159</v>
      </c>
      <c r="AM70" s="30">
        <v>1.1579999999999999</v>
      </c>
      <c r="AN70" s="30">
        <v>1.155</v>
      </c>
      <c r="AO70" s="30">
        <v>1.157</v>
      </c>
      <c r="AP70" s="30">
        <v>1.159</v>
      </c>
      <c r="AQ70" s="30">
        <v>1.157</v>
      </c>
      <c r="AR70" s="30">
        <v>1.151</v>
      </c>
      <c r="AS70" s="30">
        <v>1.1539999999999999</v>
      </c>
      <c r="AT70" s="30">
        <v>1.1559999999999999</v>
      </c>
      <c r="AU70" s="30">
        <v>1.1559999999999999</v>
      </c>
      <c r="AV70" s="30">
        <v>1.153</v>
      </c>
      <c r="AW70" s="30">
        <v>1.155</v>
      </c>
    </row>
    <row r="71" spans="1:49" ht="18" customHeight="1">
      <c r="A71" s="23"/>
      <c r="B71" s="12"/>
      <c r="C71" s="75" t="s">
        <v>65</v>
      </c>
      <c r="D71" s="35" t="s">
        <v>204</v>
      </c>
      <c r="E71" s="35"/>
      <c r="F71" s="29" t="s">
        <v>205</v>
      </c>
      <c r="G71" s="38">
        <v>1.08</v>
      </c>
      <c r="H71" s="38">
        <v>0.08</v>
      </c>
      <c r="I71" s="38">
        <v>0.08</v>
      </c>
      <c r="J71" s="38">
        <v>0.08</v>
      </c>
      <c r="K71" s="38">
        <v>0.08</v>
      </c>
      <c r="L71" s="30">
        <f t="shared" si="4"/>
        <v>1.1599999999999999</v>
      </c>
      <c r="M71" s="30">
        <f t="shared" si="5"/>
        <v>1.145</v>
      </c>
      <c r="N71" s="30">
        <f t="shared" si="6"/>
        <v>1.4999999999999902E-2</v>
      </c>
      <c r="O71" s="31">
        <f t="shared" si="7"/>
        <v>1.1527857142857143</v>
      </c>
      <c r="P71" s="52"/>
      <c r="Q71" s="30">
        <v>1.1519999999999999</v>
      </c>
      <c r="R71" s="30">
        <v>1.1559999999999999</v>
      </c>
      <c r="S71" s="30">
        <v>1.1559999999999999</v>
      </c>
      <c r="T71" s="30">
        <v>1.1539999999999999</v>
      </c>
      <c r="U71" s="30">
        <v>1.157</v>
      </c>
      <c r="V71" s="30">
        <v>1.1599999999999999</v>
      </c>
      <c r="W71" s="30">
        <v>1.1559999999999999</v>
      </c>
      <c r="X71" s="30">
        <v>1.157</v>
      </c>
      <c r="Y71" s="30">
        <v>1.151</v>
      </c>
      <c r="Z71" s="30">
        <v>1.145</v>
      </c>
      <c r="AA71" s="30">
        <v>1.155</v>
      </c>
      <c r="AB71" s="30">
        <v>1.1539999999999999</v>
      </c>
      <c r="AC71" s="30">
        <v>1.153</v>
      </c>
      <c r="AD71" s="30">
        <v>1.1579999999999999</v>
      </c>
      <c r="AE71" s="30">
        <v>1.153</v>
      </c>
      <c r="AF71" s="30"/>
      <c r="AG71" s="30"/>
      <c r="AH71" s="30">
        <v>1.151</v>
      </c>
      <c r="AI71" s="30">
        <v>1.1499999999999999</v>
      </c>
      <c r="AJ71" s="30">
        <v>1.1499999999999999</v>
      </c>
      <c r="AK71" s="30">
        <v>1.1519999999999999</v>
      </c>
      <c r="AL71" s="30">
        <v>1.155</v>
      </c>
      <c r="AM71" s="30">
        <v>1.153</v>
      </c>
      <c r="AN71" s="30">
        <v>1.149</v>
      </c>
      <c r="AO71" s="30">
        <v>1.149</v>
      </c>
      <c r="AP71" s="30">
        <v>1.149</v>
      </c>
      <c r="AQ71" s="30">
        <v>1.151</v>
      </c>
      <c r="AR71" s="30">
        <v>1.155</v>
      </c>
      <c r="AS71" s="30">
        <v>1.149</v>
      </c>
      <c r="AT71" s="30">
        <v>1.1479999999999999</v>
      </c>
      <c r="AU71" s="30">
        <v>1.147</v>
      </c>
      <c r="AV71" s="30">
        <v>1.147</v>
      </c>
      <c r="AW71" s="30">
        <v>1.1459999999999999</v>
      </c>
    </row>
    <row r="72" spans="1:49" ht="18" customHeight="1">
      <c r="A72" s="23"/>
      <c r="B72" s="12"/>
      <c r="C72" s="75" t="s">
        <v>65</v>
      </c>
      <c r="D72" s="35" t="s">
        <v>206</v>
      </c>
      <c r="E72" s="35"/>
      <c r="F72" s="29" t="s">
        <v>207</v>
      </c>
      <c r="G72" s="38">
        <v>1.08</v>
      </c>
      <c r="H72" s="38">
        <v>0.08</v>
      </c>
      <c r="I72" s="38">
        <v>0.08</v>
      </c>
      <c r="J72" s="38">
        <v>0.08</v>
      </c>
      <c r="K72" s="38">
        <v>0.08</v>
      </c>
      <c r="L72" s="30">
        <f t="shared" si="4"/>
        <v>1.1579999999999999</v>
      </c>
      <c r="M72" s="30">
        <f t="shared" si="5"/>
        <v>1.1479999999999999</v>
      </c>
      <c r="N72" s="30">
        <f t="shared" si="6"/>
        <v>1.0000000000000009E-2</v>
      </c>
      <c r="O72" s="31">
        <f t="shared" si="7"/>
        <v>1.1525714285714286</v>
      </c>
      <c r="P72" s="52"/>
      <c r="Q72" s="30">
        <v>1.1519999999999999</v>
      </c>
      <c r="R72" s="30">
        <v>1.155</v>
      </c>
      <c r="S72" s="30">
        <v>1.1539999999999999</v>
      </c>
      <c r="T72" s="30">
        <v>1.153</v>
      </c>
      <c r="U72" s="30">
        <v>1.1519999999999999</v>
      </c>
      <c r="V72" s="30">
        <v>1.1519999999999999</v>
      </c>
      <c r="W72" s="30">
        <v>1.151</v>
      </c>
      <c r="X72" s="30">
        <v>1.1539999999999999</v>
      </c>
      <c r="Y72" s="30">
        <v>1.1519999999999999</v>
      </c>
      <c r="Z72" s="30">
        <v>1.1499999999999999</v>
      </c>
      <c r="AA72" s="30">
        <v>1.1519999999999999</v>
      </c>
      <c r="AB72" s="30">
        <v>1.155</v>
      </c>
      <c r="AC72" s="30">
        <v>1.1539999999999999</v>
      </c>
      <c r="AD72" s="30">
        <v>1.155</v>
      </c>
      <c r="AE72" s="30">
        <v>1.1539999999999999</v>
      </c>
      <c r="AF72" s="30"/>
      <c r="AG72" s="30"/>
      <c r="AH72" s="30">
        <v>1.153</v>
      </c>
      <c r="AI72" s="30">
        <v>1.1579999999999999</v>
      </c>
      <c r="AJ72" s="30">
        <v>1.151</v>
      </c>
      <c r="AK72" s="30">
        <v>1.1519999999999999</v>
      </c>
      <c r="AL72" s="30">
        <v>1.153</v>
      </c>
      <c r="AM72" s="30">
        <v>1.153</v>
      </c>
      <c r="AN72" s="30">
        <v>1.1499999999999999</v>
      </c>
      <c r="AO72" s="30">
        <v>1.149</v>
      </c>
      <c r="AP72" s="30">
        <v>1.1479999999999999</v>
      </c>
      <c r="AQ72" s="30">
        <v>1.1519999999999999</v>
      </c>
      <c r="AR72" s="30">
        <v>1.153</v>
      </c>
      <c r="AS72" s="30">
        <v>1.1539999999999999</v>
      </c>
      <c r="AT72" s="30">
        <v>1.151</v>
      </c>
      <c r="AU72" s="30">
        <v>1.1519999999999999</v>
      </c>
      <c r="AV72" s="30">
        <v>1.153</v>
      </c>
      <c r="AW72" s="30">
        <v>1.1499999999999999</v>
      </c>
    </row>
    <row r="73" spans="1:49" ht="18" customHeight="1">
      <c r="A73" s="23"/>
      <c r="B73" s="12"/>
      <c r="C73" s="75" t="s">
        <v>65</v>
      </c>
      <c r="D73" s="35" t="s">
        <v>208</v>
      </c>
      <c r="E73" s="35"/>
      <c r="F73" s="29" t="s">
        <v>209</v>
      </c>
      <c r="G73" s="38">
        <v>1.08</v>
      </c>
      <c r="H73" s="38">
        <v>0.08</v>
      </c>
      <c r="I73" s="38">
        <v>0.08</v>
      </c>
      <c r="J73" s="38">
        <v>0.08</v>
      </c>
      <c r="K73" s="38">
        <v>0.08</v>
      </c>
      <c r="L73" s="30">
        <f t="shared" si="4"/>
        <v>1.1599999999999999</v>
      </c>
      <c r="M73" s="30">
        <f t="shared" si="5"/>
        <v>1.1459999999999999</v>
      </c>
      <c r="N73" s="30">
        <f t="shared" si="6"/>
        <v>1.4000000000000012E-2</v>
      </c>
      <c r="O73" s="31">
        <f t="shared" si="7"/>
        <v>1.1520714285714286</v>
      </c>
      <c r="P73" s="52"/>
      <c r="Q73" s="30">
        <v>1.1499999999999999</v>
      </c>
      <c r="R73" s="30">
        <v>1.151</v>
      </c>
      <c r="S73" s="30">
        <v>1.1539999999999999</v>
      </c>
      <c r="T73" s="30">
        <v>1.149</v>
      </c>
      <c r="U73" s="30">
        <v>1.153</v>
      </c>
      <c r="V73" s="30">
        <v>1.1579999999999999</v>
      </c>
      <c r="W73" s="30">
        <v>1.1519999999999999</v>
      </c>
      <c r="X73" s="30">
        <v>1.1539999999999999</v>
      </c>
      <c r="Y73" s="30">
        <v>1.1579999999999999</v>
      </c>
      <c r="Z73" s="30">
        <v>1.157</v>
      </c>
      <c r="AA73" s="30">
        <v>1.1519999999999999</v>
      </c>
      <c r="AB73" s="30">
        <v>1.151</v>
      </c>
      <c r="AC73" s="30">
        <v>1.1559999999999999</v>
      </c>
      <c r="AD73" s="30">
        <v>1.1539999999999999</v>
      </c>
      <c r="AE73" s="30">
        <v>1.1499999999999999</v>
      </c>
      <c r="AF73" s="30"/>
      <c r="AG73" s="30"/>
      <c r="AH73" s="30">
        <v>1.1539999999999999</v>
      </c>
      <c r="AI73" s="30">
        <v>1.157</v>
      </c>
      <c r="AJ73" s="30">
        <v>1.1479999999999999</v>
      </c>
      <c r="AK73" s="30">
        <v>1.1599999999999999</v>
      </c>
      <c r="AL73" s="30">
        <v>1.155</v>
      </c>
      <c r="AM73" s="30">
        <v>1.149</v>
      </c>
      <c r="AN73" s="30">
        <v>1.1459999999999999</v>
      </c>
      <c r="AO73" s="30">
        <v>1.1459999999999999</v>
      </c>
      <c r="AP73" s="30">
        <v>1.1459999999999999</v>
      </c>
      <c r="AQ73" s="30">
        <v>1.1479999999999999</v>
      </c>
      <c r="AR73" s="30">
        <v>1.1499999999999999</v>
      </c>
      <c r="AS73" s="30">
        <v>1.149</v>
      </c>
      <c r="AT73" s="30">
        <v>1.151</v>
      </c>
      <c r="AU73" s="30">
        <v>1.151</v>
      </c>
      <c r="AV73" s="30">
        <v>1.147</v>
      </c>
      <c r="AW73" s="30">
        <v>1.1499999999999999</v>
      </c>
    </row>
    <row r="74" spans="1:49" ht="18" customHeight="1">
      <c r="A74" s="23"/>
      <c r="B74" s="12"/>
      <c r="C74" s="75" t="s">
        <v>65</v>
      </c>
      <c r="D74" s="35" t="s">
        <v>210</v>
      </c>
      <c r="E74" s="35"/>
      <c r="F74" s="29" t="s">
        <v>211</v>
      </c>
      <c r="G74" s="38">
        <v>1.08</v>
      </c>
      <c r="H74" s="38">
        <v>0.08</v>
      </c>
      <c r="I74" s="38">
        <v>0.08</v>
      </c>
      <c r="J74" s="38">
        <v>0.08</v>
      </c>
      <c r="K74" s="38">
        <v>0.08</v>
      </c>
      <c r="L74" s="30">
        <f t="shared" si="4"/>
        <v>1.1599999999999999</v>
      </c>
      <c r="M74" s="30">
        <f t="shared" si="5"/>
        <v>1.1479999999999999</v>
      </c>
      <c r="N74" s="30">
        <f t="shared" si="6"/>
        <v>1.2000000000000011E-2</v>
      </c>
      <c r="O74" s="31">
        <f t="shared" si="7"/>
        <v>1.1538928571428571</v>
      </c>
      <c r="P74" s="52"/>
      <c r="Q74" s="30">
        <v>1.1479999999999999</v>
      </c>
      <c r="R74" s="30">
        <v>1.149</v>
      </c>
      <c r="S74" s="30">
        <v>1.1479999999999999</v>
      </c>
      <c r="T74" s="30">
        <v>1.1479999999999999</v>
      </c>
      <c r="U74" s="30">
        <v>1.1519999999999999</v>
      </c>
      <c r="V74" s="30">
        <v>1.1519999999999999</v>
      </c>
      <c r="W74" s="30">
        <v>1.151</v>
      </c>
      <c r="X74" s="30">
        <v>1.1519999999999999</v>
      </c>
      <c r="Y74" s="30">
        <v>1.1559999999999999</v>
      </c>
      <c r="Z74" s="30">
        <v>1.1599999999999999</v>
      </c>
      <c r="AA74" s="30">
        <v>1.1499999999999999</v>
      </c>
      <c r="AB74" s="30">
        <v>1.1579999999999999</v>
      </c>
      <c r="AC74" s="30">
        <v>1.1559999999999999</v>
      </c>
      <c r="AD74" s="30">
        <v>1.1519999999999999</v>
      </c>
      <c r="AE74" s="30">
        <v>1.157</v>
      </c>
      <c r="AF74" s="30"/>
      <c r="AG74" s="30"/>
      <c r="AH74" s="30">
        <v>1.155</v>
      </c>
      <c r="AI74" s="30">
        <v>1.1559999999999999</v>
      </c>
      <c r="AJ74" s="30">
        <v>1.155</v>
      </c>
      <c r="AK74" s="30">
        <v>1.159</v>
      </c>
      <c r="AL74" s="30">
        <v>1.1539999999999999</v>
      </c>
      <c r="AM74" s="30">
        <v>1.157</v>
      </c>
      <c r="AN74" s="30">
        <v>1.1539999999999999</v>
      </c>
      <c r="AO74" s="30">
        <v>1.159</v>
      </c>
      <c r="AP74" s="30">
        <v>1.1539999999999999</v>
      </c>
      <c r="AQ74" s="30">
        <v>1.155</v>
      </c>
      <c r="AR74" s="30">
        <v>1.1559999999999999</v>
      </c>
      <c r="AS74" s="30">
        <v>1.1539999999999999</v>
      </c>
      <c r="AT74" s="30">
        <v>1.1519999999999999</v>
      </c>
      <c r="AU74" s="30">
        <v>1.153</v>
      </c>
      <c r="AV74" s="30">
        <v>1.1519999999999999</v>
      </c>
      <c r="AW74" s="30">
        <v>1.151</v>
      </c>
    </row>
    <row r="75" spans="1:49" ht="18" customHeight="1">
      <c r="A75" s="23"/>
      <c r="B75" s="12"/>
      <c r="C75" s="75" t="s">
        <v>65</v>
      </c>
      <c r="D75" s="35" t="s">
        <v>212</v>
      </c>
      <c r="E75" s="35"/>
      <c r="F75" s="29" t="s">
        <v>213</v>
      </c>
      <c r="G75" s="38">
        <v>0.28000000000000003</v>
      </c>
      <c r="H75" s="38">
        <v>0.05</v>
      </c>
      <c r="I75" s="38">
        <v>0.05</v>
      </c>
      <c r="J75" s="38">
        <v>0.05</v>
      </c>
      <c r="K75" s="38">
        <v>0.05</v>
      </c>
      <c r="L75" s="30">
        <f t="shared" si="4"/>
        <v>0.32900000000000001</v>
      </c>
      <c r="M75" s="30">
        <f t="shared" si="5"/>
        <v>0.32</v>
      </c>
      <c r="N75" s="30">
        <f t="shared" si="6"/>
        <v>9.000000000000008E-3</v>
      </c>
      <c r="O75" s="31">
        <f t="shared" si="7"/>
        <v>0.32460714285714282</v>
      </c>
      <c r="P75" s="52"/>
      <c r="Q75" s="30">
        <v>0.32200000000000001</v>
      </c>
      <c r="R75" s="30">
        <v>0.32200000000000001</v>
      </c>
      <c r="S75" s="30">
        <v>0.32100000000000001</v>
      </c>
      <c r="T75" s="30">
        <v>0.32</v>
      </c>
      <c r="U75" s="30">
        <v>0.32400000000000001</v>
      </c>
      <c r="V75" s="30">
        <v>0.32600000000000001</v>
      </c>
      <c r="W75" s="30">
        <v>0.32300000000000001</v>
      </c>
      <c r="X75" s="30">
        <v>0.32500000000000001</v>
      </c>
      <c r="Y75" s="30">
        <v>0.32700000000000001</v>
      </c>
      <c r="Z75" s="30">
        <v>0.32900000000000001</v>
      </c>
      <c r="AA75" s="30">
        <v>0.32300000000000001</v>
      </c>
      <c r="AB75" s="30">
        <v>0.32900000000000001</v>
      </c>
      <c r="AC75" s="30">
        <v>0.32600000000000001</v>
      </c>
      <c r="AD75" s="30">
        <v>0.32600000000000001</v>
      </c>
      <c r="AE75" s="30">
        <v>0.32800000000000001</v>
      </c>
      <c r="AF75" s="30"/>
      <c r="AG75" s="30"/>
      <c r="AH75" s="30">
        <v>0.32400000000000001</v>
      </c>
      <c r="AI75" s="30">
        <v>0.32200000000000001</v>
      </c>
      <c r="AJ75" s="30">
        <v>0.32500000000000001</v>
      </c>
      <c r="AK75" s="30">
        <v>0.32400000000000001</v>
      </c>
      <c r="AL75" s="30">
        <v>0.32400000000000001</v>
      </c>
      <c r="AM75" s="30">
        <v>0.32700000000000001</v>
      </c>
      <c r="AN75" s="30">
        <v>0.32300000000000001</v>
      </c>
      <c r="AO75" s="30">
        <v>0.32900000000000001</v>
      </c>
      <c r="AP75" s="30">
        <v>0.32500000000000001</v>
      </c>
      <c r="AQ75" s="30">
        <v>0.32500000000000001</v>
      </c>
      <c r="AR75" s="30">
        <v>0.32500000000000001</v>
      </c>
      <c r="AS75" s="30">
        <v>0.32300000000000001</v>
      </c>
      <c r="AT75" s="30">
        <v>0.32200000000000001</v>
      </c>
      <c r="AU75" s="30">
        <v>0.32500000000000001</v>
      </c>
      <c r="AV75" s="30">
        <v>0.32100000000000001</v>
      </c>
      <c r="AW75" s="30">
        <v>0.32</v>
      </c>
    </row>
    <row r="76" spans="1:49" ht="18" customHeight="1">
      <c r="A76" s="23"/>
      <c r="B76" s="12"/>
      <c r="C76" s="75" t="s">
        <v>65</v>
      </c>
      <c r="D76" s="35" t="s">
        <v>214</v>
      </c>
      <c r="E76" s="35"/>
      <c r="F76" s="29" t="s">
        <v>215</v>
      </c>
      <c r="G76" s="38">
        <v>0.56999999999999995</v>
      </c>
      <c r="H76" s="38">
        <v>0.08</v>
      </c>
      <c r="I76" s="38">
        <v>0.08</v>
      </c>
      <c r="J76" s="38">
        <v>0.08</v>
      </c>
      <c r="K76" s="38">
        <v>0.08</v>
      </c>
      <c r="L76" s="30">
        <f t="shared" si="4"/>
        <v>0.55500000000000005</v>
      </c>
      <c r="M76" s="30">
        <f t="shared" si="5"/>
        <v>0.53700000000000003</v>
      </c>
      <c r="N76" s="30">
        <f t="shared" si="6"/>
        <v>1.8000000000000016E-2</v>
      </c>
      <c r="O76" s="31">
        <f t="shared" si="7"/>
        <v>0.54660714285714296</v>
      </c>
      <c r="P76" s="52"/>
      <c r="Q76" s="30">
        <v>0.53900000000000003</v>
      </c>
      <c r="R76" s="30">
        <v>0.53800000000000003</v>
      </c>
      <c r="S76" s="30">
        <v>0.54200000000000004</v>
      </c>
      <c r="T76" s="30">
        <v>0.53700000000000003</v>
      </c>
      <c r="U76" s="30">
        <v>0.54500000000000004</v>
      </c>
      <c r="V76" s="30">
        <v>0.55100000000000005</v>
      </c>
      <c r="W76" s="30">
        <v>0.54400000000000004</v>
      </c>
      <c r="X76" s="30">
        <v>0.54800000000000004</v>
      </c>
      <c r="Y76" s="30">
        <v>0.54900000000000004</v>
      </c>
      <c r="Z76" s="30">
        <v>0.55000000000000004</v>
      </c>
      <c r="AA76" s="30">
        <v>0.54600000000000004</v>
      </c>
      <c r="AB76" s="30">
        <v>0.55100000000000005</v>
      </c>
      <c r="AC76" s="30">
        <v>0.54700000000000004</v>
      </c>
      <c r="AD76" s="30">
        <v>0.54800000000000004</v>
      </c>
      <c r="AE76" s="30">
        <v>0.54900000000000004</v>
      </c>
      <c r="AF76" s="30"/>
      <c r="AG76" s="30"/>
      <c r="AH76" s="30">
        <v>0.54500000000000004</v>
      </c>
      <c r="AI76" s="30">
        <v>0.54800000000000004</v>
      </c>
      <c r="AJ76" s="30">
        <v>0.54700000000000004</v>
      </c>
      <c r="AK76" s="30">
        <v>0.55000000000000004</v>
      </c>
      <c r="AL76" s="30">
        <v>0.55500000000000005</v>
      </c>
      <c r="AM76" s="30">
        <v>0.55000000000000004</v>
      </c>
      <c r="AN76" s="30">
        <v>0.54500000000000004</v>
      </c>
      <c r="AO76" s="30">
        <v>0.54500000000000004</v>
      </c>
      <c r="AP76" s="30">
        <v>0.54500000000000004</v>
      </c>
      <c r="AQ76" s="30">
        <v>0.54900000000000004</v>
      </c>
      <c r="AR76" s="30">
        <v>0.55100000000000005</v>
      </c>
      <c r="AS76" s="30">
        <v>0.54600000000000004</v>
      </c>
      <c r="AT76" s="30">
        <v>0.54500000000000004</v>
      </c>
      <c r="AU76" s="30">
        <v>0.54300000000000004</v>
      </c>
      <c r="AV76" s="30">
        <v>0.54500000000000004</v>
      </c>
      <c r="AW76" s="30">
        <v>0.54400000000000004</v>
      </c>
    </row>
    <row r="77" spans="1:49" ht="18" customHeight="1">
      <c r="A77" s="23"/>
      <c r="B77" s="12"/>
      <c r="C77" s="75" t="s">
        <v>65</v>
      </c>
      <c r="D77" s="35" t="s">
        <v>216</v>
      </c>
      <c r="E77" s="35"/>
      <c r="F77" s="29" t="s">
        <v>217</v>
      </c>
      <c r="G77" s="38">
        <v>35.479999999999997</v>
      </c>
      <c r="H77" s="38">
        <v>0.06</v>
      </c>
      <c r="I77" s="38">
        <v>0.06</v>
      </c>
      <c r="J77" s="38">
        <v>0.06</v>
      </c>
      <c r="K77" s="38">
        <v>0.06</v>
      </c>
      <c r="L77" s="30">
        <f t="shared" si="4"/>
        <v>35.54</v>
      </c>
      <c r="M77" s="30">
        <f t="shared" si="5"/>
        <v>35.527000000000001</v>
      </c>
      <c r="N77" s="30">
        <f t="shared" si="6"/>
        <v>1.2999999999998124E-2</v>
      </c>
      <c r="O77" s="31">
        <f t="shared" si="7"/>
        <v>35.533642857142851</v>
      </c>
      <c r="P77" s="52"/>
      <c r="Q77" s="30">
        <v>35.534999999999997</v>
      </c>
      <c r="R77" s="30">
        <v>35.534999999999997</v>
      </c>
      <c r="S77" s="30">
        <v>35.536999999999999</v>
      </c>
      <c r="T77" s="30">
        <v>35.533000000000001</v>
      </c>
      <c r="U77" s="30">
        <v>35.536999999999999</v>
      </c>
      <c r="V77" s="30">
        <v>35.536000000000001</v>
      </c>
      <c r="W77" s="30">
        <v>35.534999999999997</v>
      </c>
      <c r="X77" s="30">
        <v>35.536000000000001</v>
      </c>
      <c r="Y77" s="30">
        <v>35.54</v>
      </c>
      <c r="Z77" s="30">
        <v>35.54</v>
      </c>
      <c r="AA77" s="30">
        <v>35.533999999999999</v>
      </c>
      <c r="AB77" s="30">
        <v>35.533000000000001</v>
      </c>
      <c r="AC77" s="30">
        <v>35.536000000000001</v>
      </c>
      <c r="AD77" s="30">
        <v>35.536999999999999</v>
      </c>
      <c r="AE77" s="30">
        <v>35.530999999999999</v>
      </c>
      <c r="AF77" s="30"/>
      <c r="AG77" s="30"/>
      <c r="AH77" s="30">
        <v>35.533999999999999</v>
      </c>
      <c r="AI77" s="30">
        <v>35.533000000000001</v>
      </c>
      <c r="AJ77" s="30">
        <v>35.529000000000003</v>
      </c>
      <c r="AK77" s="30">
        <v>35.536000000000001</v>
      </c>
      <c r="AL77" s="30">
        <v>35.54</v>
      </c>
      <c r="AM77" s="30">
        <v>35.530999999999999</v>
      </c>
      <c r="AN77" s="30">
        <v>35.527000000000001</v>
      </c>
      <c r="AO77" s="30">
        <v>35.527000000000001</v>
      </c>
      <c r="AP77" s="30">
        <v>35.527000000000001</v>
      </c>
      <c r="AQ77" s="30">
        <v>35.53</v>
      </c>
      <c r="AR77" s="30">
        <v>35.531999999999996</v>
      </c>
      <c r="AS77" s="30">
        <v>35.53</v>
      </c>
      <c r="AT77" s="30">
        <v>35.530999999999999</v>
      </c>
      <c r="AU77" s="30">
        <v>35.536000000000001</v>
      </c>
      <c r="AV77" s="30">
        <v>35.527999999999999</v>
      </c>
      <c r="AW77" s="30">
        <v>35.529000000000003</v>
      </c>
    </row>
    <row r="78" spans="1:49" ht="18" customHeight="1">
      <c r="A78" s="23"/>
      <c r="B78" s="12"/>
      <c r="C78" s="75" t="s">
        <v>65</v>
      </c>
      <c r="D78" s="35" t="s">
        <v>218</v>
      </c>
      <c r="E78" s="35"/>
      <c r="F78" s="29" t="s">
        <v>219</v>
      </c>
      <c r="G78" s="38"/>
      <c r="H78" s="38">
        <v>0.08</v>
      </c>
      <c r="I78" s="38"/>
      <c r="J78" s="38">
        <v>0.08</v>
      </c>
      <c r="K78" s="38"/>
      <c r="L78" s="30">
        <f t="shared" si="4"/>
        <v>6.4000000000000001E-2</v>
      </c>
      <c r="M78" s="30">
        <f t="shared" si="5"/>
        <v>3.9E-2</v>
      </c>
      <c r="N78" s="30">
        <f t="shared" si="6"/>
        <v>2.5000000000000001E-2</v>
      </c>
      <c r="O78" s="31">
        <f t="shared" si="7"/>
        <v>5.0392857142857149E-2</v>
      </c>
      <c r="P78" s="52"/>
      <c r="Q78" s="30">
        <v>3.9E-2</v>
      </c>
      <c r="R78" s="30">
        <v>4.2000000000000003E-2</v>
      </c>
      <c r="S78" s="30">
        <v>4.3999999999999997E-2</v>
      </c>
      <c r="T78" s="30">
        <v>0.04</v>
      </c>
      <c r="U78" s="30">
        <v>4.9000000000000002E-2</v>
      </c>
      <c r="V78" s="30">
        <v>5.3999999999999999E-2</v>
      </c>
      <c r="W78" s="30">
        <v>4.8000000000000001E-2</v>
      </c>
      <c r="X78" s="30">
        <v>4.9000000000000002E-2</v>
      </c>
      <c r="Y78" s="30">
        <v>0.05</v>
      </c>
      <c r="Z78" s="30">
        <v>5.0999999999999997E-2</v>
      </c>
      <c r="AA78" s="30">
        <v>4.8000000000000001E-2</v>
      </c>
      <c r="AB78" s="30">
        <v>5.2999999999999999E-2</v>
      </c>
      <c r="AC78" s="30">
        <v>5.1999999999999998E-2</v>
      </c>
      <c r="AD78" s="30">
        <v>5.0999999999999997E-2</v>
      </c>
      <c r="AE78" s="30">
        <v>5.1999999999999998E-2</v>
      </c>
      <c r="AF78" s="30"/>
      <c r="AG78" s="30"/>
      <c r="AH78" s="30">
        <v>0.05</v>
      </c>
      <c r="AI78" s="30">
        <v>5.6000000000000001E-2</v>
      </c>
      <c r="AJ78" s="30">
        <v>4.9000000000000002E-2</v>
      </c>
      <c r="AK78" s="30">
        <v>5.8000000000000003E-2</v>
      </c>
      <c r="AL78" s="30">
        <v>6.4000000000000001E-2</v>
      </c>
      <c r="AM78" s="30">
        <v>5.1999999999999998E-2</v>
      </c>
      <c r="AN78" s="30">
        <v>4.8000000000000001E-2</v>
      </c>
      <c r="AO78" s="30">
        <v>5.0999999999999997E-2</v>
      </c>
      <c r="AP78" s="30">
        <v>5.3999999999999999E-2</v>
      </c>
      <c r="AQ78" s="30">
        <v>0.05</v>
      </c>
      <c r="AR78" s="30">
        <v>5.2999999999999999E-2</v>
      </c>
      <c r="AS78" s="30">
        <v>5.2999999999999999E-2</v>
      </c>
      <c r="AT78" s="30">
        <v>5.0999999999999997E-2</v>
      </c>
      <c r="AU78" s="30">
        <v>5.5E-2</v>
      </c>
      <c r="AV78" s="30">
        <v>5.1999999999999998E-2</v>
      </c>
      <c r="AW78" s="30">
        <v>0.05</v>
      </c>
    </row>
    <row r="79" spans="1:49" ht="18" customHeight="1">
      <c r="A79" s="23"/>
      <c r="B79" s="12"/>
      <c r="C79" s="75" t="s">
        <v>65</v>
      </c>
      <c r="D79" s="35" t="s">
        <v>220</v>
      </c>
      <c r="E79" s="35"/>
      <c r="F79" s="29"/>
      <c r="G79" s="38"/>
      <c r="H79" s="38">
        <v>0.05</v>
      </c>
      <c r="I79" s="38"/>
      <c r="J79" s="38">
        <v>0.05</v>
      </c>
      <c r="K79" s="38"/>
      <c r="L79" s="30">
        <f t="shared" si="4"/>
        <v>0.05</v>
      </c>
      <c r="M79" s="30">
        <f t="shared" si="5"/>
        <v>3.6999999999999998E-2</v>
      </c>
      <c r="N79" s="30">
        <f t="shared" si="6"/>
        <v>1.3000000000000005E-2</v>
      </c>
      <c r="O79" s="31">
        <f t="shared" si="7"/>
        <v>4.4642857142857137E-2</v>
      </c>
      <c r="P79" s="52"/>
      <c r="Q79" s="30">
        <v>4.7E-2</v>
      </c>
      <c r="R79" s="30">
        <v>0.05</v>
      </c>
      <c r="S79" s="30">
        <v>4.2000000000000003E-2</v>
      </c>
      <c r="T79" s="30">
        <v>4.8000000000000001E-2</v>
      </c>
      <c r="U79" s="30">
        <v>4.3999999999999997E-2</v>
      </c>
      <c r="V79" s="30">
        <v>4.8000000000000001E-2</v>
      </c>
      <c r="W79" s="30">
        <v>4.2000000000000003E-2</v>
      </c>
      <c r="X79" s="30">
        <v>4.8000000000000001E-2</v>
      </c>
      <c r="Y79" s="30">
        <v>0.05</v>
      </c>
      <c r="Z79" s="30">
        <v>4.9000000000000002E-2</v>
      </c>
      <c r="AA79" s="30">
        <v>4.5999999999999999E-2</v>
      </c>
      <c r="AB79" s="30">
        <v>4.2999999999999997E-2</v>
      </c>
      <c r="AC79" s="30">
        <v>4.7E-2</v>
      </c>
      <c r="AD79" s="30">
        <v>4.9000000000000002E-2</v>
      </c>
      <c r="AE79" s="30">
        <v>4.2000000000000003E-2</v>
      </c>
      <c r="AF79" s="30"/>
      <c r="AG79" s="30"/>
      <c r="AH79" s="30">
        <v>4.5999999999999999E-2</v>
      </c>
      <c r="AI79" s="30">
        <v>4.8000000000000001E-2</v>
      </c>
      <c r="AJ79" s="30">
        <v>3.9E-2</v>
      </c>
      <c r="AK79" s="30">
        <v>0.05</v>
      </c>
      <c r="AL79" s="30">
        <v>4.9000000000000002E-2</v>
      </c>
      <c r="AM79" s="30">
        <v>4.2000000000000003E-2</v>
      </c>
      <c r="AN79" s="30">
        <v>3.6999999999999998E-2</v>
      </c>
      <c r="AO79" s="30">
        <v>3.9E-2</v>
      </c>
      <c r="AP79" s="30">
        <v>4.1000000000000002E-2</v>
      </c>
      <c r="AQ79" s="30">
        <v>4.1000000000000002E-2</v>
      </c>
      <c r="AR79" s="30">
        <v>4.2999999999999997E-2</v>
      </c>
      <c r="AS79" s="30">
        <v>3.9E-2</v>
      </c>
      <c r="AT79" s="30">
        <v>4.1000000000000002E-2</v>
      </c>
      <c r="AU79" s="30">
        <v>0.04</v>
      </c>
      <c r="AV79" s="30">
        <v>3.6999999999999998E-2</v>
      </c>
      <c r="AW79" s="30">
        <v>3.9E-2</v>
      </c>
    </row>
    <row r="80" spans="1:49" ht="18" customHeight="1">
      <c r="A80" s="23"/>
      <c r="B80" s="12"/>
      <c r="C80" s="75" t="s">
        <v>65</v>
      </c>
      <c r="D80" s="35" t="s">
        <v>221</v>
      </c>
      <c r="E80" s="35"/>
      <c r="F80" s="29" t="s">
        <v>222</v>
      </c>
      <c r="G80" s="38">
        <v>0.52</v>
      </c>
      <c r="H80" s="38">
        <v>0.05</v>
      </c>
      <c r="I80" s="38">
        <v>0.05</v>
      </c>
      <c r="J80" s="38">
        <v>0.05</v>
      </c>
      <c r="K80" s="38">
        <v>0.05</v>
      </c>
      <c r="L80" s="30">
        <f t="shared" si="4"/>
        <v>0.54</v>
      </c>
      <c r="M80" s="30">
        <f t="shared" si="5"/>
        <v>0.52300000000000002</v>
      </c>
      <c r="N80" s="30">
        <f t="shared" si="6"/>
        <v>1.7000000000000015E-2</v>
      </c>
      <c r="O80" s="31">
        <f t="shared" si="7"/>
        <v>0.53278571428571453</v>
      </c>
      <c r="P80" s="52"/>
      <c r="Q80" s="30">
        <v>0.52300000000000002</v>
      </c>
      <c r="R80" s="30">
        <v>0.52500000000000002</v>
      </c>
      <c r="S80" s="30">
        <v>0.52400000000000002</v>
      </c>
      <c r="T80" s="30">
        <v>0.52400000000000002</v>
      </c>
      <c r="U80" s="30">
        <v>0.53</v>
      </c>
      <c r="V80" s="30">
        <v>0.53600000000000003</v>
      </c>
      <c r="W80" s="30">
        <v>0.52900000000000003</v>
      </c>
      <c r="X80" s="30">
        <v>0.53400000000000003</v>
      </c>
      <c r="Y80" s="30">
        <v>0.53500000000000003</v>
      </c>
      <c r="Z80" s="30">
        <v>0.53600000000000003</v>
      </c>
      <c r="AA80" s="30">
        <v>0.53200000000000003</v>
      </c>
      <c r="AB80" s="30">
        <v>0.53800000000000003</v>
      </c>
      <c r="AC80" s="30">
        <v>0.53300000000000003</v>
      </c>
      <c r="AD80" s="30">
        <v>0.53500000000000003</v>
      </c>
      <c r="AE80" s="30">
        <v>0.53600000000000003</v>
      </c>
      <c r="AF80" s="30"/>
      <c r="AG80" s="30"/>
      <c r="AH80" s="30">
        <v>0.53200000000000003</v>
      </c>
      <c r="AI80" s="30">
        <v>0.53100000000000003</v>
      </c>
      <c r="AJ80" s="30">
        <v>0.53300000000000003</v>
      </c>
      <c r="AK80" s="30">
        <v>0.53400000000000003</v>
      </c>
      <c r="AL80" s="30">
        <v>0.54</v>
      </c>
      <c r="AM80" s="30">
        <v>0.53600000000000003</v>
      </c>
      <c r="AN80" s="30">
        <v>0.53200000000000003</v>
      </c>
      <c r="AO80" s="30">
        <v>0.53300000000000003</v>
      </c>
      <c r="AP80" s="30">
        <v>0.53400000000000003</v>
      </c>
      <c r="AQ80" s="30">
        <v>0.53400000000000003</v>
      </c>
      <c r="AR80" s="30">
        <v>0.53700000000000003</v>
      </c>
      <c r="AS80" s="30">
        <v>0.53700000000000003</v>
      </c>
      <c r="AT80" s="30">
        <v>0.53500000000000003</v>
      </c>
      <c r="AU80" s="30">
        <v>0.53900000000000003</v>
      </c>
      <c r="AV80" s="30">
        <v>0.53600000000000003</v>
      </c>
      <c r="AW80" s="30">
        <v>0.53300000000000003</v>
      </c>
    </row>
    <row r="81" spans="1:49" ht="18" customHeight="1">
      <c r="A81" s="23"/>
      <c r="B81" s="12"/>
      <c r="C81" s="75" t="s">
        <v>65</v>
      </c>
      <c r="D81" s="35" t="s">
        <v>223</v>
      </c>
      <c r="E81" s="35"/>
      <c r="F81" s="29" t="s">
        <v>224</v>
      </c>
      <c r="G81" s="38">
        <v>0.49</v>
      </c>
      <c r="H81" s="38">
        <v>0.06</v>
      </c>
      <c r="I81" s="38">
        <v>0.06</v>
      </c>
      <c r="J81" s="38">
        <v>0.06</v>
      </c>
      <c r="K81" s="38">
        <v>0.06</v>
      </c>
      <c r="L81" s="30">
        <f t="shared" si="4"/>
        <v>0.54800000000000004</v>
      </c>
      <c r="M81" s="30">
        <f t="shared" si="5"/>
        <v>0.53800000000000003</v>
      </c>
      <c r="N81" s="30">
        <f t="shared" si="6"/>
        <v>1.0000000000000009E-2</v>
      </c>
      <c r="O81" s="31">
        <f t="shared" si="7"/>
        <v>0.54371428571428582</v>
      </c>
      <c r="P81" s="52"/>
      <c r="Q81" s="30">
        <v>0.53800000000000003</v>
      </c>
      <c r="R81" s="30">
        <v>0.54100000000000004</v>
      </c>
      <c r="S81" s="30">
        <v>0.54400000000000004</v>
      </c>
      <c r="T81" s="30">
        <v>0.54</v>
      </c>
      <c r="U81" s="30">
        <v>0.54800000000000004</v>
      </c>
      <c r="V81" s="30">
        <v>0.54300000000000004</v>
      </c>
      <c r="W81" s="30">
        <v>0.54700000000000004</v>
      </c>
      <c r="X81" s="30">
        <v>0.54600000000000004</v>
      </c>
      <c r="Y81" s="30">
        <v>0.54500000000000004</v>
      </c>
      <c r="Z81" s="30">
        <v>0.54400000000000004</v>
      </c>
      <c r="AA81" s="30">
        <v>0.54400000000000004</v>
      </c>
      <c r="AB81" s="30">
        <v>0.54700000000000004</v>
      </c>
      <c r="AC81" s="30">
        <v>0.54500000000000004</v>
      </c>
      <c r="AD81" s="30">
        <v>0.54600000000000004</v>
      </c>
      <c r="AE81" s="30">
        <v>0.54500000000000004</v>
      </c>
      <c r="AF81" s="30"/>
      <c r="AG81" s="30"/>
      <c r="AH81" s="30">
        <v>0.54400000000000004</v>
      </c>
      <c r="AI81" s="30">
        <v>0.54300000000000004</v>
      </c>
      <c r="AJ81" s="30">
        <v>0.54200000000000004</v>
      </c>
      <c r="AK81" s="30">
        <v>0.54500000000000004</v>
      </c>
      <c r="AL81" s="30">
        <v>0.54400000000000004</v>
      </c>
      <c r="AM81" s="30">
        <v>0.54500000000000004</v>
      </c>
      <c r="AN81" s="30">
        <v>0.54100000000000004</v>
      </c>
      <c r="AO81" s="30">
        <v>0.54100000000000004</v>
      </c>
      <c r="AP81" s="30">
        <v>0.54100000000000004</v>
      </c>
      <c r="AQ81" s="30">
        <v>0.54400000000000004</v>
      </c>
      <c r="AR81" s="30">
        <v>0.54300000000000004</v>
      </c>
      <c r="AS81" s="30">
        <v>0.54400000000000004</v>
      </c>
      <c r="AT81" s="30">
        <v>0.54400000000000004</v>
      </c>
      <c r="AU81" s="30">
        <v>0.54900000000000004</v>
      </c>
      <c r="AV81" s="30">
        <v>0.54300000000000004</v>
      </c>
      <c r="AW81" s="30">
        <v>0.54300000000000004</v>
      </c>
    </row>
    <row r="82" spans="1:49" ht="18" customHeight="1">
      <c r="A82" s="23"/>
      <c r="B82" s="12"/>
      <c r="C82" s="79" t="s">
        <v>225</v>
      </c>
      <c r="D82" s="35" t="s">
        <v>226</v>
      </c>
      <c r="E82" s="35"/>
      <c r="F82" s="29" t="s">
        <v>227</v>
      </c>
      <c r="G82" s="38">
        <v>4.78</v>
      </c>
      <c r="H82" s="38">
        <v>0.03</v>
      </c>
      <c r="I82" s="38">
        <v>0.03</v>
      </c>
      <c r="J82" s="38">
        <v>0.03</v>
      </c>
      <c r="K82" s="38">
        <v>0.03</v>
      </c>
      <c r="L82" s="30">
        <f t="shared" si="4"/>
        <v>4.773136</v>
      </c>
      <c r="M82" s="30">
        <f t="shared" si="5"/>
        <v>4.7711189999999997</v>
      </c>
      <c r="N82" s="30">
        <f t="shared" si="6"/>
        <v>2.0170000000003796E-3</v>
      </c>
      <c r="O82" s="31">
        <f t="shared" si="7"/>
        <v>4.7724644285714293</v>
      </c>
      <c r="P82" s="52"/>
      <c r="Q82" s="30">
        <v>4.7730620000000004</v>
      </c>
      <c r="R82" s="30">
        <v>4.772608</v>
      </c>
      <c r="S82" s="30">
        <v>4.7727139999999997</v>
      </c>
      <c r="T82" s="30">
        <v>4.7717530000000004</v>
      </c>
      <c r="U82" s="30">
        <v>4.7720609999999999</v>
      </c>
      <c r="V82" s="30">
        <v>4.7725540000000004</v>
      </c>
      <c r="W82" s="30">
        <v>4.7720820000000002</v>
      </c>
      <c r="X82" s="30">
        <v>4.7720989999999999</v>
      </c>
      <c r="Y82" s="30">
        <v>4.7730779999999999</v>
      </c>
      <c r="Z82" s="30">
        <v>4.7728770000000003</v>
      </c>
      <c r="AA82" s="30">
        <v>4.773136</v>
      </c>
      <c r="AB82" s="30">
        <v>4.7725179999999998</v>
      </c>
      <c r="AC82" s="30">
        <v>4.7727009999999996</v>
      </c>
      <c r="AD82" s="30">
        <v>4.7730379999999997</v>
      </c>
      <c r="AE82" s="30">
        <v>4.7728299999999999</v>
      </c>
      <c r="AF82" s="30"/>
      <c r="AG82" s="30"/>
      <c r="AH82" s="30">
        <v>4.772462</v>
      </c>
      <c r="AI82" s="30">
        <v>4.7721070000000001</v>
      </c>
      <c r="AJ82" s="30">
        <v>4.7722920000000002</v>
      </c>
      <c r="AK82" s="30">
        <v>4.7725299999999997</v>
      </c>
      <c r="AL82" s="30">
        <v>4.7729609999999996</v>
      </c>
      <c r="AM82" s="30">
        <v>4.7723690000000003</v>
      </c>
      <c r="AN82" s="30">
        <v>4.7726050000000004</v>
      </c>
      <c r="AO82" s="30">
        <v>4.7721960000000001</v>
      </c>
      <c r="AP82" s="30">
        <v>4.7711189999999997</v>
      </c>
      <c r="AQ82" s="30">
        <v>4.771846</v>
      </c>
      <c r="AR82" s="30">
        <v>4.7724589999999996</v>
      </c>
      <c r="AS82" s="30">
        <v>4.7727570000000004</v>
      </c>
      <c r="AT82" s="30">
        <v>4.7721900000000002</v>
      </c>
      <c r="AU82" s="30">
        <v>4.7722189999999998</v>
      </c>
      <c r="AV82" s="30">
        <v>4.7714879999999997</v>
      </c>
      <c r="AW82" s="30">
        <v>4.7719639999999997</v>
      </c>
    </row>
    <row r="83" spans="1:49" ht="18" customHeight="1">
      <c r="A83" s="23"/>
      <c r="B83" s="12"/>
      <c r="C83" s="79" t="s">
        <v>225</v>
      </c>
      <c r="D83" s="35" t="s">
        <v>228</v>
      </c>
      <c r="E83" s="35"/>
      <c r="F83" s="29" t="s">
        <v>229</v>
      </c>
      <c r="G83" s="38">
        <v>0</v>
      </c>
      <c r="H83" s="38">
        <v>0.12</v>
      </c>
      <c r="I83" s="38">
        <v>0</v>
      </c>
      <c r="J83" s="38">
        <v>0.12</v>
      </c>
      <c r="K83" s="38">
        <v>0</v>
      </c>
      <c r="L83" s="30">
        <f t="shared" si="4"/>
        <v>5.5313000000000001E-2</v>
      </c>
      <c r="M83" s="30">
        <f t="shared" si="5"/>
        <v>2.3061999999999999E-2</v>
      </c>
      <c r="N83" s="30">
        <f t="shared" si="6"/>
        <v>3.2251000000000002E-2</v>
      </c>
      <c r="O83" s="31">
        <f t="shared" si="7"/>
        <v>3.6806428571428573E-2</v>
      </c>
      <c r="P83" s="52"/>
      <c r="Q83" s="30">
        <v>2.4233999999999999E-2</v>
      </c>
      <c r="R83" s="30">
        <v>2.5635000000000002E-2</v>
      </c>
      <c r="S83" s="30">
        <v>3.7812999999999999E-2</v>
      </c>
      <c r="T83" s="30">
        <v>3.4953999999999999E-2</v>
      </c>
      <c r="U83" s="30">
        <v>4.6641000000000002E-2</v>
      </c>
      <c r="V83" s="30">
        <v>2.3385E-2</v>
      </c>
      <c r="W83" s="30">
        <v>3.7529E-2</v>
      </c>
      <c r="X83" s="30">
        <v>3.2232999999999998E-2</v>
      </c>
      <c r="Y83" s="30">
        <v>3.1036999999999999E-2</v>
      </c>
      <c r="Z83" s="30">
        <v>3.7273000000000001E-2</v>
      </c>
      <c r="AA83" s="30">
        <v>4.0493000000000001E-2</v>
      </c>
      <c r="AB83" s="30">
        <v>5.3982000000000002E-2</v>
      </c>
      <c r="AC83" s="30">
        <v>3.2968999999999998E-2</v>
      </c>
      <c r="AD83" s="30">
        <v>4.8245000000000003E-2</v>
      </c>
      <c r="AE83" s="30">
        <v>4.9709999999999997E-2</v>
      </c>
      <c r="AF83" s="30"/>
      <c r="AG83" s="30"/>
      <c r="AH83" s="30">
        <v>2.6081E-2</v>
      </c>
      <c r="AI83" s="30">
        <v>4.5455000000000002E-2</v>
      </c>
      <c r="AJ83" s="30">
        <v>4.7957E-2</v>
      </c>
      <c r="AK83" s="30">
        <v>3.9476999999999998E-2</v>
      </c>
      <c r="AL83" s="30">
        <v>3.3543999999999997E-2</v>
      </c>
      <c r="AM83" s="30">
        <v>3.3980999999999997E-2</v>
      </c>
      <c r="AN83" s="30">
        <v>3.6547000000000003E-2</v>
      </c>
      <c r="AO83" s="30">
        <v>3.2287999999999997E-2</v>
      </c>
      <c r="AP83" s="30">
        <v>5.5313000000000001E-2</v>
      </c>
      <c r="AQ83" s="30">
        <v>4.1104000000000002E-2</v>
      </c>
      <c r="AR83" s="30">
        <v>3.15E-2</v>
      </c>
      <c r="AS83" s="30">
        <v>2.8138E-2</v>
      </c>
      <c r="AT83" s="30">
        <v>2.3061999999999999E-2</v>
      </c>
      <c r="AU83" s="30">
        <v>6.1200999999999998E-2</v>
      </c>
      <c r="AV83" s="30">
        <v>3.6400000000000002E-2</v>
      </c>
      <c r="AW83" s="30">
        <v>4.5353999999999998E-2</v>
      </c>
    </row>
    <row r="84" spans="1:49" ht="18" customHeight="1">
      <c r="A84" s="23"/>
      <c r="B84" s="12"/>
      <c r="C84" s="79" t="s">
        <v>225</v>
      </c>
      <c r="D84" s="35" t="s">
        <v>230</v>
      </c>
      <c r="E84" s="35"/>
      <c r="F84" s="29" t="s">
        <v>231</v>
      </c>
      <c r="G84" s="38">
        <v>12.13</v>
      </c>
      <c r="H84" s="38">
        <v>0.06</v>
      </c>
      <c r="I84" s="38">
        <v>0.06</v>
      </c>
      <c r="J84" s="38">
        <v>0.08</v>
      </c>
      <c r="K84" s="38">
        <v>0.06</v>
      </c>
      <c r="L84" s="30">
        <f t="shared" si="4"/>
        <v>12.151852</v>
      </c>
      <c r="M84" s="30">
        <f t="shared" si="5"/>
        <v>12.130687999999999</v>
      </c>
      <c r="N84" s="30">
        <f t="shared" si="6"/>
        <v>2.1164000000000627E-2</v>
      </c>
      <c r="O84" s="31">
        <f t="shared" si="7"/>
        <v>12.137973821428574</v>
      </c>
      <c r="P84" s="52"/>
      <c r="Q84" s="30">
        <v>12.132818</v>
      </c>
      <c r="R84" s="30">
        <v>12.135845</v>
      </c>
      <c r="S84" s="30">
        <v>12.136087</v>
      </c>
      <c r="T84" s="30">
        <v>12.134537999999999</v>
      </c>
      <c r="U84" s="30">
        <v>12.136184999999999</v>
      </c>
      <c r="V84" s="30">
        <v>12.136077999999999</v>
      </c>
      <c r="W84" s="30">
        <v>12.140115</v>
      </c>
      <c r="X84" s="30">
        <v>12.151852</v>
      </c>
      <c r="Y84" s="30">
        <v>12.141811000000001</v>
      </c>
      <c r="Z84" s="30">
        <v>12.143960999999999</v>
      </c>
      <c r="AA84" s="30">
        <v>12.138725000000001</v>
      </c>
      <c r="AB84" s="30">
        <v>12.141062</v>
      </c>
      <c r="AC84" s="30">
        <v>12.134302999999999</v>
      </c>
      <c r="AD84" s="30">
        <v>12.139317</v>
      </c>
      <c r="AE84" s="30">
        <v>12.136086000000001</v>
      </c>
      <c r="AF84" s="30"/>
      <c r="AG84" s="30"/>
      <c r="AH84" s="30">
        <v>12.141541999999999</v>
      </c>
      <c r="AI84" s="30">
        <v>12.133478</v>
      </c>
      <c r="AJ84" s="30">
        <v>12.131323</v>
      </c>
      <c r="AK84" s="30">
        <v>12.133106</v>
      </c>
      <c r="AL84" s="30">
        <v>12.15095</v>
      </c>
      <c r="AM84" s="30">
        <v>12.134136</v>
      </c>
      <c r="AN84" s="30">
        <v>12.137010999999999</v>
      </c>
      <c r="AO84" s="30">
        <v>12.136022000000001</v>
      </c>
      <c r="AP84" s="30">
        <v>12.130687999999999</v>
      </c>
      <c r="AQ84" s="30">
        <v>12.139312</v>
      </c>
      <c r="AR84" s="30">
        <v>12.138954999999999</v>
      </c>
      <c r="AS84" s="30">
        <v>12.131821</v>
      </c>
      <c r="AT84" s="30">
        <v>12.146140000000001</v>
      </c>
      <c r="AU84" s="30">
        <v>12.137230000000001</v>
      </c>
      <c r="AV84" s="30">
        <v>12.131558999999999</v>
      </c>
      <c r="AW84" s="30">
        <v>12.133565000000001</v>
      </c>
    </row>
    <row r="85" spans="1:49" ht="18" customHeight="1">
      <c r="A85" s="23"/>
      <c r="B85" s="12"/>
      <c r="C85" s="79" t="s">
        <v>225</v>
      </c>
      <c r="D85" s="35" t="s">
        <v>232</v>
      </c>
      <c r="E85" s="35"/>
      <c r="F85" s="29" t="s">
        <v>233</v>
      </c>
      <c r="G85" s="38">
        <v>12.13</v>
      </c>
      <c r="H85" s="38">
        <v>0.06</v>
      </c>
      <c r="I85" s="38">
        <v>0.06</v>
      </c>
      <c r="J85" s="38">
        <v>0.08</v>
      </c>
      <c r="K85" s="38">
        <v>0.06</v>
      </c>
      <c r="L85" s="30">
        <f t="shared" si="4"/>
        <v>12.141190999999999</v>
      </c>
      <c r="M85" s="30">
        <f t="shared" si="5"/>
        <v>12.119422999999999</v>
      </c>
      <c r="N85" s="30">
        <f t="shared" si="6"/>
        <v>2.1767999999999788E-2</v>
      </c>
      <c r="O85" s="31">
        <f t="shared" si="7"/>
        <v>12.124873642857141</v>
      </c>
      <c r="P85" s="52"/>
      <c r="Q85" s="30">
        <v>12.120107000000001</v>
      </c>
      <c r="R85" s="30">
        <v>12.124777999999999</v>
      </c>
      <c r="S85" s="30">
        <v>12.123787</v>
      </c>
      <c r="T85" s="30">
        <v>12.121553</v>
      </c>
      <c r="U85" s="30">
        <v>12.122382</v>
      </c>
      <c r="V85" s="30">
        <v>12.124374</v>
      </c>
      <c r="W85" s="30">
        <v>12.124167</v>
      </c>
      <c r="X85" s="30">
        <v>12.141190999999999</v>
      </c>
      <c r="Y85" s="30">
        <v>12.128112</v>
      </c>
      <c r="Z85" s="30">
        <v>12.130324</v>
      </c>
      <c r="AA85" s="30">
        <v>12.127476</v>
      </c>
      <c r="AB85" s="30">
        <v>12.122652</v>
      </c>
      <c r="AC85" s="30">
        <v>12.122285</v>
      </c>
      <c r="AD85" s="30">
        <v>12.124606999999999</v>
      </c>
      <c r="AE85" s="30">
        <v>12.126340000000001</v>
      </c>
      <c r="AF85" s="30"/>
      <c r="AG85" s="30"/>
      <c r="AH85" s="30">
        <v>12.128558999999999</v>
      </c>
      <c r="AI85" s="30">
        <v>12.123575000000001</v>
      </c>
      <c r="AJ85" s="30">
        <v>12.12214</v>
      </c>
      <c r="AK85" s="30">
        <v>12.123953</v>
      </c>
      <c r="AL85" s="30">
        <v>12.130062000000001</v>
      </c>
      <c r="AM85" s="30">
        <v>12.122775000000001</v>
      </c>
      <c r="AN85" s="30">
        <v>12.123815</v>
      </c>
      <c r="AO85" s="30">
        <v>12.123373000000001</v>
      </c>
      <c r="AP85" s="30">
        <v>12.119422999999999</v>
      </c>
      <c r="AQ85" s="30">
        <v>12.123611</v>
      </c>
      <c r="AR85" s="30">
        <v>12.122998000000001</v>
      </c>
      <c r="AS85" s="30">
        <v>12.121468999999999</v>
      </c>
      <c r="AT85" s="30">
        <v>12.126574</v>
      </c>
      <c r="AU85" s="30">
        <v>12.122097</v>
      </c>
      <c r="AV85" s="30">
        <v>12.118555000000001</v>
      </c>
      <c r="AW85" s="30">
        <v>12.122467</v>
      </c>
    </row>
    <row r="86" spans="1:49" ht="18" customHeight="1">
      <c r="A86" s="23"/>
      <c r="B86" s="12"/>
      <c r="C86" s="79" t="s">
        <v>225</v>
      </c>
      <c r="D86" s="35" t="s">
        <v>234</v>
      </c>
      <c r="E86" s="35"/>
      <c r="F86" s="29" t="s">
        <v>235</v>
      </c>
      <c r="G86" s="38">
        <v>12.13</v>
      </c>
      <c r="H86" s="38">
        <v>0.06</v>
      </c>
      <c r="I86" s="38">
        <v>0.06</v>
      </c>
      <c r="J86" s="38">
        <v>0.08</v>
      </c>
      <c r="K86" s="38">
        <v>0.06</v>
      </c>
      <c r="L86" s="30">
        <f t="shared" si="4"/>
        <v>12.157417000000001</v>
      </c>
      <c r="M86" s="30">
        <f t="shared" si="5"/>
        <v>12.146981</v>
      </c>
      <c r="N86" s="30">
        <f t="shared" si="6"/>
        <v>1.0436000000000334E-2</v>
      </c>
      <c r="O86" s="31">
        <f t="shared" si="7"/>
        <v>12.152253749999996</v>
      </c>
      <c r="P86" s="52"/>
      <c r="Q86" s="30">
        <v>12.147944000000001</v>
      </c>
      <c r="R86" s="30">
        <v>12.153832</v>
      </c>
      <c r="S86" s="30">
        <v>12.154510999999999</v>
      </c>
      <c r="T86" s="30">
        <v>12.151327999999999</v>
      </c>
      <c r="U86" s="30">
        <v>12.151344999999999</v>
      </c>
      <c r="V86" s="30">
        <v>12.153813</v>
      </c>
      <c r="W86" s="30">
        <v>12.149749999999999</v>
      </c>
      <c r="X86" s="30">
        <v>12.157417000000001</v>
      </c>
      <c r="Y86" s="30">
        <v>12.152714</v>
      </c>
      <c r="Z86" s="30">
        <v>12.153579000000001</v>
      </c>
      <c r="AA86" s="30">
        <v>12.156606999999999</v>
      </c>
      <c r="AB86" s="30">
        <v>12.148052</v>
      </c>
      <c r="AC86" s="30">
        <v>12.154305000000001</v>
      </c>
      <c r="AD86" s="30">
        <v>12.15208</v>
      </c>
      <c r="AE86" s="30">
        <v>12.156378999999999</v>
      </c>
      <c r="AF86" s="30"/>
      <c r="AG86" s="30"/>
      <c r="AH86" s="30">
        <v>12.150456999999999</v>
      </c>
      <c r="AI86" s="30">
        <v>12.153760999999999</v>
      </c>
      <c r="AJ86" s="30">
        <v>12.153900999999999</v>
      </c>
      <c r="AK86" s="30">
        <v>12.156672</v>
      </c>
      <c r="AL86" s="30">
        <v>12.148754</v>
      </c>
      <c r="AM86" s="30">
        <v>12.150027</v>
      </c>
      <c r="AN86" s="30">
        <v>12.153570999999999</v>
      </c>
      <c r="AO86" s="30">
        <v>12.146981</v>
      </c>
      <c r="AP86" s="30">
        <v>12.153466</v>
      </c>
      <c r="AQ86" s="30">
        <v>12.149407</v>
      </c>
      <c r="AR86" s="30">
        <v>12.150043999999999</v>
      </c>
      <c r="AS86" s="30">
        <v>12.152619</v>
      </c>
      <c r="AT86" s="30">
        <v>12.149789</v>
      </c>
      <c r="AU86" s="30">
        <v>12.152281</v>
      </c>
      <c r="AV86" s="30">
        <v>12.149291</v>
      </c>
      <c r="AW86" s="30">
        <v>12.152248999999999</v>
      </c>
    </row>
    <row r="87" spans="1:49" ht="18" customHeight="1">
      <c r="A87" s="23"/>
      <c r="B87" s="12"/>
      <c r="C87" s="79" t="s">
        <v>225</v>
      </c>
      <c r="D87" s="35" t="s">
        <v>236</v>
      </c>
      <c r="E87" s="35"/>
      <c r="F87" s="29" t="s">
        <v>237</v>
      </c>
      <c r="G87" s="38">
        <v>12.13</v>
      </c>
      <c r="H87" s="38">
        <v>0.06</v>
      </c>
      <c r="I87" s="38">
        <v>0.06</v>
      </c>
      <c r="J87" s="38">
        <v>0.08</v>
      </c>
      <c r="K87" s="38">
        <v>0.06</v>
      </c>
      <c r="L87" s="30">
        <f t="shared" si="4"/>
        <v>12.152599</v>
      </c>
      <c r="M87" s="30">
        <f t="shared" si="5"/>
        <v>12.138434</v>
      </c>
      <c r="N87" s="30">
        <f t="shared" si="6"/>
        <v>1.4165000000000205E-2</v>
      </c>
      <c r="O87" s="31">
        <f t="shared" si="7"/>
        <v>12.14633575</v>
      </c>
      <c r="P87" s="52"/>
      <c r="Q87" s="30">
        <v>12.145657999999999</v>
      </c>
      <c r="R87" s="30">
        <v>12.149851</v>
      </c>
      <c r="S87" s="30">
        <v>12.14921</v>
      </c>
      <c r="T87" s="30">
        <v>12.145676999999999</v>
      </c>
      <c r="U87" s="30">
        <v>12.145255000000001</v>
      </c>
      <c r="V87" s="30">
        <v>12.149464</v>
      </c>
      <c r="W87" s="30">
        <v>12.143342000000001</v>
      </c>
      <c r="X87" s="30">
        <v>12.142647999999999</v>
      </c>
      <c r="Y87" s="30">
        <v>12.146286999999999</v>
      </c>
      <c r="Z87" s="30">
        <v>12.144863000000001</v>
      </c>
      <c r="AA87" s="30">
        <v>12.151047</v>
      </c>
      <c r="AB87" s="30">
        <v>12.140317</v>
      </c>
      <c r="AC87" s="30">
        <v>12.150299</v>
      </c>
      <c r="AD87" s="30">
        <v>12.145284</v>
      </c>
      <c r="AE87" s="30">
        <v>12.151730000000001</v>
      </c>
      <c r="AF87" s="30"/>
      <c r="AG87" s="30"/>
      <c r="AH87" s="30">
        <v>12.143623</v>
      </c>
      <c r="AI87" s="30">
        <v>12.148676999999999</v>
      </c>
      <c r="AJ87" s="30">
        <v>12.150382</v>
      </c>
      <c r="AK87" s="30">
        <v>12.152599</v>
      </c>
      <c r="AL87" s="30">
        <v>12.138434</v>
      </c>
      <c r="AM87" s="30">
        <v>12.143967</v>
      </c>
      <c r="AN87" s="30">
        <v>12.148758000000001</v>
      </c>
      <c r="AO87" s="30">
        <v>12.142072000000001</v>
      </c>
      <c r="AP87" s="30">
        <v>12.150525999999999</v>
      </c>
      <c r="AQ87" s="30">
        <v>12.142248</v>
      </c>
      <c r="AR87" s="30">
        <v>12.144322000000001</v>
      </c>
      <c r="AS87" s="30">
        <v>12.149608000000001</v>
      </c>
      <c r="AT87" s="30">
        <v>12.141253000000001</v>
      </c>
      <c r="AU87" s="30">
        <v>12.145559</v>
      </c>
      <c r="AV87" s="30">
        <v>12.145235</v>
      </c>
      <c r="AW87" s="30">
        <v>12.148550999999999</v>
      </c>
    </row>
    <row r="88" spans="1:49" ht="18" customHeight="1">
      <c r="A88" s="23"/>
      <c r="B88" s="12"/>
      <c r="C88" s="79" t="s">
        <v>225</v>
      </c>
      <c r="D88" s="35" t="s">
        <v>238</v>
      </c>
      <c r="E88" s="35"/>
      <c r="F88" s="29" t="s">
        <v>239</v>
      </c>
      <c r="G88" s="38">
        <v>12.13</v>
      </c>
      <c r="H88" s="38">
        <v>0.06</v>
      </c>
      <c r="I88" s="38">
        <v>0.06</v>
      </c>
      <c r="J88" s="38">
        <v>0.08</v>
      </c>
      <c r="K88" s="38">
        <v>0.06</v>
      </c>
      <c r="L88" s="30">
        <f t="shared" si="4"/>
        <v>12.143314</v>
      </c>
      <c r="M88" s="30">
        <f t="shared" si="5"/>
        <v>12.127548000000001</v>
      </c>
      <c r="N88" s="30">
        <f t="shared" si="6"/>
        <v>1.5765999999999281E-2</v>
      </c>
      <c r="O88" s="31">
        <f t="shared" si="7"/>
        <v>12.136825107142856</v>
      </c>
      <c r="P88" s="52"/>
      <c r="Q88" s="30">
        <v>12.136082999999999</v>
      </c>
      <c r="R88" s="30">
        <v>12.139551000000001</v>
      </c>
      <c r="S88" s="30">
        <v>12.138197999999999</v>
      </c>
      <c r="T88" s="30">
        <v>12.135634</v>
      </c>
      <c r="U88" s="30">
        <v>12.134131999999999</v>
      </c>
      <c r="V88" s="30">
        <v>12.138951</v>
      </c>
      <c r="W88" s="30">
        <v>12.13259</v>
      </c>
      <c r="X88" s="30">
        <v>12.135913</v>
      </c>
      <c r="Y88" s="30">
        <v>12.136430000000001</v>
      </c>
      <c r="Z88" s="30">
        <v>12.136898</v>
      </c>
      <c r="AA88" s="30">
        <v>12.141491</v>
      </c>
      <c r="AB88" s="30">
        <v>12.127548000000001</v>
      </c>
      <c r="AC88" s="30">
        <v>12.141315000000001</v>
      </c>
      <c r="AD88" s="30">
        <v>12.135040999999999</v>
      </c>
      <c r="AE88" s="30">
        <v>12.141463</v>
      </c>
      <c r="AF88" s="30"/>
      <c r="AG88" s="30"/>
      <c r="AH88" s="30">
        <v>12.133832999999999</v>
      </c>
      <c r="AI88" s="30">
        <v>12.141037000000001</v>
      </c>
      <c r="AJ88" s="30">
        <v>12.141235</v>
      </c>
      <c r="AK88" s="30">
        <v>12.143314</v>
      </c>
      <c r="AL88" s="30">
        <v>12.131199000000001</v>
      </c>
      <c r="AM88" s="30">
        <v>12.135097999999999</v>
      </c>
      <c r="AN88" s="30">
        <v>12.139272</v>
      </c>
      <c r="AO88" s="30">
        <v>12.133673</v>
      </c>
      <c r="AP88" s="30">
        <v>12.14198</v>
      </c>
      <c r="AQ88" s="30">
        <v>12.131511</v>
      </c>
      <c r="AR88" s="30">
        <v>12.134356</v>
      </c>
      <c r="AS88" s="30">
        <v>12.140497</v>
      </c>
      <c r="AT88" s="30">
        <v>12.132860000000001</v>
      </c>
      <c r="AU88" s="30">
        <v>12.134527</v>
      </c>
      <c r="AV88" s="30">
        <v>12.135702999999999</v>
      </c>
      <c r="AW88" s="30">
        <v>12.137515</v>
      </c>
    </row>
    <row r="89" spans="1:49" ht="18" customHeight="1">
      <c r="A89" s="23"/>
      <c r="B89" s="12"/>
      <c r="C89" s="79" t="s">
        <v>225</v>
      </c>
      <c r="D89" s="35" t="s">
        <v>240</v>
      </c>
      <c r="E89" s="35"/>
      <c r="F89" s="29" t="s">
        <v>241</v>
      </c>
      <c r="G89" s="38">
        <v>12.13</v>
      </c>
      <c r="H89" s="38">
        <v>0.06</v>
      </c>
      <c r="I89" s="38">
        <v>0.06</v>
      </c>
      <c r="J89" s="38">
        <v>0.08</v>
      </c>
      <c r="K89" s="38">
        <v>0.06</v>
      </c>
      <c r="L89" s="30">
        <f t="shared" si="4"/>
        <v>12.140969999999999</v>
      </c>
      <c r="M89" s="30">
        <f t="shared" si="5"/>
        <v>12.123347000000001</v>
      </c>
      <c r="N89" s="30">
        <f t="shared" si="6"/>
        <v>1.7622999999998612E-2</v>
      </c>
      <c r="O89" s="31">
        <f t="shared" si="7"/>
        <v>12.133817607142861</v>
      </c>
      <c r="P89" s="52"/>
      <c r="Q89" s="30">
        <v>12.132063</v>
      </c>
      <c r="R89" s="30">
        <v>12.135199999999999</v>
      </c>
      <c r="S89" s="30">
        <v>12.133839</v>
      </c>
      <c r="T89" s="30">
        <v>12.131544999999999</v>
      </c>
      <c r="U89" s="30">
        <v>12.129175</v>
      </c>
      <c r="V89" s="30">
        <v>12.135614</v>
      </c>
      <c r="W89" s="30">
        <v>12.129168</v>
      </c>
      <c r="X89" s="30">
        <v>12.134219</v>
      </c>
      <c r="Y89" s="30">
        <v>12.132452000000001</v>
      </c>
      <c r="Z89" s="30">
        <v>12.136810000000001</v>
      </c>
      <c r="AA89" s="30">
        <v>12.139479</v>
      </c>
      <c r="AB89" s="30">
        <v>12.123347000000001</v>
      </c>
      <c r="AC89" s="30">
        <v>12.139154</v>
      </c>
      <c r="AD89" s="30">
        <v>12.130421</v>
      </c>
      <c r="AE89" s="30">
        <v>12.137214</v>
      </c>
      <c r="AF89" s="30"/>
      <c r="AG89" s="30"/>
      <c r="AH89" s="30">
        <v>12.130321</v>
      </c>
      <c r="AI89" s="30">
        <v>12.14016</v>
      </c>
      <c r="AJ89" s="30">
        <v>12.136972999999999</v>
      </c>
      <c r="AK89" s="30">
        <v>12.139713</v>
      </c>
      <c r="AL89" s="30">
        <v>12.131410000000001</v>
      </c>
      <c r="AM89" s="30">
        <v>12.130026000000001</v>
      </c>
      <c r="AN89" s="30">
        <v>12.136405999999999</v>
      </c>
      <c r="AO89" s="30">
        <v>12.132826</v>
      </c>
      <c r="AP89" s="30">
        <v>12.140969999999999</v>
      </c>
      <c r="AQ89" s="30">
        <v>12.128683000000001</v>
      </c>
      <c r="AR89" s="30">
        <v>12.13101</v>
      </c>
      <c r="AS89" s="30">
        <v>12.139039</v>
      </c>
      <c r="AT89" s="30">
        <v>12.129656000000001</v>
      </c>
      <c r="AU89" s="30">
        <v>12.128784</v>
      </c>
      <c r="AV89" s="30">
        <v>12.133654999999999</v>
      </c>
      <c r="AW89" s="30">
        <v>12.133876000000001</v>
      </c>
    </row>
    <row r="90" spans="1:49" ht="18" customHeight="1">
      <c r="A90" s="23"/>
      <c r="B90" s="12"/>
      <c r="C90" s="79" t="s">
        <v>225</v>
      </c>
      <c r="D90" s="35" t="s">
        <v>242</v>
      </c>
      <c r="E90" s="35"/>
      <c r="F90" s="29" t="s">
        <v>243</v>
      </c>
      <c r="G90" s="38">
        <v>12.13</v>
      </c>
      <c r="H90" s="38">
        <v>0.06</v>
      </c>
      <c r="I90" s="38">
        <v>0.06</v>
      </c>
      <c r="J90" s="38">
        <v>0.08</v>
      </c>
      <c r="K90" s="38">
        <v>0.06</v>
      </c>
      <c r="L90" s="30">
        <f t="shared" si="4"/>
        <v>12.157723000000001</v>
      </c>
      <c r="M90" s="30">
        <f t="shared" si="5"/>
        <v>12.138369000000001</v>
      </c>
      <c r="N90" s="30">
        <f t="shared" si="6"/>
        <v>1.9353999999999871E-2</v>
      </c>
      <c r="O90" s="31">
        <f t="shared" si="7"/>
        <v>12.146477428571428</v>
      </c>
      <c r="P90" s="52"/>
      <c r="Q90" s="30">
        <v>12.139364</v>
      </c>
      <c r="R90" s="30">
        <v>12.146190000000001</v>
      </c>
      <c r="S90" s="30">
        <v>12.142885</v>
      </c>
      <c r="T90" s="30">
        <v>12.145030999999999</v>
      </c>
      <c r="U90" s="30">
        <v>12.138369000000001</v>
      </c>
      <c r="V90" s="30">
        <v>12.144723000000001</v>
      </c>
      <c r="W90" s="30">
        <v>12.142666999999999</v>
      </c>
      <c r="X90" s="30">
        <v>12.156810999999999</v>
      </c>
      <c r="Y90" s="30">
        <v>12.144589</v>
      </c>
      <c r="Z90" s="30">
        <v>12.156566</v>
      </c>
      <c r="AA90" s="30">
        <v>12.14884</v>
      </c>
      <c r="AB90" s="30">
        <v>12.140552</v>
      </c>
      <c r="AC90" s="30">
        <v>12.149016</v>
      </c>
      <c r="AD90" s="30">
        <v>12.143414</v>
      </c>
      <c r="AE90" s="30">
        <v>12.145220999999999</v>
      </c>
      <c r="AF90" s="30"/>
      <c r="AG90" s="30"/>
      <c r="AH90" s="30">
        <v>12.139405</v>
      </c>
      <c r="AI90" s="30">
        <v>12.154320999999999</v>
      </c>
      <c r="AJ90" s="30">
        <v>12.143473999999999</v>
      </c>
      <c r="AK90" s="30">
        <v>12.146984</v>
      </c>
      <c r="AL90" s="30">
        <v>12.151959</v>
      </c>
      <c r="AM90" s="30">
        <v>12.14202</v>
      </c>
      <c r="AN90" s="30">
        <v>12.148913</v>
      </c>
      <c r="AO90" s="30">
        <v>12.157723000000001</v>
      </c>
      <c r="AP90" s="30">
        <v>12.150067</v>
      </c>
      <c r="AQ90" s="30">
        <v>12.142903</v>
      </c>
      <c r="AR90" s="30">
        <v>12.144624</v>
      </c>
      <c r="AS90" s="30">
        <v>12.151833999999999</v>
      </c>
      <c r="AT90" s="30">
        <v>12.142903</v>
      </c>
      <c r="AU90" s="30">
        <v>12.132083</v>
      </c>
      <c r="AV90" s="30">
        <v>12.142852</v>
      </c>
      <c r="AW90" s="30">
        <v>12.140381</v>
      </c>
    </row>
    <row r="91" spans="1:49" ht="18" customHeight="1">
      <c r="A91" s="23"/>
      <c r="B91" s="12"/>
      <c r="C91" s="79" t="s">
        <v>225</v>
      </c>
      <c r="D91" s="35" t="s">
        <v>244</v>
      </c>
      <c r="E91" s="35"/>
      <c r="F91" s="29" t="s">
        <v>245</v>
      </c>
      <c r="G91" s="38">
        <v>12.13</v>
      </c>
      <c r="H91" s="38">
        <v>0.06</v>
      </c>
      <c r="I91" s="38">
        <v>0.06</v>
      </c>
      <c r="J91" s="38">
        <v>0.08</v>
      </c>
      <c r="K91" s="38">
        <v>0.06</v>
      </c>
      <c r="L91" s="30">
        <f t="shared" si="4"/>
        <v>12.184316000000001</v>
      </c>
      <c r="M91" s="30">
        <f t="shared" si="5"/>
        <v>12.167503999999999</v>
      </c>
      <c r="N91" s="30">
        <f t="shared" si="6"/>
        <v>1.6812000000001603E-2</v>
      </c>
      <c r="O91" s="31">
        <f t="shared" si="7"/>
        <v>12.175002821428572</v>
      </c>
      <c r="P91" s="52"/>
      <c r="Q91" s="30">
        <v>12.169824999999999</v>
      </c>
      <c r="R91" s="30">
        <v>12.174823</v>
      </c>
      <c r="S91" s="30">
        <v>12.173804000000001</v>
      </c>
      <c r="T91" s="30">
        <v>12.174955000000001</v>
      </c>
      <c r="U91" s="30">
        <v>12.167503999999999</v>
      </c>
      <c r="V91" s="30">
        <v>12.171792</v>
      </c>
      <c r="W91" s="30">
        <v>12.175864000000001</v>
      </c>
      <c r="X91" s="30">
        <v>12.183391</v>
      </c>
      <c r="Y91" s="30">
        <v>12.174094</v>
      </c>
      <c r="Z91" s="30">
        <v>12.181621</v>
      </c>
      <c r="AA91" s="30">
        <v>12.174442000000001</v>
      </c>
      <c r="AB91" s="30">
        <v>12.176311</v>
      </c>
      <c r="AC91" s="30">
        <v>12.177160000000001</v>
      </c>
      <c r="AD91" s="30">
        <v>12.174785999999999</v>
      </c>
      <c r="AE91" s="30">
        <v>12.172936999999999</v>
      </c>
      <c r="AF91" s="30"/>
      <c r="AG91" s="30"/>
      <c r="AH91" s="30">
        <v>12.173367000000001</v>
      </c>
      <c r="AI91" s="30">
        <v>12.178674000000001</v>
      </c>
      <c r="AJ91" s="30">
        <v>12.169972</v>
      </c>
      <c r="AK91" s="30">
        <v>12.174068</v>
      </c>
      <c r="AL91" s="30">
        <v>12.182148</v>
      </c>
      <c r="AM91" s="30">
        <v>12.172131</v>
      </c>
      <c r="AN91" s="30">
        <v>12.173776</v>
      </c>
      <c r="AO91" s="30">
        <v>12.184316000000001</v>
      </c>
      <c r="AP91" s="30">
        <v>12.171082999999999</v>
      </c>
      <c r="AQ91" s="30">
        <v>12.174414000000001</v>
      </c>
      <c r="AR91" s="30">
        <v>12.17395</v>
      </c>
      <c r="AS91" s="30">
        <v>12.173481000000001</v>
      </c>
      <c r="AT91" s="30">
        <v>12.17539</v>
      </c>
      <c r="AU91" s="30">
        <v>12.164908</v>
      </c>
      <c r="AV91" s="30">
        <v>12.169839</v>
      </c>
      <c r="AW91" s="30">
        <v>12.167984000000001</v>
      </c>
    </row>
    <row r="92" spans="1:49" ht="18" customHeight="1">
      <c r="A92" s="23"/>
      <c r="B92" s="12"/>
      <c r="C92" s="79" t="s">
        <v>225</v>
      </c>
      <c r="D92" s="35" t="s">
        <v>246</v>
      </c>
      <c r="E92" s="35"/>
      <c r="F92" s="29" t="s">
        <v>247</v>
      </c>
      <c r="G92" s="38">
        <v>12.13</v>
      </c>
      <c r="H92" s="38">
        <v>0.06</v>
      </c>
      <c r="I92" s="38">
        <v>0.06</v>
      </c>
      <c r="J92" s="38">
        <v>0.08</v>
      </c>
      <c r="K92" s="38">
        <v>0.06</v>
      </c>
      <c r="L92" s="30">
        <f t="shared" si="4"/>
        <v>12.176847</v>
      </c>
      <c r="M92" s="30">
        <f t="shared" si="5"/>
        <v>12.152680999999999</v>
      </c>
      <c r="N92" s="30">
        <f t="shared" si="6"/>
        <v>2.416600000000102E-2</v>
      </c>
      <c r="O92" s="31">
        <f t="shared" si="7"/>
        <v>12.161944035714287</v>
      </c>
      <c r="P92" s="52"/>
      <c r="Q92" s="30">
        <v>12.153454</v>
      </c>
      <c r="R92" s="30">
        <v>12.158341</v>
      </c>
      <c r="S92" s="30">
        <v>12.159653</v>
      </c>
      <c r="T92" s="30">
        <v>12.161350000000001</v>
      </c>
      <c r="U92" s="30">
        <v>12.152680999999999</v>
      </c>
      <c r="V92" s="30">
        <v>12.155589000000001</v>
      </c>
      <c r="W92" s="30">
        <v>12.16389</v>
      </c>
      <c r="X92" s="30">
        <v>12.176847</v>
      </c>
      <c r="Y92" s="30">
        <v>12.159795000000001</v>
      </c>
      <c r="Z92" s="30">
        <v>12.172529000000001</v>
      </c>
      <c r="AA92" s="30">
        <v>12.160168000000001</v>
      </c>
      <c r="AB92" s="30">
        <v>12.170623000000001</v>
      </c>
      <c r="AC92" s="30">
        <v>12.162202000000001</v>
      </c>
      <c r="AD92" s="30">
        <v>12.163771000000001</v>
      </c>
      <c r="AE92" s="30">
        <v>12.158060000000001</v>
      </c>
      <c r="AF92" s="30"/>
      <c r="AG92" s="30"/>
      <c r="AH92" s="30">
        <v>12.159667000000001</v>
      </c>
      <c r="AI92" s="30">
        <v>12.16746</v>
      </c>
      <c r="AJ92" s="30">
        <v>12.154031</v>
      </c>
      <c r="AK92" s="30">
        <v>12.158265999999999</v>
      </c>
      <c r="AL92" s="30">
        <v>12.174160000000001</v>
      </c>
      <c r="AM92" s="30">
        <v>12.157669</v>
      </c>
      <c r="AN92" s="30">
        <v>12.158472</v>
      </c>
      <c r="AO92" s="30">
        <v>12.174962000000001</v>
      </c>
      <c r="AP92" s="30">
        <v>12.153623</v>
      </c>
      <c r="AQ92" s="30">
        <v>12.164080999999999</v>
      </c>
      <c r="AR92" s="30">
        <v>12.162124</v>
      </c>
      <c r="AS92" s="30">
        <v>12.156905999999999</v>
      </c>
      <c r="AT92" s="30">
        <v>12.164059</v>
      </c>
      <c r="AU92" s="30">
        <v>12.15278</v>
      </c>
      <c r="AV92" s="30">
        <v>12.154449</v>
      </c>
      <c r="AW92" s="30">
        <v>12.152668999999999</v>
      </c>
    </row>
    <row r="93" spans="1:49" ht="18" customHeight="1">
      <c r="A93" s="23"/>
      <c r="B93" s="12"/>
      <c r="C93" s="79" t="s">
        <v>225</v>
      </c>
      <c r="D93" s="35" t="s">
        <v>248</v>
      </c>
      <c r="E93" s="35"/>
      <c r="F93" s="29" t="s">
        <v>249</v>
      </c>
      <c r="G93" s="38">
        <v>12.13</v>
      </c>
      <c r="H93" s="38">
        <v>0.06</v>
      </c>
      <c r="I93" s="38">
        <v>0.06</v>
      </c>
      <c r="J93" s="38">
        <v>0.08</v>
      </c>
      <c r="K93" s="38">
        <v>0.06</v>
      </c>
      <c r="L93" s="30">
        <f t="shared" si="4"/>
        <v>12.154294</v>
      </c>
      <c r="M93" s="30">
        <f t="shared" si="5"/>
        <v>12.127672</v>
      </c>
      <c r="N93" s="30">
        <f t="shared" si="6"/>
        <v>2.6621999999999701E-2</v>
      </c>
      <c r="O93" s="31">
        <f t="shared" si="7"/>
        <v>12.137001357142855</v>
      </c>
      <c r="P93" s="52"/>
      <c r="Q93" s="30">
        <v>12.127672</v>
      </c>
      <c r="R93" s="30">
        <v>12.131387</v>
      </c>
      <c r="S93" s="30">
        <v>12.134641</v>
      </c>
      <c r="T93" s="30">
        <v>12.132489</v>
      </c>
      <c r="U93" s="30">
        <v>12.133175</v>
      </c>
      <c r="V93" s="30">
        <v>12.131195</v>
      </c>
      <c r="W93" s="30">
        <v>12.139631</v>
      </c>
      <c r="X93" s="30">
        <v>12.154294</v>
      </c>
      <c r="Y93" s="30">
        <v>12.136478</v>
      </c>
      <c r="Z93" s="30">
        <v>12.145493</v>
      </c>
      <c r="AA93" s="30">
        <v>12.136918</v>
      </c>
      <c r="AB93" s="30">
        <v>12.142203</v>
      </c>
      <c r="AC93" s="30">
        <v>12.132778999999999</v>
      </c>
      <c r="AD93" s="30">
        <v>12.138191000000001</v>
      </c>
      <c r="AE93" s="30">
        <v>12.138363</v>
      </c>
      <c r="AF93" s="30"/>
      <c r="AG93" s="30"/>
      <c r="AH93" s="30">
        <v>12.133967</v>
      </c>
      <c r="AI93" s="30">
        <v>12.137632</v>
      </c>
      <c r="AJ93" s="30">
        <v>12.129405999999999</v>
      </c>
      <c r="AK93" s="30">
        <v>12.133917</v>
      </c>
      <c r="AL93" s="30">
        <v>12.142875</v>
      </c>
      <c r="AM93" s="30">
        <v>12.135135999999999</v>
      </c>
      <c r="AN93" s="30">
        <v>12.136602999999999</v>
      </c>
      <c r="AO93" s="30">
        <v>12.144061000000001</v>
      </c>
      <c r="AP93" s="30">
        <v>12.135013000000001</v>
      </c>
      <c r="AQ93" s="30">
        <v>12.141152</v>
      </c>
      <c r="AR93" s="30">
        <v>12.139386999999999</v>
      </c>
      <c r="AS93" s="30">
        <v>12.133853999999999</v>
      </c>
      <c r="AT93" s="30">
        <v>12.138126</v>
      </c>
      <c r="AU93" s="30">
        <v>12.140138</v>
      </c>
      <c r="AV93" s="30">
        <v>12.131523</v>
      </c>
      <c r="AW93" s="30">
        <v>12.132156</v>
      </c>
    </row>
    <row r="94" spans="1:49" ht="18" customHeight="1">
      <c r="A94" s="23"/>
      <c r="B94" s="12"/>
      <c r="C94" s="79" t="s">
        <v>225</v>
      </c>
      <c r="D94" s="35" t="s">
        <v>250</v>
      </c>
      <c r="E94" s="35"/>
      <c r="F94" s="29" t="s">
        <v>251</v>
      </c>
      <c r="G94" s="38">
        <v>12.13</v>
      </c>
      <c r="H94" s="38">
        <v>0.06</v>
      </c>
      <c r="I94" s="38">
        <v>0.06</v>
      </c>
      <c r="J94" s="38">
        <v>0.08</v>
      </c>
      <c r="K94" s="38">
        <v>0.06</v>
      </c>
      <c r="L94" s="30">
        <f t="shared" si="4"/>
        <v>12.154078999999999</v>
      </c>
      <c r="M94" s="30">
        <f t="shared" si="5"/>
        <v>12.135215000000001</v>
      </c>
      <c r="N94" s="30">
        <f t="shared" si="6"/>
        <v>1.8863999999998882E-2</v>
      </c>
      <c r="O94" s="31">
        <f t="shared" si="7"/>
        <v>12.14266410714286</v>
      </c>
      <c r="P94" s="52"/>
      <c r="Q94" s="30">
        <v>12.135215000000001</v>
      </c>
      <c r="R94" s="30">
        <v>12.139889999999999</v>
      </c>
      <c r="S94" s="30">
        <v>12.143311000000001</v>
      </c>
      <c r="T94" s="30">
        <v>12.136658000000001</v>
      </c>
      <c r="U94" s="30">
        <v>12.146891999999999</v>
      </c>
      <c r="V94" s="30">
        <v>12.141384</v>
      </c>
      <c r="W94" s="30">
        <v>12.141482999999999</v>
      </c>
      <c r="X94" s="30">
        <v>12.154078999999999</v>
      </c>
      <c r="Y94" s="30">
        <v>12.144114</v>
      </c>
      <c r="Z94" s="30">
        <v>12.143656999999999</v>
      </c>
      <c r="AA94" s="30">
        <v>12.146309</v>
      </c>
      <c r="AB94" s="30">
        <v>12.144045</v>
      </c>
      <c r="AC94" s="30">
        <v>12.138636999999999</v>
      </c>
      <c r="AD94" s="30">
        <v>12.145346</v>
      </c>
      <c r="AE94" s="30">
        <v>12.148954</v>
      </c>
      <c r="AF94" s="30"/>
      <c r="AG94" s="30"/>
      <c r="AH94" s="30">
        <v>12.141321</v>
      </c>
      <c r="AI94" s="30">
        <v>12.137086999999999</v>
      </c>
      <c r="AJ94" s="30">
        <v>12.139760000000001</v>
      </c>
      <c r="AK94" s="30">
        <v>12.142168</v>
      </c>
      <c r="AL94" s="30">
        <v>12.137824</v>
      </c>
      <c r="AM94" s="30">
        <v>12.14251</v>
      </c>
      <c r="AN94" s="30">
        <v>12.144947999999999</v>
      </c>
      <c r="AO94" s="30">
        <v>12.135925</v>
      </c>
      <c r="AP94" s="30">
        <v>12.143699</v>
      </c>
      <c r="AQ94" s="30">
        <v>12.146468</v>
      </c>
      <c r="AR94" s="30">
        <v>12.14634</v>
      </c>
      <c r="AS94" s="30">
        <v>12.144577</v>
      </c>
      <c r="AT94" s="30">
        <v>12.141994</v>
      </c>
      <c r="AU94" s="30">
        <v>12.156001</v>
      </c>
      <c r="AV94" s="30">
        <v>12.142084000000001</v>
      </c>
      <c r="AW94" s="30">
        <v>12.145417999999999</v>
      </c>
    </row>
    <row r="95" spans="1:49" ht="18" customHeight="1">
      <c r="A95" s="23"/>
      <c r="B95" s="12"/>
      <c r="C95" s="79" t="s">
        <v>225</v>
      </c>
      <c r="D95" s="35" t="s">
        <v>252</v>
      </c>
      <c r="E95" s="35"/>
      <c r="F95" s="29" t="s">
        <v>253</v>
      </c>
      <c r="G95" s="38">
        <v>12.13</v>
      </c>
      <c r="H95" s="38">
        <v>0.06</v>
      </c>
      <c r="I95" s="38">
        <v>0.06</v>
      </c>
      <c r="J95" s="38">
        <v>0.08</v>
      </c>
      <c r="K95" s="38">
        <v>0.06</v>
      </c>
      <c r="L95" s="30">
        <f t="shared" si="4"/>
        <v>12.166453000000001</v>
      </c>
      <c r="M95" s="30">
        <f t="shared" si="5"/>
        <v>12.155677000000001</v>
      </c>
      <c r="N95" s="30">
        <f t="shared" si="6"/>
        <v>1.0775999999999897E-2</v>
      </c>
      <c r="O95" s="31">
        <f t="shared" si="7"/>
        <v>12.161377964285714</v>
      </c>
      <c r="P95" s="52"/>
      <c r="Q95" s="30">
        <v>12.158018</v>
      </c>
      <c r="R95" s="30">
        <v>12.161485000000001</v>
      </c>
      <c r="S95" s="30">
        <v>12.162456000000001</v>
      </c>
      <c r="T95" s="30">
        <v>12.15888</v>
      </c>
      <c r="U95" s="30">
        <v>12.161429999999999</v>
      </c>
      <c r="V95" s="30">
        <v>12.161694000000001</v>
      </c>
      <c r="W95" s="30">
        <v>12.160181</v>
      </c>
      <c r="X95" s="30">
        <v>12.165509999999999</v>
      </c>
      <c r="Y95" s="30">
        <v>12.162425000000001</v>
      </c>
      <c r="Z95" s="30">
        <v>12.161792999999999</v>
      </c>
      <c r="AA95" s="30">
        <v>12.163712</v>
      </c>
      <c r="AB95" s="30">
        <v>12.159433999999999</v>
      </c>
      <c r="AC95" s="30">
        <v>12.161374</v>
      </c>
      <c r="AD95" s="30">
        <v>12.161515</v>
      </c>
      <c r="AE95" s="30">
        <v>12.166453000000001</v>
      </c>
      <c r="AF95" s="30"/>
      <c r="AG95" s="30"/>
      <c r="AH95" s="30">
        <v>12.160354</v>
      </c>
      <c r="AI95" s="30">
        <v>12.159483</v>
      </c>
      <c r="AJ95" s="30">
        <v>12.161818999999999</v>
      </c>
      <c r="AK95" s="30">
        <v>12.163869999999999</v>
      </c>
      <c r="AL95" s="30">
        <v>12.155677000000001</v>
      </c>
      <c r="AM95" s="30">
        <v>12.161522</v>
      </c>
      <c r="AN95" s="30">
        <v>12.162418000000001</v>
      </c>
      <c r="AO95" s="30">
        <v>12.158077</v>
      </c>
      <c r="AP95" s="30">
        <v>12.162801</v>
      </c>
      <c r="AQ95" s="30">
        <v>12.161587000000001</v>
      </c>
      <c r="AR95" s="30">
        <v>12.161913999999999</v>
      </c>
      <c r="AS95" s="30">
        <v>12.162361000000001</v>
      </c>
      <c r="AT95" s="30">
        <v>12.16034</v>
      </c>
      <c r="AU95" s="30">
        <v>12.165195000000001</v>
      </c>
      <c r="AV95" s="30">
        <v>12.160344</v>
      </c>
      <c r="AW95" s="30">
        <v>12.161918</v>
      </c>
    </row>
    <row r="96" spans="1:49" ht="18" customHeight="1">
      <c r="A96" s="23"/>
      <c r="B96" s="12"/>
      <c r="C96" s="79" t="s">
        <v>225</v>
      </c>
      <c r="D96" s="35" t="s">
        <v>254</v>
      </c>
      <c r="E96" s="35"/>
      <c r="F96" s="29" t="s">
        <v>255</v>
      </c>
      <c r="G96" s="38">
        <v>12.13</v>
      </c>
      <c r="H96" s="38">
        <v>0.06</v>
      </c>
      <c r="I96" s="38">
        <v>0.06</v>
      </c>
      <c r="J96" s="38">
        <v>0.08</v>
      </c>
      <c r="K96" s="38">
        <v>0.06</v>
      </c>
      <c r="L96" s="30">
        <f t="shared" si="4"/>
        <v>12.159915</v>
      </c>
      <c r="M96" s="30">
        <f t="shared" si="5"/>
        <v>12.147985</v>
      </c>
      <c r="N96" s="30">
        <f t="shared" si="6"/>
        <v>1.1929999999999552E-2</v>
      </c>
      <c r="O96" s="31">
        <f t="shared" si="7"/>
        <v>12.152213107142854</v>
      </c>
      <c r="P96" s="52"/>
      <c r="Q96" s="30">
        <v>12.150288</v>
      </c>
      <c r="R96" s="30">
        <v>12.153064000000001</v>
      </c>
      <c r="S96" s="30">
        <v>12.153333</v>
      </c>
      <c r="T96" s="30">
        <v>12.151593999999999</v>
      </c>
      <c r="U96" s="30">
        <v>12.147985</v>
      </c>
      <c r="V96" s="30">
        <v>12.154178</v>
      </c>
      <c r="W96" s="30">
        <v>12.151638999999999</v>
      </c>
      <c r="X96" s="30">
        <v>12.159915</v>
      </c>
      <c r="Y96" s="30">
        <v>12.153460000000001</v>
      </c>
      <c r="Z96" s="30">
        <v>12.154089000000001</v>
      </c>
      <c r="AA96" s="30">
        <v>12.15395</v>
      </c>
      <c r="AB96" s="30">
        <v>12.149874000000001</v>
      </c>
      <c r="AC96" s="30">
        <v>12.152760000000001</v>
      </c>
      <c r="AD96" s="30">
        <v>12.151168999999999</v>
      </c>
      <c r="AE96" s="30">
        <v>12.155745</v>
      </c>
      <c r="AF96" s="30"/>
      <c r="AG96" s="30"/>
      <c r="AH96" s="30">
        <v>12.152101</v>
      </c>
      <c r="AI96" s="30">
        <v>12.152371</v>
      </c>
      <c r="AJ96" s="30">
        <v>12.152675</v>
      </c>
      <c r="AK96" s="30">
        <v>12.154771</v>
      </c>
      <c r="AL96" s="30">
        <v>12.148332</v>
      </c>
      <c r="AM96" s="30">
        <v>12.151237</v>
      </c>
      <c r="AN96" s="30">
        <v>12.152328000000001</v>
      </c>
      <c r="AO96" s="30">
        <v>12.153072999999999</v>
      </c>
      <c r="AP96" s="30">
        <v>12.149430000000001</v>
      </c>
      <c r="AQ96" s="30">
        <v>12.149820999999999</v>
      </c>
      <c r="AR96" s="30">
        <v>12.150966</v>
      </c>
      <c r="AS96" s="30">
        <v>12.150309</v>
      </c>
      <c r="AT96" s="30">
        <v>12.15151</v>
      </c>
      <c r="AU96" s="30">
        <v>12.14813</v>
      </c>
      <c r="AV96" s="30">
        <v>12.149948999999999</v>
      </c>
      <c r="AW96" s="30">
        <v>12.149887</v>
      </c>
    </row>
    <row r="97" spans="1:49" ht="18" customHeight="1">
      <c r="A97" s="23"/>
      <c r="B97" s="12"/>
      <c r="C97" s="79" t="s">
        <v>225</v>
      </c>
      <c r="D97" s="35" t="s">
        <v>256</v>
      </c>
      <c r="E97" s="35"/>
      <c r="F97" s="29" t="s">
        <v>257</v>
      </c>
      <c r="G97" s="38">
        <v>12.13</v>
      </c>
      <c r="H97" s="38">
        <v>0.06</v>
      </c>
      <c r="I97" s="38">
        <v>0.06</v>
      </c>
      <c r="J97" s="38">
        <v>0.08</v>
      </c>
      <c r="K97" s="38">
        <v>0.06</v>
      </c>
      <c r="L97" s="30">
        <f t="shared" si="4"/>
        <v>12.160617</v>
      </c>
      <c r="M97" s="30">
        <f t="shared" si="5"/>
        <v>12.148557</v>
      </c>
      <c r="N97" s="30">
        <f t="shared" si="6"/>
        <v>1.205999999999996E-2</v>
      </c>
      <c r="O97" s="31">
        <f t="shared" si="7"/>
        <v>12.155278142857144</v>
      </c>
      <c r="P97" s="52"/>
      <c r="Q97" s="30">
        <v>12.158866</v>
      </c>
      <c r="R97" s="30">
        <v>12.160617</v>
      </c>
      <c r="S97" s="30">
        <v>12.157328</v>
      </c>
      <c r="T97" s="30">
        <v>12.157869</v>
      </c>
      <c r="U97" s="30">
        <v>12.149483999999999</v>
      </c>
      <c r="V97" s="30">
        <v>12.15846</v>
      </c>
      <c r="W97" s="30">
        <v>12.156247</v>
      </c>
      <c r="X97" s="30">
        <v>12.154653</v>
      </c>
      <c r="Y97" s="30">
        <v>12.158431999999999</v>
      </c>
      <c r="Z97" s="30">
        <v>12.157061000000001</v>
      </c>
      <c r="AA97" s="30">
        <v>12.156115</v>
      </c>
      <c r="AB97" s="30">
        <v>12.148557</v>
      </c>
      <c r="AC97" s="30">
        <v>12.158391999999999</v>
      </c>
      <c r="AD97" s="30">
        <v>12.151095</v>
      </c>
      <c r="AE97" s="30">
        <v>12.155734000000001</v>
      </c>
      <c r="AF97" s="30"/>
      <c r="AG97" s="30"/>
      <c r="AH97" s="30">
        <v>12.156040000000001</v>
      </c>
      <c r="AI97" s="30">
        <v>12.158115</v>
      </c>
      <c r="AJ97" s="30">
        <v>12.157636</v>
      </c>
      <c r="AK97" s="30">
        <v>12.158381</v>
      </c>
      <c r="AL97" s="30">
        <v>12.155722000000001</v>
      </c>
      <c r="AM97" s="30">
        <v>12.152737999999999</v>
      </c>
      <c r="AN97" s="30">
        <v>12.153722</v>
      </c>
      <c r="AO97" s="30">
        <v>12.155056</v>
      </c>
      <c r="AP97" s="30">
        <v>12.153321</v>
      </c>
      <c r="AQ97" s="30">
        <v>12.149533999999999</v>
      </c>
      <c r="AR97" s="30">
        <v>12.15019</v>
      </c>
      <c r="AS97" s="30">
        <v>12.151608</v>
      </c>
      <c r="AT97" s="30">
        <v>12.156815</v>
      </c>
      <c r="AU97" s="30">
        <v>12.143390999999999</v>
      </c>
      <c r="AV97" s="30">
        <v>12.150352</v>
      </c>
      <c r="AW97" s="30">
        <v>12.150893999999999</v>
      </c>
    </row>
    <row r="98" spans="1:49" ht="18" customHeight="1">
      <c r="A98" s="23"/>
      <c r="B98" s="12"/>
      <c r="C98" s="79" t="s">
        <v>225</v>
      </c>
      <c r="D98" s="35" t="s">
        <v>258</v>
      </c>
      <c r="E98" s="35"/>
      <c r="F98" s="29" t="s">
        <v>259</v>
      </c>
      <c r="G98" s="38">
        <v>14.13</v>
      </c>
      <c r="H98" s="38">
        <v>0.05</v>
      </c>
      <c r="I98" s="38">
        <v>0.05</v>
      </c>
      <c r="J98" s="38">
        <v>0.08</v>
      </c>
      <c r="K98" s="38">
        <v>0.05</v>
      </c>
      <c r="L98" s="30">
        <f t="shared" si="4"/>
        <v>14.16165</v>
      </c>
      <c r="M98" s="30">
        <f t="shared" si="5"/>
        <v>14.125159999999999</v>
      </c>
      <c r="N98" s="30">
        <f t="shared" si="6"/>
        <v>3.6490000000000578E-2</v>
      </c>
      <c r="O98" s="31">
        <f t="shared" si="7"/>
        <v>14.142494071428574</v>
      </c>
      <c r="P98" s="52"/>
      <c r="Q98" s="30">
        <v>14.125159999999999</v>
      </c>
      <c r="R98" s="30">
        <v>14.14217</v>
      </c>
      <c r="S98" s="30">
        <v>14.139677000000001</v>
      </c>
      <c r="T98" s="30">
        <v>14.137793</v>
      </c>
      <c r="U98" s="30">
        <v>14.137365000000001</v>
      </c>
      <c r="V98" s="30">
        <v>14.141761000000001</v>
      </c>
      <c r="W98" s="30">
        <v>14.144337999999999</v>
      </c>
      <c r="X98" s="30">
        <v>14.16165</v>
      </c>
      <c r="Y98" s="30">
        <v>14.146869000000001</v>
      </c>
      <c r="Z98" s="30">
        <v>14.148726</v>
      </c>
      <c r="AA98" s="30">
        <v>14.144294</v>
      </c>
      <c r="AB98" s="30">
        <v>14.149144</v>
      </c>
      <c r="AC98" s="30">
        <v>14.140935000000001</v>
      </c>
      <c r="AD98" s="30">
        <v>14.146473</v>
      </c>
      <c r="AE98" s="30">
        <v>14.142537000000001</v>
      </c>
      <c r="AF98" s="30"/>
      <c r="AG98" s="30"/>
      <c r="AH98" s="30">
        <v>14.142632000000001</v>
      </c>
      <c r="AI98" s="30">
        <v>14.132548</v>
      </c>
      <c r="AJ98" s="30">
        <v>14.129562999999999</v>
      </c>
      <c r="AK98" s="30">
        <v>14.139243</v>
      </c>
      <c r="AL98" s="30">
        <v>14.156919</v>
      </c>
      <c r="AM98" s="30">
        <v>14.13893</v>
      </c>
      <c r="AN98" s="30">
        <v>14.145841000000001</v>
      </c>
      <c r="AO98" s="30">
        <v>14.140121000000001</v>
      </c>
      <c r="AP98" s="30">
        <v>14.135448</v>
      </c>
      <c r="AQ98" s="30">
        <v>14.143694999999999</v>
      </c>
      <c r="AR98" s="30">
        <v>14.145702999999999</v>
      </c>
      <c r="AS98" s="30">
        <v>14.142692</v>
      </c>
      <c r="AT98" s="30">
        <v>14.147607000000001</v>
      </c>
      <c r="AU98" s="30">
        <v>14.142612</v>
      </c>
      <c r="AV98" s="30">
        <v>14.133721</v>
      </c>
      <c r="AW98" s="30">
        <v>14.134936</v>
      </c>
    </row>
    <row r="99" spans="1:49" ht="18" customHeight="1">
      <c r="A99" s="23"/>
      <c r="B99" s="12"/>
      <c r="C99" s="79" t="s">
        <v>225</v>
      </c>
      <c r="D99" s="35" t="s">
        <v>260</v>
      </c>
      <c r="E99" s="35"/>
      <c r="F99" s="29" t="s">
        <v>261</v>
      </c>
      <c r="G99" s="38">
        <v>14.13</v>
      </c>
      <c r="H99" s="38">
        <v>0.05</v>
      </c>
      <c r="I99" s="38">
        <v>0.05</v>
      </c>
      <c r="J99" s="38">
        <v>0.08</v>
      </c>
      <c r="K99" s="38">
        <v>0.05</v>
      </c>
      <c r="L99" s="30">
        <f t="shared" si="4"/>
        <v>14.147256</v>
      </c>
      <c r="M99" s="30">
        <f t="shared" si="5"/>
        <v>14.108941</v>
      </c>
      <c r="N99" s="30">
        <f t="shared" si="6"/>
        <v>3.8315000000000765E-2</v>
      </c>
      <c r="O99" s="31">
        <f t="shared" si="7"/>
        <v>14.124403142857144</v>
      </c>
      <c r="P99" s="52"/>
      <c r="Q99" s="30">
        <v>14.108941</v>
      </c>
      <c r="R99" s="30">
        <v>14.127598000000001</v>
      </c>
      <c r="S99" s="30">
        <v>14.122654000000001</v>
      </c>
      <c r="T99" s="30">
        <v>14.121181999999999</v>
      </c>
      <c r="U99" s="30">
        <v>14.121318</v>
      </c>
      <c r="V99" s="30">
        <v>14.125833</v>
      </c>
      <c r="W99" s="30">
        <v>14.123953999999999</v>
      </c>
      <c r="X99" s="30">
        <v>14.147256</v>
      </c>
      <c r="Y99" s="30">
        <v>14.128187</v>
      </c>
      <c r="Z99" s="30">
        <v>14.130938</v>
      </c>
      <c r="AA99" s="30">
        <v>14.128308000000001</v>
      </c>
      <c r="AB99" s="30">
        <v>14.124838</v>
      </c>
      <c r="AC99" s="30">
        <v>14.124024</v>
      </c>
      <c r="AD99" s="30">
        <v>14.126272</v>
      </c>
      <c r="AE99" s="30">
        <v>14.127330000000001</v>
      </c>
      <c r="AF99" s="30"/>
      <c r="AG99" s="30"/>
      <c r="AH99" s="30">
        <v>14.123343</v>
      </c>
      <c r="AI99" s="30">
        <v>14.118491000000001</v>
      </c>
      <c r="AJ99" s="30">
        <v>14.115658</v>
      </c>
      <c r="AK99" s="30">
        <v>14.124345</v>
      </c>
      <c r="AL99" s="30">
        <v>14.129813</v>
      </c>
      <c r="AM99" s="30">
        <v>14.121529000000001</v>
      </c>
      <c r="AN99" s="30">
        <v>14.126461000000001</v>
      </c>
      <c r="AO99" s="30">
        <v>14.122792</v>
      </c>
      <c r="AP99" s="30">
        <v>14.117006</v>
      </c>
      <c r="AQ99" s="30">
        <v>14.12163</v>
      </c>
      <c r="AR99" s="30">
        <v>14.124599999999999</v>
      </c>
      <c r="AS99" s="30">
        <v>14.126001</v>
      </c>
      <c r="AT99" s="30">
        <v>14.122985999999999</v>
      </c>
      <c r="AU99" s="30">
        <v>14.122368</v>
      </c>
      <c r="AV99" s="30">
        <v>14.117338</v>
      </c>
      <c r="AW99" s="30">
        <v>14.119431000000001</v>
      </c>
    </row>
    <row r="100" spans="1:49" ht="18" customHeight="1">
      <c r="A100" s="23"/>
      <c r="B100" s="12"/>
      <c r="C100" s="79" t="s">
        <v>225</v>
      </c>
      <c r="D100" s="35" t="s">
        <v>262</v>
      </c>
      <c r="E100" s="35"/>
      <c r="F100" s="29" t="s">
        <v>263</v>
      </c>
      <c r="G100" s="38">
        <v>14.13</v>
      </c>
      <c r="H100" s="38">
        <v>0.05</v>
      </c>
      <c r="I100" s="38">
        <v>0.05</v>
      </c>
      <c r="J100" s="38">
        <v>0.08</v>
      </c>
      <c r="K100" s="38">
        <v>0.05</v>
      </c>
      <c r="L100" s="30">
        <f t="shared" si="4"/>
        <v>14.153206000000001</v>
      </c>
      <c r="M100" s="30">
        <f t="shared" si="5"/>
        <v>14.125785</v>
      </c>
      <c r="N100" s="30">
        <f t="shared" si="6"/>
        <v>2.7421000000000362E-2</v>
      </c>
      <c r="O100" s="31">
        <f t="shared" si="7"/>
        <v>14.141060714285716</v>
      </c>
      <c r="P100" s="52"/>
      <c r="Q100" s="30">
        <v>14.125785</v>
      </c>
      <c r="R100" s="30">
        <v>14.145129000000001</v>
      </c>
      <c r="S100" s="30">
        <v>14.142251999999999</v>
      </c>
      <c r="T100" s="30">
        <v>14.139703000000001</v>
      </c>
      <c r="U100" s="30">
        <v>14.139779000000001</v>
      </c>
      <c r="V100" s="30">
        <v>14.143658</v>
      </c>
      <c r="W100" s="30">
        <v>14.139542</v>
      </c>
      <c r="X100" s="30">
        <v>14.153206000000001</v>
      </c>
      <c r="Y100" s="30">
        <v>14.141969</v>
      </c>
      <c r="Z100" s="30">
        <v>14.143912</v>
      </c>
      <c r="AA100" s="30">
        <v>14.146227</v>
      </c>
      <c r="AB100" s="30">
        <v>14.14208</v>
      </c>
      <c r="AC100" s="30">
        <v>14.144541</v>
      </c>
      <c r="AD100" s="30">
        <v>14.143732999999999</v>
      </c>
      <c r="AE100" s="30">
        <v>14.146381999999999</v>
      </c>
      <c r="AF100" s="30"/>
      <c r="AG100" s="30"/>
      <c r="AH100" s="30">
        <v>14.135122000000001</v>
      </c>
      <c r="AI100" s="30">
        <v>14.137458000000001</v>
      </c>
      <c r="AJ100" s="30">
        <v>14.135683999999999</v>
      </c>
      <c r="AK100" s="30">
        <v>14.144871</v>
      </c>
      <c r="AL100" s="30">
        <v>14.139545999999999</v>
      </c>
      <c r="AM100" s="30">
        <v>14.138591</v>
      </c>
      <c r="AN100" s="30">
        <v>14.144871</v>
      </c>
      <c r="AO100" s="30">
        <v>14.137214999999999</v>
      </c>
      <c r="AP100" s="30">
        <v>14.13808</v>
      </c>
      <c r="AQ100" s="30">
        <v>14.13856</v>
      </c>
      <c r="AR100" s="30">
        <v>14.140378999999999</v>
      </c>
      <c r="AS100" s="30">
        <v>14.145773999999999</v>
      </c>
      <c r="AT100" s="30">
        <v>14.135650999999999</v>
      </c>
      <c r="AU100" s="30">
        <v>14.141358</v>
      </c>
      <c r="AV100" s="30">
        <v>14.138652</v>
      </c>
      <c r="AW100" s="30">
        <v>14.137651</v>
      </c>
    </row>
    <row r="101" spans="1:49" ht="18" customHeight="1">
      <c r="A101" s="23"/>
      <c r="B101" s="12"/>
      <c r="C101" s="79" t="s">
        <v>225</v>
      </c>
      <c r="D101" s="35" t="s">
        <v>264</v>
      </c>
      <c r="E101" s="35"/>
      <c r="F101" s="29" t="s">
        <v>265</v>
      </c>
      <c r="G101" s="38">
        <v>14.13</v>
      </c>
      <c r="H101" s="38">
        <v>0.05</v>
      </c>
      <c r="I101" s="38">
        <v>0.05</v>
      </c>
      <c r="J101" s="38">
        <v>0.08</v>
      </c>
      <c r="K101" s="38">
        <v>0.05</v>
      </c>
      <c r="L101" s="30">
        <f t="shared" si="4"/>
        <v>14.144417000000001</v>
      </c>
      <c r="M101" s="30">
        <f t="shared" si="5"/>
        <v>14.126099999999999</v>
      </c>
      <c r="N101" s="30">
        <f t="shared" si="6"/>
        <v>1.8317000000001471E-2</v>
      </c>
      <c r="O101" s="31">
        <f t="shared" si="7"/>
        <v>14.13681375</v>
      </c>
      <c r="P101" s="52"/>
      <c r="Q101" s="30">
        <v>14.126099999999999</v>
      </c>
      <c r="R101" s="30">
        <v>14.14278</v>
      </c>
      <c r="S101" s="30">
        <v>14.138817</v>
      </c>
      <c r="T101" s="30">
        <v>14.135979000000001</v>
      </c>
      <c r="U101" s="30">
        <v>14.135735</v>
      </c>
      <c r="V101" s="30">
        <v>14.139841000000001</v>
      </c>
      <c r="W101" s="30">
        <v>14.133896999999999</v>
      </c>
      <c r="X101" s="30">
        <v>14.141586</v>
      </c>
      <c r="Y101" s="30">
        <v>14.137699</v>
      </c>
      <c r="Z101" s="30">
        <v>14.136485</v>
      </c>
      <c r="AA101" s="30">
        <v>14.142671999999999</v>
      </c>
      <c r="AB101" s="30">
        <v>14.132688999999999</v>
      </c>
      <c r="AC101" s="30">
        <v>14.141556</v>
      </c>
      <c r="AD101" s="30">
        <v>14.137254</v>
      </c>
      <c r="AE101" s="30">
        <v>14.143953</v>
      </c>
      <c r="AF101" s="30"/>
      <c r="AG101" s="30"/>
      <c r="AH101" s="30">
        <v>14.129357000000001</v>
      </c>
      <c r="AI101" s="30">
        <v>14.137186</v>
      </c>
      <c r="AJ101" s="30">
        <v>14.137312</v>
      </c>
      <c r="AK101" s="30">
        <v>14.143647</v>
      </c>
      <c r="AL101" s="30">
        <v>14.129478000000001</v>
      </c>
      <c r="AM101" s="30">
        <v>14.134563</v>
      </c>
      <c r="AN101" s="30">
        <v>14.141235999999999</v>
      </c>
      <c r="AO101" s="30">
        <v>14.132495</v>
      </c>
      <c r="AP101" s="30">
        <v>14.137909000000001</v>
      </c>
      <c r="AQ101" s="30">
        <v>14.131385</v>
      </c>
      <c r="AR101" s="30">
        <v>14.135942</v>
      </c>
      <c r="AS101" s="30">
        <v>14.144417000000001</v>
      </c>
      <c r="AT101" s="30">
        <v>14.128814999999999</v>
      </c>
      <c r="AU101" s="30">
        <v>14.136238000000001</v>
      </c>
      <c r="AV101" s="30">
        <v>14.135605</v>
      </c>
      <c r="AW101" s="30">
        <v>14.135771999999999</v>
      </c>
    </row>
    <row r="102" spans="1:49" ht="18" customHeight="1">
      <c r="A102" s="23"/>
      <c r="B102" s="12"/>
      <c r="C102" s="79" t="s">
        <v>225</v>
      </c>
      <c r="D102" s="35" t="s">
        <v>266</v>
      </c>
      <c r="E102" s="35" t="s">
        <v>267</v>
      </c>
      <c r="F102" s="29" t="s">
        <v>268</v>
      </c>
      <c r="G102" s="38">
        <v>14.13</v>
      </c>
      <c r="H102" s="38">
        <v>0.05</v>
      </c>
      <c r="I102" s="38">
        <v>0.05</v>
      </c>
      <c r="J102" s="38">
        <v>0.08</v>
      </c>
      <c r="K102" s="38">
        <v>0.05</v>
      </c>
      <c r="L102" s="30">
        <f t="shared" si="4"/>
        <v>14.137465000000001</v>
      </c>
      <c r="M102" s="30">
        <f t="shared" si="5"/>
        <v>14.118297999999999</v>
      </c>
      <c r="N102" s="30">
        <f t="shared" si="6"/>
        <v>1.9167000000001266E-2</v>
      </c>
      <c r="O102" s="31">
        <f t="shared" si="7"/>
        <v>14.129211714285717</v>
      </c>
      <c r="P102" s="52"/>
      <c r="Q102" s="30">
        <v>14.118297999999999</v>
      </c>
      <c r="R102" s="30">
        <v>14.134668</v>
      </c>
      <c r="S102" s="30">
        <v>14.129664999999999</v>
      </c>
      <c r="T102" s="30">
        <v>14.12776</v>
      </c>
      <c r="U102" s="30">
        <v>14.126528</v>
      </c>
      <c r="V102" s="30">
        <v>14.131405000000001</v>
      </c>
      <c r="W102" s="30">
        <v>14.124834999999999</v>
      </c>
      <c r="X102" s="30">
        <v>14.13646</v>
      </c>
      <c r="Y102" s="30">
        <v>14.129424</v>
      </c>
      <c r="Z102" s="30">
        <v>14.130165999999999</v>
      </c>
      <c r="AA102" s="30">
        <v>14.135130999999999</v>
      </c>
      <c r="AB102" s="30">
        <v>14.122045</v>
      </c>
      <c r="AC102" s="30">
        <v>14.134515</v>
      </c>
      <c r="AD102" s="30">
        <v>14.129034000000001</v>
      </c>
      <c r="AE102" s="30">
        <v>14.135598999999999</v>
      </c>
      <c r="AF102" s="30"/>
      <c r="AG102" s="30"/>
      <c r="AH102" s="30">
        <v>14.121454999999999</v>
      </c>
      <c r="AI102" s="30">
        <v>14.131235</v>
      </c>
      <c r="AJ102" s="30">
        <v>14.129899999999999</v>
      </c>
      <c r="AK102" s="30">
        <v>14.136208</v>
      </c>
      <c r="AL102" s="30">
        <v>14.124326999999999</v>
      </c>
      <c r="AM102" s="30">
        <v>14.127421</v>
      </c>
      <c r="AN102" s="30">
        <v>14.133972999999999</v>
      </c>
      <c r="AO102" s="30">
        <v>14.125985</v>
      </c>
      <c r="AP102" s="30">
        <v>14.13191</v>
      </c>
      <c r="AQ102" s="30">
        <v>14.122215000000001</v>
      </c>
      <c r="AR102" s="30">
        <v>14.128031999999999</v>
      </c>
      <c r="AS102" s="30">
        <v>14.137465000000001</v>
      </c>
      <c r="AT102" s="30">
        <v>14.122268999999999</v>
      </c>
      <c r="AU102" s="30">
        <v>14.127262999999999</v>
      </c>
      <c r="AV102" s="30">
        <v>14.128374000000001</v>
      </c>
      <c r="AW102" s="30">
        <v>14.126804999999999</v>
      </c>
    </row>
    <row r="103" spans="1:49" ht="18" customHeight="1">
      <c r="A103" s="23"/>
      <c r="B103" s="12"/>
      <c r="C103" s="79" t="s">
        <v>225</v>
      </c>
      <c r="D103" s="35" t="s">
        <v>269</v>
      </c>
      <c r="E103" s="35"/>
      <c r="F103" s="29" t="s">
        <v>270</v>
      </c>
      <c r="G103" s="38">
        <v>14.13</v>
      </c>
      <c r="H103" s="38">
        <v>0.05</v>
      </c>
      <c r="I103" s="38">
        <v>0.05</v>
      </c>
      <c r="J103" s="38">
        <v>0.08</v>
      </c>
      <c r="K103" s="38">
        <v>0.05</v>
      </c>
      <c r="L103" s="30">
        <f t="shared" si="4"/>
        <v>14.134948</v>
      </c>
      <c r="M103" s="30">
        <f t="shared" si="5"/>
        <v>14.114036</v>
      </c>
      <c r="N103" s="30">
        <f t="shared" si="6"/>
        <v>2.0911999999999153E-2</v>
      </c>
      <c r="O103" s="31">
        <f t="shared" si="7"/>
        <v>14.125394750000003</v>
      </c>
      <c r="P103" s="52"/>
      <c r="Q103" s="30">
        <v>14.114036</v>
      </c>
      <c r="R103" s="30">
        <v>14.129830999999999</v>
      </c>
      <c r="S103" s="30">
        <v>14.124553000000001</v>
      </c>
      <c r="T103" s="30">
        <v>14.123187</v>
      </c>
      <c r="U103" s="30">
        <v>14.120687</v>
      </c>
      <c r="V103" s="30">
        <v>14.127504999999999</v>
      </c>
      <c r="W103" s="30">
        <v>14.120889</v>
      </c>
      <c r="X103" s="30">
        <v>14.133348</v>
      </c>
      <c r="Y103" s="30">
        <v>14.124647</v>
      </c>
      <c r="Z103" s="30">
        <v>14.128365000000001</v>
      </c>
      <c r="AA103" s="30">
        <v>14.131978999999999</v>
      </c>
      <c r="AB103" s="30">
        <v>14.117065</v>
      </c>
      <c r="AC103" s="30">
        <v>14.131391000000001</v>
      </c>
      <c r="AD103" s="30">
        <v>14.124256000000001</v>
      </c>
      <c r="AE103" s="30">
        <v>14.130312999999999</v>
      </c>
      <c r="AF103" s="30"/>
      <c r="AG103" s="30"/>
      <c r="AH103" s="30">
        <v>14.117222</v>
      </c>
      <c r="AI103" s="30">
        <v>14.128931</v>
      </c>
      <c r="AJ103" s="30">
        <v>14.124684</v>
      </c>
      <c r="AK103" s="30">
        <v>14.131713</v>
      </c>
      <c r="AL103" s="30">
        <v>14.123913</v>
      </c>
      <c r="AM103" s="30">
        <v>14.122169</v>
      </c>
      <c r="AN103" s="30">
        <v>14.130687999999999</v>
      </c>
      <c r="AO103" s="30">
        <v>14.124314</v>
      </c>
      <c r="AP103" s="30">
        <v>14.129429999999999</v>
      </c>
      <c r="AQ103" s="30">
        <v>14.118216</v>
      </c>
      <c r="AR103" s="30">
        <v>14.124180000000001</v>
      </c>
      <c r="AS103" s="30">
        <v>14.134948</v>
      </c>
      <c r="AT103" s="30">
        <v>14.118593000000001</v>
      </c>
      <c r="AU103" s="30">
        <v>14.120863</v>
      </c>
      <c r="AV103" s="30">
        <v>14.125496</v>
      </c>
      <c r="AW103" s="30">
        <v>14.122325</v>
      </c>
    </row>
    <row r="104" spans="1:49" ht="18" customHeight="1">
      <c r="A104" s="23"/>
      <c r="B104" s="12"/>
      <c r="C104" s="79" t="s">
        <v>225</v>
      </c>
      <c r="D104" s="35" t="s">
        <v>271</v>
      </c>
      <c r="E104" s="35"/>
      <c r="F104" s="29" t="s">
        <v>272</v>
      </c>
      <c r="G104" s="38">
        <v>14.13</v>
      </c>
      <c r="H104" s="38">
        <v>0.05</v>
      </c>
      <c r="I104" s="38">
        <v>0.05</v>
      </c>
      <c r="J104" s="38">
        <v>0.08</v>
      </c>
      <c r="K104" s="38">
        <v>0.05</v>
      </c>
      <c r="L104" s="30">
        <f t="shared" si="4"/>
        <v>14.153499999999999</v>
      </c>
      <c r="M104" s="30">
        <f t="shared" si="5"/>
        <v>14.119928</v>
      </c>
      <c r="N104" s="30">
        <f t="shared" si="6"/>
        <v>3.3571999999999491E-2</v>
      </c>
      <c r="O104" s="31">
        <f t="shared" si="7"/>
        <v>14.13670307142857</v>
      </c>
      <c r="P104" s="52"/>
      <c r="Q104" s="30">
        <v>14.119928</v>
      </c>
      <c r="R104" s="30">
        <v>14.138496</v>
      </c>
      <c r="S104" s="30">
        <v>14.131983999999999</v>
      </c>
      <c r="T104" s="30">
        <v>14.134441000000001</v>
      </c>
      <c r="U104" s="30">
        <v>14.128396</v>
      </c>
      <c r="V104" s="30">
        <v>14.135733999999999</v>
      </c>
      <c r="W104" s="30">
        <v>14.13269</v>
      </c>
      <c r="X104" s="30">
        <v>14.153499999999999</v>
      </c>
      <c r="Y104" s="30">
        <v>14.135071</v>
      </c>
      <c r="Z104" s="30">
        <v>14.146611999999999</v>
      </c>
      <c r="AA104" s="30">
        <v>14.141275</v>
      </c>
      <c r="AB104" s="30">
        <v>14.131437</v>
      </c>
      <c r="AC104" s="30">
        <v>14.141731</v>
      </c>
      <c r="AD104" s="30">
        <v>14.134803</v>
      </c>
      <c r="AE104" s="30">
        <v>14.137062999999999</v>
      </c>
      <c r="AF104" s="30"/>
      <c r="AG104" s="30"/>
      <c r="AH104" s="30">
        <v>14.125963</v>
      </c>
      <c r="AI104" s="30">
        <v>14.142208</v>
      </c>
      <c r="AJ104" s="30">
        <v>14.130606</v>
      </c>
      <c r="AK104" s="30">
        <v>14.138767</v>
      </c>
      <c r="AL104" s="30">
        <v>14.143697</v>
      </c>
      <c r="AM104" s="30">
        <v>14.131123000000001</v>
      </c>
      <c r="AN104" s="30">
        <v>14.141185999999999</v>
      </c>
      <c r="AO104" s="30">
        <v>14.146756</v>
      </c>
      <c r="AP104" s="30">
        <v>14.139987</v>
      </c>
      <c r="AQ104" s="30">
        <v>14.130758</v>
      </c>
      <c r="AR104" s="30">
        <v>14.136241999999999</v>
      </c>
      <c r="AS104" s="30">
        <v>14.146889</v>
      </c>
      <c r="AT104" s="30">
        <v>14.130343</v>
      </c>
      <c r="AU104" s="30">
        <v>14.122906</v>
      </c>
      <c r="AV104" s="30">
        <v>14.13514</v>
      </c>
      <c r="AW104" s="30">
        <v>14.128147999999999</v>
      </c>
    </row>
    <row r="105" spans="1:49" ht="18" customHeight="1">
      <c r="A105" s="23"/>
      <c r="B105" s="12"/>
      <c r="C105" s="79" t="s">
        <v>225</v>
      </c>
      <c r="D105" s="35" t="s">
        <v>273</v>
      </c>
      <c r="E105" s="35"/>
      <c r="F105" s="29" t="s">
        <v>274</v>
      </c>
      <c r="G105" s="38">
        <v>14.13</v>
      </c>
      <c r="H105" s="38">
        <v>0.05</v>
      </c>
      <c r="I105" s="38">
        <v>0.05</v>
      </c>
      <c r="J105" s="38">
        <v>0.08</v>
      </c>
      <c r="K105" s="38">
        <v>0.05</v>
      </c>
      <c r="L105" s="30">
        <f t="shared" si="4"/>
        <v>14.174709999999999</v>
      </c>
      <c r="M105" s="30">
        <f t="shared" si="5"/>
        <v>14.142193000000001</v>
      </c>
      <c r="N105" s="30">
        <f t="shared" si="6"/>
        <v>3.2516999999998575E-2</v>
      </c>
      <c r="O105" s="31">
        <f t="shared" si="7"/>
        <v>14.157447071428575</v>
      </c>
      <c r="P105" s="52"/>
      <c r="Q105" s="30">
        <v>14.142193000000001</v>
      </c>
      <c r="R105" s="30">
        <v>14.158855000000001</v>
      </c>
      <c r="S105" s="30">
        <v>14.155194</v>
      </c>
      <c r="T105" s="30">
        <v>14.15652</v>
      </c>
      <c r="U105" s="30">
        <v>14.149214000000001</v>
      </c>
      <c r="V105" s="30">
        <v>14.154446</v>
      </c>
      <c r="W105" s="30">
        <v>14.158436999999999</v>
      </c>
      <c r="X105" s="30">
        <v>14.174709999999999</v>
      </c>
      <c r="Y105" s="30">
        <v>14.156654</v>
      </c>
      <c r="Z105" s="30">
        <v>14.164752999999999</v>
      </c>
      <c r="AA105" s="30">
        <v>14.15802</v>
      </c>
      <c r="AB105" s="30">
        <v>14.160852999999999</v>
      </c>
      <c r="AC105" s="30">
        <v>14.160667999999999</v>
      </c>
      <c r="AD105" s="30">
        <v>14.158704</v>
      </c>
      <c r="AE105" s="30">
        <v>14.156931999999999</v>
      </c>
      <c r="AF105" s="30"/>
      <c r="AG105" s="30"/>
      <c r="AH105" s="30">
        <v>14.15082</v>
      </c>
      <c r="AI105" s="30">
        <v>14.159295</v>
      </c>
      <c r="AJ105" s="30">
        <v>14.148759</v>
      </c>
      <c r="AK105" s="30">
        <v>14.157337</v>
      </c>
      <c r="AL105" s="30">
        <v>14.165839999999999</v>
      </c>
      <c r="AM105" s="30">
        <v>14.154574</v>
      </c>
      <c r="AN105" s="30">
        <v>14.158702999999999</v>
      </c>
      <c r="AO105" s="30">
        <v>14.167457000000001</v>
      </c>
      <c r="AP105" s="30">
        <v>14.150976</v>
      </c>
      <c r="AQ105" s="30">
        <v>14.155143000000001</v>
      </c>
      <c r="AR105" s="30">
        <v>14.157956</v>
      </c>
      <c r="AS105" s="30">
        <v>14.160444999999999</v>
      </c>
      <c r="AT105" s="30">
        <v>14.155060000000001</v>
      </c>
      <c r="AU105" s="30">
        <v>14.147823000000001</v>
      </c>
      <c r="AV105" s="30">
        <v>14.153294000000001</v>
      </c>
      <c r="AW105" s="30">
        <v>14.147413999999999</v>
      </c>
    </row>
    <row r="106" spans="1:49" ht="18" customHeight="1">
      <c r="A106" s="23"/>
      <c r="B106" s="12"/>
      <c r="C106" s="79" t="s">
        <v>225</v>
      </c>
      <c r="D106" s="35" t="s">
        <v>275</v>
      </c>
      <c r="E106" s="35"/>
      <c r="F106" s="29" t="s">
        <v>276</v>
      </c>
      <c r="G106" s="38">
        <v>14.13</v>
      </c>
      <c r="H106" s="38">
        <v>0.05</v>
      </c>
      <c r="I106" s="38">
        <v>0.05</v>
      </c>
      <c r="J106" s="38">
        <v>0.08</v>
      </c>
      <c r="K106" s="38">
        <v>0.05</v>
      </c>
      <c r="L106" s="30">
        <f t="shared" si="4"/>
        <v>14.165067000000001</v>
      </c>
      <c r="M106" s="30">
        <f t="shared" si="5"/>
        <v>14.127394000000001</v>
      </c>
      <c r="N106" s="30">
        <f t="shared" si="6"/>
        <v>3.7672999999999845E-2</v>
      </c>
      <c r="O106" s="31">
        <f t="shared" si="7"/>
        <v>14.145512285714286</v>
      </c>
      <c r="P106" s="52"/>
      <c r="Q106" s="30">
        <v>14.127394000000001</v>
      </c>
      <c r="R106" s="30">
        <v>14.143238</v>
      </c>
      <c r="S106" s="30">
        <v>14.142898000000001</v>
      </c>
      <c r="T106" s="30">
        <v>14.142669</v>
      </c>
      <c r="U106" s="30">
        <v>14.136498</v>
      </c>
      <c r="V106" s="30">
        <v>14.139644000000001</v>
      </c>
      <c r="W106" s="30">
        <v>14.147048</v>
      </c>
      <c r="X106" s="30">
        <v>14.165067000000001</v>
      </c>
      <c r="Y106" s="30">
        <v>14.143507</v>
      </c>
      <c r="Z106" s="30">
        <v>14.154608</v>
      </c>
      <c r="AA106" s="30">
        <v>14.145897</v>
      </c>
      <c r="AB106" s="30">
        <v>14.155949</v>
      </c>
      <c r="AC106" s="30">
        <v>14.147182000000001</v>
      </c>
      <c r="AD106" s="30">
        <v>14.148735</v>
      </c>
      <c r="AE106" s="30">
        <v>14.144902</v>
      </c>
      <c r="AF106" s="30"/>
      <c r="AG106" s="30"/>
      <c r="AH106" s="30">
        <v>14.140791</v>
      </c>
      <c r="AI106" s="30">
        <v>14.147069999999999</v>
      </c>
      <c r="AJ106" s="30">
        <v>14.134645000000001</v>
      </c>
      <c r="AK106" s="30">
        <v>14.144196000000001</v>
      </c>
      <c r="AL106" s="30">
        <v>14.157118000000001</v>
      </c>
      <c r="AM106" s="30">
        <v>14.140269</v>
      </c>
      <c r="AN106" s="30">
        <v>14.145747</v>
      </c>
      <c r="AO106" s="30">
        <v>14.156084999999999</v>
      </c>
      <c r="AP106" s="30">
        <v>14.137269999999999</v>
      </c>
      <c r="AQ106" s="30">
        <v>14.146993999999999</v>
      </c>
      <c r="AR106" s="30">
        <v>14.147276</v>
      </c>
      <c r="AS106" s="30">
        <v>14.146837</v>
      </c>
      <c r="AT106" s="30">
        <v>14.14481</v>
      </c>
      <c r="AU106" s="30">
        <v>14.138285</v>
      </c>
      <c r="AV106" s="30">
        <v>14.140129999999999</v>
      </c>
      <c r="AW106" s="30">
        <v>14.134862</v>
      </c>
    </row>
    <row r="107" spans="1:49" ht="18" customHeight="1">
      <c r="A107" s="23"/>
      <c r="B107" s="12"/>
      <c r="C107" s="79" t="s">
        <v>225</v>
      </c>
      <c r="D107" s="35" t="s">
        <v>277</v>
      </c>
      <c r="E107" s="35"/>
      <c r="F107" s="29" t="s">
        <v>278</v>
      </c>
      <c r="G107" s="38">
        <v>14.13</v>
      </c>
      <c r="H107" s="38">
        <v>0.05</v>
      </c>
      <c r="I107" s="38">
        <v>0.05</v>
      </c>
      <c r="J107" s="38">
        <v>0.08</v>
      </c>
      <c r="K107" s="38">
        <v>0.05</v>
      </c>
      <c r="L107" s="30">
        <f t="shared" si="4"/>
        <v>14.147608999999999</v>
      </c>
      <c r="M107" s="30">
        <f t="shared" si="5"/>
        <v>14.100853000000001</v>
      </c>
      <c r="N107" s="30">
        <f t="shared" si="6"/>
        <v>4.6755999999998465E-2</v>
      </c>
      <c r="O107" s="31">
        <f t="shared" si="7"/>
        <v>14.121949999999998</v>
      </c>
      <c r="P107" s="52"/>
      <c r="Q107" s="30">
        <v>14.100853000000001</v>
      </c>
      <c r="R107" s="30">
        <v>14.117107000000001</v>
      </c>
      <c r="S107" s="30">
        <v>14.118152</v>
      </c>
      <c r="T107" s="30">
        <v>14.115977000000001</v>
      </c>
      <c r="U107" s="30">
        <v>14.116021</v>
      </c>
      <c r="V107" s="30">
        <v>14.115977000000001</v>
      </c>
      <c r="W107" s="30">
        <v>14.123974</v>
      </c>
      <c r="X107" s="30">
        <v>14.147608999999999</v>
      </c>
      <c r="Y107" s="30">
        <v>14.121411</v>
      </c>
      <c r="Z107" s="30">
        <v>14.13054</v>
      </c>
      <c r="AA107" s="30">
        <v>14.123188000000001</v>
      </c>
      <c r="AB107" s="30">
        <v>14.129413</v>
      </c>
      <c r="AC107" s="30">
        <v>14.118937000000001</v>
      </c>
      <c r="AD107" s="30">
        <v>14.12496</v>
      </c>
      <c r="AE107" s="30">
        <v>14.125450000000001</v>
      </c>
      <c r="AF107" s="30"/>
      <c r="AG107" s="30"/>
      <c r="AH107" s="30">
        <v>14.116402000000001</v>
      </c>
      <c r="AI107" s="30">
        <v>14.11983</v>
      </c>
      <c r="AJ107" s="30">
        <v>14.110341</v>
      </c>
      <c r="AK107" s="30">
        <v>14.120454000000001</v>
      </c>
      <c r="AL107" s="30">
        <v>14.128693</v>
      </c>
      <c r="AM107" s="30">
        <v>14.120257000000001</v>
      </c>
      <c r="AN107" s="30">
        <v>14.124573</v>
      </c>
      <c r="AO107" s="30">
        <v>14.129141000000001</v>
      </c>
      <c r="AP107" s="30">
        <v>14.118905</v>
      </c>
      <c r="AQ107" s="30">
        <v>14.125482999999999</v>
      </c>
      <c r="AR107" s="30">
        <v>14.125897999999999</v>
      </c>
      <c r="AS107" s="30">
        <v>14.124245999999999</v>
      </c>
      <c r="AT107" s="30">
        <v>14.120808</v>
      </c>
      <c r="AU107" s="30">
        <v>14.125622</v>
      </c>
      <c r="AV107" s="30">
        <v>14.116918</v>
      </c>
      <c r="AW107" s="30">
        <v>14.113708000000001</v>
      </c>
    </row>
    <row r="108" spans="1:49" ht="18" customHeight="1">
      <c r="A108" s="23"/>
      <c r="B108" s="12"/>
      <c r="C108" s="79" t="s">
        <v>225</v>
      </c>
      <c r="D108" s="35" t="s">
        <v>279</v>
      </c>
      <c r="E108" s="35"/>
      <c r="F108" s="29" t="s">
        <v>280</v>
      </c>
      <c r="G108" s="38">
        <v>14.13</v>
      </c>
      <c r="H108" s="38">
        <v>0.05</v>
      </c>
      <c r="I108" s="38">
        <v>0.05</v>
      </c>
      <c r="J108" s="38">
        <v>0.08</v>
      </c>
      <c r="K108" s="38">
        <v>0.05</v>
      </c>
      <c r="L108" s="30">
        <f t="shared" si="4"/>
        <v>14.144723000000001</v>
      </c>
      <c r="M108" s="30">
        <f t="shared" si="5"/>
        <v>14.109283</v>
      </c>
      <c r="N108" s="30">
        <f t="shared" si="6"/>
        <v>3.5440000000001248E-2</v>
      </c>
      <c r="O108" s="31">
        <f t="shared" si="7"/>
        <v>14.127076714285716</v>
      </c>
      <c r="P108" s="52"/>
      <c r="Q108" s="30">
        <v>14.109283</v>
      </c>
      <c r="R108" s="30">
        <v>14.125475</v>
      </c>
      <c r="S108" s="30">
        <v>14.125935</v>
      </c>
      <c r="T108" s="30">
        <v>14.121299</v>
      </c>
      <c r="U108" s="30">
        <v>14.127316</v>
      </c>
      <c r="V108" s="30">
        <v>14.126555</v>
      </c>
      <c r="W108" s="30">
        <v>14.124461999999999</v>
      </c>
      <c r="X108" s="30">
        <v>14.144723000000001</v>
      </c>
      <c r="Y108" s="30">
        <v>14.128876999999999</v>
      </c>
      <c r="Z108" s="30">
        <v>14.1281</v>
      </c>
      <c r="AA108" s="30">
        <v>14.131594</v>
      </c>
      <c r="AB108" s="30">
        <v>14.131384000000001</v>
      </c>
      <c r="AC108" s="30">
        <v>14.124998</v>
      </c>
      <c r="AD108" s="30">
        <v>14.132496</v>
      </c>
      <c r="AE108" s="30">
        <v>14.136067000000001</v>
      </c>
      <c r="AF108" s="30"/>
      <c r="AG108" s="30"/>
      <c r="AH108" s="30">
        <v>14.122030000000001</v>
      </c>
      <c r="AI108" s="30">
        <v>14.11956</v>
      </c>
      <c r="AJ108" s="30">
        <v>14.119609000000001</v>
      </c>
      <c r="AK108" s="30">
        <v>14.127528</v>
      </c>
      <c r="AL108" s="30">
        <v>14.123066</v>
      </c>
      <c r="AM108" s="30">
        <v>14.126982</v>
      </c>
      <c r="AN108" s="30">
        <v>14.132548999999999</v>
      </c>
      <c r="AO108" s="30">
        <v>14.120849</v>
      </c>
      <c r="AP108" s="30">
        <v>14.124599999999999</v>
      </c>
      <c r="AQ108" s="30">
        <v>14.130647</v>
      </c>
      <c r="AR108" s="30">
        <v>14.132897</v>
      </c>
      <c r="AS108" s="30">
        <v>14.135534</v>
      </c>
      <c r="AT108" s="30">
        <v>14.123733</v>
      </c>
      <c r="AU108" s="30">
        <v>14.140537</v>
      </c>
      <c r="AV108" s="30">
        <v>14.126078</v>
      </c>
      <c r="AW108" s="30">
        <v>14.12551</v>
      </c>
    </row>
    <row r="109" spans="1:49" ht="18" customHeight="1">
      <c r="A109" s="23"/>
      <c r="B109" s="12"/>
      <c r="C109" s="79" t="s">
        <v>225</v>
      </c>
      <c r="D109" s="35" t="s">
        <v>281</v>
      </c>
      <c r="E109" s="35"/>
      <c r="F109" s="29" t="s">
        <v>282</v>
      </c>
      <c r="G109" s="38">
        <v>14.13</v>
      </c>
      <c r="H109" s="38">
        <v>0.05</v>
      </c>
      <c r="I109" s="38">
        <v>0.05</v>
      </c>
      <c r="J109" s="38">
        <v>0.08</v>
      </c>
      <c r="K109" s="38">
        <v>0.05</v>
      </c>
      <c r="L109" s="30">
        <f t="shared" si="4"/>
        <v>14.156359999999999</v>
      </c>
      <c r="M109" s="30">
        <f t="shared" si="5"/>
        <v>14.127274</v>
      </c>
      <c r="N109" s="30">
        <f t="shared" si="6"/>
        <v>2.9085999999999501E-2</v>
      </c>
      <c r="O109" s="31">
        <f t="shared" si="7"/>
        <v>14.143514035714288</v>
      </c>
      <c r="P109" s="52"/>
      <c r="Q109" s="30">
        <v>14.127274</v>
      </c>
      <c r="R109" s="30">
        <v>14.144389</v>
      </c>
      <c r="S109" s="30">
        <v>14.142609</v>
      </c>
      <c r="T109" s="30">
        <v>14.139969000000001</v>
      </c>
      <c r="U109" s="30">
        <v>14.138132000000001</v>
      </c>
      <c r="V109" s="30">
        <v>14.145910000000001</v>
      </c>
      <c r="W109" s="30">
        <v>14.141023000000001</v>
      </c>
      <c r="X109" s="30">
        <v>14.156359999999999</v>
      </c>
      <c r="Y109" s="30">
        <v>14.145389</v>
      </c>
      <c r="Z109" s="30">
        <v>14.144387</v>
      </c>
      <c r="AA109" s="30">
        <v>14.147023000000001</v>
      </c>
      <c r="AB109" s="30">
        <v>14.144225</v>
      </c>
      <c r="AC109" s="30">
        <v>14.145644000000001</v>
      </c>
      <c r="AD109" s="30">
        <v>14.146628</v>
      </c>
      <c r="AE109" s="30">
        <v>14.152210999999999</v>
      </c>
      <c r="AF109" s="30"/>
      <c r="AG109" s="30"/>
      <c r="AH109" s="30">
        <v>14.139488</v>
      </c>
      <c r="AI109" s="30">
        <v>14.137504</v>
      </c>
      <c r="AJ109" s="30">
        <v>14.137771000000001</v>
      </c>
      <c r="AK109" s="30">
        <v>14.147606</v>
      </c>
      <c r="AL109" s="30">
        <v>14.138292</v>
      </c>
      <c r="AM109" s="30">
        <v>14.144303000000001</v>
      </c>
      <c r="AN109" s="30">
        <v>14.148972000000001</v>
      </c>
      <c r="AO109" s="30">
        <v>14.140527000000001</v>
      </c>
      <c r="AP109" s="30">
        <v>14.141976</v>
      </c>
      <c r="AQ109" s="30">
        <v>14.144062999999999</v>
      </c>
      <c r="AR109" s="30">
        <v>14.146613</v>
      </c>
      <c r="AS109" s="30">
        <v>14.151426000000001</v>
      </c>
      <c r="AT109" s="30">
        <v>14.138679</v>
      </c>
      <c r="AU109" s="30">
        <v>14.148448999999999</v>
      </c>
      <c r="AV109" s="30">
        <v>14.141861</v>
      </c>
      <c r="AW109" s="30">
        <v>14.139741000000001</v>
      </c>
    </row>
    <row r="110" spans="1:49" ht="18" customHeight="1">
      <c r="A110" s="23"/>
      <c r="B110" s="12"/>
      <c r="C110" s="79" t="s">
        <v>225</v>
      </c>
      <c r="D110" s="35" t="s">
        <v>283</v>
      </c>
      <c r="E110" s="35"/>
      <c r="F110" s="29" t="s">
        <v>284</v>
      </c>
      <c r="G110" s="38">
        <v>14.13</v>
      </c>
      <c r="H110" s="38">
        <v>0.05</v>
      </c>
      <c r="I110" s="38">
        <v>0.05</v>
      </c>
      <c r="J110" s="38">
        <v>0.08</v>
      </c>
      <c r="K110" s="38">
        <v>0.05</v>
      </c>
      <c r="L110" s="30">
        <f t="shared" si="4"/>
        <v>14.163754000000001</v>
      </c>
      <c r="M110" s="30">
        <f t="shared" si="5"/>
        <v>14.134371</v>
      </c>
      <c r="N110" s="30">
        <f t="shared" si="6"/>
        <v>2.9383000000001047E-2</v>
      </c>
      <c r="O110" s="31">
        <f t="shared" si="7"/>
        <v>14.148727000000003</v>
      </c>
      <c r="P110" s="52"/>
      <c r="Q110" s="30">
        <v>14.134371</v>
      </c>
      <c r="R110" s="30">
        <v>14.150957999999999</v>
      </c>
      <c r="S110" s="30">
        <v>14.149115</v>
      </c>
      <c r="T110" s="30">
        <v>14.146485999999999</v>
      </c>
      <c r="U110" s="30">
        <v>14.141518</v>
      </c>
      <c r="V110" s="30">
        <v>14.151626</v>
      </c>
      <c r="W110" s="30">
        <v>14.147665999999999</v>
      </c>
      <c r="X110" s="30">
        <v>14.163754000000001</v>
      </c>
      <c r="Y110" s="30">
        <v>14.150152</v>
      </c>
      <c r="Z110" s="30">
        <v>14.150848999999999</v>
      </c>
      <c r="AA110" s="30">
        <v>14.151615</v>
      </c>
      <c r="AB110" s="30">
        <v>14.149849</v>
      </c>
      <c r="AC110" s="30">
        <v>14.151020000000001</v>
      </c>
      <c r="AD110" s="30">
        <v>14.149981</v>
      </c>
      <c r="AE110" s="30">
        <v>14.154691</v>
      </c>
      <c r="AF110" s="30"/>
      <c r="AG110" s="30"/>
      <c r="AH110" s="30">
        <v>14.145959</v>
      </c>
      <c r="AI110" s="30">
        <v>14.144532</v>
      </c>
      <c r="AJ110" s="30">
        <v>14.142766999999999</v>
      </c>
      <c r="AK110" s="30">
        <v>14.152786000000001</v>
      </c>
      <c r="AL110" s="30">
        <v>14.145856</v>
      </c>
      <c r="AM110" s="30">
        <v>14.148028999999999</v>
      </c>
      <c r="AN110" s="30">
        <v>14.152737</v>
      </c>
      <c r="AO110" s="30">
        <v>14.149825999999999</v>
      </c>
      <c r="AP110" s="30">
        <v>14.144253000000001</v>
      </c>
      <c r="AQ110" s="30">
        <v>14.146132</v>
      </c>
      <c r="AR110" s="30">
        <v>14.149635</v>
      </c>
      <c r="AS110" s="30">
        <v>14.153007000000001</v>
      </c>
      <c r="AT110" s="30">
        <v>14.145186000000001</v>
      </c>
      <c r="AU110" s="30">
        <v>14.145409000000001</v>
      </c>
      <c r="AV110" s="30">
        <v>14.146015999999999</v>
      </c>
      <c r="AW110" s="30">
        <v>14.142601000000001</v>
      </c>
    </row>
    <row r="111" spans="1:49" ht="18" customHeight="1">
      <c r="A111" s="23"/>
      <c r="B111" s="12"/>
      <c r="C111" s="79" t="s">
        <v>225</v>
      </c>
      <c r="D111" s="35" t="s">
        <v>285</v>
      </c>
      <c r="E111" s="35"/>
      <c r="F111" s="29" t="s">
        <v>286</v>
      </c>
      <c r="G111" s="38">
        <v>14.13</v>
      </c>
      <c r="H111" s="38">
        <v>0.05</v>
      </c>
      <c r="I111" s="38">
        <v>0.05</v>
      </c>
      <c r="J111" s="38">
        <v>0.08</v>
      </c>
      <c r="K111" s="38">
        <v>0.05</v>
      </c>
      <c r="L111" s="30">
        <f t="shared" si="4"/>
        <v>14.171148000000001</v>
      </c>
      <c r="M111" s="30">
        <f t="shared" si="5"/>
        <v>14.141468</v>
      </c>
      <c r="N111" s="30">
        <f t="shared" si="6"/>
        <v>2.9680000000000817E-2</v>
      </c>
      <c r="O111" s="31">
        <f t="shared" si="7"/>
        <v>14.153939964285712</v>
      </c>
      <c r="P111" s="52"/>
      <c r="Q111" s="30">
        <v>14.141468</v>
      </c>
      <c r="R111" s="30">
        <v>14.157527</v>
      </c>
      <c r="S111" s="30">
        <v>14.155621</v>
      </c>
      <c r="T111" s="30">
        <v>14.153003</v>
      </c>
      <c r="U111" s="30">
        <v>14.144904</v>
      </c>
      <c r="V111" s="30">
        <v>14.157342</v>
      </c>
      <c r="W111" s="30">
        <v>14.154309</v>
      </c>
      <c r="X111" s="30">
        <v>14.171148000000001</v>
      </c>
      <c r="Y111" s="30">
        <v>14.154915000000001</v>
      </c>
      <c r="Z111" s="30">
        <v>14.157311</v>
      </c>
      <c r="AA111" s="30">
        <v>14.156207</v>
      </c>
      <c r="AB111" s="30">
        <v>14.155473000000001</v>
      </c>
      <c r="AC111" s="30">
        <v>14.156396000000001</v>
      </c>
      <c r="AD111" s="30">
        <v>14.153333999999999</v>
      </c>
      <c r="AE111" s="30">
        <v>14.157171</v>
      </c>
      <c r="AF111" s="30"/>
      <c r="AG111" s="30"/>
      <c r="AH111" s="30">
        <v>14.152430000000001</v>
      </c>
      <c r="AI111" s="30">
        <v>14.15156</v>
      </c>
      <c r="AJ111" s="30">
        <v>14.147762999999999</v>
      </c>
      <c r="AK111" s="30">
        <v>14.157966</v>
      </c>
      <c r="AL111" s="30">
        <v>14.153420000000001</v>
      </c>
      <c r="AM111" s="30">
        <v>14.151755</v>
      </c>
      <c r="AN111" s="30">
        <v>14.156502</v>
      </c>
      <c r="AO111" s="30">
        <v>14.159125</v>
      </c>
      <c r="AP111" s="30">
        <v>14.14653</v>
      </c>
      <c r="AQ111" s="30">
        <v>14.148201</v>
      </c>
      <c r="AR111" s="30">
        <v>14.152657</v>
      </c>
      <c r="AS111" s="30">
        <v>14.154588</v>
      </c>
      <c r="AT111" s="30">
        <v>14.151693</v>
      </c>
      <c r="AU111" s="30">
        <v>14.142369</v>
      </c>
      <c r="AV111" s="30">
        <v>14.150171</v>
      </c>
      <c r="AW111" s="30">
        <v>14.145460999999999</v>
      </c>
    </row>
    <row r="112" spans="1:49" ht="18" customHeight="1">
      <c r="A112" s="23"/>
      <c r="B112" s="12"/>
      <c r="C112" s="79" t="s">
        <v>225</v>
      </c>
      <c r="D112" s="35" t="s">
        <v>287</v>
      </c>
      <c r="E112" s="35"/>
      <c r="F112" s="29" t="s">
        <v>288</v>
      </c>
      <c r="G112" s="38">
        <v>0.15</v>
      </c>
      <c r="H112" s="38"/>
      <c r="I112" s="38"/>
      <c r="J112" s="38"/>
      <c r="K112" s="38"/>
      <c r="L112" s="30">
        <f t="shared" si="4"/>
        <v>0</v>
      </c>
      <c r="M112" s="30">
        <f t="shared" si="5"/>
        <v>0</v>
      </c>
      <c r="N112" s="30">
        <f t="shared" si="6"/>
        <v>0</v>
      </c>
      <c r="O112" s="31" t="e">
        <f t="shared" si="7"/>
        <v>#DIV/0!</v>
      </c>
      <c r="P112" s="52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</row>
    <row r="113" spans="1:49" ht="18" customHeight="1">
      <c r="A113" s="23"/>
      <c r="B113" s="12"/>
      <c r="C113" s="79" t="s">
        <v>225</v>
      </c>
      <c r="D113" s="35" t="s">
        <v>287</v>
      </c>
      <c r="E113" s="35"/>
      <c r="F113" s="29" t="s">
        <v>289</v>
      </c>
      <c r="G113" s="38">
        <v>0.15</v>
      </c>
      <c r="H113" s="38"/>
      <c r="I113" s="38"/>
      <c r="J113" s="38"/>
      <c r="K113" s="38"/>
      <c r="L113" s="30">
        <f t="shared" si="4"/>
        <v>0</v>
      </c>
      <c r="M113" s="30">
        <f t="shared" si="5"/>
        <v>0</v>
      </c>
      <c r="N113" s="30">
        <f t="shared" si="6"/>
        <v>0</v>
      </c>
      <c r="O113" s="31" t="e">
        <f t="shared" si="7"/>
        <v>#DIV/0!</v>
      </c>
      <c r="P113" s="52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</row>
    <row r="114" spans="1:49" ht="18" customHeight="1">
      <c r="A114" s="23"/>
      <c r="B114" s="12"/>
      <c r="C114" s="79" t="s">
        <v>225</v>
      </c>
      <c r="D114" s="35" t="s">
        <v>287</v>
      </c>
      <c r="E114" s="35"/>
      <c r="F114" s="29" t="s">
        <v>290</v>
      </c>
      <c r="G114" s="38">
        <v>0</v>
      </c>
      <c r="H114" s="38">
        <v>0.15</v>
      </c>
      <c r="I114" s="38">
        <v>0</v>
      </c>
      <c r="J114" s="38">
        <v>0.15</v>
      </c>
      <c r="K114" s="38">
        <v>0</v>
      </c>
      <c r="L114" s="30">
        <f t="shared" si="4"/>
        <v>0.10349</v>
      </c>
      <c r="M114" s="30">
        <f t="shared" si="5"/>
        <v>6.9355E-2</v>
      </c>
      <c r="N114" s="30">
        <f t="shared" si="6"/>
        <v>3.4134999999999999E-2</v>
      </c>
      <c r="O114" s="31">
        <f t="shared" si="7"/>
        <v>8.4793857142857157E-2</v>
      </c>
      <c r="P114" s="52"/>
      <c r="Q114" s="30">
        <v>8.2031999999999994E-2</v>
      </c>
      <c r="R114" s="30">
        <v>9.1330999999999996E-2</v>
      </c>
      <c r="S114" s="30">
        <v>8.3754999999999996E-2</v>
      </c>
      <c r="T114" s="30">
        <v>9.3602000000000005E-2</v>
      </c>
      <c r="U114" s="30">
        <v>8.1698000000000007E-2</v>
      </c>
      <c r="V114" s="30">
        <v>8.9797000000000002E-2</v>
      </c>
      <c r="W114" s="30">
        <v>8.3502999999999994E-2</v>
      </c>
      <c r="X114" s="30">
        <v>6.9355E-2</v>
      </c>
      <c r="Y114" s="30">
        <v>8.3006999999999997E-2</v>
      </c>
      <c r="Z114" s="30">
        <v>9.0074000000000001E-2</v>
      </c>
      <c r="AA114" s="30">
        <v>8.5730000000000001E-2</v>
      </c>
      <c r="AB114" s="30">
        <v>7.8924999999999995E-2</v>
      </c>
      <c r="AC114" s="30">
        <v>8.3375000000000005E-2</v>
      </c>
      <c r="AD114" s="30">
        <v>7.3058999999999999E-2</v>
      </c>
      <c r="AE114" s="30">
        <v>7.6544000000000001E-2</v>
      </c>
      <c r="AF114" s="30"/>
      <c r="AG114" s="30"/>
      <c r="AH114" s="30">
        <v>7.2056999999999996E-2</v>
      </c>
      <c r="AI114" s="30">
        <v>0.10349</v>
      </c>
      <c r="AJ114" s="30">
        <v>9.2660000000000006E-2</v>
      </c>
      <c r="AK114" s="30">
        <v>7.7993999999999994E-2</v>
      </c>
      <c r="AL114" s="30">
        <v>9.8105999999999999E-2</v>
      </c>
      <c r="AM114" s="30">
        <v>7.6453999999999994E-2</v>
      </c>
      <c r="AN114" s="30">
        <v>8.2849000000000006E-2</v>
      </c>
      <c r="AO114" s="30">
        <v>9.4242999999999993E-2</v>
      </c>
      <c r="AP114" s="30">
        <v>9.3184000000000003E-2</v>
      </c>
      <c r="AQ114" s="30">
        <v>8.7368000000000001E-2</v>
      </c>
      <c r="AR114" s="30">
        <v>8.3219000000000001E-2</v>
      </c>
      <c r="AS114" s="30">
        <v>8.1946000000000005E-2</v>
      </c>
      <c r="AT114" s="30">
        <v>8.4871000000000002E-2</v>
      </c>
      <c r="AU114" s="30">
        <v>8.2380999999999996E-2</v>
      </c>
      <c r="AV114" s="30">
        <v>8.5906999999999997E-2</v>
      </c>
      <c r="AW114" s="30">
        <v>8.9247999999999994E-2</v>
      </c>
    </row>
    <row r="115" spans="1:49" ht="18" customHeight="1">
      <c r="A115" s="23"/>
      <c r="B115" s="12"/>
      <c r="C115" s="79" t="s">
        <v>225</v>
      </c>
      <c r="D115" s="35" t="s">
        <v>291</v>
      </c>
      <c r="E115" s="35"/>
      <c r="F115" s="29" t="s">
        <v>292</v>
      </c>
      <c r="G115" s="38">
        <v>0</v>
      </c>
      <c r="H115" s="38">
        <v>0.15</v>
      </c>
      <c r="I115" s="38">
        <v>0</v>
      </c>
      <c r="J115" s="38">
        <v>0.15</v>
      </c>
      <c r="K115" s="38">
        <v>0</v>
      </c>
      <c r="L115" s="30">
        <f t="shared" si="4"/>
        <v>8.5809999999999997E-2</v>
      </c>
      <c r="M115" s="30">
        <f t="shared" si="5"/>
        <v>6.2589000000000006E-2</v>
      </c>
      <c r="N115" s="30">
        <f t="shared" si="6"/>
        <v>2.3220999999999992E-2</v>
      </c>
      <c r="O115" s="31">
        <f t="shared" si="7"/>
        <v>7.5322785714285731E-2</v>
      </c>
      <c r="P115" s="52"/>
      <c r="Q115" s="30">
        <v>8.1109000000000001E-2</v>
      </c>
      <c r="R115" s="30">
        <v>7.9755999999999994E-2</v>
      </c>
      <c r="S115" s="30">
        <v>7.9991000000000007E-2</v>
      </c>
      <c r="T115" s="30">
        <v>7.7681E-2</v>
      </c>
      <c r="U115" s="30">
        <v>8.2960999999999993E-2</v>
      </c>
      <c r="V115" s="30">
        <v>7.6451000000000005E-2</v>
      </c>
      <c r="W115" s="30">
        <v>6.9375000000000006E-2</v>
      </c>
      <c r="X115" s="30">
        <v>7.6079999999999995E-2</v>
      </c>
      <c r="Y115" s="30">
        <v>7.2530999999999998E-2</v>
      </c>
      <c r="Z115" s="30">
        <v>7.3348999999999998E-2</v>
      </c>
      <c r="AA115" s="30">
        <v>7.0407999999999998E-2</v>
      </c>
      <c r="AB115" s="30">
        <v>6.2589000000000006E-2</v>
      </c>
      <c r="AC115" s="30">
        <v>7.4723999999999999E-2</v>
      </c>
      <c r="AD115" s="30">
        <v>6.8197999999999995E-2</v>
      </c>
      <c r="AE115" s="30">
        <v>7.7090000000000006E-2</v>
      </c>
      <c r="AF115" s="30"/>
      <c r="AG115" s="30"/>
      <c r="AH115" s="30">
        <v>7.5080999999999995E-2</v>
      </c>
      <c r="AI115" s="30">
        <v>8.5809999999999997E-2</v>
      </c>
      <c r="AJ115" s="30">
        <v>8.1100000000000005E-2</v>
      </c>
      <c r="AK115" s="30">
        <v>8.0624000000000001E-2</v>
      </c>
      <c r="AL115" s="30">
        <v>7.1010000000000004E-2</v>
      </c>
      <c r="AM115" s="30">
        <v>7.0966000000000001E-2</v>
      </c>
      <c r="AN115" s="30">
        <v>6.9841E-2</v>
      </c>
      <c r="AO115" s="30">
        <v>7.8815999999999997E-2</v>
      </c>
      <c r="AP115" s="30">
        <v>7.6975000000000002E-2</v>
      </c>
      <c r="AQ115" s="30">
        <v>6.7960000000000007E-2</v>
      </c>
      <c r="AR115" s="30">
        <v>7.0648000000000002E-2</v>
      </c>
      <c r="AS115" s="30">
        <v>8.1116999999999995E-2</v>
      </c>
      <c r="AT115" s="30">
        <v>7.6797000000000004E-2</v>
      </c>
      <c r="AU115" s="30">
        <v>7.6097999999999999E-2</v>
      </c>
      <c r="AV115" s="30">
        <v>6.9740999999999997E-2</v>
      </c>
      <c r="AW115" s="30">
        <v>7.5549000000000005E-2</v>
      </c>
    </row>
    <row r="116" spans="1:49" ht="18" customHeight="1">
      <c r="A116" s="23"/>
      <c r="B116" s="12"/>
      <c r="C116" s="79" t="s">
        <v>225</v>
      </c>
      <c r="D116" s="35" t="s">
        <v>293</v>
      </c>
      <c r="E116" s="35"/>
      <c r="F116" s="29" t="s">
        <v>294</v>
      </c>
      <c r="G116" s="38">
        <v>0</v>
      </c>
      <c r="H116" s="38">
        <v>0.14000000000000001</v>
      </c>
      <c r="I116" s="38">
        <v>0</v>
      </c>
      <c r="J116" s="38">
        <v>0.15</v>
      </c>
      <c r="K116" s="38">
        <v>0</v>
      </c>
      <c r="L116" s="30">
        <f t="shared" si="4"/>
        <v>9.2558000000000001E-2</v>
      </c>
      <c r="M116" s="30">
        <f t="shared" si="5"/>
        <v>6.1248999999999998E-2</v>
      </c>
      <c r="N116" s="30">
        <f t="shared" si="6"/>
        <v>3.1309000000000003E-2</v>
      </c>
      <c r="O116" s="31">
        <f t="shared" si="7"/>
        <v>8.1735285714285691E-2</v>
      </c>
      <c r="P116" s="52"/>
      <c r="Q116" s="30">
        <v>9.2558000000000001E-2</v>
      </c>
      <c r="R116" s="30">
        <v>8.4853999999999999E-2</v>
      </c>
      <c r="S116" s="30">
        <v>8.7364999999999998E-2</v>
      </c>
      <c r="T116" s="30">
        <v>8.7257000000000001E-2</v>
      </c>
      <c r="U116" s="30">
        <v>8.7075E-2</v>
      </c>
      <c r="V116" s="30">
        <v>9.2188000000000006E-2</v>
      </c>
      <c r="W116" s="30">
        <v>8.2475000000000007E-2</v>
      </c>
      <c r="X116" s="30">
        <v>6.5991999999999995E-2</v>
      </c>
      <c r="Y116" s="30">
        <v>8.5861999999999994E-2</v>
      </c>
      <c r="Z116" s="30">
        <v>7.2341000000000003E-2</v>
      </c>
      <c r="AA116" s="30">
        <v>7.8862000000000002E-2</v>
      </c>
      <c r="AB116" s="30">
        <v>8.6410000000000001E-2</v>
      </c>
      <c r="AC116" s="30">
        <v>8.2047999999999996E-2</v>
      </c>
      <c r="AD116" s="30">
        <v>8.6511000000000005E-2</v>
      </c>
      <c r="AE116" s="30">
        <v>8.7678000000000006E-2</v>
      </c>
      <c r="AF116" s="30"/>
      <c r="AG116" s="30"/>
      <c r="AH116" s="30">
        <v>8.7778999999999996E-2</v>
      </c>
      <c r="AI116" s="30">
        <v>7.0926000000000003E-2</v>
      </c>
      <c r="AJ116" s="30">
        <v>8.5549E-2</v>
      </c>
      <c r="AK116" s="30">
        <v>8.8671E-2</v>
      </c>
      <c r="AL116" s="30">
        <v>6.1248999999999998E-2</v>
      </c>
      <c r="AM116" s="30">
        <v>8.5360000000000005E-2</v>
      </c>
      <c r="AN116" s="30">
        <v>7.9503000000000004E-2</v>
      </c>
      <c r="AO116" s="30">
        <v>7.0965E-2</v>
      </c>
      <c r="AP116" s="30">
        <v>7.7241000000000004E-2</v>
      </c>
      <c r="AQ116" s="30">
        <v>7.7857999999999997E-2</v>
      </c>
      <c r="AR116" s="30">
        <v>8.4353999999999998E-2</v>
      </c>
      <c r="AS116" s="30">
        <v>8.2099000000000005E-2</v>
      </c>
      <c r="AT116" s="30">
        <v>7.7558000000000002E-2</v>
      </c>
      <c r="AU116" s="30">
        <v>9.0619000000000005E-2</v>
      </c>
      <c r="AV116" s="30">
        <v>8.2593E-2</v>
      </c>
      <c r="AW116" s="30">
        <v>8.3511000000000002E-2</v>
      </c>
    </row>
    <row r="117" spans="1:49" ht="18" customHeight="1">
      <c r="A117" s="23"/>
      <c r="B117" s="12"/>
      <c r="C117" s="79" t="s">
        <v>225</v>
      </c>
      <c r="D117" s="35" t="s">
        <v>295</v>
      </c>
      <c r="E117" s="35"/>
      <c r="F117" s="29" t="s">
        <v>296</v>
      </c>
      <c r="G117" s="38">
        <v>0</v>
      </c>
      <c r="H117" s="38">
        <v>0.15</v>
      </c>
      <c r="I117" s="38">
        <v>0</v>
      </c>
      <c r="J117" s="38">
        <v>0.15</v>
      </c>
      <c r="K117" s="38">
        <v>0</v>
      </c>
      <c r="L117" s="30">
        <f t="shared" si="4"/>
        <v>7.9855999999999996E-2</v>
      </c>
      <c r="M117" s="30">
        <f t="shared" si="5"/>
        <v>4.9922000000000001E-2</v>
      </c>
      <c r="N117" s="30">
        <f t="shared" si="6"/>
        <v>2.9933999999999995E-2</v>
      </c>
      <c r="O117" s="31">
        <f t="shared" si="7"/>
        <v>6.8619928571428582E-2</v>
      </c>
      <c r="P117" s="52"/>
      <c r="Q117" s="30">
        <v>7.3516999999999999E-2</v>
      </c>
      <c r="R117" s="30">
        <v>7.1235999999999994E-2</v>
      </c>
      <c r="S117" s="30">
        <v>7.1454000000000004E-2</v>
      </c>
      <c r="T117" s="30">
        <v>6.7530000000000007E-2</v>
      </c>
      <c r="U117" s="30">
        <v>7.4962000000000001E-2</v>
      </c>
      <c r="V117" s="30">
        <v>6.9416000000000005E-2</v>
      </c>
      <c r="W117" s="30">
        <v>6.5501000000000004E-2</v>
      </c>
      <c r="X117" s="30">
        <v>7.2720000000000007E-2</v>
      </c>
      <c r="Y117" s="30">
        <v>7.5058E-2</v>
      </c>
      <c r="Z117" s="30">
        <v>6.2833E-2</v>
      </c>
      <c r="AA117" s="30">
        <v>7.5148999999999994E-2</v>
      </c>
      <c r="AB117" s="30">
        <v>6.4793000000000003E-2</v>
      </c>
      <c r="AC117" s="30">
        <v>6.7796999999999996E-2</v>
      </c>
      <c r="AD117" s="30">
        <v>7.1965000000000001E-2</v>
      </c>
      <c r="AE117" s="30">
        <v>7.9855999999999996E-2</v>
      </c>
      <c r="AF117" s="30"/>
      <c r="AG117" s="30"/>
      <c r="AH117" s="30">
        <v>7.6781000000000002E-2</v>
      </c>
      <c r="AI117" s="30">
        <v>5.8041000000000002E-2</v>
      </c>
      <c r="AJ117" s="30">
        <v>7.5974E-2</v>
      </c>
      <c r="AK117" s="30">
        <v>7.5180999999999998E-2</v>
      </c>
      <c r="AL117" s="30">
        <v>5.4731000000000002E-2</v>
      </c>
      <c r="AM117" s="30">
        <v>6.9942000000000004E-2</v>
      </c>
      <c r="AN117" s="30">
        <v>6.8543000000000007E-2</v>
      </c>
      <c r="AO117" s="30">
        <v>4.9922000000000001E-2</v>
      </c>
      <c r="AP117" s="30">
        <v>6.8013000000000004E-2</v>
      </c>
      <c r="AQ117" s="30">
        <v>6.0454000000000001E-2</v>
      </c>
      <c r="AR117" s="30">
        <v>6.3694000000000001E-2</v>
      </c>
      <c r="AS117" s="30">
        <v>6.5128000000000005E-2</v>
      </c>
      <c r="AT117" s="30">
        <v>7.1166999999999994E-2</v>
      </c>
      <c r="AU117" s="30">
        <v>7.4994000000000005E-2</v>
      </c>
      <c r="AV117" s="30">
        <v>6.7843000000000001E-2</v>
      </c>
      <c r="AW117" s="30">
        <v>7.5437000000000004E-2</v>
      </c>
    </row>
    <row r="118" spans="1:49" ht="18" customHeight="1">
      <c r="A118" s="23"/>
      <c r="B118" s="12"/>
      <c r="C118" s="79" t="s">
        <v>225</v>
      </c>
      <c r="D118" s="35" t="s">
        <v>297</v>
      </c>
      <c r="E118" s="35"/>
      <c r="F118" s="29" t="s">
        <v>298</v>
      </c>
      <c r="G118" s="38">
        <v>11.05</v>
      </c>
      <c r="H118" s="38">
        <v>0.05</v>
      </c>
      <c r="I118" s="38">
        <v>0.05</v>
      </c>
      <c r="J118" s="38">
        <v>0.05</v>
      </c>
      <c r="K118" s="38">
        <v>0.05</v>
      </c>
      <c r="L118" s="30">
        <f t="shared" si="4"/>
        <v>11.069793000000001</v>
      </c>
      <c r="M118" s="30">
        <f t="shared" si="5"/>
        <v>11.053972</v>
      </c>
      <c r="N118" s="30">
        <f t="shared" si="6"/>
        <v>1.5821000000000751E-2</v>
      </c>
      <c r="O118" s="31">
        <f t="shared" si="7"/>
        <v>11.064233071428571</v>
      </c>
      <c r="P118" s="52"/>
      <c r="Q118" s="30">
        <v>11.063167</v>
      </c>
      <c r="R118" s="30">
        <v>11.064811000000001</v>
      </c>
      <c r="S118" s="30">
        <v>11.063675999999999</v>
      </c>
      <c r="T118" s="30">
        <v>11.061514000000001</v>
      </c>
      <c r="U118" s="30">
        <v>11.064674</v>
      </c>
      <c r="V118" s="30">
        <v>11.069156</v>
      </c>
      <c r="W118" s="30">
        <v>11.061211999999999</v>
      </c>
      <c r="X118" s="30">
        <v>11.069068</v>
      </c>
      <c r="Y118" s="30">
        <v>11.065073999999999</v>
      </c>
      <c r="Z118" s="30">
        <v>11.059812000000001</v>
      </c>
      <c r="AA118" s="30">
        <v>11.065809</v>
      </c>
      <c r="AB118" s="30">
        <v>11.062619</v>
      </c>
      <c r="AC118" s="30">
        <v>11.064990999999999</v>
      </c>
      <c r="AD118" s="30">
        <v>11.066632</v>
      </c>
      <c r="AE118" s="30">
        <v>11.068033</v>
      </c>
      <c r="AF118" s="30"/>
      <c r="AG118" s="30"/>
      <c r="AH118" s="30">
        <v>11.065191</v>
      </c>
      <c r="AI118" s="30">
        <v>11.057202</v>
      </c>
      <c r="AJ118" s="30">
        <v>11.066001999999999</v>
      </c>
      <c r="AK118" s="30">
        <v>11.068439</v>
      </c>
      <c r="AL118" s="30">
        <v>11.057924</v>
      </c>
      <c r="AM118" s="30">
        <v>11.064943</v>
      </c>
      <c r="AN118" s="30">
        <v>11.067157999999999</v>
      </c>
      <c r="AO118" s="30">
        <v>11.053972</v>
      </c>
      <c r="AP118" s="30">
        <v>11.063530999999999</v>
      </c>
      <c r="AQ118" s="30">
        <v>11.065170999999999</v>
      </c>
      <c r="AR118" s="30">
        <v>11.066651</v>
      </c>
      <c r="AS118" s="30">
        <v>11.069793000000001</v>
      </c>
      <c r="AT118" s="30">
        <v>11.062301</v>
      </c>
      <c r="AU118" s="30">
        <v>11.071154999999999</v>
      </c>
      <c r="AV118" s="30">
        <v>11.068649000000001</v>
      </c>
      <c r="AW118" s="30">
        <v>11.069153999999999</v>
      </c>
    </row>
    <row r="119" spans="1:49" ht="18" customHeight="1">
      <c r="A119" s="23"/>
      <c r="B119" s="12"/>
      <c r="C119" s="79" t="s">
        <v>225</v>
      </c>
      <c r="D119" s="35" t="s">
        <v>299</v>
      </c>
      <c r="E119" s="35"/>
      <c r="F119" s="29" t="s">
        <v>300</v>
      </c>
      <c r="G119" s="38">
        <v>11.05</v>
      </c>
      <c r="H119" s="38">
        <v>0.05</v>
      </c>
      <c r="I119" s="38">
        <v>0.05</v>
      </c>
      <c r="J119" s="38">
        <v>0.05</v>
      </c>
      <c r="K119" s="38">
        <v>0.05</v>
      </c>
      <c r="L119" s="30">
        <f t="shared" si="4"/>
        <v>11.042688999999999</v>
      </c>
      <c r="M119" s="30">
        <f t="shared" si="5"/>
        <v>11.016918</v>
      </c>
      <c r="N119" s="30">
        <f t="shared" si="6"/>
        <v>2.5770999999998878E-2</v>
      </c>
      <c r="O119" s="31">
        <f t="shared" si="7"/>
        <v>11.034735285714287</v>
      </c>
      <c r="P119" s="52"/>
      <c r="Q119" s="30">
        <v>11.032882000000001</v>
      </c>
      <c r="R119" s="30">
        <v>11.033277999999999</v>
      </c>
      <c r="S119" s="30">
        <v>11.034464</v>
      </c>
      <c r="T119" s="30">
        <v>11.028855999999999</v>
      </c>
      <c r="U119" s="30">
        <v>11.038404</v>
      </c>
      <c r="V119" s="30">
        <v>11.03922</v>
      </c>
      <c r="W119" s="30">
        <v>11.030991999999999</v>
      </c>
      <c r="X119" s="30">
        <v>11.037725999999999</v>
      </c>
      <c r="Y119" s="30">
        <v>11.035354</v>
      </c>
      <c r="Z119" s="30">
        <v>11.028347999999999</v>
      </c>
      <c r="AA119" s="30">
        <v>11.038194000000001</v>
      </c>
      <c r="AB119" s="30">
        <v>11.034198</v>
      </c>
      <c r="AC119" s="30">
        <v>11.033365</v>
      </c>
      <c r="AD119" s="30">
        <v>11.038584</v>
      </c>
      <c r="AE119" s="30">
        <v>11.042688999999999</v>
      </c>
      <c r="AF119" s="30"/>
      <c r="AG119" s="30"/>
      <c r="AH119" s="30">
        <v>11.034834999999999</v>
      </c>
      <c r="AI119" s="30">
        <v>11.024628999999999</v>
      </c>
      <c r="AJ119" s="30">
        <v>11.037812000000001</v>
      </c>
      <c r="AK119" s="30">
        <v>11.039256</v>
      </c>
      <c r="AL119" s="30">
        <v>11.025460000000001</v>
      </c>
      <c r="AM119" s="30">
        <v>11.036967000000001</v>
      </c>
      <c r="AN119" s="30">
        <v>11.04007</v>
      </c>
      <c r="AO119" s="30">
        <v>11.016918</v>
      </c>
      <c r="AP119" s="30">
        <v>11.038069999999999</v>
      </c>
      <c r="AQ119" s="30">
        <v>11.037837</v>
      </c>
      <c r="AR119" s="30">
        <v>11.039101</v>
      </c>
      <c r="AS119" s="30">
        <v>11.042529</v>
      </c>
      <c r="AT119" s="30">
        <v>11.032550000000001</v>
      </c>
      <c r="AU119" s="30">
        <v>11.051633000000001</v>
      </c>
      <c r="AV119" s="30">
        <v>11.04105</v>
      </c>
      <c r="AW119" s="30">
        <v>11.044499999999999</v>
      </c>
    </row>
    <row r="120" spans="1:49" ht="18" customHeight="1">
      <c r="A120" s="23"/>
      <c r="B120" s="12"/>
      <c r="C120" s="79" t="s">
        <v>225</v>
      </c>
      <c r="D120" s="35" t="s">
        <v>301</v>
      </c>
      <c r="E120" s="35"/>
      <c r="F120" s="29" t="s">
        <v>302</v>
      </c>
      <c r="G120" s="38">
        <v>11.05</v>
      </c>
      <c r="H120" s="38">
        <v>0.05</v>
      </c>
      <c r="I120" s="38">
        <v>0.05</v>
      </c>
      <c r="J120" s="38">
        <v>0.05</v>
      </c>
      <c r="K120" s="38">
        <v>0.05</v>
      </c>
      <c r="L120" s="30">
        <f t="shared" si="4"/>
        <v>11.04725</v>
      </c>
      <c r="M120" s="30">
        <f t="shared" si="5"/>
        <v>11.018504</v>
      </c>
      <c r="N120" s="30">
        <f t="shared" si="6"/>
        <v>2.8745999999999938E-2</v>
      </c>
      <c r="O120" s="31">
        <f t="shared" si="7"/>
        <v>11.038292107142855</v>
      </c>
      <c r="P120" s="52"/>
      <c r="Q120" s="30">
        <v>11.036498999999999</v>
      </c>
      <c r="R120" s="30">
        <v>11.036268</v>
      </c>
      <c r="S120" s="30">
        <v>11.037976</v>
      </c>
      <c r="T120" s="30">
        <v>11.03162</v>
      </c>
      <c r="U120" s="30">
        <v>11.042498</v>
      </c>
      <c r="V120" s="30">
        <v>11.042767</v>
      </c>
      <c r="W120" s="30">
        <v>11.034366</v>
      </c>
      <c r="X120" s="30">
        <v>11.04068</v>
      </c>
      <c r="Y120" s="30">
        <v>11.038743999999999</v>
      </c>
      <c r="Z120" s="30">
        <v>11.031154000000001</v>
      </c>
      <c r="AA120" s="30">
        <v>11.042973</v>
      </c>
      <c r="AB120" s="30">
        <v>11.038050999999999</v>
      </c>
      <c r="AC120" s="30">
        <v>11.036289999999999</v>
      </c>
      <c r="AD120" s="30">
        <v>11.042297</v>
      </c>
      <c r="AE120" s="30">
        <v>11.04725</v>
      </c>
      <c r="AF120" s="30"/>
      <c r="AG120" s="30"/>
      <c r="AH120" s="30">
        <v>11.038448000000001</v>
      </c>
      <c r="AI120" s="30">
        <v>11.027483</v>
      </c>
      <c r="AJ120" s="30">
        <v>11.040787</v>
      </c>
      <c r="AK120" s="30">
        <v>11.04279</v>
      </c>
      <c r="AL120" s="30">
        <v>11.028582</v>
      </c>
      <c r="AM120" s="30">
        <v>11.040934999999999</v>
      </c>
      <c r="AN120" s="30">
        <v>11.04411</v>
      </c>
      <c r="AO120" s="30">
        <v>11.018504</v>
      </c>
      <c r="AP120" s="30">
        <v>11.042854999999999</v>
      </c>
      <c r="AQ120" s="30">
        <v>11.042020000000001</v>
      </c>
      <c r="AR120" s="30">
        <v>11.043331</v>
      </c>
      <c r="AS120" s="30">
        <v>11.046894</v>
      </c>
      <c r="AT120" s="30">
        <v>11.036007</v>
      </c>
      <c r="AU120" s="30">
        <v>11.05733</v>
      </c>
      <c r="AV120" s="30">
        <v>11.045235</v>
      </c>
      <c r="AW120" s="30">
        <v>11.049550999999999</v>
      </c>
    </row>
    <row r="121" spans="1:49" ht="18" customHeight="1">
      <c r="A121" s="23"/>
      <c r="B121" s="12"/>
      <c r="C121" s="79" t="s">
        <v>225</v>
      </c>
      <c r="D121" s="35" t="s">
        <v>303</v>
      </c>
      <c r="E121" s="35"/>
      <c r="F121" s="29" t="s">
        <v>304</v>
      </c>
      <c r="G121" s="38">
        <v>21.59</v>
      </c>
      <c r="H121" s="38">
        <v>0.08</v>
      </c>
      <c r="I121" s="38">
        <v>0.05</v>
      </c>
      <c r="J121" s="38">
        <v>0.08</v>
      </c>
      <c r="K121" s="38">
        <v>0.05</v>
      </c>
      <c r="L121" s="30">
        <f t="shared" si="4"/>
        <v>21.601893</v>
      </c>
      <c r="M121" s="30">
        <f t="shared" si="5"/>
        <v>21.584731000000001</v>
      </c>
      <c r="N121" s="30">
        <f t="shared" si="6"/>
        <v>1.7161999999999011E-2</v>
      </c>
      <c r="O121" s="31">
        <f t="shared" si="7"/>
        <v>21.591019785714288</v>
      </c>
      <c r="P121" s="52"/>
      <c r="Q121" s="30">
        <v>21.601893</v>
      </c>
      <c r="R121" s="30">
        <v>21.597178</v>
      </c>
      <c r="S121" s="30">
        <v>21.594861000000002</v>
      </c>
      <c r="T121" s="30">
        <v>21.593634999999999</v>
      </c>
      <c r="U121" s="30">
        <v>21.590964</v>
      </c>
      <c r="V121" s="30">
        <v>21.594835</v>
      </c>
      <c r="W121" s="30">
        <v>21.590337999999999</v>
      </c>
      <c r="X121" s="30">
        <v>21.589445999999999</v>
      </c>
      <c r="Y121" s="30">
        <v>21.591052000000001</v>
      </c>
      <c r="Z121" s="30">
        <v>21.584731000000001</v>
      </c>
      <c r="AA121" s="30">
        <v>21.587976999999999</v>
      </c>
      <c r="AB121" s="30">
        <v>21.586138999999999</v>
      </c>
      <c r="AC121" s="30">
        <v>21.589811000000001</v>
      </c>
      <c r="AD121" s="30">
        <v>21.585895000000001</v>
      </c>
      <c r="AE121" s="30">
        <v>21.591013</v>
      </c>
      <c r="AF121" s="30"/>
      <c r="AG121" s="30"/>
      <c r="AH121" s="30">
        <v>21.588554999999999</v>
      </c>
      <c r="AI121" s="30">
        <v>21.587551000000001</v>
      </c>
      <c r="AJ121" s="30">
        <v>21.590783999999999</v>
      </c>
      <c r="AK121" s="30">
        <v>21.593879000000001</v>
      </c>
      <c r="AL121" s="30">
        <v>21.590015999999999</v>
      </c>
      <c r="AM121" s="30">
        <v>21.594415000000001</v>
      </c>
      <c r="AN121" s="30">
        <v>21.591771000000001</v>
      </c>
      <c r="AO121" s="30">
        <v>21.590630000000001</v>
      </c>
      <c r="AP121" s="30">
        <v>21.588080999999999</v>
      </c>
      <c r="AQ121" s="30">
        <v>21.586040000000001</v>
      </c>
      <c r="AR121" s="30">
        <v>21.590544999999999</v>
      </c>
      <c r="AS121" s="30">
        <v>21.591031999999998</v>
      </c>
      <c r="AT121" s="30">
        <v>21.595486999999999</v>
      </c>
      <c r="AU121" s="30">
        <v>21.586186999999999</v>
      </c>
      <c r="AV121" s="30">
        <v>21.589165000000001</v>
      </c>
      <c r="AW121" s="30">
        <v>21.589328999999999</v>
      </c>
    </row>
    <row r="122" spans="1:49" ht="18" customHeight="1">
      <c r="A122" s="23"/>
      <c r="B122" s="12"/>
      <c r="C122" s="79" t="s">
        <v>225</v>
      </c>
      <c r="D122" s="35" t="s">
        <v>305</v>
      </c>
      <c r="E122" s="35"/>
      <c r="F122" s="29" t="s">
        <v>306</v>
      </c>
      <c r="G122" s="38">
        <v>21.59</v>
      </c>
      <c r="H122" s="38">
        <v>0.08</v>
      </c>
      <c r="I122" s="38">
        <v>0.05</v>
      </c>
      <c r="J122" s="38">
        <v>0.08</v>
      </c>
      <c r="K122" s="38">
        <v>0.05</v>
      </c>
      <c r="L122" s="30">
        <f t="shared" si="4"/>
        <v>21.593771</v>
      </c>
      <c r="M122" s="30">
        <f t="shared" si="5"/>
        <v>21.578367</v>
      </c>
      <c r="N122" s="30">
        <f t="shared" si="6"/>
        <v>1.5404000000000195E-2</v>
      </c>
      <c r="O122" s="31">
        <f t="shared" si="7"/>
        <v>21.584423642857143</v>
      </c>
      <c r="P122" s="52"/>
      <c r="Q122" s="30">
        <v>21.593771</v>
      </c>
      <c r="R122" s="30">
        <v>21.590191000000001</v>
      </c>
      <c r="S122" s="30">
        <v>21.587772000000001</v>
      </c>
      <c r="T122" s="30">
        <v>21.587046000000001</v>
      </c>
      <c r="U122" s="30">
        <v>21.583953000000001</v>
      </c>
      <c r="V122" s="30">
        <v>21.588107999999998</v>
      </c>
      <c r="W122" s="30">
        <v>21.584375000000001</v>
      </c>
      <c r="X122" s="30">
        <v>21.585370999999999</v>
      </c>
      <c r="Y122" s="30">
        <v>21.58493</v>
      </c>
      <c r="Z122" s="30">
        <v>21.579554999999999</v>
      </c>
      <c r="AA122" s="30">
        <v>21.580798000000001</v>
      </c>
      <c r="AB122" s="30">
        <v>21.580801999999998</v>
      </c>
      <c r="AC122" s="30">
        <v>21.582947000000001</v>
      </c>
      <c r="AD122" s="30">
        <v>21.579350999999999</v>
      </c>
      <c r="AE122" s="30">
        <v>21.582818</v>
      </c>
      <c r="AF122" s="30"/>
      <c r="AG122" s="30"/>
      <c r="AH122" s="30">
        <v>21.582787</v>
      </c>
      <c r="AI122" s="30">
        <v>21.580704000000001</v>
      </c>
      <c r="AJ122" s="30">
        <v>21.583143</v>
      </c>
      <c r="AK122" s="30">
        <v>21.586145999999999</v>
      </c>
      <c r="AL122" s="30">
        <v>21.586289000000001</v>
      </c>
      <c r="AM122" s="30">
        <v>21.587312000000001</v>
      </c>
      <c r="AN122" s="30">
        <v>21.584824999999999</v>
      </c>
      <c r="AO122" s="30">
        <v>21.585038999999998</v>
      </c>
      <c r="AP122" s="30">
        <v>21.578367</v>
      </c>
      <c r="AQ122" s="30">
        <v>21.579248</v>
      </c>
      <c r="AR122" s="30">
        <v>21.584009000000002</v>
      </c>
      <c r="AS122" s="30">
        <v>21.582982999999999</v>
      </c>
      <c r="AT122" s="30">
        <v>21.591221999999998</v>
      </c>
      <c r="AU122" s="30">
        <v>21.578972</v>
      </c>
      <c r="AV122" s="30">
        <v>21.582274000000002</v>
      </c>
      <c r="AW122" s="30">
        <v>21.581106999999999</v>
      </c>
    </row>
    <row r="123" spans="1:49" ht="18" customHeight="1">
      <c r="A123" s="22"/>
      <c r="B123" s="11"/>
      <c r="C123" s="80" t="s">
        <v>225</v>
      </c>
      <c r="D123" s="56" t="s">
        <v>307</v>
      </c>
      <c r="E123" s="35"/>
      <c r="F123" s="57" t="s">
        <v>308</v>
      </c>
      <c r="G123" s="58">
        <v>21.59</v>
      </c>
      <c r="H123" s="58">
        <v>0.08</v>
      </c>
      <c r="I123" s="58">
        <v>0.05</v>
      </c>
      <c r="J123" s="58">
        <v>0.08</v>
      </c>
      <c r="K123" s="58">
        <v>0.05</v>
      </c>
      <c r="L123" s="30">
        <f t="shared" si="4"/>
        <v>21.627040000000001</v>
      </c>
      <c r="M123" s="30">
        <f t="shared" si="5"/>
        <v>21.613015999999998</v>
      </c>
      <c r="N123" s="30">
        <f t="shared" si="6"/>
        <v>1.4024000000002701E-2</v>
      </c>
      <c r="O123" s="31">
        <f t="shared" si="7"/>
        <v>21.620236464285718</v>
      </c>
      <c r="P123" s="62"/>
      <c r="Q123" s="30">
        <v>21.625449</v>
      </c>
      <c r="R123" s="30">
        <v>21.623763</v>
      </c>
      <c r="S123" s="30">
        <v>21.623021000000001</v>
      </c>
      <c r="T123" s="30">
        <v>21.621597000000001</v>
      </c>
      <c r="U123" s="30">
        <v>21.620083999999999</v>
      </c>
      <c r="V123" s="30">
        <v>21.620484000000001</v>
      </c>
      <c r="W123" s="30">
        <v>21.621024999999999</v>
      </c>
      <c r="X123" s="30">
        <v>21.624887999999999</v>
      </c>
      <c r="Y123" s="30">
        <v>21.621254</v>
      </c>
      <c r="Z123" s="30">
        <v>21.617412000000002</v>
      </c>
      <c r="AA123" s="30">
        <v>21.617069000000001</v>
      </c>
      <c r="AB123" s="30">
        <v>21.620035000000001</v>
      </c>
      <c r="AC123" s="30">
        <v>21.618504000000001</v>
      </c>
      <c r="AD123" s="30">
        <v>21.617834999999999</v>
      </c>
      <c r="AE123" s="30">
        <v>21.619167000000001</v>
      </c>
      <c r="AF123" s="30"/>
      <c r="AG123" s="30"/>
      <c r="AH123" s="30">
        <v>21.620908</v>
      </c>
      <c r="AI123" s="30">
        <v>21.615364</v>
      </c>
      <c r="AJ123" s="30">
        <v>21.617716000000001</v>
      </c>
      <c r="AK123" s="30">
        <v>21.621089999999999</v>
      </c>
      <c r="AL123" s="30">
        <v>21.621465000000001</v>
      </c>
      <c r="AM123" s="30">
        <v>21.621784999999999</v>
      </c>
      <c r="AN123" s="30">
        <v>21.620014000000001</v>
      </c>
      <c r="AO123" s="30">
        <v>21.620833999999999</v>
      </c>
      <c r="AP123" s="30">
        <v>21.613015999999998</v>
      </c>
      <c r="AQ123" s="30">
        <v>21.617653000000001</v>
      </c>
      <c r="AR123" s="30">
        <v>21.620307</v>
      </c>
      <c r="AS123" s="30">
        <v>21.617842</v>
      </c>
      <c r="AT123" s="30">
        <v>21.627040000000001</v>
      </c>
      <c r="AU123" s="30">
        <v>21.617659</v>
      </c>
      <c r="AV123" s="30">
        <v>21.618614999999998</v>
      </c>
      <c r="AW123" s="30">
        <v>21.616854</v>
      </c>
    </row>
    <row r="124" spans="1:49" ht="18" customHeight="1" thickBot="1">
      <c r="A124" s="21"/>
      <c r="B124" s="11"/>
      <c r="C124" s="81" t="s">
        <v>115</v>
      </c>
      <c r="D124" s="56" t="s">
        <v>309</v>
      </c>
      <c r="E124" s="35"/>
      <c r="F124" s="57"/>
      <c r="G124" s="58">
        <v>0</v>
      </c>
      <c r="H124" s="58">
        <v>0</v>
      </c>
      <c r="I124" s="58">
        <v>0.1</v>
      </c>
      <c r="J124" s="58">
        <v>0</v>
      </c>
      <c r="K124" s="58">
        <v>0.1</v>
      </c>
      <c r="L124" s="59">
        <f t="shared" si="4"/>
        <v>-3.2000000000000001E-2</v>
      </c>
      <c r="M124" s="59">
        <f t="shared" si="5"/>
        <v>-0.104</v>
      </c>
      <c r="N124" s="59">
        <f t="shared" si="6"/>
        <v>7.1999999999999995E-2</v>
      </c>
      <c r="O124" s="60">
        <f t="shared" si="7"/>
        <v>-5.9321428571428587E-2</v>
      </c>
      <c r="P124" s="53"/>
      <c r="Q124" s="30">
        <v>-5.7000000000000002E-2</v>
      </c>
      <c r="R124" s="30">
        <v>-6.6000000000000003E-2</v>
      </c>
      <c r="S124" s="30">
        <v>-6.4000000000000001E-2</v>
      </c>
      <c r="T124" s="30">
        <v>-6.7000000000000004E-2</v>
      </c>
      <c r="U124" s="30">
        <v>-6.5000000000000002E-2</v>
      </c>
      <c r="V124" s="30">
        <v>-6.5000000000000002E-2</v>
      </c>
      <c r="W124" s="30">
        <v>-6.7000000000000004E-2</v>
      </c>
      <c r="X124" s="30">
        <v>-7.1999999999999995E-2</v>
      </c>
      <c r="Y124" s="30">
        <v>-6.7000000000000004E-2</v>
      </c>
      <c r="Z124" s="30">
        <v>-6.6000000000000003E-2</v>
      </c>
      <c r="AA124" s="30">
        <v>-5.0999999999999997E-2</v>
      </c>
      <c r="AB124" s="30">
        <v>-6.4000000000000001E-2</v>
      </c>
      <c r="AC124" s="30">
        <v>-6.6000000000000003E-2</v>
      </c>
      <c r="AD124" s="30">
        <v>-4.9000000000000002E-2</v>
      </c>
      <c r="AE124" s="30">
        <v>-6.5000000000000002E-2</v>
      </c>
      <c r="AF124" s="30"/>
      <c r="AG124" s="30"/>
      <c r="AH124" s="30">
        <v>-0.104</v>
      </c>
      <c r="AI124" s="30">
        <v>-0.05</v>
      </c>
      <c r="AJ124" s="30">
        <v>-6.3E-2</v>
      </c>
      <c r="AK124" s="30">
        <v>-5.0999999999999997E-2</v>
      </c>
      <c r="AL124" s="30">
        <v>-0.06</v>
      </c>
      <c r="AM124" s="30">
        <v>-5.8000000000000003E-2</v>
      </c>
      <c r="AN124" s="30">
        <v>-3.2000000000000001E-2</v>
      </c>
      <c r="AO124" s="30">
        <v>-3.2000000000000001E-2</v>
      </c>
      <c r="AP124" s="30">
        <v>-4.4999999999999998E-2</v>
      </c>
      <c r="AQ124" s="30">
        <v>-5.3999999999999999E-2</v>
      </c>
      <c r="AR124" s="30">
        <v>-5.0999999999999997E-2</v>
      </c>
      <c r="AS124" s="30">
        <v>-5.6000000000000001E-2</v>
      </c>
      <c r="AT124" s="30">
        <v>-5.3999999999999999E-2</v>
      </c>
      <c r="AU124" s="30">
        <v>-0.06</v>
      </c>
      <c r="AV124" s="30">
        <v>-7.3999999999999996E-2</v>
      </c>
      <c r="AW124" s="30">
        <v>-8.4000000000000005E-2</v>
      </c>
    </row>
    <row r="125" spans="1:49" ht="18" customHeight="1">
      <c r="A125" s="24"/>
      <c r="B125" s="20" t="s">
        <v>310</v>
      </c>
      <c r="C125" s="74" t="s">
        <v>65</v>
      </c>
      <c r="D125" s="34" t="s">
        <v>311</v>
      </c>
      <c r="E125" s="34"/>
      <c r="F125" s="26" t="s">
        <v>67</v>
      </c>
      <c r="G125" s="37">
        <v>80</v>
      </c>
      <c r="H125" s="37">
        <v>0.1</v>
      </c>
      <c r="I125" s="37">
        <v>0.1</v>
      </c>
      <c r="J125" s="37">
        <v>0.2</v>
      </c>
      <c r="K125" s="37">
        <v>0.1</v>
      </c>
      <c r="L125" s="27">
        <f t="shared" si="4"/>
        <v>80.012</v>
      </c>
      <c r="M125" s="27">
        <f t="shared" si="5"/>
        <v>79.972999999999999</v>
      </c>
      <c r="N125" s="27">
        <f t="shared" si="6"/>
        <v>3.9000000000001478E-2</v>
      </c>
      <c r="O125" s="28">
        <f t="shared" si="7"/>
        <v>79.990964285714298</v>
      </c>
      <c r="P125" s="51"/>
      <c r="Q125" s="30">
        <v>79.984999999999999</v>
      </c>
      <c r="R125" s="30">
        <v>79.983999999999995</v>
      </c>
      <c r="S125" s="30">
        <v>79.986000000000004</v>
      </c>
      <c r="T125" s="30">
        <v>79.986000000000004</v>
      </c>
      <c r="U125" s="30">
        <v>79.984999999999999</v>
      </c>
      <c r="V125" s="30">
        <v>79.989999999999995</v>
      </c>
      <c r="W125" s="30">
        <v>79.994</v>
      </c>
      <c r="X125" s="30">
        <v>80.004000000000005</v>
      </c>
      <c r="Y125" s="30">
        <v>79.994</v>
      </c>
      <c r="Z125" s="30">
        <v>80.007000000000005</v>
      </c>
      <c r="AA125" s="30">
        <v>80.004999999999995</v>
      </c>
      <c r="AB125" s="30">
        <v>80.012</v>
      </c>
      <c r="AC125" s="30">
        <v>80.007999999999996</v>
      </c>
      <c r="AD125" s="30">
        <v>80.004000000000005</v>
      </c>
      <c r="AE125" s="30">
        <v>80.010000000000005</v>
      </c>
      <c r="AF125" s="30"/>
      <c r="AG125" s="30"/>
      <c r="AH125" s="30">
        <v>79.986000000000004</v>
      </c>
      <c r="AI125" s="30">
        <v>79.986000000000004</v>
      </c>
      <c r="AJ125" s="30">
        <v>79.991</v>
      </c>
      <c r="AK125" s="30">
        <v>79.978999999999999</v>
      </c>
      <c r="AL125" s="30">
        <v>79.986000000000004</v>
      </c>
      <c r="AM125" s="30">
        <v>79.98</v>
      </c>
      <c r="AN125" s="30">
        <v>79.989000000000004</v>
      </c>
      <c r="AO125" s="30">
        <v>79.972999999999999</v>
      </c>
      <c r="AP125" s="30">
        <v>79.978999999999999</v>
      </c>
      <c r="AQ125" s="30">
        <v>79.986999999999995</v>
      </c>
      <c r="AR125" s="30">
        <v>79.983999999999995</v>
      </c>
      <c r="AS125" s="30">
        <v>79.992000000000004</v>
      </c>
      <c r="AT125" s="30">
        <v>79.980999999999995</v>
      </c>
      <c r="AU125" s="30">
        <v>80</v>
      </c>
      <c r="AV125" s="30">
        <v>80.003</v>
      </c>
      <c r="AW125" s="30">
        <v>80.009</v>
      </c>
    </row>
    <row r="126" spans="1:49" ht="18" customHeight="1">
      <c r="A126" s="23"/>
      <c r="B126" s="19"/>
      <c r="C126" s="75" t="s">
        <v>65</v>
      </c>
      <c r="D126" s="35" t="s">
        <v>68</v>
      </c>
      <c r="E126" s="35"/>
      <c r="F126" s="29" t="s">
        <v>69</v>
      </c>
      <c r="G126" s="38">
        <v>73.31</v>
      </c>
      <c r="H126" s="38">
        <v>0.09</v>
      </c>
      <c r="I126" s="38">
        <v>0.06</v>
      </c>
      <c r="J126" s="38">
        <v>0.09</v>
      </c>
      <c r="K126" s="38">
        <v>0.06</v>
      </c>
      <c r="L126" s="30">
        <f t="shared" si="4"/>
        <v>73.376999999999995</v>
      </c>
      <c r="M126" s="30">
        <f t="shared" si="5"/>
        <v>73.343999999999994</v>
      </c>
      <c r="N126" s="30">
        <f t="shared" si="6"/>
        <v>3.3000000000001251E-2</v>
      </c>
      <c r="O126" s="31">
        <f t="shared" si="7"/>
        <v>73.358071428571421</v>
      </c>
      <c r="P126" s="52"/>
      <c r="Q126" s="30">
        <v>73.361000000000004</v>
      </c>
      <c r="R126" s="30">
        <v>73.356999999999999</v>
      </c>
      <c r="S126" s="30">
        <v>73.356999999999999</v>
      </c>
      <c r="T126" s="30">
        <v>73.355000000000004</v>
      </c>
      <c r="U126" s="30">
        <v>73.355999999999995</v>
      </c>
      <c r="V126" s="30">
        <v>73.364999999999995</v>
      </c>
      <c r="W126" s="30">
        <v>73.36</v>
      </c>
      <c r="X126" s="30">
        <v>73.358000000000004</v>
      </c>
      <c r="Y126" s="30">
        <v>73.367999999999995</v>
      </c>
      <c r="Z126" s="30">
        <v>73.343999999999994</v>
      </c>
      <c r="AA126" s="30">
        <v>73.367000000000004</v>
      </c>
      <c r="AB126" s="30">
        <v>73.376999999999995</v>
      </c>
      <c r="AC126" s="30">
        <v>73.369</v>
      </c>
      <c r="AD126" s="30">
        <v>73.372</v>
      </c>
      <c r="AE126" s="30">
        <v>73.375</v>
      </c>
      <c r="AF126" s="30"/>
      <c r="AG126" s="30"/>
      <c r="AH126" s="30">
        <v>73.355000000000004</v>
      </c>
      <c r="AI126" s="30">
        <v>73.355999999999995</v>
      </c>
      <c r="AJ126" s="30">
        <v>73.355000000000004</v>
      </c>
      <c r="AK126" s="30">
        <v>73.347999999999999</v>
      </c>
      <c r="AL126" s="30">
        <v>73.355999999999995</v>
      </c>
      <c r="AM126" s="30">
        <v>73.355000000000004</v>
      </c>
      <c r="AN126" s="30">
        <v>73.346000000000004</v>
      </c>
      <c r="AO126" s="30">
        <v>73.349000000000004</v>
      </c>
      <c r="AP126" s="30">
        <v>73.355000000000004</v>
      </c>
      <c r="AQ126" s="30">
        <v>73.349000000000004</v>
      </c>
      <c r="AR126" s="30">
        <v>73.349000000000004</v>
      </c>
      <c r="AS126" s="30">
        <v>73.364000000000004</v>
      </c>
      <c r="AT126" s="30">
        <v>73.347999999999999</v>
      </c>
      <c r="AU126" s="30">
        <v>73.369</v>
      </c>
      <c r="AV126" s="30">
        <v>73.369</v>
      </c>
      <c r="AW126" s="30">
        <v>73.346000000000004</v>
      </c>
    </row>
    <row r="127" spans="1:49" ht="18" customHeight="1">
      <c r="A127" s="23"/>
      <c r="B127" s="19"/>
      <c r="C127" s="75" t="s">
        <v>65</v>
      </c>
      <c r="D127" s="35" t="s">
        <v>70</v>
      </c>
      <c r="E127" s="35"/>
      <c r="F127" s="29" t="s">
        <v>71</v>
      </c>
      <c r="G127" s="38"/>
      <c r="H127" s="38">
        <v>0.08</v>
      </c>
      <c r="I127" s="38"/>
      <c r="J127" s="38">
        <v>0.08</v>
      </c>
      <c r="K127" s="38"/>
      <c r="L127" s="30">
        <f t="shared" si="4"/>
        <v>1.7999999999999999E-2</v>
      </c>
      <c r="M127" s="30">
        <f t="shared" si="5"/>
        <v>2E-3</v>
      </c>
      <c r="N127" s="30">
        <f t="shared" si="6"/>
        <v>1.6E-2</v>
      </c>
      <c r="O127" s="31">
        <f t="shared" si="7"/>
        <v>1.003571428571429E-2</v>
      </c>
      <c r="P127" s="52"/>
      <c r="Q127" s="30">
        <v>0.01</v>
      </c>
      <c r="R127" s="30">
        <v>4.0000000000000001E-3</v>
      </c>
      <c r="S127" s="30">
        <v>7.0000000000000001E-3</v>
      </c>
      <c r="T127" s="30">
        <v>7.0000000000000001E-3</v>
      </c>
      <c r="U127" s="30">
        <v>6.0000000000000001E-3</v>
      </c>
      <c r="V127" s="30">
        <v>8.0000000000000002E-3</v>
      </c>
      <c r="W127" s="30">
        <v>8.9999999999999993E-3</v>
      </c>
      <c r="X127" s="30">
        <v>0.01</v>
      </c>
      <c r="Y127" s="30">
        <v>8.0000000000000002E-3</v>
      </c>
      <c r="Z127" s="30">
        <v>2E-3</v>
      </c>
      <c r="AA127" s="30">
        <v>8.9999999999999993E-3</v>
      </c>
      <c r="AB127" s="30">
        <v>8.0000000000000002E-3</v>
      </c>
      <c r="AC127" s="30">
        <v>7.0000000000000001E-3</v>
      </c>
      <c r="AD127" s="30">
        <v>1.7999999999999999E-2</v>
      </c>
      <c r="AE127" s="30">
        <v>0.01</v>
      </c>
      <c r="AF127" s="30"/>
      <c r="AG127" s="30"/>
      <c r="AH127" s="30">
        <v>8.0000000000000002E-3</v>
      </c>
      <c r="AI127" s="30">
        <v>1.4E-2</v>
      </c>
      <c r="AJ127" s="30">
        <v>8.0000000000000002E-3</v>
      </c>
      <c r="AK127" s="30">
        <v>8.9999999999999993E-3</v>
      </c>
      <c r="AL127" s="30">
        <v>1.4E-2</v>
      </c>
      <c r="AM127" s="30">
        <v>1.2999999999999999E-2</v>
      </c>
      <c r="AN127" s="30">
        <v>1.2E-2</v>
      </c>
      <c r="AO127" s="30">
        <v>1.2999999999999999E-2</v>
      </c>
      <c r="AP127" s="30">
        <v>1.4999999999999999E-2</v>
      </c>
      <c r="AQ127" s="30">
        <v>1.2999999999999999E-2</v>
      </c>
      <c r="AR127" s="30">
        <v>1.2999999999999999E-2</v>
      </c>
      <c r="AS127" s="30">
        <v>1.0999999999999999E-2</v>
      </c>
      <c r="AT127" s="30">
        <v>1.4999999999999999E-2</v>
      </c>
      <c r="AU127" s="30">
        <v>1.4999999999999999E-2</v>
      </c>
      <c r="AV127" s="30">
        <v>6.0000000000000001E-3</v>
      </c>
      <c r="AW127" s="30">
        <v>8.0000000000000002E-3</v>
      </c>
    </row>
    <row r="128" spans="1:49" ht="18" customHeight="1">
      <c r="A128" s="23"/>
      <c r="B128" s="19"/>
      <c r="C128" s="75" t="s">
        <v>65</v>
      </c>
      <c r="D128" s="35" t="s">
        <v>72</v>
      </c>
      <c r="E128" s="35" t="s">
        <v>312</v>
      </c>
      <c r="F128" s="29" t="s">
        <v>74</v>
      </c>
      <c r="G128" s="38">
        <v>80</v>
      </c>
      <c r="H128" s="38">
        <v>0.1</v>
      </c>
      <c r="I128" s="38">
        <v>0.1</v>
      </c>
      <c r="J128" s="38">
        <v>0.1</v>
      </c>
      <c r="K128" s="38">
        <v>0.1</v>
      </c>
      <c r="L128" s="30">
        <f t="shared" si="4"/>
        <v>80.078000000000003</v>
      </c>
      <c r="M128" s="30">
        <f t="shared" si="5"/>
        <v>80.028999999999996</v>
      </c>
      <c r="N128" s="30">
        <f t="shared" si="6"/>
        <v>4.9000000000006594E-2</v>
      </c>
      <c r="O128" s="31">
        <f t="shared" si="7"/>
        <v>80.049821428571406</v>
      </c>
      <c r="P128" s="52"/>
      <c r="Q128" s="30">
        <v>80.039000000000001</v>
      </c>
      <c r="R128" s="30">
        <v>80.043000000000006</v>
      </c>
      <c r="S128" s="30">
        <v>80.033000000000001</v>
      </c>
      <c r="T128" s="30">
        <v>80.040999999999997</v>
      </c>
      <c r="U128" s="30">
        <v>80.040999999999997</v>
      </c>
      <c r="V128" s="30">
        <v>80.040000000000006</v>
      </c>
      <c r="W128" s="30">
        <v>80.052000000000007</v>
      </c>
      <c r="X128" s="30">
        <v>80.061000000000007</v>
      </c>
      <c r="Y128" s="30">
        <v>80.055000000000007</v>
      </c>
      <c r="Z128" s="30">
        <v>80.072000000000003</v>
      </c>
      <c r="AA128" s="30">
        <v>80.061999999999998</v>
      </c>
      <c r="AB128" s="30">
        <v>80.061999999999998</v>
      </c>
      <c r="AC128" s="30">
        <v>80.075000000000003</v>
      </c>
      <c r="AD128" s="30">
        <v>80.061000000000007</v>
      </c>
      <c r="AE128" s="30">
        <v>80.078000000000003</v>
      </c>
      <c r="AF128" s="30"/>
      <c r="AG128" s="30"/>
      <c r="AH128" s="30">
        <v>80.051000000000002</v>
      </c>
      <c r="AI128" s="30">
        <v>80.052000000000007</v>
      </c>
      <c r="AJ128" s="30">
        <v>80.052999999999997</v>
      </c>
      <c r="AK128" s="30">
        <v>80.039000000000001</v>
      </c>
      <c r="AL128" s="30">
        <v>80.052000000000007</v>
      </c>
      <c r="AM128" s="30">
        <v>80.045000000000002</v>
      </c>
      <c r="AN128" s="30">
        <v>80.033000000000001</v>
      </c>
      <c r="AO128" s="30">
        <v>80.028999999999996</v>
      </c>
      <c r="AP128" s="30">
        <v>80.039000000000001</v>
      </c>
      <c r="AQ128" s="30">
        <v>80.042000000000002</v>
      </c>
      <c r="AR128" s="30">
        <v>80.058999999999997</v>
      </c>
      <c r="AS128" s="30">
        <v>80.052000000000007</v>
      </c>
      <c r="AT128" s="30">
        <v>80.034000000000006</v>
      </c>
      <c r="AU128" s="30">
        <v>80.066999999999993</v>
      </c>
      <c r="AV128" s="30">
        <v>80.063000000000002</v>
      </c>
      <c r="AW128" s="30">
        <v>80.076999999999998</v>
      </c>
    </row>
    <row r="129" spans="1:49" ht="18" customHeight="1">
      <c r="A129" s="23"/>
      <c r="B129" s="19"/>
      <c r="C129" s="75" t="s">
        <v>65</v>
      </c>
      <c r="D129" s="35" t="s">
        <v>75</v>
      </c>
      <c r="E129" s="35"/>
      <c r="F129" s="29" t="s">
        <v>76</v>
      </c>
      <c r="G129" s="38">
        <v>80</v>
      </c>
      <c r="H129" s="38">
        <v>0.1</v>
      </c>
      <c r="I129" s="38">
        <v>0.1</v>
      </c>
      <c r="J129" s="38">
        <v>0.1</v>
      </c>
      <c r="K129" s="38">
        <v>0.1</v>
      </c>
      <c r="L129" s="30">
        <f t="shared" si="4"/>
        <v>80.055000000000007</v>
      </c>
      <c r="M129" s="30">
        <f t="shared" si="5"/>
        <v>80.021000000000001</v>
      </c>
      <c r="N129" s="30">
        <f t="shared" si="6"/>
        <v>3.4000000000006025E-2</v>
      </c>
      <c r="O129" s="31">
        <f t="shared" si="7"/>
        <v>80.037285714285744</v>
      </c>
      <c r="P129" s="52"/>
      <c r="Q129" s="30">
        <v>80.036000000000001</v>
      </c>
      <c r="R129" s="30">
        <v>80.033000000000001</v>
      </c>
      <c r="S129" s="30">
        <v>80.034000000000006</v>
      </c>
      <c r="T129" s="30">
        <v>80.033000000000001</v>
      </c>
      <c r="U129" s="30">
        <v>80.031999999999996</v>
      </c>
      <c r="V129" s="30">
        <v>80.042000000000002</v>
      </c>
      <c r="W129" s="30">
        <v>80.040000000000006</v>
      </c>
      <c r="X129" s="30">
        <v>80.055000000000007</v>
      </c>
      <c r="Y129" s="30">
        <v>80.045000000000002</v>
      </c>
      <c r="Z129" s="30">
        <v>80.031000000000006</v>
      </c>
      <c r="AA129" s="30">
        <v>80.051000000000002</v>
      </c>
      <c r="AB129" s="30">
        <v>80.051000000000002</v>
      </c>
      <c r="AC129" s="30">
        <v>80.046000000000006</v>
      </c>
      <c r="AD129" s="30">
        <v>80.05</v>
      </c>
      <c r="AE129" s="30">
        <v>80.055000000000007</v>
      </c>
      <c r="AF129" s="30"/>
      <c r="AG129" s="30"/>
      <c r="AH129" s="30">
        <v>80.028999999999996</v>
      </c>
      <c r="AI129" s="30">
        <v>80.036000000000001</v>
      </c>
      <c r="AJ129" s="30">
        <v>80.039000000000001</v>
      </c>
      <c r="AK129" s="30">
        <v>80.025999999999996</v>
      </c>
      <c r="AL129" s="30">
        <v>80.036000000000001</v>
      </c>
      <c r="AM129" s="30">
        <v>80.034999999999997</v>
      </c>
      <c r="AN129" s="30">
        <v>80.028000000000006</v>
      </c>
      <c r="AO129" s="30">
        <v>80.025999999999996</v>
      </c>
      <c r="AP129" s="30">
        <v>80.040999999999997</v>
      </c>
      <c r="AQ129" s="30">
        <v>80.024000000000001</v>
      </c>
      <c r="AR129" s="30">
        <v>80.022000000000006</v>
      </c>
      <c r="AS129" s="30">
        <v>80.046999999999997</v>
      </c>
      <c r="AT129" s="30">
        <v>80.021000000000001</v>
      </c>
      <c r="AU129" s="30">
        <v>80.063999999999993</v>
      </c>
      <c r="AV129" s="30">
        <v>80.057000000000002</v>
      </c>
      <c r="AW129" s="30">
        <v>80.052000000000007</v>
      </c>
    </row>
    <row r="130" spans="1:49" ht="18" customHeight="1">
      <c r="A130" s="23"/>
      <c r="B130" s="19"/>
      <c r="C130" s="76" t="s">
        <v>77</v>
      </c>
      <c r="D130" s="35" t="s">
        <v>78</v>
      </c>
      <c r="E130" s="35"/>
      <c r="F130" s="29" t="s">
        <v>79</v>
      </c>
      <c r="G130" s="38">
        <v>3.75</v>
      </c>
      <c r="H130" s="38">
        <v>0.08</v>
      </c>
      <c r="I130" s="38">
        <v>0.05</v>
      </c>
      <c r="J130" s="38">
        <v>0.08</v>
      </c>
      <c r="K130" s="38">
        <v>0.05</v>
      </c>
      <c r="L130" s="30">
        <f t="shared" si="4"/>
        <v>3.7909999999999999</v>
      </c>
      <c r="M130" s="30">
        <f t="shared" si="5"/>
        <v>3.766</v>
      </c>
      <c r="N130" s="30">
        <f t="shared" si="6"/>
        <v>2.4999999999999911E-2</v>
      </c>
      <c r="O130" s="31">
        <f t="shared" si="7"/>
        <v>3.7756071428571434</v>
      </c>
      <c r="P130" s="52"/>
      <c r="Q130" s="30">
        <v>3.7829999999999999</v>
      </c>
      <c r="R130" s="30">
        <v>3.7730000000000001</v>
      </c>
      <c r="S130" s="30">
        <v>3.7789999999999999</v>
      </c>
      <c r="T130" s="30">
        <v>3.778</v>
      </c>
      <c r="U130" s="30">
        <v>3.78</v>
      </c>
      <c r="V130" s="30">
        <v>3.7719999999999998</v>
      </c>
      <c r="W130" s="30">
        <v>3.7730000000000001</v>
      </c>
      <c r="X130" s="30">
        <v>3.7839999999999998</v>
      </c>
      <c r="Y130" s="30">
        <v>3.7749999999999999</v>
      </c>
      <c r="Z130" s="30">
        <v>3.79</v>
      </c>
      <c r="AA130" s="30">
        <v>3.7669999999999999</v>
      </c>
      <c r="AB130" s="30">
        <v>3.77</v>
      </c>
      <c r="AC130" s="30">
        <v>3.7709999999999999</v>
      </c>
      <c r="AD130" s="30">
        <v>3.7679999999999998</v>
      </c>
      <c r="AE130" s="30">
        <v>3.7879999999999998</v>
      </c>
      <c r="AF130" s="30"/>
      <c r="AG130" s="30"/>
      <c r="AH130" s="30">
        <v>3.7669999999999999</v>
      </c>
      <c r="AI130" s="30">
        <v>3.7749999999999999</v>
      </c>
      <c r="AJ130" s="30">
        <v>3.7690000000000001</v>
      </c>
      <c r="AK130" s="30">
        <v>3.7730000000000001</v>
      </c>
      <c r="AL130" s="30">
        <v>3.7730000000000001</v>
      </c>
      <c r="AM130" s="30">
        <v>3.7890000000000001</v>
      </c>
      <c r="AN130" s="30">
        <v>3.774</v>
      </c>
      <c r="AO130" s="30">
        <v>3.7730000000000001</v>
      </c>
      <c r="AP130" s="30">
        <v>3.7909999999999999</v>
      </c>
      <c r="AQ130" s="30">
        <v>3.7690000000000001</v>
      </c>
      <c r="AR130" s="30">
        <v>3.766</v>
      </c>
      <c r="AS130" s="30">
        <v>3.7730000000000001</v>
      </c>
      <c r="AT130" s="30">
        <v>3.774</v>
      </c>
      <c r="AU130" s="30">
        <v>3.766</v>
      </c>
      <c r="AV130" s="30">
        <v>3.782</v>
      </c>
      <c r="AW130" s="30">
        <v>3.7879999999999998</v>
      </c>
    </row>
    <row r="131" spans="1:49" ht="18" customHeight="1">
      <c r="A131" s="23"/>
      <c r="B131" s="19"/>
      <c r="C131" s="76" t="s">
        <v>77</v>
      </c>
      <c r="D131" s="35" t="s">
        <v>80</v>
      </c>
      <c r="E131" s="35"/>
      <c r="F131" s="29" t="s">
        <v>81</v>
      </c>
      <c r="G131" s="38">
        <v>3.75</v>
      </c>
      <c r="H131" s="38">
        <v>0.08</v>
      </c>
      <c r="I131" s="38">
        <v>0.05</v>
      </c>
      <c r="J131" s="38">
        <v>0.08</v>
      </c>
      <c r="K131" s="38">
        <v>0.05</v>
      </c>
      <c r="L131" s="30">
        <f t="shared" si="4"/>
        <v>3.8050000000000002</v>
      </c>
      <c r="M131" s="30">
        <f t="shared" si="5"/>
        <v>3.7650000000000001</v>
      </c>
      <c r="N131" s="30">
        <f t="shared" si="6"/>
        <v>4.0000000000000036E-2</v>
      </c>
      <c r="O131" s="31">
        <f t="shared" si="7"/>
        <v>3.7744642857142856</v>
      </c>
      <c r="P131" s="52"/>
      <c r="Q131" s="30">
        <v>3.766</v>
      </c>
      <c r="R131" s="30">
        <v>3.7650000000000001</v>
      </c>
      <c r="S131" s="30">
        <v>3.7690000000000001</v>
      </c>
      <c r="T131" s="30">
        <v>3.77</v>
      </c>
      <c r="U131" s="30">
        <v>3.79</v>
      </c>
      <c r="V131" s="30">
        <v>3.786</v>
      </c>
      <c r="W131" s="30">
        <v>3.7749999999999999</v>
      </c>
      <c r="X131" s="30">
        <v>3.7810000000000001</v>
      </c>
      <c r="Y131" s="30">
        <v>3.774</v>
      </c>
      <c r="Z131" s="30">
        <v>3.8050000000000002</v>
      </c>
      <c r="AA131" s="30">
        <v>3.7679999999999998</v>
      </c>
      <c r="AB131" s="30">
        <v>3.766</v>
      </c>
      <c r="AC131" s="30">
        <v>3.7669999999999999</v>
      </c>
      <c r="AD131" s="30">
        <v>3.7749999999999999</v>
      </c>
      <c r="AE131" s="30">
        <v>3.778</v>
      </c>
      <c r="AF131" s="30"/>
      <c r="AG131" s="30"/>
      <c r="AH131" s="30">
        <v>3.786</v>
      </c>
      <c r="AI131" s="30">
        <v>3.7749999999999999</v>
      </c>
      <c r="AJ131" s="30">
        <v>3.7719999999999998</v>
      </c>
      <c r="AK131" s="30">
        <v>3.774</v>
      </c>
      <c r="AL131" s="30">
        <v>3.7650000000000001</v>
      </c>
      <c r="AM131" s="30">
        <v>3.7850000000000001</v>
      </c>
      <c r="AN131" s="30">
        <v>3.782</v>
      </c>
      <c r="AO131" s="30">
        <v>3.7650000000000001</v>
      </c>
      <c r="AP131" s="30">
        <v>3.7650000000000001</v>
      </c>
      <c r="AQ131" s="30">
        <v>3.7730000000000001</v>
      </c>
      <c r="AR131" s="30">
        <v>3.7690000000000001</v>
      </c>
      <c r="AS131" s="30">
        <v>3.774</v>
      </c>
      <c r="AT131" s="30">
        <v>3.7650000000000001</v>
      </c>
      <c r="AU131" s="30">
        <v>3.7669999999999999</v>
      </c>
      <c r="AV131" s="30">
        <v>3.7730000000000001</v>
      </c>
      <c r="AW131" s="30">
        <v>3.7869999999999999</v>
      </c>
    </row>
    <row r="132" spans="1:49" ht="18" customHeight="1">
      <c r="A132" s="23"/>
      <c r="B132" s="19"/>
      <c r="C132" s="76" t="s">
        <v>77</v>
      </c>
      <c r="D132" s="35" t="s">
        <v>82</v>
      </c>
      <c r="E132" s="35"/>
      <c r="F132" s="29" t="s">
        <v>83</v>
      </c>
      <c r="G132" s="38">
        <v>3.75</v>
      </c>
      <c r="H132" s="38">
        <v>0.08</v>
      </c>
      <c r="I132" s="38">
        <v>0.05</v>
      </c>
      <c r="J132" s="38">
        <v>0.08</v>
      </c>
      <c r="K132" s="38">
        <v>0.05</v>
      </c>
      <c r="L132" s="30">
        <f t="shared" si="4"/>
        <v>3.8130000000000002</v>
      </c>
      <c r="M132" s="30">
        <f t="shared" si="5"/>
        <v>3.77</v>
      </c>
      <c r="N132" s="30">
        <f t="shared" si="6"/>
        <v>4.3000000000000149E-2</v>
      </c>
      <c r="O132" s="31">
        <f t="shared" si="7"/>
        <v>3.7813571428571433</v>
      </c>
      <c r="P132" s="52"/>
      <c r="Q132" s="30">
        <v>3.78</v>
      </c>
      <c r="R132" s="30">
        <v>3.7759999999999998</v>
      </c>
      <c r="S132" s="30">
        <v>3.78</v>
      </c>
      <c r="T132" s="30">
        <v>3.7829999999999999</v>
      </c>
      <c r="U132" s="30">
        <v>3.7719999999999998</v>
      </c>
      <c r="V132" s="30">
        <v>3.77</v>
      </c>
      <c r="W132" s="30">
        <v>3.7839999999999998</v>
      </c>
      <c r="X132" s="30">
        <v>3.7909999999999999</v>
      </c>
      <c r="Y132" s="30">
        <v>3.7789999999999999</v>
      </c>
      <c r="Z132" s="30">
        <v>3.8130000000000002</v>
      </c>
      <c r="AA132" s="30">
        <v>3.774</v>
      </c>
      <c r="AB132" s="30">
        <v>3.7810000000000001</v>
      </c>
      <c r="AC132" s="30">
        <v>3.7810000000000001</v>
      </c>
      <c r="AD132" s="30">
        <v>3.7770000000000001</v>
      </c>
      <c r="AE132" s="30">
        <v>3.7810000000000001</v>
      </c>
      <c r="AF132" s="30"/>
      <c r="AG132" s="30"/>
      <c r="AH132" s="30">
        <v>3.7730000000000001</v>
      </c>
      <c r="AI132" s="30">
        <v>3.7890000000000001</v>
      </c>
      <c r="AJ132" s="30">
        <v>3.7789999999999999</v>
      </c>
      <c r="AK132" s="30">
        <v>3.782</v>
      </c>
      <c r="AL132" s="30">
        <v>3.7829999999999999</v>
      </c>
      <c r="AM132" s="30">
        <v>3.7829999999999999</v>
      </c>
      <c r="AN132" s="30">
        <v>3.7829999999999999</v>
      </c>
      <c r="AO132" s="30">
        <v>3.782</v>
      </c>
      <c r="AP132" s="30">
        <v>3.774</v>
      </c>
      <c r="AQ132" s="30">
        <v>3.7810000000000001</v>
      </c>
      <c r="AR132" s="30">
        <v>3.786</v>
      </c>
      <c r="AS132" s="30">
        <v>3.78</v>
      </c>
      <c r="AT132" s="30">
        <v>3.7810000000000001</v>
      </c>
      <c r="AU132" s="30">
        <v>3.7810000000000001</v>
      </c>
      <c r="AV132" s="30">
        <v>3.778</v>
      </c>
      <c r="AW132" s="30">
        <v>3.7959999999999998</v>
      </c>
    </row>
    <row r="133" spans="1:49" ht="18" customHeight="1">
      <c r="A133" s="23"/>
      <c r="B133" s="19"/>
      <c r="C133" s="75" t="s">
        <v>65</v>
      </c>
      <c r="D133" s="35" t="s">
        <v>84</v>
      </c>
      <c r="E133" s="35"/>
      <c r="F133" s="29" t="s">
        <v>85</v>
      </c>
      <c r="G133" s="38">
        <v>80</v>
      </c>
      <c r="H133" s="38">
        <v>0.1</v>
      </c>
      <c r="I133" s="38">
        <v>0.1</v>
      </c>
      <c r="J133" s="38">
        <v>0.1</v>
      </c>
      <c r="K133" s="38">
        <v>0.1</v>
      </c>
      <c r="L133" s="30">
        <f t="shared" ref="L133:L196" si="8">MAX(Q133:AT133)</f>
        <v>79.989999999999995</v>
      </c>
      <c r="M133" s="30">
        <f t="shared" ref="M133:M196" si="9">MIN(Q133:AT133)</f>
        <v>79.951999999999998</v>
      </c>
      <c r="N133" s="30">
        <f t="shared" ref="N133:N196" si="10">L133-M133</f>
        <v>3.7999999999996703E-2</v>
      </c>
      <c r="O133" s="31">
        <f t="shared" ref="O133:O196" si="11">AVERAGE(Q133:AT133)</f>
        <v>79.969964285714269</v>
      </c>
      <c r="P133" s="52"/>
      <c r="Q133" s="30">
        <v>79.974999999999994</v>
      </c>
      <c r="R133" s="30">
        <v>79.971999999999994</v>
      </c>
      <c r="S133" s="30">
        <v>79.977000000000004</v>
      </c>
      <c r="T133" s="30">
        <v>79.968999999999994</v>
      </c>
      <c r="U133" s="30">
        <v>79.971999999999994</v>
      </c>
      <c r="V133" s="30">
        <v>79.980999999999995</v>
      </c>
      <c r="W133" s="30">
        <v>79.98</v>
      </c>
      <c r="X133" s="30">
        <v>79.989999999999995</v>
      </c>
      <c r="Y133" s="30">
        <v>79.986000000000004</v>
      </c>
      <c r="Z133" s="30">
        <v>79.978999999999999</v>
      </c>
      <c r="AA133" s="30">
        <v>79.977000000000004</v>
      </c>
      <c r="AB133" s="30">
        <v>79.98</v>
      </c>
      <c r="AC133" s="30">
        <v>79.975999999999999</v>
      </c>
      <c r="AD133" s="30">
        <v>79.978999999999999</v>
      </c>
      <c r="AE133" s="30">
        <v>79.983999999999995</v>
      </c>
      <c r="AF133" s="30"/>
      <c r="AG133" s="30"/>
      <c r="AH133" s="30">
        <v>79.959999999999994</v>
      </c>
      <c r="AI133" s="30">
        <v>79.962000000000003</v>
      </c>
      <c r="AJ133" s="30">
        <v>79.962999999999994</v>
      </c>
      <c r="AK133" s="30">
        <v>79.956999999999994</v>
      </c>
      <c r="AL133" s="30">
        <v>79.962000000000003</v>
      </c>
      <c r="AM133" s="30">
        <v>79.962999999999994</v>
      </c>
      <c r="AN133" s="30">
        <v>79.956000000000003</v>
      </c>
      <c r="AO133" s="30">
        <v>79.951999999999998</v>
      </c>
      <c r="AP133" s="30">
        <v>79.968000000000004</v>
      </c>
      <c r="AQ133" s="30">
        <v>79.954999999999998</v>
      </c>
      <c r="AR133" s="30">
        <v>79.956000000000003</v>
      </c>
      <c r="AS133" s="30">
        <v>79.975999999999999</v>
      </c>
      <c r="AT133" s="30">
        <v>79.951999999999998</v>
      </c>
      <c r="AU133" s="30">
        <v>79.983999999999995</v>
      </c>
      <c r="AV133" s="30">
        <v>79.983000000000004</v>
      </c>
      <c r="AW133" s="30">
        <v>79.974999999999994</v>
      </c>
    </row>
    <row r="134" spans="1:49" ht="18" customHeight="1">
      <c r="A134" s="23"/>
      <c r="B134" s="19"/>
      <c r="C134" s="76" t="s">
        <v>77</v>
      </c>
      <c r="D134" s="35" t="s">
        <v>86</v>
      </c>
      <c r="E134" s="35"/>
      <c r="F134" s="29" t="s">
        <v>87</v>
      </c>
      <c r="G134" s="38">
        <v>1.55</v>
      </c>
      <c r="H134" s="38">
        <v>0.03</v>
      </c>
      <c r="I134" s="38">
        <v>0.03</v>
      </c>
      <c r="J134" s="38">
        <v>0.03</v>
      </c>
      <c r="K134" s="38">
        <v>0.03</v>
      </c>
      <c r="L134" s="30">
        <f t="shared" si="8"/>
        <v>1.57</v>
      </c>
      <c r="M134" s="30">
        <f t="shared" si="9"/>
        <v>1.5529999999999999</v>
      </c>
      <c r="N134" s="30">
        <f t="shared" si="10"/>
        <v>1.7000000000000126E-2</v>
      </c>
      <c r="O134" s="31">
        <f t="shared" si="11"/>
        <v>1.5608214285714284</v>
      </c>
      <c r="P134" s="52"/>
      <c r="Q134" s="30">
        <v>1.5660000000000001</v>
      </c>
      <c r="R134" s="30">
        <v>1.56</v>
      </c>
      <c r="S134" s="30">
        <v>1.556</v>
      </c>
      <c r="T134" s="30">
        <v>1.5669999999999999</v>
      </c>
      <c r="U134" s="30">
        <v>1.556</v>
      </c>
      <c r="V134" s="30">
        <v>1.5620000000000001</v>
      </c>
      <c r="W134" s="30">
        <v>1.5609999999999999</v>
      </c>
      <c r="X134" s="30">
        <v>1.5589999999999999</v>
      </c>
      <c r="Y134" s="30">
        <v>1.5529999999999999</v>
      </c>
      <c r="Z134" s="30">
        <v>1.5620000000000001</v>
      </c>
      <c r="AA134" s="30">
        <v>1.5640000000000001</v>
      </c>
      <c r="AB134" s="30">
        <v>1.5589999999999999</v>
      </c>
      <c r="AC134" s="30">
        <v>1.5609999999999999</v>
      </c>
      <c r="AD134" s="30">
        <v>1.5669999999999999</v>
      </c>
      <c r="AE134" s="30">
        <v>1.5589999999999999</v>
      </c>
      <c r="AF134" s="30"/>
      <c r="AG134" s="30"/>
      <c r="AH134" s="30">
        <v>1.57</v>
      </c>
      <c r="AI134" s="30">
        <v>1.556</v>
      </c>
      <c r="AJ134" s="30">
        <v>1.56</v>
      </c>
      <c r="AK134" s="30">
        <v>1.56</v>
      </c>
      <c r="AL134" s="30">
        <v>1.5580000000000001</v>
      </c>
      <c r="AM134" s="30">
        <v>1.56</v>
      </c>
      <c r="AN134" s="30">
        <v>1.556</v>
      </c>
      <c r="AO134" s="30">
        <v>1.554</v>
      </c>
      <c r="AP134" s="30">
        <v>1.56</v>
      </c>
      <c r="AQ134" s="30">
        <v>1.5649999999999999</v>
      </c>
      <c r="AR134" s="30">
        <v>1.5669999999999999</v>
      </c>
      <c r="AS134" s="30">
        <v>1.5549999999999999</v>
      </c>
      <c r="AT134" s="30">
        <v>1.57</v>
      </c>
      <c r="AU134" s="30">
        <v>1.56</v>
      </c>
      <c r="AV134" s="30">
        <v>1.56</v>
      </c>
      <c r="AW134" s="30">
        <v>1.5569999999999999</v>
      </c>
    </row>
    <row r="135" spans="1:49" ht="18" customHeight="1">
      <c r="A135" s="23"/>
      <c r="B135" s="19"/>
      <c r="C135" s="76" t="s">
        <v>77</v>
      </c>
      <c r="D135" s="35" t="s">
        <v>88</v>
      </c>
      <c r="E135" s="35"/>
      <c r="F135" s="29" t="s">
        <v>89</v>
      </c>
      <c r="G135" s="38">
        <v>1.55</v>
      </c>
      <c r="H135" s="38">
        <v>0.03</v>
      </c>
      <c r="I135" s="38">
        <v>0.03</v>
      </c>
      <c r="J135" s="38">
        <v>0.03</v>
      </c>
      <c r="K135" s="38">
        <v>0.03</v>
      </c>
      <c r="L135" s="30">
        <f t="shared" si="8"/>
        <v>1.569</v>
      </c>
      <c r="M135" s="30">
        <f t="shared" si="9"/>
        <v>1.5569999999999999</v>
      </c>
      <c r="N135" s="30">
        <f t="shared" si="10"/>
        <v>1.2000000000000011E-2</v>
      </c>
      <c r="O135" s="31">
        <f t="shared" si="11"/>
        <v>1.5629285714285714</v>
      </c>
      <c r="P135" s="52"/>
      <c r="Q135" s="30">
        <v>1.5569999999999999</v>
      </c>
      <c r="R135" s="30">
        <v>1.5620000000000001</v>
      </c>
      <c r="S135" s="30">
        <v>1.5640000000000001</v>
      </c>
      <c r="T135" s="30">
        <v>1.569</v>
      </c>
      <c r="U135" s="30">
        <v>1.5620000000000001</v>
      </c>
      <c r="V135" s="30">
        <v>1.5660000000000001</v>
      </c>
      <c r="W135" s="30">
        <v>1.5649999999999999</v>
      </c>
      <c r="X135" s="30">
        <v>1.5589999999999999</v>
      </c>
      <c r="Y135" s="30">
        <v>1.5640000000000001</v>
      </c>
      <c r="Z135" s="30">
        <v>1.5609999999999999</v>
      </c>
      <c r="AA135" s="30">
        <v>1.56</v>
      </c>
      <c r="AB135" s="30">
        <v>1.5620000000000001</v>
      </c>
      <c r="AC135" s="30">
        <v>1.56</v>
      </c>
      <c r="AD135" s="30">
        <v>1.5629999999999999</v>
      </c>
      <c r="AE135" s="30">
        <v>1.5629999999999999</v>
      </c>
      <c r="AF135" s="30"/>
      <c r="AG135" s="30"/>
      <c r="AH135" s="30">
        <v>1.56</v>
      </c>
      <c r="AI135" s="30">
        <v>1.5660000000000001</v>
      </c>
      <c r="AJ135" s="30">
        <v>1.5620000000000001</v>
      </c>
      <c r="AK135" s="30">
        <v>1.5680000000000001</v>
      </c>
      <c r="AL135" s="30">
        <v>1.5620000000000001</v>
      </c>
      <c r="AM135" s="30">
        <v>1.5649999999999999</v>
      </c>
      <c r="AN135" s="30">
        <v>1.5629999999999999</v>
      </c>
      <c r="AO135" s="30">
        <v>1.5609999999999999</v>
      </c>
      <c r="AP135" s="30">
        <v>1.5649999999999999</v>
      </c>
      <c r="AQ135" s="30">
        <v>1.5629999999999999</v>
      </c>
      <c r="AR135" s="30">
        <v>1.5649999999999999</v>
      </c>
      <c r="AS135" s="30">
        <v>1.5609999999999999</v>
      </c>
      <c r="AT135" s="30">
        <v>1.5640000000000001</v>
      </c>
      <c r="AU135" s="30">
        <v>1.5640000000000001</v>
      </c>
      <c r="AV135" s="30">
        <v>1.5589999999999999</v>
      </c>
      <c r="AW135" s="30">
        <v>1.5680000000000001</v>
      </c>
    </row>
    <row r="136" spans="1:49" ht="18" customHeight="1">
      <c r="A136" s="23"/>
      <c r="B136" s="19"/>
      <c r="C136" s="76" t="s">
        <v>77</v>
      </c>
      <c r="D136" s="35" t="s">
        <v>90</v>
      </c>
      <c r="E136" s="35"/>
      <c r="F136" s="29" t="s">
        <v>91</v>
      </c>
      <c r="G136" s="38">
        <v>1.55</v>
      </c>
      <c r="H136" s="38">
        <v>0.03</v>
      </c>
      <c r="I136" s="38">
        <v>0.03</v>
      </c>
      <c r="J136" s="38">
        <v>0.03</v>
      </c>
      <c r="K136" s="38">
        <v>0.03</v>
      </c>
      <c r="L136" s="30">
        <f t="shared" si="8"/>
        <v>1.571</v>
      </c>
      <c r="M136" s="30">
        <f t="shared" si="9"/>
        <v>1.5509999999999999</v>
      </c>
      <c r="N136" s="30">
        <f t="shared" si="10"/>
        <v>2.0000000000000018E-2</v>
      </c>
      <c r="O136" s="31">
        <f t="shared" si="11"/>
        <v>1.5607142857142855</v>
      </c>
      <c r="P136" s="52"/>
      <c r="Q136" s="30">
        <v>1.5609999999999999</v>
      </c>
      <c r="R136" s="30">
        <v>1.5680000000000001</v>
      </c>
      <c r="S136" s="30">
        <v>1.5529999999999999</v>
      </c>
      <c r="T136" s="30">
        <v>1.56</v>
      </c>
      <c r="U136" s="30">
        <v>1.5660000000000001</v>
      </c>
      <c r="V136" s="30">
        <v>1.5609999999999999</v>
      </c>
      <c r="W136" s="30">
        <v>1.5609999999999999</v>
      </c>
      <c r="X136" s="30">
        <v>1.5580000000000001</v>
      </c>
      <c r="Y136" s="30">
        <v>1.5629999999999999</v>
      </c>
      <c r="Z136" s="30">
        <v>1.56</v>
      </c>
      <c r="AA136" s="30">
        <v>1.556</v>
      </c>
      <c r="AB136" s="30">
        <v>1.5629999999999999</v>
      </c>
      <c r="AC136" s="30">
        <v>1.5580000000000001</v>
      </c>
      <c r="AD136" s="30">
        <v>1.5580000000000001</v>
      </c>
      <c r="AE136" s="30">
        <v>1.5609999999999999</v>
      </c>
      <c r="AF136" s="30"/>
      <c r="AG136" s="30"/>
      <c r="AH136" s="30">
        <v>1.5649999999999999</v>
      </c>
      <c r="AI136" s="30">
        <v>1.5509999999999999</v>
      </c>
      <c r="AJ136" s="30">
        <v>1.5609999999999999</v>
      </c>
      <c r="AK136" s="30">
        <v>1.56</v>
      </c>
      <c r="AL136" s="30">
        <v>1.5589999999999999</v>
      </c>
      <c r="AM136" s="30">
        <v>1.5649999999999999</v>
      </c>
      <c r="AN136" s="30">
        <v>1.5589999999999999</v>
      </c>
      <c r="AO136" s="30">
        <v>1.5569999999999999</v>
      </c>
      <c r="AP136" s="30">
        <v>1.5660000000000001</v>
      </c>
      <c r="AQ136" s="30">
        <v>1.5620000000000001</v>
      </c>
      <c r="AR136" s="30">
        <v>1.5620000000000001</v>
      </c>
      <c r="AS136" s="30">
        <v>1.571</v>
      </c>
      <c r="AT136" s="30">
        <v>1.5549999999999999</v>
      </c>
      <c r="AU136" s="30">
        <v>1.5640000000000001</v>
      </c>
      <c r="AV136" s="30">
        <v>1.569</v>
      </c>
      <c r="AW136" s="30">
        <v>1.5620000000000001</v>
      </c>
    </row>
    <row r="137" spans="1:49" ht="18" customHeight="1">
      <c r="A137" s="23"/>
      <c r="B137" s="19"/>
      <c r="C137" s="76" t="s">
        <v>77</v>
      </c>
      <c r="D137" s="35" t="s">
        <v>92</v>
      </c>
      <c r="E137" s="35"/>
      <c r="F137" s="29" t="s">
        <v>93</v>
      </c>
      <c r="G137" s="38">
        <v>1.55</v>
      </c>
      <c r="H137" s="38">
        <v>0.03</v>
      </c>
      <c r="I137" s="38">
        <v>0.03</v>
      </c>
      <c r="J137" s="38">
        <v>0.03</v>
      </c>
      <c r="K137" s="38">
        <v>0.03</v>
      </c>
      <c r="L137" s="30">
        <f t="shared" si="8"/>
        <v>1.5629999999999999</v>
      </c>
      <c r="M137" s="30">
        <f t="shared" si="9"/>
        <v>1.544</v>
      </c>
      <c r="N137" s="30">
        <f t="shared" si="10"/>
        <v>1.8999999999999906E-2</v>
      </c>
      <c r="O137" s="31">
        <f t="shared" si="11"/>
        <v>1.5573571428571429</v>
      </c>
      <c r="P137" s="52"/>
      <c r="Q137" s="30">
        <v>1.5569999999999999</v>
      </c>
      <c r="R137" s="30">
        <v>1.556</v>
      </c>
      <c r="S137" s="30">
        <v>1.5620000000000001</v>
      </c>
      <c r="T137" s="30">
        <v>1.56</v>
      </c>
      <c r="U137" s="30">
        <v>1.5629999999999999</v>
      </c>
      <c r="V137" s="30">
        <v>1.5609999999999999</v>
      </c>
      <c r="W137" s="30">
        <v>1.5609999999999999</v>
      </c>
      <c r="X137" s="30">
        <v>1.556</v>
      </c>
      <c r="Y137" s="30">
        <v>1.554</v>
      </c>
      <c r="Z137" s="30">
        <v>1.5589999999999999</v>
      </c>
      <c r="AA137" s="30">
        <v>1.556</v>
      </c>
      <c r="AB137" s="30">
        <v>1.544</v>
      </c>
      <c r="AC137" s="30">
        <v>1.5569999999999999</v>
      </c>
      <c r="AD137" s="30">
        <v>1.554</v>
      </c>
      <c r="AE137" s="30">
        <v>1.5529999999999999</v>
      </c>
      <c r="AF137" s="30"/>
      <c r="AG137" s="30"/>
      <c r="AH137" s="30">
        <v>1.5589999999999999</v>
      </c>
      <c r="AI137" s="30">
        <v>1.5620000000000001</v>
      </c>
      <c r="AJ137" s="30">
        <v>1.556</v>
      </c>
      <c r="AK137" s="30">
        <v>1.5620000000000001</v>
      </c>
      <c r="AL137" s="30">
        <v>1.56</v>
      </c>
      <c r="AM137" s="30">
        <v>1.5629999999999999</v>
      </c>
      <c r="AN137" s="30">
        <v>1.5580000000000001</v>
      </c>
      <c r="AO137" s="30">
        <v>1.552</v>
      </c>
      <c r="AP137" s="30">
        <v>1.5529999999999999</v>
      </c>
      <c r="AQ137" s="30">
        <v>1.5549999999999999</v>
      </c>
      <c r="AR137" s="30">
        <v>1.5580000000000001</v>
      </c>
      <c r="AS137" s="30">
        <v>1.5549999999999999</v>
      </c>
      <c r="AT137" s="30">
        <v>1.56</v>
      </c>
      <c r="AU137" s="30">
        <v>1.552</v>
      </c>
      <c r="AV137" s="30">
        <v>1.5660000000000001</v>
      </c>
      <c r="AW137" s="30">
        <v>1.5549999999999999</v>
      </c>
    </row>
    <row r="138" spans="1:49" ht="18" customHeight="1">
      <c r="A138" s="23"/>
      <c r="B138" s="19"/>
      <c r="C138" s="76" t="s">
        <v>77</v>
      </c>
      <c r="D138" s="35" t="s">
        <v>94</v>
      </c>
      <c r="E138" s="35" t="s">
        <v>313</v>
      </c>
      <c r="F138" s="29" t="s">
        <v>96</v>
      </c>
      <c r="G138" s="38">
        <v>1.55</v>
      </c>
      <c r="H138" s="38">
        <v>0.03</v>
      </c>
      <c r="I138" s="38">
        <v>0.03</v>
      </c>
      <c r="J138" s="38">
        <v>0.03</v>
      </c>
      <c r="K138" s="38">
        <v>0.03</v>
      </c>
      <c r="L138" s="30">
        <f t="shared" si="8"/>
        <v>1.5720000000000001</v>
      </c>
      <c r="M138" s="30">
        <f t="shared" si="9"/>
        <v>1.552</v>
      </c>
      <c r="N138" s="30">
        <f t="shared" si="10"/>
        <v>2.0000000000000018E-2</v>
      </c>
      <c r="O138" s="31">
        <f t="shared" si="11"/>
        <v>1.5606071428571424</v>
      </c>
      <c r="P138" s="52"/>
      <c r="Q138" s="30">
        <v>1.5609999999999999</v>
      </c>
      <c r="R138" s="30">
        <v>1.5589999999999999</v>
      </c>
      <c r="S138" s="30">
        <v>1.5569999999999999</v>
      </c>
      <c r="T138" s="30">
        <v>1.5589999999999999</v>
      </c>
      <c r="U138" s="30">
        <v>1.5620000000000001</v>
      </c>
      <c r="V138" s="30">
        <v>1.5609999999999999</v>
      </c>
      <c r="W138" s="30">
        <v>1.5580000000000001</v>
      </c>
      <c r="X138" s="30">
        <v>1.5589999999999999</v>
      </c>
      <c r="Y138" s="30">
        <v>1.5629999999999999</v>
      </c>
      <c r="Z138" s="30">
        <v>1.5569999999999999</v>
      </c>
      <c r="AA138" s="30">
        <v>1.5549999999999999</v>
      </c>
      <c r="AB138" s="30">
        <v>1.5660000000000001</v>
      </c>
      <c r="AC138" s="30">
        <v>1.5720000000000001</v>
      </c>
      <c r="AD138" s="30">
        <v>1.5660000000000001</v>
      </c>
      <c r="AE138" s="30">
        <v>1.5649999999999999</v>
      </c>
      <c r="AF138" s="30"/>
      <c r="AG138" s="30"/>
      <c r="AH138" s="30">
        <v>1.5629999999999999</v>
      </c>
      <c r="AI138" s="30">
        <v>1.552</v>
      </c>
      <c r="AJ138" s="30">
        <v>1.5609999999999999</v>
      </c>
      <c r="AK138" s="30">
        <v>1.56</v>
      </c>
      <c r="AL138" s="30">
        <v>1.556</v>
      </c>
      <c r="AM138" s="30">
        <v>1.5609999999999999</v>
      </c>
      <c r="AN138" s="30">
        <v>1.556</v>
      </c>
      <c r="AO138" s="30">
        <v>1.5609999999999999</v>
      </c>
      <c r="AP138" s="30">
        <v>1.5589999999999999</v>
      </c>
      <c r="AQ138" s="30">
        <v>1.5649999999999999</v>
      </c>
      <c r="AR138" s="30">
        <v>1.5680000000000001</v>
      </c>
      <c r="AS138" s="30">
        <v>1.56</v>
      </c>
      <c r="AT138" s="30">
        <v>1.5549999999999999</v>
      </c>
      <c r="AU138" s="30">
        <v>1.56</v>
      </c>
      <c r="AV138" s="30">
        <v>1.5629999999999999</v>
      </c>
      <c r="AW138" s="30">
        <v>1.57</v>
      </c>
    </row>
    <row r="139" spans="1:49" ht="18" customHeight="1">
      <c r="A139" s="23"/>
      <c r="B139" s="19"/>
      <c r="C139" s="76" t="s">
        <v>77</v>
      </c>
      <c r="D139" s="35" t="s">
        <v>97</v>
      </c>
      <c r="E139" s="35"/>
      <c r="F139" s="29" t="s">
        <v>98</v>
      </c>
      <c r="G139" s="38">
        <v>1.55</v>
      </c>
      <c r="H139" s="38">
        <v>0.03</v>
      </c>
      <c r="I139" s="38">
        <v>0.03</v>
      </c>
      <c r="J139" s="38">
        <v>0.03</v>
      </c>
      <c r="K139" s="38">
        <v>0.03</v>
      </c>
      <c r="L139" s="30">
        <f t="shared" si="8"/>
        <v>1.57</v>
      </c>
      <c r="M139" s="30">
        <f t="shared" si="9"/>
        <v>1.552</v>
      </c>
      <c r="N139" s="30">
        <f t="shared" si="10"/>
        <v>1.8000000000000016E-2</v>
      </c>
      <c r="O139" s="31">
        <f t="shared" si="11"/>
        <v>1.5623214285714282</v>
      </c>
      <c r="P139" s="52"/>
      <c r="Q139" s="30">
        <v>1.57</v>
      </c>
      <c r="R139" s="30">
        <v>1.5660000000000001</v>
      </c>
      <c r="S139" s="30">
        <v>1.57</v>
      </c>
      <c r="T139" s="30">
        <v>1.569</v>
      </c>
      <c r="U139" s="30">
        <v>1.5640000000000001</v>
      </c>
      <c r="V139" s="30">
        <v>1.5640000000000001</v>
      </c>
      <c r="W139" s="30">
        <v>1.5640000000000001</v>
      </c>
      <c r="X139" s="30">
        <v>1.554</v>
      </c>
      <c r="Y139" s="30">
        <v>1.5589999999999999</v>
      </c>
      <c r="Z139" s="30">
        <v>1.552</v>
      </c>
      <c r="AA139" s="30">
        <v>1.5620000000000001</v>
      </c>
      <c r="AB139" s="30">
        <v>1.56</v>
      </c>
      <c r="AC139" s="30">
        <v>1.5549999999999999</v>
      </c>
      <c r="AD139" s="30">
        <v>1.5640000000000001</v>
      </c>
      <c r="AE139" s="30">
        <v>1.5620000000000001</v>
      </c>
      <c r="AF139" s="30"/>
      <c r="AG139" s="30"/>
      <c r="AH139" s="30">
        <v>1.5629999999999999</v>
      </c>
      <c r="AI139" s="30">
        <v>1.5680000000000001</v>
      </c>
      <c r="AJ139" s="30">
        <v>1.5669999999999999</v>
      </c>
      <c r="AK139" s="30">
        <v>1.569</v>
      </c>
      <c r="AL139" s="30">
        <v>1.5549999999999999</v>
      </c>
      <c r="AM139" s="30">
        <v>1.57</v>
      </c>
      <c r="AN139" s="30">
        <v>1.5569999999999999</v>
      </c>
      <c r="AO139" s="30">
        <v>1.5589999999999999</v>
      </c>
      <c r="AP139" s="30">
        <v>1.5649999999999999</v>
      </c>
      <c r="AQ139" s="30">
        <v>1.5580000000000001</v>
      </c>
      <c r="AR139" s="30">
        <v>1.5589999999999999</v>
      </c>
      <c r="AS139" s="30">
        <v>1.5589999999999999</v>
      </c>
      <c r="AT139" s="30">
        <v>1.5609999999999999</v>
      </c>
      <c r="AU139" s="30">
        <v>1.56</v>
      </c>
      <c r="AV139" s="30">
        <v>1.556</v>
      </c>
      <c r="AW139" s="30">
        <v>1.5609999999999999</v>
      </c>
    </row>
    <row r="140" spans="1:49" ht="18" customHeight="1">
      <c r="A140" s="23"/>
      <c r="B140" s="19"/>
      <c r="C140" s="76" t="s">
        <v>77</v>
      </c>
      <c r="D140" s="35" t="s">
        <v>99</v>
      </c>
      <c r="E140" s="35"/>
      <c r="F140" s="29" t="s">
        <v>100</v>
      </c>
      <c r="G140" s="38">
        <v>1.55</v>
      </c>
      <c r="H140" s="38">
        <v>0.03</v>
      </c>
      <c r="I140" s="38">
        <v>0.03</v>
      </c>
      <c r="J140" s="38">
        <v>0.03</v>
      </c>
      <c r="K140" s="38">
        <v>0.03</v>
      </c>
      <c r="L140" s="30">
        <f t="shared" si="8"/>
        <v>1.5680000000000001</v>
      </c>
      <c r="M140" s="30">
        <f t="shared" si="9"/>
        <v>1.5549999999999999</v>
      </c>
      <c r="N140" s="30">
        <f t="shared" si="10"/>
        <v>1.3000000000000123E-2</v>
      </c>
      <c r="O140" s="31">
        <f t="shared" si="11"/>
        <v>1.5605</v>
      </c>
      <c r="P140" s="52"/>
      <c r="Q140" s="30">
        <v>1.5629999999999999</v>
      </c>
      <c r="R140" s="30">
        <v>1.5669999999999999</v>
      </c>
      <c r="S140" s="30">
        <v>1.5609999999999999</v>
      </c>
      <c r="T140" s="30">
        <v>1.5620000000000001</v>
      </c>
      <c r="U140" s="30">
        <v>1.5629999999999999</v>
      </c>
      <c r="V140" s="30">
        <v>1.5649999999999999</v>
      </c>
      <c r="W140" s="30">
        <v>1.5620000000000001</v>
      </c>
      <c r="X140" s="30">
        <v>1.5589999999999999</v>
      </c>
      <c r="Y140" s="30">
        <v>1.5649999999999999</v>
      </c>
      <c r="Z140" s="30">
        <v>1.5580000000000001</v>
      </c>
      <c r="AA140" s="30">
        <v>1.5580000000000001</v>
      </c>
      <c r="AB140" s="30">
        <v>1.556</v>
      </c>
      <c r="AC140" s="30">
        <v>1.5580000000000001</v>
      </c>
      <c r="AD140" s="30">
        <v>1.5589999999999999</v>
      </c>
      <c r="AE140" s="30">
        <v>1.556</v>
      </c>
      <c r="AF140" s="30"/>
      <c r="AG140" s="30"/>
      <c r="AH140" s="30">
        <v>1.56</v>
      </c>
      <c r="AI140" s="30">
        <v>1.5620000000000001</v>
      </c>
      <c r="AJ140" s="30">
        <v>1.5620000000000001</v>
      </c>
      <c r="AK140" s="30">
        <v>1.5580000000000001</v>
      </c>
      <c r="AL140" s="30">
        <v>1.5589999999999999</v>
      </c>
      <c r="AM140" s="30">
        <v>1.5580000000000001</v>
      </c>
      <c r="AN140" s="30">
        <v>1.5609999999999999</v>
      </c>
      <c r="AO140" s="30">
        <v>1.5589999999999999</v>
      </c>
      <c r="AP140" s="30">
        <v>1.5609999999999999</v>
      </c>
      <c r="AQ140" s="30">
        <v>1.5549999999999999</v>
      </c>
      <c r="AR140" s="30">
        <v>1.5589999999999999</v>
      </c>
      <c r="AS140" s="30">
        <v>1.56</v>
      </c>
      <c r="AT140" s="30">
        <v>1.5680000000000001</v>
      </c>
      <c r="AU140" s="30">
        <v>1.5589999999999999</v>
      </c>
      <c r="AV140" s="30">
        <v>1.5589999999999999</v>
      </c>
      <c r="AW140" s="30">
        <v>1.5580000000000001</v>
      </c>
    </row>
    <row r="141" spans="1:49" ht="18" customHeight="1">
      <c r="A141" s="23"/>
      <c r="B141" s="19"/>
      <c r="C141" s="76" t="s">
        <v>77</v>
      </c>
      <c r="D141" s="35" t="s">
        <v>101</v>
      </c>
      <c r="E141" s="35"/>
      <c r="F141" s="29" t="s">
        <v>102</v>
      </c>
      <c r="G141" s="38">
        <v>1.55</v>
      </c>
      <c r="H141" s="38">
        <v>0.03</v>
      </c>
      <c r="I141" s="38">
        <v>0.03</v>
      </c>
      <c r="J141" s="38">
        <v>0.03</v>
      </c>
      <c r="K141" s="38">
        <v>0.03</v>
      </c>
      <c r="L141" s="30">
        <f t="shared" si="8"/>
        <v>1.575</v>
      </c>
      <c r="M141" s="30">
        <f t="shared" si="9"/>
        <v>1.552</v>
      </c>
      <c r="N141" s="30">
        <f t="shared" si="10"/>
        <v>2.2999999999999909E-2</v>
      </c>
      <c r="O141" s="31">
        <f t="shared" si="11"/>
        <v>1.5637857142857146</v>
      </c>
      <c r="P141" s="52"/>
      <c r="Q141" s="30">
        <v>1.5740000000000001</v>
      </c>
      <c r="R141" s="30">
        <v>1.5680000000000001</v>
      </c>
      <c r="S141" s="30">
        <v>1.5660000000000001</v>
      </c>
      <c r="T141" s="30">
        <v>1.5589999999999999</v>
      </c>
      <c r="U141" s="30">
        <v>1.5609999999999999</v>
      </c>
      <c r="V141" s="30">
        <v>1.56</v>
      </c>
      <c r="W141" s="30">
        <v>1.5569999999999999</v>
      </c>
      <c r="X141" s="30">
        <v>1.573</v>
      </c>
      <c r="Y141" s="30">
        <v>1.5669999999999999</v>
      </c>
      <c r="Z141" s="30">
        <v>1.575</v>
      </c>
      <c r="AA141" s="30">
        <v>1.5640000000000001</v>
      </c>
      <c r="AB141" s="30">
        <v>1.57</v>
      </c>
      <c r="AC141" s="30">
        <v>1.5669999999999999</v>
      </c>
      <c r="AD141" s="30">
        <v>1.5649999999999999</v>
      </c>
      <c r="AE141" s="30">
        <v>1.5649999999999999</v>
      </c>
      <c r="AF141" s="30"/>
      <c r="AG141" s="30"/>
      <c r="AH141" s="30">
        <v>1.552</v>
      </c>
      <c r="AI141" s="30">
        <v>1.571</v>
      </c>
      <c r="AJ141" s="30">
        <v>1.5589999999999999</v>
      </c>
      <c r="AK141" s="30">
        <v>1.5620000000000001</v>
      </c>
      <c r="AL141" s="30">
        <v>1.5580000000000001</v>
      </c>
      <c r="AM141" s="30">
        <v>1.5609999999999999</v>
      </c>
      <c r="AN141" s="30">
        <v>1.5609999999999999</v>
      </c>
      <c r="AO141" s="30">
        <v>1.5649999999999999</v>
      </c>
      <c r="AP141" s="30">
        <v>1.5629999999999999</v>
      </c>
      <c r="AQ141" s="30">
        <v>1.5589999999999999</v>
      </c>
      <c r="AR141" s="30">
        <v>1.5629999999999999</v>
      </c>
      <c r="AS141" s="30">
        <v>1.5549999999999999</v>
      </c>
      <c r="AT141" s="30">
        <v>1.5660000000000001</v>
      </c>
      <c r="AU141" s="30">
        <v>1.5640000000000001</v>
      </c>
      <c r="AV141" s="30">
        <v>1.5629999999999999</v>
      </c>
      <c r="AW141" s="30">
        <v>1.5720000000000001</v>
      </c>
    </row>
    <row r="142" spans="1:49" ht="18" customHeight="1">
      <c r="A142" s="23"/>
      <c r="B142" s="19"/>
      <c r="C142" s="76" t="s">
        <v>77</v>
      </c>
      <c r="D142" s="35" t="s">
        <v>103</v>
      </c>
      <c r="E142" s="35"/>
      <c r="F142" s="29" t="s">
        <v>104</v>
      </c>
      <c r="G142" s="38">
        <v>1.55</v>
      </c>
      <c r="H142" s="38">
        <v>0.03</v>
      </c>
      <c r="I142" s="38">
        <v>0.03</v>
      </c>
      <c r="J142" s="38">
        <v>0.03</v>
      </c>
      <c r="K142" s="38">
        <v>0.03</v>
      </c>
      <c r="L142" s="30">
        <f t="shared" si="8"/>
        <v>1.569</v>
      </c>
      <c r="M142" s="30">
        <f t="shared" si="9"/>
        <v>1.5529999999999999</v>
      </c>
      <c r="N142" s="30">
        <f t="shared" si="10"/>
        <v>1.6000000000000014E-2</v>
      </c>
      <c r="O142" s="31">
        <f t="shared" si="11"/>
        <v>1.5614642857142851</v>
      </c>
      <c r="P142" s="52"/>
      <c r="Q142" s="30">
        <v>1.5589999999999999</v>
      </c>
      <c r="R142" s="30">
        <v>1.5669999999999999</v>
      </c>
      <c r="S142" s="30">
        <v>1.5629999999999999</v>
      </c>
      <c r="T142" s="30">
        <v>1.5640000000000001</v>
      </c>
      <c r="U142" s="30">
        <v>1.569</v>
      </c>
      <c r="V142" s="30">
        <v>1.5640000000000001</v>
      </c>
      <c r="W142" s="30">
        <v>1.5629999999999999</v>
      </c>
      <c r="X142" s="30">
        <v>1.5629999999999999</v>
      </c>
      <c r="Y142" s="30">
        <v>1.5620000000000001</v>
      </c>
      <c r="Z142" s="30">
        <v>1.5620000000000001</v>
      </c>
      <c r="AA142" s="30">
        <v>1.5680000000000001</v>
      </c>
      <c r="AB142" s="30">
        <v>1.5609999999999999</v>
      </c>
      <c r="AC142" s="30">
        <v>1.5580000000000001</v>
      </c>
      <c r="AD142" s="30">
        <v>1.56</v>
      </c>
      <c r="AE142" s="30">
        <v>1.5569999999999999</v>
      </c>
      <c r="AF142" s="30"/>
      <c r="AG142" s="30"/>
      <c r="AH142" s="30">
        <v>1.554</v>
      </c>
      <c r="AI142" s="30">
        <v>1.5629999999999999</v>
      </c>
      <c r="AJ142" s="30">
        <v>1.5529999999999999</v>
      </c>
      <c r="AK142" s="30">
        <v>1.5569999999999999</v>
      </c>
      <c r="AL142" s="30">
        <v>1.5649999999999999</v>
      </c>
      <c r="AM142" s="30">
        <v>1.5669999999999999</v>
      </c>
      <c r="AN142" s="30">
        <v>1.5589999999999999</v>
      </c>
      <c r="AO142" s="30">
        <v>1.5609999999999999</v>
      </c>
      <c r="AP142" s="30">
        <v>1.5589999999999999</v>
      </c>
      <c r="AQ142" s="30">
        <v>1.5529999999999999</v>
      </c>
      <c r="AR142" s="30">
        <v>1.5680000000000001</v>
      </c>
      <c r="AS142" s="30">
        <v>1.5620000000000001</v>
      </c>
      <c r="AT142" s="30">
        <v>1.56</v>
      </c>
      <c r="AU142" s="30">
        <v>1.5589999999999999</v>
      </c>
      <c r="AV142" s="30">
        <v>1.5580000000000001</v>
      </c>
      <c r="AW142" s="30">
        <v>1.56</v>
      </c>
    </row>
    <row r="143" spans="1:49" ht="18" customHeight="1">
      <c r="A143" s="23"/>
      <c r="B143" s="19"/>
      <c r="C143" s="76" t="s">
        <v>77</v>
      </c>
      <c r="D143" s="35" t="s">
        <v>105</v>
      </c>
      <c r="E143" s="35"/>
      <c r="F143" s="29" t="s">
        <v>106</v>
      </c>
      <c r="G143" s="38">
        <v>1.55</v>
      </c>
      <c r="H143" s="38">
        <v>0.03</v>
      </c>
      <c r="I143" s="38">
        <v>0.03</v>
      </c>
      <c r="J143" s="38">
        <v>0.03</v>
      </c>
      <c r="K143" s="38">
        <v>0.03</v>
      </c>
      <c r="L143" s="30">
        <f t="shared" si="8"/>
        <v>1.5640000000000001</v>
      </c>
      <c r="M143" s="30">
        <f t="shared" si="9"/>
        <v>1.5509999999999999</v>
      </c>
      <c r="N143" s="30">
        <f t="shared" si="10"/>
        <v>1.3000000000000123E-2</v>
      </c>
      <c r="O143" s="31">
        <f t="shared" si="11"/>
        <v>1.5566428571428566</v>
      </c>
      <c r="P143" s="52"/>
      <c r="Q143" s="30">
        <v>1.552</v>
      </c>
      <c r="R143" s="30">
        <v>1.556</v>
      </c>
      <c r="S143" s="30">
        <v>1.5509999999999999</v>
      </c>
      <c r="T143" s="30">
        <v>1.5580000000000001</v>
      </c>
      <c r="U143" s="30">
        <v>1.556</v>
      </c>
      <c r="V143" s="30">
        <v>1.554</v>
      </c>
      <c r="W143" s="30">
        <v>1.5609999999999999</v>
      </c>
      <c r="X143" s="30">
        <v>1.5529999999999999</v>
      </c>
      <c r="Y143" s="30">
        <v>1.5629999999999999</v>
      </c>
      <c r="Z143" s="30">
        <v>1.5549999999999999</v>
      </c>
      <c r="AA143" s="30">
        <v>1.5569999999999999</v>
      </c>
      <c r="AB143" s="30">
        <v>1.5580000000000001</v>
      </c>
      <c r="AC143" s="30">
        <v>1.5529999999999999</v>
      </c>
      <c r="AD143" s="30">
        <v>1.556</v>
      </c>
      <c r="AE143" s="30">
        <v>1.5569999999999999</v>
      </c>
      <c r="AF143" s="30"/>
      <c r="AG143" s="30"/>
      <c r="AH143" s="30">
        <v>1.5569999999999999</v>
      </c>
      <c r="AI143" s="30">
        <v>1.5629999999999999</v>
      </c>
      <c r="AJ143" s="30">
        <v>1.5609999999999999</v>
      </c>
      <c r="AK143" s="30">
        <v>1.5569999999999999</v>
      </c>
      <c r="AL143" s="30">
        <v>1.5640000000000001</v>
      </c>
      <c r="AM143" s="30">
        <v>1.5620000000000001</v>
      </c>
      <c r="AN143" s="30">
        <v>1.5529999999999999</v>
      </c>
      <c r="AO143" s="30">
        <v>1.5549999999999999</v>
      </c>
      <c r="AP143" s="30">
        <v>1.556</v>
      </c>
      <c r="AQ143" s="30">
        <v>1.554</v>
      </c>
      <c r="AR143" s="30">
        <v>1.556</v>
      </c>
      <c r="AS143" s="30">
        <v>1.552</v>
      </c>
      <c r="AT143" s="30">
        <v>1.556</v>
      </c>
      <c r="AU143" s="30">
        <v>1.5580000000000001</v>
      </c>
      <c r="AV143" s="30">
        <v>1.56</v>
      </c>
      <c r="AW143" s="30">
        <v>1.5509999999999999</v>
      </c>
    </row>
    <row r="144" spans="1:49" ht="18" customHeight="1">
      <c r="A144" s="23"/>
      <c r="B144" s="19"/>
      <c r="C144" s="76" t="s">
        <v>77</v>
      </c>
      <c r="D144" s="35" t="s">
        <v>107</v>
      </c>
      <c r="E144" s="35"/>
      <c r="F144" s="29" t="s">
        <v>108</v>
      </c>
      <c r="G144" s="38">
        <v>1.55</v>
      </c>
      <c r="H144" s="38">
        <v>0.03</v>
      </c>
      <c r="I144" s="38">
        <v>0.03</v>
      </c>
      <c r="J144" s="38">
        <v>0.03</v>
      </c>
      <c r="K144" s="38">
        <v>0.03</v>
      </c>
      <c r="L144" s="30">
        <f t="shared" si="8"/>
        <v>1.5669999999999999</v>
      </c>
      <c r="M144" s="30">
        <f t="shared" si="9"/>
        <v>1.554</v>
      </c>
      <c r="N144" s="30">
        <f t="shared" si="10"/>
        <v>1.2999999999999901E-2</v>
      </c>
      <c r="O144" s="31">
        <f t="shared" si="11"/>
        <v>1.5606785714285716</v>
      </c>
      <c r="P144" s="52"/>
      <c r="Q144" s="30">
        <v>1.5649999999999999</v>
      </c>
      <c r="R144" s="30">
        <v>1.5669999999999999</v>
      </c>
      <c r="S144" s="30">
        <v>1.5589999999999999</v>
      </c>
      <c r="T144" s="30">
        <v>1.5609999999999999</v>
      </c>
      <c r="U144" s="30">
        <v>1.56</v>
      </c>
      <c r="V144" s="30">
        <v>1.5549999999999999</v>
      </c>
      <c r="W144" s="30">
        <v>1.5649999999999999</v>
      </c>
      <c r="X144" s="30">
        <v>1.5620000000000001</v>
      </c>
      <c r="Y144" s="30">
        <v>1.5649999999999999</v>
      </c>
      <c r="Z144" s="30">
        <v>1.5620000000000001</v>
      </c>
      <c r="AA144" s="30">
        <v>1.5569999999999999</v>
      </c>
      <c r="AB144" s="30">
        <v>1.5609999999999999</v>
      </c>
      <c r="AC144" s="30">
        <v>1.5549999999999999</v>
      </c>
      <c r="AD144" s="30">
        <v>1.5629999999999999</v>
      </c>
      <c r="AE144" s="30">
        <v>1.5589999999999999</v>
      </c>
      <c r="AF144" s="30"/>
      <c r="AG144" s="30"/>
      <c r="AH144" s="30">
        <v>1.556</v>
      </c>
      <c r="AI144" s="30">
        <v>1.5629999999999999</v>
      </c>
      <c r="AJ144" s="30">
        <v>1.5629999999999999</v>
      </c>
      <c r="AK144" s="30">
        <v>1.5569999999999999</v>
      </c>
      <c r="AL144" s="30">
        <v>1.5620000000000001</v>
      </c>
      <c r="AM144" s="30">
        <v>1.5589999999999999</v>
      </c>
      <c r="AN144" s="30">
        <v>1.5629999999999999</v>
      </c>
      <c r="AO144" s="30">
        <v>1.56</v>
      </c>
      <c r="AP144" s="30">
        <v>1.5589999999999999</v>
      </c>
      <c r="AQ144" s="30">
        <v>1.5640000000000001</v>
      </c>
      <c r="AR144" s="30">
        <v>1.5629999999999999</v>
      </c>
      <c r="AS144" s="30">
        <v>1.554</v>
      </c>
      <c r="AT144" s="30">
        <v>1.56</v>
      </c>
      <c r="AU144" s="30">
        <v>1.5569999999999999</v>
      </c>
      <c r="AV144" s="30">
        <v>1.5640000000000001</v>
      </c>
      <c r="AW144" s="30">
        <v>1.5620000000000001</v>
      </c>
    </row>
    <row r="145" spans="1:49" ht="18" customHeight="1">
      <c r="A145" s="23"/>
      <c r="B145" s="19"/>
      <c r="C145" s="76" t="s">
        <v>77</v>
      </c>
      <c r="D145" s="35" t="s">
        <v>109</v>
      </c>
      <c r="E145" s="35"/>
      <c r="F145" s="29" t="s">
        <v>110</v>
      </c>
      <c r="G145" s="38">
        <v>1.55</v>
      </c>
      <c r="H145" s="38">
        <v>0.03</v>
      </c>
      <c r="I145" s="38">
        <v>0.03</v>
      </c>
      <c r="J145" s="38">
        <v>0.03</v>
      </c>
      <c r="K145" s="38">
        <v>0.03</v>
      </c>
      <c r="L145" s="30">
        <f t="shared" si="8"/>
        <v>1.571</v>
      </c>
      <c r="M145" s="30">
        <f t="shared" si="9"/>
        <v>1.5529999999999999</v>
      </c>
      <c r="N145" s="30">
        <f t="shared" si="10"/>
        <v>1.8000000000000016E-2</v>
      </c>
      <c r="O145" s="31">
        <f t="shared" si="11"/>
        <v>1.5633571428571431</v>
      </c>
      <c r="P145" s="52"/>
      <c r="Q145" s="30">
        <v>1.5609999999999999</v>
      </c>
      <c r="R145" s="30">
        <v>1.5629999999999999</v>
      </c>
      <c r="S145" s="30">
        <v>1.5629999999999999</v>
      </c>
      <c r="T145" s="30">
        <v>1.5629999999999999</v>
      </c>
      <c r="U145" s="30">
        <v>1.56</v>
      </c>
      <c r="V145" s="30">
        <v>1.5629999999999999</v>
      </c>
      <c r="W145" s="30">
        <v>1.5649999999999999</v>
      </c>
      <c r="X145" s="30">
        <v>1.5629999999999999</v>
      </c>
      <c r="Y145" s="30">
        <v>1.5629999999999999</v>
      </c>
      <c r="Z145" s="30">
        <v>1.5669999999999999</v>
      </c>
      <c r="AA145" s="30">
        <v>1.5580000000000001</v>
      </c>
      <c r="AB145" s="30">
        <v>1.5529999999999999</v>
      </c>
      <c r="AC145" s="30">
        <v>1.56</v>
      </c>
      <c r="AD145" s="30">
        <v>1.5620000000000001</v>
      </c>
      <c r="AE145" s="30">
        <v>1.5629999999999999</v>
      </c>
      <c r="AF145" s="30"/>
      <c r="AG145" s="30"/>
      <c r="AH145" s="30">
        <v>1.5640000000000001</v>
      </c>
      <c r="AI145" s="30">
        <v>1.571</v>
      </c>
      <c r="AJ145" s="30">
        <v>1.5640000000000001</v>
      </c>
      <c r="AK145" s="30">
        <v>1.57</v>
      </c>
      <c r="AL145" s="30">
        <v>1.5640000000000001</v>
      </c>
      <c r="AM145" s="30">
        <v>1.5629999999999999</v>
      </c>
      <c r="AN145" s="30">
        <v>1.571</v>
      </c>
      <c r="AO145" s="30">
        <v>1.5660000000000001</v>
      </c>
      <c r="AP145" s="30">
        <v>1.5569999999999999</v>
      </c>
      <c r="AQ145" s="30">
        <v>1.5629999999999999</v>
      </c>
      <c r="AR145" s="30">
        <v>1.56</v>
      </c>
      <c r="AS145" s="30">
        <v>1.5640000000000001</v>
      </c>
      <c r="AT145" s="30">
        <v>1.57</v>
      </c>
      <c r="AU145" s="30">
        <v>1.5620000000000001</v>
      </c>
      <c r="AV145" s="30">
        <v>1.556</v>
      </c>
      <c r="AW145" s="30">
        <v>1.5629999999999999</v>
      </c>
    </row>
    <row r="146" spans="1:49" ht="18" customHeight="1">
      <c r="A146" s="23"/>
      <c r="B146" s="19"/>
      <c r="C146" s="76" t="s">
        <v>77</v>
      </c>
      <c r="D146" s="35" t="s">
        <v>111</v>
      </c>
      <c r="E146" s="35"/>
      <c r="F146" s="29" t="s">
        <v>112</v>
      </c>
      <c r="G146" s="38">
        <v>1.55</v>
      </c>
      <c r="H146" s="38">
        <v>0.03</v>
      </c>
      <c r="I146" s="38">
        <v>0.03</v>
      </c>
      <c r="J146" s="38">
        <v>0.03</v>
      </c>
      <c r="K146" s="38">
        <v>0.03</v>
      </c>
      <c r="L146" s="30">
        <f t="shared" si="8"/>
        <v>1.569</v>
      </c>
      <c r="M146" s="30">
        <f t="shared" si="9"/>
        <v>1.554</v>
      </c>
      <c r="N146" s="30">
        <f t="shared" si="10"/>
        <v>1.4999999999999902E-2</v>
      </c>
      <c r="O146" s="31">
        <f t="shared" si="11"/>
        <v>1.5623928571428569</v>
      </c>
      <c r="P146" s="52"/>
      <c r="Q146" s="30">
        <v>1.5580000000000001</v>
      </c>
      <c r="R146" s="30">
        <v>1.5629999999999999</v>
      </c>
      <c r="S146" s="30">
        <v>1.5629999999999999</v>
      </c>
      <c r="T146" s="30">
        <v>1.5609999999999999</v>
      </c>
      <c r="U146" s="30">
        <v>1.5640000000000001</v>
      </c>
      <c r="V146" s="30">
        <v>1.5660000000000001</v>
      </c>
      <c r="W146" s="30">
        <v>1.5640000000000001</v>
      </c>
      <c r="X146" s="30">
        <v>1.5629999999999999</v>
      </c>
      <c r="Y146" s="30">
        <v>1.5620000000000001</v>
      </c>
      <c r="Z146" s="30">
        <v>1.556</v>
      </c>
      <c r="AA146" s="30">
        <v>1.5660000000000001</v>
      </c>
      <c r="AB146" s="30">
        <v>1.5680000000000001</v>
      </c>
      <c r="AC146" s="30">
        <v>1.569</v>
      </c>
      <c r="AD146" s="30">
        <v>1.5629999999999999</v>
      </c>
      <c r="AE146" s="30">
        <v>1.554</v>
      </c>
      <c r="AF146" s="30"/>
      <c r="AG146" s="30"/>
      <c r="AH146" s="30">
        <v>1.5629999999999999</v>
      </c>
      <c r="AI146" s="30">
        <v>1.5660000000000001</v>
      </c>
      <c r="AJ146" s="30">
        <v>1.5629999999999999</v>
      </c>
      <c r="AK146" s="30">
        <v>1.5589999999999999</v>
      </c>
      <c r="AL146" s="30">
        <v>1.5620000000000001</v>
      </c>
      <c r="AM146" s="30">
        <v>1.5660000000000001</v>
      </c>
      <c r="AN146" s="30">
        <v>1.5609999999999999</v>
      </c>
      <c r="AO146" s="30">
        <v>1.5620000000000001</v>
      </c>
      <c r="AP146" s="30">
        <v>1.5649999999999999</v>
      </c>
      <c r="AQ146" s="30">
        <v>1.5569999999999999</v>
      </c>
      <c r="AR146" s="30">
        <v>1.5580000000000001</v>
      </c>
      <c r="AS146" s="30">
        <v>1.5649999999999999</v>
      </c>
      <c r="AT146" s="30">
        <v>1.56</v>
      </c>
      <c r="AU146" s="30">
        <v>1.5609999999999999</v>
      </c>
      <c r="AV146" s="30">
        <v>1.5660000000000001</v>
      </c>
      <c r="AW146" s="30">
        <v>1.5620000000000001</v>
      </c>
    </row>
    <row r="147" spans="1:49" ht="18" customHeight="1">
      <c r="A147" s="23"/>
      <c r="B147" s="19"/>
      <c r="C147" s="77" t="s">
        <v>77</v>
      </c>
      <c r="D147" s="35" t="s">
        <v>113</v>
      </c>
      <c r="E147" s="35"/>
      <c r="F147" s="29" t="s">
        <v>114</v>
      </c>
      <c r="G147" s="38">
        <v>1.55</v>
      </c>
      <c r="H147" s="38">
        <v>0.03</v>
      </c>
      <c r="I147" s="38">
        <v>0.03</v>
      </c>
      <c r="J147" s="38">
        <v>0.03</v>
      </c>
      <c r="K147" s="38">
        <v>0.03</v>
      </c>
      <c r="L147" s="30">
        <f t="shared" si="8"/>
        <v>1.5620000000000001</v>
      </c>
      <c r="M147" s="30">
        <f t="shared" si="9"/>
        <v>1.55</v>
      </c>
      <c r="N147" s="30">
        <f t="shared" si="10"/>
        <v>1.2000000000000011E-2</v>
      </c>
      <c r="O147" s="31">
        <f t="shared" si="11"/>
        <v>1.5555714285714282</v>
      </c>
      <c r="P147" s="52"/>
      <c r="Q147" s="30">
        <v>1.552</v>
      </c>
      <c r="R147" s="30">
        <v>1.556</v>
      </c>
      <c r="S147" s="30">
        <v>1.5620000000000001</v>
      </c>
      <c r="T147" s="30">
        <v>1.56</v>
      </c>
      <c r="U147" s="30">
        <v>1.5549999999999999</v>
      </c>
      <c r="V147" s="30">
        <v>1.5529999999999999</v>
      </c>
      <c r="W147" s="30">
        <v>1.5529999999999999</v>
      </c>
      <c r="X147" s="30">
        <v>1.5529999999999999</v>
      </c>
      <c r="Y147" s="30">
        <v>1.5529999999999999</v>
      </c>
      <c r="Z147" s="30">
        <v>1.5529999999999999</v>
      </c>
      <c r="AA147" s="30">
        <v>1.556</v>
      </c>
      <c r="AB147" s="30">
        <v>1.5569999999999999</v>
      </c>
      <c r="AC147" s="30">
        <v>1.5569999999999999</v>
      </c>
      <c r="AD147" s="30">
        <v>1.55</v>
      </c>
      <c r="AE147" s="30">
        <v>1.5549999999999999</v>
      </c>
      <c r="AF147" s="30"/>
      <c r="AG147" s="30"/>
      <c r="AH147" s="30">
        <v>1.5580000000000001</v>
      </c>
      <c r="AI147" s="30">
        <v>1.5580000000000001</v>
      </c>
      <c r="AJ147" s="30">
        <v>1.56</v>
      </c>
      <c r="AK147" s="30">
        <v>1.56</v>
      </c>
      <c r="AL147" s="30">
        <v>1.5529999999999999</v>
      </c>
      <c r="AM147" s="30">
        <v>1.554</v>
      </c>
      <c r="AN147" s="30">
        <v>1.5529999999999999</v>
      </c>
      <c r="AO147" s="30">
        <v>1.5529999999999999</v>
      </c>
      <c r="AP147" s="30">
        <v>1.556</v>
      </c>
      <c r="AQ147" s="30">
        <v>1.5609999999999999</v>
      </c>
      <c r="AR147" s="30">
        <v>1.5580000000000001</v>
      </c>
      <c r="AS147" s="30">
        <v>1.552</v>
      </c>
      <c r="AT147" s="30">
        <v>1.5549999999999999</v>
      </c>
      <c r="AU147" s="30">
        <v>1.55</v>
      </c>
      <c r="AV147" s="30">
        <v>1.5509999999999999</v>
      </c>
      <c r="AW147" s="30">
        <v>1.5549999999999999</v>
      </c>
    </row>
    <row r="148" spans="1:49" ht="18" customHeight="1">
      <c r="A148" s="23"/>
      <c r="B148" s="19"/>
      <c r="C148" s="78" t="s">
        <v>115</v>
      </c>
      <c r="D148" s="35" t="s">
        <v>116</v>
      </c>
      <c r="E148" s="35" t="s">
        <v>314</v>
      </c>
      <c r="F148" s="29" t="s">
        <v>118</v>
      </c>
      <c r="G148" s="38">
        <v>4.1399999999999997</v>
      </c>
      <c r="H148" s="38">
        <v>0.03</v>
      </c>
      <c r="I148" s="38">
        <v>0.03</v>
      </c>
      <c r="J148" s="38">
        <v>0.03</v>
      </c>
      <c r="K148" s="38">
        <v>0.03</v>
      </c>
      <c r="L148" s="30">
        <f t="shared" si="8"/>
        <v>4.109</v>
      </c>
      <c r="M148" s="30">
        <f t="shared" si="9"/>
        <v>4.0999999999999996</v>
      </c>
      <c r="N148" s="30">
        <f t="shared" si="10"/>
        <v>9.0000000000003411E-3</v>
      </c>
      <c r="O148" s="31">
        <f t="shared" si="11"/>
        <v>4.1049999999999986</v>
      </c>
      <c r="P148" s="52"/>
      <c r="Q148" s="30">
        <v>4.1020000000000003</v>
      </c>
      <c r="R148" s="30">
        <v>4.1059999999999999</v>
      </c>
      <c r="S148" s="30">
        <v>4.1050000000000004</v>
      </c>
      <c r="T148" s="30">
        <v>4.1050000000000004</v>
      </c>
      <c r="U148" s="30">
        <v>4.1040000000000001</v>
      </c>
      <c r="V148" s="30">
        <v>4.1070000000000002</v>
      </c>
      <c r="W148" s="30">
        <v>4.1020000000000003</v>
      </c>
      <c r="X148" s="30">
        <v>4.1059999999999999</v>
      </c>
      <c r="Y148" s="30">
        <v>4.1059999999999999</v>
      </c>
      <c r="Z148" s="30">
        <v>4.1059999999999999</v>
      </c>
      <c r="AA148" s="30">
        <v>4.1040000000000001</v>
      </c>
      <c r="AB148" s="30">
        <v>4.109</v>
      </c>
      <c r="AC148" s="30">
        <v>4.1079999999999997</v>
      </c>
      <c r="AD148" s="30">
        <v>4.1059999999999999</v>
      </c>
      <c r="AE148" s="30">
        <v>4.1079999999999997</v>
      </c>
      <c r="AF148" s="30"/>
      <c r="AG148" s="30"/>
      <c r="AH148" s="30">
        <v>4.1050000000000004</v>
      </c>
      <c r="AI148" s="30">
        <v>4.109</v>
      </c>
      <c r="AJ148" s="30">
        <v>4.1059999999999999</v>
      </c>
      <c r="AK148" s="30">
        <v>4.1079999999999997</v>
      </c>
      <c r="AL148" s="30">
        <v>4.1070000000000002</v>
      </c>
      <c r="AM148" s="30">
        <v>4.1029999999999998</v>
      </c>
      <c r="AN148" s="30">
        <v>4.1050000000000004</v>
      </c>
      <c r="AO148" s="30">
        <v>4.1040000000000001</v>
      </c>
      <c r="AP148" s="30">
        <v>4.1029999999999998</v>
      </c>
      <c r="AQ148" s="30">
        <v>4.101</v>
      </c>
      <c r="AR148" s="30">
        <v>4.1020000000000003</v>
      </c>
      <c r="AS148" s="30">
        <v>4.0999999999999996</v>
      </c>
      <c r="AT148" s="30">
        <v>4.1029999999999998</v>
      </c>
      <c r="AU148" s="30">
        <v>4.1070000000000002</v>
      </c>
      <c r="AV148" s="30">
        <v>4.1029999999999998</v>
      </c>
      <c r="AW148" s="30">
        <v>4.1020000000000003</v>
      </c>
    </row>
    <row r="149" spans="1:49" ht="18" customHeight="1">
      <c r="A149" s="23"/>
      <c r="B149" s="19"/>
      <c r="C149" s="78" t="s">
        <v>115</v>
      </c>
      <c r="D149" s="35" t="s">
        <v>119</v>
      </c>
      <c r="E149" s="35"/>
      <c r="F149" s="29" t="s">
        <v>120</v>
      </c>
      <c r="G149" s="38">
        <v>4.1399999999999997</v>
      </c>
      <c r="H149" s="38">
        <v>0.03</v>
      </c>
      <c r="I149" s="38">
        <v>0.03</v>
      </c>
      <c r="J149" s="38">
        <v>0.03</v>
      </c>
      <c r="K149" s="38">
        <v>0.03</v>
      </c>
      <c r="L149" s="30">
        <f t="shared" si="8"/>
        <v>4.1120000000000001</v>
      </c>
      <c r="M149" s="30">
        <f t="shared" si="9"/>
        <v>4.101</v>
      </c>
      <c r="N149" s="30">
        <f t="shared" si="10"/>
        <v>1.1000000000000121E-2</v>
      </c>
      <c r="O149" s="31">
        <f t="shared" si="11"/>
        <v>4.105892857142857</v>
      </c>
      <c r="P149" s="52"/>
      <c r="Q149" s="30">
        <v>4.101</v>
      </c>
      <c r="R149" s="30">
        <v>4.1050000000000004</v>
      </c>
      <c r="S149" s="30">
        <v>4.1079999999999997</v>
      </c>
      <c r="T149" s="30">
        <v>4.1029999999999998</v>
      </c>
      <c r="U149" s="30">
        <v>4.1079999999999997</v>
      </c>
      <c r="V149" s="30">
        <v>4.1050000000000004</v>
      </c>
      <c r="W149" s="30">
        <v>4.1070000000000002</v>
      </c>
      <c r="X149" s="30">
        <v>4.1120000000000001</v>
      </c>
      <c r="Y149" s="30">
        <v>4.109</v>
      </c>
      <c r="Z149" s="30">
        <v>4.109</v>
      </c>
      <c r="AA149" s="30">
        <v>4.1079999999999997</v>
      </c>
      <c r="AB149" s="30">
        <v>4.1070000000000002</v>
      </c>
      <c r="AC149" s="30">
        <v>4.1059999999999999</v>
      </c>
      <c r="AD149" s="30">
        <v>4.1079999999999997</v>
      </c>
      <c r="AE149" s="30">
        <v>4.1059999999999999</v>
      </c>
      <c r="AF149" s="30"/>
      <c r="AG149" s="30"/>
      <c r="AH149" s="30">
        <v>4.1040000000000001</v>
      </c>
      <c r="AI149" s="30">
        <v>4.1079999999999997</v>
      </c>
      <c r="AJ149" s="30">
        <v>4.1029999999999998</v>
      </c>
      <c r="AK149" s="30">
        <v>4.1059999999999999</v>
      </c>
      <c r="AL149" s="30">
        <v>4.1059999999999999</v>
      </c>
      <c r="AM149" s="30">
        <v>4.1040000000000001</v>
      </c>
      <c r="AN149" s="30">
        <v>4.1020000000000003</v>
      </c>
      <c r="AO149" s="30">
        <v>4.1070000000000002</v>
      </c>
      <c r="AP149" s="30">
        <v>4.1050000000000004</v>
      </c>
      <c r="AQ149" s="30">
        <v>4.1020000000000003</v>
      </c>
      <c r="AR149" s="30">
        <v>4.1040000000000001</v>
      </c>
      <c r="AS149" s="30">
        <v>4.1059999999999999</v>
      </c>
      <c r="AT149" s="30">
        <v>4.1059999999999999</v>
      </c>
      <c r="AU149" s="30">
        <v>4.109</v>
      </c>
      <c r="AV149" s="30">
        <v>4.1079999999999997</v>
      </c>
      <c r="AW149" s="30">
        <v>4.1040000000000001</v>
      </c>
    </row>
    <row r="150" spans="1:49" ht="18" customHeight="1">
      <c r="A150" s="23"/>
      <c r="B150" s="19"/>
      <c r="C150" s="78" t="s">
        <v>115</v>
      </c>
      <c r="D150" s="35" t="s">
        <v>121</v>
      </c>
      <c r="E150" s="35"/>
      <c r="F150" s="29" t="s">
        <v>122</v>
      </c>
      <c r="G150" s="38">
        <v>4.1399999999999997</v>
      </c>
      <c r="H150" s="38">
        <v>0.03</v>
      </c>
      <c r="I150" s="38">
        <v>0.03</v>
      </c>
      <c r="J150" s="38">
        <v>0.03</v>
      </c>
      <c r="K150" s="38">
        <v>0.03</v>
      </c>
      <c r="L150" s="30">
        <f t="shared" si="8"/>
        <v>4.109</v>
      </c>
      <c r="M150" s="30">
        <f t="shared" si="9"/>
        <v>4.0979999999999999</v>
      </c>
      <c r="N150" s="30">
        <f t="shared" si="10"/>
        <v>1.1000000000000121E-2</v>
      </c>
      <c r="O150" s="31">
        <f t="shared" si="11"/>
        <v>4.1042499999999995</v>
      </c>
      <c r="P150" s="52"/>
      <c r="Q150" s="30">
        <v>4.0999999999999996</v>
      </c>
      <c r="R150" s="30">
        <v>4.101</v>
      </c>
      <c r="S150" s="30">
        <v>4.1040000000000001</v>
      </c>
      <c r="T150" s="30">
        <v>4.0990000000000002</v>
      </c>
      <c r="U150" s="30">
        <v>4.1079999999999997</v>
      </c>
      <c r="V150" s="30">
        <v>4.1079999999999997</v>
      </c>
      <c r="W150" s="30">
        <v>4.1079999999999997</v>
      </c>
      <c r="X150" s="30">
        <v>4.1070000000000002</v>
      </c>
      <c r="Y150" s="30">
        <v>4.1059999999999999</v>
      </c>
      <c r="Z150" s="30">
        <v>4.1079999999999997</v>
      </c>
      <c r="AA150" s="30">
        <v>4.1059999999999999</v>
      </c>
      <c r="AB150" s="30">
        <v>4.109</v>
      </c>
      <c r="AC150" s="30">
        <v>4.1079999999999997</v>
      </c>
      <c r="AD150" s="30">
        <v>4.109</v>
      </c>
      <c r="AE150" s="30">
        <v>4.1070000000000002</v>
      </c>
      <c r="AF150" s="30"/>
      <c r="AG150" s="30"/>
      <c r="AH150" s="30">
        <v>4.1059999999999999</v>
      </c>
      <c r="AI150" s="30">
        <v>4.109</v>
      </c>
      <c r="AJ150" s="30">
        <v>4.1040000000000001</v>
      </c>
      <c r="AK150" s="30">
        <v>4.1070000000000002</v>
      </c>
      <c r="AL150" s="30">
        <v>4.1020000000000003</v>
      </c>
      <c r="AM150" s="30">
        <v>4.0999999999999996</v>
      </c>
      <c r="AN150" s="30">
        <v>4.1029999999999998</v>
      </c>
      <c r="AO150" s="30">
        <v>4.101</v>
      </c>
      <c r="AP150" s="30">
        <v>4.0990000000000002</v>
      </c>
      <c r="AQ150" s="30">
        <v>4.0990000000000002</v>
      </c>
      <c r="AR150" s="30">
        <v>4.101</v>
      </c>
      <c r="AS150" s="30">
        <v>4.0979999999999999</v>
      </c>
      <c r="AT150" s="30">
        <v>4.1020000000000003</v>
      </c>
      <c r="AU150" s="30">
        <v>4.1079999999999997</v>
      </c>
      <c r="AV150" s="30">
        <v>4.1050000000000004</v>
      </c>
      <c r="AW150" s="30">
        <v>4.101</v>
      </c>
    </row>
    <row r="151" spans="1:49" ht="18" customHeight="1">
      <c r="A151" s="23"/>
      <c r="B151" s="19"/>
      <c r="C151" s="78" t="s">
        <v>115</v>
      </c>
      <c r="D151" s="35" t="s">
        <v>123</v>
      </c>
      <c r="E151" s="35"/>
      <c r="F151" s="29" t="s">
        <v>124</v>
      </c>
      <c r="G151" s="38">
        <v>4.1399999999999997</v>
      </c>
      <c r="H151" s="38">
        <v>0.03</v>
      </c>
      <c r="I151" s="38">
        <v>0.03</v>
      </c>
      <c r="J151" s="38">
        <v>0.03</v>
      </c>
      <c r="K151" s="38">
        <v>0.03</v>
      </c>
      <c r="L151" s="30">
        <f t="shared" si="8"/>
        <v>4.1079999999999997</v>
      </c>
      <c r="M151" s="30">
        <f t="shared" si="9"/>
        <v>4.0940000000000003</v>
      </c>
      <c r="N151" s="30">
        <f t="shared" si="10"/>
        <v>1.3999999999999346E-2</v>
      </c>
      <c r="O151" s="31">
        <f t="shared" si="11"/>
        <v>4.1027500000000003</v>
      </c>
      <c r="P151" s="52"/>
      <c r="Q151" s="30">
        <v>4.0940000000000003</v>
      </c>
      <c r="R151" s="30">
        <v>4.0999999999999996</v>
      </c>
      <c r="S151" s="30">
        <v>4.1029999999999998</v>
      </c>
      <c r="T151" s="30">
        <v>4.0990000000000002</v>
      </c>
      <c r="U151" s="30">
        <v>4.1059999999999999</v>
      </c>
      <c r="V151" s="30">
        <v>4.1079999999999997</v>
      </c>
      <c r="W151" s="30">
        <v>4.1040000000000001</v>
      </c>
      <c r="X151" s="30">
        <v>4.1040000000000001</v>
      </c>
      <c r="Y151" s="30">
        <v>4.1040000000000001</v>
      </c>
      <c r="Z151" s="30">
        <v>4.1050000000000004</v>
      </c>
      <c r="AA151" s="30">
        <v>4.1029999999999998</v>
      </c>
      <c r="AB151" s="30">
        <v>4.1070000000000002</v>
      </c>
      <c r="AC151" s="30">
        <v>4.1050000000000004</v>
      </c>
      <c r="AD151" s="30">
        <v>4.1050000000000004</v>
      </c>
      <c r="AE151" s="30">
        <v>4.1059999999999999</v>
      </c>
      <c r="AF151" s="30"/>
      <c r="AG151" s="30"/>
      <c r="AH151" s="30">
        <v>4.1020000000000003</v>
      </c>
      <c r="AI151" s="30">
        <v>4.1029999999999998</v>
      </c>
      <c r="AJ151" s="30">
        <v>4.1040000000000001</v>
      </c>
      <c r="AK151" s="30">
        <v>4.1050000000000004</v>
      </c>
      <c r="AL151" s="30">
        <v>4.1040000000000001</v>
      </c>
      <c r="AM151" s="30">
        <v>4.101</v>
      </c>
      <c r="AN151" s="30">
        <v>4.1020000000000003</v>
      </c>
      <c r="AO151" s="30">
        <v>4.1020000000000003</v>
      </c>
      <c r="AP151" s="30">
        <v>4.1020000000000003</v>
      </c>
      <c r="AQ151" s="30">
        <v>4.0990000000000002</v>
      </c>
      <c r="AR151" s="30">
        <v>4.101</v>
      </c>
      <c r="AS151" s="30">
        <v>4.0999999999999996</v>
      </c>
      <c r="AT151" s="30">
        <v>4.0990000000000002</v>
      </c>
      <c r="AU151" s="30">
        <v>4.1050000000000004</v>
      </c>
      <c r="AV151" s="30">
        <v>4.1029999999999998</v>
      </c>
      <c r="AW151" s="30">
        <v>4.0979999999999999</v>
      </c>
    </row>
    <row r="152" spans="1:49" ht="18" customHeight="1">
      <c r="A152" s="23"/>
      <c r="B152" s="19"/>
      <c r="C152" s="76" t="s">
        <v>77</v>
      </c>
      <c r="D152" s="35" t="s">
        <v>125</v>
      </c>
      <c r="E152" s="35"/>
      <c r="F152" s="29" t="s">
        <v>126</v>
      </c>
      <c r="G152" s="38">
        <v>3.75</v>
      </c>
      <c r="H152" s="38">
        <v>0.08</v>
      </c>
      <c r="I152" s="38">
        <v>0.05</v>
      </c>
      <c r="J152" s="38">
        <v>0.08</v>
      </c>
      <c r="K152" s="38">
        <v>0.05</v>
      </c>
      <c r="L152" s="30">
        <f t="shared" si="8"/>
        <v>3.7690000000000001</v>
      </c>
      <c r="M152" s="30">
        <f t="shared" si="9"/>
        <v>3.7440000000000002</v>
      </c>
      <c r="N152" s="30">
        <f t="shared" si="10"/>
        <v>2.4999999999999911E-2</v>
      </c>
      <c r="O152" s="31">
        <f t="shared" si="11"/>
        <v>3.7518928571428574</v>
      </c>
      <c r="P152" s="52"/>
      <c r="Q152" s="30">
        <v>3.7450000000000001</v>
      </c>
      <c r="R152" s="30">
        <v>3.7480000000000002</v>
      </c>
      <c r="S152" s="30">
        <v>3.754</v>
      </c>
      <c r="T152" s="30">
        <v>3.7549999999999999</v>
      </c>
      <c r="U152" s="30">
        <v>3.7530000000000001</v>
      </c>
      <c r="V152" s="30">
        <v>3.7530000000000001</v>
      </c>
      <c r="W152" s="30">
        <v>3.7629999999999999</v>
      </c>
      <c r="X152" s="30">
        <v>3.7570000000000001</v>
      </c>
      <c r="Y152" s="30">
        <v>3.7509999999999999</v>
      </c>
      <c r="Z152" s="30">
        <v>3.7610000000000001</v>
      </c>
      <c r="AA152" s="30">
        <v>3.7440000000000002</v>
      </c>
      <c r="AB152" s="30">
        <v>3.7480000000000002</v>
      </c>
      <c r="AC152" s="30">
        <v>3.7490000000000001</v>
      </c>
      <c r="AD152" s="30">
        <v>3.7490000000000001</v>
      </c>
      <c r="AE152" s="30">
        <v>3.7480000000000002</v>
      </c>
      <c r="AF152" s="30"/>
      <c r="AG152" s="30"/>
      <c r="AH152" s="30">
        <v>3.7549999999999999</v>
      </c>
      <c r="AI152" s="30">
        <v>3.7559999999999998</v>
      </c>
      <c r="AJ152" s="30">
        <v>3.7530000000000001</v>
      </c>
      <c r="AK152" s="30">
        <v>3.7549999999999999</v>
      </c>
      <c r="AL152" s="30">
        <v>3.7480000000000002</v>
      </c>
      <c r="AM152" s="30">
        <v>3.7480000000000002</v>
      </c>
      <c r="AN152" s="30">
        <v>3.7690000000000001</v>
      </c>
      <c r="AO152" s="30">
        <v>3.7509999999999999</v>
      </c>
      <c r="AP152" s="30">
        <v>3.7450000000000001</v>
      </c>
      <c r="AQ152" s="30">
        <v>3.7480000000000002</v>
      </c>
      <c r="AR152" s="30">
        <v>3.746</v>
      </c>
      <c r="AS152" s="30">
        <v>3.7519999999999998</v>
      </c>
      <c r="AT152" s="30">
        <v>3.7490000000000001</v>
      </c>
      <c r="AU152" s="30">
        <v>3.7429999999999999</v>
      </c>
      <c r="AV152" s="30">
        <v>3.7559999999999998</v>
      </c>
      <c r="AW152" s="30">
        <v>3.762</v>
      </c>
    </row>
    <row r="153" spans="1:49" ht="18" customHeight="1">
      <c r="A153" s="23"/>
      <c r="B153" s="19"/>
      <c r="C153" s="76" t="s">
        <v>77</v>
      </c>
      <c r="D153" s="35" t="s">
        <v>127</v>
      </c>
      <c r="E153" s="35"/>
      <c r="F153" s="29" t="s">
        <v>128</v>
      </c>
      <c r="G153" s="38">
        <v>3.75</v>
      </c>
      <c r="H153" s="38">
        <v>0.08</v>
      </c>
      <c r="I153" s="38">
        <v>0.05</v>
      </c>
      <c r="J153" s="38">
        <v>0.08</v>
      </c>
      <c r="K153" s="38">
        <v>0.05</v>
      </c>
      <c r="L153" s="30">
        <f t="shared" si="8"/>
        <v>3.746</v>
      </c>
      <c r="M153" s="30">
        <f t="shared" si="9"/>
        <v>3.7240000000000002</v>
      </c>
      <c r="N153" s="30">
        <f t="shared" si="10"/>
        <v>2.1999999999999797E-2</v>
      </c>
      <c r="O153" s="31">
        <f t="shared" si="11"/>
        <v>3.7306785714285708</v>
      </c>
      <c r="P153" s="52"/>
      <c r="Q153" s="30">
        <v>3.7280000000000002</v>
      </c>
      <c r="R153" s="30">
        <v>3.738</v>
      </c>
      <c r="S153" s="30">
        <v>3.7330000000000001</v>
      </c>
      <c r="T153" s="30">
        <v>3.726</v>
      </c>
      <c r="U153" s="30">
        <v>3.73</v>
      </c>
      <c r="V153" s="30">
        <v>3.7240000000000002</v>
      </c>
      <c r="W153" s="30">
        <v>3.726</v>
      </c>
      <c r="X153" s="30">
        <v>3.7320000000000002</v>
      </c>
      <c r="Y153" s="30">
        <v>3.7280000000000002</v>
      </c>
      <c r="Z153" s="30">
        <v>3.7429999999999999</v>
      </c>
      <c r="AA153" s="30">
        <v>3.7269999999999999</v>
      </c>
      <c r="AB153" s="30">
        <v>3.7250000000000001</v>
      </c>
      <c r="AC153" s="30">
        <v>3.7280000000000002</v>
      </c>
      <c r="AD153" s="30">
        <v>3.726</v>
      </c>
      <c r="AE153" s="30">
        <v>3.7250000000000001</v>
      </c>
      <c r="AF153" s="30"/>
      <c r="AG153" s="30"/>
      <c r="AH153" s="30">
        <v>3.7280000000000002</v>
      </c>
      <c r="AI153" s="30">
        <v>3.746</v>
      </c>
      <c r="AJ153" s="30">
        <v>3.7280000000000002</v>
      </c>
      <c r="AK153" s="30">
        <v>3.73</v>
      </c>
      <c r="AL153" s="30">
        <v>3.7290000000000001</v>
      </c>
      <c r="AM153" s="30">
        <v>3.7349999999999999</v>
      </c>
      <c r="AN153" s="30">
        <v>3.734</v>
      </c>
      <c r="AO153" s="30">
        <v>3.7250000000000001</v>
      </c>
      <c r="AP153" s="30">
        <v>3.734</v>
      </c>
      <c r="AQ153" s="30">
        <v>3.7440000000000002</v>
      </c>
      <c r="AR153" s="30">
        <v>3.726</v>
      </c>
      <c r="AS153" s="30">
        <v>3.7349999999999999</v>
      </c>
      <c r="AT153" s="30">
        <v>3.726</v>
      </c>
      <c r="AU153" s="30">
        <v>3.734</v>
      </c>
      <c r="AV153" s="30">
        <v>3.7280000000000002</v>
      </c>
      <c r="AW153" s="30">
        <v>3.738</v>
      </c>
    </row>
    <row r="154" spans="1:49" ht="18" customHeight="1">
      <c r="A154" s="23"/>
      <c r="B154" s="19"/>
      <c r="C154" s="76" t="s">
        <v>77</v>
      </c>
      <c r="D154" s="35" t="s">
        <v>129</v>
      </c>
      <c r="E154" s="35"/>
      <c r="F154" s="29" t="s">
        <v>130</v>
      </c>
      <c r="G154" s="38">
        <v>3.75</v>
      </c>
      <c r="H154" s="38">
        <v>0.05</v>
      </c>
      <c r="I154" s="38">
        <v>0.05</v>
      </c>
      <c r="J154" s="38">
        <v>0.05</v>
      </c>
      <c r="K154" s="38">
        <v>0.05</v>
      </c>
      <c r="L154" s="30">
        <f t="shared" si="8"/>
        <v>3.7519999999999998</v>
      </c>
      <c r="M154" s="30">
        <f t="shared" si="9"/>
        <v>3.7370000000000001</v>
      </c>
      <c r="N154" s="30">
        <f t="shared" si="10"/>
        <v>1.499999999999968E-2</v>
      </c>
      <c r="O154" s="31">
        <f t="shared" si="11"/>
        <v>3.7437499999999995</v>
      </c>
      <c r="P154" s="52"/>
      <c r="Q154" s="30">
        <v>3.7370000000000001</v>
      </c>
      <c r="R154" s="30">
        <v>3.7440000000000002</v>
      </c>
      <c r="S154" s="30">
        <v>3.74</v>
      </c>
      <c r="T154" s="30">
        <v>3.7389999999999999</v>
      </c>
      <c r="U154" s="30">
        <v>3.738</v>
      </c>
      <c r="V154" s="30">
        <v>3.746</v>
      </c>
      <c r="W154" s="30">
        <v>3.74</v>
      </c>
      <c r="X154" s="30">
        <v>3.75</v>
      </c>
      <c r="Y154" s="30">
        <v>3.7440000000000002</v>
      </c>
      <c r="Z154" s="30">
        <v>3.75</v>
      </c>
      <c r="AA154" s="30">
        <v>3.7429999999999999</v>
      </c>
      <c r="AB154" s="30">
        <v>3.7509999999999999</v>
      </c>
      <c r="AC154" s="30">
        <v>3.7509999999999999</v>
      </c>
      <c r="AD154" s="30">
        <v>3.74</v>
      </c>
      <c r="AE154" s="30">
        <v>3.7429999999999999</v>
      </c>
      <c r="AF154" s="30"/>
      <c r="AG154" s="30"/>
      <c r="AH154" s="30">
        <v>3.742</v>
      </c>
      <c r="AI154" s="30">
        <v>3.7450000000000001</v>
      </c>
      <c r="AJ154" s="30">
        <v>3.742</v>
      </c>
      <c r="AK154" s="30">
        <v>3.7389999999999999</v>
      </c>
      <c r="AL154" s="30">
        <v>3.7440000000000002</v>
      </c>
      <c r="AM154" s="30">
        <v>3.7450000000000001</v>
      </c>
      <c r="AN154" s="30">
        <v>3.74</v>
      </c>
      <c r="AO154" s="30">
        <v>3.7410000000000001</v>
      </c>
      <c r="AP154" s="30">
        <v>3.7429999999999999</v>
      </c>
      <c r="AQ154" s="30">
        <v>3.7480000000000002</v>
      </c>
      <c r="AR154" s="30">
        <v>3.746</v>
      </c>
      <c r="AS154" s="30">
        <v>3.7519999999999998</v>
      </c>
      <c r="AT154" s="30">
        <v>3.742</v>
      </c>
      <c r="AU154" s="30">
        <v>3.7450000000000001</v>
      </c>
      <c r="AV154" s="30">
        <v>3.7440000000000002</v>
      </c>
      <c r="AW154" s="30">
        <v>3.7490000000000001</v>
      </c>
    </row>
    <row r="155" spans="1:49" ht="18" customHeight="1">
      <c r="A155" s="23"/>
      <c r="B155" s="19"/>
      <c r="C155" s="76" t="s">
        <v>77</v>
      </c>
      <c r="D155" s="35" t="s">
        <v>131</v>
      </c>
      <c r="E155" s="35"/>
      <c r="F155" s="29" t="s">
        <v>132</v>
      </c>
      <c r="G155" s="38">
        <v>3.75</v>
      </c>
      <c r="H155" s="38">
        <v>0.05</v>
      </c>
      <c r="I155" s="38">
        <v>0.05</v>
      </c>
      <c r="J155" s="38">
        <v>0.05</v>
      </c>
      <c r="K155" s="38">
        <v>0.05</v>
      </c>
      <c r="L155" s="30">
        <f t="shared" si="8"/>
        <v>3.762</v>
      </c>
      <c r="M155" s="30">
        <f t="shared" si="9"/>
        <v>3.7389999999999999</v>
      </c>
      <c r="N155" s="30">
        <f t="shared" si="10"/>
        <v>2.3000000000000131E-2</v>
      </c>
      <c r="O155" s="31">
        <f t="shared" si="11"/>
        <v>3.7494285714285716</v>
      </c>
      <c r="P155" s="52"/>
      <c r="Q155" s="30">
        <v>3.7559999999999998</v>
      </c>
      <c r="R155" s="30">
        <v>3.7469999999999999</v>
      </c>
      <c r="S155" s="30">
        <v>3.74</v>
      </c>
      <c r="T155" s="30">
        <v>3.7559999999999998</v>
      </c>
      <c r="U155" s="30">
        <v>3.7549999999999999</v>
      </c>
      <c r="V155" s="30">
        <v>3.7549999999999999</v>
      </c>
      <c r="W155" s="30">
        <v>3.7480000000000002</v>
      </c>
      <c r="X155" s="30">
        <v>3.762</v>
      </c>
      <c r="Y155" s="30">
        <v>3.7530000000000001</v>
      </c>
      <c r="Z155" s="30">
        <v>3.7549999999999999</v>
      </c>
      <c r="AA155" s="30">
        <v>3.7450000000000001</v>
      </c>
      <c r="AB155" s="30">
        <v>3.7389999999999999</v>
      </c>
      <c r="AC155" s="30">
        <v>3.7389999999999999</v>
      </c>
      <c r="AD155" s="30">
        <v>3.746</v>
      </c>
      <c r="AE155" s="30">
        <v>3.7509999999999999</v>
      </c>
      <c r="AF155" s="30"/>
      <c r="AG155" s="30"/>
      <c r="AH155" s="30">
        <v>3.74</v>
      </c>
      <c r="AI155" s="30">
        <v>3.7519999999999998</v>
      </c>
      <c r="AJ155" s="30">
        <v>3.75</v>
      </c>
      <c r="AK155" s="30">
        <v>3.75</v>
      </c>
      <c r="AL155" s="30">
        <v>3.7519999999999998</v>
      </c>
      <c r="AM155" s="30">
        <v>3.7530000000000001</v>
      </c>
      <c r="AN155" s="30">
        <v>3.75</v>
      </c>
      <c r="AO155" s="30">
        <v>3.754</v>
      </c>
      <c r="AP155" s="30">
        <v>3.7559999999999998</v>
      </c>
      <c r="AQ155" s="30">
        <v>3.7490000000000001</v>
      </c>
      <c r="AR155" s="30">
        <v>3.7480000000000002</v>
      </c>
      <c r="AS155" s="30">
        <v>3.7410000000000001</v>
      </c>
      <c r="AT155" s="30">
        <v>3.742</v>
      </c>
      <c r="AU155" s="30">
        <v>3.7429999999999999</v>
      </c>
      <c r="AV155" s="30">
        <v>3.74</v>
      </c>
      <c r="AW155" s="30">
        <v>3.7530000000000001</v>
      </c>
    </row>
    <row r="156" spans="1:49" ht="18" customHeight="1">
      <c r="A156" s="23"/>
      <c r="B156" s="19"/>
      <c r="C156" s="78" t="s">
        <v>115</v>
      </c>
      <c r="D156" s="35" t="s">
        <v>133</v>
      </c>
      <c r="E156" s="35"/>
      <c r="F156" s="29" t="s">
        <v>134</v>
      </c>
      <c r="G156" s="38">
        <v>0.95</v>
      </c>
      <c r="H156" s="38">
        <v>0.04</v>
      </c>
      <c r="I156" s="38">
        <v>0.04</v>
      </c>
      <c r="J156" s="38">
        <v>0.04</v>
      </c>
      <c r="K156" s="38">
        <v>0.04</v>
      </c>
      <c r="L156" s="30">
        <f t="shared" si="8"/>
        <v>0.92400000000000004</v>
      </c>
      <c r="M156" s="30">
        <f t="shared" si="9"/>
        <v>0.91</v>
      </c>
      <c r="N156" s="30">
        <f t="shared" si="10"/>
        <v>1.4000000000000012E-2</v>
      </c>
      <c r="O156" s="31">
        <f t="shared" si="11"/>
        <v>0.9178571428571427</v>
      </c>
      <c r="P156" s="52"/>
      <c r="Q156" s="30">
        <v>0.91800000000000004</v>
      </c>
      <c r="R156" s="30">
        <v>0.91500000000000004</v>
      </c>
      <c r="S156" s="30">
        <v>0.91600000000000004</v>
      </c>
      <c r="T156" s="30">
        <v>0.91300000000000003</v>
      </c>
      <c r="U156" s="30">
        <v>0.91900000000000004</v>
      </c>
      <c r="V156" s="30">
        <v>0.91800000000000004</v>
      </c>
      <c r="W156" s="30">
        <v>0.91800000000000004</v>
      </c>
      <c r="X156" s="30">
        <v>0.91200000000000003</v>
      </c>
      <c r="Y156" s="30">
        <v>0.91700000000000004</v>
      </c>
      <c r="Z156" s="30">
        <v>0.92200000000000004</v>
      </c>
      <c r="AA156" s="30">
        <v>0.91</v>
      </c>
      <c r="AB156" s="30">
        <v>0.92</v>
      </c>
      <c r="AC156" s="30">
        <v>0.91500000000000004</v>
      </c>
      <c r="AD156" s="30">
        <v>0.91200000000000003</v>
      </c>
      <c r="AE156" s="30">
        <v>0.91900000000000004</v>
      </c>
      <c r="AF156" s="30"/>
      <c r="AG156" s="30"/>
      <c r="AH156" s="30">
        <v>0.91400000000000003</v>
      </c>
      <c r="AI156" s="30">
        <v>0.92</v>
      </c>
      <c r="AJ156" s="30">
        <v>0.91700000000000004</v>
      </c>
      <c r="AK156" s="30">
        <v>0.92300000000000004</v>
      </c>
      <c r="AL156" s="30">
        <v>0.91600000000000004</v>
      </c>
      <c r="AM156" s="30">
        <v>0.92100000000000004</v>
      </c>
      <c r="AN156" s="30">
        <v>0.91500000000000004</v>
      </c>
      <c r="AO156" s="30">
        <v>0.91800000000000004</v>
      </c>
      <c r="AP156" s="30">
        <v>0.92100000000000004</v>
      </c>
      <c r="AQ156" s="30">
        <v>0.92</v>
      </c>
      <c r="AR156" s="30">
        <v>0.92400000000000004</v>
      </c>
      <c r="AS156" s="30">
        <v>0.92300000000000004</v>
      </c>
      <c r="AT156" s="30">
        <v>0.92400000000000004</v>
      </c>
      <c r="AU156" s="30">
        <v>0.92500000000000004</v>
      </c>
      <c r="AV156" s="30">
        <v>0.92100000000000004</v>
      </c>
      <c r="AW156" s="30">
        <v>0.92200000000000004</v>
      </c>
    </row>
    <row r="157" spans="1:49" ht="18" customHeight="1">
      <c r="A157" s="23"/>
      <c r="B157" s="19"/>
      <c r="C157" s="78" t="s">
        <v>115</v>
      </c>
      <c r="D157" s="35" t="s">
        <v>135</v>
      </c>
      <c r="E157" s="35"/>
      <c r="F157" s="29" t="s">
        <v>136</v>
      </c>
      <c r="G157" s="38">
        <v>1.85</v>
      </c>
      <c r="H157" s="38">
        <v>0.05</v>
      </c>
      <c r="I157" s="38">
        <v>0.09</v>
      </c>
      <c r="J157" s="38">
        <v>0.05</v>
      </c>
      <c r="K157" s="38">
        <v>0.09</v>
      </c>
      <c r="L157" s="30">
        <f t="shared" si="8"/>
        <v>1.84</v>
      </c>
      <c r="M157" s="30">
        <f t="shared" si="9"/>
        <v>1.8320000000000001</v>
      </c>
      <c r="N157" s="30">
        <f t="shared" si="10"/>
        <v>8.0000000000000071E-3</v>
      </c>
      <c r="O157" s="31">
        <f t="shared" si="11"/>
        <v>1.8353928571428573</v>
      </c>
      <c r="P157" s="52"/>
      <c r="Q157" s="30">
        <v>1.84</v>
      </c>
      <c r="R157" s="30">
        <v>1.835</v>
      </c>
      <c r="S157" s="30">
        <v>1.835</v>
      </c>
      <c r="T157" s="30">
        <v>1.833</v>
      </c>
      <c r="U157" s="30">
        <v>1.8340000000000001</v>
      </c>
      <c r="V157" s="30">
        <v>1.84</v>
      </c>
      <c r="W157" s="30">
        <v>1.833</v>
      </c>
      <c r="X157" s="30">
        <v>1.8360000000000001</v>
      </c>
      <c r="Y157" s="30">
        <v>1.8360000000000001</v>
      </c>
      <c r="Z157" s="30">
        <v>1.8360000000000001</v>
      </c>
      <c r="AA157" s="30">
        <v>1.8340000000000001</v>
      </c>
      <c r="AB157" s="30">
        <v>1.839</v>
      </c>
      <c r="AC157" s="30">
        <v>1.8340000000000001</v>
      </c>
      <c r="AD157" s="30">
        <v>1.8360000000000001</v>
      </c>
      <c r="AE157" s="30">
        <v>1.837</v>
      </c>
      <c r="AF157" s="30"/>
      <c r="AG157" s="30"/>
      <c r="AH157" s="30">
        <v>1.833</v>
      </c>
      <c r="AI157" s="30">
        <v>1.835</v>
      </c>
      <c r="AJ157" s="30">
        <v>1.8340000000000001</v>
      </c>
      <c r="AK157" s="30">
        <v>1.837</v>
      </c>
      <c r="AL157" s="30">
        <v>1.8320000000000001</v>
      </c>
      <c r="AM157" s="30">
        <v>1.8360000000000001</v>
      </c>
      <c r="AN157" s="30">
        <v>1.8320000000000001</v>
      </c>
      <c r="AO157" s="30">
        <v>1.8340000000000001</v>
      </c>
      <c r="AP157" s="30">
        <v>1.8360000000000001</v>
      </c>
      <c r="AQ157" s="30">
        <v>1.835</v>
      </c>
      <c r="AR157" s="30">
        <v>1.837</v>
      </c>
      <c r="AS157" s="30">
        <v>1.835</v>
      </c>
      <c r="AT157" s="30">
        <v>1.837</v>
      </c>
      <c r="AU157" s="30">
        <v>1.835</v>
      </c>
      <c r="AV157" s="30">
        <v>1.833</v>
      </c>
      <c r="AW157" s="30">
        <v>1.835</v>
      </c>
    </row>
    <row r="158" spans="1:49" ht="18" customHeight="1">
      <c r="A158" s="23"/>
      <c r="B158" s="19"/>
      <c r="C158" s="75" t="s">
        <v>65</v>
      </c>
      <c r="D158" s="35" t="s">
        <v>137</v>
      </c>
      <c r="E158" s="35"/>
      <c r="F158" s="29" t="s">
        <v>138</v>
      </c>
      <c r="G158" s="38">
        <v>2.5299999999999998</v>
      </c>
      <c r="H158" s="38">
        <v>0.08</v>
      </c>
      <c r="I158" s="38">
        <v>0.03</v>
      </c>
      <c r="J158" s="38">
        <v>0.08</v>
      </c>
      <c r="K158" s="38">
        <v>0.03</v>
      </c>
      <c r="L158" s="30">
        <f t="shared" si="8"/>
        <v>2.532</v>
      </c>
      <c r="M158" s="30">
        <f t="shared" si="9"/>
        <v>2.52</v>
      </c>
      <c r="N158" s="30">
        <f t="shared" si="10"/>
        <v>1.2000000000000011E-2</v>
      </c>
      <c r="O158" s="31">
        <f t="shared" si="11"/>
        <v>2.5257857142857141</v>
      </c>
      <c r="P158" s="52"/>
      <c r="Q158" s="30">
        <v>2.524</v>
      </c>
      <c r="R158" s="30">
        <v>2.5259999999999998</v>
      </c>
      <c r="S158" s="30">
        <v>2.5289999999999999</v>
      </c>
      <c r="T158" s="30">
        <v>2.5259999999999998</v>
      </c>
      <c r="U158" s="30">
        <v>2.5259999999999998</v>
      </c>
      <c r="V158" s="30">
        <v>2.524</v>
      </c>
      <c r="W158" s="30">
        <v>2.5259999999999998</v>
      </c>
      <c r="X158" s="30">
        <v>2.5299999999999998</v>
      </c>
      <c r="Y158" s="30">
        <v>2.528</v>
      </c>
      <c r="Z158" s="30">
        <v>2.532</v>
      </c>
      <c r="AA158" s="30">
        <v>2.528</v>
      </c>
      <c r="AB158" s="30">
        <v>2.5259999999999998</v>
      </c>
      <c r="AC158" s="30">
        <v>2.5270000000000001</v>
      </c>
      <c r="AD158" s="30">
        <v>2.5219999999999998</v>
      </c>
      <c r="AE158" s="30">
        <v>2.5219999999999998</v>
      </c>
      <c r="AF158" s="30"/>
      <c r="AG158" s="30"/>
      <c r="AH158" s="30">
        <v>2.5259999999999998</v>
      </c>
      <c r="AI158" s="30">
        <v>2.524</v>
      </c>
      <c r="AJ158" s="30">
        <v>2.5259999999999998</v>
      </c>
      <c r="AK158" s="30">
        <v>2.5289999999999999</v>
      </c>
      <c r="AL158" s="30">
        <v>2.524</v>
      </c>
      <c r="AM158" s="30">
        <v>2.5249999999999999</v>
      </c>
      <c r="AN158" s="30">
        <v>2.528</v>
      </c>
      <c r="AO158" s="30">
        <v>2.5230000000000001</v>
      </c>
      <c r="AP158" s="30">
        <v>2.5219999999999998</v>
      </c>
      <c r="AQ158" s="30">
        <v>2.528</v>
      </c>
      <c r="AR158" s="30">
        <v>2.5259999999999998</v>
      </c>
      <c r="AS158" s="30">
        <v>2.5249999999999999</v>
      </c>
      <c r="AT158" s="30">
        <v>2.52</v>
      </c>
      <c r="AU158" s="30">
        <v>2.5259999999999998</v>
      </c>
      <c r="AV158" s="30">
        <v>2.5249999999999999</v>
      </c>
      <c r="AW158" s="30">
        <v>2.532</v>
      </c>
    </row>
    <row r="159" spans="1:49" ht="18" customHeight="1">
      <c r="A159" s="23"/>
      <c r="B159" s="19"/>
      <c r="C159" s="75" t="s">
        <v>65</v>
      </c>
      <c r="D159" s="35" t="s">
        <v>139</v>
      </c>
      <c r="E159" s="35"/>
      <c r="F159" s="29" t="s">
        <v>140</v>
      </c>
      <c r="G159" s="38">
        <v>2.5299999999999998</v>
      </c>
      <c r="H159" s="38">
        <v>0.08</v>
      </c>
      <c r="I159" s="38">
        <v>0.03</v>
      </c>
      <c r="J159" s="38">
        <v>0.08</v>
      </c>
      <c r="K159" s="38">
        <v>0.03</v>
      </c>
      <c r="L159" s="30">
        <f t="shared" si="8"/>
        <v>2.5259999999999998</v>
      </c>
      <c r="M159" s="30">
        <f t="shared" si="9"/>
        <v>2.5139999999999998</v>
      </c>
      <c r="N159" s="30">
        <f t="shared" si="10"/>
        <v>1.2000000000000011E-2</v>
      </c>
      <c r="O159" s="31">
        <f t="shared" si="11"/>
        <v>2.5202142857142862</v>
      </c>
      <c r="P159" s="52"/>
      <c r="Q159" s="30">
        <v>2.516</v>
      </c>
      <c r="R159" s="30">
        <v>2.5219999999999998</v>
      </c>
      <c r="S159" s="30">
        <v>2.524</v>
      </c>
      <c r="T159" s="30">
        <v>2.5179999999999998</v>
      </c>
      <c r="U159" s="30">
        <v>2.52</v>
      </c>
      <c r="V159" s="30">
        <v>2.5190000000000001</v>
      </c>
      <c r="W159" s="30">
        <v>2.5209999999999999</v>
      </c>
      <c r="X159" s="30">
        <v>2.524</v>
      </c>
      <c r="Y159" s="30">
        <v>2.524</v>
      </c>
      <c r="Z159" s="30">
        <v>2.5219999999999998</v>
      </c>
      <c r="AA159" s="30">
        <v>2.5230000000000001</v>
      </c>
      <c r="AB159" s="30">
        <v>2.5209999999999999</v>
      </c>
      <c r="AC159" s="30">
        <v>2.52</v>
      </c>
      <c r="AD159" s="30">
        <v>2.5169999999999999</v>
      </c>
      <c r="AE159" s="30">
        <v>2.5190000000000001</v>
      </c>
      <c r="AF159" s="30"/>
      <c r="AG159" s="30"/>
      <c r="AH159" s="30">
        <v>2.52</v>
      </c>
      <c r="AI159" s="30">
        <v>2.5169999999999999</v>
      </c>
      <c r="AJ159" s="30">
        <v>2.5209999999999999</v>
      </c>
      <c r="AK159" s="30">
        <v>2.52</v>
      </c>
      <c r="AL159" s="30">
        <v>2.5169999999999999</v>
      </c>
      <c r="AM159" s="30">
        <v>2.52</v>
      </c>
      <c r="AN159" s="30">
        <v>2.5259999999999998</v>
      </c>
      <c r="AO159" s="30">
        <v>2.5179999999999998</v>
      </c>
      <c r="AP159" s="30">
        <v>2.5169999999999999</v>
      </c>
      <c r="AQ159" s="30">
        <v>2.524</v>
      </c>
      <c r="AR159" s="30">
        <v>2.5219999999999998</v>
      </c>
      <c r="AS159" s="30">
        <v>2.52</v>
      </c>
      <c r="AT159" s="30">
        <v>2.5139999999999998</v>
      </c>
      <c r="AU159" s="30">
        <v>2.5230000000000001</v>
      </c>
      <c r="AV159" s="30">
        <v>2.52</v>
      </c>
      <c r="AW159" s="30">
        <v>2.5249999999999999</v>
      </c>
    </row>
    <row r="160" spans="1:49" ht="18" customHeight="1">
      <c r="A160" s="23"/>
      <c r="B160" s="19"/>
      <c r="C160" s="76" t="s">
        <v>77</v>
      </c>
      <c r="D160" s="35" t="s">
        <v>141</v>
      </c>
      <c r="E160" s="35" t="s">
        <v>315</v>
      </c>
      <c r="F160" s="29" t="s">
        <v>143</v>
      </c>
      <c r="G160" s="38"/>
      <c r="H160" s="38">
        <v>0.1</v>
      </c>
      <c r="I160" s="38"/>
      <c r="J160" s="38">
        <v>0.1</v>
      </c>
      <c r="K160" s="38"/>
      <c r="L160" s="30">
        <f t="shared" si="8"/>
        <v>0.06</v>
      </c>
      <c r="M160" s="30">
        <f t="shared" si="9"/>
        <v>3.7999999999999999E-2</v>
      </c>
      <c r="N160" s="30">
        <f t="shared" si="10"/>
        <v>2.1999999999999999E-2</v>
      </c>
      <c r="O160" s="31">
        <f t="shared" si="11"/>
        <v>4.9714285714285725E-2</v>
      </c>
      <c r="P160" s="52"/>
      <c r="Q160" s="30">
        <v>5.1999999999999998E-2</v>
      </c>
      <c r="R160" s="30">
        <v>0.05</v>
      </c>
      <c r="S160" s="30">
        <v>4.9000000000000002E-2</v>
      </c>
      <c r="T160" s="30">
        <v>4.2999999999999997E-2</v>
      </c>
      <c r="U160" s="30">
        <v>4.9000000000000002E-2</v>
      </c>
      <c r="V160" s="30">
        <v>4.5999999999999999E-2</v>
      </c>
      <c r="W160" s="30">
        <v>3.7999999999999999E-2</v>
      </c>
      <c r="X160" s="30">
        <v>0.05</v>
      </c>
      <c r="Y160" s="30">
        <v>4.9000000000000002E-2</v>
      </c>
      <c r="Z160" s="30">
        <v>5.5E-2</v>
      </c>
      <c r="AA160" s="30">
        <v>5.1999999999999998E-2</v>
      </c>
      <c r="AB160" s="30">
        <v>0.06</v>
      </c>
      <c r="AC160" s="30">
        <v>5.8000000000000003E-2</v>
      </c>
      <c r="AD160" s="30">
        <v>4.8000000000000001E-2</v>
      </c>
      <c r="AE160" s="30">
        <v>5.5E-2</v>
      </c>
      <c r="AF160" s="30"/>
      <c r="AG160" s="30"/>
      <c r="AH160" s="30">
        <v>4.1000000000000002E-2</v>
      </c>
      <c r="AI160" s="30">
        <v>4.8000000000000001E-2</v>
      </c>
      <c r="AJ160" s="30">
        <v>4.4999999999999998E-2</v>
      </c>
      <c r="AK160" s="30">
        <v>5.3999999999999999E-2</v>
      </c>
      <c r="AL160" s="30">
        <v>4.2000000000000003E-2</v>
      </c>
      <c r="AM160" s="30">
        <v>5.2999999999999999E-2</v>
      </c>
      <c r="AN160" s="30">
        <v>4.9000000000000002E-2</v>
      </c>
      <c r="AO160" s="30">
        <v>5.5E-2</v>
      </c>
      <c r="AP160" s="30">
        <v>5.3999999999999999E-2</v>
      </c>
      <c r="AQ160" s="30">
        <v>5.2999999999999999E-2</v>
      </c>
      <c r="AR160" s="30">
        <v>5.1999999999999998E-2</v>
      </c>
      <c r="AS160" s="30">
        <v>4.8000000000000001E-2</v>
      </c>
      <c r="AT160" s="30">
        <v>4.3999999999999997E-2</v>
      </c>
      <c r="AU160" s="30">
        <v>5.3999999999999999E-2</v>
      </c>
      <c r="AV160" s="30">
        <v>0.05</v>
      </c>
      <c r="AW160" s="30">
        <v>6.3E-2</v>
      </c>
    </row>
    <row r="161" spans="1:49" ht="18" customHeight="1">
      <c r="A161" s="23"/>
      <c r="B161" s="19"/>
      <c r="C161" s="75" t="s">
        <v>65</v>
      </c>
      <c r="D161" s="35" t="s">
        <v>144</v>
      </c>
      <c r="E161" s="35"/>
      <c r="F161" s="29" t="s">
        <v>145</v>
      </c>
      <c r="G161" s="38">
        <v>2.48</v>
      </c>
      <c r="H161" s="38">
        <v>0.08</v>
      </c>
      <c r="I161" s="38">
        <v>0.03</v>
      </c>
      <c r="J161" s="38">
        <v>0.08</v>
      </c>
      <c r="K161" s="38">
        <v>0.03</v>
      </c>
      <c r="L161" s="30">
        <f t="shared" si="8"/>
        <v>2.4889999999999999</v>
      </c>
      <c r="M161" s="30">
        <f t="shared" si="9"/>
        <v>2.4750000000000001</v>
      </c>
      <c r="N161" s="30">
        <f t="shared" si="10"/>
        <v>1.399999999999979E-2</v>
      </c>
      <c r="O161" s="31">
        <f t="shared" si="11"/>
        <v>2.4816785714285707</v>
      </c>
      <c r="P161" s="52"/>
      <c r="Q161" s="30">
        <v>2.48</v>
      </c>
      <c r="R161" s="30">
        <v>2.4820000000000002</v>
      </c>
      <c r="S161" s="30">
        <v>2.484</v>
      </c>
      <c r="T161" s="30">
        <v>2.4790000000000001</v>
      </c>
      <c r="U161" s="30">
        <v>2.4809999999999999</v>
      </c>
      <c r="V161" s="30">
        <v>2.48</v>
      </c>
      <c r="W161" s="30">
        <v>2.4820000000000002</v>
      </c>
      <c r="X161" s="30">
        <v>2.4889999999999999</v>
      </c>
      <c r="Y161" s="30">
        <v>2.484</v>
      </c>
      <c r="Z161" s="30">
        <v>2.4820000000000002</v>
      </c>
      <c r="AA161" s="30">
        <v>2.484</v>
      </c>
      <c r="AB161" s="30">
        <v>2.4820000000000002</v>
      </c>
      <c r="AC161" s="30">
        <v>2.484</v>
      </c>
      <c r="AD161" s="30">
        <v>2.48</v>
      </c>
      <c r="AE161" s="30">
        <v>2.48</v>
      </c>
      <c r="AF161" s="30"/>
      <c r="AG161" s="30"/>
      <c r="AH161" s="30">
        <v>2.4769999999999999</v>
      </c>
      <c r="AI161" s="30">
        <v>2.48</v>
      </c>
      <c r="AJ161" s="30">
        <v>2.484</v>
      </c>
      <c r="AK161" s="30">
        <v>2.4830000000000001</v>
      </c>
      <c r="AL161" s="30">
        <v>2.48</v>
      </c>
      <c r="AM161" s="30">
        <v>2.4820000000000002</v>
      </c>
      <c r="AN161" s="30">
        <v>2.484</v>
      </c>
      <c r="AO161" s="30">
        <v>2.48</v>
      </c>
      <c r="AP161" s="30">
        <v>2.48</v>
      </c>
      <c r="AQ161" s="30">
        <v>2.4830000000000001</v>
      </c>
      <c r="AR161" s="30">
        <v>2.4830000000000001</v>
      </c>
      <c r="AS161" s="30">
        <v>2.4830000000000001</v>
      </c>
      <c r="AT161" s="30">
        <v>2.4750000000000001</v>
      </c>
      <c r="AU161" s="30">
        <v>2.4820000000000002</v>
      </c>
      <c r="AV161" s="30">
        <v>2.4830000000000001</v>
      </c>
      <c r="AW161" s="30">
        <v>2.4900000000000002</v>
      </c>
    </row>
    <row r="162" spans="1:49" ht="18" customHeight="1">
      <c r="A162" s="23"/>
      <c r="B162" s="19"/>
      <c r="C162" s="75" t="s">
        <v>65</v>
      </c>
      <c r="D162" s="35" t="s">
        <v>146</v>
      </c>
      <c r="E162" s="35"/>
      <c r="F162" s="29" t="s">
        <v>147</v>
      </c>
      <c r="G162" s="38">
        <v>2.48</v>
      </c>
      <c r="H162" s="38">
        <v>0.08</v>
      </c>
      <c r="I162" s="38">
        <v>0.03</v>
      </c>
      <c r="J162" s="38">
        <v>0.08</v>
      </c>
      <c r="K162" s="38">
        <v>0.03</v>
      </c>
      <c r="L162" s="30">
        <f t="shared" si="8"/>
        <v>2.488</v>
      </c>
      <c r="M162" s="30">
        <f t="shared" si="9"/>
        <v>2.4740000000000002</v>
      </c>
      <c r="N162" s="30">
        <f t="shared" si="10"/>
        <v>1.399999999999979E-2</v>
      </c>
      <c r="O162" s="31">
        <f t="shared" si="11"/>
        <v>2.4819642857142847</v>
      </c>
      <c r="P162" s="52"/>
      <c r="Q162" s="30">
        <v>2.4809999999999999</v>
      </c>
      <c r="R162" s="30">
        <v>2.4830000000000001</v>
      </c>
      <c r="S162" s="30">
        <v>2.4849999999999999</v>
      </c>
      <c r="T162" s="30">
        <v>2.4790000000000001</v>
      </c>
      <c r="U162" s="30">
        <v>2.4820000000000002</v>
      </c>
      <c r="V162" s="30">
        <v>2.48</v>
      </c>
      <c r="W162" s="30">
        <v>2.4820000000000002</v>
      </c>
      <c r="X162" s="30">
        <v>2.488</v>
      </c>
      <c r="Y162" s="30">
        <v>2.4849999999999999</v>
      </c>
      <c r="Z162" s="30">
        <v>2.4820000000000002</v>
      </c>
      <c r="AA162" s="30">
        <v>2.4849999999999999</v>
      </c>
      <c r="AB162" s="30">
        <v>2.4820000000000002</v>
      </c>
      <c r="AC162" s="30">
        <v>2.4820000000000002</v>
      </c>
      <c r="AD162" s="30">
        <v>2.48</v>
      </c>
      <c r="AE162" s="30">
        <v>2.48</v>
      </c>
      <c r="AF162" s="30"/>
      <c r="AG162" s="30"/>
      <c r="AH162" s="30">
        <v>2.48</v>
      </c>
      <c r="AI162" s="30">
        <v>2.48</v>
      </c>
      <c r="AJ162" s="30">
        <v>2.484</v>
      </c>
      <c r="AK162" s="30">
        <v>2.4830000000000001</v>
      </c>
      <c r="AL162" s="30">
        <v>2.48</v>
      </c>
      <c r="AM162" s="30">
        <v>2.4830000000000001</v>
      </c>
      <c r="AN162" s="30">
        <v>2.484</v>
      </c>
      <c r="AO162" s="30">
        <v>2.48</v>
      </c>
      <c r="AP162" s="30">
        <v>2.48</v>
      </c>
      <c r="AQ162" s="30">
        <v>2.484</v>
      </c>
      <c r="AR162" s="30">
        <v>2.4830000000000001</v>
      </c>
      <c r="AS162" s="30">
        <v>2.484</v>
      </c>
      <c r="AT162" s="30">
        <v>2.4740000000000002</v>
      </c>
      <c r="AU162" s="30">
        <v>2.4820000000000002</v>
      </c>
      <c r="AV162" s="30">
        <v>2.484</v>
      </c>
      <c r="AW162" s="30">
        <v>2.4889999999999999</v>
      </c>
    </row>
    <row r="163" spans="1:49" ht="18" customHeight="1">
      <c r="A163" s="23"/>
      <c r="B163" s="19"/>
      <c r="C163" s="75" t="s">
        <v>65</v>
      </c>
      <c r="D163" s="35" t="s">
        <v>316</v>
      </c>
      <c r="E163" s="35"/>
      <c r="F163" s="29" t="s">
        <v>149</v>
      </c>
      <c r="G163" s="38">
        <v>1.17</v>
      </c>
      <c r="H163" s="38">
        <v>0.05</v>
      </c>
      <c r="I163" s="38">
        <v>7.0000000000000007E-2</v>
      </c>
      <c r="J163" s="38">
        <v>0.05</v>
      </c>
      <c r="K163" s="38">
        <v>7.0000000000000007E-2</v>
      </c>
      <c r="L163" s="30">
        <f t="shared" si="8"/>
        <v>1.1539999999999999</v>
      </c>
      <c r="M163" s="30">
        <f t="shared" si="9"/>
        <v>1.1459999999999999</v>
      </c>
      <c r="N163" s="30">
        <f t="shared" si="10"/>
        <v>8.0000000000000071E-3</v>
      </c>
      <c r="O163" s="31">
        <f t="shared" si="11"/>
        <v>1.1489999999999998</v>
      </c>
      <c r="P163" s="52"/>
      <c r="Q163" s="30">
        <v>1.149</v>
      </c>
      <c r="R163" s="30">
        <v>1.1539999999999999</v>
      </c>
      <c r="S163" s="30">
        <v>1.1479999999999999</v>
      </c>
      <c r="T163" s="30">
        <v>1.149</v>
      </c>
      <c r="U163" s="30">
        <v>1.147</v>
      </c>
      <c r="V163" s="30">
        <v>1.1479999999999999</v>
      </c>
      <c r="W163" s="30">
        <v>1.147</v>
      </c>
      <c r="X163" s="30">
        <v>1.149</v>
      </c>
      <c r="Y163" s="30">
        <v>1.149</v>
      </c>
      <c r="Z163" s="30">
        <v>1.1479999999999999</v>
      </c>
      <c r="AA163" s="30">
        <v>1.1479999999999999</v>
      </c>
      <c r="AB163" s="30">
        <v>1.1499999999999999</v>
      </c>
      <c r="AC163" s="30">
        <v>1.151</v>
      </c>
      <c r="AD163" s="30">
        <v>1.1459999999999999</v>
      </c>
      <c r="AE163" s="30">
        <v>1.1499999999999999</v>
      </c>
      <c r="AF163" s="30"/>
      <c r="AG163" s="30"/>
      <c r="AH163" s="30">
        <v>1.149</v>
      </c>
      <c r="AI163" s="30">
        <v>1.149</v>
      </c>
      <c r="AJ163" s="30">
        <v>1.149</v>
      </c>
      <c r="AK163" s="30">
        <v>1.1499999999999999</v>
      </c>
      <c r="AL163" s="30">
        <v>1.149</v>
      </c>
      <c r="AM163" s="30">
        <v>1.151</v>
      </c>
      <c r="AN163" s="30">
        <v>1.1479999999999999</v>
      </c>
      <c r="AO163" s="30">
        <v>1.1479999999999999</v>
      </c>
      <c r="AP163" s="30">
        <v>1.151</v>
      </c>
      <c r="AQ163" s="30">
        <v>1.149</v>
      </c>
      <c r="AR163" s="30">
        <v>1.1479999999999999</v>
      </c>
      <c r="AS163" s="30">
        <v>1.1479999999999999</v>
      </c>
      <c r="AT163" s="30">
        <v>1.1499999999999999</v>
      </c>
      <c r="AU163" s="30">
        <v>1.1499999999999999</v>
      </c>
      <c r="AV163" s="30">
        <v>1.149</v>
      </c>
      <c r="AW163" s="30">
        <v>1.149</v>
      </c>
    </row>
    <row r="164" spans="1:49" ht="18" customHeight="1">
      <c r="A164" s="23"/>
      <c r="B164" s="19"/>
      <c r="C164" s="75" t="s">
        <v>65</v>
      </c>
      <c r="D164" s="35" t="s">
        <v>317</v>
      </c>
      <c r="E164" s="35"/>
      <c r="F164" s="29" t="s">
        <v>151</v>
      </c>
      <c r="G164" s="38">
        <v>1.17</v>
      </c>
      <c r="H164" s="38">
        <v>0.05</v>
      </c>
      <c r="I164" s="38">
        <v>7.0000000000000007E-2</v>
      </c>
      <c r="J164" s="38">
        <v>0.05</v>
      </c>
      <c r="K164" s="38">
        <v>7.0000000000000007E-2</v>
      </c>
      <c r="L164" s="30">
        <f t="shared" si="8"/>
        <v>1.159</v>
      </c>
      <c r="M164" s="30">
        <f t="shared" si="9"/>
        <v>1.147</v>
      </c>
      <c r="N164" s="30">
        <f t="shared" si="10"/>
        <v>1.2000000000000011E-2</v>
      </c>
      <c r="O164" s="31">
        <f t="shared" si="11"/>
        <v>1.1504285714285714</v>
      </c>
      <c r="P164" s="52"/>
      <c r="Q164" s="30">
        <v>1.151</v>
      </c>
      <c r="R164" s="30">
        <v>1.147</v>
      </c>
      <c r="S164" s="30">
        <v>1.149</v>
      </c>
      <c r="T164" s="30">
        <v>1.149</v>
      </c>
      <c r="U164" s="30">
        <v>1.1499999999999999</v>
      </c>
      <c r="V164" s="30">
        <v>1.149</v>
      </c>
      <c r="W164" s="30">
        <v>1.1499999999999999</v>
      </c>
      <c r="X164" s="30">
        <v>1.1519999999999999</v>
      </c>
      <c r="Y164" s="30">
        <v>1.153</v>
      </c>
      <c r="Z164" s="30">
        <v>1.149</v>
      </c>
      <c r="AA164" s="30">
        <v>1.159</v>
      </c>
      <c r="AB164" s="30">
        <v>1.1499999999999999</v>
      </c>
      <c r="AC164" s="30">
        <v>1.151</v>
      </c>
      <c r="AD164" s="30">
        <v>1.151</v>
      </c>
      <c r="AE164" s="30">
        <v>1.149</v>
      </c>
      <c r="AF164" s="30"/>
      <c r="AG164" s="30"/>
      <c r="AH164" s="30">
        <v>1.1479999999999999</v>
      </c>
      <c r="AI164" s="30">
        <v>1.151</v>
      </c>
      <c r="AJ164" s="30">
        <v>1.1479999999999999</v>
      </c>
      <c r="AK164" s="30">
        <v>1.1519999999999999</v>
      </c>
      <c r="AL164" s="30">
        <v>1.151</v>
      </c>
      <c r="AM164" s="30">
        <v>1.1499999999999999</v>
      </c>
      <c r="AN164" s="30">
        <v>1.151</v>
      </c>
      <c r="AO164" s="30">
        <v>1.147</v>
      </c>
      <c r="AP164" s="30">
        <v>1.1499999999999999</v>
      </c>
      <c r="AQ164" s="30">
        <v>1.1519999999999999</v>
      </c>
      <c r="AR164" s="30">
        <v>1.151</v>
      </c>
      <c r="AS164" s="30">
        <v>1.151</v>
      </c>
      <c r="AT164" s="30">
        <v>1.151</v>
      </c>
      <c r="AU164" s="30">
        <v>1.1499999999999999</v>
      </c>
      <c r="AV164" s="30">
        <v>1.151</v>
      </c>
      <c r="AW164" s="30">
        <v>1.1499999999999999</v>
      </c>
    </row>
    <row r="165" spans="1:49" ht="18" customHeight="1">
      <c r="A165" s="23"/>
      <c r="B165" s="19"/>
      <c r="C165" s="75" t="s">
        <v>65</v>
      </c>
      <c r="D165" s="35" t="s">
        <v>318</v>
      </c>
      <c r="E165" s="35"/>
      <c r="F165" s="29" t="s">
        <v>153</v>
      </c>
      <c r="G165" s="38">
        <v>1.17</v>
      </c>
      <c r="H165" s="38">
        <v>0.05</v>
      </c>
      <c r="I165" s="38">
        <v>7.0000000000000007E-2</v>
      </c>
      <c r="J165" s="38">
        <v>0.05</v>
      </c>
      <c r="K165" s="38">
        <v>7.0000000000000007E-2</v>
      </c>
      <c r="L165" s="30">
        <f t="shared" si="8"/>
        <v>1.1519999999999999</v>
      </c>
      <c r="M165" s="30">
        <f t="shared" si="9"/>
        <v>1.1479999999999999</v>
      </c>
      <c r="N165" s="30">
        <f t="shared" si="10"/>
        <v>4.0000000000000036E-3</v>
      </c>
      <c r="O165" s="31">
        <f t="shared" si="11"/>
        <v>1.1505714285714286</v>
      </c>
      <c r="P165" s="52"/>
      <c r="Q165" s="30">
        <v>1.1519999999999999</v>
      </c>
      <c r="R165" s="30">
        <v>1.151</v>
      </c>
      <c r="S165" s="30">
        <v>1.151</v>
      </c>
      <c r="T165" s="30">
        <v>1.149</v>
      </c>
      <c r="U165" s="30">
        <v>1.1499999999999999</v>
      </c>
      <c r="V165" s="30">
        <v>1.1499999999999999</v>
      </c>
      <c r="W165" s="30">
        <v>1.1499999999999999</v>
      </c>
      <c r="X165" s="30">
        <v>1.1499999999999999</v>
      </c>
      <c r="Y165" s="30">
        <v>1.1499999999999999</v>
      </c>
      <c r="Z165" s="30">
        <v>1.151</v>
      </c>
      <c r="AA165" s="30">
        <v>1.1499999999999999</v>
      </c>
      <c r="AB165" s="30">
        <v>1.151</v>
      </c>
      <c r="AC165" s="30">
        <v>1.151</v>
      </c>
      <c r="AD165" s="30">
        <v>1.1499999999999999</v>
      </c>
      <c r="AE165" s="30">
        <v>1.1519999999999999</v>
      </c>
      <c r="AF165" s="30"/>
      <c r="AG165" s="30"/>
      <c r="AH165" s="30">
        <v>1.149</v>
      </c>
      <c r="AI165" s="30">
        <v>1.1499999999999999</v>
      </c>
      <c r="AJ165" s="30">
        <v>1.151</v>
      </c>
      <c r="AK165" s="30">
        <v>1.1479999999999999</v>
      </c>
      <c r="AL165" s="30">
        <v>1.1499999999999999</v>
      </c>
      <c r="AM165" s="30">
        <v>1.1519999999999999</v>
      </c>
      <c r="AN165" s="30">
        <v>1.151</v>
      </c>
      <c r="AO165" s="30">
        <v>1.151</v>
      </c>
      <c r="AP165" s="30">
        <v>1.151</v>
      </c>
      <c r="AQ165" s="30">
        <v>1.151</v>
      </c>
      <c r="AR165" s="30">
        <v>1.1519999999999999</v>
      </c>
      <c r="AS165" s="30">
        <v>1.1499999999999999</v>
      </c>
      <c r="AT165" s="30">
        <v>1.1519999999999999</v>
      </c>
      <c r="AU165" s="30">
        <v>1.1519999999999999</v>
      </c>
      <c r="AV165" s="30">
        <v>1.149</v>
      </c>
      <c r="AW165" s="30">
        <v>1.151</v>
      </c>
    </row>
    <row r="166" spans="1:49" ht="18" customHeight="1">
      <c r="A166" s="23"/>
      <c r="B166" s="19"/>
      <c r="C166" s="75" t="s">
        <v>65</v>
      </c>
      <c r="D166" s="35" t="s">
        <v>319</v>
      </c>
      <c r="E166" s="35"/>
      <c r="F166" s="29" t="s">
        <v>155</v>
      </c>
      <c r="G166" s="38">
        <v>1.17</v>
      </c>
      <c r="H166" s="38">
        <v>0.05</v>
      </c>
      <c r="I166" s="38">
        <v>7.0000000000000007E-2</v>
      </c>
      <c r="J166" s="38">
        <v>0.05</v>
      </c>
      <c r="K166" s="38">
        <v>7.0000000000000007E-2</v>
      </c>
      <c r="L166" s="30">
        <f t="shared" si="8"/>
        <v>1.159</v>
      </c>
      <c r="M166" s="30">
        <f t="shared" si="9"/>
        <v>1.1539999999999999</v>
      </c>
      <c r="N166" s="30">
        <f t="shared" si="10"/>
        <v>5.0000000000001155E-3</v>
      </c>
      <c r="O166" s="31">
        <f t="shared" si="11"/>
        <v>1.1564642857142857</v>
      </c>
      <c r="P166" s="52"/>
      <c r="Q166" s="30">
        <v>1.159</v>
      </c>
      <c r="R166" s="30">
        <v>1.1579999999999999</v>
      </c>
      <c r="S166" s="30">
        <v>1.157</v>
      </c>
      <c r="T166" s="30">
        <v>1.157</v>
      </c>
      <c r="U166" s="30">
        <v>1.155</v>
      </c>
      <c r="V166" s="30">
        <v>1.1539999999999999</v>
      </c>
      <c r="W166" s="30">
        <v>1.1579999999999999</v>
      </c>
      <c r="X166" s="30">
        <v>1.157</v>
      </c>
      <c r="Y166" s="30">
        <v>1.1579999999999999</v>
      </c>
      <c r="Z166" s="30">
        <v>1.1579999999999999</v>
      </c>
      <c r="AA166" s="30">
        <v>1.157</v>
      </c>
      <c r="AB166" s="30">
        <v>1.1559999999999999</v>
      </c>
      <c r="AC166" s="30">
        <v>1.155</v>
      </c>
      <c r="AD166" s="30">
        <v>1.155</v>
      </c>
      <c r="AE166" s="30">
        <v>1.1559999999999999</v>
      </c>
      <c r="AF166" s="30"/>
      <c r="AG166" s="30"/>
      <c r="AH166" s="30">
        <v>1.157</v>
      </c>
      <c r="AI166" s="30">
        <v>1.1539999999999999</v>
      </c>
      <c r="AJ166" s="30">
        <v>1.159</v>
      </c>
      <c r="AK166" s="30">
        <v>1.1579999999999999</v>
      </c>
      <c r="AL166" s="30">
        <v>1.1539999999999999</v>
      </c>
      <c r="AM166" s="30">
        <v>1.1579999999999999</v>
      </c>
      <c r="AN166" s="30">
        <v>1.157</v>
      </c>
      <c r="AO166" s="30">
        <v>1.155</v>
      </c>
      <c r="AP166" s="30">
        <v>1.155</v>
      </c>
      <c r="AQ166" s="30">
        <v>1.1579999999999999</v>
      </c>
      <c r="AR166" s="30">
        <v>1.157</v>
      </c>
      <c r="AS166" s="30">
        <v>1.1539999999999999</v>
      </c>
      <c r="AT166" s="30">
        <v>1.155</v>
      </c>
      <c r="AU166" s="30">
        <v>1.1559999999999999</v>
      </c>
      <c r="AV166" s="30">
        <v>1.155</v>
      </c>
      <c r="AW166" s="30">
        <v>1.159</v>
      </c>
    </row>
    <row r="167" spans="1:49" ht="18" customHeight="1">
      <c r="A167" s="23"/>
      <c r="B167" s="19"/>
      <c r="C167" s="75" t="s">
        <v>65</v>
      </c>
      <c r="D167" s="35" t="s">
        <v>320</v>
      </c>
      <c r="E167" s="35"/>
      <c r="F167" s="29" t="s">
        <v>157</v>
      </c>
      <c r="G167" s="38">
        <v>1.17</v>
      </c>
      <c r="H167" s="38">
        <v>0.05</v>
      </c>
      <c r="I167" s="38">
        <v>7.0000000000000007E-2</v>
      </c>
      <c r="J167" s="38">
        <v>0.05</v>
      </c>
      <c r="K167" s="38">
        <v>7.0000000000000007E-2</v>
      </c>
      <c r="L167" s="30">
        <f t="shared" si="8"/>
        <v>1.1339999999999999</v>
      </c>
      <c r="M167" s="30">
        <f t="shared" si="9"/>
        <v>1.113</v>
      </c>
      <c r="N167" s="30">
        <f t="shared" si="10"/>
        <v>2.0999999999999908E-2</v>
      </c>
      <c r="O167" s="31">
        <f t="shared" si="11"/>
        <v>1.1189642857142859</v>
      </c>
      <c r="P167" s="52"/>
      <c r="Q167" s="30">
        <v>1.121</v>
      </c>
      <c r="R167" s="30">
        <v>1.119</v>
      </c>
      <c r="S167" s="30">
        <v>1.1140000000000001</v>
      </c>
      <c r="T167" s="30">
        <v>1.1160000000000001</v>
      </c>
      <c r="U167" s="30">
        <v>1.1240000000000001</v>
      </c>
      <c r="V167" s="30">
        <v>1.1180000000000001</v>
      </c>
      <c r="W167" s="30">
        <v>1.1180000000000001</v>
      </c>
      <c r="X167" s="30">
        <v>1.121</v>
      </c>
      <c r="Y167" s="30">
        <v>1.121</v>
      </c>
      <c r="Z167" s="30">
        <v>1.119</v>
      </c>
      <c r="AA167" s="30">
        <v>1.1160000000000001</v>
      </c>
      <c r="AB167" s="30">
        <v>1.117</v>
      </c>
      <c r="AC167" s="30">
        <v>1.119</v>
      </c>
      <c r="AD167" s="30">
        <v>1.1180000000000001</v>
      </c>
      <c r="AE167" s="30">
        <v>1.1180000000000001</v>
      </c>
      <c r="AF167" s="30"/>
      <c r="AG167" s="30"/>
      <c r="AH167" s="30">
        <v>1.119</v>
      </c>
      <c r="AI167" s="30">
        <v>1.117</v>
      </c>
      <c r="AJ167" s="30">
        <v>1.1339999999999999</v>
      </c>
      <c r="AK167" s="30">
        <v>1.1200000000000001</v>
      </c>
      <c r="AL167" s="30">
        <v>1.117</v>
      </c>
      <c r="AM167" s="30">
        <v>1.119</v>
      </c>
      <c r="AN167" s="30">
        <v>1.119</v>
      </c>
      <c r="AO167" s="30">
        <v>1.117</v>
      </c>
      <c r="AP167" s="30">
        <v>1.1180000000000001</v>
      </c>
      <c r="AQ167" s="30">
        <v>1.121</v>
      </c>
      <c r="AR167" s="30">
        <v>1.121</v>
      </c>
      <c r="AS167" s="30">
        <v>1.117</v>
      </c>
      <c r="AT167" s="30">
        <v>1.113</v>
      </c>
      <c r="AU167" s="30">
        <v>1.121</v>
      </c>
      <c r="AV167" s="30">
        <v>1.1180000000000001</v>
      </c>
      <c r="AW167" s="30">
        <v>1.1180000000000001</v>
      </c>
    </row>
    <row r="168" spans="1:49" ht="18" customHeight="1">
      <c r="A168" s="23"/>
      <c r="B168" s="19"/>
      <c r="C168" s="75" t="s">
        <v>65</v>
      </c>
      <c r="D168" s="35" t="s">
        <v>321</v>
      </c>
      <c r="E168" s="35"/>
      <c r="F168" s="29" t="s">
        <v>159</v>
      </c>
      <c r="G168" s="38">
        <v>1.17</v>
      </c>
      <c r="H168" s="38">
        <v>0.05</v>
      </c>
      <c r="I168" s="38">
        <v>7.0000000000000007E-2</v>
      </c>
      <c r="J168" s="38">
        <v>0.05</v>
      </c>
      <c r="K168" s="38">
        <v>7.0000000000000007E-2</v>
      </c>
      <c r="L168" s="30">
        <f t="shared" si="8"/>
        <v>1.145</v>
      </c>
      <c r="M168" s="30">
        <f t="shared" si="9"/>
        <v>1.1200000000000001</v>
      </c>
      <c r="N168" s="30">
        <f t="shared" si="10"/>
        <v>2.4999999999999911E-2</v>
      </c>
      <c r="O168" s="31">
        <f t="shared" si="11"/>
        <v>1.1294285714285717</v>
      </c>
      <c r="P168" s="52"/>
      <c r="Q168" s="30">
        <v>1.145</v>
      </c>
      <c r="R168" s="30">
        <v>1.125</v>
      </c>
      <c r="S168" s="30">
        <v>1.129</v>
      </c>
      <c r="T168" s="30">
        <v>1.143</v>
      </c>
      <c r="U168" s="30">
        <v>1.129</v>
      </c>
      <c r="V168" s="30">
        <v>1.121</v>
      </c>
      <c r="W168" s="30">
        <v>1.145</v>
      </c>
      <c r="X168" s="30">
        <v>1.127</v>
      </c>
      <c r="Y168" s="30">
        <v>1.125</v>
      </c>
      <c r="Z168" s="30">
        <v>1.1399999999999999</v>
      </c>
      <c r="AA168" s="30">
        <v>1.1279999999999999</v>
      </c>
      <c r="AB168" s="30">
        <v>1.143</v>
      </c>
      <c r="AC168" s="30">
        <v>1.125</v>
      </c>
      <c r="AD168" s="30">
        <v>1.1240000000000001</v>
      </c>
      <c r="AE168" s="30">
        <v>1.143</v>
      </c>
      <c r="AF168" s="30"/>
      <c r="AG168" s="30"/>
      <c r="AH168" s="30">
        <v>1.145</v>
      </c>
      <c r="AI168" s="30">
        <v>1.1220000000000001</v>
      </c>
      <c r="AJ168" s="30">
        <v>1.1259999999999999</v>
      </c>
      <c r="AK168" s="30">
        <v>1.1259999999999999</v>
      </c>
      <c r="AL168" s="30">
        <v>1.1220000000000001</v>
      </c>
      <c r="AM168" s="30">
        <v>1.125</v>
      </c>
      <c r="AN168" s="30">
        <v>1.1259999999999999</v>
      </c>
      <c r="AO168" s="30">
        <v>1.123</v>
      </c>
      <c r="AP168" s="30">
        <v>1.123</v>
      </c>
      <c r="AQ168" s="30">
        <v>1.127</v>
      </c>
      <c r="AR168" s="30">
        <v>1.125</v>
      </c>
      <c r="AS168" s="30">
        <v>1.1220000000000001</v>
      </c>
      <c r="AT168" s="30">
        <v>1.1200000000000001</v>
      </c>
      <c r="AU168" s="30">
        <v>1.125</v>
      </c>
      <c r="AV168" s="30">
        <v>1.1240000000000001</v>
      </c>
      <c r="AW168" s="30">
        <v>1.131</v>
      </c>
    </row>
    <row r="169" spans="1:49" ht="18" customHeight="1">
      <c r="A169" s="23"/>
      <c r="B169" s="19"/>
      <c r="C169" s="75" t="s">
        <v>65</v>
      </c>
      <c r="D169" s="35" t="s">
        <v>322</v>
      </c>
      <c r="E169" s="35"/>
      <c r="F169" s="29" t="s">
        <v>161</v>
      </c>
      <c r="G169" s="38">
        <v>1.17</v>
      </c>
      <c r="H169" s="38">
        <v>0.05</v>
      </c>
      <c r="I169" s="38">
        <v>7.0000000000000007E-2</v>
      </c>
      <c r="J169" s="38">
        <v>0.05</v>
      </c>
      <c r="K169" s="38">
        <v>7.0000000000000007E-2</v>
      </c>
      <c r="L169" s="30">
        <f t="shared" si="8"/>
        <v>1.1719999999999999</v>
      </c>
      <c r="M169" s="30">
        <f t="shared" si="9"/>
        <v>1.1659999999999999</v>
      </c>
      <c r="N169" s="30">
        <f t="shared" si="10"/>
        <v>6.0000000000000053E-3</v>
      </c>
      <c r="O169" s="31">
        <f t="shared" si="11"/>
        <v>1.1689285714285718</v>
      </c>
      <c r="P169" s="52"/>
      <c r="Q169" s="30">
        <v>1.17</v>
      </c>
      <c r="R169" s="30">
        <v>1.17</v>
      </c>
      <c r="S169" s="30">
        <v>1.167</v>
      </c>
      <c r="T169" s="30">
        <v>1.169</v>
      </c>
      <c r="U169" s="30">
        <v>1.169</v>
      </c>
      <c r="V169" s="30">
        <v>1.167</v>
      </c>
      <c r="W169" s="30">
        <v>1.17</v>
      </c>
      <c r="X169" s="30">
        <v>1.1719999999999999</v>
      </c>
      <c r="Y169" s="30">
        <v>1.17</v>
      </c>
      <c r="Z169" s="30">
        <v>1.169</v>
      </c>
      <c r="AA169" s="30">
        <v>1.171</v>
      </c>
      <c r="AB169" s="30">
        <v>1.167</v>
      </c>
      <c r="AC169" s="30">
        <v>1.1679999999999999</v>
      </c>
      <c r="AD169" s="30">
        <v>1.17</v>
      </c>
      <c r="AE169" s="30">
        <v>1.17</v>
      </c>
      <c r="AF169" s="30"/>
      <c r="AG169" s="30"/>
      <c r="AH169" s="30">
        <v>1.171</v>
      </c>
      <c r="AI169" s="30">
        <v>1.167</v>
      </c>
      <c r="AJ169" s="30">
        <v>1.171</v>
      </c>
      <c r="AK169" s="30">
        <v>1.17</v>
      </c>
      <c r="AL169" s="30">
        <v>1.167</v>
      </c>
      <c r="AM169" s="30">
        <v>1.169</v>
      </c>
      <c r="AN169" s="30">
        <v>1.169</v>
      </c>
      <c r="AO169" s="30">
        <v>1.1659999999999999</v>
      </c>
      <c r="AP169" s="30">
        <v>1.1679999999999999</v>
      </c>
      <c r="AQ169" s="30">
        <v>1.169</v>
      </c>
      <c r="AR169" s="30">
        <v>1.17</v>
      </c>
      <c r="AS169" s="30">
        <v>1.1659999999999999</v>
      </c>
      <c r="AT169" s="30">
        <v>1.1679999999999999</v>
      </c>
      <c r="AU169" s="30">
        <v>1.169</v>
      </c>
      <c r="AV169" s="30">
        <v>1.1679999999999999</v>
      </c>
      <c r="AW169" s="30">
        <v>1.171</v>
      </c>
    </row>
    <row r="170" spans="1:49" ht="18" customHeight="1">
      <c r="A170" s="23"/>
      <c r="B170" s="19"/>
      <c r="C170" s="75" t="s">
        <v>65</v>
      </c>
      <c r="D170" s="35" t="s">
        <v>323</v>
      </c>
      <c r="E170" s="35"/>
      <c r="F170" s="29" t="s">
        <v>163</v>
      </c>
      <c r="G170" s="38">
        <v>1.17</v>
      </c>
      <c r="H170" s="38">
        <v>0.05</v>
      </c>
      <c r="I170" s="38">
        <v>7.0000000000000007E-2</v>
      </c>
      <c r="J170" s="38">
        <v>0.05</v>
      </c>
      <c r="K170" s="38">
        <v>7.0000000000000007E-2</v>
      </c>
      <c r="L170" s="30">
        <f t="shared" si="8"/>
        <v>1.167</v>
      </c>
      <c r="M170" s="30">
        <f t="shared" si="9"/>
        <v>1.159</v>
      </c>
      <c r="N170" s="30">
        <f t="shared" si="10"/>
        <v>8.0000000000000071E-3</v>
      </c>
      <c r="O170" s="31">
        <f t="shared" si="11"/>
        <v>1.1626428571428573</v>
      </c>
      <c r="P170" s="52"/>
      <c r="Q170" s="30">
        <v>1.165</v>
      </c>
      <c r="R170" s="30">
        <v>1.1599999999999999</v>
      </c>
      <c r="S170" s="30">
        <v>1.1619999999999999</v>
      </c>
      <c r="T170" s="30">
        <v>1.1619999999999999</v>
      </c>
      <c r="U170" s="30">
        <v>1.163</v>
      </c>
      <c r="V170" s="30">
        <v>1.159</v>
      </c>
      <c r="W170" s="30">
        <v>1.1639999999999999</v>
      </c>
      <c r="X170" s="30">
        <v>1.1639999999999999</v>
      </c>
      <c r="Y170" s="30">
        <v>1.1639999999999999</v>
      </c>
      <c r="Z170" s="30">
        <v>1.163</v>
      </c>
      <c r="AA170" s="30">
        <v>1.163</v>
      </c>
      <c r="AB170" s="30">
        <v>1.1639999999999999</v>
      </c>
      <c r="AC170" s="30">
        <v>1.163</v>
      </c>
      <c r="AD170" s="30">
        <v>1.167</v>
      </c>
      <c r="AE170" s="30">
        <v>1.165</v>
      </c>
      <c r="AF170" s="30"/>
      <c r="AG170" s="30"/>
      <c r="AH170" s="30">
        <v>1.163</v>
      </c>
      <c r="AI170" s="30">
        <v>1.1599999999999999</v>
      </c>
      <c r="AJ170" s="30">
        <v>1.163</v>
      </c>
      <c r="AK170" s="30">
        <v>1.1619999999999999</v>
      </c>
      <c r="AL170" s="30">
        <v>1.1599999999999999</v>
      </c>
      <c r="AM170" s="30">
        <v>1.163</v>
      </c>
      <c r="AN170" s="30">
        <v>1.163</v>
      </c>
      <c r="AO170" s="30">
        <v>1.1619999999999999</v>
      </c>
      <c r="AP170" s="30">
        <v>1.1619999999999999</v>
      </c>
      <c r="AQ170" s="30">
        <v>1.1639999999999999</v>
      </c>
      <c r="AR170" s="30">
        <v>1.163</v>
      </c>
      <c r="AS170" s="30">
        <v>1.1599999999999999</v>
      </c>
      <c r="AT170" s="30">
        <v>1.161</v>
      </c>
      <c r="AU170" s="30">
        <v>1.1639999999999999</v>
      </c>
      <c r="AV170" s="30">
        <v>1.163</v>
      </c>
      <c r="AW170" s="30">
        <v>1.167</v>
      </c>
    </row>
    <row r="171" spans="1:49" ht="18" customHeight="1">
      <c r="A171" s="23"/>
      <c r="B171" s="19"/>
      <c r="C171" s="75" t="s">
        <v>65</v>
      </c>
      <c r="D171" s="35" t="s">
        <v>324</v>
      </c>
      <c r="E171" s="35"/>
      <c r="F171" s="29" t="s">
        <v>165</v>
      </c>
      <c r="G171" s="38">
        <v>1.17</v>
      </c>
      <c r="H171" s="38">
        <v>0.05</v>
      </c>
      <c r="I171" s="38">
        <v>7.0000000000000007E-2</v>
      </c>
      <c r="J171" s="38">
        <v>0.05</v>
      </c>
      <c r="K171" s="38">
        <v>7.0000000000000007E-2</v>
      </c>
      <c r="L171" s="30">
        <f t="shared" si="8"/>
        <v>1.177</v>
      </c>
      <c r="M171" s="30">
        <f t="shared" si="9"/>
        <v>1.161</v>
      </c>
      <c r="N171" s="30">
        <f t="shared" si="10"/>
        <v>1.6000000000000014E-2</v>
      </c>
      <c r="O171" s="31">
        <f t="shared" si="11"/>
        <v>1.1723928571428577</v>
      </c>
      <c r="P171" s="52"/>
      <c r="Q171" s="30">
        <v>1.1759999999999999</v>
      </c>
      <c r="R171" s="30">
        <v>1.1719999999999999</v>
      </c>
      <c r="S171" s="30">
        <v>1.177</v>
      </c>
      <c r="T171" s="30">
        <v>1.175</v>
      </c>
      <c r="U171" s="30">
        <v>1.1759999999999999</v>
      </c>
      <c r="V171" s="30">
        <v>1.1759999999999999</v>
      </c>
      <c r="W171" s="30">
        <v>1.175</v>
      </c>
      <c r="X171" s="30">
        <v>1.1759999999999999</v>
      </c>
      <c r="Y171" s="30">
        <v>1.1759999999999999</v>
      </c>
      <c r="Z171" s="30">
        <v>1.177</v>
      </c>
      <c r="AA171" s="30">
        <v>1.175</v>
      </c>
      <c r="AB171" s="30">
        <v>1.1759999999999999</v>
      </c>
      <c r="AC171" s="30">
        <v>1.173</v>
      </c>
      <c r="AD171" s="30">
        <v>1.1739999999999999</v>
      </c>
      <c r="AE171" s="30">
        <v>1.1739999999999999</v>
      </c>
      <c r="AF171" s="30"/>
      <c r="AG171" s="30"/>
      <c r="AH171" s="30">
        <v>1.1759999999999999</v>
      </c>
      <c r="AI171" s="30">
        <v>1.161</v>
      </c>
      <c r="AJ171" s="30">
        <v>1.175</v>
      </c>
      <c r="AK171" s="30">
        <v>1.163</v>
      </c>
      <c r="AL171" s="30">
        <v>1.161</v>
      </c>
      <c r="AM171" s="30">
        <v>1.1719999999999999</v>
      </c>
      <c r="AN171" s="30">
        <v>1.161</v>
      </c>
      <c r="AO171" s="30">
        <v>1.161</v>
      </c>
      <c r="AP171" s="30">
        <v>1.173</v>
      </c>
      <c r="AQ171" s="30">
        <v>1.173</v>
      </c>
      <c r="AR171" s="30">
        <v>1.173</v>
      </c>
      <c r="AS171" s="30">
        <v>1.175</v>
      </c>
      <c r="AT171" s="30">
        <v>1.175</v>
      </c>
      <c r="AU171" s="30">
        <v>1.1759999999999999</v>
      </c>
      <c r="AV171" s="30">
        <v>1.1739999999999999</v>
      </c>
      <c r="AW171" s="30">
        <v>1.1679999999999999</v>
      </c>
    </row>
    <row r="172" spans="1:49" ht="18" customHeight="1">
      <c r="A172" s="23"/>
      <c r="B172" s="19"/>
      <c r="C172" s="75" t="s">
        <v>65</v>
      </c>
      <c r="D172" s="35" t="s">
        <v>166</v>
      </c>
      <c r="E172" s="35"/>
      <c r="F172" s="29" t="s">
        <v>167</v>
      </c>
      <c r="G172" s="38">
        <v>1.17</v>
      </c>
      <c r="H172" s="38">
        <v>0.05</v>
      </c>
      <c r="I172" s="38">
        <v>7.0000000000000007E-2</v>
      </c>
      <c r="J172" s="38">
        <v>0.05</v>
      </c>
      <c r="K172" s="38">
        <v>7.0000000000000007E-2</v>
      </c>
      <c r="L172" s="30">
        <f t="shared" si="8"/>
        <v>1.171</v>
      </c>
      <c r="M172" s="30">
        <f t="shared" si="9"/>
        <v>1.167</v>
      </c>
      <c r="N172" s="30">
        <f t="shared" si="10"/>
        <v>4.0000000000000036E-3</v>
      </c>
      <c r="O172" s="31">
        <f t="shared" si="11"/>
        <v>1.1688928571428574</v>
      </c>
      <c r="P172" s="52"/>
      <c r="Q172" s="30">
        <v>1.169</v>
      </c>
      <c r="R172" s="30">
        <v>1.169</v>
      </c>
      <c r="S172" s="30">
        <v>1.169</v>
      </c>
      <c r="T172" s="30">
        <v>1.17</v>
      </c>
      <c r="U172" s="30">
        <v>1.1679999999999999</v>
      </c>
      <c r="V172" s="30">
        <v>1.169</v>
      </c>
      <c r="W172" s="30">
        <v>1.169</v>
      </c>
      <c r="X172" s="30">
        <v>1.171</v>
      </c>
      <c r="Y172" s="30">
        <v>1.169</v>
      </c>
      <c r="Z172" s="30">
        <v>1.169</v>
      </c>
      <c r="AA172" s="30">
        <v>1.167</v>
      </c>
      <c r="AB172" s="30">
        <v>1.169</v>
      </c>
      <c r="AC172" s="30">
        <v>1.167</v>
      </c>
      <c r="AD172" s="30">
        <v>1.167</v>
      </c>
      <c r="AE172" s="30">
        <v>1.167</v>
      </c>
      <c r="AF172" s="30"/>
      <c r="AG172" s="30"/>
      <c r="AH172" s="30">
        <v>1.17</v>
      </c>
      <c r="AI172" s="30">
        <v>1.171</v>
      </c>
      <c r="AJ172" s="30">
        <v>1.169</v>
      </c>
      <c r="AK172" s="30">
        <v>1.1679999999999999</v>
      </c>
      <c r="AL172" s="30">
        <v>1.171</v>
      </c>
      <c r="AM172" s="30">
        <v>1.169</v>
      </c>
      <c r="AN172" s="30">
        <v>1.167</v>
      </c>
      <c r="AO172" s="30">
        <v>1.171</v>
      </c>
      <c r="AP172" s="30">
        <v>1.169</v>
      </c>
      <c r="AQ172" s="30">
        <v>1.17</v>
      </c>
      <c r="AR172" s="30">
        <v>1.1679999999999999</v>
      </c>
      <c r="AS172" s="30">
        <v>1.17</v>
      </c>
      <c r="AT172" s="30">
        <v>1.167</v>
      </c>
      <c r="AU172" s="30">
        <v>1.17</v>
      </c>
      <c r="AV172" s="30">
        <v>1.169</v>
      </c>
      <c r="AW172" s="30">
        <v>1.175</v>
      </c>
    </row>
    <row r="173" spans="1:49" ht="18" customHeight="1">
      <c r="A173" s="23"/>
      <c r="B173" s="19"/>
      <c r="C173" s="75" t="s">
        <v>65</v>
      </c>
      <c r="D173" s="35" t="s">
        <v>168</v>
      </c>
      <c r="E173" s="35"/>
      <c r="F173" s="29" t="s">
        <v>169</v>
      </c>
      <c r="G173" s="38">
        <v>1.17</v>
      </c>
      <c r="H173" s="38">
        <v>0.05</v>
      </c>
      <c r="I173" s="38">
        <v>7.0000000000000007E-2</v>
      </c>
      <c r="J173" s="38">
        <v>0.05</v>
      </c>
      <c r="K173" s="38">
        <v>7.0000000000000007E-2</v>
      </c>
      <c r="L173" s="30">
        <f t="shared" si="8"/>
        <v>1.17</v>
      </c>
      <c r="M173" s="30">
        <f t="shared" si="9"/>
        <v>1.161</v>
      </c>
      <c r="N173" s="30">
        <f t="shared" si="10"/>
        <v>8.999999999999897E-3</v>
      </c>
      <c r="O173" s="31">
        <f t="shared" si="11"/>
        <v>1.1632499999999999</v>
      </c>
      <c r="P173" s="52"/>
      <c r="Q173" s="30">
        <v>1.1639999999999999</v>
      </c>
      <c r="R173" s="30">
        <v>1.1639999999999999</v>
      </c>
      <c r="S173" s="30">
        <v>1.161</v>
      </c>
      <c r="T173" s="30">
        <v>1.161</v>
      </c>
      <c r="U173" s="30">
        <v>1.1639999999999999</v>
      </c>
      <c r="V173" s="30">
        <v>1.163</v>
      </c>
      <c r="W173" s="30">
        <v>1.163</v>
      </c>
      <c r="X173" s="30">
        <v>1.165</v>
      </c>
      <c r="Y173" s="30">
        <v>1.1619999999999999</v>
      </c>
      <c r="Z173" s="30">
        <v>1.163</v>
      </c>
      <c r="AA173" s="30">
        <v>1.1619999999999999</v>
      </c>
      <c r="AB173" s="30">
        <v>1.163</v>
      </c>
      <c r="AC173" s="30">
        <v>1.163</v>
      </c>
      <c r="AD173" s="30">
        <v>1.17</v>
      </c>
      <c r="AE173" s="30">
        <v>1.1619999999999999</v>
      </c>
      <c r="AF173" s="30"/>
      <c r="AG173" s="30"/>
      <c r="AH173" s="30">
        <v>1.1639999999999999</v>
      </c>
      <c r="AI173" s="30">
        <v>1.1659999999999999</v>
      </c>
      <c r="AJ173" s="30">
        <v>1.1619999999999999</v>
      </c>
      <c r="AK173" s="30">
        <v>1.1639999999999999</v>
      </c>
      <c r="AL173" s="30">
        <v>1.1659999999999999</v>
      </c>
      <c r="AM173" s="30">
        <v>1.163</v>
      </c>
      <c r="AN173" s="30">
        <v>1.161</v>
      </c>
      <c r="AO173" s="30">
        <v>1.1619999999999999</v>
      </c>
      <c r="AP173" s="30">
        <v>1.163</v>
      </c>
      <c r="AQ173" s="30">
        <v>1.163</v>
      </c>
      <c r="AR173" s="30">
        <v>1.161</v>
      </c>
      <c r="AS173" s="30">
        <v>1.163</v>
      </c>
      <c r="AT173" s="30">
        <v>1.163</v>
      </c>
      <c r="AU173" s="30">
        <v>1.163</v>
      </c>
      <c r="AV173" s="30">
        <v>1.1619999999999999</v>
      </c>
      <c r="AW173" s="30">
        <v>1.167</v>
      </c>
    </row>
    <row r="174" spans="1:49" ht="18" customHeight="1">
      <c r="A174" s="23"/>
      <c r="B174" s="19"/>
      <c r="C174" s="75" t="s">
        <v>65</v>
      </c>
      <c r="D174" s="35" t="s">
        <v>170</v>
      </c>
      <c r="E174" s="35"/>
      <c r="F174" s="29" t="s">
        <v>171</v>
      </c>
      <c r="G174" s="38">
        <v>1.17</v>
      </c>
      <c r="H174" s="38">
        <v>0.05</v>
      </c>
      <c r="I174" s="38">
        <v>7.0000000000000007E-2</v>
      </c>
      <c r="J174" s="38">
        <v>0.05</v>
      </c>
      <c r="K174" s="38">
        <v>7.0000000000000007E-2</v>
      </c>
      <c r="L174" s="30">
        <f t="shared" si="8"/>
        <v>1.1539999999999999</v>
      </c>
      <c r="M174" s="30">
        <f t="shared" si="9"/>
        <v>1.149</v>
      </c>
      <c r="N174" s="30">
        <f t="shared" si="10"/>
        <v>4.9999999999998934E-3</v>
      </c>
      <c r="O174" s="31">
        <f t="shared" si="11"/>
        <v>1.1517142857142857</v>
      </c>
      <c r="P174" s="52"/>
      <c r="Q174" s="30">
        <v>1.153</v>
      </c>
      <c r="R174" s="30">
        <v>1.149</v>
      </c>
      <c r="S174" s="30">
        <v>1.1519999999999999</v>
      </c>
      <c r="T174" s="30">
        <v>1.151</v>
      </c>
      <c r="U174" s="30">
        <v>1.1519999999999999</v>
      </c>
      <c r="V174" s="30">
        <v>1.1519999999999999</v>
      </c>
      <c r="W174" s="30">
        <v>1.1539999999999999</v>
      </c>
      <c r="X174" s="30">
        <v>1.1519999999999999</v>
      </c>
      <c r="Y174" s="30">
        <v>1.153</v>
      </c>
      <c r="Z174" s="30">
        <v>1.1499999999999999</v>
      </c>
      <c r="AA174" s="30">
        <v>1.149</v>
      </c>
      <c r="AB174" s="30">
        <v>1.149</v>
      </c>
      <c r="AC174" s="30">
        <v>1.1519999999999999</v>
      </c>
      <c r="AD174" s="30">
        <v>1.1519999999999999</v>
      </c>
      <c r="AE174" s="30">
        <v>1.151</v>
      </c>
      <c r="AF174" s="30"/>
      <c r="AG174" s="30"/>
      <c r="AH174" s="30">
        <v>1.1539999999999999</v>
      </c>
      <c r="AI174" s="30">
        <v>1.151</v>
      </c>
      <c r="AJ174" s="30">
        <v>1.1519999999999999</v>
      </c>
      <c r="AK174" s="30">
        <v>1.1499999999999999</v>
      </c>
      <c r="AL174" s="30">
        <v>1.151</v>
      </c>
      <c r="AM174" s="30">
        <v>1.1519999999999999</v>
      </c>
      <c r="AN174" s="30">
        <v>1.151</v>
      </c>
      <c r="AO174" s="30">
        <v>1.1519999999999999</v>
      </c>
      <c r="AP174" s="30">
        <v>1.1539999999999999</v>
      </c>
      <c r="AQ174" s="30">
        <v>1.153</v>
      </c>
      <c r="AR174" s="30">
        <v>1.153</v>
      </c>
      <c r="AS174" s="30">
        <v>1.1539999999999999</v>
      </c>
      <c r="AT174" s="30">
        <v>1.1499999999999999</v>
      </c>
      <c r="AU174" s="30">
        <v>1.1539999999999999</v>
      </c>
      <c r="AV174" s="30">
        <v>1.153</v>
      </c>
      <c r="AW174" s="30">
        <v>1.1539999999999999</v>
      </c>
    </row>
    <row r="175" spans="1:49" ht="18" customHeight="1">
      <c r="A175" s="23"/>
      <c r="B175" s="19"/>
      <c r="C175" s="75" t="s">
        <v>65</v>
      </c>
      <c r="D175" s="35" t="s">
        <v>172</v>
      </c>
      <c r="E175" s="35"/>
      <c r="F175" s="29" t="s">
        <v>173</v>
      </c>
      <c r="G175" s="38">
        <v>1.17</v>
      </c>
      <c r="H175" s="38">
        <v>0.05</v>
      </c>
      <c r="I175" s="38">
        <v>7.0000000000000007E-2</v>
      </c>
      <c r="J175" s="38">
        <v>0.05</v>
      </c>
      <c r="K175" s="38">
        <v>7.0000000000000007E-2</v>
      </c>
      <c r="L175" s="30">
        <f t="shared" si="8"/>
        <v>1.155</v>
      </c>
      <c r="M175" s="30">
        <f t="shared" si="9"/>
        <v>1.149</v>
      </c>
      <c r="N175" s="30">
        <f t="shared" si="10"/>
        <v>6.0000000000000053E-3</v>
      </c>
      <c r="O175" s="31">
        <f t="shared" si="11"/>
        <v>1.1514642857142856</v>
      </c>
      <c r="P175" s="52"/>
      <c r="Q175" s="30">
        <v>1.1539999999999999</v>
      </c>
      <c r="R175" s="30">
        <v>1.151</v>
      </c>
      <c r="S175" s="30">
        <v>1.1519999999999999</v>
      </c>
      <c r="T175" s="30">
        <v>1.149</v>
      </c>
      <c r="U175" s="30">
        <v>1.1519999999999999</v>
      </c>
      <c r="V175" s="30">
        <v>1.151</v>
      </c>
      <c r="W175" s="30">
        <v>1.1539999999999999</v>
      </c>
      <c r="X175" s="30">
        <v>1.151</v>
      </c>
      <c r="Y175" s="30">
        <v>1.153</v>
      </c>
      <c r="Z175" s="30">
        <v>1.149</v>
      </c>
      <c r="AA175" s="30">
        <v>1.1499999999999999</v>
      </c>
      <c r="AB175" s="30">
        <v>1.1499999999999999</v>
      </c>
      <c r="AC175" s="30">
        <v>1.151</v>
      </c>
      <c r="AD175" s="30">
        <v>1.151</v>
      </c>
      <c r="AE175" s="30">
        <v>1.151</v>
      </c>
      <c r="AF175" s="30"/>
      <c r="AG175" s="30"/>
      <c r="AH175" s="30">
        <v>1.153</v>
      </c>
      <c r="AI175" s="30">
        <v>1.151</v>
      </c>
      <c r="AJ175" s="30">
        <v>1.1499999999999999</v>
      </c>
      <c r="AK175" s="30">
        <v>1.151</v>
      </c>
      <c r="AL175" s="30">
        <v>1.151</v>
      </c>
      <c r="AM175" s="30">
        <v>1.151</v>
      </c>
      <c r="AN175" s="30">
        <v>1.1519999999999999</v>
      </c>
      <c r="AO175" s="30">
        <v>1.1499999999999999</v>
      </c>
      <c r="AP175" s="30">
        <v>1.1519999999999999</v>
      </c>
      <c r="AQ175" s="30">
        <v>1.155</v>
      </c>
      <c r="AR175" s="30">
        <v>1.153</v>
      </c>
      <c r="AS175" s="30">
        <v>1.1519999999999999</v>
      </c>
      <c r="AT175" s="30">
        <v>1.151</v>
      </c>
      <c r="AU175" s="30">
        <v>1.153</v>
      </c>
      <c r="AV175" s="30">
        <v>1.153</v>
      </c>
      <c r="AW175" s="30">
        <v>1.153</v>
      </c>
    </row>
    <row r="176" spans="1:49" ht="18" customHeight="1">
      <c r="A176" s="23"/>
      <c r="B176" s="19"/>
      <c r="C176" s="75" t="s">
        <v>65</v>
      </c>
      <c r="D176" s="35" t="s">
        <v>174</v>
      </c>
      <c r="E176" s="35"/>
      <c r="F176" s="29" t="s">
        <v>175</v>
      </c>
      <c r="G176" s="38">
        <v>1.17</v>
      </c>
      <c r="H176" s="38">
        <v>0.05</v>
      </c>
      <c r="I176" s="38">
        <v>7.0000000000000007E-2</v>
      </c>
      <c r="J176" s="38">
        <v>0.05</v>
      </c>
      <c r="K176" s="38">
        <v>7.0000000000000007E-2</v>
      </c>
      <c r="L176" s="30">
        <f t="shared" si="8"/>
        <v>1.1719999999999999</v>
      </c>
      <c r="M176" s="30">
        <f t="shared" si="9"/>
        <v>1.167</v>
      </c>
      <c r="N176" s="30">
        <f t="shared" si="10"/>
        <v>4.9999999999998934E-3</v>
      </c>
      <c r="O176" s="31">
        <f t="shared" si="11"/>
        <v>1.1690714285714285</v>
      </c>
      <c r="P176" s="52"/>
      <c r="Q176" s="30">
        <v>1.17</v>
      </c>
      <c r="R176" s="30">
        <v>1.167</v>
      </c>
      <c r="S176" s="30">
        <v>1.169</v>
      </c>
      <c r="T176" s="30">
        <v>1.1679999999999999</v>
      </c>
      <c r="U176" s="30">
        <v>1.17</v>
      </c>
      <c r="V176" s="30">
        <v>1.1679999999999999</v>
      </c>
      <c r="W176" s="30">
        <v>1.17</v>
      </c>
      <c r="X176" s="30">
        <v>1.169</v>
      </c>
      <c r="Y176" s="30">
        <v>1.171</v>
      </c>
      <c r="Z176" s="30">
        <v>1.169</v>
      </c>
      <c r="AA176" s="30">
        <v>1.167</v>
      </c>
      <c r="AB176" s="30">
        <v>1.167</v>
      </c>
      <c r="AC176" s="30">
        <v>1.169</v>
      </c>
      <c r="AD176" s="30">
        <v>1.167</v>
      </c>
      <c r="AE176" s="30">
        <v>1.1679999999999999</v>
      </c>
      <c r="AF176" s="30"/>
      <c r="AG176" s="30"/>
      <c r="AH176" s="30">
        <v>1.17</v>
      </c>
      <c r="AI176" s="30">
        <v>1.169</v>
      </c>
      <c r="AJ176" s="30">
        <v>1.1679999999999999</v>
      </c>
      <c r="AK176" s="30">
        <v>1.169</v>
      </c>
      <c r="AL176" s="30">
        <v>1.169</v>
      </c>
      <c r="AM176" s="30">
        <v>1.169</v>
      </c>
      <c r="AN176" s="30">
        <v>1.17</v>
      </c>
      <c r="AO176" s="30">
        <v>1.169</v>
      </c>
      <c r="AP176" s="30">
        <v>1.171</v>
      </c>
      <c r="AQ176" s="30">
        <v>1.1719999999999999</v>
      </c>
      <c r="AR176" s="30">
        <v>1.17</v>
      </c>
      <c r="AS176" s="30">
        <v>1.17</v>
      </c>
      <c r="AT176" s="30">
        <v>1.169</v>
      </c>
      <c r="AU176" s="30">
        <v>1.17</v>
      </c>
      <c r="AV176" s="30">
        <v>1.17</v>
      </c>
      <c r="AW176" s="30">
        <v>1.17</v>
      </c>
    </row>
    <row r="177" spans="1:49" ht="18" customHeight="1">
      <c r="A177" s="23"/>
      <c r="B177" s="19"/>
      <c r="C177" s="75" t="s">
        <v>65</v>
      </c>
      <c r="D177" s="35" t="s">
        <v>176</v>
      </c>
      <c r="E177" s="35"/>
      <c r="F177" s="29" t="s">
        <v>177</v>
      </c>
      <c r="G177" s="38">
        <v>0.84</v>
      </c>
      <c r="H177" s="38">
        <v>0.05</v>
      </c>
      <c r="I177" s="38">
        <v>0.05</v>
      </c>
      <c r="J177" s="38">
        <v>0.05</v>
      </c>
      <c r="K177" s="38">
        <v>0.05</v>
      </c>
      <c r="L177" s="30">
        <f t="shared" si="8"/>
        <v>0.84</v>
      </c>
      <c r="M177" s="30">
        <f t="shared" si="9"/>
        <v>0.83799999999999997</v>
      </c>
      <c r="N177" s="30">
        <f t="shared" si="10"/>
        <v>2.0000000000000018E-3</v>
      </c>
      <c r="O177" s="31">
        <f t="shared" si="11"/>
        <v>0.83878571428571413</v>
      </c>
      <c r="P177" s="52"/>
      <c r="Q177" s="30">
        <v>0.83799999999999997</v>
      </c>
      <c r="R177" s="30">
        <v>0.83899999999999997</v>
      </c>
      <c r="S177" s="30">
        <v>0.83899999999999997</v>
      </c>
      <c r="T177" s="30">
        <v>0.83899999999999997</v>
      </c>
      <c r="U177" s="30">
        <v>0.83899999999999997</v>
      </c>
      <c r="V177" s="30">
        <v>0.84</v>
      </c>
      <c r="W177" s="30">
        <v>0.83899999999999997</v>
      </c>
      <c r="X177" s="30">
        <v>0.83899999999999997</v>
      </c>
      <c r="Y177" s="30">
        <v>0.83799999999999997</v>
      </c>
      <c r="Z177" s="30">
        <v>0.83899999999999997</v>
      </c>
      <c r="AA177" s="30">
        <v>0.83899999999999997</v>
      </c>
      <c r="AB177" s="30">
        <v>0.83899999999999997</v>
      </c>
      <c r="AC177" s="30">
        <v>0.83799999999999997</v>
      </c>
      <c r="AD177" s="30">
        <v>0.83799999999999997</v>
      </c>
      <c r="AE177" s="30">
        <v>0.84</v>
      </c>
      <c r="AF177" s="30"/>
      <c r="AG177" s="30"/>
      <c r="AH177" s="30">
        <v>0.83899999999999997</v>
      </c>
      <c r="AI177" s="30">
        <v>0.83899999999999997</v>
      </c>
      <c r="AJ177" s="30">
        <v>0.83899999999999997</v>
      </c>
      <c r="AK177" s="30">
        <v>0.83799999999999997</v>
      </c>
      <c r="AL177" s="30">
        <v>0.83899999999999997</v>
      </c>
      <c r="AM177" s="30">
        <v>0.83899999999999997</v>
      </c>
      <c r="AN177" s="30">
        <v>0.83899999999999997</v>
      </c>
      <c r="AO177" s="30">
        <v>0.83799999999999997</v>
      </c>
      <c r="AP177" s="30">
        <v>0.84</v>
      </c>
      <c r="AQ177" s="30">
        <v>0.83899999999999997</v>
      </c>
      <c r="AR177" s="30">
        <v>0.83799999999999997</v>
      </c>
      <c r="AS177" s="30">
        <v>0.83799999999999997</v>
      </c>
      <c r="AT177" s="30">
        <v>0.83799999999999997</v>
      </c>
      <c r="AU177" s="30">
        <v>0.83899999999999997</v>
      </c>
      <c r="AV177" s="30">
        <v>0.83899999999999997</v>
      </c>
      <c r="AW177" s="30">
        <v>0.83899999999999997</v>
      </c>
    </row>
    <row r="178" spans="1:49" ht="18" customHeight="1">
      <c r="A178" s="23"/>
      <c r="B178" s="19"/>
      <c r="C178" s="75" t="s">
        <v>65</v>
      </c>
      <c r="D178" s="35" t="s">
        <v>178</v>
      </c>
      <c r="E178" s="35"/>
      <c r="F178" s="29" t="s">
        <v>179</v>
      </c>
      <c r="G178" s="38">
        <v>0.84</v>
      </c>
      <c r="H178" s="38">
        <v>0.05</v>
      </c>
      <c r="I178" s="38">
        <v>0.05</v>
      </c>
      <c r="J178" s="38">
        <v>0.05</v>
      </c>
      <c r="K178" s="38">
        <v>0.05</v>
      </c>
      <c r="L178" s="30">
        <f t="shared" si="8"/>
        <v>0.84599999999999997</v>
      </c>
      <c r="M178" s="30">
        <f t="shared" si="9"/>
        <v>0.84299999999999997</v>
      </c>
      <c r="N178" s="30">
        <f t="shared" si="10"/>
        <v>3.0000000000000027E-3</v>
      </c>
      <c r="O178" s="31">
        <f t="shared" si="11"/>
        <v>0.8448214285714285</v>
      </c>
      <c r="P178" s="52"/>
      <c r="Q178" s="30">
        <v>0.84399999999999997</v>
      </c>
      <c r="R178" s="30">
        <v>0.84499999999999997</v>
      </c>
      <c r="S178" s="30">
        <v>0.84599999999999997</v>
      </c>
      <c r="T178" s="30">
        <v>0.84499999999999997</v>
      </c>
      <c r="U178" s="30">
        <v>0.84499999999999997</v>
      </c>
      <c r="V178" s="30">
        <v>0.84499999999999997</v>
      </c>
      <c r="W178" s="30">
        <v>0.84499999999999997</v>
      </c>
      <c r="X178" s="30">
        <v>0.84299999999999997</v>
      </c>
      <c r="Y178" s="30">
        <v>0.84499999999999997</v>
      </c>
      <c r="Z178" s="30">
        <v>0.84499999999999997</v>
      </c>
      <c r="AA178" s="30">
        <v>0.84599999999999997</v>
      </c>
      <c r="AB178" s="30">
        <v>0.84499999999999997</v>
      </c>
      <c r="AC178" s="30">
        <v>0.84599999999999997</v>
      </c>
      <c r="AD178" s="30">
        <v>0.84499999999999997</v>
      </c>
      <c r="AE178" s="30">
        <v>0.84499999999999997</v>
      </c>
      <c r="AF178" s="30"/>
      <c r="AG178" s="30"/>
      <c r="AH178" s="30">
        <v>0.84499999999999997</v>
      </c>
      <c r="AI178" s="30">
        <v>0.84499999999999997</v>
      </c>
      <c r="AJ178" s="30">
        <v>0.84599999999999997</v>
      </c>
      <c r="AK178" s="30">
        <v>0.84299999999999997</v>
      </c>
      <c r="AL178" s="30">
        <v>0.84499999999999997</v>
      </c>
      <c r="AM178" s="30">
        <v>0.84499999999999997</v>
      </c>
      <c r="AN178" s="30">
        <v>0.84499999999999997</v>
      </c>
      <c r="AO178" s="30">
        <v>0.84499999999999997</v>
      </c>
      <c r="AP178" s="30">
        <v>0.84499999999999997</v>
      </c>
      <c r="AQ178" s="30">
        <v>0.84399999999999997</v>
      </c>
      <c r="AR178" s="30">
        <v>0.84399999999999997</v>
      </c>
      <c r="AS178" s="30">
        <v>0.84499999999999997</v>
      </c>
      <c r="AT178" s="30">
        <v>0.84299999999999997</v>
      </c>
      <c r="AU178" s="30">
        <v>0.84499999999999997</v>
      </c>
      <c r="AV178" s="30">
        <v>0.84399999999999997</v>
      </c>
      <c r="AW178" s="30">
        <v>0.84399999999999997</v>
      </c>
    </row>
    <row r="179" spans="1:49" ht="18" customHeight="1">
      <c r="A179" s="23"/>
      <c r="B179" s="19"/>
      <c r="C179" s="75" t="s">
        <v>65</v>
      </c>
      <c r="D179" s="35" t="s">
        <v>180</v>
      </c>
      <c r="E179" s="35"/>
      <c r="F179" s="29" t="s">
        <v>181</v>
      </c>
      <c r="G179" s="38">
        <v>0.84</v>
      </c>
      <c r="H179" s="38">
        <v>0.05</v>
      </c>
      <c r="I179" s="38">
        <v>0.05</v>
      </c>
      <c r="J179" s="38">
        <v>0.05</v>
      </c>
      <c r="K179" s="38">
        <v>0.05</v>
      </c>
      <c r="L179" s="30">
        <f t="shared" si="8"/>
        <v>0.83899999999999997</v>
      </c>
      <c r="M179" s="30">
        <f t="shared" si="9"/>
        <v>0.83499999999999996</v>
      </c>
      <c r="N179" s="30">
        <f t="shared" si="10"/>
        <v>4.0000000000000036E-3</v>
      </c>
      <c r="O179" s="31">
        <f t="shared" si="11"/>
        <v>0.83739285714285694</v>
      </c>
      <c r="P179" s="52"/>
      <c r="Q179" s="30">
        <v>0.83699999999999997</v>
      </c>
      <c r="R179" s="30">
        <v>0.83799999999999997</v>
      </c>
      <c r="S179" s="30">
        <v>0.83499999999999996</v>
      </c>
      <c r="T179" s="30">
        <v>0.83699999999999997</v>
      </c>
      <c r="U179" s="30">
        <v>0.83599999999999997</v>
      </c>
      <c r="V179" s="30">
        <v>0.83699999999999997</v>
      </c>
      <c r="W179" s="30">
        <v>0.83799999999999997</v>
      </c>
      <c r="X179" s="30">
        <v>0.83599999999999997</v>
      </c>
      <c r="Y179" s="30">
        <v>0.83799999999999997</v>
      </c>
      <c r="Z179" s="30">
        <v>0.83699999999999997</v>
      </c>
      <c r="AA179" s="30">
        <v>0.83799999999999997</v>
      </c>
      <c r="AB179" s="30">
        <v>0.83699999999999997</v>
      </c>
      <c r="AC179" s="30">
        <v>0.83699999999999997</v>
      </c>
      <c r="AD179" s="30">
        <v>0.83699999999999997</v>
      </c>
      <c r="AE179" s="30">
        <v>0.83699999999999997</v>
      </c>
      <c r="AF179" s="30"/>
      <c r="AG179" s="30"/>
      <c r="AH179" s="30">
        <v>0.83699999999999997</v>
      </c>
      <c r="AI179" s="30">
        <v>0.83899999999999997</v>
      </c>
      <c r="AJ179" s="30">
        <v>0.83699999999999997</v>
      </c>
      <c r="AK179" s="30">
        <v>0.83699999999999997</v>
      </c>
      <c r="AL179" s="30">
        <v>0.83899999999999997</v>
      </c>
      <c r="AM179" s="30">
        <v>0.83799999999999997</v>
      </c>
      <c r="AN179" s="30">
        <v>0.83799999999999997</v>
      </c>
      <c r="AO179" s="30">
        <v>0.83899999999999997</v>
      </c>
      <c r="AP179" s="30">
        <v>0.83899999999999997</v>
      </c>
      <c r="AQ179" s="30">
        <v>0.83699999999999997</v>
      </c>
      <c r="AR179" s="30">
        <v>0.83699999999999997</v>
      </c>
      <c r="AS179" s="30">
        <v>0.83699999999999997</v>
      </c>
      <c r="AT179" s="30">
        <v>0.83799999999999997</v>
      </c>
      <c r="AU179" s="30">
        <v>0.83799999999999997</v>
      </c>
      <c r="AV179" s="30">
        <v>0.83899999999999997</v>
      </c>
      <c r="AW179" s="30">
        <v>0.83699999999999997</v>
      </c>
    </row>
    <row r="180" spans="1:49" ht="18" customHeight="1">
      <c r="A180" s="23"/>
      <c r="B180" s="19"/>
      <c r="C180" s="75" t="s">
        <v>65</v>
      </c>
      <c r="D180" s="35" t="s">
        <v>182</v>
      </c>
      <c r="E180" s="35"/>
      <c r="F180" s="29" t="s">
        <v>183</v>
      </c>
      <c r="G180" s="38">
        <v>0.84</v>
      </c>
      <c r="H180" s="38">
        <v>0.05</v>
      </c>
      <c r="I180" s="38">
        <v>0.05</v>
      </c>
      <c r="J180" s="38">
        <v>0.05</v>
      </c>
      <c r="K180" s="38">
        <v>0.05</v>
      </c>
      <c r="L180" s="30">
        <f t="shared" si="8"/>
        <v>0.83399999999999996</v>
      </c>
      <c r="M180" s="30">
        <f t="shared" si="9"/>
        <v>0.82899999999999996</v>
      </c>
      <c r="N180" s="30">
        <f t="shared" si="10"/>
        <v>5.0000000000000044E-3</v>
      </c>
      <c r="O180" s="31">
        <f t="shared" si="11"/>
        <v>0.83121428571428557</v>
      </c>
      <c r="P180" s="52"/>
      <c r="Q180" s="30">
        <v>0.83</v>
      </c>
      <c r="R180" s="30">
        <v>0.83299999999999996</v>
      </c>
      <c r="S180" s="30">
        <v>0.83099999999999996</v>
      </c>
      <c r="T180" s="30">
        <v>0.83099999999999996</v>
      </c>
      <c r="U180" s="30">
        <v>0.83099999999999996</v>
      </c>
      <c r="V180" s="30">
        <v>0.83199999999999996</v>
      </c>
      <c r="W180" s="30">
        <v>0.83199999999999996</v>
      </c>
      <c r="X180" s="30">
        <v>0.82899999999999996</v>
      </c>
      <c r="Y180" s="30">
        <v>0.83099999999999996</v>
      </c>
      <c r="Z180" s="30">
        <v>0.83199999999999996</v>
      </c>
      <c r="AA180" s="30">
        <v>0.83199999999999996</v>
      </c>
      <c r="AB180" s="30">
        <v>0.83099999999999996</v>
      </c>
      <c r="AC180" s="30">
        <v>0.82899999999999996</v>
      </c>
      <c r="AD180" s="30">
        <v>0.83099999999999996</v>
      </c>
      <c r="AE180" s="30">
        <v>0.83</v>
      </c>
      <c r="AF180" s="30"/>
      <c r="AG180" s="30"/>
      <c r="AH180" s="30">
        <v>0.83099999999999996</v>
      </c>
      <c r="AI180" s="30">
        <v>0.83199999999999996</v>
      </c>
      <c r="AJ180" s="30">
        <v>0.83199999999999996</v>
      </c>
      <c r="AK180" s="30">
        <v>0.83099999999999996</v>
      </c>
      <c r="AL180" s="30">
        <v>0.83199999999999996</v>
      </c>
      <c r="AM180" s="30">
        <v>0.83199999999999996</v>
      </c>
      <c r="AN180" s="30">
        <v>0.83199999999999996</v>
      </c>
      <c r="AO180" s="30">
        <v>0.83299999999999996</v>
      </c>
      <c r="AP180" s="30">
        <v>0.83399999999999996</v>
      </c>
      <c r="AQ180" s="30">
        <v>0.83099999999999996</v>
      </c>
      <c r="AR180" s="30">
        <v>0.83</v>
      </c>
      <c r="AS180" s="30">
        <v>0.82899999999999996</v>
      </c>
      <c r="AT180" s="30">
        <v>0.83</v>
      </c>
      <c r="AU180" s="30">
        <v>0.83099999999999996</v>
      </c>
      <c r="AV180" s="30">
        <v>0.83299999999999996</v>
      </c>
      <c r="AW180" s="30">
        <v>0.82899999999999996</v>
      </c>
    </row>
    <row r="181" spans="1:49" ht="18" customHeight="1">
      <c r="A181" s="23"/>
      <c r="B181" s="19"/>
      <c r="C181" s="78" t="s">
        <v>115</v>
      </c>
      <c r="D181" s="35" t="s">
        <v>184</v>
      </c>
      <c r="E181" s="35"/>
      <c r="F181" s="29" t="s">
        <v>185</v>
      </c>
      <c r="G181" s="38">
        <v>2.14</v>
      </c>
      <c r="H181" s="38">
        <v>0.03</v>
      </c>
      <c r="I181" s="38">
        <v>0.03</v>
      </c>
      <c r="J181" s="38">
        <v>0.03</v>
      </c>
      <c r="K181" s="38">
        <v>0.03</v>
      </c>
      <c r="L181" s="30">
        <f t="shared" si="8"/>
        <v>2.1440000000000001</v>
      </c>
      <c r="M181" s="30">
        <f t="shared" si="9"/>
        <v>2.1269999999999998</v>
      </c>
      <c r="N181" s="30">
        <f t="shared" si="10"/>
        <v>1.7000000000000348E-2</v>
      </c>
      <c r="O181" s="31">
        <f t="shared" si="11"/>
        <v>2.1306785714285712</v>
      </c>
      <c r="P181" s="52"/>
      <c r="Q181" s="30">
        <v>2.1440000000000001</v>
      </c>
      <c r="R181" s="30">
        <v>2.13</v>
      </c>
      <c r="S181" s="30">
        <v>2.1320000000000001</v>
      </c>
      <c r="T181" s="30">
        <v>2.129</v>
      </c>
      <c r="U181" s="30">
        <v>2.133</v>
      </c>
      <c r="V181" s="30">
        <v>2.1309999999999998</v>
      </c>
      <c r="W181" s="30">
        <v>2.1309999999999998</v>
      </c>
      <c r="X181" s="30">
        <v>2.13</v>
      </c>
      <c r="Y181" s="30">
        <v>2.129</v>
      </c>
      <c r="Z181" s="30">
        <v>2.1280000000000001</v>
      </c>
      <c r="AA181" s="30">
        <v>2.129</v>
      </c>
      <c r="AB181" s="30">
        <v>2.1320000000000001</v>
      </c>
      <c r="AC181" s="30">
        <v>2.129</v>
      </c>
      <c r="AD181" s="30">
        <v>2.1320000000000001</v>
      </c>
      <c r="AE181" s="30">
        <v>2.1309999999999998</v>
      </c>
      <c r="AF181" s="30"/>
      <c r="AG181" s="30"/>
      <c r="AH181" s="30">
        <v>2.1280000000000001</v>
      </c>
      <c r="AI181" s="30">
        <v>2.1269999999999998</v>
      </c>
      <c r="AJ181" s="30">
        <v>2.129</v>
      </c>
      <c r="AK181" s="30">
        <v>2.129</v>
      </c>
      <c r="AL181" s="30">
        <v>2.1320000000000001</v>
      </c>
      <c r="AM181" s="30">
        <v>2.1309999999999998</v>
      </c>
      <c r="AN181" s="30">
        <v>2.1269999999999998</v>
      </c>
      <c r="AO181" s="30">
        <v>2.129</v>
      </c>
      <c r="AP181" s="30">
        <v>2.1309999999999998</v>
      </c>
      <c r="AQ181" s="30">
        <v>2.129</v>
      </c>
      <c r="AR181" s="30">
        <v>2.1309999999999998</v>
      </c>
      <c r="AS181" s="30">
        <v>2.1320000000000001</v>
      </c>
      <c r="AT181" s="30">
        <v>2.1339999999999999</v>
      </c>
      <c r="AU181" s="30">
        <v>2.1280000000000001</v>
      </c>
      <c r="AV181" s="30">
        <v>2.13</v>
      </c>
      <c r="AW181" s="30">
        <v>2.133</v>
      </c>
    </row>
    <row r="182" spans="1:49" ht="18" customHeight="1">
      <c r="A182" s="23"/>
      <c r="B182" s="19"/>
      <c r="C182" s="78" t="s">
        <v>115</v>
      </c>
      <c r="D182" s="35" t="s">
        <v>186</v>
      </c>
      <c r="E182" s="35"/>
      <c r="F182" s="29" t="s">
        <v>187</v>
      </c>
      <c r="G182" s="38">
        <v>2.14</v>
      </c>
      <c r="H182" s="38">
        <v>0.03</v>
      </c>
      <c r="I182" s="38">
        <v>0.03</v>
      </c>
      <c r="J182" s="38">
        <v>0.03</v>
      </c>
      <c r="K182" s="38">
        <v>0.03</v>
      </c>
      <c r="L182" s="30">
        <f t="shared" si="8"/>
        <v>2.1419999999999999</v>
      </c>
      <c r="M182" s="30">
        <f t="shared" si="9"/>
        <v>2.1269999999999998</v>
      </c>
      <c r="N182" s="30">
        <f t="shared" si="10"/>
        <v>1.5000000000000124E-2</v>
      </c>
      <c r="O182" s="31">
        <f t="shared" si="11"/>
        <v>2.132714285714286</v>
      </c>
      <c r="P182" s="52"/>
      <c r="Q182" s="30">
        <v>2.1419999999999999</v>
      </c>
      <c r="R182" s="30">
        <v>2.1309999999999998</v>
      </c>
      <c r="S182" s="30">
        <v>2.1360000000000001</v>
      </c>
      <c r="T182" s="30">
        <v>2.13</v>
      </c>
      <c r="U182" s="30">
        <v>2.1379999999999999</v>
      </c>
      <c r="V182" s="30">
        <v>2.1379999999999999</v>
      </c>
      <c r="W182" s="30">
        <v>2.137</v>
      </c>
      <c r="X182" s="30">
        <v>2.1320000000000001</v>
      </c>
      <c r="Y182" s="30">
        <v>2.133</v>
      </c>
      <c r="Z182" s="30">
        <v>2.1339999999999999</v>
      </c>
      <c r="AA182" s="30">
        <v>2.13</v>
      </c>
      <c r="AB182" s="30">
        <v>2.1349999999999998</v>
      </c>
      <c r="AC182" s="30">
        <v>2.1349999999999998</v>
      </c>
      <c r="AD182" s="30">
        <v>2.133</v>
      </c>
      <c r="AE182" s="30">
        <v>2.133</v>
      </c>
      <c r="AF182" s="30"/>
      <c r="AG182" s="30"/>
      <c r="AH182" s="30">
        <v>2.1339999999999999</v>
      </c>
      <c r="AI182" s="30">
        <v>2.133</v>
      </c>
      <c r="AJ182" s="30">
        <v>2.13</v>
      </c>
      <c r="AK182" s="30">
        <v>2.1360000000000001</v>
      </c>
      <c r="AL182" s="30">
        <v>2.133</v>
      </c>
      <c r="AM182" s="30">
        <v>2.1309999999999998</v>
      </c>
      <c r="AN182" s="30">
        <v>2.1280000000000001</v>
      </c>
      <c r="AO182" s="30">
        <v>2.1280000000000001</v>
      </c>
      <c r="AP182" s="30">
        <v>2.1280000000000001</v>
      </c>
      <c r="AQ182" s="30">
        <v>2.13</v>
      </c>
      <c r="AR182" s="30">
        <v>2.1320000000000001</v>
      </c>
      <c r="AS182" s="30">
        <v>2.1269999999999998</v>
      </c>
      <c r="AT182" s="30">
        <v>2.129</v>
      </c>
      <c r="AU182" s="30">
        <v>2.1309999999999998</v>
      </c>
      <c r="AV182" s="30">
        <v>2.1259999999999999</v>
      </c>
      <c r="AW182" s="30">
        <v>2.1280000000000001</v>
      </c>
    </row>
    <row r="183" spans="1:49" ht="18" customHeight="1">
      <c r="A183" s="23"/>
      <c r="B183" s="19"/>
      <c r="C183" s="78" t="s">
        <v>115</v>
      </c>
      <c r="D183" s="35" t="s">
        <v>188</v>
      </c>
      <c r="E183" s="35"/>
      <c r="F183" s="29" t="s">
        <v>189</v>
      </c>
      <c r="G183" s="38">
        <v>2.14</v>
      </c>
      <c r="H183" s="38">
        <v>0.03</v>
      </c>
      <c r="I183" s="38">
        <v>0.03</v>
      </c>
      <c r="J183" s="38">
        <v>0.03</v>
      </c>
      <c r="K183" s="38">
        <v>0.03</v>
      </c>
      <c r="L183" s="30">
        <f t="shared" si="8"/>
        <v>2.1419999999999999</v>
      </c>
      <c r="M183" s="30">
        <f t="shared" si="9"/>
        <v>2.13</v>
      </c>
      <c r="N183" s="30">
        <f t="shared" si="10"/>
        <v>1.2000000000000011E-2</v>
      </c>
      <c r="O183" s="31">
        <f t="shared" si="11"/>
        <v>2.1354285714285717</v>
      </c>
      <c r="P183" s="52"/>
      <c r="Q183" s="30">
        <v>2.14</v>
      </c>
      <c r="R183" s="30">
        <v>2.133</v>
      </c>
      <c r="S183" s="30">
        <v>2.1320000000000001</v>
      </c>
      <c r="T183" s="30">
        <v>2.1309999999999998</v>
      </c>
      <c r="U183" s="30">
        <v>2.1320000000000001</v>
      </c>
      <c r="V183" s="30">
        <v>2.1379999999999999</v>
      </c>
      <c r="W183" s="30">
        <v>2.13</v>
      </c>
      <c r="X183" s="30">
        <v>2.1339999999999999</v>
      </c>
      <c r="Y183" s="30">
        <v>2.137</v>
      </c>
      <c r="Z183" s="30">
        <v>2.14</v>
      </c>
      <c r="AA183" s="30">
        <v>2.1320000000000001</v>
      </c>
      <c r="AB183" s="30">
        <v>2.1389999999999998</v>
      </c>
      <c r="AC183" s="30">
        <v>2.1389999999999998</v>
      </c>
      <c r="AD183" s="30">
        <v>2.1349999999999998</v>
      </c>
      <c r="AE183" s="30">
        <v>2.137</v>
      </c>
      <c r="AF183" s="30"/>
      <c r="AG183" s="30"/>
      <c r="AH183" s="30">
        <v>2.1379999999999999</v>
      </c>
      <c r="AI183" s="30">
        <v>2.1389999999999998</v>
      </c>
      <c r="AJ183" s="30">
        <v>2.1339999999999999</v>
      </c>
      <c r="AK183" s="30">
        <v>2.1419999999999999</v>
      </c>
      <c r="AL183" s="30">
        <v>2.1339999999999999</v>
      </c>
      <c r="AM183" s="30">
        <v>2.1339999999999999</v>
      </c>
      <c r="AN183" s="30">
        <v>2.133</v>
      </c>
      <c r="AO183" s="30">
        <v>2.1320000000000001</v>
      </c>
      <c r="AP183" s="30">
        <v>2.1349999999999998</v>
      </c>
      <c r="AQ183" s="30">
        <v>2.133</v>
      </c>
      <c r="AR183" s="30">
        <v>2.1379999999999999</v>
      </c>
      <c r="AS183" s="30">
        <v>2.137</v>
      </c>
      <c r="AT183" s="30">
        <v>2.1339999999999999</v>
      </c>
      <c r="AU183" s="30">
        <v>2.1339999999999999</v>
      </c>
      <c r="AV183" s="30">
        <v>2.1349999999999998</v>
      </c>
      <c r="AW183" s="30">
        <v>2.133</v>
      </c>
    </row>
    <row r="184" spans="1:49" ht="18" customHeight="1">
      <c r="A184" s="23"/>
      <c r="B184" s="19"/>
      <c r="C184" s="78" t="s">
        <v>115</v>
      </c>
      <c r="D184" s="35" t="s">
        <v>190</v>
      </c>
      <c r="E184" s="35"/>
      <c r="F184" s="29" t="s">
        <v>191</v>
      </c>
      <c r="G184" s="38">
        <v>2.14</v>
      </c>
      <c r="H184" s="38">
        <v>0.03</v>
      </c>
      <c r="I184" s="38">
        <v>0.03</v>
      </c>
      <c r="J184" s="38">
        <v>0.03</v>
      </c>
      <c r="K184" s="38">
        <v>0.03</v>
      </c>
      <c r="L184" s="30">
        <f t="shared" si="8"/>
        <v>2.1469999999999998</v>
      </c>
      <c r="M184" s="30">
        <f t="shared" si="9"/>
        <v>2.1259999999999999</v>
      </c>
      <c r="N184" s="30">
        <f t="shared" si="10"/>
        <v>2.0999999999999908E-2</v>
      </c>
      <c r="O184" s="31">
        <f t="shared" si="11"/>
        <v>2.1333571428571427</v>
      </c>
      <c r="P184" s="52"/>
      <c r="Q184" s="30">
        <v>2.1419999999999999</v>
      </c>
      <c r="R184" s="30">
        <v>2.1320000000000001</v>
      </c>
      <c r="S184" s="30">
        <v>2.1379999999999999</v>
      </c>
      <c r="T184" s="30">
        <v>2.1309999999999998</v>
      </c>
      <c r="U184" s="30">
        <v>2.1419999999999999</v>
      </c>
      <c r="V184" s="30">
        <v>2.1469999999999998</v>
      </c>
      <c r="W184" s="30">
        <v>2.141</v>
      </c>
      <c r="X184" s="30">
        <v>2.1320000000000001</v>
      </c>
      <c r="Y184" s="30">
        <v>2.13</v>
      </c>
      <c r="Z184" s="30">
        <v>2.1280000000000001</v>
      </c>
      <c r="AA184" s="30">
        <v>2.1309999999999998</v>
      </c>
      <c r="AB184" s="30">
        <v>2.1320000000000001</v>
      </c>
      <c r="AC184" s="30">
        <v>2.133</v>
      </c>
      <c r="AD184" s="30">
        <v>2.133</v>
      </c>
      <c r="AE184" s="30">
        <v>2.13</v>
      </c>
      <c r="AF184" s="30"/>
      <c r="AG184" s="30"/>
      <c r="AH184" s="30">
        <v>2.1320000000000001</v>
      </c>
      <c r="AI184" s="30">
        <v>2.1349999999999998</v>
      </c>
      <c r="AJ184" s="30">
        <v>2.1280000000000001</v>
      </c>
      <c r="AK184" s="30">
        <v>2.1379999999999999</v>
      </c>
      <c r="AL184" s="30">
        <v>2.133</v>
      </c>
      <c r="AM184" s="30">
        <v>2.13</v>
      </c>
      <c r="AN184" s="30">
        <v>2.1259999999999999</v>
      </c>
      <c r="AO184" s="30">
        <v>2.1309999999999998</v>
      </c>
      <c r="AP184" s="30">
        <v>2.1360000000000001</v>
      </c>
      <c r="AQ184" s="30">
        <v>2.129</v>
      </c>
      <c r="AR184" s="30">
        <v>2.129</v>
      </c>
      <c r="AS184" s="30">
        <v>2.1339999999999999</v>
      </c>
      <c r="AT184" s="30">
        <v>2.1309999999999998</v>
      </c>
      <c r="AU184" s="30">
        <v>2.1269999999999998</v>
      </c>
      <c r="AV184" s="30">
        <v>2.1320000000000001</v>
      </c>
      <c r="AW184" s="30">
        <v>2.13</v>
      </c>
    </row>
    <row r="185" spans="1:49" ht="18" customHeight="1">
      <c r="A185" s="23"/>
      <c r="B185" s="19"/>
      <c r="C185" s="75" t="s">
        <v>65</v>
      </c>
      <c r="D185" s="35" t="s">
        <v>192</v>
      </c>
      <c r="E185" s="35"/>
      <c r="F185" s="29" t="s">
        <v>193</v>
      </c>
      <c r="G185" s="38">
        <v>78.16</v>
      </c>
      <c r="H185" s="38">
        <v>0.1</v>
      </c>
      <c r="I185" s="38">
        <v>0.1</v>
      </c>
      <c r="J185" s="38">
        <v>0.1</v>
      </c>
      <c r="K185" s="38">
        <v>0.1</v>
      </c>
      <c r="L185" s="30">
        <f t="shared" si="8"/>
        <v>78.188000000000002</v>
      </c>
      <c r="M185" s="30">
        <f t="shared" si="9"/>
        <v>78.152000000000001</v>
      </c>
      <c r="N185" s="30">
        <f t="shared" si="10"/>
        <v>3.6000000000001364E-2</v>
      </c>
      <c r="O185" s="31">
        <f t="shared" si="11"/>
        <v>78.16646428571427</v>
      </c>
      <c r="P185" s="52"/>
      <c r="Q185" s="30">
        <v>78.165999999999997</v>
      </c>
      <c r="R185" s="30">
        <v>78.164000000000001</v>
      </c>
      <c r="S185" s="30">
        <v>78.16</v>
      </c>
      <c r="T185" s="30">
        <v>78.158000000000001</v>
      </c>
      <c r="U185" s="30">
        <v>78.16</v>
      </c>
      <c r="V185" s="30">
        <v>78.17</v>
      </c>
      <c r="W185" s="30">
        <v>78.168000000000006</v>
      </c>
      <c r="X185" s="30">
        <v>78.183999999999997</v>
      </c>
      <c r="Y185" s="30">
        <v>78.177999999999997</v>
      </c>
      <c r="Z185" s="30">
        <v>78.155000000000001</v>
      </c>
      <c r="AA185" s="30">
        <v>78.177999999999997</v>
      </c>
      <c r="AB185" s="30">
        <v>78.188000000000002</v>
      </c>
      <c r="AC185" s="30">
        <v>78.173000000000002</v>
      </c>
      <c r="AD185" s="30">
        <v>78.180000000000007</v>
      </c>
      <c r="AE185" s="30">
        <v>78.183000000000007</v>
      </c>
      <c r="AF185" s="30"/>
      <c r="AG185" s="30"/>
      <c r="AH185" s="30">
        <v>78.161000000000001</v>
      </c>
      <c r="AI185" s="30">
        <v>78.167000000000002</v>
      </c>
      <c r="AJ185" s="30">
        <v>78.165000000000006</v>
      </c>
      <c r="AK185" s="30">
        <v>78.155000000000001</v>
      </c>
      <c r="AL185" s="30">
        <v>78.167000000000002</v>
      </c>
      <c r="AM185" s="30">
        <v>78.165000000000006</v>
      </c>
      <c r="AN185" s="30">
        <v>78.156999999999996</v>
      </c>
      <c r="AO185" s="30">
        <v>78.155000000000001</v>
      </c>
      <c r="AP185" s="30">
        <v>78.171000000000006</v>
      </c>
      <c r="AQ185" s="30">
        <v>78.153999999999996</v>
      </c>
      <c r="AR185" s="30">
        <v>78.152000000000001</v>
      </c>
      <c r="AS185" s="30">
        <v>78.174999999999997</v>
      </c>
      <c r="AT185" s="30">
        <v>78.152000000000001</v>
      </c>
      <c r="AU185" s="30">
        <v>78.191000000000003</v>
      </c>
      <c r="AV185" s="30">
        <v>78.185000000000002</v>
      </c>
      <c r="AW185" s="30">
        <v>78.182000000000002</v>
      </c>
    </row>
    <row r="186" spans="1:49" ht="18" customHeight="1">
      <c r="A186" s="23"/>
      <c r="B186" s="19"/>
      <c r="C186" s="75" t="s">
        <v>65</v>
      </c>
      <c r="D186" s="35" t="s">
        <v>194</v>
      </c>
      <c r="E186" s="35"/>
      <c r="F186" s="29" t="s">
        <v>195</v>
      </c>
      <c r="G186" s="38">
        <v>78.16</v>
      </c>
      <c r="H186" s="38">
        <v>0.1</v>
      </c>
      <c r="I186" s="38">
        <v>0.1</v>
      </c>
      <c r="J186" s="38">
        <v>0.1</v>
      </c>
      <c r="K186" s="38">
        <v>0.1</v>
      </c>
      <c r="L186" s="30">
        <f t="shared" si="8"/>
        <v>78.173000000000002</v>
      </c>
      <c r="M186" s="30">
        <f t="shared" si="9"/>
        <v>78.087000000000003</v>
      </c>
      <c r="N186" s="30">
        <f t="shared" si="10"/>
        <v>8.5999999999998522E-2</v>
      </c>
      <c r="O186" s="31">
        <f t="shared" si="11"/>
        <v>78.128035714285701</v>
      </c>
      <c r="P186" s="52"/>
      <c r="Q186" s="30">
        <v>78.168000000000006</v>
      </c>
      <c r="R186" s="30">
        <v>78.108000000000004</v>
      </c>
      <c r="S186" s="30">
        <v>78.111999999999995</v>
      </c>
      <c r="T186" s="30">
        <v>78.162000000000006</v>
      </c>
      <c r="U186" s="30">
        <v>78.108999999999995</v>
      </c>
      <c r="V186" s="30">
        <v>78.171000000000006</v>
      </c>
      <c r="W186" s="30">
        <v>78.168000000000006</v>
      </c>
      <c r="X186" s="30">
        <v>78.125</v>
      </c>
      <c r="Y186" s="30">
        <v>78.123000000000005</v>
      </c>
      <c r="Z186" s="30">
        <v>78.111999999999995</v>
      </c>
      <c r="AA186" s="30">
        <v>78.168000000000006</v>
      </c>
      <c r="AB186" s="30">
        <v>78.173000000000002</v>
      </c>
      <c r="AC186" s="30">
        <v>78.168000000000006</v>
      </c>
      <c r="AD186" s="30">
        <v>78.171999999999997</v>
      </c>
      <c r="AE186" s="30">
        <v>78.171999999999997</v>
      </c>
      <c r="AF186" s="30"/>
      <c r="AG186" s="30"/>
      <c r="AH186" s="30">
        <v>78.155000000000001</v>
      </c>
      <c r="AI186" s="30">
        <v>78.099000000000004</v>
      </c>
      <c r="AJ186" s="30">
        <v>78.156000000000006</v>
      </c>
      <c r="AK186" s="30">
        <v>78.090999999999994</v>
      </c>
      <c r="AL186" s="30">
        <v>78.099000000000004</v>
      </c>
      <c r="AM186" s="30">
        <v>78.102999999999994</v>
      </c>
      <c r="AN186" s="30">
        <v>78.093000000000004</v>
      </c>
      <c r="AO186" s="30">
        <v>78.090999999999994</v>
      </c>
      <c r="AP186" s="30">
        <v>78.103999999999999</v>
      </c>
      <c r="AQ186" s="30">
        <v>78.093999999999994</v>
      </c>
      <c r="AR186" s="30">
        <v>78.090999999999994</v>
      </c>
      <c r="AS186" s="30">
        <v>78.111000000000004</v>
      </c>
      <c r="AT186" s="30">
        <v>78.087000000000003</v>
      </c>
      <c r="AU186" s="30">
        <v>78.12</v>
      </c>
      <c r="AV186" s="30">
        <v>78.117999999999995</v>
      </c>
      <c r="AW186" s="30">
        <v>78.111000000000004</v>
      </c>
    </row>
    <row r="187" spans="1:49" ht="18" customHeight="1">
      <c r="A187" s="23"/>
      <c r="B187" s="19"/>
      <c r="C187" s="75" t="s">
        <v>65</v>
      </c>
      <c r="D187" s="35" t="s">
        <v>196</v>
      </c>
      <c r="E187" s="35"/>
      <c r="F187" s="29" t="s">
        <v>197</v>
      </c>
      <c r="G187" s="38">
        <v>78.16</v>
      </c>
      <c r="H187" s="38">
        <v>0.1</v>
      </c>
      <c r="I187" s="38">
        <v>0.1</v>
      </c>
      <c r="J187" s="38">
        <v>0.1</v>
      </c>
      <c r="K187" s="38">
        <v>0.1</v>
      </c>
      <c r="L187" s="30">
        <f t="shared" si="8"/>
        <v>78.132000000000005</v>
      </c>
      <c r="M187" s="30">
        <f t="shared" si="9"/>
        <v>78.097999999999999</v>
      </c>
      <c r="N187" s="30">
        <f t="shared" si="10"/>
        <v>3.4000000000006025E-2</v>
      </c>
      <c r="O187" s="31">
        <f t="shared" si="11"/>
        <v>78.112321428571434</v>
      </c>
      <c r="P187" s="52"/>
      <c r="Q187" s="30">
        <v>78.106999999999999</v>
      </c>
      <c r="R187" s="30">
        <v>78.105000000000004</v>
      </c>
      <c r="S187" s="30">
        <v>78.106999999999999</v>
      </c>
      <c r="T187" s="30">
        <v>78.105999999999995</v>
      </c>
      <c r="U187" s="30">
        <v>78.105999999999995</v>
      </c>
      <c r="V187" s="30">
        <v>78.111000000000004</v>
      </c>
      <c r="W187" s="30">
        <v>78.113</v>
      </c>
      <c r="X187" s="30">
        <v>78.122</v>
      </c>
      <c r="Y187" s="30">
        <v>78.117999999999995</v>
      </c>
      <c r="Z187" s="30">
        <v>78.120999999999995</v>
      </c>
      <c r="AA187" s="30">
        <v>78.122</v>
      </c>
      <c r="AB187" s="30">
        <v>78.129000000000005</v>
      </c>
      <c r="AC187" s="30">
        <v>78.129000000000005</v>
      </c>
      <c r="AD187" s="30">
        <v>78.117999999999995</v>
      </c>
      <c r="AE187" s="30">
        <v>78.132000000000005</v>
      </c>
      <c r="AF187" s="30"/>
      <c r="AG187" s="30"/>
      <c r="AH187" s="30">
        <v>78.102000000000004</v>
      </c>
      <c r="AI187" s="30">
        <v>78.113</v>
      </c>
      <c r="AJ187" s="30">
        <v>78.114000000000004</v>
      </c>
      <c r="AK187" s="30">
        <v>78.105000000000004</v>
      </c>
      <c r="AL187" s="30">
        <v>78.113</v>
      </c>
      <c r="AM187" s="30">
        <v>78.105999999999995</v>
      </c>
      <c r="AN187" s="30">
        <v>78.108999999999995</v>
      </c>
      <c r="AO187" s="30">
        <v>78.097999999999999</v>
      </c>
      <c r="AP187" s="30">
        <v>78.105000000000004</v>
      </c>
      <c r="AQ187" s="30">
        <v>78.105000000000004</v>
      </c>
      <c r="AR187" s="30">
        <v>78.106999999999999</v>
      </c>
      <c r="AS187" s="30">
        <v>78.114999999999995</v>
      </c>
      <c r="AT187" s="30">
        <v>78.106999999999999</v>
      </c>
      <c r="AU187" s="30">
        <v>78.123999999999995</v>
      </c>
      <c r="AV187" s="30">
        <v>78.123999999999995</v>
      </c>
      <c r="AW187" s="30">
        <v>78.135999999999996</v>
      </c>
    </row>
    <row r="188" spans="1:49" ht="18" customHeight="1">
      <c r="A188" s="23"/>
      <c r="B188" s="19"/>
      <c r="C188" s="75" t="s">
        <v>65</v>
      </c>
      <c r="D188" s="35" t="s">
        <v>198</v>
      </c>
      <c r="E188" s="35"/>
      <c r="F188" s="29" t="s">
        <v>199</v>
      </c>
      <c r="G188" s="38">
        <v>78.16</v>
      </c>
      <c r="H188" s="38">
        <v>0.1</v>
      </c>
      <c r="I188" s="38">
        <v>0.1</v>
      </c>
      <c r="J188" s="38">
        <v>0.1</v>
      </c>
      <c r="K188" s="38">
        <v>0.1</v>
      </c>
      <c r="L188" s="30">
        <f t="shared" si="8"/>
        <v>78.201999999999998</v>
      </c>
      <c r="M188" s="30">
        <f t="shared" si="9"/>
        <v>78.156000000000006</v>
      </c>
      <c r="N188" s="30">
        <f t="shared" si="10"/>
        <v>4.5999999999992269E-2</v>
      </c>
      <c r="O188" s="31">
        <f t="shared" si="11"/>
        <v>78.175392857142882</v>
      </c>
      <c r="P188" s="52"/>
      <c r="Q188" s="30">
        <v>78.17</v>
      </c>
      <c r="R188" s="30">
        <v>78.168000000000006</v>
      </c>
      <c r="S188" s="30">
        <v>78.16</v>
      </c>
      <c r="T188" s="30">
        <v>78.165999999999997</v>
      </c>
      <c r="U188" s="30">
        <v>78.165000000000006</v>
      </c>
      <c r="V188" s="30">
        <v>78.164000000000001</v>
      </c>
      <c r="W188" s="30">
        <v>78.174000000000007</v>
      </c>
      <c r="X188" s="30">
        <v>78.183999999999997</v>
      </c>
      <c r="Y188" s="30">
        <v>78.183000000000007</v>
      </c>
      <c r="Z188" s="30">
        <v>78.19</v>
      </c>
      <c r="AA188" s="30">
        <v>78.186000000000007</v>
      </c>
      <c r="AB188" s="30">
        <v>78.191000000000003</v>
      </c>
      <c r="AC188" s="30">
        <v>78.201999999999998</v>
      </c>
      <c r="AD188" s="30">
        <v>78.188000000000002</v>
      </c>
      <c r="AE188" s="30">
        <v>78.2</v>
      </c>
      <c r="AF188" s="30"/>
      <c r="AG188" s="30"/>
      <c r="AH188" s="30">
        <v>78.183999999999997</v>
      </c>
      <c r="AI188" s="30">
        <v>78.179000000000002</v>
      </c>
      <c r="AJ188" s="30">
        <v>78.180000000000007</v>
      </c>
      <c r="AK188" s="30">
        <v>78.164000000000001</v>
      </c>
      <c r="AL188" s="30">
        <v>78.179000000000002</v>
      </c>
      <c r="AM188" s="30">
        <v>78.168999999999997</v>
      </c>
      <c r="AN188" s="30">
        <v>78.158000000000001</v>
      </c>
      <c r="AO188" s="30">
        <v>78.156000000000006</v>
      </c>
      <c r="AP188" s="30">
        <v>78.165999999999997</v>
      </c>
      <c r="AQ188" s="30">
        <v>78.168999999999997</v>
      </c>
      <c r="AR188" s="30">
        <v>78.180999999999997</v>
      </c>
      <c r="AS188" s="30">
        <v>78.176000000000002</v>
      </c>
      <c r="AT188" s="30">
        <v>78.159000000000006</v>
      </c>
      <c r="AU188" s="30">
        <v>78.19</v>
      </c>
      <c r="AV188" s="30">
        <v>78.185000000000002</v>
      </c>
      <c r="AW188" s="30">
        <v>78.204999999999998</v>
      </c>
    </row>
    <row r="189" spans="1:49" ht="18" customHeight="1">
      <c r="A189" s="23"/>
      <c r="B189" s="19"/>
      <c r="C189" s="75" t="s">
        <v>65</v>
      </c>
      <c r="D189" s="35" t="s">
        <v>200</v>
      </c>
      <c r="E189" s="35"/>
      <c r="F189" s="29" t="s">
        <v>201</v>
      </c>
      <c r="G189" s="38">
        <v>4.03</v>
      </c>
      <c r="H189" s="38">
        <v>0.03</v>
      </c>
      <c r="I189" s="38">
        <v>0.03</v>
      </c>
      <c r="J189" s="38">
        <v>0.03</v>
      </c>
      <c r="K189" s="38">
        <v>0.03</v>
      </c>
      <c r="L189" s="30">
        <f t="shared" si="8"/>
        <v>4.0110000000000001</v>
      </c>
      <c r="M189" s="30">
        <f t="shared" si="9"/>
        <v>4.0030000000000001</v>
      </c>
      <c r="N189" s="30">
        <f t="shared" si="10"/>
        <v>8.0000000000000071E-3</v>
      </c>
      <c r="O189" s="31">
        <f t="shared" si="11"/>
        <v>4.0091785714285724</v>
      </c>
      <c r="P189" s="52"/>
      <c r="Q189" s="30">
        <v>4.0110000000000001</v>
      </c>
      <c r="R189" s="30">
        <v>4.0110000000000001</v>
      </c>
      <c r="S189" s="30">
        <v>4.008</v>
      </c>
      <c r="T189" s="30">
        <v>4.0090000000000003</v>
      </c>
      <c r="U189" s="30">
        <v>4.01</v>
      </c>
      <c r="V189" s="30">
        <v>4.01</v>
      </c>
      <c r="W189" s="30">
        <v>4.0090000000000003</v>
      </c>
      <c r="X189" s="30">
        <v>4.0090000000000003</v>
      </c>
      <c r="Y189" s="30">
        <v>4.0030000000000001</v>
      </c>
      <c r="Z189" s="30">
        <v>4.0060000000000002</v>
      </c>
      <c r="AA189" s="30">
        <v>4.0110000000000001</v>
      </c>
      <c r="AB189" s="30">
        <v>4.01</v>
      </c>
      <c r="AC189" s="30">
        <v>4.0110000000000001</v>
      </c>
      <c r="AD189" s="30">
        <v>4.0090000000000003</v>
      </c>
      <c r="AE189" s="30">
        <v>4.01</v>
      </c>
      <c r="AF189" s="30"/>
      <c r="AG189" s="30"/>
      <c r="AH189" s="30">
        <v>4.0110000000000001</v>
      </c>
      <c r="AI189" s="30">
        <v>4.01</v>
      </c>
      <c r="AJ189" s="30">
        <v>4.0090000000000003</v>
      </c>
      <c r="AK189" s="30">
        <v>4.008</v>
      </c>
      <c r="AL189" s="30">
        <v>4.01</v>
      </c>
      <c r="AM189" s="30">
        <v>4.0090000000000003</v>
      </c>
      <c r="AN189" s="30">
        <v>4.008</v>
      </c>
      <c r="AO189" s="30">
        <v>4.0069999999999997</v>
      </c>
      <c r="AP189" s="30">
        <v>4.0090000000000003</v>
      </c>
      <c r="AQ189" s="30">
        <v>4.01</v>
      </c>
      <c r="AR189" s="30">
        <v>4.0090000000000003</v>
      </c>
      <c r="AS189" s="30">
        <v>4.01</v>
      </c>
      <c r="AT189" s="30">
        <v>4.01</v>
      </c>
      <c r="AU189" s="30">
        <v>4.01</v>
      </c>
      <c r="AV189" s="30">
        <v>4.01</v>
      </c>
      <c r="AW189" s="30">
        <v>4.008</v>
      </c>
    </row>
    <row r="190" spans="1:49" ht="18" customHeight="1">
      <c r="A190" s="23"/>
      <c r="B190" s="19"/>
      <c r="C190" s="75" t="s">
        <v>65</v>
      </c>
      <c r="D190" s="35" t="s">
        <v>202</v>
      </c>
      <c r="E190" s="35"/>
      <c r="F190" s="29" t="s">
        <v>203</v>
      </c>
      <c r="G190" s="38">
        <v>1.08</v>
      </c>
      <c r="H190" s="38">
        <v>0.08</v>
      </c>
      <c r="I190" s="38">
        <v>0.08</v>
      </c>
      <c r="J190" s="38">
        <v>0.08</v>
      </c>
      <c r="K190" s="38">
        <v>0.08</v>
      </c>
      <c r="L190" s="30">
        <f t="shared" si="8"/>
        <v>1.1599999999999999</v>
      </c>
      <c r="M190" s="30">
        <f t="shared" si="9"/>
        <v>1.147</v>
      </c>
      <c r="N190" s="30">
        <f t="shared" si="10"/>
        <v>1.2999999999999901E-2</v>
      </c>
      <c r="O190" s="31">
        <f t="shared" si="11"/>
        <v>1.1537500000000001</v>
      </c>
      <c r="P190" s="52"/>
      <c r="Q190" s="30">
        <v>1.147</v>
      </c>
      <c r="R190" s="30">
        <v>1.149</v>
      </c>
      <c r="S190" s="30">
        <v>1.153</v>
      </c>
      <c r="T190" s="30">
        <v>1.147</v>
      </c>
      <c r="U190" s="30">
        <v>1.1579999999999999</v>
      </c>
      <c r="V190" s="30">
        <v>1.1519999999999999</v>
      </c>
      <c r="W190" s="30">
        <v>1.157</v>
      </c>
      <c r="X190" s="30">
        <v>1.155</v>
      </c>
      <c r="Y190" s="30">
        <v>1.1599999999999999</v>
      </c>
      <c r="Z190" s="30">
        <v>1.159</v>
      </c>
      <c r="AA190" s="30">
        <v>1.1539999999999999</v>
      </c>
      <c r="AB190" s="30">
        <v>1.153</v>
      </c>
      <c r="AC190" s="30">
        <v>1.1559999999999999</v>
      </c>
      <c r="AD190" s="30">
        <v>1.157</v>
      </c>
      <c r="AE190" s="30">
        <v>1.1519999999999999</v>
      </c>
      <c r="AF190" s="30"/>
      <c r="AG190" s="30"/>
      <c r="AH190" s="30">
        <v>1.155</v>
      </c>
      <c r="AI190" s="30">
        <v>1.157</v>
      </c>
      <c r="AJ190" s="30">
        <v>1.1499999999999999</v>
      </c>
      <c r="AK190" s="30">
        <v>1.159</v>
      </c>
      <c r="AL190" s="30">
        <v>1.153</v>
      </c>
      <c r="AM190" s="30">
        <v>1.1519999999999999</v>
      </c>
      <c r="AN190" s="30">
        <v>1.1479999999999999</v>
      </c>
      <c r="AO190" s="30">
        <v>1.1539999999999999</v>
      </c>
      <c r="AP190" s="30">
        <v>1.1599999999999999</v>
      </c>
      <c r="AQ190" s="30">
        <v>1.151</v>
      </c>
      <c r="AR190" s="30">
        <v>1.1519999999999999</v>
      </c>
      <c r="AS190" s="30">
        <v>1.151</v>
      </c>
      <c r="AT190" s="30">
        <v>1.1539999999999999</v>
      </c>
      <c r="AU190" s="30">
        <v>1.155</v>
      </c>
      <c r="AV190" s="30">
        <v>1.1499999999999999</v>
      </c>
      <c r="AW190" s="30">
        <v>1.153</v>
      </c>
    </row>
    <row r="191" spans="1:49" ht="18" customHeight="1">
      <c r="A191" s="23"/>
      <c r="B191" s="19"/>
      <c r="C191" s="75" t="s">
        <v>65</v>
      </c>
      <c r="D191" s="35" t="s">
        <v>204</v>
      </c>
      <c r="E191" s="35"/>
      <c r="F191" s="29" t="s">
        <v>205</v>
      </c>
      <c r="G191" s="38">
        <v>1.08</v>
      </c>
      <c r="H191" s="38">
        <v>0.08</v>
      </c>
      <c r="I191" s="38">
        <v>0.08</v>
      </c>
      <c r="J191" s="38">
        <v>0.08</v>
      </c>
      <c r="K191" s="38">
        <v>0.08</v>
      </c>
      <c r="L191" s="30">
        <f t="shared" si="8"/>
        <v>1.159</v>
      </c>
      <c r="M191" s="30">
        <f t="shared" si="9"/>
        <v>1.1459999999999999</v>
      </c>
      <c r="N191" s="30">
        <f t="shared" si="10"/>
        <v>1.3000000000000123E-2</v>
      </c>
      <c r="O191" s="31">
        <f t="shared" si="11"/>
        <v>1.1538928571428573</v>
      </c>
      <c r="P191" s="52"/>
      <c r="Q191" s="30">
        <v>1.149</v>
      </c>
      <c r="R191" s="30">
        <v>1.1479999999999999</v>
      </c>
      <c r="S191" s="30">
        <v>1.1519999999999999</v>
      </c>
      <c r="T191" s="30">
        <v>1.1459999999999999</v>
      </c>
      <c r="U191" s="30">
        <v>1.151</v>
      </c>
      <c r="V191" s="30">
        <v>1.1499999999999999</v>
      </c>
      <c r="W191" s="30">
        <v>1.1499999999999999</v>
      </c>
      <c r="X191" s="30">
        <v>1.151</v>
      </c>
      <c r="Y191" s="30">
        <v>1.157</v>
      </c>
      <c r="Z191" s="30">
        <v>1.159</v>
      </c>
      <c r="AA191" s="30">
        <v>1.1499999999999999</v>
      </c>
      <c r="AB191" s="30">
        <v>1.159</v>
      </c>
      <c r="AC191" s="30">
        <v>1.155</v>
      </c>
      <c r="AD191" s="30">
        <v>1.1519999999999999</v>
      </c>
      <c r="AE191" s="30">
        <v>1.1579999999999999</v>
      </c>
      <c r="AF191" s="30"/>
      <c r="AG191" s="30"/>
      <c r="AH191" s="30">
        <v>1.153</v>
      </c>
      <c r="AI191" s="30">
        <v>1.1519999999999999</v>
      </c>
      <c r="AJ191" s="30">
        <v>1.1559999999999999</v>
      </c>
      <c r="AK191" s="30">
        <v>1.1539999999999999</v>
      </c>
      <c r="AL191" s="30">
        <v>1.159</v>
      </c>
      <c r="AM191" s="30">
        <v>1.157</v>
      </c>
      <c r="AN191" s="30">
        <v>1.1539999999999999</v>
      </c>
      <c r="AO191" s="30">
        <v>1.1559999999999999</v>
      </c>
      <c r="AP191" s="30">
        <v>1.1579999999999999</v>
      </c>
      <c r="AQ191" s="30">
        <v>1.155</v>
      </c>
      <c r="AR191" s="30">
        <v>1.155</v>
      </c>
      <c r="AS191" s="30">
        <v>1.155</v>
      </c>
      <c r="AT191" s="30">
        <v>1.1579999999999999</v>
      </c>
      <c r="AU191" s="30">
        <v>1.1579999999999999</v>
      </c>
      <c r="AV191" s="30">
        <v>1.1539999999999999</v>
      </c>
      <c r="AW191" s="30">
        <v>1.157</v>
      </c>
    </row>
    <row r="192" spans="1:49" ht="18" customHeight="1">
      <c r="A192" s="23"/>
      <c r="B192" s="19"/>
      <c r="C192" s="75" t="s">
        <v>65</v>
      </c>
      <c r="D192" s="35" t="s">
        <v>206</v>
      </c>
      <c r="E192" s="35"/>
      <c r="F192" s="29" t="s">
        <v>207</v>
      </c>
      <c r="G192" s="38">
        <v>1.08</v>
      </c>
      <c r="H192" s="38">
        <v>0.08</v>
      </c>
      <c r="I192" s="38">
        <v>0.08</v>
      </c>
      <c r="J192" s="38">
        <v>0.08</v>
      </c>
      <c r="K192" s="38">
        <v>0.08</v>
      </c>
      <c r="L192" s="30">
        <f t="shared" si="8"/>
        <v>1.155</v>
      </c>
      <c r="M192" s="30">
        <f t="shared" si="9"/>
        <v>1.1459999999999999</v>
      </c>
      <c r="N192" s="30">
        <f t="shared" si="10"/>
        <v>9.000000000000119E-3</v>
      </c>
      <c r="O192" s="31">
        <f t="shared" si="11"/>
        <v>1.1502142857142856</v>
      </c>
      <c r="P192" s="52"/>
      <c r="Q192" s="30">
        <v>1.1499999999999999</v>
      </c>
      <c r="R192" s="30">
        <v>1.151</v>
      </c>
      <c r="S192" s="30">
        <v>1.151</v>
      </c>
      <c r="T192" s="30">
        <v>1.1499999999999999</v>
      </c>
      <c r="U192" s="30">
        <v>1.151</v>
      </c>
      <c r="V192" s="30">
        <v>1.153</v>
      </c>
      <c r="W192" s="30">
        <v>1.1499999999999999</v>
      </c>
      <c r="X192" s="30">
        <v>1.1519999999999999</v>
      </c>
      <c r="Y192" s="30">
        <v>1.1499999999999999</v>
      </c>
      <c r="Z192" s="30">
        <v>1.1479999999999999</v>
      </c>
      <c r="AA192" s="30">
        <v>1.151</v>
      </c>
      <c r="AB192" s="30">
        <v>1.1519999999999999</v>
      </c>
      <c r="AC192" s="30">
        <v>1.1479999999999999</v>
      </c>
      <c r="AD192" s="30">
        <v>1.1539999999999999</v>
      </c>
      <c r="AE192" s="30">
        <v>1.151</v>
      </c>
      <c r="AF192" s="30"/>
      <c r="AG192" s="30"/>
      <c r="AH192" s="30">
        <v>1.1459999999999999</v>
      </c>
      <c r="AI192" s="30">
        <v>1.149</v>
      </c>
      <c r="AJ192" s="30">
        <v>1.149</v>
      </c>
      <c r="AK192" s="30">
        <v>1.151</v>
      </c>
      <c r="AL192" s="30">
        <v>1.155</v>
      </c>
      <c r="AM192" s="30">
        <v>1.1499999999999999</v>
      </c>
      <c r="AN192" s="30">
        <v>1.147</v>
      </c>
      <c r="AO192" s="30">
        <v>1.1499999999999999</v>
      </c>
      <c r="AP192" s="30">
        <v>1.153</v>
      </c>
      <c r="AQ192" s="30">
        <v>1.1479999999999999</v>
      </c>
      <c r="AR192" s="30">
        <v>1.1499999999999999</v>
      </c>
      <c r="AS192" s="30">
        <v>1.1479999999999999</v>
      </c>
      <c r="AT192" s="30">
        <v>1.1479999999999999</v>
      </c>
      <c r="AU192" s="30">
        <v>1.153</v>
      </c>
      <c r="AV192" s="30">
        <v>1.1459999999999999</v>
      </c>
      <c r="AW192" s="30">
        <v>1.147</v>
      </c>
    </row>
    <row r="193" spans="1:49" ht="18" customHeight="1">
      <c r="A193" s="23"/>
      <c r="B193" s="19"/>
      <c r="C193" s="75" t="s">
        <v>65</v>
      </c>
      <c r="D193" s="35" t="s">
        <v>208</v>
      </c>
      <c r="E193" s="35"/>
      <c r="F193" s="29" t="s">
        <v>209</v>
      </c>
      <c r="G193" s="38">
        <v>1.08</v>
      </c>
      <c r="H193" s="38">
        <v>0.08</v>
      </c>
      <c r="I193" s="38">
        <v>0.08</v>
      </c>
      <c r="J193" s="38">
        <v>0.08</v>
      </c>
      <c r="K193" s="38">
        <v>0.08</v>
      </c>
      <c r="L193" s="30">
        <f t="shared" si="8"/>
        <v>1.159</v>
      </c>
      <c r="M193" s="30">
        <f t="shared" si="9"/>
        <v>1.145</v>
      </c>
      <c r="N193" s="30">
        <f t="shared" si="10"/>
        <v>1.4000000000000012E-2</v>
      </c>
      <c r="O193" s="31">
        <f t="shared" si="11"/>
        <v>1.151785714285714</v>
      </c>
      <c r="P193" s="52"/>
      <c r="Q193" s="30">
        <v>1.1459999999999999</v>
      </c>
      <c r="R193" s="30">
        <v>1.151</v>
      </c>
      <c r="S193" s="30">
        <v>1.1559999999999999</v>
      </c>
      <c r="T193" s="30">
        <v>1.1499999999999999</v>
      </c>
      <c r="U193" s="30">
        <v>1.1579999999999999</v>
      </c>
      <c r="V193" s="30">
        <v>1.1519999999999999</v>
      </c>
      <c r="W193" s="30">
        <v>1.1559999999999999</v>
      </c>
      <c r="X193" s="30">
        <v>1.157</v>
      </c>
      <c r="Y193" s="30">
        <v>1.159</v>
      </c>
      <c r="Z193" s="30">
        <v>1.159</v>
      </c>
      <c r="AA193" s="30">
        <v>1.155</v>
      </c>
      <c r="AB193" s="30">
        <v>1.151</v>
      </c>
      <c r="AC193" s="30">
        <v>1.1519999999999999</v>
      </c>
      <c r="AD193" s="30">
        <v>1.1579999999999999</v>
      </c>
      <c r="AE193" s="30">
        <v>1.1499999999999999</v>
      </c>
      <c r="AF193" s="30"/>
      <c r="AG193" s="30"/>
      <c r="AH193" s="30">
        <v>1.151</v>
      </c>
      <c r="AI193" s="30">
        <v>1.1519999999999999</v>
      </c>
      <c r="AJ193" s="30">
        <v>1.147</v>
      </c>
      <c r="AK193" s="30">
        <v>1.1539999999999999</v>
      </c>
      <c r="AL193" s="30">
        <v>1.1559999999999999</v>
      </c>
      <c r="AM193" s="30">
        <v>1.149</v>
      </c>
      <c r="AN193" s="30">
        <v>1.145</v>
      </c>
      <c r="AO193" s="30">
        <v>1.147</v>
      </c>
      <c r="AP193" s="30">
        <v>1.145</v>
      </c>
      <c r="AQ193" s="30">
        <v>1.1479999999999999</v>
      </c>
      <c r="AR193" s="30">
        <v>1.149</v>
      </c>
      <c r="AS193" s="30">
        <v>1.1499999999999999</v>
      </c>
      <c r="AT193" s="30">
        <v>1.147</v>
      </c>
      <c r="AU193" s="30">
        <v>1.1519999999999999</v>
      </c>
      <c r="AV193" s="30">
        <v>1.149</v>
      </c>
      <c r="AW193" s="30">
        <v>1.145</v>
      </c>
    </row>
    <row r="194" spans="1:49" ht="18" customHeight="1">
      <c r="A194" s="23"/>
      <c r="B194" s="19"/>
      <c r="C194" s="75" t="s">
        <v>65</v>
      </c>
      <c r="D194" s="35" t="s">
        <v>210</v>
      </c>
      <c r="E194" s="35"/>
      <c r="F194" s="29" t="s">
        <v>211</v>
      </c>
      <c r="G194" s="38">
        <v>1.08</v>
      </c>
      <c r="H194" s="38">
        <v>0.08</v>
      </c>
      <c r="I194" s="38">
        <v>0.08</v>
      </c>
      <c r="J194" s="38">
        <v>0.08</v>
      </c>
      <c r="K194" s="38">
        <v>0.08</v>
      </c>
      <c r="L194" s="30">
        <f t="shared" si="8"/>
        <v>1.151</v>
      </c>
      <c r="M194" s="30">
        <f t="shared" si="9"/>
        <v>1.1379999999999999</v>
      </c>
      <c r="N194" s="30">
        <f t="shared" si="10"/>
        <v>1.3000000000000123E-2</v>
      </c>
      <c r="O194" s="31">
        <f t="shared" si="11"/>
        <v>1.1429642857142854</v>
      </c>
      <c r="P194" s="52"/>
      <c r="Q194" s="30">
        <v>1.1379999999999999</v>
      </c>
      <c r="R194" s="30">
        <v>1.141</v>
      </c>
      <c r="S194" s="30">
        <v>1.1419999999999999</v>
      </c>
      <c r="T194" s="30">
        <v>1.1399999999999999</v>
      </c>
      <c r="U194" s="30">
        <v>1.1399999999999999</v>
      </c>
      <c r="V194" s="30">
        <v>1.145</v>
      </c>
      <c r="W194" s="30">
        <v>1.1379999999999999</v>
      </c>
      <c r="X194" s="30">
        <v>1.141</v>
      </c>
      <c r="Y194" s="30">
        <v>1.143</v>
      </c>
      <c r="Z194" s="30">
        <v>1.145</v>
      </c>
      <c r="AA194" s="30">
        <v>1.1399999999999999</v>
      </c>
      <c r="AB194" s="30">
        <v>1.1459999999999999</v>
      </c>
      <c r="AC194" s="30">
        <v>1.1459999999999999</v>
      </c>
      <c r="AD194" s="30">
        <v>1.143</v>
      </c>
      <c r="AE194" s="30">
        <v>1.1439999999999999</v>
      </c>
      <c r="AF194" s="30"/>
      <c r="AG194" s="30"/>
      <c r="AH194" s="30">
        <v>1.145</v>
      </c>
      <c r="AI194" s="30">
        <v>1.149</v>
      </c>
      <c r="AJ194" s="30">
        <v>1.141</v>
      </c>
      <c r="AK194" s="30">
        <v>1.151</v>
      </c>
      <c r="AL194" s="30">
        <v>1.151</v>
      </c>
      <c r="AM194" s="30">
        <v>1.145</v>
      </c>
      <c r="AN194" s="30">
        <v>1.1399999999999999</v>
      </c>
      <c r="AO194" s="30">
        <v>1.139</v>
      </c>
      <c r="AP194" s="30">
        <v>1.1379999999999999</v>
      </c>
      <c r="AQ194" s="30">
        <v>1.143</v>
      </c>
      <c r="AR194" s="30">
        <v>1.1439999999999999</v>
      </c>
      <c r="AS194" s="30">
        <v>1.141</v>
      </c>
      <c r="AT194" s="30">
        <v>1.1439999999999999</v>
      </c>
      <c r="AU194" s="30">
        <v>1.1459999999999999</v>
      </c>
      <c r="AV194" s="30">
        <v>1.139</v>
      </c>
      <c r="AW194" s="30">
        <v>1.143</v>
      </c>
    </row>
    <row r="195" spans="1:49" ht="18" customHeight="1">
      <c r="A195" s="23"/>
      <c r="B195" s="19"/>
      <c r="C195" s="75" t="s">
        <v>65</v>
      </c>
      <c r="D195" s="35" t="s">
        <v>325</v>
      </c>
      <c r="E195" s="35"/>
      <c r="F195" s="29" t="s">
        <v>213</v>
      </c>
      <c r="G195" s="38">
        <v>0.28000000000000003</v>
      </c>
      <c r="H195" s="38">
        <v>0.05</v>
      </c>
      <c r="I195" s="38">
        <v>0.05</v>
      </c>
      <c r="J195" s="38">
        <v>0.05</v>
      </c>
      <c r="K195" s="38">
        <v>0.05</v>
      </c>
      <c r="L195" s="30">
        <f t="shared" si="8"/>
        <v>0.33</v>
      </c>
      <c r="M195" s="30">
        <f t="shared" si="9"/>
        <v>0.318</v>
      </c>
      <c r="N195" s="30">
        <f t="shared" si="10"/>
        <v>1.2000000000000011E-2</v>
      </c>
      <c r="O195" s="31">
        <f t="shared" si="11"/>
        <v>0.32428571428571434</v>
      </c>
      <c r="P195" s="52"/>
      <c r="Q195" s="30">
        <v>0.32700000000000001</v>
      </c>
      <c r="R195" s="30">
        <v>0.32900000000000001</v>
      </c>
      <c r="S195" s="30">
        <v>0.32800000000000001</v>
      </c>
      <c r="T195" s="30">
        <v>0.32800000000000001</v>
      </c>
      <c r="U195" s="30">
        <v>0.32800000000000001</v>
      </c>
      <c r="V195" s="30">
        <v>0.33</v>
      </c>
      <c r="W195" s="30">
        <v>0.32600000000000001</v>
      </c>
      <c r="X195" s="30">
        <v>0.32700000000000001</v>
      </c>
      <c r="Y195" s="30">
        <v>0.32900000000000001</v>
      </c>
      <c r="Z195" s="30">
        <v>0.32900000000000001</v>
      </c>
      <c r="AA195" s="30">
        <v>0.32500000000000001</v>
      </c>
      <c r="AB195" s="30">
        <v>0.32200000000000001</v>
      </c>
      <c r="AC195" s="30">
        <v>0.32700000000000001</v>
      </c>
      <c r="AD195" s="30">
        <v>0.32800000000000001</v>
      </c>
      <c r="AE195" s="30">
        <v>0.32100000000000001</v>
      </c>
      <c r="AF195" s="30"/>
      <c r="AG195" s="30"/>
      <c r="AH195" s="30">
        <v>0.32500000000000001</v>
      </c>
      <c r="AI195" s="30">
        <v>0.32300000000000001</v>
      </c>
      <c r="AJ195" s="30">
        <v>0.31900000000000001</v>
      </c>
      <c r="AK195" s="30">
        <v>0.32500000000000001</v>
      </c>
      <c r="AL195" s="30">
        <v>0.32400000000000001</v>
      </c>
      <c r="AM195" s="30">
        <v>0.32100000000000001</v>
      </c>
      <c r="AN195" s="30">
        <v>0.318</v>
      </c>
      <c r="AO195" s="30">
        <v>0.31900000000000001</v>
      </c>
      <c r="AP195" s="30">
        <v>0.32</v>
      </c>
      <c r="AQ195" s="30">
        <v>0.31900000000000001</v>
      </c>
      <c r="AR195" s="30">
        <v>0.32300000000000001</v>
      </c>
      <c r="AS195" s="30">
        <v>0.32</v>
      </c>
      <c r="AT195" s="30">
        <v>0.32</v>
      </c>
      <c r="AU195" s="30">
        <v>0.32500000000000001</v>
      </c>
      <c r="AV195" s="30">
        <v>0.31900000000000001</v>
      </c>
      <c r="AW195" s="30">
        <v>0.31900000000000001</v>
      </c>
    </row>
    <row r="196" spans="1:49" ht="18" customHeight="1">
      <c r="A196" s="23"/>
      <c r="B196" s="19"/>
      <c r="C196" s="75" t="s">
        <v>65</v>
      </c>
      <c r="D196" s="35" t="s">
        <v>214</v>
      </c>
      <c r="E196" s="35"/>
      <c r="F196" s="29" t="s">
        <v>215</v>
      </c>
      <c r="G196" s="38">
        <v>0.56999999999999995</v>
      </c>
      <c r="H196" s="38">
        <v>0.08</v>
      </c>
      <c r="I196" s="38">
        <v>0.08</v>
      </c>
      <c r="J196" s="38">
        <v>0.08</v>
      </c>
      <c r="K196" s="38">
        <v>0.08</v>
      </c>
      <c r="L196" s="30">
        <f t="shared" si="8"/>
        <v>0.55700000000000005</v>
      </c>
      <c r="M196" s="30">
        <f t="shared" si="9"/>
        <v>0.54300000000000004</v>
      </c>
      <c r="N196" s="30">
        <f t="shared" si="10"/>
        <v>1.4000000000000012E-2</v>
      </c>
      <c r="O196" s="31">
        <f t="shared" si="11"/>
        <v>0.54971428571428582</v>
      </c>
      <c r="P196" s="52"/>
      <c r="Q196" s="30">
        <v>0.54300000000000004</v>
      </c>
      <c r="R196" s="30">
        <v>0.54400000000000004</v>
      </c>
      <c r="S196" s="30">
        <v>0.54500000000000004</v>
      </c>
      <c r="T196" s="30">
        <v>0.54300000000000004</v>
      </c>
      <c r="U196" s="30">
        <v>0.54600000000000004</v>
      </c>
      <c r="V196" s="30">
        <v>0.55000000000000004</v>
      </c>
      <c r="W196" s="30">
        <v>0.54400000000000004</v>
      </c>
      <c r="X196" s="30">
        <v>0.54800000000000004</v>
      </c>
      <c r="Y196" s="30">
        <v>0.55200000000000005</v>
      </c>
      <c r="Z196" s="30">
        <v>0.55600000000000005</v>
      </c>
      <c r="AA196" s="30">
        <v>0.54600000000000004</v>
      </c>
      <c r="AB196" s="30">
        <v>0.55400000000000005</v>
      </c>
      <c r="AC196" s="30">
        <v>0.55000000000000004</v>
      </c>
      <c r="AD196" s="30">
        <v>0.54900000000000004</v>
      </c>
      <c r="AE196" s="30">
        <v>0.55200000000000005</v>
      </c>
      <c r="AF196" s="30"/>
      <c r="AG196" s="30"/>
      <c r="AH196" s="30">
        <v>0.54800000000000004</v>
      </c>
      <c r="AI196" s="30">
        <v>0.55300000000000005</v>
      </c>
      <c r="AJ196" s="30">
        <v>0.55000000000000004</v>
      </c>
      <c r="AK196" s="30">
        <v>0.55600000000000005</v>
      </c>
      <c r="AL196" s="30">
        <v>0.55500000000000005</v>
      </c>
      <c r="AM196" s="30">
        <v>0.55300000000000005</v>
      </c>
      <c r="AN196" s="30">
        <v>0.54800000000000004</v>
      </c>
      <c r="AO196" s="30">
        <v>0.54800000000000004</v>
      </c>
      <c r="AP196" s="30">
        <v>0.54800000000000004</v>
      </c>
      <c r="AQ196" s="30">
        <v>0.55200000000000005</v>
      </c>
      <c r="AR196" s="30">
        <v>0.55700000000000005</v>
      </c>
      <c r="AS196" s="30">
        <v>0.55200000000000005</v>
      </c>
      <c r="AT196" s="30">
        <v>0.55000000000000004</v>
      </c>
      <c r="AU196" s="30">
        <v>0.55100000000000005</v>
      </c>
      <c r="AV196" s="30">
        <v>0.55100000000000005</v>
      </c>
      <c r="AW196" s="30">
        <v>0.54900000000000004</v>
      </c>
    </row>
    <row r="197" spans="1:49" ht="18" customHeight="1">
      <c r="A197" s="23"/>
      <c r="B197" s="19"/>
      <c r="C197" s="75" t="s">
        <v>65</v>
      </c>
      <c r="D197" s="35" t="s">
        <v>216</v>
      </c>
      <c r="E197" s="35"/>
      <c r="F197" s="29" t="s">
        <v>217</v>
      </c>
      <c r="G197" s="38">
        <v>35.479999999999997</v>
      </c>
      <c r="H197" s="38">
        <v>0.06</v>
      </c>
      <c r="I197" s="38">
        <v>0.06</v>
      </c>
      <c r="J197" s="38">
        <v>0.06</v>
      </c>
      <c r="K197" s="38">
        <v>0.06</v>
      </c>
      <c r="L197" s="30">
        <f t="shared" ref="L197:L244" si="12">MAX(Q197:AT197)</f>
        <v>35.54</v>
      </c>
      <c r="M197" s="30">
        <f t="shared" ref="M197:M244" si="13">MIN(Q197:AT197)</f>
        <v>35.527999999999999</v>
      </c>
      <c r="N197" s="30">
        <f t="shared" ref="N197:N260" si="14">L197-M197</f>
        <v>1.2000000000000455E-2</v>
      </c>
      <c r="O197" s="31">
        <f t="shared" ref="O197:O244" si="15">AVERAGE(Q197:AT197)</f>
        <v>35.533142857142849</v>
      </c>
      <c r="P197" s="52"/>
      <c r="Q197" s="30">
        <v>35.53</v>
      </c>
      <c r="R197" s="30">
        <v>35.529000000000003</v>
      </c>
      <c r="S197" s="30">
        <v>35.530999999999999</v>
      </c>
      <c r="T197" s="30">
        <v>35.527999999999999</v>
      </c>
      <c r="U197" s="30">
        <v>35.533999999999999</v>
      </c>
      <c r="V197" s="30">
        <v>35.54</v>
      </c>
      <c r="W197" s="30">
        <v>35.533000000000001</v>
      </c>
      <c r="X197" s="30">
        <v>35.531999999999996</v>
      </c>
      <c r="Y197" s="30">
        <v>35.533999999999999</v>
      </c>
      <c r="Z197" s="30">
        <v>35.536000000000001</v>
      </c>
      <c r="AA197" s="30">
        <v>35.53</v>
      </c>
      <c r="AB197" s="30">
        <v>35.536999999999999</v>
      </c>
      <c r="AC197" s="30">
        <v>35.530999999999999</v>
      </c>
      <c r="AD197" s="30">
        <v>35.533000000000001</v>
      </c>
      <c r="AE197" s="30">
        <v>35.534999999999997</v>
      </c>
      <c r="AF197" s="30"/>
      <c r="AG197" s="30"/>
      <c r="AH197" s="30">
        <v>35.53</v>
      </c>
      <c r="AI197" s="30">
        <v>35.530999999999999</v>
      </c>
      <c r="AJ197" s="30">
        <v>35.531999999999996</v>
      </c>
      <c r="AK197" s="30">
        <v>35.533999999999999</v>
      </c>
      <c r="AL197" s="30">
        <v>35.533999999999999</v>
      </c>
      <c r="AM197" s="30">
        <v>35.536000000000001</v>
      </c>
      <c r="AN197" s="30">
        <v>35.530999999999999</v>
      </c>
      <c r="AO197" s="30">
        <v>35.536000000000001</v>
      </c>
      <c r="AP197" s="30">
        <v>35.530999999999999</v>
      </c>
      <c r="AQ197" s="30">
        <v>35.534999999999997</v>
      </c>
      <c r="AR197" s="30">
        <v>35.536999999999999</v>
      </c>
      <c r="AS197" s="30">
        <v>35.534999999999997</v>
      </c>
      <c r="AT197" s="30">
        <v>35.533000000000001</v>
      </c>
      <c r="AU197" s="30">
        <v>35.531999999999996</v>
      </c>
      <c r="AV197" s="30">
        <v>35.533000000000001</v>
      </c>
      <c r="AW197" s="30">
        <v>35.531999999999996</v>
      </c>
    </row>
    <row r="198" spans="1:49" ht="18" customHeight="1">
      <c r="A198" s="23"/>
      <c r="B198" s="19"/>
      <c r="C198" s="75" t="s">
        <v>65</v>
      </c>
      <c r="D198" s="35" t="s">
        <v>218</v>
      </c>
      <c r="E198" s="35"/>
      <c r="F198" s="29" t="s">
        <v>219</v>
      </c>
      <c r="G198" s="38"/>
      <c r="H198" s="38">
        <v>0.08</v>
      </c>
      <c r="I198" s="38"/>
      <c r="J198" s="38">
        <v>0.08</v>
      </c>
      <c r="K198" s="38"/>
      <c r="L198" s="30">
        <f t="shared" si="12"/>
        <v>7.5999999999999998E-2</v>
      </c>
      <c r="M198" s="30">
        <f t="shared" si="13"/>
        <v>5.6000000000000001E-2</v>
      </c>
      <c r="N198" s="30">
        <f t="shared" si="14"/>
        <v>1.9999999999999997E-2</v>
      </c>
      <c r="O198" s="31">
        <f t="shared" si="15"/>
        <v>6.778571428571431E-2</v>
      </c>
      <c r="P198" s="52"/>
      <c r="Q198" s="30">
        <v>5.6000000000000001E-2</v>
      </c>
      <c r="R198" s="30">
        <v>6.0999999999999999E-2</v>
      </c>
      <c r="S198" s="30">
        <v>6.4000000000000001E-2</v>
      </c>
      <c r="T198" s="30">
        <v>5.8999999999999997E-2</v>
      </c>
      <c r="U198" s="30">
        <v>6.5000000000000002E-2</v>
      </c>
      <c r="V198" s="30">
        <v>6.7000000000000004E-2</v>
      </c>
      <c r="W198" s="30">
        <v>6.4000000000000001E-2</v>
      </c>
      <c r="X198" s="30">
        <v>6.4000000000000001E-2</v>
      </c>
      <c r="Y198" s="30">
        <v>7.0000000000000007E-2</v>
      </c>
      <c r="Z198" s="30">
        <v>7.5999999999999998E-2</v>
      </c>
      <c r="AA198" s="30">
        <v>6.3E-2</v>
      </c>
      <c r="AB198" s="30">
        <v>7.1999999999999995E-2</v>
      </c>
      <c r="AC198" s="30">
        <v>6.9000000000000006E-2</v>
      </c>
      <c r="AD198" s="30">
        <v>6.6000000000000003E-2</v>
      </c>
      <c r="AE198" s="30">
        <v>7.0000000000000007E-2</v>
      </c>
      <c r="AF198" s="30"/>
      <c r="AG198" s="30"/>
      <c r="AH198" s="30">
        <v>6.8000000000000005E-2</v>
      </c>
      <c r="AI198" s="30">
        <v>7.0000000000000007E-2</v>
      </c>
      <c r="AJ198" s="30">
        <v>6.7000000000000004E-2</v>
      </c>
      <c r="AK198" s="30">
        <v>7.1999999999999995E-2</v>
      </c>
      <c r="AL198" s="30">
        <v>7.5999999999999998E-2</v>
      </c>
      <c r="AM198" s="30">
        <v>7.0999999999999994E-2</v>
      </c>
      <c r="AN198" s="30">
        <v>6.6000000000000003E-2</v>
      </c>
      <c r="AO198" s="30">
        <v>6.8000000000000005E-2</v>
      </c>
      <c r="AP198" s="30">
        <v>7.0000000000000007E-2</v>
      </c>
      <c r="AQ198" s="30">
        <v>7.0000000000000007E-2</v>
      </c>
      <c r="AR198" s="30">
        <v>7.0000000000000007E-2</v>
      </c>
      <c r="AS198" s="30">
        <v>7.0999999999999994E-2</v>
      </c>
      <c r="AT198" s="30">
        <v>7.2999999999999995E-2</v>
      </c>
      <c r="AU198" s="30">
        <v>7.3999999999999996E-2</v>
      </c>
      <c r="AV198" s="30">
        <v>6.9000000000000006E-2</v>
      </c>
      <c r="AW198" s="30">
        <v>7.1999999999999995E-2</v>
      </c>
    </row>
    <row r="199" spans="1:49" ht="18" customHeight="1">
      <c r="A199" s="23"/>
      <c r="B199" s="19"/>
      <c r="C199" s="75" t="s">
        <v>65</v>
      </c>
      <c r="D199" s="35" t="s">
        <v>220</v>
      </c>
      <c r="E199" s="35"/>
      <c r="F199" s="29"/>
      <c r="G199" s="38"/>
      <c r="H199" s="38">
        <v>0.05</v>
      </c>
      <c r="I199" s="38"/>
      <c r="J199" s="38">
        <v>0.05</v>
      </c>
      <c r="K199" s="38"/>
      <c r="L199" s="30">
        <f t="shared" si="12"/>
        <v>4.9000000000000002E-2</v>
      </c>
      <c r="M199" s="30">
        <f t="shared" si="13"/>
        <v>4.1000000000000002E-2</v>
      </c>
      <c r="N199" s="30">
        <f t="shared" si="14"/>
        <v>8.0000000000000002E-3</v>
      </c>
      <c r="O199" s="31">
        <f t="shared" si="15"/>
        <v>4.5464285714285721E-2</v>
      </c>
      <c r="P199" s="52"/>
      <c r="Q199" s="30">
        <v>4.3999999999999997E-2</v>
      </c>
      <c r="R199" s="30">
        <v>4.9000000000000002E-2</v>
      </c>
      <c r="S199" s="30">
        <v>4.7E-2</v>
      </c>
      <c r="T199" s="30">
        <v>4.7E-2</v>
      </c>
      <c r="U199" s="30">
        <v>4.5999999999999999E-2</v>
      </c>
      <c r="V199" s="30">
        <v>4.5999999999999999E-2</v>
      </c>
      <c r="W199" s="30">
        <v>4.3999999999999997E-2</v>
      </c>
      <c r="X199" s="30">
        <v>4.5999999999999999E-2</v>
      </c>
      <c r="Y199" s="30">
        <v>4.5999999999999999E-2</v>
      </c>
      <c r="Z199" s="30">
        <v>4.5999999999999999E-2</v>
      </c>
      <c r="AA199" s="30">
        <v>4.4999999999999998E-2</v>
      </c>
      <c r="AB199" s="30">
        <v>4.9000000000000002E-2</v>
      </c>
      <c r="AC199" s="30">
        <v>4.7E-2</v>
      </c>
      <c r="AD199" s="30">
        <v>4.7E-2</v>
      </c>
      <c r="AE199" s="30">
        <v>4.7E-2</v>
      </c>
      <c r="AF199" s="30"/>
      <c r="AG199" s="30"/>
      <c r="AH199" s="30">
        <v>4.4999999999999998E-2</v>
      </c>
      <c r="AI199" s="30">
        <v>4.9000000000000002E-2</v>
      </c>
      <c r="AJ199" s="30">
        <v>4.3999999999999997E-2</v>
      </c>
      <c r="AK199" s="30">
        <v>4.1000000000000002E-2</v>
      </c>
      <c r="AL199" s="30">
        <v>4.5999999999999999E-2</v>
      </c>
      <c r="AM199" s="30">
        <v>4.7E-2</v>
      </c>
      <c r="AN199" s="30">
        <v>4.2000000000000003E-2</v>
      </c>
      <c r="AO199" s="30">
        <v>4.7E-2</v>
      </c>
      <c r="AP199" s="30">
        <v>4.2000000000000003E-2</v>
      </c>
      <c r="AQ199" s="30">
        <v>4.5999999999999999E-2</v>
      </c>
      <c r="AR199" s="30">
        <v>4.1000000000000002E-2</v>
      </c>
      <c r="AS199" s="30">
        <v>4.5999999999999999E-2</v>
      </c>
      <c r="AT199" s="30">
        <v>4.1000000000000002E-2</v>
      </c>
      <c r="AU199" s="30">
        <v>0.04</v>
      </c>
      <c r="AV199" s="30">
        <v>4.4999999999999998E-2</v>
      </c>
      <c r="AW199" s="30">
        <v>0.04</v>
      </c>
    </row>
    <row r="200" spans="1:49" ht="18" customHeight="1">
      <c r="A200" s="23"/>
      <c r="B200" s="19"/>
      <c r="C200" s="75" t="s">
        <v>65</v>
      </c>
      <c r="D200" s="35" t="s">
        <v>221</v>
      </c>
      <c r="E200" s="35"/>
      <c r="F200" s="29" t="s">
        <v>222</v>
      </c>
      <c r="G200" s="38">
        <v>0.52</v>
      </c>
      <c r="H200" s="38">
        <v>0.05</v>
      </c>
      <c r="I200" s="38">
        <v>0.05</v>
      </c>
      <c r="J200" s="38">
        <v>0.05</v>
      </c>
      <c r="K200" s="38">
        <v>0.05</v>
      </c>
      <c r="L200" s="30">
        <f t="shared" si="12"/>
        <v>0.56100000000000005</v>
      </c>
      <c r="M200" s="30">
        <f t="shared" si="13"/>
        <v>0.54</v>
      </c>
      <c r="N200" s="30">
        <f t="shared" si="14"/>
        <v>2.1000000000000019E-2</v>
      </c>
      <c r="O200" s="31">
        <f t="shared" si="15"/>
        <v>0.55171428571428593</v>
      </c>
      <c r="P200" s="52"/>
      <c r="Q200" s="30">
        <v>0.54300000000000004</v>
      </c>
      <c r="R200" s="30">
        <v>0.54200000000000004</v>
      </c>
      <c r="S200" s="30">
        <v>0.54600000000000004</v>
      </c>
      <c r="T200" s="30">
        <v>0.54</v>
      </c>
      <c r="U200" s="30">
        <v>0.55200000000000005</v>
      </c>
      <c r="V200" s="30">
        <v>0.55100000000000005</v>
      </c>
      <c r="W200" s="30">
        <v>0.55100000000000005</v>
      </c>
      <c r="X200" s="30">
        <v>0.55000000000000004</v>
      </c>
      <c r="Y200" s="30">
        <v>0.55300000000000005</v>
      </c>
      <c r="Z200" s="30">
        <v>0.55600000000000005</v>
      </c>
      <c r="AA200" s="30">
        <v>0.54900000000000004</v>
      </c>
      <c r="AB200" s="30">
        <v>0.55600000000000005</v>
      </c>
      <c r="AC200" s="30">
        <v>0.55500000000000005</v>
      </c>
      <c r="AD200" s="30">
        <v>0.55100000000000005</v>
      </c>
      <c r="AE200" s="30">
        <v>0.55500000000000005</v>
      </c>
      <c r="AF200" s="30"/>
      <c r="AG200" s="30"/>
      <c r="AH200" s="30">
        <v>0.55300000000000005</v>
      </c>
      <c r="AI200" s="30">
        <v>0.55700000000000005</v>
      </c>
      <c r="AJ200" s="30">
        <v>0.55300000000000005</v>
      </c>
      <c r="AK200" s="30">
        <v>0.55900000000000005</v>
      </c>
      <c r="AL200" s="30">
        <v>0.56100000000000005</v>
      </c>
      <c r="AM200" s="30">
        <v>0.55400000000000005</v>
      </c>
      <c r="AN200" s="30">
        <v>0.55100000000000005</v>
      </c>
      <c r="AO200" s="30">
        <v>0.55000000000000004</v>
      </c>
      <c r="AP200" s="30">
        <v>0.54900000000000004</v>
      </c>
      <c r="AQ200" s="30">
        <v>0.55300000000000005</v>
      </c>
      <c r="AR200" s="30">
        <v>0.55400000000000005</v>
      </c>
      <c r="AS200" s="30">
        <v>0.55100000000000005</v>
      </c>
      <c r="AT200" s="30">
        <v>0.55300000000000005</v>
      </c>
      <c r="AU200" s="30">
        <v>0.55800000000000005</v>
      </c>
      <c r="AV200" s="30">
        <v>0.55000000000000004</v>
      </c>
      <c r="AW200" s="30">
        <v>0.55100000000000005</v>
      </c>
    </row>
    <row r="201" spans="1:49" ht="18" customHeight="1">
      <c r="A201" s="23"/>
      <c r="B201" s="19"/>
      <c r="C201" s="75" t="s">
        <v>65</v>
      </c>
      <c r="D201" s="35" t="s">
        <v>223</v>
      </c>
      <c r="E201" s="35"/>
      <c r="F201" s="29" t="s">
        <v>224</v>
      </c>
      <c r="G201" s="38">
        <v>0.49</v>
      </c>
      <c r="H201" s="38">
        <v>0.06</v>
      </c>
      <c r="I201" s="38">
        <v>0.06</v>
      </c>
      <c r="J201" s="38">
        <v>0.06</v>
      </c>
      <c r="K201" s="38">
        <v>0.06</v>
      </c>
      <c r="L201" s="30">
        <f t="shared" si="12"/>
        <v>0.55000000000000004</v>
      </c>
      <c r="M201" s="30">
        <f t="shared" si="13"/>
        <v>0.53600000000000003</v>
      </c>
      <c r="N201" s="30">
        <f t="shared" si="14"/>
        <v>1.4000000000000012E-2</v>
      </c>
      <c r="O201" s="31">
        <f t="shared" si="15"/>
        <v>0.54185714285714293</v>
      </c>
      <c r="P201" s="52"/>
      <c r="Q201" s="30">
        <v>0.54700000000000004</v>
      </c>
      <c r="R201" s="30">
        <v>0.54800000000000004</v>
      </c>
      <c r="S201" s="30">
        <v>0.55000000000000004</v>
      </c>
      <c r="T201" s="30">
        <v>0.54700000000000004</v>
      </c>
      <c r="U201" s="30">
        <v>0.54100000000000004</v>
      </c>
      <c r="V201" s="30">
        <v>0.54200000000000004</v>
      </c>
      <c r="W201" s="30">
        <v>0.54</v>
      </c>
      <c r="X201" s="30">
        <v>0.54200000000000004</v>
      </c>
      <c r="Y201" s="30">
        <v>0.54</v>
      </c>
      <c r="Z201" s="30">
        <v>0.53800000000000003</v>
      </c>
      <c r="AA201" s="30">
        <v>0.54</v>
      </c>
      <c r="AB201" s="30">
        <v>0.54300000000000004</v>
      </c>
      <c r="AC201" s="30">
        <v>0.54100000000000004</v>
      </c>
      <c r="AD201" s="30">
        <v>0.54200000000000004</v>
      </c>
      <c r="AE201" s="30">
        <v>0.54100000000000004</v>
      </c>
      <c r="AF201" s="30"/>
      <c r="AG201" s="30"/>
      <c r="AH201" s="30">
        <v>0.54</v>
      </c>
      <c r="AI201" s="30">
        <v>0.54100000000000004</v>
      </c>
      <c r="AJ201" s="30">
        <v>0.53800000000000003</v>
      </c>
      <c r="AK201" s="30">
        <v>0.54300000000000004</v>
      </c>
      <c r="AL201" s="30">
        <v>0.54800000000000004</v>
      </c>
      <c r="AM201" s="30">
        <v>0.54200000000000004</v>
      </c>
      <c r="AN201" s="30">
        <v>0.53600000000000003</v>
      </c>
      <c r="AO201" s="30">
        <v>0.53800000000000003</v>
      </c>
      <c r="AP201" s="30">
        <v>0.54</v>
      </c>
      <c r="AQ201" s="30">
        <v>0.54100000000000004</v>
      </c>
      <c r="AR201" s="30">
        <v>0.54100000000000004</v>
      </c>
      <c r="AS201" s="30">
        <v>0.54</v>
      </c>
      <c r="AT201" s="30">
        <v>0.54200000000000004</v>
      </c>
      <c r="AU201" s="30">
        <v>0.54</v>
      </c>
      <c r="AV201" s="30">
        <v>0.53900000000000003</v>
      </c>
      <c r="AW201" s="30">
        <v>0.54</v>
      </c>
    </row>
    <row r="202" spans="1:49" ht="18" customHeight="1">
      <c r="A202" s="23"/>
      <c r="B202" s="19"/>
      <c r="C202" s="79" t="s">
        <v>225</v>
      </c>
      <c r="D202" s="35" t="s">
        <v>226</v>
      </c>
      <c r="E202" s="35"/>
      <c r="F202" s="29" t="s">
        <v>227</v>
      </c>
      <c r="G202" s="38">
        <v>4.78</v>
      </c>
      <c r="H202" s="38">
        <v>0.03</v>
      </c>
      <c r="I202" s="38">
        <v>0.03</v>
      </c>
      <c r="J202" s="38">
        <v>0.03</v>
      </c>
      <c r="K202" s="38">
        <v>0.03</v>
      </c>
      <c r="L202" s="30">
        <f t="shared" si="12"/>
        <v>4.7634030000000003</v>
      </c>
      <c r="M202" s="30">
        <f t="shared" si="13"/>
        <v>4.7590380000000003</v>
      </c>
      <c r="N202" s="30">
        <f t="shared" si="14"/>
        <v>4.3649999999999523E-3</v>
      </c>
      <c r="O202" s="31">
        <f t="shared" si="15"/>
        <v>4.7603956428571426</v>
      </c>
      <c r="P202" s="52"/>
      <c r="Q202" s="30">
        <v>4.7590380000000003</v>
      </c>
      <c r="R202" s="30">
        <v>4.7599299999999998</v>
      </c>
      <c r="S202" s="30">
        <v>4.7601500000000003</v>
      </c>
      <c r="T202" s="30">
        <v>4.7611660000000002</v>
      </c>
      <c r="U202" s="30">
        <v>4.7599840000000002</v>
      </c>
      <c r="V202" s="30">
        <v>4.7601360000000001</v>
      </c>
      <c r="W202" s="30">
        <v>4.7595989999999997</v>
      </c>
      <c r="X202" s="30">
        <v>4.7612540000000001</v>
      </c>
      <c r="Y202" s="30">
        <v>4.7603169999999997</v>
      </c>
      <c r="Z202" s="30">
        <v>4.7634030000000003</v>
      </c>
      <c r="AA202" s="30">
        <v>4.7607309999999998</v>
      </c>
      <c r="AB202" s="30">
        <v>4.7604850000000001</v>
      </c>
      <c r="AC202" s="30">
        <v>4.760338</v>
      </c>
      <c r="AD202" s="30">
        <v>4.7598570000000002</v>
      </c>
      <c r="AE202" s="30">
        <v>4.7603140000000002</v>
      </c>
      <c r="AF202" s="30"/>
      <c r="AG202" s="30"/>
      <c r="AH202" s="30">
        <v>4.7596179999999997</v>
      </c>
      <c r="AI202" s="30">
        <v>4.7597950000000004</v>
      </c>
      <c r="AJ202" s="30">
        <v>4.7608300000000003</v>
      </c>
      <c r="AK202" s="30">
        <v>4.76037</v>
      </c>
      <c r="AL202" s="30">
        <v>4.7604519999999999</v>
      </c>
      <c r="AM202" s="30">
        <v>4.7595830000000001</v>
      </c>
      <c r="AN202" s="30">
        <v>4.761425</v>
      </c>
      <c r="AO202" s="30">
        <v>4.7600790000000002</v>
      </c>
      <c r="AP202" s="30">
        <v>4.7602479999999998</v>
      </c>
      <c r="AQ202" s="30">
        <v>4.7599869999999997</v>
      </c>
      <c r="AR202" s="30">
        <v>4.7601079999999998</v>
      </c>
      <c r="AS202" s="30">
        <v>4.7614739999999998</v>
      </c>
      <c r="AT202" s="30">
        <v>4.7604069999999998</v>
      </c>
      <c r="AU202" s="30">
        <v>4.7603099999999996</v>
      </c>
      <c r="AV202" s="30">
        <v>4.7604050000000004</v>
      </c>
      <c r="AW202" s="30">
        <v>4.7596730000000003</v>
      </c>
    </row>
    <row r="203" spans="1:49" ht="18" customHeight="1">
      <c r="A203" s="23"/>
      <c r="B203" s="19"/>
      <c r="C203" s="79" t="s">
        <v>225</v>
      </c>
      <c r="D203" s="35" t="s">
        <v>228</v>
      </c>
      <c r="E203" s="35"/>
      <c r="F203" s="29" t="s">
        <v>229</v>
      </c>
      <c r="G203" s="38">
        <v>0</v>
      </c>
      <c r="H203" s="38">
        <v>0.12</v>
      </c>
      <c r="I203" s="38">
        <v>0</v>
      </c>
      <c r="J203" s="38">
        <v>0.12</v>
      </c>
      <c r="K203" s="38">
        <v>0</v>
      </c>
      <c r="L203" s="30">
        <f t="shared" si="12"/>
        <v>7.3897000000000004E-2</v>
      </c>
      <c r="M203" s="30">
        <f t="shared" si="13"/>
        <v>2.2834E-2</v>
      </c>
      <c r="N203" s="30">
        <f t="shared" si="14"/>
        <v>5.1063000000000004E-2</v>
      </c>
      <c r="O203" s="31">
        <f t="shared" si="15"/>
        <v>3.3714749999999995E-2</v>
      </c>
      <c r="P203" s="52"/>
      <c r="Q203" s="30">
        <v>3.4345000000000001E-2</v>
      </c>
      <c r="R203" s="30">
        <v>2.3623000000000002E-2</v>
      </c>
      <c r="S203" s="30">
        <v>4.4103999999999997E-2</v>
      </c>
      <c r="T203" s="30">
        <v>2.4348000000000002E-2</v>
      </c>
      <c r="U203" s="30">
        <v>2.9508E-2</v>
      </c>
      <c r="V203" s="30">
        <v>2.6195E-2</v>
      </c>
      <c r="W203" s="30">
        <v>3.9010999999999997E-2</v>
      </c>
      <c r="X203" s="30">
        <v>3.4563999999999998E-2</v>
      </c>
      <c r="Y203" s="30">
        <v>2.7001000000000001E-2</v>
      </c>
      <c r="Z203" s="30">
        <v>4.5568999999999998E-2</v>
      </c>
      <c r="AA203" s="30">
        <v>2.6297000000000001E-2</v>
      </c>
      <c r="AB203" s="30">
        <v>2.2834E-2</v>
      </c>
      <c r="AC203" s="30">
        <v>3.2592999999999997E-2</v>
      </c>
      <c r="AD203" s="30">
        <v>2.6665000000000001E-2</v>
      </c>
      <c r="AE203" s="30">
        <v>3.1671999999999999E-2</v>
      </c>
      <c r="AF203" s="30"/>
      <c r="AG203" s="30"/>
      <c r="AH203" s="30">
        <v>3.5806999999999999E-2</v>
      </c>
      <c r="AI203" s="30">
        <v>2.845E-2</v>
      </c>
      <c r="AJ203" s="30">
        <v>2.9724E-2</v>
      </c>
      <c r="AK203" s="30">
        <v>3.4332000000000001E-2</v>
      </c>
      <c r="AL203" s="30">
        <v>2.4995E-2</v>
      </c>
      <c r="AM203" s="30">
        <v>3.9373999999999999E-2</v>
      </c>
      <c r="AN203" s="30">
        <v>2.9187999999999999E-2</v>
      </c>
      <c r="AO203" s="30">
        <v>2.8687000000000001E-2</v>
      </c>
      <c r="AP203" s="30">
        <v>3.2267999999999998E-2</v>
      </c>
      <c r="AQ203" s="30">
        <v>3.2280000000000003E-2</v>
      </c>
      <c r="AR203" s="30">
        <v>3.1129E-2</v>
      </c>
      <c r="AS203" s="30">
        <v>5.5552999999999998E-2</v>
      </c>
      <c r="AT203" s="30">
        <v>7.3897000000000004E-2</v>
      </c>
      <c r="AU203" s="30">
        <v>2.4253E-2</v>
      </c>
      <c r="AV203" s="30">
        <v>3.1314000000000002E-2</v>
      </c>
      <c r="AW203" s="30">
        <v>4.1098999999999997E-2</v>
      </c>
    </row>
    <row r="204" spans="1:49" ht="18" customHeight="1">
      <c r="A204" s="23"/>
      <c r="B204" s="19"/>
      <c r="C204" s="79" t="s">
        <v>225</v>
      </c>
      <c r="D204" s="35" t="s">
        <v>230</v>
      </c>
      <c r="E204" s="35"/>
      <c r="F204" s="29" t="s">
        <v>231</v>
      </c>
      <c r="G204" s="38">
        <v>12.13</v>
      </c>
      <c r="H204" s="38">
        <v>0.06</v>
      </c>
      <c r="I204" s="38">
        <v>0.06</v>
      </c>
      <c r="J204" s="38">
        <v>0.08</v>
      </c>
      <c r="K204" s="38">
        <v>0.06</v>
      </c>
      <c r="L204" s="30">
        <f t="shared" si="12"/>
        <v>12.150256000000001</v>
      </c>
      <c r="M204" s="30">
        <f t="shared" si="13"/>
        <v>12.133874</v>
      </c>
      <c r="N204" s="30">
        <f t="shared" si="14"/>
        <v>1.6382000000000119E-2</v>
      </c>
      <c r="O204" s="31">
        <f t="shared" si="15"/>
        <v>12.140807250000003</v>
      </c>
      <c r="P204" s="52"/>
      <c r="Q204" s="30">
        <v>12.133874</v>
      </c>
      <c r="R204" s="30">
        <v>12.144681</v>
      </c>
      <c r="S204" s="30">
        <v>12.143767</v>
      </c>
      <c r="T204" s="30">
        <v>12.137295</v>
      </c>
      <c r="U204" s="30">
        <v>12.139068</v>
      </c>
      <c r="V204" s="30">
        <v>12.139768</v>
      </c>
      <c r="W204" s="30">
        <v>12.149094</v>
      </c>
      <c r="X204" s="30">
        <v>12.145063</v>
      </c>
      <c r="Y204" s="30">
        <v>12.139469</v>
      </c>
      <c r="Z204" s="30">
        <v>12.150256000000001</v>
      </c>
      <c r="AA204" s="30">
        <v>12.146568</v>
      </c>
      <c r="AB204" s="30">
        <v>12.137352999999999</v>
      </c>
      <c r="AC204" s="30">
        <v>12.1351</v>
      </c>
      <c r="AD204" s="30">
        <v>12.141048</v>
      </c>
      <c r="AE204" s="30">
        <v>12.136053</v>
      </c>
      <c r="AF204" s="30"/>
      <c r="AG204" s="30"/>
      <c r="AH204" s="30">
        <v>12.140029999999999</v>
      </c>
      <c r="AI204" s="30">
        <v>12.138958000000001</v>
      </c>
      <c r="AJ204" s="30">
        <v>12.139804</v>
      </c>
      <c r="AK204" s="30">
        <v>12.140579000000001</v>
      </c>
      <c r="AL204" s="30">
        <v>12.138691</v>
      </c>
      <c r="AM204" s="30">
        <v>12.139542</v>
      </c>
      <c r="AN204" s="30">
        <v>12.14317</v>
      </c>
      <c r="AO204" s="30">
        <v>12.143208</v>
      </c>
      <c r="AP204" s="30">
        <v>12.138301999999999</v>
      </c>
      <c r="AQ204" s="30">
        <v>12.142917000000001</v>
      </c>
      <c r="AR204" s="30">
        <v>12.138401</v>
      </c>
      <c r="AS204" s="30">
        <v>12.134919999999999</v>
      </c>
      <c r="AT204" s="30">
        <v>12.145624</v>
      </c>
      <c r="AU204" s="30">
        <v>12.139087999999999</v>
      </c>
      <c r="AV204" s="30">
        <v>12.137786</v>
      </c>
      <c r="AW204" s="30">
        <v>12.139703000000001</v>
      </c>
    </row>
    <row r="205" spans="1:49" ht="18" customHeight="1">
      <c r="A205" s="23"/>
      <c r="B205" s="19"/>
      <c r="C205" s="79" t="s">
        <v>225</v>
      </c>
      <c r="D205" s="35" t="s">
        <v>232</v>
      </c>
      <c r="E205" s="35"/>
      <c r="F205" s="29" t="s">
        <v>233</v>
      </c>
      <c r="G205" s="38">
        <v>12.13</v>
      </c>
      <c r="H205" s="38">
        <v>0.06</v>
      </c>
      <c r="I205" s="38">
        <v>0.06</v>
      </c>
      <c r="J205" s="38">
        <v>0.08</v>
      </c>
      <c r="K205" s="38">
        <v>0.06</v>
      </c>
      <c r="L205" s="30">
        <f t="shared" si="12"/>
        <v>12.145694000000001</v>
      </c>
      <c r="M205" s="30">
        <f t="shared" si="13"/>
        <v>12.116641</v>
      </c>
      <c r="N205" s="30">
        <f t="shared" si="14"/>
        <v>2.9053000000001106E-2</v>
      </c>
      <c r="O205" s="31">
        <f t="shared" si="15"/>
        <v>12.126010178571425</v>
      </c>
      <c r="P205" s="52"/>
      <c r="Q205" s="30">
        <v>12.116641</v>
      </c>
      <c r="R205" s="30">
        <v>12.125944</v>
      </c>
      <c r="S205" s="30">
        <v>12.125272000000001</v>
      </c>
      <c r="T205" s="30">
        <v>12.122370999999999</v>
      </c>
      <c r="U205" s="30">
        <v>12.120195000000001</v>
      </c>
      <c r="V205" s="30">
        <v>12.122487</v>
      </c>
      <c r="W205" s="30">
        <v>12.127383999999999</v>
      </c>
      <c r="X205" s="30">
        <v>12.139063</v>
      </c>
      <c r="Y205" s="30">
        <v>12.123801</v>
      </c>
      <c r="Z205" s="30">
        <v>12.145694000000001</v>
      </c>
      <c r="AA205" s="30">
        <v>12.127901</v>
      </c>
      <c r="AB205" s="30">
        <v>12.125109999999999</v>
      </c>
      <c r="AC205" s="30">
        <v>12.124395</v>
      </c>
      <c r="AD205" s="30">
        <v>12.124947000000001</v>
      </c>
      <c r="AE205" s="30">
        <v>12.122377</v>
      </c>
      <c r="AF205" s="30"/>
      <c r="AG205" s="30"/>
      <c r="AH205" s="30">
        <v>12.122146000000001</v>
      </c>
      <c r="AI205" s="30">
        <v>12.125684</v>
      </c>
      <c r="AJ205" s="30">
        <v>12.125147999999999</v>
      </c>
      <c r="AK205" s="30">
        <v>12.1259</v>
      </c>
      <c r="AL205" s="30">
        <v>12.126716</v>
      </c>
      <c r="AM205" s="30">
        <v>12.122432999999999</v>
      </c>
      <c r="AN205" s="30">
        <v>12.128812999999999</v>
      </c>
      <c r="AO205" s="30">
        <v>12.125909999999999</v>
      </c>
      <c r="AP205" s="30">
        <v>12.127599</v>
      </c>
      <c r="AQ205" s="30">
        <v>12.124188</v>
      </c>
      <c r="AR205" s="30">
        <v>12.125821</v>
      </c>
      <c r="AS205" s="30">
        <v>12.124032</v>
      </c>
      <c r="AT205" s="30">
        <v>12.130312999999999</v>
      </c>
      <c r="AU205" s="30">
        <v>12.122216999999999</v>
      </c>
      <c r="AV205" s="30">
        <v>12.123381999999999</v>
      </c>
      <c r="AW205" s="30">
        <v>12.138066999999999</v>
      </c>
    </row>
    <row r="206" spans="1:49" ht="18" customHeight="1">
      <c r="A206" s="23"/>
      <c r="B206" s="19"/>
      <c r="C206" s="79" t="s">
        <v>225</v>
      </c>
      <c r="D206" s="35" t="s">
        <v>234</v>
      </c>
      <c r="E206" s="35"/>
      <c r="F206" s="29" t="s">
        <v>235</v>
      </c>
      <c r="G206" s="38">
        <v>12.13</v>
      </c>
      <c r="H206" s="38">
        <v>0.06</v>
      </c>
      <c r="I206" s="38">
        <v>0.06</v>
      </c>
      <c r="J206" s="38">
        <v>0.08</v>
      </c>
      <c r="K206" s="38">
        <v>0.06</v>
      </c>
      <c r="L206" s="30">
        <f t="shared" si="12"/>
        <v>12.167420999999999</v>
      </c>
      <c r="M206" s="30">
        <f t="shared" si="13"/>
        <v>12.141081</v>
      </c>
      <c r="N206" s="30">
        <f t="shared" si="14"/>
        <v>2.6339999999999364E-2</v>
      </c>
      <c r="O206" s="31">
        <f t="shared" si="15"/>
        <v>12.150132071428571</v>
      </c>
      <c r="P206" s="52"/>
      <c r="Q206" s="30">
        <v>12.143326999999999</v>
      </c>
      <c r="R206" s="30">
        <v>12.152129</v>
      </c>
      <c r="S206" s="30">
        <v>12.152564999999999</v>
      </c>
      <c r="T206" s="30">
        <v>12.150582999999999</v>
      </c>
      <c r="U206" s="30">
        <v>12.146613</v>
      </c>
      <c r="V206" s="30">
        <v>12.147881</v>
      </c>
      <c r="W206" s="30">
        <v>12.147190999999999</v>
      </c>
      <c r="X206" s="30">
        <v>12.157617</v>
      </c>
      <c r="Y206" s="30">
        <v>12.148827000000001</v>
      </c>
      <c r="Z206" s="30">
        <v>12.167420999999999</v>
      </c>
      <c r="AA206" s="30">
        <v>12.147235</v>
      </c>
      <c r="AB206" s="30">
        <v>12.151489</v>
      </c>
      <c r="AC206" s="30">
        <v>12.150639</v>
      </c>
      <c r="AD206" s="30">
        <v>12.148362000000001</v>
      </c>
      <c r="AE206" s="30">
        <v>12.147796</v>
      </c>
      <c r="AF206" s="30"/>
      <c r="AG206" s="30"/>
      <c r="AH206" s="30">
        <v>12.146791</v>
      </c>
      <c r="AI206" s="30">
        <v>12.150217</v>
      </c>
      <c r="AJ206" s="30">
        <v>12.149431</v>
      </c>
      <c r="AK206" s="30">
        <v>12.151757</v>
      </c>
      <c r="AL206" s="30">
        <v>12.152882999999999</v>
      </c>
      <c r="AM206" s="30">
        <v>12.144003</v>
      </c>
      <c r="AN206" s="30">
        <v>12.153807</v>
      </c>
      <c r="AO206" s="30">
        <v>12.148199</v>
      </c>
      <c r="AP206" s="30">
        <v>12.155086000000001</v>
      </c>
      <c r="AQ206" s="30">
        <v>12.146782</v>
      </c>
      <c r="AR206" s="30">
        <v>12.151998000000001</v>
      </c>
      <c r="AS206" s="30">
        <v>12.151987999999999</v>
      </c>
      <c r="AT206" s="30">
        <v>12.141081</v>
      </c>
      <c r="AU206" s="30">
        <v>12.148921</v>
      </c>
      <c r="AV206" s="30">
        <v>12.150038</v>
      </c>
      <c r="AW206" s="30">
        <v>12.157498</v>
      </c>
    </row>
    <row r="207" spans="1:49" ht="18" customHeight="1">
      <c r="A207" s="23"/>
      <c r="B207" s="19"/>
      <c r="C207" s="79" t="s">
        <v>225</v>
      </c>
      <c r="D207" s="35" t="s">
        <v>236</v>
      </c>
      <c r="E207" s="35"/>
      <c r="F207" s="29" t="s">
        <v>237</v>
      </c>
      <c r="G207" s="38">
        <v>12.13</v>
      </c>
      <c r="H207" s="38">
        <v>0.06</v>
      </c>
      <c r="I207" s="38">
        <v>0.06</v>
      </c>
      <c r="J207" s="38">
        <v>0.08</v>
      </c>
      <c r="K207" s="38">
        <v>0.06</v>
      </c>
      <c r="L207" s="30">
        <f t="shared" si="12"/>
        <v>12.152564999999999</v>
      </c>
      <c r="M207" s="30">
        <f t="shared" si="13"/>
        <v>12.128315000000001</v>
      </c>
      <c r="N207" s="30">
        <f t="shared" si="14"/>
        <v>2.424999999999855E-2</v>
      </c>
      <c r="O207" s="31">
        <f t="shared" si="15"/>
        <v>12.139797</v>
      </c>
      <c r="P207" s="52"/>
      <c r="Q207" s="30">
        <v>12.136606</v>
      </c>
      <c r="R207" s="30">
        <v>12.140454</v>
      </c>
      <c r="S207" s="30">
        <v>12.140447</v>
      </c>
      <c r="T207" s="30">
        <v>12.141648999999999</v>
      </c>
      <c r="U207" s="30">
        <v>12.137241</v>
      </c>
      <c r="V207" s="30">
        <v>12.138187</v>
      </c>
      <c r="W207" s="30">
        <v>12.132372999999999</v>
      </c>
      <c r="X207" s="30">
        <v>12.146331</v>
      </c>
      <c r="Y207" s="30">
        <v>12.138788999999999</v>
      </c>
      <c r="Z207" s="30">
        <v>12.152564999999999</v>
      </c>
      <c r="AA207" s="30">
        <v>12.134690000000001</v>
      </c>
      <c r="AB207" s="30">
        <v>12.142018</v>
      </c>
      <c r="AC207" s="30">
        <v>12.143983</v>
      </c>
      <c r="AD207" s="30">
        <v>12.138251</v>
      </c>
      <c r="AE207" s="30">
        <v>12.140357</v>
      </c>
      <c r="AF207" s="30"/>
      <c r="AG207" s="30"/>
      <c r="AH207" s="30">
        <v>12.136941999999999</v>
      </c>
      <c r="AI207" s="30">
        <v>12.141083999999999</v>
      </c>
      <c r="AJ207" s="30">
        <v>12.14021</v>
      </c>
      <c r="AK207" s="30">
        <v>12.142258</v>
      </c>
      <c r="AL207" s="30">
        <v>12.142758000000001</v>
      </c>
      <c r="AM207" s="30">
        <v>12.133637</v>
      </c>
      <c r="AN207" s="30">
        <v>12.144333</v>
      </c>
      <c r="AO207" s="30">
        <v>12.136593</v>
      </c>
      <c r="AP207" s="30">
        <v>12.144508999999999</v>
      </c>
      <c r="AQ207" s="30">
        <v>12.135949999999999</v>
      </c>
      <c r="AR207" s="30">
        <v>12.140219</v>
      </c>
      <c r="AS207" s="30">
        <v>12.143567000000001</v>
      </c>
      <c r="AT207" s="30">
        <v>12.128315000000001</v>
      </c>
      <c r="AU207" s="30">
        <v>12.137327000000001</v>
      </c>
      <c r="AV207" s="30">
        <v>12.140567000000001</v>
      </c>
      <c r="AW207" s="30">
        <v>12.147054000000001</v>
      </c>
    </row>
    <row r="208" spans="1:49" ht="18" customHeight="1">
      <c r="A208" s="23"/>
      <c r="B208" s="19"/>
      <c r="C208" s="79" t="s">
        <v>225</v>
      </c>
      <c r="D208" s="35" t="s">
        <v>238</v>
      </c>
      <c r="E208" s="35"/>
      <c r="F208" s="29" t="s">
        <v>239</v>
      </c>
      <c r="G208" s="38">
        <v>12.13</v>
      </c>
      <c r="H208" s="38">
        <v>0.06</v>
      </c>
      <c r="I208" s="38">
        <v>0.06</v>
      </c>
      <c r="J208" s="38">
        <v>0.08</v>
      </c>
      <c r="K208" s="38">
        <v>0.06</v>
      </c>
      <c r="L208" s="30">
        <f t="shared" si="12"/>
        <v>12.147473</v>
      </c>
      <c r="M208" s="30">
        <f t="shared" si="13"/>
        <v>12.122582</v>
      </c>
      <c r="N208" s="30">
        <f t="shared" si="14"/>
        <v>2.4891000000000219E-2</v>
      </c>
      <c r="O208" s="31">
        <f t="shared" si="15"/>
        <v>12.131615499999999</v>
      </c>
      <c r="P208" s="52"/>
      <c r="Q208" s="30">
        <v>12.128886</v>
      </c>
      <c r="R208" s="30">
        <v>12.132139</v>
      </c>
      <c r="S208" s="30">
        <v>12.130300999999999</v>
      </c>
      <c r="T208" s="30">
        <v>12.137092000000001</v>
      </c>
      <c r="U208" s="30">
        <v>12.126709999999999</v>
      </c>
      <c r="V208" s="30">
        <v>12.127475</v>
      </c>
      <c r="W208" s="30">
        <v>12.122582</v>
      </c>
      <c r="X208" s="30">
        <v>12.140919999999999</v>
      </c>
      <c r="Y208" s="30">
        <v>12.129695999999999</v>
      </c>
      <c r="Z208" s="30">
        <v>12.147473</v>
      </c>
      <c r="AA208" s="30">
        <v>12.126163999999999</v>
      </c>
      <c r="AB208" s="30">
        <v>12.134928</v>
      </c>
      <c r="AC208" s="30">
        <v>12.135965000000001</v>
      </c>
      <c r="AD208" s="30">
        <v>12.130117</v>
      </c>
      <c r="AE208" s="30">
        <v>12.130496000000001</v>
      </c>
      <c r="AF208" s="30"/>
      <c r="AG208" s="30"/>
      <c r="AH208" s="30">
        <v>12.128688</v>
      </c>
      <c r="AI208" s="30">
        <v>12.134232000000001</v>
      </c>
      <c r="AJ208" s="30">
        <v>12.130891999999999</v>
      </c>
      <c r="AK208" s="30">
        <v>12.132982999999999</v>
      </c>
      <c r="AL208" s="30">
        <v>12.133825999999999</v>
      </c>
      <c r="AM208" s="30">
        <v>12.124656</v>
      </c>
      <c r="AN208" s="30">
        <v>12.135479999999999</v>
      </c>
      <c r="AO208" s="30">
        <v>12.127323000000001</v>
      </c>
      <c r="AP208" s="30">
        <v>12.13687</v>
      </c>
      <c r="AQ208" s="30">
        <v>12.125959999999999</v>
      </c>
      <c r="AR208" s="30">
        <v>12.131443000000001</v>
      </c>
      <c r="AS208" s="30">
        <v>12.137397</v>
      </c>
      <c r="AT208" s="30">
        <v>12.12454</v>
      </c>
      <c r="AU208" s="30">
        <v>12.12679</v>
      </c>
      <c r="AV208" s="30">
        <v>12.131796</v>
      </c>
      <c r="AW208" s="30">
        <v>12.138845</v>
      </c>
    </row>
    <row r="209" spans="1:49" ht="18" customHeight="1">
      <c r="A209" s="23"/>
      <c r="B209" s="19"/>
      <c r="C209" s="79" t="s">
        <v>225</v>
      </c>
      <c r="D209" s="35" t="s">
        <v>240</v>
      </c>
      <c r="E209" s="35"/>
      <c r="F209" s="29" t="s">
        <v>241</v>
      </c>
      <c r="G209" s="38">
        <v>12.13</v>
      </c>
      <c r="H209" s="38">
        <v>0.06</v>
      </c>
      <c r="I209" s="38">
        <v>0.06</v>
      </c>
      <c r="J209" s="38">
        <v>0.08</v>
      </c>
      <c r="K209" s="38">
        <v>0.06</v>
      </c>
      <c r="L209" s="30">
        <f t="shared" si="12"/>
        <v>12.146343</v>
      </c>
      <c r="M209" s="30">
        <f t="shared" si="13"/>
        <v>12.116137999999999</v>
      </c>
      <c r="N209" s="30">
        <f t="shared" si="14"/>
        <v>3.0205000000000481E-2</v>
      </c>
      <c r="O209" s="31">
        <f t="shared" si="15"/>
        <v>12.126414000000002</v>
      </c>
      <c r="P209" s="52"/>
      <c r="Q209" s="30">
        <v>12.125158000000001</v>
      </c>
      <c r="R209" s="30">
        <v>12.127331</v>
      </c>
      <c r="S209" s="30">
        <v>12.122987</v>
      </c>
      <c r="T209" s="30">
        <v>12.128892</v>
      </c>
      <c r="U209" s="30">
        <v>12.119740999999999</v>
      </c>
      <c r="V209" s="30">
        <v>12.121007000000001</v>
      </c>
      <c r="W209" s="30">
        <v>12.116982999999999</v>
      </c>
      <c r="X209" s="30">
        <v>12.137682</v>
      </c>
      <c r="Y209" s="30">
        <v>12.124769000000001</v>
      </c>
      <c r="Z209" s="30">
        <v>12.146343</v>
      </c>
      <c r="AA209" s="30">
        <v>12.120326</v>
      </c>
      <c r="AB209" s="30">
        <v>12.131297999999999</v>
      </c>
      <c r="AC209" s="30">
        <v>12.129592000000001</v>
      </c>
      <c r="AD209" s="30">
        <v>12.123998</v>
      </c>
      <c r="AE209" s="30">
        <v>12.116137999999999</v>
      </c>
      <c r="AF209" s="30"/>
      <c r="AG209" s="30"/>
      <c r="AH209" s="30">
        <v>12.124167</v>
      </c>
      <c r="AI209" s="30">
        <v>12.130155</v>
      </c>
      <c r="AJ209" s="30">
        <v>12.125795</v>
      </c>
      <c r="AK209" s="30">
        <v>12.128920000000001</v>
      </c>
      <c r="AL209" s="30">
        <v>12.128966999999999</v>
      </c>
      <c r="AM209" s="30">
        <v>12.118865</v>
      </c>
      <c r="AN209" s="30">
        <v>12.128920000000001</v>
      </c>
      <c r="AO209" s="30">
        <v>12.122400000000001</v>
      </c>
      <c r="AP209" s="30">
        <v>12.133507</v>
      </c>
      <c r="AQ209" s="30">
        <v>12.11842</v>
      </c>
      <c r="AR209" s="30">
        <v>12.126511000000001</v>
      </c>
      <c r="AS209" s="30">
        <v>12.135551</v>
      </c>
      <c r="AT209" s="30">
        <v>12.125169</v>
      </c>
      <c r="AU209" s="30">
        <v>12.120710000000001</v>
      </c>
      <c r="AV209" s="30">
        <v>12.127312999999999</v>
      </c>
      <c r="AW209" s="30">
        <v>12.132815000000001</v>
      </c>
    </row>
    <row r="210" spans="1:49" ht="18" customHeight="1">
      <c r="A210" s="23"/>
      <c r="B210" s="19"/>
      <c r="C210" s="79" t="s">
        <v>225</v>
      </c>
      <c r="D210" s="35" t="s">
        <v>242</v>
      </c>
      <c r="E210" s="35"/>
      <c r="F210" s="29" t="s">
        <v>243</v>
      </c>
      <c r="G210" s="38">
        <v>12.13</v>
      </c>
      <c r="H210" s="38">
        <v>0.06</v>
      </c>
      <c r="I210" s="38">
        <v>0.06</v>
      </c>
      <c r="J210" s="38">
        <v>0.08</v>
      </c>
      <c r="K210" s="38">
        <v>0.06</v>
      </c>
      <c r="L210" s="30">
        <f t="shared" si="12"/>
        <v>12.16962</v>
      </c>
      <c r="M210" s="30">
        <f t="shared" si="13"/>
        <v>12.130201</v>
      </c>
      <c r="N210" s="30">
        <f t="shared" si="14"/>
        <v>3.9419000000000537E-2</v>
      </c>
      <c r="O210" s="31">
        <f t="shared" si="15"/>
        <v>12.142578500000001</v>
      </c>
      <c r="P210" s="52"/>
      <c r="Q210" s="30">
        <v>12.140139</v>
      </c>
      <c r="R210" s="30">
        <v>12.143167</v>
      </c>
      <c r="S210" s="30">
        <v>12.132725000000001</v>
      </c>
      <c r="T210" s="30">
        <v>12.143632</v>
      </c>
      <c r="U210" s="30">
        <v>12.130201</v>
      </c>
      <c r="V210" s="30">
        <v>12.131137000000001</v>
      </c>
      <c r="W210" s="30">
        <v>12.134480999999999</v>
      </c>
      <c r="X210" s="30">
        <v>12.151192</v>
      </c>
      <c r="Y210" s="30">
        <v>12.137071000000001</v>
      </c>
      <c r="Z210" s="30">
        <v>12.16962</v>
      </c>
      <c r="AA210" s="30">
        <v>12.139098000000001</v>
      </c>
      <c r="AB210" s="30">
        <v>12.148657999999999</v>
      </c>
      <c r="AC210" s="30">
        <v>12.138802</v>
      </c>
      <c r="AD210" s="30">
        <v>12.140288</v>
      </c>
      <c r="AE210" s="30">
        <v>12.136164000000001</v>
      </c>
      <c r="AF210" s="30"/>
      <c r="AG210" s="30"/>
      <c r="AH210" s="30">
        <v>12.144787000000001</v>
      </c>
      <c r="AI210" s="30">
        <v>12.149027999999999</v>
      </c>
      <c r="AJ210" s="30">
        <v>12.1448</v>
      </c>
      <c r="AK210" s="30">
        <v>12.144215000000001</v>
      </c>
      <c r="AL210" s="30">
        <v>12.145896</v>
      </c>
      <c r="AM210" s="30">
        <v>12.13804</v>
      </c>
      <c r="AN210" s="30">
        <v>12.139996</v>
      </c>
      <c r="AO210" s="30">
        <v>12.140974999999999</v>
      </c>
      <c r="AP210" s="30">
        <v>12.148652999999999</v>
      </c>
      <c r="AQ210" s="30">
        <v>12.132675000000001</v>
      </c>
      <c r="AR210" s="30">
        <v>12.144551</v>
      </c>
      <c r="AS210" s="30">
        <v>12.156453000000001</v>
      </c>
      <c r="AT210" s="30">
        <v>12.145754</v>
      </c>
      <c r="AU210" s="30">
        <v>12.134112999999999</v>
      </c>
      <c r="AV210" s="30">
        <v>12.143046</v>
      </c>
      <c r="AW210" s="30">
        <v>12.142448999999999</v>
      </c>
    </row>
    <row r="211" spans="1:49" ht="18" customHeight="1">
      <c r="A211" s="23"/>
      <c r="B211" s="19"/>
      <c r="C211" s="79" t="s">
        <v>225</v>
      </c>
      <c r="D211" s="35" t="s">
        <v>244</v>
      </c>
      <c r="E211" s="35"/>
      <c r="F211" s="29" t="s">
        <v>245</v>
      </c>
      <c r="G211" s="38">
        <v>12.13</v>
      </c>
      <c r="H211" s="38">
        <v>0.06</v>
      </c>
      <c r="I211" s="38">
        <v>0.06</v>
      </c>
      <c r="J211" s="38">
        <v>0.08</v>
      </c>
      <c r="K211" s="38">
        <v>0.06</v>
      </c>
      <c r="L211" s="30">
        <f t="shared" si="12"/>
        <v>12.188535999999999</v>
      </c>
      <c r="M211" s="30">
        <f t="shared" si="13"/>
        <v>12.160852999999999</v>
      </c>
      <c r="N211" s="30">
        <f t="shared" si="14"/>
        <v>2.768299999999968E-2</v>
      </c>
      <c r="O211" s="31">
        <f t="shared" si="15"/>
        <v>12.169951321428568</v>
      </c>
      <c r="P211" s="52"/>
      <c r="Q211" s="30">
        <v>12.166084</v>
      </c>
      <c r="R211" s="30">
        <v>12.164738</v>
      </c>
      <c r="S211" s="30">
        <v>12.160852999999999</v>
      </c>
      <c r="T211" s="30">
        <v>12.168089</v>
      </c>
      <c r="U211" s="30">
        <v>12.161826</v>
      </c>
      <c r="V211" s="30">
        <v>12.162355</v>
      </c>
      <c r="W211" s="30">
        <v>12.167852999999999</v>
      </c>
      <c r="X211" s="30">
        <v>12.170874</v>
      </c>
      <c r="Y211" s="30">
        <v>12.163527</v>
      </c>
      <c r="Z211" s="30">
        <v>12.188535999999999</v>
      </c>
      <c r="AA211" s="30">
        <v>12.170109</v>
      </c>
      <c r="AB211" s="30">
        <v>12.172402</v>
      </c>
      <c r="AC211" s="30">
        <v>12.166971999999999</v>
      </c>
      <c r="AD211" s="30">
        <v>12.169985</v>
      </c>
      <c r="AE211" s="30">
        <v>12.165773</v>
      </c>
      <c r="AF211" s="30"/>
      <c r="AG211" s="30"/>
      <c r="AH211" s="30">
        <v>12.175511</v>
      </c>
      <c r="AI211" s="30">
        <v>12.174598</v>
      </c>
      <c r="AJ211" s="30">
        <v>12.172497999999999</v>
      </c>
      <c r="AK211" s="30">
        <v>12.171870999999999</v>
      </c>
      <c r="AL211" s="30">
        <v>12.171777000000001</v>
      </c>
      <c r="AM211" s="30">
        <v>12.171519999999999</v>
      </c>
      <c r="AN211" s="30">
        <v>12.168222999999999</v>
      </c>
      <c r="AO211" s="30">
        <v>12.171998</v>
      </c>
      <c r="AP211" s="30">
        <v>12.168504</v>
      </c>
      <c r="AQ211" s="30">
        <v>12.168091</v>
      </c>
      <c r="AR211" s="30">
        <v>12.170076999999999</v>
      </c>
      <c r="AS211" s="30">
        <v>12.177213</v>
      </c>
      <c r="AT211" s="30">
        <v>12.176780000000001</v>
      </c>
      <c r="AU211" s="30">
        <v>12.165131000000001</v>
      </c>
      <c r="AV211" s="30">
        <v>12.170921</v>
      </c>
      <c r="AW211" s="30">
        <v>12.165426999999999</v>
      </c>
    </row>
    <row r="212" spans="1:49" ht="18" customHeight="1">
      <c r="A212" s="23"/>
      <c r="B212" s="19"/>
      <c r="C212" s="79" t="s">
        <v>225</v>
      </c>
      <c r="D212" s="35" t="s">
        <v>246</v>
      </c>
      <c r="E212" s="35"/>
      <c r="F212" s="29" t="s">
        <v>247</v>
      </c>
      <c r="G212" s="38">
        <v>12.13</v>
      </c>
      <c r="H212" s="38">
        <v>0.06</v>
      </c>
      <c r="I212" s="38">
        <v>0.06</v>
      </c>
      <c r="J212" s="38">
        <v>0.08</v>
      </c>
      <c r="K212" s="38">
        <v>0.06</v>
      </c>
      <c r="L212" s="30">
        <f t="shared" si="12"/>
        <v>12.184256</v>
      </c>
      <c r="M212" s="30">
        <f t="shared" si="13"/>
        <v>12.156548000000001</v>
      </c>
      <c r="N212" s="30">
        <f t="shared" si="14"/>
        <v>2.7707999999998734E-2</v>
      </c>
      <c r="O212" s="31">
        <f t="shared" si="15"/>
        <v>12.164114464285712</v>
      </c>
      <c r="P212" s="52"/>
      <c r="Q212" s="30">
        <v>12.15865</v>
      </c>
      <c r="R212" s="30">
        <v>12.161884000000001</v>
      </c>
      <c r="S212" s="30">
        <v>12.158977999999999</v>
      </c>
      <c r="T212" s="30">
        <v>12.161315999999999</v>
      </c>
      <c r="U212" s="30">
        <v>12.15696</v>
      </c>
      <c r="V212" s="30">
        <v>12.158226000000001</v>
      </c>
      <c r="W212" s="30">
        <v>12.169790000000001</v>
      </c>
      <c r="X212" s="30">
        <v>12.165025</v>
      </c>
      <c r="Y212" s="30">
        <v>12.158431999999999</v>
      </c>
      <c r="Z212" s="30">
        <v>12.184256</v>
      </c>
      <c r="AA212" s="30">
        <v>12.168400999999999</v>
      </c>
      <c r="AB212" s="30">
        <v>12.165842</v>
      </c>
      <c r="AC212" s="30">
        <v>12.157043</v>
      </c>
      <c r="AD212" s="30">
        <v>12.162891999999999</v>
      </c>
      <c r="AE212" s="30">
        <v>12.156548000000001</v>
      </c>
      <c r="AF212" s="30"/>
      <c r="AG212" s="30"/>
      <c r="AH212" s="30">
        <v>12.169644999999999</v>
      </c>
      <c r="AI212" s="30">
        <v>12.167657999999999</v>
      </c>
      <c r="AJ212" s="30">
        <v>12.165977</v>
      </c>
      <c r="AK212" s="30">
        <v>12.164391999999999</v>
      </c>
      <c r="AL212" s="30">
        <v>12.165298</v>
      </c>
      <c r="AM212" s="30">
        <v>12.164922000000001</v>
      </c>
      <c r="AN212" s="30">
        <v>12.158173</v>
      </c>
      <c r="AO212" s="30">
        <v>12.168436</v>
      </c>
      <c r="AP212" s="30">
        <v>12.162141</v>
      </c>
      <c r="AQ212" s="30">
        <v>12.162827</v>
      </c>
      <c r="AR212" s="30">
        <v>12.1647</v>
      </c>
      <c r="AS212" s="30">
        <v>12.168893000000001</v>
      </c>
      <c r="AT212" s="30">
        <v>12.167899999999999</v>
      </c>
      <c r="AU212" s="30">
        <v>12.160079</v>
      </c>
      <c r="AV212" s="30">
        <v>12.164716</v>
      </c>
      <c r="AW212" s="30">
        <v>12.154375999999999</v>
      </c>
    </row>
    <row r="213" spans="1:49" ht="18" customHeight="1">
      <c r="A213" s="23"/>
      <c r="B213" s="19"/>
      <c r="C213" s="79" t="s">
        <v>225</v>
      </c>
      <c r="D213" s="35" t="s">
        <v>248</v>
      </c>
      <c r="E213" s="35"/>
      <c r="F213" s="29" t="s">
        <v>249</v>
      </c>
      <c r="G213" s="38">
        <v>12.13</v>
      </c>
      <c r="H213" s="38">
        <v>0.06</v>
      </c>
      <c r="I213" s="38">
        <v>0.06</v>
      </c>
      <c r="J213" s="38">
        <v>0.08</v>
      </c>
      <c r="K213" s="38">
        <v>0.06</v>
      </c>
      <c r="L213" s="30">
        <f t="shared" si="12"/>
        <v>12.156347</v>
      </c>
      <c r="M213" s="30">
        <f t="shared" si="13"/>
        <v>12.122717</v>
      </c>
      <c r="N213" s="30">
        <f t="shared" si="14"/>
        <v>3.3630000000000493E-2</v>
      </c>
      <c r="O213" s="31">
        <f t="shared" si="15"/>
        <v>12.132711607142854</v>
      </c>
      <c r="P213" s="52"/>
      <c r="Q213" s="30">
        <v>12.127262999999999</v>
      </c>
      <c r="R213" s="30">
        <v>12.129495</v>
      </c>
      <c r="S213" s="30">
        <v>12.138738999999999</v>
      </c>
      <c r="T213" s="30">
        <v>12.128441</v>
      </c>
      <c r="U213" s="30">
        <v>12.128425999999999</v>
      </c>
      <c r="V213" s="30">
        <v>12.12833</v>
      </c>
      <c r="W213" s="30">
        <v>12.144712</v>
      </c>
      <c r="X213" s="30">
        <v>12.139051</v>
      </c>
      <c r="Y213" s="30">
        <v>12.128525</v>
      </c>
      <c r="Z213" s="30">
        <v>12.156347</v>
      </c>
      <c r="AA213" s="30">
        <v>12.141973999999999</v>
      </c>
      <c r="AB213" s="30">
        <v>12.133929999999999</v>
      </c>
      <c r="AC213" s="30">
        <v>12.122717</v>
      </c>
      <c r="AD213" s="30">
        <v>12.131349</v>
      </c>
      <c r="AE213" s="30">
        <v>12.124701</v>
      </c>
      <c r="AF213" s="30"/>
      <c r="AG213" s="30"/>
      <c r="AH213" s="30">
        <v>12.128472</v>
      </c>
      <c r="AI213" s="30">
        <v>12.131584999999999</v>
      </c>
      <c r="AJ213" s="30">
        <v>12.130454</v>
      </c>
      <c r="AK213" s="30">
        <v>12.131005999999999</v>
      </c>
      <c r="AL213" s="30">
        <v>12.131383</v>
      </c>
      <c r="AM213" s="30">
        <v>12.128895999999999</v>
      </c>
      <c r="AN213" s="30">
        <v>12.130011</v>
      </c>
      <c r="AO213" s="30">
        <v>12.133686000000001</v>
      </c>
      <c r="AP213" s="30">
        <v>12.136936</v>
      </c>
      <c r="AQ213" s="30">
        <v>12.128272000000001</v>
      </c>
      <c r="AR213" s="30">
        <v>12.133293</v>
      </c>
      <c r="AS213" s="30">
        <v>12.133468000000001</v>
      </c>
      <c r="AT213" s="30">
        <v>12.134463</v>
      </c>
      <c r="AU213" s="30">
        <v>12.133385000000001</v>
      </c>
      <c r="AV213" s="30">
        <v>12.129300000000001</v>
      </c>
      <c r="AW213" s="30">
        <v>12.138134000000001</v>
      </c>
    </row>
    <row r="214" spans="1:49" ht="18" customHeight="1">
      <c r="A214" s="23"/>
      <c r="B214" s="19"/>
      <c r="C214" s="79" t="s">
        <v>225</v>
      </c>
      <c r="D214" s="35" t="s">
        <v>250</v>
      </c>
      <c r="E214" s="35"/>
      <c r="F214" s="29" t="s">
        <v>251</v>
      </c>
      <c r="G214" s="38">
        <v>12.13</v>
      </c>
      <c r="H214" s="38">
        <v>0.06</v>
      </c>
      <c r="I214" s="38">
        <v>0.06</v>
      </c>
      <c r="J214" s="38">
        <v>0.08</v>
      </c>
      <c r="K214" s="38">
        <v>0.06</v>
      </c>
      <c r="L214" s="30">
        <f t="shared" si="12"/>
        <v>12.145744000000001</v>
      </c>
      <c r="M214" s="30">
        <f t="shared" si="13"/>
        <v>12.112012999999999</v>
      </c>
      <c r="N214" s="30">
        <f t="shared" si="14"/>
        <v>3.3731000000001288E-2</v>
      </c>
      <c r="O214" s="31">
        <f t="shared" si="15"/>
        <v>12.12845364285714</v>
      </c>
      <c r="P214" s="52"/>
      <c r="Q214" s="30">
        <v>12.117957000000001</v>
      </c>
      <c r="R214" s="30">
        <v>12.135838</v>
      </c>
      <c r="S214" s="30">
        <v>12.145744000000001</v>
      </c>
      <c r="T214" s="30">
        <v>12.125552000000001</v>
      </c>
      <c r="U214" s="30">
        <v>12.129621999999999</v>
      </c>
      <c r="V214" s="30">
        <v>12.125359</v>
      </c>
      <c r="W214" s="30">
        <v>12.139529</v>
      </c>
      <c r="X214" s="30">
        <v>12.135013000000001</v>
      </c>
      <c r="Y214" s="30">
        <v>12.125215000000001</v>
      </c>
      <c r="Z214" s="30">
        <v>12.143599</v>
      </c>
      <c r="AA214" s="30">
        <v>12.136903</v>
      </c>
      <c r="AB214" s="30">
        <v>12.131326</v>
      </c>
      <c r="AC214" s="30">
        <v>12.121795000000001</v>
      </c>
      <c r="AD214" s="30">
        <v>12.128280999999999</v>
      </c>
      <c r="AE214" s="30">
        <v>12.123179</v>
      </c>
      <c r="AF214" s="30"/>
      <c r="AG214" s="30"/>
      <c r="AH214" s="30">
        <v>12.118480999999999</v>
      </c>
      <c r="AI214" s="30">
        <v>12.120815</v>
      </c>
      <c r="AJ214" s="30">
        <v>12.124328</v>
      </c>
      <c r="AK214" s="30">
        <v>12.126682000000001</v>
      </c>
      <c r="AL214" s="30">
        <v>12.128405000000001</v>
      </c>
      <c r="AM214" s="30">
        <v>12.120977</v>
      </c>
      <c r="AN214" s="30">
        <v>12.135633</v>
      </c>
      <c r="AO214" s="30">
        <v>12.126485000000001</v>
      </c>
      <c r="AP214" s="30">
        <v>12.139620000000001</v>
      </c>
      <c r="AQ214" s="30">
        <v>12.127314</v>
      </c>
      <c r="AR214" s="30">
        <v>12.129142</v>
      </c>
      <c r="AS214" s="30">
        <v>12.121895</v>
      </c>
      <c r="AT214" s="30">
        <v>12.112012999999999</v>
      </c>
      <c r="AU214" s="30">
        <v>12.134523</v>
      </c>
      <c r="AV214" s="30">
        <v>12.128408</v>
      </c>
      <c r="AW214" s="30">
        <v>12.145042</v>
      </c>
    </row>
    <row r="215" spans="1:49" ht="18" customHeight="1">
      <c r="A215" s="23"/>
      <c r="B215" s="19"/>
      <c r="C215" s="79" t="s">
        <v>225</v>
      </c>
      <c r="D215" s="35" t="s">
        <v>252</v>
      </c>
      <c r="E215" s="35"/>
      <c r="F215" s="29" t="s">
        <v>253</v>
      </c>
      <c r="G215" s="38">
        <v>12.13</v>
      </c>
      <c r="H215" s="38">
        <v>0.06</v>
      </c>
      <c r="I215" s="38">
        <v>0.06</v>
      </c>
      <c r="J215" s="38">
        <v>0.08</v>
      </c>
      <c r="K215" s="38">
        <v>0.06</v>
      </c>
      <c r="L215" s="30">
        <f t="shared" si="12"/>
        <v>12.158345000000001</v>
      </c>
      <c r="M215" s="30">
        <f t="shared" si="13"/>
        <v>12.134914999999999</v>
      </c>
      <c r="N215" s="30">
        <f t="shared" si="14"/>
        <v>2.3430000000001172E-2</v>
      </c>
      <c r="O215" s="31">
        <f t="shared" si="15"/>
        <v>12.143313928571427</v>
      </c>
      <c r="P215" s="52"/>
      <c r="Q215" s="30">
        <v>12.13649</v>
      </c>
      <c r="R215" s="30">
        <v>12.144411</v>
      </c>
      <c r="S215" s="30">
        <v>12.148825</v>
      </c>
      <c r="T215" s="30">
        <v>12.141797</v>
      </c>
      <c r="U215" s="30">
        <v>12.140752000000001</v>
      </c>
      <c r="V215" s="30">
        <v>12.138237999999999</v>
      </c>
      <c r="W215" s="30">
        <v>12.143846</v>
      </c>
      <c r="X215" s="30">
        <v>12.147432</v>
      </c>
      <c r="Y215" s="30">
        <v>12.139571999999999</v>
      </c>
      <c r="Z215" s="30">
        <v>12.158345000000001</v>
      </c>
      <c r="AA215" s="30">
        <v>12.145576</v>
      </c>
      <c r="AB215" s="30">
        <v>12.145355</v>
      </c>
      <c r="AC215" s="30">
        <v>12.142272</v>
      </c>
      <c r="AD215" s="30">
        <v>12.143601</v>
      </c>
      <c r="AE215" s="30">
        <v>12.142201999999999</v>
      </c>
      <c r="AF215" s="30"/>
      <c r="AG215" s="30"/>
      <c r="AH215" s="30">
        <v>12.140582999999999</v>
      </c>
      <c r="AI215" s="30">
        <v>12.142213</v>
      </c>
      <c r="AJ215" s="30">
        <v>12.143241</v>
      </c>
      <c r="AK215" s="30">
        <v>12.143985000000001</v>
      </c>
      <c r="AL215" s="30">
        <v>12.144634999999999</v>
      </c>
      <c r="AM215" s="30">
        <v>12.139381</v>
      </c>
      <c r="AN215" s="30">
        <v>12.148414000000001</v>
      </c>
      <c r="AO215" s="30">
        <v>12.141349999999999</v>
      </c>
      <c r="AP215" s="30">
        <v>12.148315999999999</v>
      </c>
      <c r="AQ215" s="30">
        <v>12.142856</v>
      </c>
      <c r="AR215" s="30">
        <v>12.142505999999999</v>
      </c>
      <c r="AS215" s="30">
        <v>12.141681</v>
      </c>
      <c r="AT215" s="30">
        <v>12.134914999999999</v>
      </c>
      <c r="AU215" s="30">
        <v>12.143374</v>
      </c>
      <c r="AV215" s="30">
        <v>12.144129</v>
      </c>
      <c r="AW215" s="30">
        <v>12.151816999999999</v>
      </c>
    </row>
    <row r="216" spans="1:49" ht="18" customHeight="1">
      <c r="A216" s="23"/>
      <c r="B216" s="19"/>
      <c r="C216" s="79" t="s">
        <v>225</v>
      </c>
      <c r="D216" s="35" t="s">
        <v>254</v>
      </c>
      <c r="E216" s="35"/>
      <c r="F216" s="29" t="s">
        <v>255</v>
      </c>
      <c r="G216" s="38">
        <v>12.13</v>
      </c>
      <c r="H216" s="38">
        <v>0.06</v>
      </c>
      <c r="I216" s="38">
        <v>0.06</v>
      </c>
      <c r="J216" s="38">
        <v>0.08</v>
      </c>
      <c r="K216" s="38">
        <v>0.06</v>
      </c>
      <c r="L216" s="30">
        <f t="shared" si="12"/>
        <v>12.160940999999999</v>
      </c>
      <c r="M216" s="30">
        <f t="shared" si="13"/>
        <v>12.132663000000001</v>
      </c>
      <c r="N216" s="30">
        <f t="shared" si="14"/>
        <v>2.8277999999998471E-2</v>
      </c>
      <c r="O216" s="31">
        <f t="shared" si="15"/>
        <v>12.138943035714286</v>
      </c>
      <c r="P216" s="52"/>
      <c r="Q216" s="30">
        <v>12.132663000000001</v>
      </c>
      <c r="R216" s="30">
        <v>12.139929</v>
      </c>
      <c r="S216" s="30">
        <v>12.136561</v>
      </c>
      <c r="T216" s="30">
        <v>12.137288</v>
      </c>
      <c r="U216" s="30">
        <v>12.132984</v>
      </c>
      <c r="V216" s="30">
        <v>12.132769</v>
      </c>
      <c r="W216" s="30">
        <v>12.136227</v>
      </c>
      <c r="X216" s="30">
        <v>12.149495</v>
      </c>
      <c r="Y216" s="30">
        <v>12.135177000000001</v>
      </c>
      <c r="Z216" s="30">
        <v>12.160940999999999</v>
      </c>
      <c r="AA216" s="30">
        <v>12.137897000000001</v>
      </c>
      <c r="AB216" s="30">
        <v>12.136181000000001</v>
      </c>
      <c r="AC216" s="30">
        <v>12.140077</v>
      </c>
      <c r="AD216" s="30">
        <v>12.137406</v>
      </c>
      <c r="AE216" s="30">
        <v>12.139670000000001</v>
      </c>
      <c r="AF216" s="30"/>
      <c r="AG216" s="30"/>
      <c r="AH216" s="30">
        <v>12.139032</v>
      </c>
      <c r="AI216" s="30">
        <v>12.14188</v>
      </c>
      <c r="AJ216" s="30">
        <v>12.141055</v>
      </c>
      <c r="AK216" s="30">
        <v>12.140482</v>
      </c>
      <c r="AL216" s="30">
        <v>12.139913</v>
      </c>
      <c r="AM216" s="30">
        <v>12.136464999999999</v>
      </c>
      <c r="AN216" s="30">
        <v>12.141964</v>
      </c>
      <c r="AO216" s="30">
        <v>12.135838</v>
      </c>
      <c r="AP216" s="30">
        <v>12.136879</v>
      </c>
      <c r="AQ216" s="30">
        <v>12.137851</v>
      </c>
      <c r="AR216" s="30">
        <v>12.137896</v>
      </c>
      <c r="AS216" s="30">
        <v>12.138002</v>
      </c>
      <c r="AT216" s="30">
        <v>12.137883</v>
      </c>
      <c r="AU216" s="30">
        <v>12.131579</v>
      </c>
      <c r="AV216" s="30">
        <v>12.13903</v>
      </c>
      <c r="AW216" s="30">
        <v>12.154985999999999</v>
      </c>
    </row>
    <row r="217" spans="1:49" ht="18" customHeight="1">
      <c r="A217" s="23"/>
      <c r="B217" s="19"/>
      <c r="C217" s="79" t="s">
        <v>225</v>
      </c>
      <c r="D217" s="35" t="s">
        <v>256</v>
      </c>
      <c r="E217" s="35"/>
      <c r="F217" s="29" t="s">
        <v>257</v>
      </c>
      <c r="G217" s="38">
        <v>12.13</v>
      </c>
      <c r="H217" s="38">
        <v>0.06</v>
      </c>
      <c r="I217" s="38">
        <v>0.06</v>
      </c>
      <c r="J217" s="38">
        <v>0.08</v>
      </c>
      <c r="K217" s="38">
        <v>0.06</v>
      </c>
      <c r="L217" s="30">
        <f t="shared" si="12"/>
        <v>12.140796999999999</v>
      </c>
      <c r="M217" s="30">
        <f t="shared" si="13"/>
        <v>12.116580000000001</v>
      </c>
      <c r="N217" s="30">
        <f t="shared" si="14"/>
        <v>2.4216999999998379E-2</v>
      </c>
      <c r="O217" s="31">
        <f t="shared" si="15"/>
        <v>12.12838625</v>
      </c>
      <c r="P217" s="52"/>
      <c r="Q217" s="30">
        <v>12.135839000000001</v>
      </c>
      <c r="R217" s="30">
        <v>12.126868</v>
      </c>
      <c r="S217" s="30">
        <v>12.118613</v>
      </c>
      <c r="T217" s="30">
        <v>12.128527999999999</v>
      </c>
      <c r="U217" s="30">
        <v>12.122271</v>
      </c>
      <c r="V217" s="30">
        <v>12.124082</v>
      </c>
      <c r="W217" s="30">
        <v>12.116580000000001</v>
      </c>
      <c r="X217" s="30">
        <v>12.133692999999999</v>
      </c>
      <c r="Y217" s="30">
        <v>12.131599</v>
      </c>
      <c r="Z217" s="30">
        <v>12.140796999999999</v>
      </c>
      <c r="AA217" s="30">
        <v>12.119795999999999</v>
      </c>
      <c r="AB217" s="30">
        <v>12.121976999999999</v>
      </c>
      <c r="AC217" s="30">
        <v>12.132192</v>
      </c>
      <c r="AD217" s="30">
        <v>12.125139000000001</v>
      </c>
      <c r="AE217" s="30">
        <v>12.131589</v>
      </c>
      <c r="AF217" s="30"/>
      <c r="AG217" s="30"/>
      <c r="AH217" s="30">
        <v>12.132968</v>
      </c>
      <c r="AI217" s="30">
        <v>12.134304</v>
      </c>
      <c r="AJ217" s="30">
        <v>12.135120000000001</v>
      </c>
      <c r="AK217" s="30">
        <v>12.132146000000001</v>
      </c>
      <c r="AL217" s="30">
        <v>12.129175999999999</v>
      </c>
      <c r="AM217" s="30">
        <v>12.128667</v>
      </c>
      <c r="AN217" s="30">
        <v>12.126977</v>
      </c>
      <c r="AO217" s="30">
        <v>12.126182</v>
      </c>
      <c r="AP217" s="30">
        <v>12.123974</v>
      </c>
      <c r="AQ217" s="30">
        <v>12.128501999999999</v>
      </c>
      <c r="AR217" s="30">
        <v>12.125788999999999</v>
      </c>
      <c r="AS217" s="30">
        <v>12.130369</v>
      </c>
      <c r="AT217" s="30">
        <v>12.131078</v>
      </c>
      <c r="AU217" s="30">
        <v>12.120036000000001</v>
      </c>
      <c r="AV217" s="30">
        <v>12.128185</v>
      </c>
      <c r="AW217" s="30">
        <v>12.141254</v>
      </c>
    </row>
    <row r="218" spans="1:49" ht="18" customHeight="1">
      <c r="A218" s="23"/>
      <c r="B218" s="19"/>
      <c r="C218" s="79" t="s">
        <v>225</v>
      </c>
      <c r="D218" s="35" t="s">
        <v>258</v>
      </c>
      <c r="E218" s="35"/>
      <c r="F218" s="29" t="s">
        <v>259</v>
      </c>
      <c r="G218" s="38">
        <v>14.13</v>
      </c>
      <c r="H218" s="38">
        <v>0.05</v>
      </c>
      <c r="I218" s="38">
        <v>0.05</v>
      </c>
      <c r="J218" s="38">
        <v>0.08</v>
      </c>
      <c r="K218" s="38">
        <v>0.05</v>
      </c>
      <c r="L218" s="30">
        <f t="shared" si="12"/>
        <v>14.143953</v>
      </c>
      <c r="M218" s="30">
        <f t="shared" si="13"/>
        <v>14.108809000000001</v>
      </c>
      <c r="N218" s="30">
        <f t="shared" si="14"/>
        <v>3.5143999999998954E-2</v>
      </c>
      <c r="O218" s="31">
        <f t="shared" si="15"/>
        <v>14.127715142857143</v>
      </c>
      <c r="P218" s="52"/>
      <c r="Q218" s="30">
        <v>14.108809000000001</v>
      </c>
      <c r="R218" s="30">
        <v>14.133025999999999</v>
      </c>
      <c r="S218" s="30">
        <v>14.129832</v>
      </c>
      <c r="T218" s="30">
        <v>14.122014999999999</v>
      </c>
      <c r="U218" s="30">
        <v>14.123967</v>
      </c>
      <c r="V218" s="30">
        <v>14.12757</v>
      </c>
      <c r="W218" s="30">
        <v>14.135484</v>
      </c>
      <c r="X218" s="30">
        <v>14.137489</v>
      </c>
      <c r="Y218" s="30">
        <v>14.126307000000001</v>
      </c>
      <c r="Z218" s="30">
        <v>14.143953</v>
      </c>
      <c r="AA218" s="30">
        <v>14.134686</v>
      </c>
      <c r="AB218" s="30">
        <v>14.127295999999999</v>
      </c>
      <c r="AC218" s="30">
        <v>14.124107</v>
      </c>
      <c r="AD218" s="30">
        <v>14.12932</v>
      </c>
      <c r="AE218" s="30">
        <v>14.125219</v>
      </c>
      <c r="AF218" s="30"/>
      <c r="AG218" s="30"/>
      <c r="AH218" s="30">
        <v>14.122839000000001</v>
      </c>
      <c r="AI218" s="30">
        <v>14.11955</v>
      </c>
      <c r="AJ218" s="30">
        <v>14.120709</v>
      </c>
      <c r="AK218" s="30">
        <v>14.129092999999999</v>
      </c>
      <c r="AL218" s="30">
        <v>14.124584</v>
      </c>
      <c r="AM218" s="30">
        <v>14.126503</v>
      </c>
      <c r="AN218" s="30">
        <v>14.135344</v>
      </c>
      <c r="AO218" s="30">
        <v>14.130195000000001</v>
      </c>
      <c r="AP218" s="30">
        <v>14.12655</v>
      </c>
      <c r="AQ218" s="30">
        <v>14.128455000000001</v>
      </c>
      <c r="AR218" s="30">
        <v>14.125261</v>
      </c>
      <c r="AS218" s="30">
        <v>14.129211</v>
      </c>
      <c r="AT218" s="30">
        <v>14.12865</v>
      </c>
      <c r="AU218" s="30">
        <v>14.127006</v>
      </c>
      <c r="AV218" s="30">
        <v>14.125245</v>
      </c>
      <c r="AW218" s="30">
        <v>14.127139</v>
      </c>
    </row>
    <row r="219" spans="1:49" ht="18" customHeight="1">
      <c r="A219" s="23"/>
      <c r="B219" s="19"/>
      <c r="C219" s="79" t="s">
        <v>225</v>
      </c>
      <c r="D219" s="35" t="s">
        <v>260</v>
      </c>
      <c r="E219" s="35"/>
      <c r="F219" s="29" t="s">
        <v>261</v>
      </c>
      <c r="G219" s="38">
        <v>14.13</v>
      </c>
      <c r="H219" s="38">
        <v>0.05</v>
      </c>
      <c r="I219" s="38">
        <v>0.05</v>
      </c>
      <c r="J219" s="38">
        <v>0.08</v>
      </c>
      <c r="K219" s="38">
        <v>0.05</v>
      </c>
      <c r="L219" s="30">
        <f t="shared" si="12"/>
        <v>14.144323</v>
      </c>
      <c r="M219" s="30">
        <f t="shared" si="13"/>
        <v>14.095241</v>
      </c>
      <c r="N219" s="30">
        <f t="shared" si="14"/>
        <v>4.9082000000000292E-2</v>
      </c>
      <c r="O219" s="31">
        <f t="shared" si="15"/>
        <v>14.115049535714286</v>
      </c>
      <c r="P219" s="52"/>
      <c r="Q219" s="30">
        <v>14.095241</v>
      </c>
      <c r="R219" s="30">
        <v>14.117099</v>
      </c>
      <c r="S219" s="30">
        <v>14.113638999999999</v>
      </c>
      <c r="T219" s="30">
        <v>14.109982</v>
      </c>
      <c r="U219" s="30">
        <v>14.10904</v>
      </c>
      <c r="V219" s="30">
        <v>14.113338000000001</v>
      </c>
      <c r="W219" s="30">
        <v>14.116234</v>
      </c>
      <c r="X219" s="30">
        <v>14.135343000000001</v>
      </c>
      <c r="Y219" s="30">
        <v>14.113059</v>
      </c>
      <c r="Z219" s="30">
        <v>14.144323</v>
      </c>
      <c r="AA219" s="30">
        <v>14.118007</v>
      </c>
      <c r="AB219" s="30">
        <v>14.116201999999999</v>
      </c>
      <c r="AC219" s="30">
        <v>14.114955</v>
      </c>
      <c r="AD219" s="30">
        <v>14.115330999999999</v>
      </c>
      <c r="AE219" s="30">
        <v>14.111986999999999</v>
      </c>
      <c r="AF219" s="30"/>
      <c r="AG219" s="30"/>
      <c r="AH219" s="30">
        <v>14.104922</v>
      </c>
      <c r="AI219" s="30">
        <v>14.109693999999999</v>
      </c>
      <c r="AJ219" s="30">
        <v>14.109283</v>
      </c>
      <c r="AK219" s="30">
        <v>14.114905</v>
      </c>
      <c r="AL219" s="30">
        <v>14.113875</v>
      </c>
      <c r="AM219" s="30">
        <v>14.111063</v>
      </c>
      <c r="AN219" s="30">
        <v>14.122619</v>
      </c>
      <c r="AO219" s="30">
        <v>14.114411</v>
      </c>
      <c r="AP219" s="30">
        <v>14.117198999999999</v>
      </c>
      <c r="AQ219" s="30">
        <v>14.110459000000001</v>
      </c>
      <c r="AR219" s="30">
        <v>14.114174999999999</v>
      </c>
      <c r="AS219" s="30">
        <v>14.119667</v>
      </c>
      <c r="AT219" s="30">
        <v>14.115335</v>
      </c>
      <c r="AU219" s="30">
        <v>14.111938</v>
      </c>
      <c r="AV219" s="30">
        <v>14.112933999999999</v>
      </c>
      <c r="AW219" s="30">
        <v>14.130471999999999</v>
      </c>
    </row>
    <row r="220" spans="1:49" ht="18" customHeight="1">
      <c r="A220" s="23"/>
      <c r="B220" s="19"/>
      <c r="C220" s="79" t="s">
        <v>225</v>
      </c>
      <c r="D220" s="35" t="s">
        <v>262</v>
      </c>
      <c r="E220" s="35"/>
      <c r="F220" s="29" t="s">
        <v>263</v>
      </c>
      <c r="G220" s="38">
        <v>14.13</v>
      </c>
      <c r="H220" s="38">
        <v>0.05</v>
      </c>
      <c r="I220" s="38">
        <v>0.05</v>
      </c>
      <c r="J220" s="38">
        <v>0.08</v>
      </c>
      <c r="K220" s="38">
        <v>0.05</v>
      </c>
      <c r="L220" s="30">
        <f t="shared" si="12"/>
        <v>14.153267</v>
      </c>
      <c r="M220" s="30">
        <f t="shared" si="13"/>
        <v>14.111916000000001</v>
      </c>
      <c r="N220" s="30">
        <f t="shared" si="14"/>
        <v>4.1350999999998805E-2</v>
      </c>
      <c r="O220" s="31">
        <f t="shared" si="15"/>
        <v>14.128293785714288</v>
      </c>
      <c r="P220" s="52"/>
      <c r="Q220" s="30">
        <v>14.111916000000001</v>
      </c>
      <c r="R220" s="30">
        <v>14.132396999999999</v>
      </c>
      <c r="S220" s="30">
        <v>14.12946</v>
      </c>
      <c r="T220" s="30">
        <v>14.126410999999999</v>
      </c>
      <c r="U220" s="30">
        <v>14.124347</v>
      </c>
      <c r="V220" s="30">
        <v>14.127993999999999</v>
      </c>
      <c r="W220" s="30">
        <v>14.126746000000001</v>
      </c>
      <c r="X220" s="30">
        <v>14.140694</v>
      </c>
      <c r="Y220" s="30">
        <v>14.127556</v>
      </c>
      <c r="Z220" s="30">
        <v>14.153267</v>
      </c>
      <c r="AA220" s="30">
        <v>14.127952000000001</v>
      </c>
      <c r="AB220" s="30">
        <v>14.131665999999999</v>
      </c>
      <c r="AC220" s="30">
        <v>14.129441</v>
      </c>
      <c r="AD220" s="30">
        <v>14.128664000000001</v>
      </c>
      <c r="AE220" s="30">
        <v>14.126583</v>
      </c>
      <c r="AF220" s="30"/>
      <c r="AG220" s="30"/>
      <c r="AH220" s="30">
        <v>14.119794000000001</v>
      </c>
      <c r="AI220" s="30">
        <v>14.121344000000001</v>
      </c>
      <c r="AJ220" s="30">
        <v>14.123298</v>
      </c>
      <c r="AK220" s="30">
        <v>14.129381</v>
      </c>
      <c r="AL220" s="30">
        <v>14.129541</v>
      </c>
      <c r="AM220" s="30">
        <v>14.123494000000001</v>
      </c>
      <c r="AN220" s="30">
        <v>14.136151999999999</v>
      </c>
      <c r="AO220" s="30">
        <v>14.126479</v>
      </c>
      <c r="AP220" s="30">
        <v>14.132787</v>
      </c>
      <c r="AQ220" s="30">
        <v>14.123260999999999</v>
      </c>
      <c r="AR220" s="30">
        <v>14.129401</v>
      </c>
      <c r="AS220" s="30">
        <v>14.136191</v>
      </c>
      <c r="AT220" s="30">
        <v>14.116009</v>
      </c>
      <c r="AU220" s="30">
        <v>14.128842000000001</v>
      </c>
      <c r="AV220" s="30">
        <v>14.128728000000001</v>
      </c>
      <c r="AW220" s="30">
        <v>14.134627999999999</v>
      </c>
    </row>
    <row r="221" spans="1:49" ht="18" customHeight="1">
      <c r="A221" s="23"/>
      <c r="B221" s="19"/>
      <c r="C221" s="79" t="s">
        <v>225</v>
      </c>
      <c r="D221" s="35" t="s">
        <v>264</v>
      </c>
      <c r="E221" s="35"/>
      <c r="F221" s="29" t="s">
        <v>265</v>
      </c>
      <c r="G221" s="38">
        <v>14.13</v>
      </c>
      <c r="H221" s="38">
        <v>0.05</v>
      </c>
      <c r="I221" s="38">
        <v>0.05</v>
      </c>
      <c r="J221" s="38">
        <v>0.08</v>
      </c>
      <c r="K221" s="38">
        <v>0.05</v>
      </c>
      <c r="L221" s="30">
        <f t="shared" si="12"/>
        <v>14.139948</v>
      </c>
      <c r="M221" s="30">
        <f t="shared" si="13"/>
        <v>14.100085</v>
      </c>
      <c r="N221" s="30">
        <f t="shared" si="14"/>
        <v>3.9863000000000426E-2</v>
      </c>
      <c r="O221" s="31">
        <f t="shared" si="15"/>
        <v>14.115658107142854</v>
      </c>
      <c r="P221" s="52"/>
      <c r="Q221" s="30">
        <v>14.102665999999999</v>
      </c>
      <c r="R221" s="30">
        <v>14.117834</v>
      </c>
      <c r="S221" s="30">
        <v>14.114673</v>
      </c>
      <c r="T221" s="30">
        <v>14.115762</v>
      </c>
      <c r="U221" s="30">
        <v>14.112494999999999</v>
      </c>
      <c r="V221" s="30">
        <v>14.113369</v>
      </c>
      <c r="W221" s="30">
        <v>14.107666999999999</v>
      </c>
      <c r="X221" s="30">
        <v>14.129168999999999</v>
      </c>
      <c r="Y221" s="30">
        <v>14.114689</v>
      </c>
      <c r="Z221" s="30">
        <v>14.139948</v>
      </c>
      <c r="AA221" s="30">
        <v>14.111827999999999</v>
      </c>
      <c r="AB221" s="30">
        <v>14.119401</v>
      </c>
      <c r="AC221" s="30">
        <v>14.120704</v>
      </c>
      <c r="AD221" s="30">
        <v>14.115048</v>
      </c>
      <c r="AE221" s="30">
        <v>14.116631999999999</v>
      </c>
      <c r="AF221" s="30"/>
      <c r="AG221" s="30"/>
      <c r="AH221" s="30">
        <v>14.107186</v>
      </c>
      <c r="AI221" s="30">
        <v>14.113263999999999</v>
      </c>
      <c r="AJ221" s="30">
        <v>14.112933</v>
      </c>
      <c r="AK221" s="30">
        <v>14.118331</v>
      </c>
      <c r="AL221" s="30">
        <v>14.117421</v>
      </c>
      <c r="AM221" s="30">
        <v>14.109665</v>
      </c>
      <c r="AN221" s="30">
        <v>14.124333999999999</v>
      </c>
      <c r="AO221" s="30">
        <v>14.111921000000001</v>
      </c>
      <c r="AP221" s="30">
        <v>14.120331</v>
      </c>
      <c r="AQ221" s="30">
        <v>14.109266</v>
      </c>
      <c r="AR221" s="30">
        <v>14.115914999999999</v>
      </c>
      <c r="AS221" s="30">
        <v>14.12589</v>
      </c>
      <c r="AT221" s="30">
        <v>14.100085</v>
      </c>
      <c r="AU221" s="30">
        <v>14.114155</v>
      </c>
      <c r="AV221" s="30">
        <v>14.117419999999999</v>
      </c>
      <c r="AW221" s="30">
        <v>14.126073999999999</v>
      </c>
    </row>
    <row r="222" spans="1:49" ht="18" customHeight="1">
      <c r="A222" s="23"/>
      <c r="B222" s="19"/>
      <c r="C222" s="79" t="s">
        <v>225</v>
      </c>
      <c r="D222" s="35" t="s">
        <v>266</v>
      </c>
      <c r="E222" s="35" t="s">
        <v>326</v>
      </c>
      <c r="F222" s="29" t="s">
        <v>268</v>
      </c>
      <c r="G222" s="38">
        <v>14.13</v>
      </c>
      <c r="H222" s="38">
        <v>0.05</v>
      </c>
      <c r="I222" s="38">
        <v>0.05</v>
      </c>
      <c r="J222" s="38">
        <v>0.08</v>
      </c>
      <c r="K222" s="38">
        <v>0.05</v>
      </c>
      <c r="L222" s="30">
        <f t="shared" si="12"/>
        <v>14.138826999999999</v>
      </c>
      <c r="M222" s="30">
        <f t="shared" si="13"/>
        <v>14.098905999999999</v>
      </c>
      <c r="N222" s="30">
        <f t="shared" si="14"/>
        <v>3.9920999999999651E-2</v>
      </c>
      <c r="O222" s="31">
        <f t="shared" si="15"/>
        <v>14.111322892857142</v>
      </c>
      <c r="P222" s="52"/>
      <c r="Q222" s="30">
        <v>14.098905999999999</v>
      </c>
      <c r="R222" s="30">
        <v>14.113490000000001</v>
      </c>
      <c r="S222" s="30">
        <v>14.108624000000001</v>
      </c>
      <c r="T222" s="30">
        <v>14.115161000000001</v>
      </c>
      <c r="U222" s="30">
        <v>14.105931999999999</v>
      </c>
      <c r="V222" s="30">
        <v>14.107149</v>
      </c>
      <c r="W222" s="30">
        <v>14.101763999999999</v>
      </c>
      <c r="X222" s="30">
        <v>14.12785</v>
      </c>
      <c r="Y222" s="30">
        <v>14.109335</v>
      </c>
      <c r="Z222" s="30">
        <v>14.138826999999999</v>
      </c>
      <c r="AA222" s="30">
        <v>14.106541</v>
      </c>
      <c r="AB222" s="30">
        <v>14.116009</v>
      </c>
      <c r="AC222" s="30">
        <v>14.116567999999999</v>
      </c>
      <c r="AD222" s="30">
        <v>14.110609999999999</v>
      </c>
      <c r="AE222" s="30">
        <v>14.111036</v>
      </c>
      <c r="AF222" s="30"/>
      <c r="AG222" s="30"/>
      <c r="AH222" s="30">
        <v>14.102682</v>
      </c>
      <c r="AI222" s="30">
        <v>14.110035</v>
      </c>
      <c r="AJ222" s="30">
        <v>14.107082</v>
      </c>
      <c r="AK222" s="30">
        <v>14.113403999999999</v>
      </c>
      <c r="AL222" s="30">
        <v>14.112055</v>
      </c>
      <c r="AM222" s="30">
        <v>14.103885999999999</v>
      </c>
      <c r="AN222" s="30">
        <v>14.119433000000001</v>
      </c>
      <c r="AO222" s="30">
        <v>14.106876</v>
      </c>
      <c r="AP222" s="30">
        <v>14.116766</v>
      </c>
      <c r="AQ222" s="30">
        <v>14.101926000000001</v>
      </c>
      <c r="AR222" s="30">
        <v>14.110903</v>
      </c>
      <c r="AS222" s="30">
        <v>14.123619</v>
      </c>
      <c r="AT222" s="30">
        <v>14.100572</v>
      </c>
      <c r="AU222" s="30">
        <v>14.107131000000001</v>
      </c>
      <c r="AV222" s="30">
        <v>14.112384</v>
      </c>
      <c r="AW222" s="30">
        <v>14.122712</v>
      </c>
    </row>
    <row r="223" spans="1:49" ht="18" customHeight="1">
      <c r="A223" s="23"/>
      <c r="B223" s="19"/>
      <c r="C223" s="79" t="s">
        <v>225</v>
      </c>
      <c r="D223" s="35" t="s">
        <v>269</v>
      </c>
      <c r="E223" s="35"/>
      <c r="F223" s="29" t="s">
        <v>270</v>
      </c>
      <c r="G223" s="38">
        <v>14.13</v>
      </c>
      <c r="H223" s="38">
        <v>0.05</v>
      </c>
      <c r="I223" s="38">
        <v>0.05</v>
      </c>
      <c r="J223" s="38">
        <v>0.08</v>
      </c>
      <c r="K223" s="38">
        <v>0.05</v>
      </c>
      <c r="L223" s="30">
        <f t="shared" si="12"/>
        <v>14.137491000000001</v>
      </c>
      <c r="M223" s="30">
        <f t="shared" si="13"/>
        <v>14.096080000000001</v>
      </c>
      <c r="N223" s="30">
        <f t="shared" si="14"/>
        <v>4.1411000000000087E-2</v>
      </c>
      <c r="O223" s="31">
        <f t="shared" si="15"/>
        <v>14.107484178571427</v>
      </c>
      <c r="P223" s="52"/>
      <c r="Q223" s="30">
        <v>14.096105</v>
      </c>
      <c r="R223" s="30">
        <v>14.109157</v>
      </c>
      <c r="S223" s="30">
        <v>14.102199000000001</v>
      </c>
      <c r="T223" s="30">
        <v>14.108150999999999</v>
      </c>
      <c r="U223" s="30">
        <v>14.100246</v>
      </c>
      <c r="V223" s="30">
        <v>14.102281</v>
      </c>
      <c r="W223" s="30">
        <v>14.097232</v>
      </c>
      <c r="X223" s="30">
        <v>14.12547</v>
      </c>
      <c r="Y223" s="30">
        <v>14.105429000000001</v>
      </c>
      <c r="Z223" s="30">
        <v>14.137491000000001</v>
      </c>
      <c r="AA223" s="30">
        <v>14.101863</v>
      </c>
      <c r="AB223" s="30">
        <v>14.113154</v>
      </c>
      <c r="AC223" s="30">
        <v>14.112024999999999</v>
      </c>
      <c r="AD223" s="30">
        <v>14.106223</v>
      </c>
      <c r="AE223" s="30">
        <v>14.106128999999999</v>
      </c>
      <c r="AF223" s="30"/>
      <c r="AG223" s="30"/>
      <c r="AH223" s="30">
        <v>14.099164999999999</v>
      </c>
      <c r="AI223" s="30">
        <v>14.107111</v>
      </c>
      <c r="AJ223" s="30">
        <v>14.103071999999999</v>
      </c>
      <c r="AK223" s="30">
        <v>14.109931</v>
      </c>
      <c r="AL223" s="30">
        <v>14.108195</v>
      </c>
      <c r="AM223" s="30">
        <v>14.099762999999999</v>
      </c>
      <c r="AN223" s="30">
        <v>14.114250999999999</v>
      </c>
      <c r="AO223" s="30">
        <v>14.102888</v>
      </c>
      <c r="AP223" s="30">
        <v>14.113562</v>
      </c>
      <c r="AQ223" s="30">
        <v>14.096080000000001</v>
      </c>
      <c r="AR223" s="30">
        <v>14.107044999999999</v>
      </c>
      <c r="AS223" s="30">
        <v>14.122579999999999</v>
      </c>
      <c r="AT223" s="30">
        <v>14.102759000000001</v>
      </c>
      <c r="AU223" s="30">
        <v>14.101919000000001</v>
      </c>
      <c r="AV223" s="30">
        <v>14.108808</v>
      </c>
      <c r="AW223" s="30">
        <v>14.118387</v>
      </c>
    </row>
    <row r="224" spans="1:49" ht="18" customHeight="1">
      <c r="A224" s="23"/>
      <c r="B224" s="19"/>
      <c r="C224" s="79" t="s">
        <v>225</v>
      </c>
      <c r="D224" s="35" t="s">
        <v>271</v>
      </c>
      <c r="E224" s="35"/>
      <c r="F224" s="29" t="s">
        <v>272</v>
      </c>
      <c r="G224" s="38">
        <v>14.13</v>
      </c>
      <c r="H224" s="38">
        <v>0.05</v>
      </c>
      <c r="I224" s="38">
        <v>0.05</v>
      </c>
      <c r="J224" s="38">
        <v>0.08</v>
      </c>
      <c r="K224" s="38">
        <v>0.05</v>
      </c>
      <c r="L224" s="30">
        <f t="shared" si="12"/>
        <v>14.161526</v>
      </c>
      <c r="M224" s="30">
        <f t="shared" si="13"/>
        <v>14.110580000000001</v>
      </c>
      <c r="N224" s="30">
        <f t="shared" si="14"/>
        <v>5.0945999999999714E-2</v>
      </c>
      <c r="O224" s="31">
        <f t="shared" si="15"/>
        <v>14.123380750000001</v>
      </c>
      <c r="P224" s="52"/>
      <c r="Q224" s="30">
        <v>14.111818</v>
      </c>
      <c r="R224" s="30">
        <v>14.124419</v>
      </c>
      <c r="S224" s="30">
        <v>14.111772999999999</v>
      </c>
      <c r="T224" s="30">
        <v>14.122687000000001</v>
      </c>
      <c r="U224" s="30">
        <v>14.110787</v>
      </c>
      <c r="V224" s="30">
        <v>14.112567</v>
      </c>
      <c r="W224" s="30">
        <v>14.114326</v>
      </c>
      <c r="X224" s="30">
        <v>14.140629000000001</v>
      </c>
      <c r="Y224" s="30">
        <v>14.118819</v>
      </c>
      <c r="Z224" s="30">
        <v>14.161526</v>
      </c>
      <c r="AA224" s="30">
        <v>14.119484999999999</v>
      </c>
      <c r="AB224" s="30">
        <v>14.130368000000001</v>
      </c>
      <c r="AC224" s="30">
        <v>14.121362</v>
      </c>
      <c r="AD224" s="30">
        <v>14.121483</v>
      </c>
      <c r="AE224" s="30">
        <v>14.118430999999999</v>
      </c>
      <c r="AF224" s="30"/>
      <c r="AG224" s="30"/>
      <c r="AH224" s="30">
        <v>14.118914999999999</v>
      </c>
      <c r="AI224" s="30">
        <v>14.125773000000001</v>
      </c>
      <c r="AJ224" s="30">
        <v>14.121682</v>
      </c>
      <c r="AK224" s="30">
        <v>14.125551</v>
      </c>
      <c r="AL224" s="30">
        <v>14.124434000000001</v>
      </c>
      <c r="AM224" s="30">
        <v>14.117588</v>
      </c>
      <c r="AN224" s="30">
        <v>14.124314</v>
      </c>
      <c r="AO224" s="30">
        <v>14.121188</v>
      </c>
      <c r="AP224" s="30">
        <v>14.129618000000001</v>
      </c>
      <c r="AQ224" s="30">
        <v>14.110580000000001</v>
      </c>
      <c r="AR224" s="30">
        <v>14.123949</v>
      </c>
      <c r="AS224" s="30">
        <v>14.142224000000001</v>
      </c>
      <c r="AT224" s="30">
        <v>14.128365000000001</v>
      </c>
      <c r="AU224" s="30">
        <v>14.114661</v>
      </c>
      <c r="AV224" s="30">
        <v>14.124568999999999</v>
      </c>
      <c r="AW224" s="30">
        <v>14.128378</v>
      </c>
    </row>
    <row r="225" spans="1:49" ht="18" customHeight="1">
      <c r="A225" s="23"/>
      <c r="B225" s="19"/>
      <c r="C225" s="79" t="s">
        <v>225</v>
      </c>
      <c r="D225" s="35" t="s">
        <v>273</v>
      </c>
      <c r="E225" s="35"/>
      <c r="F225" s="29" t="s">
        <v>274</v>
      </c>
      <c r="G225" s="38">
        <v>14.13</v>
      </c>
      <c r="H225" s="38">
        <v>0.05</v>
      </c>
      <c r="I225" s="38">
        <v>0.05</v>
      </c>
      <c r="J225" s="38">
        <v>0.08</v>
      </c>
      <c r="K225" s="38">
        <v>0.05</v>
      </c>
      <c r="L225" s="30">
        <f t="shared" si="12"/>
        <v>14.169722</v>
      </c>
      <c r="M225" s="30">
        <f t="shared" si="13"/>
        <v>14.124416</v>
      </c>
      <c r="N225" s="30">
        <f t="shared" si="14"/>
        <v>4.5306000000000068E-2</v>
      </c>
      <c r="O225" s="31">
        <f t="shared" si="15"/>
        <v>14.138439214285714</v>
      </c>
      <c r="P225" s="52"/>
      <c r="Q225" s="30">
        <v>14.124416</v>
      </c>
      <c r="R225" s="30">
        <v>14.133877</v>
      </c>
      <c r="S225" s="30">
        <v>14.127914000000001</v>
      </c>
      <c r="T225" s="30">
        <v>14.134489</v>
      </c>
      <c r="U225" s="30">
        <v>14.128359</v>
      </c>
      <c r="V225" s="30">
        <v>14.130387000000001</v>
      </c>
      <c r="W225" s="30">
        <v>14.136538</v>
      </c>
      <c r="X225" s="30">
        <v>14.146905</v>
      </c>
      <c r="Y225" s="30">
        <v>14.131558</v>
      </c>
      <c r="Z225" s="30">
        <v>14.169722</v>
      </c>
      <c r="AA225" s="30">
        <v>14.139687</v>
      </c>
      <c r="AB225" s="30">
        <v>14.142896</v>
      </c>
      <c r="AC225" s="30">
        <v>14.136373000000001</v>
      </c>
      <c r="AD225" s="30">
        <v>14.139417999999999</v>
      </c>
      <c r="AE225" s="30">
        <v>14.134244000000001</v>
      </c>
      <c r="AF225" s="30"/>
      <c r="AG225" s="30"/>
      <c r="AH225" s="30">
        <v>14.138199</v>
      </c>
      <c r="AI225" s="30">
        <v>14.13978</v>
      </c>
      <c r="AJ225" s="30">
        <v>14.138070000000001</v>
      </c>
      <c r="AK225" s="30">
        <v>14.141085</v>
      </c>
      <c r="AL225" s="30">
        <v>14.139177</v>
      </c>
      <c r="AM225" s="30">
        <v>14.13937</v>
      </c>
      <c r="AN225" s="30">
        <v>14.139989999999999</v>
      </c>
      <c r="AO225" s="30">
        <v>14.140559</v>
      </c>
      <c r="AP225" s="30">
        <v>14.137658999999999</v>
      </c>
      <c r="AQ225" s="30">
        <v>14.133024000000001</v>
      </c>
      <c r="AR225" s="30">
        <v>14.137802000000001</v>
      </c>
      <c r="AS225" s="30">
        <v>14.152721</v>
      </c>
      <c r="AT225" s="30">
        <v>14.142079000000001</v>
      </c>
      <c r="AU225" s="30">
        <v>14.134380999999999</v>
      </c>
      <c r="AV225" s="30">
        <v>14.140898999999999</v>
      </c>
      <c r="AW225" s="30">
        <v>14.138318</v>
      </c>
    </row>
    <row r="226" spans="1:49" ht="18" customHeight="1">
      <c r="A226" s="23"/>
      <c r="B226" s="19"/>
      <c r="C226" s="79" t="s">
        <v>225</v>
      </c>
      <c r="D226" s="35" t="s">
        <v>275</v>
      </c>
      <c r="E226" s="35"/>
      <c r="F226" s="29" t="s">
        <v>276</v>
      </c>
      <c r="G226" s="38">
        <v>14.13</v>
      </c>
      <c r="H226" s="38">
        <v>0.05</v>
      </c>
      <c r="I226" s="38">
        <v>0.05</v>
      </c>
      <c r="J226" s="38">
        <v>0.08</v>
      </c>
      <c r="K226" s="38">
        <v>0.05</v>
      </c>
      <c r="L226" s="30">
        <f t="shared" si="12"/>
        <v>14.158689000000001</v>
      </c>
      <c r="M226" s="30">
        <f t="shared" si="13"/>
        <v>14.117684000000001</v>
      </c>
      <c r="N226" s="30">
        <f t="shared" si="14"/>
        <v>4.100500000000018E-2</v>
      </c>
      <c r="O226" s="31">
        <f t="shared" si="15"/>
        <v>14.133125535714289</v>
      </c>
      <c r="P226" s="52"/>
      <c r="Q226" s="30">
        <v>14.117684000000001</v>
      </c>
      <c r="R226" s="30">
        <v>14.131387999999999</v>
      </c>
      <c r="S226" s="30">
        <v>14.127883000000001</v>
      </c>
      <c r="T226" s="30">
        <v>14.128348000000001</v>
      </c>
      <c r="U226" s="30">
        <v>14.124805</v>
      </c>
      <c r="V226" s="30">
        <v>14.12712</v>
      </c>
      <c r="W226" s="30">
        <v>14.138206</v>
      </c>
      <c r="X226" s="30">
        <v>14.138805</v>
      </c>
      <c r="Y226" s="30">
        <v>14.128328</v>
      </c>
      <c r="Z226" s="30">
        <v>14.158689000000001</v>
      </c>
      <c r="AA226" s="30">
        <v>14.138584</v>
      </c>
      <c r="AB226" s="30">
        <v>14.137362</v>
      </c>
      <c r="AC226" s="30">
        <v>14.128681</v>
      </c>
      <c r="AD226" s="30">
        <v>14.133829</v>
      </c>
      <c r="AE226" s="30">
        <v>14.128394</v>
      </c>
      <c r="AF226" s="30"/>
      <c r="AG226" s="30"/>
      <c r="AH226" s="30">
        <v>14.133692</v>
      </c>
      <c r="AI226" s="30">
        <v>14.131964</v>
      </c>
      <c r="AJ226" s="30">
        <v>14.130312</v>
      </c>
      <c r="AK226" s="30">
        <v>14.134332000000001</v>
      </c>
      <c r="AL226" s="30">
        <v>14.133671</v>
      </c>
      <c r="AM226" s="30">
        <v>14.133235000000001</v>
      </c>
      <c r="AN226" s="30">
        <v>14.132047</v>
      </c>
      <c r="AO226" s="30">
        <v>14.137193999999999</v>
      </c>
      <c r="AP226" s="30">
        <v>14.132</v>
      </c>
      <c r="AQ226" s="30">
        <v>14.130931</v>
      </c>
      <c r="AR226" s="30">
        <v>14.133229</v>
      </c>
      <c r="AS226" s="30">
        <v>14.143744</v>
      </c>
      <c r="AT226" s="30">
        <v>14.133058</v>
      </c>
      <c r="AU226" s="30">
        <v>14.130182</v>
      </c>
      <c r="AV226" s="30">
        <v>14.134366999999999</v>
      </c>
      <c r="AW226" s="30">
        <v>14.124908</v>
      </c>
    </row>
    <row r="227" spans="1:49" ht="18" customHeight="1">
      <c r="A227" s="23"/>
      <c r="B227" s="19"/>
      <c r="C227" s="79" t="s">
        <v>225</v>
      </c>
      <c r="D227" s="35" t="s">
        <v>277</v>
      </c>
      <c r="E227" s="35"/>
      <c r="F227" s="29" t="s">
        <v>278</v>
      </c>
      <c r="G227" s="38">
        <v>14.13</v>
      </c>
      <c r="H227" s="38">
        <v>0.05</v>
      </c>
      <c r="I227" s="38">
        <v>0.05</v>
      </c>
      <c r="J227" s="38">
        <v>0.08</v>
      </c>
      <c r="K227" s="38">
        <v>0.05</v>
      </c>
      <c r="L227" s="30">
        <f t="shared" si="12"/>
        <v>14.147211</v>
      </c>
      <c r="M227" s="30">
        <f t="shared" si="13"/>
        <v>14.094624</v>
      </c>
      <c r="N227" s="30">
        <f t="shared" si="14"/>
        <v>5.2587000000000828E-2</v>
      </c>
      <c r="O227" s="31">
        <f t="shared" si="15"/>
        <v>14.11224625</v>
      </c>
      <c r="P227" s="52"/>
      <c r="Q227" s="30">
        <v>14.094624</v>
      </c>
      <c r="R227" s="30">
        <v>14.109083</v>
      </c>
      <c r="S227" s="30">
        <v>14.117103999999999</v>
      </c>
      <c r="T227" s="30">
        <v>14.105719000000001</v>
      </c>
      <c r="U227" s="30">
        <v>14.105888999999999</v>
      </c>
      <c r="V227" s="30">
        <v>14.107694</v>
      </c>
      <c r="W227" s="30">
        <v>14.124153</v>
      </c>
      <c r="X227" s="30">
        <v>14.125749000000001</v>
      </c>
      <c r="Y227" s="30">
        <v>14.107492000000001</v>
      </c>
      <c r="Z227" s="30">
        <v>14.147211</v>
      </c>
      <c r="AA227" s="30">
        <v>14.122642000000001</v>
      </c>
      <c r="AB227" s="30">
        <v>14.115396</v>
      </c>
      <c r="AC227" s="30">
        <v>14.103323</v>
      </c>
      <c r="AD227" s="30">
        <v>14.111589</v>
      </c>
      <c r="AE227" s="30">
        <v>14.1059</v>
      </c>
      <c r="AF227" s="30"/>
      <c r="AG227" s="30"/>
      <c r="AH227" s="30">
        <v>14.103719</v>
      </c>
      <c r="AI227" s="30">
        <v>14.107841000000001</v>
      </c>
      <c r="AJ227" s="30">
        <v>14.105487999999999</v>
      </c>
      <c r="AK227" s="30">
        <v>14.111492</v>
      </c>
      <c r="AL227" s="30">
        <v>14.110351</v>
      </c>
      <c r="AM227" s="30">
        <v>14.107809</v>
      </c>
      <c r="AN227" s="30">
        <v>14.113749</v>
      </c>
      <c r="AO227" s="30">
        <v>14.113149</v>
      </c>
      <c r="AP227" s="30">
        <v>14.117023</v>
      </c>
      <c r="AQ227" s="30">
        <v>14.105701</v>
      </c>
      <c r="AR227" s="30">
        <v>14.112177000000001</v>
      </c>
      <c r="AS227" s="30">
        <v>14.119857</v>
      </c>
      <c r="AT227" s="30">
        <v>14.110970999999999</v>
      </c>
      <c r="AU227" s="30">
        <v>14.112679</v>
      </c>
      <c r="AV227" s="30">
        <v>14.109297</v>
      </c>
      <c r="AW227" s="30">
        <v>14.123673999999999</v>
      </c>
    </row>
    <row r="228" spans="1:49" ht="18" customHeight="1">
      <c r="A228" s="23"/>
      <c r="B228" s="19"/>
      <c r="C228" s="79" t="s">
        <v>225</v>
      </c>
      <c r="D228" s="35" t="s">
        <v>279</v>
      </c>
      <c r="E228" s="35"/>
      <c r="F228" s="29" t="s">
        <v>280</v>
      </c>
      <c r="G228" s="38">
        <v>14.13</v>
      </c>
      <c r="H228" s="38">
        <v>0.05</v>
      </c>
      <c r="I228" s="38">
        <v>0.05</v>
      </c>
      <c r="J228" s="38">
        <v>0.08</v>
      </c>
      <c r="K228" s="38">
        <v>0.05</v>
      </c>
      <c r="L228" s="30">
        <f t="shared" si="12"/>
        <v>14.131387999999999</v>
      </c>
      <c r="M228" s="30">
        <f t="shared" si="13"/>
        <v>14.086135000000001</v>
      </c>
      <c r="N228" s="30">
        <f t="shared" si="14"/>
        <v>4.5252999999998877E-2</v>
      </c>
      <c r="O228" s="31">
        <f t="shared" si="15"/>
        <v>14.107597964285713</v>
      </c>
      <c r="P228" s="52"/>
      <c r="Q228" s="30">
        <v>14.086135000000001</v>
      </c>
      <c r="R228" s="30">
        <v>14.115529</v>
      </c>
      <c r="S228" s="30">
        <v>14.122869</v>
      </c>
      <c r="T228" s="30">
        <v>14.101986</v>
      </c>
      <c r="U228" s="30">
        <v>14.105437999999999</v>
      </c>
      <c r="V228" s="30">
        <v>14.103584</v>
      </c>
      <c r="W228" s="30">
        <v>14.118674</v>
      </c>
      <c r="X228" s="30">
        <v>14.118321999999999</v>
      </c>
      <c r="Y228" s="30">
        <v>14.103237999999999</v>
      </c>
      <c r="Z228" s="30">
        <v>14.131387999999999</v>
      </c>
      <c r="AA228" s="30">
        <v>14.117214000000001</v>
      </c>
      <c r="AB228" s="30">
        <v>14.113095</v>
      </c>
      <c r="AC228" s="30">
        <v>14.10399</v>
      </c>
      <c r="AD228" s="30">
        <v>14.108803999999999</v>
      </c>
      <c r="AE228" s="30">
        <v>14.102989000000001</v>
      </c>
      <c r="AF228" s="30"/>
      <c r="AG228" s="30"/>
      <c r="AH228" s="30">
        <v>14.094085</v>
      </c>
      <c r="AI228" s="30">
        <v>14.096368999999999</v>
      </c>
      <c r="AJ228" s="30">
        <v>14.099993</v>
      </c>
      <c r="AK228" s="30">
        <v>14.107201999999999</v>
      </c>
      <c r="AL228" s="30">
        <v>14.107445</v>
      </c>
      <c r="AM228" s="30">
        <v>14.101208</v>
      </c>
      <c r="AN228" s="30">
        <v>14.119353</v>
      </c>
      <c r="AO228" s="30">
        <v>14.105371</v>
      </c>
      <c r="AP228" s="30">
        <v>14.118798999999999</v>
      </c>
      <c r="AQ228" s="30">
        <v>14.105485</v>
      </c>
      <c r="AR228" s="30">
        <v>14.108416999999999</v>
      </c>
      <c r="AS228" s="30">
        <v>14.109306</v>
      </c>
      <c r="AT228" s="30">
        <v>14.086455000000001</v>
      </c>
      <c r="AU228" s="30">
        <v>14.113841000000001</v>
      </c>
      <c r="AV228" s="30">
        <v>14.108395</v>
      </c>
      <c r="AW228" s="30">
        <v>14.125368999999999</v>
      </c>
    </row>
    <row r="229" spans="1:49" ht="18" customHeight="1">
      <c r="A229" s="23"/>
      <c r="B229" s="19"/>
      <c r="C229" s="79" t="s">
        <v>225</v>
      </c>
      <c r="D229" s="35" t="s">
        <v>281</v>
      </c>
      <c r="E229" s="35"/>
      <c r="F229" s="29" t="s">
        <v>282</v>
      </c>
      <c r="G229" s="38">
        <v>14.13</v>
      </c>
      <c r="H229" s="38">
        <v>0.05</v>
      </c>
      <c r="I229" s="38">
        <v>0.05</v>
      </c>
      <c r="J229" s="38">
        <v>0.08</v>
      </c>
      <c r="K229" s="38">
        <v>0.05</v>
      </c>
      <c r="L229" s="30">
        <f t="shared" si="12"/>
        <v>14.14833</v>
      </c>
      <c r="M229" s="30">
        <f t="shared" si="13"/>
        <v>14.100699000000001</v>
      </c>
      <c r="N229" s="30">
        <f t="shared" si="14"/>
        <v>4.7630999999999091E-2</v>
      </c>
      <c r="O229" s="31">
        <f t="shared" si="15"/>
        <v>14.12128375</v>
      </c>
      <c r="P229" s="52"/>
      <c r="Q229" s="30">
        <v>14.100699000000001</v>
      </c>
      <c r="R229" s="30">
        <v>14.123248</v>
      </c>
      <c r="S229" s="30">
        <v>14.126008000000001</v>
      </c>
      <c r="T229" s="30">
        <v>14.116084000000001</v>
      </c>
      <c r="U229" s="30">
        <v>14.113761999999999</v>
      </c>
      <c r="V229" s="30">
        <v>14.116051000000001</v>
      </c>
      <c r="W229" s="30">
        <v>14.122415</v>
      </c>
      <c r="X229" s="30">
        <v>14.131</v>
      </c>
      <c r="Y229" s="30">
        <v>14.115696</v>
      </c>
      <c r="Z229" s="30">
        <v>14.14833</v>
      </c>
      <c r="AA229" s="30">
        <v>14.125161</v>
      </c>
      <c r="AB229" s="30">
        <v>14.127029</v>
      </c>
      <c r="AC229" s="30">
        <v>14.122721</v>
      </c>
      <c r="AD229" s="30">
        <v>14.123021</v>
      </c>
      <c r="AE229" s="30">
        <v>14.120808</v>
      </c>
      <c r="AF229" s="30"/>
      <c r="AG229" s="30"/>
      <c r="AH229" s="30">
        <v>14.114709</v>
      </c>
      <c r="AI229" s="30">
        <v>14.113827000000001</v>
      </c>
      <c r="AJ229" s="30">
        <v>14.116063</v>
      </c>
      <c r="AK229" s="30">
        <v>14.12391</v>
      </c>
      <c r="AL229" s="30">
        <v>14.122693</v>
      </c>
      <c r="AM229" s="30">
        <v>14.117908</v>
      </c>
      <c r="AN229" s="30">
        <v>14.132428000000001</v>
      </c>
      <c r="AO229" s="30">
        <v>14.118909</v>
      </c>
      <c r="AP229" s="30">
        <v>14.127974</v>
      </c>
      <c r="AQ229" s="30">
        <v>14.120020999999999</v>
      </c>
      <c r="AR229" s="30">
        <v>14.121314999999999</v>
      </c>
      <c r="AS229" s="30">
        <v>14.127864000000001</v>
      </c>
      <c r="AT229" s="30">
        <v>14.106291000000001</v>
      </c>
      <c r="AU229" s="30">
        <v>14.122522</v>
      </c>
      <c r="AV229" s="30">
        <v>14.123297000000001</v>
      </c>
      <c r="AW229" s="30">
        <v>14.134444</v>
      </c>
    </row>
    <row r="230" spans="1:49" ht="18" customHeight="1">
      <c r="A230" s="23"/>
      <c r="B230" s="19"/>
      <c r="C230" s="79" t="s">
        <v>225</v>
      </c>
      <c r="D230" s="35" t="s">
        <v>283</v>
      </c>
      <c r="E230" s="35"/>
      <c r="F230" s="29" t="s">
        <v>284</v>
      </c>
      <c r="G230" s="38">
        <v>14.13</v>
      </c>
      <c r="H230" s="38">
        <v>0.05</v>
      </c>
      <c r="I230" s="38">
        <v>0.05</v>
      </c>
      <c r="J230" s="38">
        <v>0.08</v>
      </c>
      <c r="K230" s="38">
        <v>0.05</v>
      </c>
      <c r="L230" s="30">
        <f t="shared" si="12"/>
        <v>14.165272</v>
      </c>
      <c r="M230" s="30">
        <f t="shared" si="13"/>
        <v>14.115263000000001</v>
      </c>
      <c r="N230" s="30">
        <f t="shared" si="14"/>
        <v>5.0008999999999304E-2</v>
      </c>
      <c r="O230" s="31">
        <f t="shared" si="15"/>
        <v>14.134969535714285</v>
      </c>
      <c r="P230" s="30">
        <f>MAX(U230:AX230)</f>
        <v>14.165272</v>
      </c>
      <c r="Q230" s="30">
        <v>14.115263000000001</v>
      </c>
      <c r="R230" s="30">
        <v>14.130967</v>
      </c>
      <c r="S230" s="30">
        <v>14.129147</v>
      </c>
      <c r="T230" s="30">
        <v>14.130182</v>
      </c>
      <c r="U230" s="30">
        <v>14.122085999999999</v>
      </c>
      <c r="V230" s="30">
        <v>14.128518</v>
      </c>
      <c r="W230" s="30">
        <v>14.126156</v>
      </c>
      <c r="X230" s="30">
        <v>14.143678</v>
      </c>
      <c r="Y230" s="30">
        <v>14.128154</v>
      </c>
      <c r="Z230" s="30">
        <v>14.165272</v>
      </c>
      <c r="AA230" s="30">
        <v>14.133108</v>
      </c>
      <c r="AB230" s="30">
        <v>14.140962999999999</v>
      </c>
      <c r="AC230" s="30">
        <v>14.141451999999999</v>
      </c>
      <c r="AD230" s="30">
        <v>14.137238</v>
      </c>
      <c r="AE230" s="30">
        <v>14.138627</v>
      </c>
      <c r="AF230" s="30"/>
      <c r="AG230" s="30"/>
      <c r="AH230" s="30">
        <v>14.135332999999999</v>
      </c>
      <c r="AI230" s="30">
        <v>14.131285</v>
      </c>
      <c r="AJ230" s="30">
        <v>14.132133</v>
      </c>
      <c r="AK230" s="30">
        <v>14.140618</v>
      </c>
      <c r="AL230" s="30">
        <v>14.137941</v>
      </c>
      <c r="AM230" s="30">
        <v>14.134608</v>
      </c>
      <c r="AN230" s="30">
        <v>14.145503</v>
      </c>
      <c r="AO230" s="30">
        <v>14.132447000000001</v>
      </c>
      <c r="AP230" s="30">
        <v>14.137149000000001</v>
      </c>
      <c r="AQ230" s="30">
        <v>14.134556999999999</v>
      </c>
      <c r="AR230" s="30">
        <v>14.134213000000001</v>
      </c>
      <c r="AS230" s="30">
        <v>14.146421999999999</v>
      </c>
      <c r="AT230" s="30">
        <v>14.126127</v>
      </c>
      <c r="AU230" s="30">
        <v>14.131202999999999</v>
      </c>
      <c r="AV230" s="30">
        <v>14.138199</v>
      </c>
      <c r="AW230" s="30">
        <v>14.143519</v>
      </c>
    </row>
    <row r="231" spans="1:49" ht="18" customHeight="1">
      <c r="A231" s="23"/>
      <c r="B231" s="19"/>
      <c r="C231" s="79" t="s">
        <v>225</v>
      </c>
      <c r="D231" s="35" t="s">
        <v>285</v>
      </c>
      <c r="E231" s="35"/>
      <c r="F231" s="29" t="s">
        <v>286</v>
      </c>
      <c r="G231" s="38">
        <v>14.13</v>
      </c>
      <c r="H231" s="38">
        <v>0.05</v>
      </c>
      <c r="I231" s="38">
        <v>0.05</v>
      </c>
      <c r="J231" s="38">
        <v>0.08</v>
      </c>
      <c r="K231" s="38">
        <v>0.05</v>
      </c>
      <c r="L231" s="30">
        <f t="shared" si="12"/>
        <v>14.182214</v>
      </c>
      <c r="M231" s="30">
        <f t="shared" si="13"/>
        <v>14.129827000000001</v>
      </c>
      <c r="N231" s="30">
        <f t="shared" si="14"/>
        <v>5.2386999999999517E-2</v>
      </c>
      <c r="O231" s="31">
        <f t="shared" si="15"/>
        <v>14.148655321428567</v>
      </c>
      <c r="P231" s="30">
        <f>MAX(U231:AX231)</f>
        <v>14.182214</v>
      </c>
      <c r="Q231" s="30">
        <v>14.129827000000001</v>
      </c>
      <c r="R231" s="30">
        <v>14.138686</v>
      </c>
      <c r="S231" s="30">
        <v>14.132286000000001</v>
      </c>
      <c r="T231" s="30">
        <v>14.14428</v>
      </c>
      <c r="U231" s="30">
        <v>14.130409999999999</v>
      </c>
      <c r="V231" s="30">
        <v>14.140985000000001</v>
      </c>
      <c r="W231" s="30">
        <v>14.129897</v>
      </c>
      <c r="X231" s="30">
        <v>14.156356000000001</v>
      </c>
      <c r="Y231" s="30">
        <v>14.140612000000001</v>
      </c>
      <c r="Z231" s="30">
        <v>14.182214</v>
      </c>
      <c r="AA231" s="30">
        <v>14.141055</v>
      </c>
      <c r="AB231" s="30">
        <v>14.154897</v>
      </c>
      <c r="AC231" s="30">
        <v>14.160183</v>
      </c>
      <c r="AD231" s="30">
        <v>14.151455</v>
      </c>
      <c r="AE231" s="30">
        <v>14.156446000000001</v>
      </c>
      <c r="AF231" s="30"/>
      <c r="AG231" s="30"/>
      <c r="AH231" s="30">
        <v>14.155957000000001</v>
      </c>
      <c r="AI231" s="30">
        <v>14.148743</v>
      </c>
      <c r="AJ231" s="30">
        <v>14.148203000000001</v>
      </c>
      <c r="AK231" s="30">
        <v>14.157325999999999</v>
      </c>
      <c r="AL231" s="30">
        <v>14.153188999999999</v>
      </c>
      <c r="AM231" s="30">
        <v>14.151308</v>
      </c>
      <c r="AN231" s="30">
        <v>14.158578</v>
      </c>
      <c r="AO231" s="30">
        <v>14.145985</v>
      </c>
      <c r="AP231" s="30">
        <v>14.146324</v>
      </c>
      <c r="AQ231" s="30">
        <v>14.149093000000001</v>
      </c>
      <c r="AR231" s="30">
        <v>14.147111000000001</v>
      </c>
      <c r="AS231" s="30">
        <v>14.16498</v>
      </c>
      <c r="AT231" s="30">
        <v>14.145963</v>
      </c>
      <c r="AU231" s="30">
        <v>14.139884</v>
      </c>
      <c r="AV231" s="30">
        <v>14.153100999999999</v>
      </c>
      <c r="AW231" s="30">
        <v>14.152594000000001</v>
      </c>
    </row>
    <row r="232" spans="1:49" ht="18" customHeight="1">
      <c r="A232" s="23"/>
      <c r="B232" s="19"/>
      <c r="C232" s="79" t="s">
        <v>225</v>
      </c>
      <c r="D232" s="35" t="s">
        <v>287</v>
      </c>
      <c r="E232" s="35"/>
      <c r="F232" s="29" t="s">
        <v>327</v>
      </c>
      <c r="G232" s="38">
        <v>0.15</v>
      </c>
      <c r="H232" s="38"/>
      <c r="I232" s="38"/>
      <c r="J232" s="38"/>
      <c r="K232" s="38"/>
      <c r="L232" s="30">
        <f t="shared" si="12"/>
        <v>0</v>
      </c>
      <c r="M232" s="30">
        <f t="shared" si="13"/>
        <v>0</v>
      </c>
      <c r="N232" s="30">
        <f t="shared" si="14"/>
        <v>0</v>
      </c>
      <c r="O232" s="31" t="e">
        <f t="shared" si="15"/>
        <v>#DIV/0!</v>
      </c>
      <c r="P232" s="52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</row>
    <row r="233" spans="1:49" ht="18" customHeight="1">
      <c r="A233" s="23"/>
      <c r="B233" s="19"/>
      <c r="C233" s="79" t="s">
        <v>225</v>
      </c>
      <c r="D233" s="35" t="s">
        <v>287</v>
      </c>
      <c r="E233" s="35"/>
      <c r="F233" s="29" t="s">
        <v>328</v>
      </c>
      <c r="G233" s="38">
        <v>0.15</v>
      </c>
      <c r="H233" s="38"/>
      <c r="I233" s="38"/>
      <c r="J233" s="38"/>
      <c r="K233" s="38"/>
      <c r="L233" s="30">
        <f t="shared" si="12"/>
        <v>0</v>
      </c>
      <c r="M233" s="30">
        <f t="shared" si="13"/>
        <v>0</v>
      </c>
      <c r="N233" s="30">
        <f t="shared" si="14"/>
        <v>0</v>
      </c>
      <c r="O233" s="31" t="e">
        <f t="shared" si="15"/>
        <v>#DIV/0!</v>
      </c>
      <c r="P233" s="52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</row>
    <row r="234" spans="1:49" ht="18" customHeight="1">
      <c r="A234" s="23"/>
      <c r="B234" s="19"/>
      <c r="C234" s="79" t="s">
        <v>225</v>
      </c>
      <c r="D234" s="35" t="s">
        <v>287</v>
      </c>
      <c r="E234" s="35"/>
      <c r="F234" s="29" t="s">
        <v>329</v>
      </c>
      <c r="G234" s="38">
        <v>0</v>
      </c>
      <c r="H234" s="38">
        <v>0.15</v>
      </c>
      <c r="I234" s="38">
        <v>0</v>
      </c>
      <c r="J234" s="38">
        <v>0.15</v>
      </c>
      <c r="K234" s="38">
        <v>0</v>
      </c>
      <c r="L234" s="30">
        <f t="shared" si="12"/>
        <v>0.14006399999999999</v>
      </c>
      <c r="M234" s="30">
        <f t="shared" si="13"/>
        <v>8.1062999999999996E-2</v>
      </c>
      <c r="N234" s="30">
        <f t="shared" si="14"/>
        <v>5.9000999999999998E-2</v>
      </c>
      <c r="O234" s="31">
        <f t="shared" si="15"/>
        <v>9.5496642857142877E-2</v>
      </c>
      <c r="P234" s="52"/>
      <c r="Q234" s="30">
        <v>0.102622</v>
      </c>
      <c r="R234" s="30">
        <v>9.4673999999999994E-2</v>
      </c>
      <c r="S234" s="30">
        <v>9.153E-2</v>
      </c>
      <c r="T234" s="30">
        <v>9.9524000000000001E-2</v>
      </c>
      <c r="U234" s="30">
        <v>0.11311</v>
      </c>
      <c r="V234" s="30">
        <v>0.110207</v>
      </c>
      <c r="W234" s="30">
        <v>8.8624999999999995E-2</v>
      </c>
      <c r="X234" s="30">
        <v>8.8907E-2</v>
      </c>
      <c r="Y234" s="30">
        <v>9.5115000000000005E-2</v>
      </c>
      <c r="Z234" s="30">
        <v>8.5502999999999996E-2</v>
      </c>
      <c r="AA234" s="30">
        <v>8.5366999999999998E-2</v>
      </c>
      <c r="AB234" s="30">
        <v>8.5774000000000003E-2</v>
      </c>
      <c r="AC234" s="30">
        <v>9.1189999999999993E-2</v>
      </c>
      <c r="AD234" s="30">
        <v>8.5408999999999999E-2</v>
      </c>
      <c r="AE234" s="30">
        <v>8.9744000000000004E-2</v>
      </c>
      <c r="AF234" s="30"/>
      <c r="AG234" s="30"/>
      <c r="AH234" s="30">
        <v>0.102533</v>
      </c>
      <c r="AI234" s="30">
        <v>0.102856</v>
      </c>
      <c r="AJ234" s="30">
        <v>0.10822900000000001</v>
      </c>
      <c r="AK234" s="30">
        <v>9.0590000000000004E-2</v>
      </c>
      <c r="AL234" s="30">
        <v>9.5321000000000003E-2</v>
      </c>
      <c r="AM234" s="30">
        <v>0.100134</v>
      </c>
      <c r="AN234" s="30">
        <v>8.1062999999999996E-2</v>
      </c>
      <c r="AO234" s="30">
        <v>9.0870000000000006E-2</v>
      </c>
      <c r="AP234" s="30">
        <v>8.2024E-2</v>
      </c>
      <c r="AQ234" s="30">
        <v>9.7790000000000002E-2</v>
      </c>
      <c r="AR234" s="30">
        <v>8.8276999999999994E-2</v>
      </c>
      <c r="AS234" s="30">
        <v>8.6854000000000001E-2</v>
      </c>
      <c r="AT234" s="30">
        <v>0.14006399999999999</v>
      </c>
      <c r="AU234" s="30">
        <v>8.7762000000000007E-2</v>
      </c>
      <c r="AV234" s="30">
        <v>8.9686000000000002E-2</v>
      </c>
      <c r="AW234" s="30">
        <v>9.2418E-2</v>
      </c>
    </row>
    <row r="235" spans="1:49" ht="18" customHeight="1">
      <c r="A235" s="23"/>
      <c r="B235" s="19"/>
      <c r="C235" s="79" t="s">
        <v>225</v>
      </c>
      <c r="D235" s="35" t="s">
        <v>291</v>
      </c>
      <c r="E235" s="35"/>
      <c r="F235" s="29" t="s">
        <v>292</v>
      </c>
      <c r="G235" s="38">
        <v>0</v>
      </c>
      <c r="H235" s="38">
        <v>0.15</v>
      </c>
      <c r="I235" s="38">
        <v>0</v>
      </c>
      <c r="J235" s="38">
        <v>0.15</v>
      </c>
      <c r="K235" s="38">
        <v>0</v>
      </c>
      <c r="L235" s="30">
        <f t="shared" si="12"/>
        <v>9.7003000000000006E-2</v>
      </c>
      <c r="M235" s="30">
        <f t="shared" si="13"/>
        <v>5.7105000000000003E-2</v>
      </c>
      <c r="N235" s="30">
        <f t="shared" si="14"/>
        <v>3.9898000000000003E-2</v>
      </c>
      <c r="O235" s="31">
        <f t="shared" si="15"/>
        <v>6.7405035714285702E-2</v>
      </c>
      <c r="P235" s="52"/>
      <c r="Q235" s="30">
        <v>6.4404000000000003E-2</v>
      </c>
      <c r="R235" s="30">
        <v>6.4517000000000005E-2</v>
      </c>
      <c r="S235" s="30">
        <v>6.7327999999999999E-2</v>
      </c>
      <c r="T235" s="30">
        <v>6.8071000000000007E-2</v>
      </c>
      <c r="U235" s="30">
        <v>7.2067000000000006E-2</v>
      </c>
      <c r="V235" s="30">
        <v>5.8432999999999999E-2</v>
      </c>
      <c r="W235" s="30">
        <v>6.1197000000000001E-2</v>
      </c>
      <c r="X235" s="30">
        <v>7.0981000000000002E-2</v>
      </c>
      <c r="Y235" s="30">
        <v>5.9868999999999999E-2</v>
      </c>
      <c r="Z235" s="30">
        <v>6.1698999999999997E-2</v>
      </c>
      <c r="AA235" s="30">
        <v>5.8957000000000002E-2</v>
      </c>
      <c r="AB235" s="30">
        <v>5.7105000000000003E-2</v>
      </c>
      <c r="AC235" s="30">
        <v>7.0304000000000005E-2</v>
      </c>
      <c r="AD235" s="30">
        <v>7.0651000000000005E-2</v>
      </c>
      <c r="AE235" s="30">
        <v>6.6037999999999999E-2</v>
      </c>
      <c r="AF235" s="30"/>
      <c r="AG235" s="30"/>
      <c r="AH235" s="30">
        <v>7.1672E-2</v>
      </c>
      <c r="AI235" s="30">
        <v>7.5768000000000002E-2</v>
      </c>
      <c r="AJ235" s="30">
        <v>7.6655000000000001E-2</v>
      </c>
      <c r="AK235" s="30">
        <v>6.5393999999999994E-2</v>
      </c>
      <c r="AL235" s="30">
        <v>7.0544999999999997E-2</v>
      </c>
      <c r="AM235" s="30">
        <v>6.3392000000000004E-2</v>
      </c>
      <c r="AN235" s="30">
        <v>6.1467000000000001E-2</v>
      </c>
      <c r="AO235" s="30">
        <v>5.9833999999999998E-2</v>
      </c>
      <c r="AP235" s="30">
        <v>6.1991999999999998E-2</v>
      </c>
      <c r="AQ235" s="30">
        <v>7.0787000000000003E-2</v>
      </c>
      <c r="AR235" s="30">
        <v>6.5657999999999994E-2</v>
      </c>
      <c r="AS235" s="30">
        <v>7.5552999999999995E-2</v>
      </c>
      <c r="AT235" s="30">
        <v>9.7003000000000006E-2</v>
      </c>
      <c r="AU235" s="30">
        <v>6.4021999999999996E-2</v>
      </c>
      <c r="AV235" s="30">
        <v>6.4485000000000001E-2</v>
      </c>
      <c r="AW235" s="30">
        <v>8.5972999999999994E-2</v>
      </c>
    </row>
    <row r="236" spans="1:49" ht="18" customHeight="1">
      <c r="A236" s="23"/>
      <c r="B236" s="19"/>
      <c r="C236" s="79" t="s">
        <v>225</v>
      </c>
      <c r="D236" s="35" t="s">
        <v>293</v>
      </c>
      <c r="E236" s="35"/>
      <c r="F236" s="29" t="s">
        <v>294</v>
      </c>
      <c r="G236" s="38">
        <v>0</v>
      </c>
      <c r="H236" s="38">
        <v>0.14000000000000001</v>
      </c>
      <c r="I236" s="38">
        <v>0</v>
      </c>
      <c r="J236" s="38">
        <v>0.15</v>
      </c>
      <c r="K236" s="38">
        <v>0</v>
      </c>
      <c r="L236" s="30">
        <f t="shared" si="12"/>
        <v>0.13223799999999999</v>
      </c>
      <c r="M236" s="30">
        <f t="shared" si="13"/>
        <v>8.6385000000000003E-2</v>
      </c>
      <c r="N236" s="30">
        <f t="shared" si="14"/>
        <v>4.5852999999999991E-2</v>
      </c>
      <c r="O236" s="31">
        <f t="shared" si="15"/>
        <v>0.11577239285714284</v>
      </c>
      <c r="P236" s="52"/>
      <c r="Q236" s="30">
        <v>0.113122</v>
      </c>
      <c r="R236" s="30">
        <v>0.120148</v>
      </c>
      <c r="S236" s="30">
        <v>0.118272</v>
      </c>
      <c r="T236" s="30">
        <v>0.11369</v>
      </c>
      <c r="U236" s="30">
        <v>0.118843</v>
      </c>
      <c r="V236" s="30">
        <v>0.13223799999999999</v>
      </c>
      <c r="W236" s="30">
        <v>0.110898</v>
      </c>
      <c r="X236" s="30">
        <v>0.104227</v>
      </c>
      <c r="Y236" s="30">
        <v>0.118571</v>
      </c>
      <c r="Z236" s="30">
        <v>8.6385000000000003E-2</v>
      </c>
      <c r="AA236" s="30">
        <v>0.118801</v>
      </c>
      <c r="AB236" s="30">
        <v>0.113563</v>
      </c>
      <c r="AC236" s="30">
        <v>0.129912</v>
      </c>
      <c r="AD236" s="30">
        <v>0.12262199999999999</v>
      </c>
      <c r="AE236" s="30">
        <v>0.12893199999999999</v>
      </c>
      <c r="AF236" s="30"/>
      <c r="AG236" s="30"/>
      <c r="AH236" s="30">
        <v>0.12089900000000001</v>
      </c>
      <c r="AI236" s="30">
        <v>0.108572</v>
      </c>
      <c r="AJ236" s="30">
        <v>0.110751</v>
      </c>
      <c r="AK236" s="30">
        <v>0.11741600000000001</v>
      </c>
      <c r="AL236" s="30">
        <v>0.109205</v>
      </c>
      <c r="AM236" s="30">
        <v>0.119702</v>
      </c>
      <c r="AN236" s="30">
        <v>0.116193</v>
      </c>
      <c r="AO236" s="30">
        <v>0.115081</v>
      </c>
      <c r="AP236" s="30">
        <v>0.10154199999999999</v>
      </c>
      <c r="AQ236" s="30">
        <v>0.125523</v>
      </c>
      <c r="AR236" s="30">
        <v>0.11355899999999999</v>
      </c>
      <c r="AS236" s="30">
        <v>0.109773</v>
      </c>
      <c r="AT236" s="30">
        <v>0.123187</v>
      </c>
      <c r="AU236" s="30">
        <v>0.116498</v>
      </c>
      <c r="AV236" s="30">
        <v>0.114785</v>
      </c>
      <c r="AW236" s="30">
        <v>0.116191</v>
      </c>
    </row>
    <row r="237" spans="1:49" ht="18" customHeight="1">
      <c r="A237" s="23"/>
      <c r="B237" s="19"/>
      <c r="C237" s="79" t="s">
        <v>225</v>
      </c>
      <c r="D237" s="35" t="s">
        <v>295</v>
      </c>
      <c r="E237" s="35"/>
      <c r="F237" s="29" t="s">
        <v>296</v>
      </c>
      <c r="G237" s="38">
        <v>0</v>
      </c>
      <c r="H237" s="38">
        <v>0.15</v>
      </c>
      <c r="I237" s="38">
        <v>0</v>
      </c>
      <c r="J237" s="38">
        <v>0.15</v>
      </c>
      <c r="K237" s="38">
        <v>0</v>
      </c>
      <c r="L237" s="30">
        <f t="shared" si="12"/>
        <v>0.13112499999999999</v>
      </c>
      <c r="M237" s="30">
        <f t="shared" si="13"/>
        <v>0.10563599999999999</v>
      </c>
      <c r="N237" s="30">
        <f t="shared" si="14"/>
        <v>2.5488999999999998E-2</v>
      </c>
      <c r="O237" s="31">
        <f t="shared" si="15"/>
        <v>0.1178331785714286</v>
      </c>
      <c r="P237" s="52"/>
      <c r="Q237" s="30">
        <v>0.114652</v>
      </c>
      <c r="R237" s="30">
        <v>0.12304900000000001</v>
      </c>
      <c r="S237" s="30">
        <v>0.123138</v>
      </c>
      <c r="T237" s="30">
        <v>0.11654200000000001</v>
      </c>
      <c r="U237" s="30">
        <v>0.120838</v>
      </c>
      <c r="V237" s="30">
        <v>0.117488</v>
      </c>
      <c r="W237" s="30">
        <v>0.117296</v>
      </c>
      <c r="X237" s="30">
        <v>0.11680599999999999</v>
      </c>
      <c r="Y237" s="30">
        <v>0.123205</v>
      </c>
      <c r="Z237" s="30">
        <v>0.106265</v>
      </c>
      <c r="AA237" s="30">
        <v>0.120599</v>
      </c>
      <c r="AB237" s="30">
        <v>0.11289100000000001</v>
      </c>
      <c r="AC237" s="30">
        <v>0.13011900000000001</v>
      </c>
      <c r="AD237" s="30">
        <v>0.123668</v>
      </c>
      <c r="AE237" s="30">
        <v>0.13112499999999999</v>
      </c>
      <c r="AF237" s="30"/>
      <c r="AG237" s="30"/>
      <c r="AH237" s="30">
        <v>0.121046</v>
      </c>
      <c r="AI237" s="30">
        <v>0.109905</v>
      </c>
      <c r="AJ237" s="30">
        <v>0.112397</v>
      </c>
      <c r="AK237" s="30">
        <v>0.11902699999999999</v>
      </c>
      <c r="AL237" s="30">
        <v>0.109338</v>
      </c>
      <c r="AM237" s="30">
        <v>0.118876</v>
      </c>
      <c r="AN237" s="30">
        <v>0.12077499999999999</v>
      </c>
      <c r="AO237" s="30">
        <v>0.114269</v>
      </c>
      <c r="AP237" s="30">
        <v>0.10563599999999999</v>
      </c>
      <c r="AQ237" s="30">
        <v>0.12807199999999999</v>
      </c>
      <c r="AR237" s="30">
        <v>0.114995</v>
      </c>
      <c r="AS237" s="30">
        <v>0.109399</v>
      </c>
      <c r="AT237" s="30">
        <v>0.117913</v>
      </c>
      <c r="AU237" s="30">
        <v>0.11747299999999999</v>
      </c>
      <c r="AV237" s="30">
        <v>0.11737499999999999</v>
      </c>
      <c r="AW237" s="30">
        <v>0.13197300000000001</v>
      </c>
    </row>
    <row r="238" spans="1:49" ht="18" customHeight="1">
      <c r="A238" s="23"/>
      <c r="B238" s="19"/>
      <c r="C238" s="79" t="s">
        <v>225</v>
      </c>
      <c r="D238" s="35" t="s">
        <v>297</v>
      </c>
      <c r="E238" s="35"/>
      <c r="F238" s="29" t="s">
        <v>298</v>
      </c>
      <c r="G238" s="38">
        <v>11.05</v>
      </c>
      <c r="H238" s="38">
        <v>0.05</v>
      </c>
      <c r="I238" s="38">
        <v>0.05</v>
      </c>
      <c r="J238" s="38">
        <v>0.05</v>
      </c>
      <c r="K238" s="38">
        <v>0.05</v>
      </c>
      <c r="L238" s="30">
        <f t="shared" si="12"/>
        <v>11.076492999999999</v>
      </c>
      <c r="M238" s="30">
        <f t="shared" si="13"/>
        <v>11.058059999999999</v>
      </c>
      <c r="N238" s="30">
        <f t="shared" si="14"/>
        <v>1.8432999999999922E-2</v>
      </c>
      <c r="O238" s="31">
        <f t="shared" si="15"/>
        <v>11.065309678571429</v>
      </c>
      <c r="P238" s="52"/>
      <c r="Q238" s="30">
        <v>11.058059999999999</v>
      </c>
      <c r="R238" s="30">
        <v>11.066511999999999</v>
      </c>
      <c r="S238" s="30">
        <v>11.064551</v>
      </c>
      <c r="T238" s="30">
        <v>11.061788999999999</v>
      </c>
      <c r="U238" s="30">
        <v>11.063167</v>
      </c>
      <c r="V238" s="30">
        <v>11.065973</v>
      </c>
      <c r="W238" s="30">
        <v>11.059716999999999</v>
      </c>
      <c r="X238" s="30">
        <v>11.076492999999999</v>
      </c>
      <c r="Y238" s="30">
        <v>11.062689000000001</v>
      </c>
      <c r="Z238" s="30">
        <v>11.073563999999999</v>
      </c>
      <c r="AA238" s="30">
        <v>11.062161</v>
      </c>
      <c r="AB238" s="30">
        <v>11.063853</v>
      </c>
      <c r="AC238" s="30">
        <v>11.070175000000001</v>
      </c>
      <c r="AD238" s="30">
        <v>11.066105</v>
      </c>
      <c r="AE238" s="30">
        <v>11.06827</v>
      </c>
      <c r="AF238" s="30"/>
      <c r="AG238" s="30"/>
      <c r="AH238" s="30">
        <v>11.06218</v>
      </c>
      <c r="AI238" s="30">
        <v>11.059294</v>
      </c>
      <c r="AJ238" s="30">
        <v>11.069184999999999</v>
      </c>
      <c r="AK238" s="30">
        <v>11.064831</v>
      </c>
      <c r="AL238" s="30">
        <v>11.0631</v>
      </c>
      <c r="AM238" s="30">
        <v>11.062112000000001</v>
      </c>
      <c r="AN238" s="30">
        <v>11.073193</v>
      </c>
      <c r="AO238" s="30">
        <v>11.061373</v>
      </c>
      <c r="AP238" s="30">
        <v>11.063726000000001</v>
      </c>
      <c r="AQ238" s="30">
        <v>11.071887</v>
      </c>
      <c r="AR238" s="30">
        <v>11.067030000000001</v>
      </c>
      <c r="AS238" s="30">
        <v>11.065104</v>
      </c>
      <c r="AT238" s="30">
        <v>11.062576999999999</v>
      </c>
      <c r="AU238" s="30">
        <v>11.065561000000001</v>
      </c>
      <c r="AV238" s="30">
        <v>11.066395999999999</v>
      </c>
      <c r="AW238" s="30">
        <v>11.085934999999999</v>
      </c>
    </row>
    <row r="239" spans="1:49" ht="18" customHeight="1">
      <c r="A239" s="23"/>
      <c r="B239" s="19"/>
      <c r="C239" s="79" t="s">
        <v>225</v>
      </c>
      <c r="D239" s="35" t="s">
        <v>299</v>
      </c>
      <c r="E239" s="35"/>
      <c r="F239" s="29" t="s">
        <v>300</v>
      </c>
      <c r="G239" s="38">
        <v>11.05</v>
      </c>
      <c r="H239" s="38">
        <v>0.05</v>
      </c>
      <c r="I239" s="38">
        <v>0.05</v>
      </c>
      <c r="J239" s="38">
        <v>0.05</v>
      </c>
      <c r="K239" s="38">
        <v>0.05</v>
      </c>
      <c r="L239" s="30">
        <f t="shared" si="12"/>
        <v>11.045396999999999</v>
      </c>
      <c r="M239" s="30">
        <f t="shared" si="13"/>
        <v>11.015666</v>
      </c>
      <c r="N239" s="30">
        <f t="shared" si="14"/>
        <v>2.9730999999999952E-2</v>
      </c>
      <c r="O239" s="31">
        <f t="shared" si="15"/>
        <v>11.032703464285715</v>
      </c>
      <c r="P239" s="52"/>
      <c r="Q239" s="30">
        <v>11.02399</v>
      </c>
      <c r="R239" s="30">
        <v>11.040129</v>
      </c>
      <c r="S239" s="30">
        <v>11.042066</v>
      </c>
      <c r="T239" s="30">
        <v>11.030094999999999</v>
      </c>
      <c r="U239" s="30">
        <v>11.034959000000001</v>
      </c>
      <c r="V239" s="30">
        <v>11.034155999999999</v>
      </c>
      <c r="W239" s="30">
        <v>11.032717999999999</v>
      </c>
      <c r="X239" s="30">
        <v>11.044826</v>
      </c>
      <c r="Y239" s="30">
        <v>11.029405000000001</v>
      </c>
      <c r="Z239" s="30">
        <v>11.040011</v>
      </c>
      <c r="AA239" s="30">
        <v>11.033381</v>
      </c>
      <c r="AB239" s="30">
        <v>11.034072</v>
      </c>
      <c r="AC239" s="30">
        <v>11.03684</v>
      </c>
      <c r="AD239" s="30">
        <v>11.035185999999999</v>
      </c>
      <c r="AE239" s="30">
        <v>11.035629999999999</v>
      </c>
      <c r="AF239" s="30"/>
      <c r="AG239" s="30"/>
      <c r="AH239" s="30">
        <v>11.024627000000001</v>
      </c>
      <c r="AI239" s="30">
        <v>11.020816</v>
      </c>
      <c r="AJ239" s="30">
        <v>11.026896000000001</v>
      </c>
      <c r="AK239" s="30">
        <v>11.030968</v>
      </c>
      <c r="AL239" s="30">
        <v>11.030237</v>
      </c>
      <c r="AM239" s="30">
        <v>11.025290999999999</v>
      </c>
      <c r="AN239" s="30">
        <v>11.045396999999999</v>
      </c>
      <c r="AO239" s="30">
        <v>11.027559999999999</v>
      </c>
      <c r="AP239" s="30">
        <v>11.037483</v>
      </c>
      <c r="AQ239" s="30">
        <v>11.039109</v>
      </c>
      <c r="AR239" s="30">
        <v>11.035710999999999</v>
      </c>
      <c r="AS239" s="30">
        <v>11.028472000000001</v>
      </c>
      <c r="AT239" s="30">
        <v>11.015666</v>
      </c>
      <c r="AU239" s="30">
        <v>11.037064000000001</v>
      </c>
      <c r="AV239" s="30">
        <v>11.034096</v>
      </c>
      <c r="AW239" s="30">
        <v>11.054371</v>
      </c>
    </row>
    <row r="240" spans="1:49" ht="18" customHeight="1">
      <c r="A240" s="23"/>
      <c r="B240" s="19"/>
      <c r="C240" s="79" t="s">
        <v>225</v>
      </c>
      <c r="D240" s="35" t="s">
        <v>301</v>
      </c>
      <c r="E240" s="35"/>
      <c r="F240" s="29" t="s">
        <v>302</v>
      </c>
      <c r="G240" s="38">
        <v>11.05</v>
      </c>
      <c r="H240" s="38">
        <v>0.05</v>
      </c>
      <c r="I240" s="38">
        <v>0.05</v>
      </c>
      <c r="J240" s="38">
        <v>0.05</v>
      </c>
      <c r="K240" s="38">
        <v>0.05</v>
      </c>
      <c r="L240" s="30">
        <f t="shared" si="12"/>
        <v>11.052213999999999</v>
      </c>
      <c r="M240" s="30">
        <f t="shared" si="13"/>
        <v>11.01765</v>
      </c>
      <c r="N240" s="30">
        <f t="shared" si="14"/>
        <v>3.4563999999999595E-2</v>
      </c>
      <c r="O240" s="31">
        <f t="shared" si="15"/>
        <v>11.038334749999999</v>
      </c>
      <c r="P240" s="52"/>
      <c r="Q240" s="30">
        <v>11.027803</v>
      </c>
      <c r="R240" s="30">
        <v>11.047582</v>
      </c>
      <c r="S240" s="30">
        <v>11.050670999999999</v>
      </c>
      <c r="T240" s="30">
        <v>11.036227999999999</v>
      </c>
      <c r="U240" s="30">
        <v>11.041836</v>
      </c>
      <c r="V240" s="30">
        <v>11.040061</v>
      </c>
      <c r="W240" s="30">
        <v>11.039796000000001</v>
      </c>
      <c r="X240" s="30">
        <v>11.050191</v>
      </c>
      <c r="Y240" s="30">
        <v>11.03396</v>
      </c>
      <c r="Z240" s="30">
        <v>11.044206000000001</v>
      </c>
      <c r="AA240" s="30">
        <v>11.040743000000001</v>
      </c>
      <c r="AB240" s="30">
        <v>11.040647999999999</v>
      </c>
      <c r="AC240" s="30">
        <v>11.042472999999999</v>
      </c>
      <c r="AD240" s="30">
        <v>11.041309999999999</v>
      </c>
      <c r="AE240" s="30">
        <v>11.041339000000001</v>
      </c>
      <c r="AF240" s="30"/>
      <c r="AG240" s="30"/>
      <c r="AH240" s="30">
        <v>11.029245</v>
      </c>
      <c r="AI240" s="30">
        <v>11.025283</v>
      </c>
      <c r="AJ240" s="30">
        <v>11.030842</v>
      </c>
      <c r="AK240" s="30">
        <v>11.036148000000001</v>
      </c>
      <c r="AL240" s="30">
        <v>11.035563</v>
      </c>
      <c r="AM240" s="30">
        <v>11.029681</v>
      </c>
      <c r="AN240" s="30">
        <v>11.052213999999999</v>
      </c>
      <c r="AO240" s="30">
        <v>11.03256</v>
      </c>
      <c r="AP240" s="30">
        <v>11.045472999999999</v>
      </c>
      <c r="AQ240" s="30">
        <v>11.044543000000001</v>
      </c>
      <c r="AR240" s="30">
        <v>11.041842000000001</v>
      </c>
      <c r="AS240" s="30">
        <v>11.033481999999999</v>
      </c>
      <c r="AT240" s="30">
        <v>11.01765</v>
      </c>
      <c r="AU240" s="30">
        <v>11.043483999999999</v>
      </c>
      <c r="AV240" s="30">
        <v>11.040010000000001</v>
      </c>
      <c r="AW240" s="30">
        <v>11.058332</v>
      </c>
    </row>
    <row r="241" spans="1:49" ht="18" customHeight="1">
      <c r="A241" s="23"/>
      <c r="B241" s="19"/>
      <c r="C241" s="79" t="s">
        <v>225</v>
      </c>
      <c r="D241" s="35" t="s">
        <v>303</v>
      </c>
      <c r="E241" s="35"/>
      <c r="F241" s="29" t="s">
        <v>304</v>
      </c>
      <c r="G241" s="38">
        <v>21.59</v>
      </c>
      <c r="H241" s="38">
        <v>0.08</v>
      </c>
      <c r="I241" s="38">
        <v>0.05</v>
      </c>
      <c r="J241" s="38">
        <v>0.08</v>
      </c>
      <c r="K241" s="38">
        <v>0.05</v>
      </c>
      <c r="L241" s="30">
        <f t="shared" si="12"/>
        <v>21.596458999999999</v>
      </c>
      <c r="M241" s="30">
        <f t="shared" si="13"/>
        <v>21.579287999999998</v>
      </c>
      <c r="N241" s="30">
        <f t="shared" si="14"/>
        <v>1.7171000000001158E-2</v>
      </c>
      <c r="O241" s="31">
        <f t="shared" si="15"/>
        <v>21.585816357142853</v>
      </c>
      <c r="P241" s="52"/>
      <c r="Q241" s="30">
        <v>21.594156000000002</v>
      </c>
      <c r="R241" s="30">
        <v>21.587707000000002</v>
      </c>
      <c r="S241" s="30">
        <v>21.583731</v>
      </c>
      <c r="T241" s="30">
        <v>21.586082999999999</v>
      </c>
      <c r="U241" s="30">
        <v>21.588636999999999</v>
      </c>
      <c r="V241" s="30">
        <v>21.592369000000001</v>
      </c>
      <c r="W241" s="30">
        <v>21.580335000000002</v>
      </c>
      <c r="X241" s="30">
        <v>21.585566</v>
      </c>
      <c r="Y241" s="30">
        <v>21.590551000000001</v>
      </c>
      <c r="Z241" s="30">
        <v>21.596458999999999</v>
      </c>
      <c r="AA241" s="30">
        <v>21.581472999999999</v>
      </c>
      <c r="AB241" s="30">
        <v>21.579287999999998</v>
      </c>
      <c r="AC241" s="30">
        <v>21.586936999999999</v>
      </c>
      <c r="AD241" s="30">
        <v>21.584423999999999</v>
      </c>
      <c r="AE241" s="30">
        <v>21.588547999999999</v>
      </c>
      <c r="AF241" s="30"/>
      <c r="AG241" s="30"/>
      <c r="AH241" s="30">
        <v>21.583210999999999</v>
      </c>
      <c r="AI241" s="30">
        <v>21.582345</v>
      </c>
      <c r="AJ241" s="30">
        <v>21.584838000000001</v>
      </c>
      <c r="AK241" s="30">
        <v>21.587208</v>
      </c>
      <c r="AL241" s="30">
        <v>21.582591000000001</v>
      </c>
      <c r="AM241" s="30">
        <v>21.587637999999998</v>
      </c>
      <c r="AN241" s="30">
        <v>21.585433999999999</v>
      </c>
      <c r="AO241" s="30">
        <v>21.584624999999999</v>
      </c>
      <c r="AP241" s="30">
        <v>21.581199999999999</v>
      </c>
      <c r="AQ241" s="30">
        <v>21.583124000000002</v>
      </c>
      <c r="AR241" s="30">
        <v>21.581249</v>
      </c>
      <c r="AS241" s="30">
        <v>21.592244999999998</v>
      </c>
      <c r="AT241" s="30">
        <v>21.580886</v>
      </c>
      <c r="AU241" s="30">
        <v>21.583591999999999</v>
      </c>
      <c r="AV241" s="30">
        <v>21.585563</v>
      </c>
      <c r="AW241" s="30">
        <v>21.589769</v>
      </c>
    </row>
    <row r="242" spans="1:49" ht="18" customHeight="1">
      <c r="A242" s="23"/>
      <c r="B242" s="19"/>
      <c r="C242" s="79" t="s">
        <v>225</v>
      </c>
      <c r="D242" s="35" t="s">
        <v>305</v>
      </c>
      <c r="E242" s="35"/>
      <c r="F242" s="29" t="s">
        <v>306</v>
      </c>
      <c r="G242" s="38">
        <v>21.59</v>
      </c>
      <c r="H242" s="38">
        <v>0.08</v>
      </c>
      <c r="I242" s="38">
        <v>0.05</v>
      </c>
      <c r="J242" s="38">
        <v>0.08</v>
      </c>
      <c r="K242" s="38">
        <v>0.05</v>
      </c>
      <c r="L242" s="30">
        <f t="shared" si="12"/>
        <v>21.591253999999999</v>
      </c>
      <c r="M242" s="30">
        <f t="shared" si="13"/>
        <v>21.572241999999999</v>
      </c>
      <c r="N242" s="30">
        <f t="shared" si="14"/>
        <v>1.9012000000000029E-2</v>
      </c>
      <c r="O242" s="31">
        <f t="shared" si="15"/>
        <v>21.578772178571423</v>
      </c>
      <c r="P242" s="52"/>
      <c r="Q242" s="30">
        <v>21.585521</v>
      </c>
      <c r="R242" s="30">
        <v>21.579702999999999</v>
      </c>
      <c r="S242" s="30">
        <v>21.575258000000002</v>
      </c>
      <c r="T242" s="30">
        <v>21.578002999999999</v>
      </c>
      <c r="U242" s="30">
        <v>21.581042</v>
      </c>
      <c r="V242" s="30">
        <v>21.585577000000001</v>
      </c>
      <c r="W242" s="30">
        <v>21.575175000000002</v>
      </c>
      <c r="X242" s="30">
        <v>21.579073999999999</v>
      </c>
      <c r="Y242" s="30">
        <v>21.584602</v>
      </c>
      <c r="Z242" s="30">
        <v>21.591253999999999</v>
      </c>
      <c r="AA242" s="30">
        <v>21.574764999999999</v>
      </c>
      <c r="AB242" s="30">
        <v>21.572351999999999</v>
      </c>
      <c r="AC242" s="30">
        <v>21.579267000000002</v>
      </c>
      <c r="AD242" s="30">
        <v>21.577348000000001</v>
      </c>
      <c r="AE242" s="30">
        <v>21.580852</v>
      </c>
      <c r="AF242" s="30"/>
      <c r="AG242" s="30"/>
      <c r="AH242" s="30">
        <v>21.576219999999999</v>
      </c>
      <c r="AI242" s="30">
        <v>21.575271999999998</v>
      </c>
      <c r="AJ242" s="30">
        <v>21.577031999999999</v>
      </c>
      <c r="AK242" s="30">
        <v>21.579661999999999</v>
      </c>
      <c r="AL242" s="30">
        <v>21.575707999999999</v>
      </c>
      <c r="AM242" s="30">
        <v>21.580549000000001</v>
      </c>
      <c r="AN242" s="30">
        <v>21.577611000000001</v>
      </c>
      <c r="AO242" s="30">
        <v>21.578600999999999</v>
      </c>
      <c r="AP242" s="30">
        <v>21.572241999999999</v>
      </c>
      <c r="AQ242" s="30">
        <v>21.576716999999999</v>
      </c>
      <c r="AR242" s="30">
        <v>21.573910999999999</v>
      </c>
      <c r="AS242" s="30">
        <v>21.583808000000001</v>
      </c>
      <c r="AT242" s="30">
        <v>21.578495</v>
      </c>
      <c r="AU242" s="30">
        <v>21.575178999999999</v>
      </c>
      <c r="AV242" s="30">
        <v>21.576934999999999</v>
      </c>
      <c r="AW242" s="30">
        <v>21.581880999999999</v>
      </c>
    </row>
    <row r="243" spans="1:49" ht="18" customHeight="1">
      <c r="A243" s="22"/>
      <c r="B243" s="18"/>
      <c r="C243" s="80" t="s">
        <v>225</v>
      </c>
      <c r="D243" s="56" t="s">
        <v>307</v>
      </c>
      <c r="E243" s="56"/>
      <c r="F243" s="57" t="s">
        <v>308</v>
      </c>
      <c r="G243" s="58">
        <v>21.59</v>
      </c>
      <c r="H243" s="58">
        <v>0.08</v>
      </c>
      <c r="I243" s="58">
        <v>0.05</v>
      </c>
      <c r="J243" s="58">
        <v>0.08</v>
      </c>
      <c r="K243" s="58">
        <v>0.05</v>
      </c>
      <c r="L243" s="30">
        <f t="shared" si="12"/>
        <v>21.628585000000001</v>
      </c>
      <c r="M243" s="30">
        <f t="shared" si="13"/>
        <v>21.610420999999999</v>
      </c>
      <c r="N243" s="30">
        <f t="shared" si="14"/>
        <v>1.8164000000002289E-2</v>
      </c>
      <c r="O243" s="31">
        <f t="shared" si="15"/>
        <v>21.619488142857143</v>
      </c>
      <c r="P243" s="62"/>
      <c r="Q243" s="30">
        <v>21.622382000000002</v>
      </c>
      <c r="R243" s="30">
        <v>21.619816</v>
      </c>
      <c r="S243" s="30">
        <v>21.617142000000001</v>
      </c>
      <c r="T243" s="30">
        <v>21.61815</v>
      </c>
      <c r="U243" s="30">
        <v>21.621331000000001</v>
      </c>
      <c r="V243" s="30">
        <v>21.623338</v>
      </c>
      <c r="W243" s="30">
        <v>21.618907</v>
      </c>
      <c r="X243" s="30">
        <v>21.621327000000001</v>
      </c>
      <c r="Y243" s="30">
        <v>21.622938999999999</v>
      </c>
      <c r="Z243" s="30">
        <v>21.628585000000001</v>
      </c>
      <c r="AA243" s="30">
        <v>21.618345999999999</v>
      </c>
      <c r="AB243" s="30">
        <v>21.612631</v>
      </c>
      <c r="AC243" s="30">
        <v>21.619205000000001</v>
      </c>
      <c r="AD243" s="30">
        <v>21.618652999999998</v>
      </c>
      <c r="AE243" s="30">
        <v>21.621462000000001</v>
      </c>
      <c r="AF243" s="30"/>
      <c r="AG243" s="30"/>
      <c r="AH243" s="30">
        <v>21.619412000000001</v>
      </c>
      <c r="AI243" s="30">
        <v>21.617636000000001</v>
      </c>
      <c r="AJ243" s="30">
        <v>21.618435999999999</v>
      </c>
      <c r="AK243" s="30">
        <v>21.619443</v>
      </c>
      <c r="AL243" s="30">
        <v>21.614878999999998</v>
      </c>
      <c r="AM243" s="30">
        <v>21.621594999999999</v>
      </c>
      <c r="AN243" s="30">
        <v>21.619340999999999</v>
      </c>
      <c r="AO243" s="30">
        <v>21.619724999999999</v>
      </c>
      <c r="AP243" s="30">
        <v>21.610420999999999</v>
      </c>
      <c r="AQ243" s="30">
        <v>21.619686999999999</v>
      </c>
      <c r="AR243" s="30">
        <v>21.614418000000001</v>
      </c>
      <c r="AS243" s="30">
        <v>21.62059</v>
      </c>
      <c r="AT243" s="30">
        <v>21.625871</v>
      </c>
      <c r="AU243" s="30">
        <v>21.617089</v>
      </c>
      <c r="AV243" s="30">
        <v>21.617197999999998</v>
      </c>
      <c r="AW243" s="30">
        <v>21.624766000000001</v>
      </c>
    </row>
    <row r="244" spans="1:49" ht="18" customHeight="1" thickBot="1">
      <c r="A244" s="21"/>
      <c r="B244" s="17"/>
      <c r="C244" s="82" t="s">
        <v>115</v>
      </c>
      <c r="D244" s="36" t="s">
        <v>309</v>
      </c>
      <c r="E244" s="36"/>
      <c r="F244" s="25"/>
      <c r="G244" s="54">
        <v>0</v>
      </c>
      <c r="H244" s="54">
        <v>0</v>
      </c>
      <c r="I244" s="54">
        <v>0.1</v>
      </c>
      <c r="J244" s="54">
        <v>0</v>
      </c>
      <c r="K244" s="54">
        <v>0.1</v>
      </c>
      <c r="L244" s="32">
        <f t="shared" si="12"/>
        <v>-2E-3</v>
      </c>
      <c r="M244" s="32">
        <f t="shared" si="13"/>
        <v>-7.0000000000000007E-2</v>
      </c>
      <c r="N244" s="32">
        <f t="shared" si="14"/>
        <v>6.8000000000000005E-2</v>
      </c>
      <c r="O244" s="33">
        <f t="shared" si="15"/>
        <v>-3.3964285714285725E-2</v>
      </c>
      <c r="P244" s="53"/>
      <c r="Q244" s="30">
        <v>-1.2E-2</v>
      </c>
      <c r="R244" s="30">
        <v>-0.03</v>
      </c>
      <c r="S244" s="30">
        <v>-2.9000000000000001E-2</v>
      </c>
      <c r="T244" s="30">
        <v>-3.2000000000000001E-2</v>
      </c>
      <c r="U244" s="30">
        <v>-2.1999999999999999E-2</v>
      </c>
      <c r="V244" s="30">
        <v>-2.3E-2</v>
      </c>
      <c r="W244" s="30">
        <v>-2.4E-2</v>
      </c>
      <c r="X244" s="30">
        <v>-5.8000000000000003E-2</v>
      </c>
      <c r="Y244" s="30">
        <v>-5.3999999999999999E-2</v>
      </c>
      <c r="Z244" s="30">
        <v>-5.5E-2</v>
      </c>
      <c r="AA244" s="30">
        <v>-4.2999999999999997E-2</v>
      </c>
      <c r="AB244" s="30">
        <v>-5.1999999999999998E-2</v>
      </c>
      <c r="AC244" s="30">
        <v>-1.6E-2</v>
      </c>
      <c r="AD244" s="30">
        <v>-0.04</v>
      </c>
      <c r="AE244" s="30">
        <v>-5.3999999999999999E-2</v>
      </c>
      <c r="AF244" s="30"/>
      <c r="AG244" s="30"/>
      <c r="AH244" s="30">
        <v>-4.0000000000000001E-3</v>
      </c>
      <c r="AI244" s="30">
        <v>-1.7000000000000001E-2</v>
      </c>
      <c r="AJ244" s="30">
        <v>-5.6000000000000001E-2</v>
      </c>
      <c r="AK244" s="30">
        <v>-1.2999999999999999E-2</v>
      </c>
      <c r="AL244" s="30">
        <v>-1.7000000000000001E-2</v>
      </c>
      <c r="AM244" s="30">
        <v>-2E-3</v>
      </c>
      <c r="AN244" s="30">
        <v>-7.0000000000000007E-2</v>
      </c>
      <c r="AO244" s="30">
        <v>-5.1999999999999998E-2</v>
      </c>
      <c r="AP244" s="30">
        <v>-3.6999999999999998E-2</v>
      </c>
      <c r="AQ244" s="30">
        <v>-3.5000000000000003E-2</v>
      </c>
      <c r="AR244" s="30">
        <v>-3.2000000000000001E-2</v>
      </c>
      <c r="AS244" s="30">
        <v>-3.5000000000000003E-2</v>
      </c>
      <c r="AT244" s="30">
        <v>-3.6999999999999998E-2</v>
      </c>
      <c r="AU244" s="30">
        <v>-1.4E-2</v>
      </c>
      <c r="AV244" s="30">
        <v>-5.7000000000000002E-2</v>
      </c>
      <c r="AW244" s="30">
        <v>-5.8999999999999997E-2</v>
      </c>
    </row>
    <row r="245" spans="1:49" ht="18" customHeight="1"/>
    <row r="246" spans="1:49" ht="18" customHeight="1"/>
    <row r="247" spans="1:49" ht="18" customHeight="1"/>
    <row r="248" spans="1:49" ht="18" customHeight="1">
      <c r="O248" s="83"/>
      <c r="Q248" s="84">
        <f t="shared" ref="Q248:AW248" si="16">Q8</f>
        <v>80.054000000000002</v>
      </c>
      <c r="R248" s="84">
        <f t="shared" si="16"/>
        <v>80.06</v>
      </c>
      <c r="S248" s="84">
        <f t="shared" si="16"/>
        <v>80.055999999999997</v>
      </c>
      <c r="T248" s="84">
        <f t="shared" si="16"/>
        <v>80.063000000000002</v>
      </c>
      <c r="U248" s="84">
        <f t="shared" si="16"/>
        <v>80.052000000000007</v>
      </c>
      <c r="V248" s="84">
        <f t="shared" si="16"/>
        <v>80.055000000000007</v>
      </c>
      <c r="W248" s="84">
        <f t="shared" si="16"/>
        <v>80.055000000000007</v>
      </c>
      <c r="X248" s="84">
        <f t="shared" si="16"/>
        <v>80.066999999999993</v>
      </c>
      <c r="Y248" s="84">
        <f t="shared" si="16"/>
        <v>80.063999999999993</v>
      </c>
      <c r="Z248" s="84">
        <f t="shared" si="16"/>
        <v>80.067999999999998</v>
      </c>
      <c r="AA248" s="84">
        <f t="shared" si="16"/>
        <v>80.052000000000007</v>
      </c>
      <c r="AB248" s="84">
        <f t="shared" si="16"/>
        <v>80.067999999999998</v>
      </c>
      <c r="AC248" s="84">
        <f t="shared" si="16"/>
        <v>80.067999999999998</v>
      </c>
      <c r="AD248" s="84">
        <f t="shared" si="16"/>
        <v>80.061000000000007</v>
      </c>
      <c r="AE248" s="84">
        <f t="shared" si="16"/>
        <v>80.063000000000002</v>
      </c>
      <c r="AF248" s="84">
        <f t="shared" si="16"/>
        <v>0</v>
      </c>
      <c r="AG248" s="84">
        <f t="shared" si="16"/>
        <v>0</v>
      </c>
      <c r="AH248" s="84">
        <f t="shared" si="16"/>
        <v>80.034999999999997</v>
      </c>
      <c r="AI248" s="84">
        <f t="shared" si="16"/>
        <v>80.048000000000002</v>
      </c>
      <c r="AJ248" s="84">
        <f t="shared" si="16"/>
        <v>80.066999999999993</v>
      </c>
      <c r="AK248" s="84">
        <f t="shared" si="16"/>
        <v>80.067999999999998</v>
      </c>
      <c r="AL248" s="84">
        <f t="shared" si="16"/>
        <v>80.048000000000002</v>
      </c>
      <c r="AM248" s="84">
        <f t="shared" si="16"/>
        <v>80.039000000000001</v>
      </c>
      <c r="AN248" s="84">
        <f t="shared" si="16"/>
        <v>80.05</v>
      </c>
      <c r="AO248" s="84">
        <f t="shared" si="16"/>
        <v>80.054000000000002</v>
      </c>
      <c r="AP248" s="84">
        <f t="shared" si="16"/>
        <v>80.049000000000007</v>
      </c>
      <c r="AQ248" s="84">
        <f t="shared" si="16"/>
        <v>80.042000000000002</v>
      </c>
      <c r="AR248" s="84">
        <f t="shared" si="16"/>
        <v>80.043000000000006</v>
      </c>
      <c r="AS248" s="84">
        <f t="shared" si="16"/>
        <v>80.058999999999997</v>
      </c>
      <c r="AT248" s="84">
        <f t="shared" si="16"/>
        <v>80.02</v>
      </c>
      <c r="AU248" s="84">
        <f t="shared" si="16"/>
        <v>80.075999999999993</v>
      </c>
      <c r="AV248" s="84">
        <f t="shared" si="16"/>
        <v>80.067999999999998</v>
      </c>
      <c r="AW248" s="84">
        <f t="shared" si="16"/>
        <v>80.05</v>
      </c>
    </row>
    <row r="249" spans="1:49" ht="18" customHeight="1">
      <c r="O249" s="83"/>
      <c r="Q249" s="84">
        <f t="shared" ref="Q249:AW249" si="17">Q18</f>
        <v>1.5429999999999999</v>
      </c>
      <c r="R249" s="84">
        <f t="shared" si="17"/>
        <v>1.5429999999999999</v>
      </c>
      <c r="S249" s="84">
        <f t="shared" si="17"/>
        <v>1.546</v>
      </c>
      <c r="T249" s="84">
        <f t="shared" si="17"/>
        <v>1.5409999999999999</v>
      </c>
      <c r="U249" s="84">
        <f t="shared" si="17"/>
        <v>1.5429999999999999</v>
      </c>
      <c r="V249" s="84">
        <f t="shared" si="17"/>
        <v>1.53</v>
      </c>
      <c r="W249" s="84">
        <f t="shared" si="17"/>
        <v>1.5369999999999999</v>
      </c>
      <c r="X249" s="84">
        <f t="shared" si="17"/>
        <v>1.5409999999999999</v>
      </c>
      <c r="Y249" s="84">
        <f t="shared" si="17"/>
        <v>1.54</v>
      </c>
      <c r="Z249" s="84">
        <f t="shared" si="17"/>
        <v>1.54</v>
      </c>
      <c r="AA249" s="84">
        <f t="shared" si="17"/>
        <v>1.538</v>
      </c>
      <c r="AB249" s="84">
        <f t="shared" si="17"/>
        <v>1.542</v>
      </c>
      <c r="AC249" s="84">
        <f t="shared" si="17"/>
        <v>1.54</v>
      </c>
      <c r="AD249" s="84">
        <f t="shared" si="17"/>
        <v>1.538</v>
      </c>
      <c r="AE249" s="84">
        <f t="shared" si="17"/>
        <v>1.536</v>
      </c>
      <c r="AF249" s="84">
        <f t="shared" si="17"/>
        <v>0</v>
      </c>
      <c r="AG249" s="84">
        <f t="shared" si="17"/>
        <v>0</v>
      </c>
      <c r="AH249" s="84">
        <f t="shared" si="17"/>
        <v>1.542</v>
      </c>
      <c r="AI249" s="84">
        <f t="shared" si="17"/>
        <v>1.5469999999999999</v>
      </c>
      <c r="AJ249" s="84">
        <f t="shared" si="17"/>
        <v>1.544</v>
      </c>
      <c r="AK249" s="84">
        <f t="shared" si="17"/>
        <v>1.5429999999999999</v>
      </c>
      <c r="AL249" s="84">
        <f t="shared" si="17"/>
        <v>1.54</v>
      </c>
      <c r="AM249" s="84">
        <f t="shared" si="17"/>
        <v>1.5369999999999999</v>
      </c>
      <c r="AN249" s="84">
        <f t="shared" si="17"/>
        <v>1.536</v>
      </c>
      <c r="AO249" s="84">
        <f t="shared" si="17"/>
        <v>1.55</v>
      </c>
      <c r="AP249" s="84">
        <f t="shared" si="17"/>
        <v>1.5389999999999999</v>
      </c>
      <c r="AQ249" s="84">
        <f t="shared" si="17"/>
        <v>1.542</v>
      </c>
      <c r="AR249" s="84">
        <f t="shared" si="17"/>
        <v>1.538</v>
      </c>
      <c r="AS249" s="84">
        <f t="shared" si="17"/>
        <v>1.54</v>
      </c>
      <c r="AT249" s="84">
        <f t="shared" si="17"/>
        <v>1.5409999999999999</v>
      </c>
      <c r="AU249" s="84">
        <f t="shared" si="17"/>
        <v>1.54</v>
      </c>
      <c r="AV249" s="84">
        <f t="shared" si="17"/>
        <v>1.5429999999999999</v>
      </c>
      <c r="AW249" s="84">
        <f t="shared" si="17"/>
        <v>1.5369999999999999</v>
      </c>
    </row>
    <row r="250" spans="1:49" ht="18" customHeight="1">
      <c r="O250" s="83" t="s">
        <v>330</v>
      </c>
      <c r="Q250" s="84">
        <f t="shared" ref="Q250:AW250" si="18">Q28</f>
        <v>4.13</v>
      </c>
      <c r="R250" s="84">
        <f t="shared" si="18"/>
        <v>4.12</v>
      </c>
      <c r="S250" s="84">
        <f t="shared" si="18"/>
        <v>4.1230000000000002</v>
      </c>
      <c r="T250" s="84">
        <f t="shared" si="18"/>
        <v>4.1189999999999998</v>
      </c>
      <c r="U250" s="84">
        <f t="shared" si="18"/>
        <v>4.1260000000000003</v>
      </c>
      <c r="V250" s="84">
        <f t="shared" si="18"/>
        <v>4.1310000000000002</v>
      </c>
      <c r="W250" s="84">
        <f t="shared" si="18"/>
        <v>4.1239999999999997</v>
      </c>
      <c r="X250" s="84">
        <f t="shared" si="18"/>
        <v>4.1219999999999999</v>
      </c>
      <c r="Y250" s="84">
        <f t="shared" si="18"/>
        <v>4.12</v>
      </c>
      <c r="Z250" s="84">
        <f t="shared" si="18"/>
        <v>4.1180000000000003</v>
      </c>
      <c r="AA250" s="84">
        <f t="shared" si="18"/>
        <v>4.1210000000000004</v>
      </c>
      <c r="AB250" s="84">
        <f t="shared" si="18"/>
        <v>4.1230000000000002</v>
      </c>
      <c r="AC250" s="84">
        <f t="shared" si="18"/>
        <v>4.1219999999999999</v>
      </c>
      <c r="AD250" s="84">
        <f t="shared" si="18"/>
        <v>4.1230000000000002</v>
      </c>
      <c r="AE250" s="84">
        <f t="shared" si="18"/>
        <v>4.1210000000000004</v>
      </c>
      <c r="AF250" s="84">
        <f t="shared" si="18"/>
        <v>0</v>
      </c>
      <c r="AG250" s="84">
        <f t="shared" si="18"/>
        <v>0</v>
      </c>
      <c r="AH250" s="84">
        <f t="shared" si="18"/>
        <v>4.1210000000000004</v>
      </c>
      <c r="AI250" s="84">
        <f t="shared" si="18"/>
        <v>4.1189999999999998</v>
      </c>
      <c r="AJ250" s="84">
        <f t="shared" si="18"/>
        <v>4.1180000000000003</v>
      </c>
      <c r="AK250" s="84">
        <f t="shared" si="18"/>
        <v>4.1219999999999999</v>
      </c>
      <c r="AL250" s="84">
        <f t="shared" si="18"/>
        <v>4.12</v>
      </c>
      <c r="AM250" s="84">
        <f t="shared" si="18"/>
        <v>4.1139999999999999</v>
      </c>
      <c r="AN250" s="84">
        <f t="shared" si="18"/>
        <v>4.117</v>
      </c>
      <c r="AO250" s="84">
        <f t="shared" si="18"/>
        <v>4.1189999999999998</v>
      </c>
      <c r="AP250" s="84">
        <f t="shared" si="18"/>
        <v>4.1210000000000004</v>
      </c>
      <c r="AQ250" s="84">
        <f t="shared" si="18"/>
        <v>4.1120000000000001</v>
      </c>
      <c r="AR250" s="84">
        <f t="shared" si="18"/>
        <v>4.1120000000000001</v>
      </c>
      <c r="AS250" s="84">
        <f t="shared" si="18"/>
        <v>4.1180000000000003</v>
      </c>
      <c r="AT250" s="84">
        <f t="shared" si="18"/>
        <v>4.1159999999999997</v>
      </c>
      <c r="AU250" s="84">
        <f t="shared" si="18"/>
        <v>4.12</v>
      </c>
      <c r="AV250" s="84">
        <f t="shared" si="18"/>
        <v>4.117</v>
      </c>
      <c r="AW250" s="84">
        <f t="shared" si="18"/>
        <v>4.1150000000000002</v>
      </c>
    </row>
    <row r="251" spans="1:49" ht="18" customHeight="1">
      <c r="O251" s="83" t="s">
        <v>331</v>
      </c>
      <c r="Q251" s="84">
        <f t="shared" ref="Q251:AW251" si="19">Q40</f>
        <v>4.4999999999999998E-2</v>
      </c>
      <c r="R251" s="84">
        <f t="shared" si="19"/>
        <v>5.1999999999999998E-2</v>
      </c>
      <c r="S251" s="84">
        <f t="shared" si="19"/>
        <v>5.2999999999999999E-2</v>
      </c>
      <c r="T251" s="84">
        <f t="shared" si="19"/>
        <v>5.8000000000000003E-2</v>
      </c>
      <c r="U251" s="84">
        <f t="shared" si="19"/>
        <v>5.2999999999999999E-2</v>
      </c>
      <c r="V251" s="84">
        <f t="shared" si="19"/>
        <v>5.2999999999999999E-2</v>
      </c>
      <c r="W251" s="84">
        <f t="shared" si="19"/>
        <v>5.5E-2</v>
      </c>
      <c r="X251" s="84">
        <f t="shared" si="19"/>
        <v>4.4999999999999998E-2</v>
      </c>
      <c r="Y251" s="84">
        <f t="shared" si="19"/>
        <v>0.05</v>
      </c>
      <c r="Z251" s="84">
        <f t="shared" si="19"/>
        <v>5.2999999999999999E-2</v>
      </c>
      <c r="AA251" s="84">
        <f t="shared" si="19"/>
        <v>0.05</v>
      </c>
      <c r="AB251" s="84">
        <f t="shared" si="19"/>
        <v>5.2999999999999999E-2</v>
      </c>
      <c r="AC251" s="84">
        <f t="shared" si="19"/>
        <v>5.0999999999999997E-2</v>
      </c>
      <c r="AD251" s="84">
        <f t="shared" si="19"/>
        <v>0.05</v>
      </c>
      <c r="AE251" s="84">
        <f t="shared" si="19"/>
        <v>4.8000000000000001E-2</v>
      </c>
      <c r="AF251" s="84">
        <f t="shared" si="19"/>
        <v>0</v>
      </c>
      <c r="AG251" s="84">
        <f t="shared" si="19"/>
        <v>0</v>
      </c>
      <c r="AH251" s="84">
        <f t="shared" si="19"/>
        <v>4.4999999999999998E-2</v>
      </c>
      <c r="AI251" s="84">
        <f t="shared" si="19"/>
        <v>5.8999999999999997E-2</v>
      </c>
      <c r="AJ251" s="84">
        <f t="shared" si="19"/>
        <v>4.9000000000000002E-2</v>
      </c>
      <c r="AK251" s="84">
        <f t="shared" si="19"/>
        <v>5.5E-2</v>
      </c>
      <c r="AL251" s="84">
        <f t="shared" si="19"/>
        <v>4.2999999999999997E-2</v>
      </c>
      <c r="AM251" s="84">
        <f t="shared" si="19"/>
        <v>4.2999999999999997E-2</v>
      </c>
      <c r="AN251" s="84">
        <f t="shared" si="19"/>
        <v>5.0999999999999997E-2</v>
      </c>
      <c r="AO251" s="84">
        <f t="shared" si="19"/>
        <v>4.9000000000000002E-2</v>
      </c>
      <c r="AP251" s="84">
        <f t="shared" si="19"/>
        <v>4.8000000000000001E-2</v>
      </c>
      <c r="AQ251" s="84">
        <f t="shared" si="19"/>
        <v>4.3999999999999997E-2</v>
      </c>
      <c r="AR251" s="84">
        <f t="shared" si="19"/>
        <v>4.5999999999999999E-2</v>
      </c>
      <c r="AS251" s="84">
        <f t="shared" si="19"/>
        <v>4.3999999999999997E-2</v>
      </c>
      <c r="AT251" s="84">
        <f t="shared" si="19"/>
        <v>4.9000000000000002E-2</v>
      </c>
      <c r="AU251" s="84">
        <f t="shared" si="19"/>
        <v>5.3999999999999999E-2</v>
      </c>
      <c r="AV251" s="84">
        <f t="shared" si="19"/>
        <v>5.1999999999999998E-2</v>
      </c>
      <c r="AW251" s="84">
        <f t="shared" si="19"/>
        <v>4.9000000000000002E-2</v>
      </c>
    </row>
    <row r="252" spans="1:49" ht="18" customHeight="1">
      <c r="O252" s="83" t="s">
        <v>332</v>
      </c>
      <c r="Q252" s="84">
        <f t="shared" ref="Q252:AW252" si="20">Q102</f>
        <v>14.118297999999999</v>
      </c>
      <c r="R252" s="84">
        <f t="shared" si="20"/>
        <v>14.134668</v>
      </c>
      <c r="S252" s="84">
        <f t="shared" si="20"/>
        <v>14.129664999999999</v>
      </c>
      <c r="T252" s="84">
        <f t="shared" si="20"/>
        <v>14.12776</v>
      </c>
      <c r="U252" s="84">
        <f t="shared" si="20"/>
        <v>14.126528</v>
      </c>
      <c r="V252" s="84">
        <f t="shared" si="20"/>
        <v>14.131405000000001</v>
      </c>
      <c r="W252" s="84">
        <f t="shared" si="20"/>
        <v>14.124834999999999</v>
      </c>
      <c r="X252" s="84">
        <f t="shared" si="20"/>
        <v>14.13646</v>
      </c>
      <c r="Y252" s="84">
        <f t="shared" si="20"/>
        <v>14.129424</v>
      </c>
      <c r="Z252" s="84">
        <f t="shared" si="20"/>
        <v>14.130165999999999</v>
      </c>
      <c r="AA252" s="84">
        <f t="shared" si="20"/>
        <v>14.135130999999999</v>
      </c>
      <c r="AB252" s="84">
        <f t="shared" si="20"/>
        <v>14.122045</v>
      </c>
      <c r="AC252" s="84">
        <f t="shared" si="20"/>
        <v>14.134515</v>
      </c>
      <c r="AD252" s="84">
        <f t="shared" si="20"/>
        <v>14.129034000000001</v>
      </c>
      <c r="AE252" s="84">
        <f t="shared" si="20"/>
        <v>14.135598999999999</v>
      </c>
      <c r="AF252" s="84">
        <f t="shared" si="20"/>
        <v>0</v>
      </c>
      <c r="AG252" s="84">
        <f t="shared" si="20"/>
        <v>0</v>
      </c>
      <c r="AH252" s="84">
        <f t="shared" si="20"/>
        <v>14.121454999999999</v>
      </c>
      <c r="AI252" s="84">
        <f t="shared" si="20"/>
        <v>14.131235</v>
      </c>
      <c r="AJ252" s="84">
        <f t="shared" si="20"/>
        <v>14.129899999999999</v>
      </c>
      <c r="AK252" s="84">
        <f t="shared" si="20"/>
        <v>14.136208</v>
      </c>
      <c r="AL252" s="84">
        <f t="shared" si="20"/>
        <v>14.124326999999999</v>
      </c>
      <c r="AM252" s="84">
        <f t="shared" si="20"/>
        <v>14.127421</v>
      </c>
      <c r="AN252" s="84">
        <f t="shared" si="20"/>
        <v>14.133972999999999</v>
      </c>
      <c r="AO252" s="84">
        <f t="shared" si="20"/>
        <v>14.125985</v>
      </c>
      <c r="AP252" s="84">
        <f t="shared" si="20"/>
        <v>14.13191</v>
      </c>
      <c r="AQ252" s="84">
        <f t="shared" si="20"/>
        <v>14.122215000000001</v>
      </c>
      <c r="AR252" s="84">
        <f t="shared" si="20"/>
        <v>14.128031999999999</v>
      </c>
      <c r="AS252" s="84">
        <f t="shared" si="20"/>
        <v>14.137465000000001</v>
      </c>
      <c r="AT252" s="84">
        <f t="shared" si="20"/>
        <v>14.122268999999999</v>
      </c>
      <c r="AU252" s="84">
        <f t="shared" si="20"/>
        <v>14.127262999999999</v>
      </c>
      <c r="AV252" s="84">
        <f t="shared" si="20"/>
        <v>14.128374000000001</v>
      </c>
      <c r="AW252" s="84">
        <f t="shared" si="20"/>
        <v>14.126804999999999</v>
      </c>
    </row>
    <row r="253" spans="1:49" ht="18" customHeight="1">
      <c r="O253" s="83"/>
      <c r="Q253" s="84">
        <f t="shared" ref="Q253:AW253" si="21">Q128</f>
        <v>80.039000000000001</v>
      </c>
      <c r="R253" s="84">
        <f t="shared" si="21"/>
        <v>80.043000000000006</v>
      </c>
      <c r="S253" s="84">
        <f t="shared" si="21"/>
        <v>80.033000000000001</v>
      </c>
      <c r="T253" s="84">
        <f t="shared" si="21"/>
        <v>80.040999999999997</v>
      </c>
      <c r="U253" s="84">
        <f t="shared" si="21"/>
        <v>80.040999999999997</v>
      </c>
      <c r="V253" s="84">
        <f t="shared" si="21"/>
        <v>80.040000000000006</v>
      </c>
      <c r="W253" s="84">
        <f t="shared" si="21"/>
        <v>80.052000000000007</v>
      </c>
      <c r="X253" s="84">
        <f t="shared" si="21"/>
        <v>80.061000000000007</v>
      </c>
      <c r="Y253" s="84">
        <f t="shared" si="21"/>
        <v>80.055000000000007</v>
      </c>
      <c r="Z253" s="84">
        <f t="shared" si="21"/>
        <v>80.072000000000003</v>
      </c>
      <c r="AA253" s="84">
        <f t="shared" si="21"/>
        <v>80.061999999999998</v>
      </c>
      <c r="AB253" s="84">
        <f t="shared" si="21"/>
        <v>80.061999999999998</v>
      </c>
      <c r="AC253" s="84">
        <f t="shared" si="21"/>
        <v>80.075000000000003</v>
      </c>
      <c r="AD253" s="84">
        <f t="shared" si="21"/>
        <v>80.061000000000007</v>
      </c>
      <c r="AE253" s="84">
        <f t="shared" si="21"/>
        <v>80.078000000000003</v>
      </c>
      <c r="AF253" s="84">
        <f t="shared" si="21"/>
        <v>0</v>
      </c>
      <c r="AG253" s="84">
        <f t="shared" si="21"/>
        <v>0</v>
      </c>
      <c r="AH253" s="84">
        <f t="shared" si="21"/>
        <v>80.051000000000002</v>
      </c>
      <c r="AI253" s="84">
        <f t="shared" si="21"/>
        <v>80.052000000000007</v>
      </c>
      <c r="AJ253" s="84">
        <f t="shared" si="21"/>
        <v>80.052999999999997</v>
      </c>
      <c r="AK253" s="84">
        <f t="shared" si="21"/>
        <v>80.039000000000001</v>
      </c>
      <c r="AL253" s="84">
        <f t="shared" si="21"/>
        <v>80.052000000000007</v>
      </c>
      <c r="AM253" s="84">
        <f t="shared" si="21"/>
        <v>80.045000000000002</v>
      </c>
      <c r="AN253" s="84">
        <f t="shared" si="21"/>
        <v>80.033000000000001</v>
      </c>
      <c r="AO253" s="84">
        <f t="shared" si="21"/>
        <v>80.028999999999996</v>
      </c>
      <c r="AP253" s="84">
        <f t="shared" si="21"/>
        <v>80.039000000000001</v>
      </c>
      <c r="AQ253" s="84">
        <f t="shared" si="21"/>
        <v>80.042000000000002</v>
      </c>
      <c r="AR253" s="84">
        <f t="shared" si="21"/>
        <v>80.058999999999997</v>
      </c>
      <c r="AS253" s="84">
        <f t="shared" si="21"/>
        <v>80.052000000000007</v>
      </c>
      <c r="AT253" s="84">
        <f t="shared" si="21"/>
        <v>80.034000000000006</v>
      </c>
      <c r="AU253" s="84">
        <f t="shared" si="21"/>
        <v>80.066999999999993</v>
      </c>
      <c r="AV253" s="84">
        <f t="shared" si="21"/>
        <v>80.063000000000002</v>
      </c>
      <c r="AW253" s="84">
        <f t="shared" si="21"/>
        <v>80.076999999999998</v>
      </c>
    </row>
    <row r="254" spans="1:49" ht="18" customHeight="1">
      <c r="O254" s="83"/>
      <c r="Q254" s="84">
        <f t="shared" ref="Q254:AW254" si="22">Q138</f>
        <v>1.5609999999999999</v>
      </c>
      <c r="R254" s="84">
        <f t="shared" si="22"/>
        <v>1.5589999999999999</v>
      </c>
      <c r="S254" s="84">
        <f t="shared" si="22"/>
        <v>1.5569999999999999</v>
      </c>
      <c r="T254" s="84">
        <f t="shared" si="22"/>
        <v>1.5589999999999999</v>
      </c>
      <c r="U254" s="84">
        <f t="shared" si="22"/>
        <v>1.5620000000000001</v>
      </c>
      <c r="V254" s="84">
        <f t="shared" si="22"/>
        <v>1.5609999999999999</v>
      </c>
      <c r="W254" s="84">
        <f t="shared" si="22"/>
        <v>1.5580000000000001</v>
      </c>
      <c r="X254" s="84">
        <f t="shared" si="22"/>
        <v>1.5589999999999999</v>
      </c>
      <c r="Y254" s="84">
        <f t="shared" si="22"/>
        <v>1.5629999999999999</v>
      </c>
      <c r="Z254" s="84">
        <f t="shared" si="22"/>
        <v>1.5569999999999999</v>
      </c>
      <c r="AA254" s="84">
        <f t="shared" si="22"/>
        <v>1.5549999999999999</v>
      </c>
      <c r="AB254" s="84">
        <f t="shared" si="22"/>
        <v>1.5660000000000001</v>
      </c>
      <c r="AC254" s="84">
        <f t="shared" si="22"/>
        <v>1.5720000000000001</v>
      </c>
      <c r="AD254" s="84">
        <f t="shared" si="22"/>
        <v>1.5660000000000001</v>
      </c>
      <c r="AE254" s="84">
        <f t="shared" si="22"/>
        <v>1.5649999999999999</v>
      </c>
      <c r="AF254" s="84">
        <f t="shared" si="22"/>
        <v>0</v>
      </c>
      <c r="AG254" s="84">
        <f t="shared" si="22"/>
        <v>0</v>
      </c>
      <c r="AH254" s="84">
        <f t="shared" si="22"/>
        <v>1.5629999999999999</v>
      </c>
      <c r="AI254" s="84">
        <f t="shared" si="22"/>
        <v>1.552</v>
      </c>
      <c r="AJ254" s="84">
        <f t="shared" si="22"/>
        <v>1.5609999999999999</v>
      </c>
      <c r="AK254" s="84">
        <f t="shared" si="22"/>
        <v>1.56</v>
      </c>
      <c r="AL254" s="84">
        <f t="shared" si="22"/>
        <v>1.556</v>
      </c>
      <c r="AM254" s="84">
        <f t="shared" si="22"/>
        <v>1.5609999999999999</v>
      </c>
      <c r="AN254" s="84">
        <f t="shared" si="22"/>
        <v>1.556</v>
      </c>
      <c r="AO254" s="84">
        <f t="shared" si="22"/>
        <v>1.5609999999999999</v>
      </c>
      <c r="AP254" s="84">
        <f t="shared" si="22"/>
        <v>1.5589999999999999</v>
      </c>
      <c r="AQ254" s="84">
        <f t="shared" si="22"/>
        <v>1.5649999999999999</v>
      </c>
      <c r="AR254" s="84">
        <f t="shared" si="22"/>
        <v>1.5680000000000001</v>
      </c>
      <c r="AS254" s="84">
        <f t="shared" si="22"/>
        <v>1.56</v>
      </c>
      <c r="AT254" s="84">
        <f t="shared" si="22"/>
        <v>1.5549999999999999</v>
      </c>
      <c r="AU254" s="84">
        <f t="shared" si="22"/>
        <v>1.56</v>
      </c>
      <c r="AV254" s="84">
        <f t="shared" si="22"/>
        <v>1.5629999999999999</v>
      </c>
      <c r="AW254" s="84">
        <f t="shared" si="22"/>
        <v>1.57</v>
      </c>
    </row>
    <row r="255" spans="1:49" ht="18" customHeight="1">
      <c r="O255" s="83"/>
      <c r="Q255" s="84">
        <f t="shared" ref="Q255:AW255" si="23">Q148</f>
        <v>4.1020000000000003</v>
      </c>
      <c r="R255" s="84">
        <f t="shared" si="23"/>
        <v>4.1059999999999999</v>
      </c>
      <c r="S255" s="84">
        <f t="shared" si="23"/>
        <v>4.1050000000000004</v>
      </c>
      <c r="T255" s="84">
        <f t="shared" si="23"/>
        <v>4.1050000000000004</v>
      </c>
      <c r="U255" s="84">
        <f t="shared" si="23"/>
        <v>4.1040000000000001</v>
      </c>
      <c r="V255" s="84">
        <f t="shared" si="23"/>
        <v>4.1070000000000002</v>
      </c>
      <c r="W255" s="84">
        <f t="shared" si="23"/>
        <v>4.1020000000000003</v>
      </c>
      <c r="X255" s="84">
        <f t="shared" si="23"/>
        <v>4.1059999999999999</v>
      </c>
      <c r="Y255" s="84">
        <f t="shared" si="23"/>
        <v>4.1059999999999999</v>
      </c>
      <c r="Z255" s="84">
        <f t="shared" si="23"/>
        <v>4.1059999999999999</v>
      </c>
      <c r="AA255" s="84">
        <f t="shared" si="23"/>
        <v>4.1040000000000001</v>
      </c>
      <c r="AB255" s="84">
        <f t="shared" si="23"/>
        <v>4.109</v>
      </c>
      <c r="AC255" s="84">
        <f t="shared" si="23"/>
        <v>4.1079999999999997</v>
      </c>
      <c r="AD255" s="84">
        <f t="shared" si="23"/>
        <v>4.1059999999999999</v>
      </c>
      <c r="AE255" s="84">
        <f t="shared" si="23"/>
        <v>4.1079999999999997</v>
      </c>
      <c r="AF255" s="84">
        <f t="shared" si="23"/>
        <v>0</v>
      </c>
      <c r="AG255" s="84">
        <f t="shared" si="23"/>
        <v>0</v>
      </c>
      <c r="AH255" s="84">
        <f t="shared" si="23"/>
        <v>4.1050000000000004</v>
      </c>
      <c r="AI255" s="84">
        <f t="shared" si="23"/>
        <v>4.109</v>
      </c>
      <c r="AJ255" s="84">
        <f t="shared" si="23"/>
        <v>4.1059999999999999</v>
      </c>
      <c r="AK255" s="84">
        <f t="shared" si="23"/>
        <v>4.1079999999999997</v>
      </c>
      <c r="AL255" s="84">
        <f t="shared" si="23"/>
        <v>4.1070000000000002</v>
      </c>
      <c r="AM255" s="84">
        <f t="shared" si="23"/>
        <v>4.1029999999999998</v>
      </c>
      <c r="AN255" s="84">
        <f t="shared" si="23"/>
        <v>4.1050000000000004</v>
      </c>
      <c r="AO255" s="84">
        <f t="shared" si="23"/>
        <v>4.1040000000000001</v>
      </c>
      <c r="AP255" s="84">
        <f t="shared" si="23"/>
        <v>4.1029999999999998</v>
      </c>
      <c r="AQ255" s="84">
        <f t="shared" si="23"/>
        <v>4.101</v>
      </c>
      <c r="AR255" s="84">
        <f t="shared" si="23"/>
        <v>4.1020000000000003</v>
      </c>
      <c r="AS255" s="84">
        <f t="shared" si="23"/>
        <v>4.0999999999999996</v>
      </c>
      <c r="AT255" s="84">
        <f t="shared" si="23"/>
        <v>4.1029999999999998</v>
      </c>
      <c r="AU255" s="84">
        <f t="shared" si="23"/>
        <v>4.1070000000000002</v>
      </c>
      <c r="AV255" s="84">
        <f t="shared" si="23"/>
        <v>4.1029999999999998</v>
      </c>
      <c r="AW255" s="84">
        <f t="shared" si="23"/>
        <v>4.1020000000000003</v>
      </c>
    </row>
    <row r="256" spans="1:49" ht="18" customHeight="1">
      <c r="O256" s="83"/>
      <c r="Q256" s="84">
        <f t="shared" ref="Q256:AW256" si="24">Q160</f>
        <v>5.1999999999999998E-2</v>
      </c>
      <c r="R256" s="84">
        <f t="shared" si="24"/>
        <v>0.05</v>
      </c>
      <c r="S256" s="84">
        <f t="shared" si="24"/>
        <v>4.9000000000000002E-2</v>
      </c>
      <c r="T256" s="84">
        <f t="shared" si="24"/>
        <v>4.2999999999999997E-2</v>
      </c>
      <c r="U256" s="84">
        <f t="shared" si="24"/>
        <v>4.9000000000000002E-2</v>
      </c>
      <c r="V256" s="84">
        <f t="shared" si="24"/>
        <v>4.5999999999999999E-2</v>
      </c>
      <c r="W256" s="84">
        <f t="shared" si="24"/>
        <v>3.7999999999999999E-2</v>
      </c>
      <c r="X256" s="84">
        <f t="shared" si="24"/>
        <v>0.05</v>
      </c>
      <c r="Y256" s="84">
        <f t="shared" si="24"/>
        <v>4.9000000000000002E-2</v>
      </c>
      <c r="Z256" s="84">
        <f t="shared" si="24"/>
        <v>5.5E-2</v>
      </c>
      <c r="AA256" s="84">
        <f t="shared" si="24"/>
        <v>5.1999999999999998E-2</v>
      </c>
      <c r="AB256" s="84">
        <f t="shared" si="24"/>
        <v>0.06</v>
      </c>
      <c r="AC256" s="84">
        <f t="shared" si="24"/>
        <v>5.8000000000000003E-2</v>
      </c>
      <c r="AD256" s="84">
        <f t="shared" si="24"/>
        <v>4.8000000000000001E-2</v>
      </c>
      <c r="AE256" s="84">
        <f t="shared" si="24"/>
        <v>5.5E-2</v>
      </c>
      <c r="AF256" s="84">
        <f t="shared" si="24"/>
        <v>0</v>
      </c>
      <c r="AG256" s="84">
        <f t="shared" si="24"/>
        <v>0</v>
      </c>
      <c r="AH256" s="84">
        <f t="shared" si="24"/>
        <v>4.1000000000000002E-2</v>
      </c>
      <c r="AI256" s="84">
        <f t="shared" si="24"/>
        <v>4.8000000000000001E-2</v>
      </c>
      <c r="AJ256" s="84">
        <f t="shared" si="24"/>
        <v>4.4999999999999998E-2</v>
      </c>
      <c r="AK256" s="84">
        <f t="shared" si="24"/>
        <v>5.3999999999999999E-2</v>
      </c>
      <c r="AL256" s="84">
        <f t="shared" si="24"/>
        <v>4.2000000000000003E-2</v>
      </c>
      <c r="AM256" s="84">
        <f t="shared" si="24"/>
        <v>5.2999999999999999E-2</v>
      </c>
      <c r="AN256" s="84">
        <f t="shared" si="24"/>
        <v>4.9000000000000002E-2</v>
      </c>
      <c r="AO256" s="84">
        <f t="shared" si="24"/>
        <v>5.5E-2</v>
      </c>
      <c r="AP256" s="84">
        <f t="shared" si="24"/>
        <v>5.3999999999999999E-2</v>
      </c>
      <c r="AQ256" s="84">
        <f t="shared" si="24"/>
        <v>5.2999999999999999E-2</v>
      </c>
      <c r="AR256" s="84">
        <f t="shared" si="24"/>
        <v>5.1999999999999998E-2</v>
      </c>
      <c r="AS256" s="84">
        <f t="shared" si="24"/>
        <v>4.8000000000000001E-2</v>
      </c>
      <c r="AT256" s="84">
        <f t="shared" si="24"/>
        <v>4.3999999999999997E-2</v>
      </c>
      <c r="AU256" s="84">
        <f t="shared" si="24"/>
        <v>5.3999999999999999E-2</v>
      </c>
      <c r="AV256" s="84">
        <f t="shared" si="24"/>
        <v>0.05</v>
      </c>
      <c r="AW256" s="84">
        <f t="shared" si="24"/>
        <v>6.3E-2</v>
      </c>
    </row>
    <row r="257" spans="15:49" ht="18" customHeight="1">
      <c r="O257" s="83"/>
      <c r="Q257" s="84">
        <f t="shared" ref="Q257:AW257" si="25">Q222</f>
        <v>14.098905999999999</v>
      </c>
      <c r="R257" s="84">
        <f t="shared" si="25"/>
        <v>14.113490000000001</v>
      </c>
      <c r="S257" s="84">
        <f t="shared" si="25"/>
        <v>14.108624000000001</v>
      </c>
      <c r="T257" s="84">
        <f t="shared" si="25"/>
        <v>14.115161000000001</v>
      </c>
      <c r="U257" s="84">
        <f t="shared" si="25"/>
        <v>14.105931999999999</v>
      </c>
      <c r="V257" s="84">
        <f t="shared" si="25"/>
        <v>14.107149</v>
      </c>
      <c r="W257" s="84">
        <f t="shared" si="25"/>
        <v>14.101763999999999</v>
      </c>
      <c r="X257" s="84">
        <f t="shared" si="25"/>
        <v>14.12785</v>
      </c>
      <c r="Y257" s="84">
        <f t="shared" si="25"/>
        <v>14.109335</v>
      </c>
      <c r="Z257" s="84">
        <f t="shared" si="25"/>
        <v>14.138826999999999</v>
      </c>
      <c r="AA257" s="84">
        <f t="shared" si="25"/>
        <v>14.106541</v>
      </c>
      <c r="AB257" s="84">
        <f t="shared" si="25"/>
        <v>14.116009</v>
      </c>
      <c r="AC257" s="84">
        <f t="shared" si="25"/>
        <v>14.116567999999999</v>
      </c>
      <c r="AD257" s="84">
        <f t="shared" si="25"/>
        <v>14.110609999999999</v>
      </c>
      <c r="AE257" s="84">
        <f t="shared" si="25"/>
        <v>14.111036</v>
      </c>
      <c r="AF257" s="84">
        <f t="shared" si="25"/>
        <v>0</v>
      </c>
      <c r="AG257" s="84">
        <f t="shared" si="25"/>
        <v>0</v>
      </c>
      <c r="AH257" s="84">
        <f t="shared" si="25"/>
        <v>14.102682</v>
      </c>
      <c r="AI257" s="84">
        <f t="shared" si="25"/>
        <v>14.110035</v>
      </c>
      <c r="AJ257" s="84">
        <f t="shared" si="25"/>
        <v>14.107082</v>
      </c>
      <c r="AK257" s="84">
        <f t="shared" si="25"/>
        <v>14.113403999999999</v>
      </c>
      <c r="AL257" s="84">
        <f t="shared" si="25"/>
        <v>14.112055</v>
      </c>
      <c r="AM257" s="84">
        <f t="shared" si="25"/>
        <v>14.103885999999999</v>
      </c>
      <c r="AN257" s="84">
        <f t="shared" si="25"/>
        <v>14.119433000000001</v>
      </c>
      <c r="AO257" s="84">
        <f t="shared" si="25"/>
        <v>14.106876</v>
      </c>
      <c r="AP257" s="84">
        <f t="shared" si="25"/>
        <v>14.116766</v>
      </c>
      <c r="AQ257" s="84">
        <f t="shared" si="25"/>
        <v>14.101926000000001</v>
      </c>
      <c r="AR257" s="84">
        <f t="shared" si="25"/>
        <v>14.110903</v>
      </c>
      <c r="AS257" s="84">
        <f t="shared" si="25"/>
        <v>14.123619</v>
      </c>
      <c r="AT257" s="84">
        <f t="shared" si="25"/>
        <v>14.100572</v>
      </c>
      <c r="AU257" s="84">
        <f t="shared" si="25"/>
        <v>14.107131000000001</v>
      </c>
      <c r="AV257" s="84">
        <f t="shared" si="25"/>
        <v>14.112384</v>
      </c>
      <c r="AW257" s="84">
        <f t="shared" si="25"/>
        <v>14.122712</v>
      </c>
    </row>
    <row r="258" spans="15:49" ht="18" customHeight="1"/>
    <row r="259" spans="15:49" ht="18" customHeight="1"/>
    <row r="260" spans="15:49" ht="18" customHeight="1"/>
    <row r="261" spans="15:49" ht="18" customHeight="1"/>
    <row r="262" spans="15:49" ht="18" customHeight="1"/>
    <row r="263" spans="15:49" ht="18" customHeight="1"/>
    <row r="264" spans="15:49" ht="18" customHeight="1"/>
    <row r="265" spans="15:49" ht="18" customHeight="1"/>
    <row r="266" spans="15:49" ht="18" customHeight="1"/>
  </sheetData>
  <autoFilter ref="C1:C266" xr:uid="{00000000-0009-0000-0000-000000000000}"/>
  <mergeCells count="16">
    <mergeCell ref="AU2:AW2"/>
    <mergeCell ref="AO2:AQ2"/>
    <mergeCell ref="AR2:AT2"/>
    <mergeCell ref="A1:O2"/>
    <mergeCell ref="Q2:S2"/>
    <mergeCell ref="T2:V2"/>
    <mergeCell ref="A125:A244"/>
    <mergeCell ref="B125:B244"/>
    <mergeCell ref="AF2:AH2"/>
    <mergeCell ref="AI2:AK2"/>
    <mergeCell ref="AL2:AN2"/>
    <mergeCell ref="W2:Y2"/>
    <mergeCell ref="AC2:AE2"/>
    <mergeCell ref="Z2:AB2"/>
    <mergeCell ref="A5:A124"/>
    <mergeCell ref="B5:B124"/>
  </mergeCells>
  <phoneticPr fontId="1" type="noConversion"/>
  <conditionalFormatting sqref="Q5:AW244">
    <cfRule type="containsBlanks" priority="1">
      <formula>LEN(TRIM(Q5))=0</formula>
    </cfRule>
    <cfRule type="cellIs" dxfId="14" priority="2" operator="notBetween">
      <formula>$G5+$J5</formula>
      <formula>$G5-$K5</formula>
    </cfRule>
    <cfRule type="cellIs" dxfId="13" priority="3" operator="notBetween">
      <formula>$G5+$H5</formula>
      <formula>$G5-$I5</formula>
    </cfRule>
    <cfRule type="expression" priority="4">
      <formula>Q5-P5=Q5</formula>
    </cfRule>
    <cfRule type="expression" dxfId="12" priority="5">
      <formula>ABS(Q5-P5)&gt;=($H5+$I5)*0.2999999</formula>
    </cfRule>
  </conditionalFormatting>
  <conditionalFormatting sqref="N5:N244">
    <cfRule type="cellIs" dxfId="11" priority="6" operator="greaterThan">
      <formula>0.05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50"/>
  </sheetPr>
  <dimension ref="A1:AW266"/>
  <sheetViews>
    <sheetView showGridLines="0" zoomScale="70" zoomScaleNormal="70" workbookViewId="0">
      <pane xSplit="15" ySplit="4" topLeftCell="AM44" activePane="bottomRight" state="frozenSplit"/>
      <selection activeCell="AP112" sqref="AP112"/>
      <selection pane="topRight"/>
      <selection pane="bottomLeft"/>
      <selection pane="bottomRight" activeCell="AP112" sqref="AP112"/>
    </sheetView>
  </sheetViews>
  <sheetFormatPr defaultColWidth="9" defaultRowHeight="14.4"/>
  <cols>
    <col min="1" max="1" width="9.6640625" hidden="1" customWidth="1"/>
    <col min="2" max="15" width="9.6640625" customWidth="1"/>
    <col min="16" max="16" width="0.44140625" customWidth="1"/>
    <col min="17" max="49" width="9.6640625" customWidth="1"/>
    <col min="50" max="50" width="9" customWidth="1"/>
  </cols>
  <sheetData>
    <row r="1" spans="1:49" ht="18" customHeight="1" thickBot="1">
      <c r="A1" s="10" t="s">
        <v>333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8"/>
      <c r="P1" s="64"/>
    </row>
    <row r="2" spans="1:49" ht="50.1" customHeight="1" thickBot="1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5"/>
      <c r="P2" s="48"/>
      <c r="Q2" s="4" t="s">
        <v>334</v>
      </c>
      <c r="R2" s="15"/>
      <c r="S2" s="14"/>
      <c r="T2" s="4" t="s">
        <v>2</v>
      </c>
      <c r="U2" s="15"/>
      <c r="V2" s="14"/>
      <c r="W2" s="4" t="s">
        <v>3</v>
      </c>
      <c r="X2" s="15"/>
      <c r="Y2" s="14"/>
      <c r="Z2" s="4" t="s">
        <v>4</v>
      </c>
      <c r="AA2" s="15"/>
      <c r="AB2" s="14"/>
      <c r="AC2" s="4" t="s">
        <v>5</v>
      </c>
      <c r="AD2" s="15"/>
      <c r="AE2" s="14"/>
      <c r="AF2" s="4" t="s">
        <v>6</v>
      </c>
      <c r="AG2" s="15"/>
      <c r="AH2" s="14"/>
      <c r="AI2" s="4" t="s">
        <v>7</v>
      </c>
      <c r="AJ2" s="15"/>
      <c r="AK2" s="14"/>
      <c r="AL2" s="4" t="s">
        <v>8</v>
      </c>
      <c r="AM2" s="15"/>
      <c r="AN2" s="14"/>
      <c r="AO2" s="4" t="s">
        <v>9</v>
      </c>
      <c r="AP2" s="15"/>
      <c r="AQ2" s="14"/>
      <c r="AR2" s="4" t="s">
        <v>10</v>
      </c>
      <c r="AS2" s="15"/>
      <c r="AT2" s="14"/>
      <c r="AU2" s="4" t="s">
        <v>11</v>
      </c>
      <c r="AV2" s="15"/>
      <c r="AW2" s="14"/>
    </row>
    <row r="3" spans="1:49" ht="20.100000000000001" customHeight="1">
      <c r="A3" s="39"/>
      <c r="B3" s="39"/>
      <c r="C3" s="65"/>
      <c r="D3" s="40" t="s">
        <v>335</v>
      </c>
      <c r="E3" s="40"/>
      <c r="F3" s="41"/>
      <c r="G3" s="42"/>
      <c r="H3" s="66"/>
      <c r="I3" s="40" t="s">
        <v>336</v>
      </c>
      <c r="J3" s="42"/>
      <c r="K3" s="42"/>
      <c r="M3" s="63" t="s">
        <v>337</v>
      </c>
      <c r="N3" s="40"/>
      <c r="O3" s="43"/>
      <c r="P3" s="49"/>
      <c r="Q3" s="67" t="s">
        <v>338</v>
      </c>
      <c r="R3" s="68" t="s">
        <v>339</v>
      </c>
      <c r="S3" s="69" t="s">
        <v>340</v>
      </c>
      <c r="T3" s="67" t="s">
        <v>341</v>
      </c>
      <c r="U3" s="68" t="s">
        <v>342</v>
      </c>
      <c r="V3" s="69" t="s">
        <v>343</v>
      </c>
      <c r="W3" s="67" t="s">
        <v>344</v>
      </c>
      <c r="X3" s="68" t="s">
        <v>345</v>
      </c>
      <c r="Y3" s="69" t="s">
        <v>346</v>
      </c>
      <c r="Z3" s="67" t="s">
        <v>347</v>
      </c>
      <c r="AA3" s="68" t="s">
        <v>348</v>
      </c>
      <c r="AB3" s="69" t="s">
        <v>349</v>
      </c>
      <c r="AC3" s="67" t="s">
        <v>350</v>
      </c>
      <c r="AD3" s="68" t="s">
        <v>351</v>
      </c>
      <c r="AE3" s="69" t="s">
        <v>352</v>
      </c>
      <c r="AF3" s="67" t="s">
        <v>353</v>
      </c>
      <c r="AG3" s="68" t="s">
        <v>354</v>
      </c>
      <c r="AH3" s="69" t="s">
        <v>355</v>
      </c>
      <c r="AI3" s="67" t="s">
        <v>356</v>
      </c>
      <c r="AJ3" s="68" t="s">
        <v>357</v>
      </c>
      <c r="AK3" s="69" t="s">
        <v>358</v>
      </c>
      <c r="AL3" s="67" t="s">
        <v>359</v>
      </c>
      <c r="AM3" s="68" t="s">
        <v>360</v>
      </c>
      <c r="AN3" s="69" t="s">
        <v>361</v>
      </c>
      <c r="AO3" s="67" t="s">
        <v>362</v>
      </c>
      <c r="AP3" s="68" t="s">
        <v>363</v>
      </c>
      <c r="AQ3" s="69" t="s">
        <v>364</v>
      </c>
      <c r="AR3" s="67" t="s">
        <v>365</v>
      </c>
      <c r="AS3" s="68" t="s">
        <v>366</v>
      </c>
      <c r="AT3" s="69" t="s">
        <v>367</v>
      </c>
      <c r="AU3" s="67" t="s">
        <v>368</v>
      </c>
      <c r="AV3" s="68" t="s">
        <v>369</v>
      </c>
      <c r="AW3" s="69" t="s">
        <v>370</v>
      </c>
    </row>
    <row r="4" spans="1:49" ht="20.100000000000001" customHeight="1" thickBot="1">
      <c r="A4" s="55" t="s">
        <v>48</v>
      </c>
      <c r="B4" s="44" t="s">
        <v>49</v>
      </c>
      <c r="C4" s="45" t="s">
        <v>50</v>
      </c>
      <c r="D4" s="45" t="s">
        <v>51</v>
      </c>
      <c r="E4" s="45" t="s">
        <v>52</v>
      </c>
      <c r="F4" s="46" t="s">
        <v>53</v>
      </c>
      <c r="G4" s="45" t="s">
        <v>54</v>
      </c>
      <c r="H4" s="45" t="s">
        <v>55</v>
      </c>
      <c r="I4" s="45" t="s">
        <v>56</v>
      </c>
      <c r="J4" s="70" t="s">
        <v>371</v>
      </c>
      <c r="K4" s="70" t="s">
        <v>372</v>
      </c>
      <c r="L4" s="45" t="s">
        <v>59</v>
      </c>
      <c r="M4" s="45" t="s">
        <v>60</v>
      </c>
      <c r="N4" s="45" t="s">
        <v>61</v>
      </c>
      <c r="O4" s="47" t="s">
        <v>62</v>
      </c>
      <c r="P4" s="50"/>
      <c r="Q4" s="71" t="s">
        <v>63</v>
      </c>
      <c r="R4" s="72" t="s">
        <v>63</v>
      </c>
      <c r="S4" s="73" t="s">
        <v>63</v>
      </c>
      <c r="T4" s="71" t="s">
        <v>63</v>
      </c>
      <c r="U4" s="72" t="s">
        <v>63</v>
      </c>
      <c r="V4" s="73" t="s">
        <v>63</v>
      </c>
      <c r="W4" s="71" t="s">
        <v>63</v>
      </c>
      <c r="X4" s="72" t="s">
        <v>63</v>
      </c>
      <c r="Y4" s="73" t="s">
        <v>63</v>
      </c>
      <c r="Z4" s="71" t="s">
        <v>63</v>
      </c>
      <c r="AA4" s="72" t="s">
        <v>63</v>
      </c>
      <c r="AB4" s="73" t="s">
        <v>63</v>
      </c>
      <c r="AC4" s="71" t="s">
        <v>63</v>
      </c>
      <c r="AD4" s="72" t="s">
        <v>63</v>
      </c>
      <c r="AE4" s="73" t="s">
        <v>63</v>
      </c>
      <c r="AF4" s="71" t="s">
        <v>63</v>
      </c>
      <c r="AG4" s="72" t="s">
        <v>63</v>
      </c>
      <c r="AH4" s="73" t="s">
        <v>63</v>
      </c>
      <c r="AI4" s="71" t="s">
        <v>63</v>
      </c>
      <c r="AJ4" s="72" t="s">
        <v>63</v>
      </c>
      <c r="AK4" s="73" t="s">
        <v>63</v>
      </c>
      <c r="AL4" s="71" t="s">
        <v>63</v>
      </c>
      <c r="AM4" s="72" t="s">
        <v>63</v>
      </c>
      <c r="AN4" s="73" t="s">
        <v>63</v>
      </c>
      <c r="AO4" s="71" t="s">
        <v>63</v>
      </c>
      <c r="AP4" s="72" t="s">
        <v>63</v>
      </c>
      <c r="AQ4" s="73" t="s">
        <v>63</v>
      </c>
      <c r="AR4" s="71" t="s">
        <v>63</v>
      </c>
      <c r="AS4" s="72" t="s">
        <v>63</v>
      </c>
      <c r="AT4" s="73" t="s">
        <v>63</v>
      </c>
      <c r="AU4" s="71" t="s">
        <v>63</v>
      </c>
      <c r="AV4" s="72" t="s">
        <v>63</v>
      </c>
      <c r="AW4" s="73" t="s">
        <v>63</v>
      </c>
    </row>
    <row r="5" spans="1:49" ht="18" customHeight="1">
      <c r="A5" s="24"/>
      <c r="B5" s="13" t="s">
        <v>373</v>
      </c>
      <c r="C5" s="74" t="s">
        <v>65</v>
      </c>
      <c r="D5" s="34" t="s">
        <v>374</v>
      </c>
      <c r="E5" s="34"/>
      <c r="F5" s="26" t="s">
        <v>67</v>
      </c>
      <c r="G5" s="37">
        <v>80</v>
      </c>
      <c r="H5" s="37">
        <v>0.1</v>
      </c>
      <c r="I5" s="37">
        <v>0.1</v>
      </c>
      <c r="J5" s="37">
        <v>0.2</v>
      </c>
      <c r="K5" s="37">
        <v>0.1</v>
      </c>
      <c r="L5" s="27">
        <f t="shared" ref="L5:L68" si="0">MAX(Q5:AT5)</f>
        <v>79.991</v>
      </c>
      <c r="M5" s="27">
        <f t="shared" ref="M5:M68" si="1">MIN(Q5:AT5)</f>
        <v>79.95</v>
      </c>
      <c r="N5" s="27">
        <f t="shared" ref="N5:N68" si="2">L5-M5</f>
        <v>4.0999999999996817E-2</v>
      </c>
      <c r="O5" s="28">
        <f t="shared" ref="O5:O68" si="3">AVERAGE(Q5:AT5)</f>
        <v>79.970333333333343</v>
      </c>
      <c r="P5" s="51"/>
      <c r="Q5" s="30">
        <v>79.986000000000004</v>
      </c>
      <c r="R5" s="30">
        <v>79.971999999999994</v>
      </c>
      <c r="S5" s="30">
        <v>79.989000000000004</v>
      </c>
      <c r="T5" s="30">
        <v>79.960999999999999</v>
      </c>
      <c r="U5" s="30">
        <v>79.953000000000003</v>
      </c>
      <c r="V5" s="30">
        <v>79.968000000000004</v>
      </c>
      <c r="W5" s="30">
        <v>79.98</v>
      </c>
      <c r="X5" s="30">
        <v>79.975999999999999</v>
      </c>
      <c r="Y5" s="30">
        <v>79.968999999999994</v>
      </c>
      <c r="Z5" s="30">
        <v>79.977000000000004</v>
      </c>
      <c r="AA5" s="30">
        <v>79.962000000000003</v>
      </c>
      <c r="AB5" s="30">
        <v>79.991</v>
      </c>
      <c r="AC5" s="30">
        <v>79.977999999999994</v>
      </c>
      <c r="AD5" s="30">
        <v>79.978999999999999</v>
      </c>
      <c r="AE5" s="30">
        <v>79.988</v>
      </c>
      <c r="AF5" s="30">
        <v>79.977999999999994</v>
      </c>
      <c r="AG5" s="30">
        <v>79.980999999999995</v>
      </c>
      <c r="AH5" s="30">
        <v>79.960999999999999</v>
      </c>
      <c r="AI5" s="30">
        <v>79.954999999999998</v>
      </c>
      <c r="AJ5" s="30">
        <v>79.97</v>
      </c>
      <c r="AK5" s="30">
        <v>79.954999999999998</v>
      </c>
      <c r="AL5" s="30">
        <v>79.968999999999994</v>
      </c>
      <c r="AM5" s="30">
        <v>79.957999999999998</v>
      </c>
      <c r="AN5" s="30">
        <v>79.95</v>
      </c>
      <c r="AO5" s="30">
        <v>79.962999999999994</v>
      </c>
      <c r="AP5" s="30">
        <v>79.978999999999999</v>
      </c>
      <c r="AQ5" s="30">
        <v>79.965000000000003</v>
      </c>
      <c r="AR5" s="30">
        <v>79.960999999999999</v>
      </c>
      <c r="AS5" s="30">
        <v>79.981999999999999</v>
      </c>
      <c r="AT5" s="30">
        <v>79.953999999999994</v>
      </c>
      <c r="AU5" s="30">
        <v>79.983000000000004</v>
      </c>
      <c r="AV5" s="30">
        <v>79.974999999999994</v>
      </c>
      <c r="AW5" s="30">
        <v>79.959000000000003</v>
      </c>
    </row>
    <row r="6" spans="1:49" ht="18" customHeight="1">
      <c r="A6" s="23"/>
      <c r="B6" s="12"/>
      <c r="C6" s="75" t="s">
        <v>65</v>
      </c>
      <c r="D6" s="35" t="s">
        <v>68</v>
      </c>
      <c r="E6" s="35"/>
      <c r="F6" s="29" t="s">
        <v>69</v>
      </c>
      <c r="G6" s="38">
        <v>73.31</v>
      </c>
      <c r="H6" s="38">
        <v>0.09</v>
      </c>
      <c r="I6" s="38">
        <v>0.06</v>
      </c>
      <c r="J6" s="38">
        <v>0.09</v>
      </c>
      <c r="K6" s="38">
        <v>0.06</v>
      </c>
      <c r="L6" s="30">
        <f t="shared" si="0"/>
        <v>73.39</v>
      </c>
      <c r="M6" s="30">
        <f t="shared" si="1"/>
        <v>73.353999999999999</v>
      </c>
      <c r="N6" s="30">
        <f t="shared" si="2"/>
        <v>3.6000000000001364E-2</v>
      </c>
      <c r="O6" s="31">
        <f t="shared" si="3"/>
        <v>73.370833333333323</v>
      </c>
      <c r="P6" s="52"/>
      <c r="Q6" s="30">
        <v>73.372</v>
      </c>
      <c r="R6" s="30">
        <v>73.369</v>
      </c>
      <c r="S6" s="30">
        <v>73.376000000000005</v>
      </c>
      <c r="T6" s="30">
        <v>73.367000000000004</v>
      </c>
      <c r="U6" s="30">
        <v>73.361000000000004</v>
      </c>
      <c r="V6" s="30">
        <v>73.372</v>
      </c>
      <c r="W6" s="30">
        <v>73.375</v>
      </c>
      <c r="X6" s="30">
        <v>73.369</v>
      </c>
      <c r="Y6" s="30">
        <v>73.373999999999995</v>
      </c>
      <c r="Z6" s="30">
        <v>73.376000000000005</v>
      </c>
      <c r="AA6" s="30">
        <v>73.39</v>
      </c>
      <c r="AB6" s="30">
        <v>73.385999999999996</v>
      </c>
      <c r="AC6" s="30">
        <v>73.379000000000005</v>
      </c>
      <c r="AD6" s="30">
        <v>73.378</v>
      </c>
      <c r="AE6" s="30">
        <v>73.378</v>
      </c>
      <c r="AF6" s="30">
        <v>73.37</v>
      </c>
      <c r="AG6" s="30">
        <v>73.378</v>
      </c>
      <c r="AH6" s="30">
        <v>73.366</v>
      </c>
      <c r="AI6" s="30">
        <v>73.353999999999999</v>
      </c>
      <c r="AJ6" s="30">
        <v>73.367000000000004</v>
      </c>
      <c r="AK6" s="30">
        <v>73.353999999999999</v>
      </c>
      <c r="AL6" s="30">
        <v>73.378</v>
      </c>
      <c r="AM6" s="30">
        <v>73.364000000000004</v>
      </c>
      <c r="AN6" s="30">
        <v>73.364000000000004</v>
      </c>
      <c r="AO6" s="30">
        <v>73.358000000000004</v>
      </c>
      <c r="AP6" s="30">
        <v>73.372</v>
      </c>
      <c r="AQ6" s="30">
        <v>73.367000000000004</v>
      </c>
      <c r="AR6" s="30">
        <v>73.367000000000004</v>
      </c>
      <c r="AS6" s="30">
        <v>73.382999999999996</v>
      </c>
      <c r="AT6" s="30">
        <v>73.361000000000004</v>
      </c>
      <c r="AU6" s="30">
        <v>73.382000000000005</v>
      </c>
      <c r="AV6" s="30">
        <v>73.379000000000005</v>
      </c>
      <c r="AW6" s="30">
        <v>73.364000000000004</v>
      </c>
    </row>
    <row r="7" spans="1:49" ht="18" customHeight="1">
      <c r="A7" s="23"/>
      <c r="B7" s="12"/>
      <c r="C7" s="75" t="s">
        <v>65</v>
      </c>
      <c r="D7" s="35" t="s">
        <v>70</v>
      </c>
      <c r="E7" s="35"/>
      <c r="F7" s="29" t="s">
        <v>71</v>
      </c>
      <c r="G7" s="38"/>
      <c r="H7" s="38">
        <v>0.08</v>
      </c>
      <c r="I7" s="38"/>
      <c r="J7" s="38">
        <v>0.08</v>
      </c>
      <c r="K7" s="38"/>
      <c r="L7" s="30">
        <f t="shared" si="0"/>
        <v>5.8999999999999997E-2</v>
      </c>
      <c r="M7" s="30">
        <f t="shared" si="1"/>
        <v>3.5000000000000003E-2</v>
      </c>
      <c r="N7" s="30">
        <f t="shared" si="2"/>
        <v>2.3999999999999994E-2</v>
      </c>
      <c r="O7" s="31">
        <f t="shared" si="3"/>
        <v>5.273333333333334E-2</v>
      </c>
      <c r="P7" s="52"/>
      <c r="Q7" s="30">
        <v>5.2999999999999999E-2</v>
      </c>
      <c r="R7" s="30">
        <v>5.6000000000000001E-2</v>
      </c>
      <c r="S7" s="30">
        <v>5.6000000000000001E-2</v>
      </c>
      <c r="T7" s="30">
        <v>5.8000000000000003E-2</v>
      </c>
      <c r="U7" s="30">
        <v>5.1999999999999998E-2</v>
      </c>
      <c r="V7" s="30">
        <v>5.1999999999999998E-2</v>
      </c>
      <c r="W7" s="30">
        <v>5.6000000000000001E-2</v>
      </c>
      <c r="X7" s="30">
        <v>5.8000000000000003E-2</v>
      </c>
      <c r="Y7" s="30">
        <v>5.3999999999999999E-2</v>
      </c>
      <c r="Z7" s="30">
        <v>5.6000000000000001E-2</v>
      </c>
      <c r="AA7" s="30">
        <v>3.5000000000000003E-2</v>
      </c>
      <c r="AB7" s="30">
        <v>5.6000000000000001E-2</v>
      </c>
      <c r="AC7" s="30">
        <v>5.1999999999999998E-2</v>
      </c>
      <c r="AD7" s="30">
        <v>4.9000000000000002E-2</v>
      </c>
      <c r="AE7" s="30">
        <v>5.1999999999999998E-2</v>
      </c>
      <c r="AF7" s="30">
        <v>5.2999999999999999E-2</v>
      </c>
      <c r="AG7" s="30">
        <v>5.3999999999999999E-2</v>
      </c>
      <c r="AH7" s="30">
        <v>5.1999999999999998E-2</v>
      </c>
      <c r="AI7" s="30">
        <v>4.8000000000000001E-2</v>
      </c>
      <c r="AJ7" s="30">
        <v>5.2999999999999999E-2</v>
      </c>
      <c r="AK7" s="30">
        <v>5.5E-2</v>
      </c>
      <c r="AL7" s="30">
        <v>5.1999999999999998E-2</v>
      </c>
      <c r="AM7" s="30">
        <v>5.7000000000000002E-2</v>
      </c>
      <c r="AN7" s="30">
        <v>5.3999999999999999E-2</v>
      </c>
      <c r="AO7" s="30">
        <v>5.8999999999999997E-2</v>
      </c>
      <c r="AP7" s="30">
        <v>0.05</v>
      </c>
      <c r="AQ7" s="30">
        <v>5.1999999999999998E-2</v>
      </c>
      <c r="AR7" s="30">
        <v>5.0999999999999997E-2</v>
      </c>
      <c r="AS7" s="30">
        <v>4.8000000000000001E-2</v>
      </c>
      <c r="AT7" s="30">
        <v>4.9000000000000002E-2</v>
      </c>
      <c r="AU7" s="30">
        <v>4.3999999999999997E-2</v>
      </c>
      <c r="AV7" s="30">
        <v>5.0999999999999997E-2</v>
      </c>
      <c r="AW7" s="30">
        <v>4.9000000000000002E-2</v>
      </c>
    </row>
    <row r="8" spans="1:49" ht="18" customHeight="1">
      <c r="A8" s="23"/>
      <c r="B8" s="12"/>
      <c r="C8" s="75" t="s">
        <v>65</v>
      </c>
      <c r="D8" s="35" t="s">
        <v>72</v>
      </c>
      <c r="E8" s="35" t="s">
        <v>375</v>
      </c>
      <c r="F8" s="29" t="s">
        <v>74</v>
      </c>
      <c r="G8" s="38">
        <v>80</v>
      </c>
      <c r="H8" s="38">
        <v>0.1</v>
      </c>
      <c r="I8" s="38">
        <v>0.1</v>
      </c>
      <c r="J8" s="38">
        <v>0.1</v>
      </c>
      <c r="K8" s="38">
        <v>0.1</v>
      </c>
      <c r="L8" s="30">
        <f t="shared" si="0"/>
        <v>80.046999999999997</v>
      </c>
      <c r="M8" s="30">
        <f t="shared" si="1"/>
        <v>79.997</v>
      </c>
      <c r="N8" s="30">
        <f t="shared" si="2"/>
        <v>4.9999999999997158E-2</v>
      </c>
      <c r="O8" s="31">
        <f t="shared" si="3"/>
        <v>80.023233333333323</v>
      </c>
      <c r="P8" s="52"/>
      <c r="Q8" s="30">
        <v>80.037999999999997</v>
      </c>
      <c r="R8" s="30">
        <v>80.046999999999997</v>
      </c>
      <c r="S8" s="30">
        <v>80.027000000000001</v>
      </c>
      <c r="T8" s="30">
        <v>80.004000000000005</v>
      </c>
      <c r="U8" s="30">
        <v>80.007999999999996</v>
      </c>
      <c r="V8" s="30">
        <v>80.024000000000001</v>
      </c>
      <c r="W8" s="30">
        <v>80.033000000000001</v>
      </c>
      <c r="X8" s="30">
        <v>80.036000000000001</v>
      </c>
      <c r="Y8" s="30">
        <v>80.022999999999996</v>
      </c>
      <c r="Z8" s="30">
        <v>80.031999999999996</v>
      </c>
      <c r="AA8" s="30">
        <v>80.016999999999996</v>
      </c>
      <c r="AB8" s="30">
        <v>80.034999999999997</v>
      </c>
      <c r="AC8" s="30">
        <v>80.033000000000001</v>
      </c>
      <c r="AD8" s="30">
        <v>80.046000000000006</v>
      </c>
      <c r="AE8" s="30">
        <v>80.043000000000006</v>
      </c>
      <c r="AF8" s="30">
        <v>80.022000000000006</v>
      </c>
      <c r="AG8" s="30">
        <v>80.031999999999996</v>
      </c>
      <c r="AH8" s="30">
        <v>80.03</v>
      </c>
      <c r="AI8" s="30">
        <v>79.997</v>
      </c>
      <c r="AJ8" s="30">
        <v>80.031000000000006</v>
      </c>
      <c r="AK8" s="30">
        <v>79.997</v>
      </c>
      <c r="AL8" s="30">
        <v>80.027000000000001</v>
      </c>
      <c r="AM8" s="30">
        <v>80.006</v>
      </c>
      <c r="AN8" s="30">
        <v>80.009</v>
      </c>
      <c r="AO8" s="30">
        <v>80.004999999999995</v>
      </c>
      <c r="AP8" s="30">
        <v>80.022999999999996</v>
      </c>
      <c r="AQ8" s="30">
        <v>80.018000000000001</v>
      </c>
      <c r="AR8" s="30">
        <v>80.022000000000006</v>
      </c>
      <c r="AS8" s="30">
        <v>80.025999999999996</v>
      </c>
      <c r="AT8" s="30">
        <v>80.006</v>
      </c>
      <c r="AU8" s="30">
        <v>80.042000000000002</v>
      </c>
      <c r="AV8" s="30">
        <v>80.028999999999996</v>
      </c>
      <c r="AW8" s="30">
        <v>80.016000000000005</v>
      </c>
    </row>
    <row r="9" spans="1:49" ht="18" customHeight="1">
      <c r="A9" s="23"/>
      <c r="B9" s="12"/>
      <c r="C9" s="75" t="s">
        <v>65</v>
      </c>
      <c r="D9" s="35" t="s">
        <v>75</v>
      </c>
      <c r="E9" s="35"/>
      <c r="F9" s="29" t="s">
        <v>76</v>
      </c>
      <c r="G9" s="38">
        <v>80</v>
      </c>
      <c r="H9" s="38">
        <v>0.1</v>
      </c>
      <c r="I9" s="38">
        <v>0.1</v>
      </c>
      <c r="J9" s="38">
        <v>0.1</v>
      </c>
      <c r="K9" s="38">
        <v>0.1</v>
      </c>
      <c r="L9" s="30">
        <f t="shared" si="0"/>
        <v>80.015000000000001</v>
      </c>
      <c r="M9" s="30">
        <f t="shared" si="1"/>
        <v>79.963999999999999</v>
      </c>
      <c r="N9" s="30">
        <f t="shared" si="2"/>
        <v>5.1000000000001933E-2</v>
      </c>
      <c r="O9" s="31">
        <f t="shared" si="3"/>
        <v>79.991833333333318</v>
      </c>
      <c r="P9" s="52"/>
      <c r="Q9" s="30">
        <v>80.009</v>
      </c>
      <c r="R9" s="30">
        <v>80</v>
      </c>
      <c r="S9" s="30">
        <v>80.007000000000005</v>
      </c>
      <c r="T9" s="30">
        <v>79.981999999999999</v>
      </c>
      <c r="U9" s="30">
        <v>79.971000000000004</v>
      </c>
      <c r="V9" s="30">
        <v>79.997</v>
      </c>
      <c r="W9" s="30">
        <v>80.004000000000005</v>
      </c>
      <c r="X9" s="30">
        <v>80.004999999999995</v>
      </c>
      <c r="Y9" s="30">
        <v>79.983999999999995</v>
      </c>
      <c r="Z9" s="30">
        <v>79.998999999999995</v>
      </c>
      <c r="AA9" s="30">
        <v>79.978999999999999</v>
      </c>
      <c r="AB9" s="30">
        <v>80.010000000000005</v>
      </c>
      <c r="AC9" s="30">
        <v>80.004999999999995</v>
      </c>
      <c r="AD9" s="30">
        <v>80.010999999999996</v>
      </c>
      <c r="AE9" s="30">
        <v>80.003</v>
      </c>
      <c r="AF9" s="30">
        <v>79.983999999999995</v>
      </c>
      <c r="AG9" s="30">
        <v>79.986000000000004</v>
      </c>
      <c r="AH9" s="30">
        <v>79.989000000000004</v>
      </c>
      <c r="AI9" s="30">
        <v>79.963999999999999</v>
      </c>
      <c r="AJ9" s="30">
        <v>79.992999999999995</v>
      </c>
      <c r="AK9" s="30">
        <v>79.968000000000004</v>
      </c>
      <c r="AL9" s="30">
        <v>79.998000000000005</v>
      </c>
      <c r="AM9" s="30">
        <v>79.975999999999999</v>
      </c>
      <c r="AN9" s="30">
        <v>79.974000000000004</v>
      </c>
      <c r="AO9" s="30">
        <v>79.981999999999999</v>
      </c>
      <c r="AP9" s="30">
        <v>80.015000000000001</v>
      </c>
      <c r="AQ9" s="30">
        <v>79.989000000000004</v>
      </c>
      <c r="AR9" s="30">
        <v>79.988</v>
      </c>
      <c r="AS9" s="30">
        <v>80.013000000000005</v>
      </c>
      <c r="AT9" s="30">
        <v>79.97</v>
      </c>
      <c r="AU9" s="30">
        <v>80.009</v>
      </c>
      <c r="AV9" s="30">
        <v>79.995999999999995</v>
      </c>
      <c r="AW9" s="30">
        <v>79.98</v>
      </c>
    </row>
    <row r="10" spans="1:49" ht="18" customHeight="1">
      <c r="A10" s="23"/>
      <c r="B10" s="12"/>
      <c r="C10" s="76" t="s">
        <v>77</v>
      </c>
      <c r="D10" s="35" t="s">
        <v>78</v>
      </c>
      <c r="E10" s="35"/>
      <c r="F10" s="29" t="s">
        <v>79</v>
      </c>
      <c r="G10" s="38">
        <v>3.75</v>
      </c>
      <c r="H10" s="38">
        <v>0.08</v>
      </c>
      <c r="I10" s="38">
        <v>0.05</v>
      </c>
      <c r="J10" s="38">
        <v>0.08</v>
      </c>
      <c r="K10" s="38">
        <v>0.05</v>
      </c>
      <c r="L10" s="30">
        <f t="shared" si="0"/>
        <v>3.8149999999999999</v>
      </c>
      <c r="M10" s="30">
        <f t="shared" si="1"/>
        <v>3.7469999999999999</v>
      </c>
      <c r="N10" s="30">
        <f t="shared" si="2"/>
        <v>6.800000000000006E-2</v>
      </c>
      <c r="O10" s="31">
        <f t="shared" si="3"/>
        <v>3.7680666666666669</v>
      </c>
      <c r="P10" s="52"/>
      <c r="Q10" s="30">
        <v>3.754</v>
      </c>
      <c r="R10" s="30">
        <v>3.7709999999999999</v>
      </c>
      <c r="S10" s="30">
        <v>3.75</v>
      </c>
      <c r="T10" s="30">
        <v>3.762</v>
      </c>
      <c r="U10" s="30">
        <v>3.7679999999999998</v>
      </c>
      <c r="V10" s="30">
        <v>3.8149999999999999</v>
      </c>
      <c r="W10" s="30">
        <v>3.758</v>
      </c>
      <c r="X10" s="30">
        <v>3.8149999999999999</v>
      </c>
      <c r="Y10" s="30">
        <v>3.766</v>
      </c>
      <c r="Z10" s="30">
        <v>3.758</v>
      </c>
      <c r="AA10" s="30">
        <v>3.7629999999999999</v>
      </c>
      <c r="AB10" s="30">
        <v>3.762</v>
      </c>
      <c r="AC10" s="30">
        <v>3.7549999999999999</v>
      </c>
      <c r="AD10" s="30">
        <v>3.7589999999999999</v>
      </c>
      <c r="AE10" s="30">
        <v>3.76</v>
      </c>
      <c r="AF10" s="30">
        <v>3.7610000000000001</v>
      </c>
      <c r="AG10" s="30">
        <v>3.7930000000000001</v>
      </c>
      <c r="AH10" s="30">
        <v>3.7639999999999998</v>
      </c>
      <c r="AI10" s="30">
        <v>3.766</v>
      </c>
      <c r="AJ10" s="30">
        <v>3.7610000000000001</v>
      </c>
      <c r="AK10" s="30">
        <v>3.7669999999999999</v>
      </c>
      <c r="AL10" s="30">
        <v>3.77</v>
      </c>
      <c r="AM10" s="30">
        <v>3.7669999999999999</v>
      </c>
      <c r="AN10" s="30">
        <v>3.7919999999999998</v>
      </c>
      <c r="AO10" s="30">
        <v>3.7749999999999999</v>
      </c>
      <c r="AP10" s="30">
        <v>3.7469999999999999</v>
      </c>
      <c r="AQ10" s="30">
        <v>3.7639999999999998</v>
      </c>
      <c r="AR10" s="30">
        <v>3.762</v>
      </c>
      <c r="AS10" s="30">
        <v>3.7770000000000001</v>
      </c>
      <c r="AT10" s="30">
        <v>3.76</v>
      </c>
      <c r="AU10" s="30">
        <v>3.762</v>
      </c>
      <c r="AV10" s="30">
        <v>3.7650000000000001</v>
      </c>
      <c r="AW10" s="30">
        <v>3.766</v>
      </c>
    </row>
    <row r="11" spans="1:49" ht="18" customHeight="1">
      <c r="A11" s="23"/>
      <c r="B11" s="12"/>
      <c r="C11" s="76" t="s">
        <v>77</v>
      </c>
      <c r="D11" s="35" t="s">
        <v>80</v>
      </c>
      <c r="E11" s="35"/>
      <c r="F11" s="29" t="s">
        <v>81</v>
      </c>
      <c r="G11" s="38">
        <v>3.75</v>
      </c>
      <c r="H11" s="38">
        <v>0.08</v>
      </c>
      <c r="I11" s="38">
        <v>0.05</v>
      </c>
      <c r="J11" s="38">
        <v>0.08</v>
      </c>
      <c r="K11" s="38">
        <v>0.05</v>
      </c>
      <c r="L11" s="30">
        <f t="shared" si="0"/>
        <v>3.7949999999999999</v>
      </c>
      <c r="M11" s="30">
        <f t="shared" si="1"/>
        <v>3.74</v>
      </c>
      <c r="N11" s="30">
        <f t="shared" si="2"/>
        <v>5.4999999999999716E-2</v>
      </c>
      <c r="O11" s="31">
        <f t="shared" si="3"/>
        <v>3.7526000000000002</v>
      </c>
      <c r="P11" s="52"/>
      <c r="Q11" s="30">
        <v>3.7530000000000001</v>
      </c>
      <c r="R11" s="30">
        <v>3.7480000000000002</v>
      </c>
      <c r="S11" s="30">
        <v>3.7480000000000002</v>
      </c>
      <c r="T11" s="30">
        <v>3.7570000000000001</v>
      </c>
      <c r="U11" s="30">
        <v>3.75</v>
      </c>
      <c r="V11" s="30">
        <v>3.7559999999999998</v>
      </c>
      <c r="W11" s="30">
        <v>3.746</v>
      </c>
      <c r="X11" s="30">
        <v>3.7949999999999999</v>
      </c>
      <c r="Y11" s="30">
        <v>3.7549999999999999</v>
      </c>
      <c r="Z11" s="30">
        <v>3.746</v>
      </c>
      <c r="AA11" s="30">
        <v>3.758</v>
      </c>
      <c r="AB11" s="30">
        <v>3.7490000000000001</v>
      </c>
      <c r="AC11" s="30">
        <v>3.7450000000000001</v>
      </c>
      <c r="AD11" s="30">
        <v>3.7519999999999998</v>
      </c>
      <c r="AE11" s="30">
        <v>3.7450000000000001</v>
      </c>
      <c r="AF11" s="30">
        <v>3.7509999999999999</v>
      </c>
      <c r="AG11" s="30">
        <v>3.7759999999999998</v>
      </c>
      <c r="AH11" s="30">
        <v>3.74</v>
      </c>
      <c r="AI11" s="30">
        <v>3.7450000000000001</v>
      </c>
      <c r="AJ11" s="30">
        <v>3.742</v>
      </c>
      <c r="AK11" s="30">
        <v>3.754</v>
      </c>
      <c r="AL11" s="30">
        <v>3.75</v>
      </c>
      <c r="AM11" s="30">
        <v>3.754</v>
      </c>
      <c r="AN11" s="30">
        <v>3.75</v>
      </c>
      <c r="AO11" s="30">
        <v>3.7490000000000001</v>
      </c>
      <c r="AP11" s="30">
        <v>3.7490000000000001</v>
      </c>
      <c r="AQ11" s="30">
        <v>3.754</v>
      </c>
      <c r="AR11" s="30">
        <v>3.7480000000000002</v>
      </c>
      <c r="AS11" s="30">
        <v>3.758</v>
      </c>
      <c r="AT11" s="30">
        <v>3.7549999999999999</v>
      </c>
      <c r="AU11" s="30">
        <v>3.7480000000000002</v>
      </c>
      <c r="AV11" s="30">
        <v>3.7719999999999998</v>
      </c>
      <c r="AW11" s="30">
        <v>3.75</v>
      </c>
    </row>
    <row r="12" spans="1:49" ht="18" customHeight="1">
      <c r="A12" s="23"/>
      <c r="B12" s="12"/>
      <c r="C12" s="76" t="s">
        <v>77</v>
      </c>
      <c r="D12" s="35" t="s">
        <v>82</v>
      </c>
      <c r="E12" s="35"/>
      <c r="F12" s="29" t="s">
        <v>83</v>
      </c>
      <c r="G12" s="38">
        <v>3.75</v>
      </c>
      <c r="H12" s="38">
        <v>0.08</v>
      </c>
      <c r="I12" s="38">
        <v>0.05</v>
      </c>
      <c r="J12" s="38">
        <v>0.08</v>
      </c>
      <c r="K12" s="38">
        <v>0.05</v>
      </c>
      <c r="L12" s="30">
        <f t="shared" si="0"/>
        <v>3.8</v>
      </c>
      <c r="M12" s="30">
        <f t="shared" si="1"/>
        <v>3.7490000000000001</v>
      </c>
      <c r="N12" s="30">
        <f t="shared" si="2"/>
        <v>5.0999999999999712E-2</v>
      </c>
      <c r="O12" s="31">
        <f t="shared" si="3"/>
        <v>3.761200000000001</v>
      </c>
      <c r="P12" s="52"/>
      <c r="Q12" s="30">
        <v>3.7669999999999999</v>
      </c>
      <c r="R12" s="30">
        <v>3.7559999999999998</v>
      </c>
      <c r="S12" s="30">
        <v>3.762</v>
      </c>
      <c r="T12" s="30">
        <v>3.7610000000000001</v>
      </c>
      <c r="U12" s="30">
        <v>3.7919999999999998</v>
      </c>
      <c r="V12" s="30">
        <v>3.7570000000000001</v>
      </c>
      <c r="W12" s="30">
        <v>3.7570000000000001</v>
      </c>
      <c r="X12" s="30">
        <v>3.8</v>
      </c>
      <c r="Y12" s="30">
        <v>3.7629999999999999</v>
      </c>
      <c r="Z12" s="30">
        <v>3.7570000000000001</v>
      </c>
      <c r="AA12" s="30">
        <v>3.7509999999999999</v>
      </c>
      <c r="AB12" s="30">
        <v>3.7570000000000001</v>
      </c>
      <c r="AC12" s="30">
        <v>3.7490000000000001</v>
      </c>
      <c r="AD12" s="30">
        <v>3.7589999999999999</v>
      </c>
      <c r="AE12" s="30">
        <v>3.7559999999999998</v>
      </c>
      <c r="AF12" s="30">
        <v>3.75</v>
      </c>
      <c r="AG12" s="30">
        <v>3.7650000000000001</v>
      </c>
      <c r="AH12" s="30">
        <v>3.7509999999999999</v>
      </c>
      <c r="AI12" s="30">
        <v>3.7589999999999999</v>
      </c>
      <c r="AJ12" s="30">
        <v>3.7570000000000001</v>
      </c>
      <c r="AK12" s="30">
        <v>3.7669999999999999</v>
      </c>
      <c r="AL12" s="30">
        <v>3.7589999999999999</v>
      </c>
      <c r="AM12" s="30">
        <v>3.7570000000000001</v>
      </c>
      <c r="AN12" s="30">
        <v>3.7589999999999999</v>
      </c>
      <c r="AO12" s="30">
        <v>3.7589999999999999</v>
      </c>
      <c r="AP12" s="30">
        <v>3.76</v>
      </c>
      <c r="AQ12" s="30">
        <v>3.76</v>
      </c>
      <c r="AR12" s="30">
        <v>3.762</v>
      </c>
      <c r="AS12" s="30">
        <v>3.7589999999999999</v>
      </c>
      <c r="AT12" s="30">
        <v>3.7679999999999998</v>
      </c>
      <c r="AU12" s="30">
        <v>3.762</v>
      </c>
      <c r="AV12" s="30">
        <v>3.7589999999999999</v>
      </c>
      <c r="AW12" s="30">
        <v>3.7639999999999998</v>
      </c>
    </row>
    <row r="13" spans="1:49" ht="18" customHeight="1">
      <c r="A13" s="23"/>
      <c r="B13" s="12"/>
      <c r="C13" s="75" t="s">
        <v>65</v>
      </c>
      <c r="D13" s="35" t="s">
        <v>84</v>
      </c>
      <c r="E13" s="35"/>
      <c r="F13" s="29" t="s">
        <v>85</v>
      </c>
      <c r="G13" s="38">
        <v>80</v>
      </c>
      <c r="H13" s="38">
        <v>0.1</v>
      </c>
      <c r="I13" s="38">
        <v>0.1</v>
      </c>
      <c r="J13" s="38">
        <v>0.1</v>
      </c>
      <c r="K13" s="38">
        <v>0.1</v>
      </c>
      <c r="L13" s="30">
        <f t="shared" si="0"/>
        <v>79.957999999999998</v>
      </c>
      <c r="M13" s="30">
        <f t="shared" si="1"/>
        <v>79.912999999999997</v>
      </c>
      <c r="N13" s="30">
        <f t="shared" si="2"/>
        <v>4.5000000000001705E-2</v>
      </c>
      <c r="O13" s="31">
        <f t="shared" si="3"/>
        <v>79.937233333333324</v>
      </c>
      <c r="P13" s="52"/>
      <c r="Q13" s="30">
        <v>79.942999999999998</v>
      </c>
      <c r="R13" s="30">
        <v>79.94</v>
      </c>
      <c r="S13" s="30">
        <v>79.947000000000003</v>
      </c>
      <c r="T13" s="30">
        <v>79.930000000000007</v>
      </c>
      <c r="U13" s="30">
        <v>79.930999999999997</v>
      </c>
      <c r="V13" s="30">
        <v>79.938000000000002</v>
      </c>
      <c r="W13" s="30">
        <v>79.94</v>
      </c>
      <c r="X13" s="30">
        <v>79.941999999999993</v>
      </c>
      <c r="Y13" s="30">
        <v>79.938000000000002</v>
      </c>
      <c r="Z13" s="30">
        <v>79.938999999999993</v>
      </c>
      <c r="AA13" s="30">
        <v>79.94</v>
      </c>
      <c r="AB13" s="30">
        <v>79.945999999999998</v>
      </c>
      <c r="AC13" s="30">
        <v>79.947000000000003</v>
      </c>
      <c r="AD13" s="30">
        <v>79.954999999999998</v>
      </c>
      <c r="AE13" s="30">
        <v>79.947000000000003</v>
      </c>
      <c r="AF13" s="30">
        <v>79.941999999999993</v>
      </c>
      <c r="AG13" s="30">
        <v>79.942999999999998</v>
      </c>
      <c r="AH13" s="30">
        <v>79.933999999999997</v>
      </c>
      <c r="AI13" s="30">
        <v>79.912999999999997</v>
      </c>
      <c r="AJ13" s="30">
        <v>79.932000000000002</v>
      </c>
      <c r="AK13" s="30">
        <v>79.92</v>
      </c>
      <c r="AL13" s="30">
        <v>79.936999999999998</v>
      </c>
      <c r="AM13" s="30">
        <v>79.923000000000002</v>
      </c>
      <c r="AN13" s="30">
        <v>79.933999999999997</v>
      </c>
      <c r="AO13" s="30">
        <v>79.924999999999997</v>
      </c>
      <c r="AP13" s="30">
        <v>79.945999999999998</v>
      </c>
      <c r="AQ13" s="30">
        <v>79.932000000000002</v>
      </c>
      <c r="AR13" s="30">
        <v>79.930000000000007</v>
      </c>
      <c r="AS13" s="30">
        <v>79.957999999999998</v>
      </c>
      <c r="AT13" s="30">
        <v>79.924999999999997</v>
      </c>
      <c r="AU13" s="30">
        <v>79.954999999999998</v>
      </c>
      <c r="AV13" s="30">
        <v>79.95</v>
      </c>
      <c r="AW13" s="30">
        <v>79.930999999999997</v>
      </c>
    </row>
    <row r="14" spans="1:49" ht="18" customHeight="1">
      <c r="A14" s="23"/>
      <c r="B14" s="12"/>
      <c r="C14" s="76" t="s">
        <v>77</v>
      </c>
      <c r="D14" s="35" t="s">
        <v>86</v>
      </c>
      <c r="E14" s="35"/>
      <c r="F14" s="29" t="s">
        <v>87</v>
      </c>
      <c r="G14" s="38">
        <v>1.55</v>
      </c>
      <c r="H14" s="38">
        <v>0.03</v>
      </c>
      <c r="I14" s="38">
        <v>0.03</v>
      </c>
      <c r="J14" s="38">
        <v>0.03</v>
      </c>
      <c r="K14" s="38">
        <v>0.03</v>
      </c>
      <c r="L14" s="30">
        <f t="shared" si="0"/>
        <v>1.573</v>
      </c>
      <c r="M14" s="30">
        <f t="shared" si="1"/>
        <v>1.5509999999999999</v>
      </c>
      <c r="N14" s="30">
        <f t="shared" si="2"/>
        <v>2.200000000000002E-2</v>
      </c>
      <c r="O14" s="31">
        <f t="shared" si="3"/>
        <v>1.5582333333333331</v>
      </c>
      <c r="P14" s="52"/>
      <c r="Q14" s="30">
        <v>1.56</v>
      </c>
      <c r="R14" s="30">
        <v>1.56</v>
      </c>
      <c r="S14" s="30">
        <v>1.5569999999999999</v>
      </c>
      <c r="T14" s="30">
        <v>1.554</v>
      </c>
      <c r="U14" s="30">
        <v>1.5549999999999999</v>
      </c>
      <c r="V14" s="30">
        <v>1.554</v>
      </c>
      <c r="W14" s="30">
        <v>1.556</v>
      </c>
      <c r="X14" s="30">
        <v>1.573</v>
      </c>
      <c r="Y14" s="30">
        <v>1.5580000000000001</v>
      </c>
      <c r="Z14" s="30">
        <v>1.556</v>
      </c>
      <c r="AA14" s="30">
        <v>1.5640000000000001</v>
      </c>
      <c r="AB14" s="30">
        <v>1.5549999999999999</v>
      </c>
      <c r="AC14" s="30">
        <v>1.5580000000000001</v>
      </c>
      <c r="AD14" s="30">
        <v>1.56</v>
      </c>
      <c r="AE14" s="30">
        <v>1.5660000000000001</v>
      </c>
      <c r="AF14" s="30">
        <v>1.5580000000000001</v>
      </c>
      <c r="AG14" s="30">
        <v>1.5640000000000001</v>
      </c>
      <c r="AH14" s="30">
        <v>1.5509999999999999</v>
      </c>
      <c r="AI14" s="30">
        <v>1.556</v>
      </c>
      <c r="AJ14" s="30">
        <v>1.552</v>
      </c>
      <c r="AK14" s="30">
        <v>1.5609999999999999</v>
      </c>
      <c r="AL14" s="30">
        <v>1.5549999999999999</v>
      </c>
      <c r="AM14" s="30">
        <v>1.5589999999999999</v>
      </c>
      <c r="AN14" s="30">
        <v>1.5529999999999999</v>
      </c>
      <c r="AO14" s="30">
        <v>1.5569999999999999</v>
      </c>
      <c r="AP14" s="30">
        <v>1.556</v>
      </c>
      <c r="AQ14" s="30">
        <v>1.56</v>
      </c>
      <c r="AR14" s="30">
        <v>1.5580000000000001</v>
      </c>
      <c r="AS14" s="30">
        <v>1.5609999999999999</v>
      </c>
      <c r="AT14" s="30">
        <v>1.56</v>
      </c>
      <c r="AU14" s="30">
        <v>1.5580000000000001</v>
      </c>
      <c r="AV14" s="30">
        <v>1.5580000000000001</v>
      </c>
      <c r="AW14" s="30">
        <v>1.5629999999999999</v>
      </c>
    </row>
    <row r="15" spans="1:49" ht="18" customHeight="1">
      <c r="A15" s="23"/>
      <c r="B15" s="12"/>
      <c r="C15" s="76" t="s">
        <v>77</v>
      </c>
      <c r="D15" s="35" t="s">
        <v>88</v>
      </c>
      <c r="E15" s="35"/>
      <c r="F15" s="29" t="s">
        <v>89</v>
      </c>
      <c r="G15" s="38">
        <v>1.55</v>
      </c>
      <c r="H15" s="38">
        <v>0.03</v>
      </c>
      <c r="I15" s="38">
        <v>0.03</v>
      </c>
      <c r="J15" s="38">
        <v>0.03</v>
      </c>
      <c r="K15" s="38">
        <v>0.03</v>
      </c>
      <c r="L15" s="30">
        <f t="shared" si="0"/>
        <v>1.579</v>
      </c>
      <c r="M15" s="30">
        <f t="shared" si="1"/>
        <v>1.5580000000000001</v>
      </c>
      <c r="N15" s="30">
        <f t="shared" si="2"/>
        <v>2.0999999999999908E-2</v>
      </c>
      <c r="O15" s="31">
        <f t="shared" si="3"/>
        <v>1.5660000000000001</v>
      </c>
      <c r="P15" s="52"/>
      <c r="Q15" s="30">
        <v>1.5620000000000001</v>
      </c>
      <c r="R15" s="30">
        <v>1.5649999999999999</v>
      </c>
      <c r="S15" s="30">
        <v>1.5680000000000001</v>
      </c>
      <c r="T15" s="30">
        <v>1.5669999999999999</v>
      </c>
      <c r="U15" s="30">
        <v>1.5660000000000001</v>
      </c>
      <c r="V15" s="30">
        <v>1.5580000000000001</v>
      </c>
      <c r="W15" s="30">
        <v>1.5620000000000001</v>
      </c>
      <c r="X15" s="30">
        <v>1.579</v>
      </c>
      <c r="Y15" s="30">
        <v>1.5609999999999999</v>
      </c>
      <c r="Z15" s="30">
        <v>1.5620000000000001</v>
      </c>
      <c r="AA15" s="30">
        <v>1.5649999999999999</v>
      </c>
      <c r="AB15" s="30">
        <v>1.5640000000000001</v>
      </c>
      <c r="AC15" s="30">
        <v>1.569</v>
      </c>
      <c r="AD15" s="30">
        <v>1.56</v>
      </c>
      <c r="AE15" s="30">
        <v>1.5760000000000001</v>
      </c>
      <c r="AF15" s="30">
        <v>1.5609999999999999</v>
      </c>
      <c r="AG15" s="30">
        <v>1.571</v>
      </c>
      <c r="AH15" s="30">
        <v>1.5640000000000001</v>
      </c>
      <c r="AI15" s="30">
        <v>1.5649999999999999</v>
      </c>
      <c r="AJ15" s="30">
        <v>1.56</v>
      </c>
      <c r="AK15" s="30">
        <v>1.5669999999999999</v>
      </c>
      <c r="AL15" s="30">
        <v>1.5660000000000001</v>
      </c>
      <c r="AM15" s="30">
        <v>1.5649999999999999</v>
      </c>
      <c r="AN15" s="30">
        <v>1.575</v>
      </c>
      <c r="AO15" s="30">
        <v>1.5720000000000001</v>
      </c>
      <c r="AP15" s="30">
        <v>1.57</v>
      </c>
      <c r="AQ15" s="30">
        <v>1.5609999999999999</v>
      </c>
      <c r="AR15" s="30">
        <v>1.5609999999999999</v>
      </c>
      <c r="AS15" s="30">
        <v>1.571</v>
      </c>
      <c r="AT15" s="30">
        <v>1.5669999999999999</v>
      </c>
      <c r="AU15" s="30">
        <v>1.5609999999999999</v>
      </c>
      <c r="AV15" s="30">
        <v>1.5609999999999999</v>
      </c>
      <c r="AW15" s="30">
        <v>1.5629999999999999</v>
      </c>
    </row>
    <row r="16" spans="1:49" ht="18" customHeight="1">
      <c r="A16" s="23"/>
      <c r="B16" s="12"/>
      <c r="C16" s="76" t="s">
        <v>77</v>
      </c>
      <c r="D16" s="35" t="s">
        <v>90</v>
      </c>
      <c r="E16" s="35"/>
      <c r="F16" s="29" t="s">
        <v>91</v>
      </c>
      <c r="G16" s="38">
        <v>1.55</v>
      </c>
      <c r="H16" s="38">
        <v>0.03</v>
      </c>
      <c r="I16" s="38">
        <v>0.03</v>
      </c>
      <c r="J16" s="38">
        <v>0.03</v>
      </c>
      <c r="K16" s="38">
        <v>0.03</v>
      </c>
      <c r="L16" s="30">
        <f t="shared" si="0"/>
        <v>1.573</v>
      </c>
      <c r="M16" s="30">
        <f t="shared" si="1"/>
        <v>1.5580000000000001</v>
      </c>
      <c r="N16" s="30">
        <f t="shared" si="2"/>
        <v>1.4999999999999902E-2</v>
      </c>
      <c r="O16" s="31">
        <f t="shared" si="3"/>
        <v>1.5668333333333337</v>
      </c>
      <c r="P16" s="52"/>
      <c r="Q16" s="30">
        <v>1.5589999999999999</v>
      </c>
      <c r="R16" s="30">
        <v>1.5660000000000001</v>
      </c>
      <c r="S16" s="30">
        <v>1.5580000000000001</v>
      </c>
      <c r="T16" s="30">
        <v>1.5720000000000001</v>
      </c>
      <c r="U16" s="30">
        <v>1.57</v>
      </c>
      <c r="V16" s="30">
        <v>1.5620000000000001</v>
      </c>
      <c r="W16" s="30">
        <v>1.5669999999999999</v>
      </c>
      <c r="X16" s="30">
        <v>1.573</v>
      </c>
      <c r="Y16" s="30">
        <v>1.57</v>
      </c>
      <c r="Z16" s="30">
        <v>1.5669999999999999</v>
      </c>
      <c r="AA16" s="30">
        <v>1.5649999999999999</v>
      </c>
      <c r="AB16" s="30">
        <v>1.571</v>
      </c>
      <c r="AC16" s="30">
        <v>1.5669999999999999</v>
      </c>
      <c r="AD16" s="30">
        <v>1.5649999999999999</v>
      </c>
      <c r="AE16" s="30">
        <v>1.5669999999999999</v>
      </c>
      <c r="AF16" s="30">
        <v>1.571</v>
      </c>
      <c r="AG16" s="30">
        <v>1.5660000000000001</v>
      </c>
      <c r="AH16" s="30">
        <v>1.57</v>
      </c>
      <c r="AI16" s="30">
        <v>1.569</v>
      </c>
      <c r="AJ16" s="30">
        <v>1.5620000000000001</v>
      </c>
      <c r="AK16" s="30">
        <v>1.5640000000000001</v>
      </c>
      <c r="AL16" s="30">
        <v>1.5649999999999999</v>
      </c>
      <c r="AM16" s="30">
        <v>1.5629999999999999</v>
      </c>
      <c r="AN16" s="30">
        <v>1.5720000000000001</v>
      </c>
      <c r="AO16" s="30">
        <v>1.5589999999999999</v>
      </c>
      <c r="AP16" s="30">
        <v>1.57</v>
      </c>
      <c r="AQ16" s="30">
        <v>1.5669999999999999</v>
      </c>
      <c r="AR16" s="30">
        <v>1.57</v>
      </c>
      <c r="AS16" s="30">
        <v>1.571</v>
      </c>
      <c r="AT16" s="30">
        <v>1.5669999999999999</v>
      </c>
      <c r="AU16" s="30">
        <v>1.57</v>
      </c>
      <c r="AV16" s="30">
        <v>1.5649999999999999</v>
      </c>
      <c r="AW16" s="30">
        <v>1.5640000000000001</v>
      </c>
    </row>
    <row r="17" spans="1:49" ht="18" customHeight="1">
      <c r="A17" s="23"/>
      <c r="B17" s="12"/>
      <c r="C17" s="76" t="s">
        <v>77</v>
      </c>
      <c r="D17" s="35" t="s">
        <v>92</v>
      </c>
      <c r="E17" s="35"/>
      <c r="F17" s="29" t="s">
        <v>93</v>
      </c>
      <c r="G17" s="38">
        <v>1.55</v>
      </c>
      <c r="H17" s="38">
        <v>0.03</v>
      </c>
      <c r="I17" s="38">
        <v>0.03</v>
      </c>
      <c r="J17" s="38">
        <v>0.03</v>
      </c>
      <c r="K17" s="38">
        <v>0.03</v>
      </c>
      <c r="L17" s="30">
        <f t="shared" si="0"/>
        <v>1.5780000000000001</v>
      </c>
      <c r="M17" s="30">
        <f t="shared" si="1"/>
        <v>1.5549999999999999</v>
      </c>
      <c r="N17" s="30">
        <f t="shared" si="2"/>
        <v>2.3000000000000131E-2</v>
      </c>
      <c r="O17" s="31">
        <f t="shared" si="3"/>
        <v>1.5636666666666663</v>
      </c>
      <c r="P17" s="52"/>
      <c r="Q17" s="30">
        <v>1.556</v>
      </c>
      <c r="R17" s="30">
        <v>1.5549999999999999</v>
      </c>
      <c r="S17" s="30">
        <v>1.5569999999999999</v>
      </c>
      <c r="T17" s="30">
        <v>1.5589999999999999</v>
      </c>
      <c r="U17" s="30">
        <v>1.569</v>
      </c>
      <c r="V17" s="30">
        <v>1.5609999999999999</v>
      </c>
      <c r="W17" s="30">
        <v>1.5620000000000001</v>
      </c>
      <c r="X17" s="30">
        <v>1.5780000000000001</v>
      </c>
      <c r="Y17" s="30">
        <v>1.5640000000000001</v>
      </c>
      <c r="Z17" s="30">
        <v>1.5620000000000001</v>
      </c>
      <c r="AA17" s="30">
        <v>1.56</v>
      </c>
      <c r="AB17" s="30">
        <v>1.575</v>
      </c>
      <c r="AC17" s="30">
        <v>1.5669999999999999</v>
      </c>
      <c r="AD17" s="30">
        <v>1.57</v>
      </c>
      <c r="AE17" s="30">
        <v>1.5680000000000001</v>
      </c>
      <c r="AF17" s="30">
        <v>1.5640000000000001</v>
      </c>
      <c r="AG17" s="30">
        <v>1.569</v>
      </c>
      <c r="AH17" s="30">
        <v>1.5640000000000001</v>
      </c>
      <c r="AI17" s="30">
        <v>1.5609999999999999</v>
      </c>
      <c r="AJ17" s="30">
        <v>1.5609999999999999</v>
      </c>
      <c r="AK17" s="30">
        <v>1.5629999999999999</v>
      </c>
      <c r="AL17" s="30">
        <v>1.5649999999999999</v>
      </c>
      <c r="AM17" s="30">
        <v>1.5589999999999999</v>
      </c>
      <c r="AN17" s="30">
        <v>1.5649999999999999</v>
      </c>
      <c r="AO17" s="30">
        <v>1.5580000000000001</v>
      </c>
      <c r="AP17" s="30">
        <v>1.5629999999999999</v>
      </c>
      <c r="AQ17" s="30">
        <v>1.5649999999999999</v>
      </c>
      <c r="AR17" s="30">
        <v>1.56</v>
      </c>
      <c r="AS17" s="30">
        <v>1.5680000000000001</v>
      </c>
      <c r="AT17" s="30">
        <v>1.5620000000000001</v>
      </c>
      <c r="AU17" s="30">
        <v>1.56</v>
      </c>
      <c r="AV17" s="30">
        <v>1.5640000000000001</v>
      </c>
      <c r="AW17" s="30">
        <v>1.5629999999999999</v>
      </c>
    </row>
    <row r="18" spans="1:49" ht="18" customHeight="1">
      <c r="A18" s="23"/>
      <c r="B18" s="12"/>
      <c r="C18" s="76" t="s">
        <v>77</v>
      </c>
      <c r="D18" s="35" t="s">
        <v>94</v>
      </c>
      <c r="E18" s="35" t="s">
        <v>376</v>
      </c>
      <c r="F18" s="29" t="s">
        <v>96</v>
      </c>
      <c r="G18" s="38">
        <v>1.55</v>
      </c>
      <c r="H18" s="38">
        <v>0.03</v>
      </c>
      <c r="I18" s="38">
        <v>0.03</v>
      </c>
      <c r="J18" s="38">
        <v>0.03</v>
      </c>
      <c r="K18" s="38">
        <v>0.03</v>
      </c>
      <c r="L18" s="30">
        <f t="shared" si="0"/>
        <v>1.575</v>
      </c>
      <c r="M18" s="30">
        <f t="shared" si="1"/>
        <v>1.552</v>
      </c>
      <c r="N18" s="30">
        <f t="shared" si="2"/>
        <v>2.2999999999999909E-2</v>
      </c>
      <c r="O18" s="31">
        <f t="shared" si="3"/>
        <v>1.5673666666666668</v>
      </c>
      <c r="P18" s="52"/>
      <c r="Q18" s="30">
        <v>1.5649999999999999</v>
      </c>
      <c r="R18" s="30">
        <v>1.57</v>
      </c>
      <c r="S18" s="30">
        <v>1.5629999999999999</v>
      </c>
      <c r="T18" s="30">
        <v>1.5629999999999999</v>
      </c>
      <c r="U18" s="30">
        <v>1.5669999999999999</v>
      </c>
      <c r="V18" s="30">
        <v>1.569</v>
      </c>
      <c r="W18" s="30">
        <v>1.5640000000000001</v>
      </c>
      <c r="X18" s="30">
        <v>1.552</v>
      </c>
      <c r="Y18" s="30">
        <v>1.5669999999999999</v>
      </c>
      <c r="Z18" s="30">
        <v>1.5640000000000001</v>
      </c>
      <c r="AA18" s="30">
        <v>1.571</v>
      </c>
      <c r="AB18" s="30">
        <v>1.573</v>
      </c>
      <c r="AC18" s="30">
        <v>1.5740000000000001</v>
      </c>
      <c r="AD18" s="30">
        <v>1.5720000000000001</v>
      </c>
      <c r="AE18" s="30">
        <v>1.5680000000000001</v>
      </c>
      <c r="AF18" s="30">
        <v>1.575</v>
      </c>
      <c r="AG18" s="30">
        <v>1.5580000000000001</v>
      </c>
      <c r="AH18" s="30">
        <v>1.5680000000000001</v>
      </c>
      <c r="AI18" s="30">
        <v>1.5629999999999999</v>
      </c>
      <c r="AJ18" s="30">
        <v>1.5669999999999999</v>
      </c>
      <c r="AK18" s="30">
        <v>1.571</v>
      </c>
      <c r="AL18" s="30">
        <v>1.57</v>
      </c>
      <c r="AM18" s="30">
        <v>1.5640000000000001</v>
      </c>
      <c r="AN18" s="30">
        <v>1.569</v>
      </c>
      <c r="AO18" s="30">
        <v>1.57</v>
      </c>
      <c r="AP18" s="30">
        <v>1.571</v>
      </c>
      <c r="AQ18" s="30">
        <v>1.573</v>
      </c>
      <c r="AR18" s="30">
        <v>1.571</v>
      </c>
      <c r="AS18" s="30">
        <v>1.5669999999999999</v>
      </c>
      <c r="AT18" s="30">
        <v>1.5620000000000001</v>
      </c>
      <c r="AU18" s="30">
        <v>1.571</v>
      </c>
      <c r="AV18" s="30">
        <v>1.57</v>
      </c>
      <c r="AW18" s="30">
        <v>1.5669999999999999</v>
      </c>
    </row>
    <row r="19" spans="1:49" ht="18" customHeight="1">
      <c r="A19" s="23"/>
      <c r="B19" s="12"/>
      <c r="C19" s="76" t="s">
        <v>77</v>
      </c>
      <c r="D19" s="35" t="s">
        <v>97</v>
      </c>
      <c r="E19" s="35"/>
      <c r="F19" s="29" t="s">
        <v>98</v>
      </c>
      <c r="G19" s="38">
        <v>1.55</v>
      </c>
      <c r="H19" s="38">
        <v>0.03</v>
      </c>
      <c r="I19" s="38">
        <v>0.03</v>
      </c>
      <c r="J19" s="38">
        <v>0.03</v>
      </c>
      <c r="K19" s="38">
        <v>0.03</v>
      </c>
      <c r="L19" s="30">
        <f t="shared" si="0"/>
        <v>1.571</v>
      </c>
      <c r="M19" s="30">
        <f t="shared" si="1"/>
        <v>1.552</v>
      </c>
      <c r="N19" s="30">
        <f t="shared" si="2"/>
        <v>1.8999999999999906E-2</v>
      </c>
      <c r="O19" s="31">
        <f t="shared" si="3"/>
        <v>1.5655333333333337</v>
      </c>
      <c r="P19" s="52"/>
      <c r="Q19" s="30">
        <v>1.5629999999999999</v>
      </c>
      <c r="R19" s="30">
        <v>1.5660000000000001</v>
      </c>
      <c r="S19" s="30">
        <v>1.5680000000000001</v>
      </c>
      <c r="T19" s="30">
        <v>1.5640000000000001</v>
      </c>
      <c r="U19" s="30">
        <v>1.5640000000000001</v>
      </c>
      <c r="V19" s="30">
        <v>1.569</v>
      </c>
      <c r="W19" s="30">
        <v>1.5660000000000001</v>
      </c>
      <c r="X19" s="30">
        <v>1.552</v>
      </c>
      <c r="Y19" s="30">
        <v>1.571</v>
      </c>
      <c r="Z19" s="30">
        <v>1.5660000000000001</v>
      </c>
      <c r="AA19" s="30">
        <v>1.5649999999999999</v>
      </c>
      <c r="AB19" s="30">
        <v>1.5640000000000001</v>
      </c>
      <c r="AC19" s="30">
        <v>1.5640000000000001</v>
      </c>
      <c r="AD19" s="30">
        <v>1.5640000000000001</v>
      </c>
      <c r="AE19" s="30">
        <v>1.5669999999999999</v>
      </c>
      <c r="AF19" s="30">
        <v>1.569</v>
      </c>
      <c r="AG19" s="30">
        <v>1.5609999999999999</v>
      </c>
      <c r="AH19" s="30">
        <v>1.5680000000000001</v>
      </c>
      <c r="AI19" s="30">
        <v>1.5640000000000001</v>
      </c>
      <c r="AJ19" s="30">
        <v>1.5629999999999999</v>
      </c>
      <c r="AK19" s="30">
        <v>1.5640000000000001</v>
      </c>
      <c r="AL19" s="30">
        <v>1.5649999999999999</v>
      </c>
      <c r="AM19" s="30">
        <v>1.569</v>
      </c>
      <c r="AN19" s="30">
        <v>1.5629999999999999</v>
      </c>
      <c r="AO19" s="30">
        <v>1.5640000000000001</v>
      </c>
      <c r="AP19" s="30">
        <v>1.569</v>
      </c>
      <c r="AQ19" s="30">
        <v>1.571</v>
      </c>
      <c r="AR19" s="30">
        <v>1.5669999999999999</v>
      </c>
      <c r="AS19" s="30">
        <v>1.5660000000000001</v>
      </c>
      <c r="AT19" s="30">
        <v>1.57</v>
      </c>
      <c r="AU19" s="30">
        <v>1.5669999999999999</v>
      </c>
      <c r="AV19" s="30">
        <v>1.5680000000000001</v>
      </c>
      <c r="AW19" s="30">
        <v>1.5669999999999999</v>
      </c>
    </row>
    <row r="20" spans="1:49" ht="18" customHeight="1">
      <c r="A20" s="23"/>
      <c r="B20" s="12"/>
      <c r="C20" s="76" t="s">
        <v>77</v>
      </c>
      <c r="D20" s="35" t="s">
        <v>99</v>
      </c>
      <c r="E20" s="35"/>
      <c r="F20" s="29" t="s">
        <v>100</v>
      </c>
      <c r="G20" s="38">
        <v>1.55</v>
      </c>
      <c r="H20" s="38">
        <v>0.03</v>
      </c>
      <c r="I20" s="38">
        <v>0.03</v>
      </c>
      <c r="J20" s="38">
        <v>0.03</v>
      </c>
      <c r="K20" s="38">
        <v>0.03</v>
      </c>
      <c r="L20" s="30">
        <f t="shared" si="0"/>
        <v>1.58</v>
      </c>
      <c r="M20" s="30">
        <f t="shared" si="1"/>
        <v>1.556</v>
      </c>
      <c r="N20" s="30">
        <f t="shared" si="2"/>
        <v>2.4000000000000021E-2</v>
      </c>
      <c r="O20" s="31">
        <f t="shared" si="3"/>
        <v>1.5654999999999999</v>
      </c>
      <c r="P20" s="52"/>
      <c r="Q20" s="30">
        <v>1.5680000000000001</v>
      </c>
      <c r="R20" s="30">
        <v>1.5640000000000001</v>
      </c>
      <c r="S20" s="30">
        <v>1.5649999999999999</v>
      </c>
      <c r="T20" s="30">
        <v>1.5640000000000001</v>
      </c>
      <c r="U20" s="30">
        <v>1.5569999999999999</v>
      </c>
      <c r="V20" s="30">
        <v>1.5620000000000001</v>
      </c>
      <c r="W20" s="30">
        <v>1.5669999999999999</v>
      </c>
      <c r="X20" s="30">
        <v>1.58</v>
      </c>
      <c r="Y20" s="30">
        <v>1.5569999999999999</v>
      </c>
      <c r="Z20" s="30">
        <v>1.5669999999999999</v>
      </c>
      <c r="AA20" s="30">
        <v>1.5780000000000001</v>
      </c>
      <c r="AB20" s="30">
        <v>1.57</v>
      </c>
      <c r="AC20" s="30">
        <v>1.573</v>
      </c>
      <c r="AD20" s="30">
        <v>1.569</v>
      </c>
      <c r="AE20" s="30">
        <v>1.57</v>
      </c>
      <c r="AF20" s="30">
        <v>1.5569999999999999</v>
      </c>
      <c r="AG20" s="30">
        <v>1.5669999999999999</v>
      </c>
      <c r="AH20" s="30">
        <v>1.5669999999999999</v>
      </c>
      <c r="AI20" s="30">
        <v>1.5569999999999999</v>
      </c>
      <c r="AJ20" s="30">
        <v>1.556</v>
      </c>
      <c r="AK20" s="30">
        <v>1.56</v>
      </c>
      <c r="AL20" s="30">
        <v>1.5720000000000001</v>
      </c>
      <c r="AM20" s="30">
        <v>1.5649999999999999</v>
      </c>
      <c r="AN20" s="30">
        <v>1.5660000000000001</v>
      </c>
      <c r="AO20" s="30">
        <v>1.5589999999999999</v>
      </c>
      <c r="AP20" s="30">
        <v>1.5649999999999999</v>
      </c>
      <c r="AQ20" s="30">
        <v>1.5620000000000001</v>
      </c>
      <c r="AR20" s="30">
        <v>1.57</v>
      </c>
      <c r="AS20" s="30">
        <v>1.57</v>
      </c>
      <c r="AT20" s="30">
        <v>1.5609999999999999</v>
      </c>
      <c r="AU20" s="30">
        <v>1.57</v>
      </c>
      <c r="AV20" s="30">
        <v>1.569</v>
      </c>
      <c r="AW20" s="30">
        <v>1.56</v>
      </c>
    </row>
    <row r="21" spans="1:49" ht="18" customHeight="1">
      <c r="A21" s="23"/>
      <c r="B21" s="12"/>
      <c r="C21" s="76" t="s">
        <v>77</v>
      </c>
      <c r="D21" s="35" t="s">
        <v>101</v>
      </c>
      <c r="E21" s="35"/>
      <c r="F21" s="29" t="s">
        <v>102</v>
      </c>
      <c r="G21" s="38">
        <v>1.55</v>
      </c>
      <c r="H21" s="38">
        <v>0.03</v>
      </c>
      <c r="I21" s="38">
        <v>0.03</v>
      </c>
      <c r="J21" s="38">
        <v>0.03</v>
      </c>
      <c r="K21" s="38">
        <v>0.03</v>
      </c>
      <c r="L21" s="30">
        <f t="shared" si="0"/>
        <v>1.581</v>
      </c>
      <c r="M21" s="30">
        <f t="shared" si="1"/>
        <v>1.5620000000000001</v>
      </c>
      <c r="N21" s="30">
        <f t="shared" si="2"/>
        <v>1.8999999999999906E-2</v>
      </c>
      <c r="O21" s="31">
        <f t="shared" si="3"/>
        <v>1.5706666666666669</v>
      </c>
      <c r="P21" s="52"/>
      <c r="Q21" s="30">
        <v>1.575</v>
      </c>
      <c r="R21" s="30">
        <v>1.5720000000000001</v>
      </c>
      <c r="S21" s="30">
        <v>1.571</v>
      </c>
      <c r="T21" s="30">
        <v>1.5680000000000001</v>
      </c>
      <c r="U21" s="30">
        <v>1.573</v>
      </c>
      <c r="V21" s="30">
        <v>1.5629999999999999</v>
      </c>
      <c r="W21" s="30">
        <v>1.5649999999999999</v>
      </c>
      <c r="X21" s="30">
        <v>1.581</v>
      </c>
      <c r="Y21" s="30">
        <v>1.581</v>
      </c>
      <c r="Z21" s="30">
        <v>1.5649999999999999</v>
      </c>
      <c r="AA21" s="30">
        <v>1.5649999999999999</v>
      </c>
      <c r="AB21" s="30">
        <v>1.571</v>
      </c>
      <c r="AC21" s="30">
        <v>1.5620000000000001</v>
      </c>
      <c r="AD21" s="30">
        <v>1.57</v>
      </c>
      <c r="AE21" s="30">
        <v>1.5620000000000001</v>
      </c>
      <c r="AF21" s="30">
        <v>1.5660000000000001</v>
      </c>
      <c r="AG21" s="30">
        <v>1.569</v>
      </c>
      <c r="AH21" s="30">
        <v>1.5680000000000001</v>
      </c>
      <c r="AI21" s="30">
        <v>1.577</v>
      </c>
      <c r="AJ21" s="30">
        <v>1.5740000000000001</v>
      </c>
      <c r="AK21" s="30">
        <v>1.5669999999999999</v>
      </c>
      <c r="AL21" s="30">
        <v>1.57</v>
      </c>
      <c r="AM21" s="30">
        <v>1.5740000000000001</v>
      </c>
      <c r="AN21" s="30">
        <v>1.5760000000000001</v>
      </c>
      <c r="AO21" s="30">
        <v>1.573</v>
      </c>
      <c r="AP21" s="30">
        <v>1.5720000000000001</v>
      </c>
      <c r="AQ21" s="30">
        <v>1.57</v>
      </c>
      <c r="AR21" s="30">
        <v>1.58</v>
      </c>
      <c r="AS21" s="30">
        <v>1.573</v>
      </c>
      <c r="AT21" s="30">
        <v>1.5669999999999999</v>
      </c>
      <c r="AU21" s="30">
        <v>1.58</v>
      </c>
      <c r="AV21" s="30">
        <v>1.573</v>
      </c>
      <c r="AW21" s="30">
        <v>1.5669999999999999</v>
      </c>
    </row>
    <row r="22" spans="1:49" ht="18" customHeight="1">
      <c r="A22" s="23"/>
      <c r="B22" s="12"/>
      <c r="C22" s="76" t="s">
        <v>77</v>
      </c>
      <c r="D22" s="35" t="s">
        <v>103</v>
      </c>
      <c r="E22" s="35"/>
      <c r="F22" s="29" t="s">
        <v>104</v>
      </c>
      <c r="G22" s="38">
        <v>1.55</v>
      </c>
      <c r="H22" s="38">
        <v>0.03</v>
      </c>
      <c r="I22" s="38">
        <v>0.03</v>
      </c>
      <c r="J22" s="38">
        <v>0.03</v>
      </c>
      <c r="K22" s="38">
        <v>0.03</v>
      </c>
      <c r="L22" s="30">
        <f t="shared" si="0"/>
        <v>1.58</v>
      </c>
      <c r="M22" s="30">
        <f t="shared" si="1"/>
        <v>1.5529999999999999</v>
      </c>
      <c r="N22" s="30">
        <f t="shared" si="2"/>
        <v>2.7000000000000135E-2</v>
      </c>
      <c r="O22" s="31">
        <f t="shared" si="3"/>
        <v>1.5677999999999999</v>
      </c>
      <c r="P22" s="52"/>
      <c r="Q22" s="30">
        <v>1.5629999999999999</v>
      </c>
      <c r="R22" s="30">
        <v>1.569</v>
      </c>
      <c r="S22" s="30">
        <v>1.5629999999999999</v>
      </c>
      <c r="T22" s="30">
        <v>1.5669999999999999</v>
      </c>
      <c r="U22" s="30">
        <v>1.5740000000000001</v>
      </c>
      <c r="V22" s="30">
        <v>1.5660000000000001</v>
      </c>
      <c r="W22" s="30">
        <v>1.577</v>
      </c>
      <c r="X22" s="30">
        <v>1.5760000000000001</v>
      </c>
      <c r="Y22" s="30">
        <v>1.57</v>
      </c>
      <c r="Z22" s="30">
        <v>1.577</v>
      </c>
      <c r="AA22" s="30">
        <v>1.556</v>
      </c>
      <c r="AB22" s="30">
        <v>1.5580000000000001</v>
      </c>
      <c r="AC22" s="30">
        <v>1.5680000000000001</v>
      </c>
      <c r="AD22" s="30">
        <v>1.56</v>
      </c>
      <c r="AE22" s="30">
        <v>1.571</v>
      </c>
      <c r="AF22" s="30">
        <v>1.5620000000000001</v>
      </c>
      <c r="AG22" s="30">
        <v>1.5629999999999999</v>
      </c>
      <c r="AH22" s="30">
        <v>1.5740000000000001</v>
      </c>
      <c r="AI22" s="30">
        <v>1.579</v>
      </c>
      <c r="AJ22" s="30">
        <v>1.573</v>
      </c>
      <c r="AK22" s="30">
        <v>1.5669999999999999</v>
      </c>
      <c r="AL22" s="30">
        <v>1.5529999999999999</v>
      </c>
      <c r="AM22" s="30">
        <v>1.5780000000000001</v>
      </c>
      <c r="AN22" s="30">
        <v>1.5680000000000001</v>
      </c>
      <c r="AO22" s="30">
        <v>1.5720000000000001</v>
      </c>
      <c r="AP22" s="30">
        <v>1.5620000000000001</v>
      </c>
      <c r="AQ22" s="30">
        <v>1.58</v>
      </c>
      <c r="AR22" s="30">
        <v>1.5549999999999999</v>
      </c>
      <c r="AS22" s="30">
        <v>1.56</v>
      </c>
      <c r="AT22" s="30">
        <v>1.573</v>
      </c>
      <c r="AU22" s="30">
        <v>1.5549999999999999</v>
      </c>
      <c r="AV22" s="30">
        <v>1.5740000000000001</v>
      </c>
      <c r="AW22" s="30">
        <v>1.569</v>
      </c>
    </row>
    <row r="23" spans="1:49" ht="18" customHeight="1">
      <c r="A23" s="23"/>
      <c r="B23" s="12"/>
      <c r="C23" s="76" t="s">
        <v>77</v>
      </c>
      <c r="D23" s="35" t="s">
        <v>105</v>
      </c>
      <c r="E23" s="35"/>
      <c r="F23" s="29" t="s">
        <v>106</v>
      </c>
      <c r="G23" s="38">
        <v>1.55</v>
      </c>
      <c r="H23" s="38">
        <v>0.03</v>
      </c>
      <c r="I23" s="38">
        <v>0.03</v>
      </c>
      <c r="J23" s="38">
        <v>0.03</v>
      </c>
      <c r="K23" s="38">
        <v>0.03</v>
      </c>
      <c r="L23" s="30">
        <f t="shared" si="0"/>
        <v>1.57</v>
      </c>
      <c r="M23" s="30">
        <f t="shared" si="1"/>
        <v>1.552</v>
      </c>
      <c r="N23" s="30">
        <f t="shared" si="2"/>
        <v>1.8000000000000016E-2</v>
      </c>
      <c r="O23" s="31">
        <f t="shared" si="3"/>
        <v>1.5609</v>
      </c>
      <c r="P23" s="52"/>
      <c r="Q23" s="30">
        <v>1.554</v>
      </c>
      <c r="R23" s="30">
        <v>1.552</v>
      </c>
      <c r="S23" s="30">
        <v>1.556</v>
      </c>
      <c r="T23" s="30">
        <v>1.5620000000000001</v>
      </c>
      <c r="U23" s="30">
        <v>1.5569999999999999</v>
      </c>
      <c r="V23" s="30">
        <v>1.5569999999999999</v>
      </c>
      <c r="W23" s="30">
        <v>1.56</v>
      </c>
      <c r="X23" s="30">
        <v>1.57</v>
      </c>
      <c r="Y23" s="30">
        <v>1.5580000000000001</v>
      </c>
      <c r="Z23" s="30">
        <v>1.56</v>
      </c>
      <c r="AA23" s="30">
        <v>1.5589999999999999</v>
      </c>
      <c r="AB23" s="30">
        <v>1.5609999999999999</v>
      </c>
      <c r="AC23" s="30">
        <v>1.56</v>
      </c>
      <c r="AD23" s="30">
        <v>1.56</v>
      </c>
      <c r="AE23" s="30">
        <v>1.5629999999999999</v>
      </c>
      <c r="AF23" s="30">
        <v>1.5669999999999999</v>
      </c>
      <c r="AG23" s="30">
        <v>1.5569999999999999</v>
      </c>
      <c r="AH23" s="30">
        <v>1.5609999999999999</v>
      </c>
      <c r="AI23" s="30">
        <v>1.5669999999999999</v>
      </c>
      <c r="AJ23" s="30">
        <v>1.5620000000000001</v>
      </c>
      <c r="AK23" s="30">
        <v>1.5609999999999999</v>
      </c>
      <c r="AL23" s="30">
        <v>1.5629999999999999</v>
      </c>
      <c r="AM23" s="30">
        <v>1.5629999999999999</v>
      </c>
      <c r="AN23" s="30">
        <v>1.56</v>
      </c>
      <c r="AO23" s="30">
        <v>1.5609999999999999</v>
      </c>
      <c r="AP23" s="30">
        <v>1.5620000000000001</v>
      </c>
      <c r="AQ23" s="30">
        <v>1.5649999999999999</v>
      </c>
      <c r="AR23" s="30">
        <v>1.56</v>
      </c>
      <c r="AS23" s="30">
        <v>1.5669999999999999</v>
      </c>
      <c r="AT23" s="30">
        <v>1.5620000000000001</v>
      </c>
      <c r="AU23" s="30">
        <v>1.56</v>
      </c>
      <c r="AV23" s="30">
        <v>1.5660000000000001</v>
      </c>
      <c r="AW23" s="30">
        <v>1.5609999999999999</v>
      </c>
    </row>
    <row r="24" spans="1:49" ht="18" customHeight="1">
      <c r="A24" s="23"/>
      <c r="B24" s="12"/>
      <c r="C24" s="76" t="s">
        <v>77</v>
      </c>
      <c r="D24" s="35" t="s">
        <v>107</v>
      </c>
      <c r="E24" s="35"/>
      <c r="F24" s="29" t="s">
        <v>108</v>
      </c>
      <c r="G24" s="38">
        <v>1.55</v>
      </c>
      <c r="H24" s="38">
        <v>0.03</v>
      </c>
      <c r="I24" s="38">
        <v>0.03</v>
      </c>
      <c r="J24" s="38">
        <v>0.03</v>
      </c>
      <c r="K24" s="38">
        <v>0.03</v>
      </c>
      <c r="L24" s="30">
        <f t="shared" si="0"/>
        <v>1.5760000000000001</v>
      </c>
      <c r="M24" s="30">
        <f t="shared" si="1"/>
        <v>1.554</v>
      </c>
      <c r="N24" s="30">
        <f t="shared" si="2"/>
        <v>2.200000000000002E-2</v>
      </c>
      <c r="O24" s="31">
        <f t="shared" si="3"/>
        <v>1.5611000000000002</v>
      </c>
      <c r="P24" s="52"/>
      <c r="Q24" s="30">
        <v>1.5569999999999999</v>
      </c>
      <c r="R24" s="30">
        <v>1.5609999999999999</v>
      </c>
      <c r="S24" s="30">
        <v>1.56</v>
      </c>
      <c r="T24" s="30">
        <v>1.554</v>
      </c>
      <c r="U24" s="30">
        <v>1.5620000000000001</v>
      </c>
      <c r="V24" s="30">
        <v>1.5669999999999999</v>
      </c>
      <c r="W24" s="30">
        <v>1.56</v>
      </c>
      <c r="X24" s="30">
        <v>1.5760000000000001</v>
      </c>
      <c r="Y24" s="30">
        <v>1.5609999999999999</v>
      </c>
      <c r="Z24" s="30">
        <v>1.56</v>
      </c>
      <c r="AA24" s="30">
        <v>1.57</v>
      </c>
      <c r="AB24" s="30">
        <v>1.5669999999999999</v>
      </c>
      <c r="AC24" s="30">
        <v>1.5589999999999999</v>
      </c>
      <c r="AD24" s="30">
        <v>1.5609999999999999</v>
      </c>
      <c r="AE24" s="30">
        <v>1.56</v>
      </c>
      <c r="AF24" s="30">
        <v>1.5620000000000001</v>
      </c>
      <c r="AG24" s="30">
        <v>1.5609999999999999</v>
      </c>
      <c r="AH24" s="30">
        <v>1.556</v>
      </c>
      <c r="AI24" s="30">
        <v>1.56</v>
      </c>
      <c r="AJ24" s="30">
        <v>1.5609999999999999</v>
      </c>
      <c r="AK24" s="30">
        <v>1.5589999999999999</v>
      </c>
      <c r="AL24" s="30">
        <v>1.5660000000000001</v>
      </c>
      <c r="AM24" s="30">
        <v>1.56</v>
      </c>
      <c r="AN24" s="30">
        <v>1.5609999999999999</v>
      </c>
      <c r="AO24" s="30">
        <v>1.5589999999999999</v>
      </c>
      <c r="AP24" s="30">
        <v>1.5569999999999999</v>
      </c>
      <c r="AQ24" s="30">
        <v>1.56</v>
      </c>
      <c r="AR24" s="30">
        <v>1.5589999999999999</v>
      </c>
      <c r="AS24" s="30">
        <v>1.5589999999999999</v>
      </c>
      <c r="AT24" s="30">
        <v>1.5580000000000001</v>
      </c>
      <c r="AU24" s="30">
        <v>1.5589999999999999</v>
      </c>
      <c r="AV24" s="30">
        <v>1.5569999999999999</v>
      </c>
      <c r="AW24" s="30">
        <v>1.5580000000000001</v>
      </c>
    </row>
    <row r="25" spans="1:49" ht="18" customHeight="1">
      <c r="A25" s="23"/>
      <c r="B25" s="12"/>
      <c r="C25" s="76" t="s">
        <v>77</v>
      </c>
      <c r="D25" s="35" t="s">
        <v>109</v>
      </c>
      <c r="E25" s="35"/>
      <c r="F25" s="29" t="s">
        <v>110</v>
      </c>
      <c r="G25" s="38">
        <v>1.55</v>
      </c>
      <c r="H25" s="38">
        <v>0.03</v>
      </c>
      <c r="I25" s="38">
        <v>0.03</v>
      </c>
      <c r="J25" s="38">
        <v>0.03</v>
      </c>
      <c r="K25" s="38">
        <v>0.03</v>
      </c>
      <c r="L25" s="30">
        <f t="shared" si="0"/>
        <v>1.5820000000000001</v>
      </c>
      <c r="M25" s="30">
        <f t="shared" si="1"/>
        <v>1.5580000000000001</v>
      </c>
      <c r="N25" s="30">
        <f t="shared" si="2"/>
        <v>2.4000000000000021E-2</v>
      </c>
      <c r="O25" s="31">
        <f t="shared" si="3"/>
        <v>1.5676666666666668</v>
      </c>
      <c r="P25" s="52"/>
      <c r="Q25" s="30">
        <v>1.57</v>
      </c>
      <c r="R25" s="30">
        <v>1.5609999999999999</v>
      </c>
      <c r="S25" s="30">
        <v>1.571</v>
      </c>
      <c r="T25" s="30">
        <v>1.569</v>
      </c>
      <c r="U25" s="30">
        <v>1.5649999999999999</v>
      </c>
      <c r="V25" s="30">
        <v>1.5660000000000001</v>
      </c>
      <c r="W25" s="30">
        <v>1.569</v>
      </c>
      <c r="X25" s="30">
        <v>1.5820000000000001</v>
      </c>
      <c r="Y25" s="30">
        <v>1.5720000000000001</v>
      </c>
      <c r="Z25" s="30">
        <v>1.569</v>
      </c>
      <c r="AA25" s="30">
        <v>1.569</v>
      </c>
      <c r="AB25" s="30">
        <v>1.5669999999999999</v>
      </c>
      <c r="AC25" s="30">
        <v>1.569</v>
      </c>
      <c r="AD25" s="30">
        <v>1.5629999999999999</v>
      </c>
      <c r="AE25" s="30">
        <v>1.5680000000000001</v>
      </c>
      <c r="AF25" s="30">
        <v>1.5680000000000001</v>
      </c>
      <c r="AG25" s="30">
        <v>1.5629999999999999</v>
      </c>
      <c r="AH25" s="30">
        <v>1.5640000000000001</v>
      </c>
      <c r="AI25" s="30">
        <v>1.571</v>
      </c>
      <c r="AJ25" s="30">
        <v>1.5629999999999999</v>
      </c>
      <c r="AK25" s="30">
        <v>1.5720000000000001</v>
      </c>
      <c r="AL25" s="30">
        <v>1.5580000000000001</v>
      </c>
      <c r="AM25" s="30">
        <v>1.569</v>
      </c>
      <c r="AN25" s="30">
        <v>1.5680000000000001</v>
      </c>
      <c r="AO25" s="30">
        <v>1.5720000000000001</v>
      </c>
      <c r="AP25" s="30">
        <v>1.571</v>
      </c>
      <c r="AQ25" s="30">
        <v>1.5669999999999999</v>
      </c>
      <c r="AR25" s="30">
        <v>1.5649999999999999</v>
      </c>
      <c r="AS25" s="30">
        <v>1.5629999999999999</v>
      </c>
      <c r="AT25" s="30">
        <v>1.5660000000000001</v>
      </c>
      <c r="AU25" s="30">
        <v>1.5649999999999999</v>
      </c>
      <c r="AV25" s="30">
        <v>1.5549999999999999</v>
      </c>
      <c r="AW25" s="30">
        <v>1.5640000000000001</v>
      </c>
    </row>
    <row r="26" spans="1:49" ht="18" customHeight="1">
      <c r="A26" s="23"/>
      <c r="B26" s="12"/>
      <c r="C26" s="76" t="s">
        <v>77</v>
      </c>
      <c r="D26" s="35" t="s">
        <v>111</v>
      </c>
      <c r="E26" s="35"/>
      <c r="F26" s="29" t="s">
        <v>112</v>
      </c>
      <c r="G26" s="38">
        <v>1.55</v>
      </c>
      <c r="H26" s="38">
        <v>0.03</v>
      </c>
      <c r="I26" s="38">
        <v>0.03</v>
      </c>
      <c r="J26" s="38">
        <v>0.03</v>
      </c>
      <c r="K26" s="38">
        <v>0.03</v>
      </c>
      <c r="L26" s="30">
        <f t="shared" si="0"/>
        <v>1.581</v>
      </c>
      <c r="M26" s="30">
        <f t="shared" si="1"/>
        <v>1.5569999999999999</v>
      </c>
      <c r="N26" s="30">
        <f t="shared" si="2"/>
        <v>2.4000000000000021E-2</v>
      </c>
      <c r="O26" s="31">
        <f t="shared" si="3"/>
        <v>1.5673666666666668</v>
      </c>
      <c r="P26" s="52"/>
      <c r="Q26" s="30">
        <v>1.569</v>
      </c>
      <c r="R26" s="30">
        <v>1.5649999999999999</v>
      </c>
      <c r="S26" s="30">
        <v>1.5649999999999999</v>
      </c>
      <c r="T26" s="30">
        <v>1.5609999999999999</v>
      </c>
      <c r="U26" s="30">
        <v>1.5620000000000001</v>
      </c>
      <c r="V26" s="30">
        <v>1.5609999999999999</v>
      </c>
      <c r="W26" s="30">
        <v>1.5640000000000001</v>
      </c>
      <c r="X26" s="30">
        <v>1.581</v>
      </c>
      <c r="Y26" s="30">
        <v>1.57</v>
      </c>
      <c r="Z26" s="30">
        <v>1.5640000000000001</v>
      </c>
      <c r="AA26" s="30">
        <v>1.573</v>
      </c>
      <c r="AB26" s="30">
        <v>1.5620000000000001</v>
      </c>
      <c r="AC26" s="30">
        <v>1.5680000000000001</v>
      </c>
      <c r="AD26" s="30">
        <v>1.5649999999999999</v>
      </c>
      <c r="AE26" s="30">
        <v>1.5569999999999999</v>
      </c>
      <c r="AF26" s="30">
        <v>1.571</v>
      </c>
      <c r="AG26" s="30">
        <v>1.5680000000000001</v>
      </c>
      <c r="AH26" s="30">
        <v>1.575</v>
      </c>
      <c r="AI26" s="30">
        <v>1.5669999999999999</v>
      </c>
      <c r="AJ26" s="30">
        <v>1.569</v>
      </c>
      <c r="AK26" s="30">
        <v>1.5660000000000001</v>
      </c>
      <c r="AL26" s="30">
        <v>1.5720000000000001</v>
      </c>
      <c r="AM26" s="30">
        <v>1.5660000000000001</v>
      </c>
      <c r="AN26" s="30">
        <v>1.571</v>
      </c>
      <c r="AO26" s="30">
        <v>1.5620000000000001</v>
      </c>
      <c r="AP26" s="30">
        <v>1.5669999999999999</v>
      </c>
      <c r="AQ26" s="30">
        <v>1.5680000000000001</v>
      </c>
      <c r="AR26" s="30">
        <v>1.57</v>
      </c>
      <c r="AS26" s="30">
        <v>1.5680000000000001</v>
      </c>
      <c r="AT26" s="30">
        <v>1.5740000000000001</v>
      </c>
      <c r="AU26" s="30">
        <v>1.57</v>
      </c>
      <c r="AV26" s="30">
        <v>1.5720000000000001</v>
      </c>
      <c r="AW26" s="30">
        <v>1.569</v>
      </c>
    </row>
    <row r="27" spans="1:49" ht="18" customHeight="1">
      <c r="A27" s="23"/>
      <c r="B27" s="12"/>
      <c r="C27" s="77" t="s">
        <v>77</v>
      </c>
      <c r="D27" s="35" t="s">
        <v>113</v>
      </c>
      <c r="E27" s="35"/>
      <c r="F27" s="29" t="s">
        <v>114</v>
      </c>
      <c r="G27" s="38">
        <v>1.55</v>
      </c>
      <c r="H27" s="38">
        <v>0.03</v>
      </c>
      <c r="I27" s="38">
        <v>0.03</v>
      </c>
      <c r="J27" s="38">
        <v>0.03</v>
      </c>
      <c r="K27" s="38">
        <v>0.03</v>
      </c>
      <c r="L27" s="30">
        <f t="shared" si="0"/>
        <v>1.577</v>
      </c>
      <c r="M27" s="30">
        <f t="shared" si="1"/>
        <v>1.552</v>
      </c>
      <c r="N27" s="30">
        <f t="shared" si="2"/>
        <v>2.4999999999999911E-2</v>
      </c>
      <c r="O27" s="31">
        <f t="shared" si="3"/>
        <v>1.5583333333333333</v>
      </c>
      <c r="P27" s="52"/>
      <c r="Q27" s="30">
        <v>1.552</v>
      </c>
      <c r="R27" s="30">
        <v>1.556</v>
      </c>
      <c r="S27" s="30">
        <v>1.5629999999999999</v>
      </c>
      <c r="T27" s="30">
        <v>1.5589999999999999</v>
      </c>
      <c r="U27" s="30">
        <v>1.5549999999999999</v>
      </c>
      <c r="V27" s="30">
        <v>1.5629999999999999</v>
      </c>
      <c r="W27" s="30">
        <v>1.556</v>
      </c>
      <c r="X27" s="30">
        <v>1.577</v>
      </c>
      <c r="Y27" s="30">
        <v>1.5609999999999999</v>
      </c>
      <c r="Z27" s="30">
        <v>1.556</v>
      </c>
      <c r="AA27" s="30">
        <v>1.556</v>
      </c>
      <c r="AB27" s="30">
        <v>1.554</v>
      </c>
      <c r="AC27" s="30">
        <v>1.5549999999999999</v>
      </c>
      <c r="AD27" s="30">
        <v>1.5589999999999999</v>
      </c>
      <c r="AE27" s="30">
        <v>1.5589999999999999</v>
      </c>
      <c r="AF27" s="30">
        <v>1.556</v>
      </c>
      <c r="AG27" s="30">
        <v>1.5660000000000001</v>
      </c>
      <c r="AH27" s="30">
        <v>1.5569999999999999</v>
      </c>
      <c r="AI27" s="30">
        <v>1.556</v>
      </c>
      <c r="AJ27" s="30">
        <v>1.5589999999999999</v>
      </c>
      <c r="AK27" s="30">
        <v>1.554</v>
      </c>
      <c r="AL27" s="30">
        <v>1.5569999999999999</v>
      </c>
      <c r="AM27" s="30">
        <v>1.5549999999999999</v>
      </c>
      <c r="AN27" s="30">
        <v>1.5660000000000001</v>
      </c>
      <c r="AO27" s="30">
        <v>1.5580000000000001</v>
      </c>
      <c r="AP27" s="30">
        <v>1.556</v>
      </c>
      <c r="AQ27" s="30">
        <v>1.554</v>
      </c>
      <c r="AR27" s="30">
        <v>1.5549999999999999</v>
      </c>
      <c r="AS27" s="30">
        <v>1.5580000000000001</v>
      </c>
      <c r="AT27" s="30">
        <v>1.5620000000000001</v>
      </c>
      <c r="AU27" s="30">
        <v>1.5549999999999999</v>
      </c>
      <c r="AV27" s="30">
        <v>1.548</v>
      </c>
      <c r="AW27" s="30">
        <v>1.5580000000000001</v>
      </c>
    </row>
    <row r="28" spans="1:49" ht="18" customHeight="1">
      <c r="A28" s="23"/>
      <c r="B28" s="12"/>
      <c r="C28" s="78" t="s">
        <v>115</v>
      </c>
      <c r="D28" s="35" t="s">
        <v>116</v>
      </c>
      <c r="E28" s="35" t="s">
        <v>377</v>
      </c>
      <c r="F28" s="29" t="s">
        <v>118</v>
      </c>
      <c r="G28" s="38">
        <v>4.1399999999999997</v>
      </c>
      <c r="H28" s="38">
        <v>0.03</v>
      </c>
      <c r="I28" s="38">
        <v>0.03</v>
      </c>
      <c r="J28" s="38">
        <v>0.03</v>
      </c>
      <c r="K28" s="38">
        <v>0.03</v>
      </c>
      <c r="L28" s="30">
        <f t="shared" si="0"/>
        <v>4.1319999999999997</v>
      </c>
      <c r="M28" s="30">
        <f t="shared" si="1"/>
        <v>4.12</v>
      </c>
      <c r="N28" s="30">
        <f t="shared" si="2"/>
        <v>1.1999999999999567E-2</v>
      </c>
      <c r="O28" s="31">
        <f t="shared" si="3"/>
        <v>4.125866666666667</v>
      </c>
      <c r="P28" s="52"/>
      <c r="Q28" s="30">
        <v>4.1239999999999997</v>
      </c>
      <c r="R28" s="30">
        <v>4.1269999999999998</v>
      </c>
      <c r="S28" s="30">
        <v>4.1280000000000001</v>
      </c>
      <c r="T28" s="30">
        <v>4.1260000000000003</v>
      </c>
      <c r="U28" s="30">
        <v>4.1280000000000001</v>
      </c>
      <c r="V28" s="30">
        <v>4.1280000000000001</v>
      </c>
      <c r="W28" s="30">
        <v>4.1260000000000003</v>
      </c>
      <c r="X28" s="30">
        <v>4.1239999999999997</v>
      </c>
      <c r="Y28" s="30">
        <v>4.1260000000000003</v>
      </c>
      <c r="Z28" s="30">
        <v>4.1280000000000001</v>
      </c>
      <c r="AA28" s="30">
        <v>4.1219999999999999</v>
      </c>
      <c r="AB28" s="30">
        <v>4.1289999999999996</v>
      </c>
      <c r="AC28" s="30">
        <v>4.1269999999999998</v>
      </c>
      <c r="AD28" s="30">
        <v>4.125</v>
      </c>
      <c r="AE28" s="30">
        <v>4.1280000000000001</v>
      </c>
      <c r="AF28" s="30">
        <v>4.1289999999999996</v>
      </c>
      <c r="AG28" s="30">
        <v>4.1239999999999997</v>
      </c>
      <c r="AH28" s="30">
        <v>4.125</v>
      </c>
      <c r="AI28" s="30">
        <v>4.1289999999999996</v>
      </c>
      <c r="AJ28" s="30">
        <v>4.125</v>
      </c>
      <c r="AK28" s="30">
        <v>4.1319999999999997</v>
      </c>
      <c r="AL28" s="30">
        <v>4.1280000000000001</v>
      </c>
      <c r="AM28" s="30">
        <v>4.1219999999999999</v>
      </c>
      <c r="AN28" s="30">
        <v>4.1230000000000002</v>
      </c>
      <c r="AO28" s="30">
        <v>4.1239999999999997</v>
      </c>
      <c r="AP28" s="30">
        <v>4.125</v>
      </c>
      <c r="AQ28" s="30">
        <v>4.12</v>
      </c>
      <c r="AR28" s="30">
        <v>4.1239999999999997</v>
      </c>
      <c r="AS28" s="30">
        <v>4.125</v>
      </c>
      <c r="AT28" s="30">
        <v>4.125</v>
      </c>
      <c r="AU28" s="30">
        <v>4.1239999999999997</v>
      </c>
      <c r="AV28" s="30">
        <v>4.1230000000000002</v>
      </c>
      <c r="AW28" s="30">
        <v>4.1239999999999997</v>
      </c>
    </row>
    <row r="29" spans="1:49" ht="18" customHeight="1">
      <c r="A29" s="23"/>
      <c r="B29" s="12"/>
      <c r="C29" s="78" t="s">
        <v>115</v>
      </c>
      <c r="D29" s="35" t="s">
        <v>119</v>
      </c>
      <c r="E29" s="35"/>
      <c r="F29" s="29" t="s">
        <v>120</v>
      </c>
      <c r="G29" s="38">
        <v>4.1399999999999997</v>
      </c>
      <c r="H29" s="38">
        <v>0.03</v>
      </c>
      <c r="I29" s="38">
        <v>0.03</v>
      </c>
      <c r="J29" s="38">
        <v>0.03</v>
      </c>
      <c r="K29" s="38">
        <v>0.03</v>
      </c>
      <c r="L29" s="30">
        <f t="shared" si="0"/>
        <v>4.149</v>
      </c>
      <c r="M29" s="30">
        <f t="shared" si="1"/>
        <v>4.12</v>
      </c>
      <c r="N29" s="30">
        <f t="shared" si="2"/>
        <v>2.8999999999999915E-2</v>
      </c>
      <c r="O29" s="31">
        <f t="shared" si="3"/>
        <v>4.1285666666666669</v>
      </c>
      <c r="P29" s="52"/>
      <c r="Q29" s="30">
        <v>4.125</v>
      </c>
      <c r="R29" s="30">
        <v>4.1390000000000002</v>
      </c>
      <c r="S29" s="30">
        <v>4.1429999999999998</v>
      </c>
      <c r="T29" s="30">
        <v>4.1379999999999999</v>
      </c>
      <c r="U29" s="30">
        <v>4.1429999999999998</v>
      </c>
      <c r="V29" s="30">
        <v>4.149</v>
      </c>
      <c r="W29" s="30">
        <v>4.1420000000000003</v>
      </c>
      <c r="X29" s="30">
        <v>4.1219999999999999</v>
      </c>
      <c r="Y29" s="30">
        <v>4.1260000000000003</v>
      </c>
      <c r="Z29" s="30">
        <v>4.13</v>
      </c>
      <c r="AA29" s="30">
        <v>4.12</v>
      </c>
      <c r="AB29" s="30">
        <v>4.1280000000000001</v>
      </c>
      <c r="AC29" s="30">
        <v>4.1289999999999996</v>
      </c>
      <c r="AD29" s="30">
        <v>4.1230000000000002</v>
      </c>
      <c r="AE29" s="30">
        <v>4.1269999999999998</v>
      </c>
      <c r="AF29" s="30">
        <v>4.125</v>
      </c>
      <c r="AG29" s="30">
        <v>4.1219999999999999</v>
      </c>
      <c r="AH29" s="30">
        <v>4.1269999999999998</v>
      </c>
      <c r="AI29" s="30">
        <v>4.13</v>
      </c>
      <c r="AJ29" s="30">
        <v>4.125</v>
      </c>
      <c r="AK29" s="30">
        <v>4.1319999999999997</v>
      </c>
      <c r="AL29" s="30">
        <v>4.125</v>
      </c>
      <c r="AM29" s="30">
        <v>4.1260000000000003</v>
      </c>
      <c r="AN29" s="30">
        <v>4.1230000000000002</v>
      </c>
      <c r="AO29" s="30">
        <v>4.1230000000000002</v>
      </c>
      <c r="AP29" s="30">
        <v>4.1230000000000002</v>
      </c>
      <c r="AQ29" s="30">
        <v>4.125</v>
      </c>
      <c r="AR29" s="30">
        <v>4.1239999999999997</v>
      </c>
      <c r="AS29" s="30">
        <v>4.1219999999999999</v>
      </c>
      <c r="AT29" s="30">
        <v>4.1210000000000004</v>
      </c>
      <c r="AU29" s="30">
        <v>4.1239999999999997</v>
      </c>
      <c r="AV29" s="30">
        <v>4.12</v>
      </c>
      <c r="AW29" s="30">
        <v>4.1189999999999998</v>
      </c>
    </row>
    <row r="30" spans="1:49" ht="18" customHeight="1">
      <c r="A30" s="23"/>
      <c r="B30" s="12"/>
      <c r="C30" s="78" t="s">
        <v>115</v>
      </c>
      <c r="D30" s="35" t="s">
        <v>121</v>
      </c>
      <c r="E30" s="35"/>
      <c r="F30" s="29" t="s">
        <v>122</v>
      </c>
      <c r="G30" s="38">
        <v>4.1399999999999997</v>
      </c>
      <c r="H30" s="38">
        <v>0.03</v>
      </c>
      <c r="I30" s="38">
        <v>0.03</v>
      </c>
      <c r="J30" s="38">
        <v>0.03</v>
      </c>
      <c r="K30" s="38">
        <v>0.03</v>
      </c>
      <c r="L30" s="30">
        <f t="shared" si="0"/>
        <v>4.1470000000000002</v>
      </c>
      <c r="M30" s="30">
        <f t="shared" si="1"/>
        <v>4.1100000000000003</v>
      </c>
      <c r="N30" s="30">
        <f t="shared" si="2"/>
        <v>3.6999999999999922E-2</v>
      </c>
      <c r="O30" s="31">
        <f t="shared" si="3"/>
        <v>4.1218666666666675</v>
      </c>
      <c r="P30" s="52"/>
      <c r="Q30" s="30">
        <v>4.1159999999999997</v>
      </c>
      <c r="R30" s="30">
        <v>4.1420000000000003</v>
      </c>
      <c r="S30" s="30">
        <v>4.1440000000000001</v>
      </c>
      <c r="T30" s="30">
        <v>4.141</v>
      </c>
      <c r="U30" s="30">
        <v>4.1449999999999996</v>
      </c>
      <c r="V30" s="30">
        <v>4.1470000000000002</v>
      </c>
      <c r="W30" s="30">
        <v>4.1429999999999998</v>
      </c>
      <c r="X30" s="30">
        <v>4.1159999999999997</v>
      </c>
      <c r="Y30" s="30">
        <v>4.1180000000000003</v>
      </c>
      <c r="Z30" s="30">
        <v>4.12</v>
      </c>
      <c r="AA30" s="30">
        <v>4.1150000000000002</v>
      </c>
      <c r="AB30" s="30">
        <v>4.12</v>
      </c>
      <c r="AC30" s="30">
        <v>4.1189999999999998</v>
      </c>
      <c r="AD30" s="30">
        <v>4.1180000000000003</v>
      </c>
      <c r="AE30" s="30">
        <v>4.1180000000000003</v>
      </c>
      <c r="AF30" s="30">
        <v>4.1100000000000003</v>
      </c>
      <c r="AG30" s="30">
        <v>4.117</v>
      </c>
      <c r="AH30" s="30">
        <v>4.117</v>
      </c>
      <c r="AI30" s="30">
        <v>4.12</v>
      </c>
      <c r="AJ30" s="30">
        <v>4.1159999999999997</v>
      </c>
      <c r="AK30" s="30">
        <v>4.1230000000000002</v>
      </c>
      <c r="AL30" s="30">
        <v>4.1180000000000003</v>
      </c>
      <c r="AM30" s="30">
        <v>4.117</v>
      </c>
      <c r="AN30" s="30">
        <v>4.1139999999999999</v>
      </c>
      <c r="AO30" s="30">
        <v>4.1130000000000004</v>
      </c>
      <c r="AP30" s="30">
        <v>4.1120000000000001</v>
      </c>
      <c r="AQ30" s="30">
        <v>4.1150000000000002</v>
      </c>
      <c r="AR30" s="30">
        <v>4.1159999999999997</v>
      </c>
      <c r="AS30" s="30">
        <v>4.1130000000000004</v>
      </c>
      <c r="AT30" s="30">
        <v>4.1130000000000004</v>
      </c>
      <c r="AU30" s="30">
        <v>4.1159999999999997</v>
      </c>
      <c r="AV30" s="30">
        <v>4.1120000000000001</v>
      </c>
      <c r="AW30" s="30">
        <v>4.1109999999999998</v>
      </c>
    </row>
    <row r="31" spans="1:49" ht="18" customHeight="1">
      <c r="A31" s="23"/>
      <c r="B31" s="12"/>
      <c r="C31" s="78" t="s">
        <v>115</v>
      </c>
      <c r="D31" s="35" t="s">
        <v>123</v>
      </c>
      <c r="E31" s="35"/>
      <c r="F31" s="29" t="s">
        <v>124</v>
      </c>
      <c r="G31" s="38">
        <v>4.1399999999999997</v>
      </c>
      <c r="H31" s="38">
        <v>0.03</v>
      </c>
      <c r="I31" s="38">
        <v>0.03</v>
      </c>
      <c r="J31" s="38">
        <v>0.03</v>
      </c>
      <c r="K31" s="38">
        <v>0.03</v>
      </c>
      <c r="L31" s="30">
        <f t="shared" si="0"/>
        <v>4.1449999999999996</v>
      </c>
      <c r="M31" s="30">
        <f t="shared" si="1"/>
        <v>4.1130000000000004</v>
      </c>
      <c r="N31" s="30">
        <f t="shared" si="2"/>
        <v>3.199999999999914E-2</v>
      </c>
      <c r="O31" s="31">
        <f t="shared" si="3"/>
        <v>4.1219333333333337</v>
      </c>
      <c r="P31" s="52"/>
      <c r="Q31" s="30">
        <v>4.1150000000000002</v>
      </c>
      <c r="R31" s="30">
        <v>4.1420000000000003</v>
      </c>
      <c r="S31" s="30">
        <v>4.141</v>
      </c>
      <c r="T31" s="30">
        <v>4.141</v>
      </c>
      <c r="U31" s="30">
        <v>4.1449999999999996</v>
      </c>
      <c r="V31" s="30">
        <v>4.1429999999999998</v>
      </c>
      <c r="W31" s="30">
        <v>4.1429999999999998</v>
      </c>
      <c r="X31" s="30">
        <v>4.1159999999999997</v>
      </c>
      <c r="Y31" s="30">
        <v>4.117</v>
      </c>
      <c r="Z31" s="30">
        <v>4.1180000000000003</v>
      </c>
      <c r="AA31" s="30">
        <v>4.1139999999999999</v>
      </c>
      <c r="AB31" s="30">
        <v>4.12</v>
      </c>
      <c r="AC31" s="30">
        <v>4.1150000000000002</v>
      </c>
      <c r="AD31" s="30">
        <v>4.117</v>
      </c>
      <c r="AE31" s="30">
        <v>4.1189999999999998</v>
      </c>
      <c r="AF31" s="30">
        <v>4.117</v>
      </c>
      <c r="AG31" s="30">
        <v>4.1150000000000002</v>
      </c>
      <c r="AH31" s="30">
        <v>4.1139999999999999</v>
      </c>
      <c r="AI31" s="30">
        <v>4.12</v>
      </c>
      <c r="AJ31" s="30">
        <v>4.1159999999999997</v>
      </c>
      <c r="AK31" s="30">
        <v>4.1219999999999999</v>
      </c>
      <c r="AL31" s="30">
        <v>4.1210000000000004</v>
      </c>
      <c r="AM31" s="30">
        <v>4.1139999999999999</v>
      </c>
      <c r="AN31" s="30">
        <v>4.1139999999999999</v>
      </c>
      <c r="AO31" s="30">
        <v>4.1180000000000003</v>
      </c>
      <c r="AP31" s="30">
        <v>4.1219999999999999</v>
      </c>
      <c r="AQ31" s="30">
        <v>4.1130000000000004</v>
      </c>
      <c r="AR31" s="30">
        <v>4.1139999999999999</v>
      </c>
      <c r="AS31" s="30">
        <v>4.1159999999999997</v>
      </c>
      <c r="AT31" s="30">
        <v>4.1159999999999997</v>
      </c>
      <c r="AU31" s="30">
        <v>4.1150000000000002</v>
      </c>
      <c r="AV31" s="30">
        <v>4.1139999999999999</v>
      </c>
      <c r="AW31" s="30">
        <v>4.1150000000000002</v>
      </c>
    </row>
    <row r="32" spans="1:49" ht="18" customHeight="1">
      <c r="A32" s="23"/>
      <c r="B32" s="12"/>
      <c r="C32" s="76" t="s">
        <v>77</v>
      </c>
      <c r="D32" s="35" t="s">
        <v>125</v>
      </c>
      <c r="E32" s="35"/>
      <c r="F32" s="29" t="s">
        <v>126</v>
      </c>
      <c r="G32" s="38">
        <v>3.75</v>
      </c>
      <c r="H32" s="38">
        <v>0.08</v>
      </c>
      <c r="I32" s="38">
        <v>0.05</v>
      </c>
      <c r="J32" s="38">
        <v>0.08</v>
      </c>
      <c r="K32" s="38">
        <v>0.05</v>
      </c>
      <c r="L32" s="30">
        <f t="shared" si="0"/>
        <v>3.7839999999999998</v>
      </c>
      <c r="M32" s="30">
        <f t="shared" si="1"/>
        <v>3.7360000000000002</v>
      </c>
      <c r="N32" s="30">
        <f t="shared" si="2"/>
        <v>4.7999999999999599E-2</v>
      </c>
      <c r="O32" s="31">
        <f t="shared" si="3"/>
        <v>3.7503666666666664</v>
      </c>
      <c r="P32" s="52"/>
      <c r="Q32" s="30">
        <v>3.7530000000000001</v>
      </c>
      <c r="R32" s="30">
        <v>3.7490000000000001</v>
      </c>
      <c r="S32" s="30">
        <v>3.7549999999999999</v>
      </c>
      <c r="T32" s="30">
        <v>3.7559999999999998</v>
      </c>
      <c r="U32" s="30">
        <v>3.7559999999999998</v>
      </c>
      <c r="V32" s="30">
        <v>3.746</v>
      </c>
      <c r="W32" s="30">
        <v>3.7389999999999999</v>
      </c>
      <c r="X32" s="30">
        <v>3.7839999999999998</v>
      </c>
      <c r="Y32" s="30">
        <v>3.7450000000000001</v>
      </c>
      <c r="Z32" s="30">
        <v>3.7389999999999999</v>
      </c>
      <c r="AA32" s="30">
        <v>3.7410000000000001</v>
      </c>
      <c r="AB32" s="30">
        <v>3.7519999999999998</v>
      </c>
      <c r="AC32" s="30">
        <v>3.742</v>
      </c>
      <c r="AD32" s="30">
        <v>3.7450000000000001</v>
      </c>
      <c r="AE32" s="30">
        <v>3.7509999999999999</v>
      </c>
      <c r="AF32" s="30">
        <v>3.7480000000000002</v>
      </c>
      <c r="AG32" s="30">
        <v>3.762</v>
      </c>
      <c r="AH32" s="30">
        <v>3.7589999999999999</v>
      </c>
      <c r="AI32" s="30">
        <v>3.75</v>
      </c>
      <c r="AJ32" s="30">
        <v>3.758</v>
      </c>
      <c r="AK32" s="30">
        <v>3.754</v>
      </c>
      <c r="AL32" s="30">
        <v>3.75</v>
      </c>
      <c r="AM32" s="30">
        <v>3.7610000000000001</v>
      </c>
      <c r="AN32" s="30">
        <v>3.7610000000000001</v>
      </c>
      <c r="AO32" s="30">
        <v>3.7469999999999999</v>
      </c>
      <c r="AP32" s="30">
        <v>3.7480000000000002</v>
      </c>
      <c r="AQ32" s="30">
        <v>3.7389999999999999</v>
      </c>
      <c r="AR32" s="30">
        <v>3.7360000000000002</v>
      </c>
      <c r="AS32" s="30">
        <v>3.7469999999999999</v>
      </c>
      <c r="AT32" s="30">
        <v>3.738</v>
      </c>
      <c r="AU32" s="30">
        <v>3.7360000000000002</v>
      </c>
      <c r="AV32" s="30">
        <v>3.74</v>
      </c>
      <c r="AW32" s="30">
        <v>3.7320000000000002</v>
      </c>
    </row>
    <row r="33" spans="1:49" ht="18" customHeight="1">
      <c r="A33" s="23"/>
      <c r="B33" s="12"/>
      <c r="C33" s="76" t="s">
        <v>77</v>
      </c>
      <c r="D33" s="35" t="s">
        <v>127</v>
      </c>
      <c r="E33" s="35"/>
      <c r="F33" s="29" t="s">
        <v>128</v>
      </c>
      <c r="G33" s="38">
        <v>3.75</v>
      </c>
      <c r="H33" s="38">
        <v>0.08</v>
      </c>
      <c r="I33" s="38">
        <v>0.05</v>
      </c>
      <c r="J33" s="38">
        <v>0.08</v>
      </c>
      <c r="K33" s="38">
        <v>0.05</v>
      </c>
      <c r="L33" s="30">
        <f t="shared" si="0"/>
        <v>3.7669999999999999</v>
      </c>
      <c r="M33" s="30">
        <f t="shared" si="1"/>
        <v>3.7269999999999999</v>
      </c>
      <c r="N33" s="61">
        <f t="shared" si="2"/>
        <v>4.0000000000000036E-2</v>
      </c>
      <c r="O33" s="31">
        <f t="shared" si="3"/>
        <v>3.7407333333333326</v>
      </c>
      <c r="P33" s="52"/>
      <c r="Q33" s="30">
        <v>3.7309999999999999</v>
      </c>
      <c r="R33" s="30">
        <v>3.7269999999999999</v>
      </c>
      <c r="S33" s="30">
        <v>3.7370000000000001</v>
      </c>
      <c r="T33" s="30">
        <v>3.7389999999999999</v>
      </c>
      <c r="U33" s="30">
        <v>3.7440000000000002</v>
      </c>
      <c r="V33" s="30">
        <v>3.7360000000000002</v>
      </c>
      <c r="W33" s="30">
        <v>3.7480000000000002</v>
      </c>
      <c r="X33" s="30">
        <v>3.75</v>
      </c>
      <c r="Y33" s="30">
        <v>3.7389999999999999</v>
      </c>
      <c r="Z33" s="30">
        <v>3.7480000000000002</v>
      </c>
      <c r="AA33" s="30">
        <v>3.7360000000000002</v>
      </c>
      <c r="AB33" s="30">
        <v>3.738</v>
      </c>
      <c r="AC33" s="30">
        <v>3.7480000000000002</v>
      </c>
      <c r="AD33" s="30">
        <v>3.7389999999999999</v>
      </c>
      <c r="AE33" s="30">
        <v>3.7360000000000002</v>
      </c>
      <c r="AF33" s="30">
        <v>3.7330000000000001</v>
      </c>
      <c r="AG33" s="30">
        <v>3.7559999999999998</v>
      </c>
      <c r="AH33" s="30">
        <v>3.74</v>
      </c>
      <c r="AI33" s="30">
        <v>3.7290000000000001</v>
      </c>
      <c r="AJ33" s="30">
        <v>3.7320000000000002</v>
      </c>
      <c r="AK33" s="30">
        <v>3.7370000000000001</v>
      </c>
      <c r="AL33" s="30">
        <v>3.746</v>
      </c>
      <c r="AM33" s="30">
        <v>3.7669999999999999</v>
      </c>
      <c r="AN33" s="30">
        <v>3.7509999999999999</v>
      </c>
      <c r="AO33" s="30">
        <v>3.7370000000000001</v>
      </c>
      <c r="AP33" s="30">
        <v>3.7349999999999999</v>
      </c>
      <c r="AQ33" s="30">
        <v>3.738</v>
      </c>
      <c r="AR33" s="30">
        <v>3.7440000000000002</v>
      </c>
      <c r="AS33" s="30">
        <v>3.7360000000000002</v>
      </c>
      <c r="AT33" s="30">
        <v>3.7450000000000001</v>
      </c>
      <c r="AU33" s="30">
        <v>3.7440000000000002</v>
      </c>
      <c r="AV33" s="30">
        <v>3.7370000000000001</v>
      </c>
      <c r="AW33" s="30">
        <v>3.7469999999999999</v>
      </c>
    </row>
    <row r="34" spans="1:49" ht="18" customHeight="1">
      <c r="A34" s="23"/>
      <c r="B34" s="12"/>
      <c r="C34" s="76" t="s">
        <v>77</v>
      </c>
      <c r="D34" s="35" t="s">
        <v>129</v>
      </c>
      <c r="E34" s="35"/>
      <c r="F34" s="29" t="s">
        <v>130</v>
      </c>
      <c r="G34" s="38">
        <v>3.75</v>
      </c>
      <c r="H34" s="38">
        <v>0.05</v>
      </c>
      <c r="I34" s="38">
        <v>0.05</v>
      </c>
      <c r="J34" s="38">
        <v>0.05</v>
      </c>
      <c r="K34" s="38">
        <v>0.05</v>
      </c>
      <c r="L34" s="30">
        <f t="shared" si="0"/>
        <v>3.7530000000000001</v>
      </c>
      <c r="M34" s="30">
        <f t="shared" si="1"/>
        <v>3.726</v>
      </c>
      <c r="N34" s="30">
        <f t="shared" si="2"/>
        <v>2.7000000000000135E-2</v>
      </c>
      <c r="O34" s="31">
        <f t="shared" si="3"/>
        <v>3.7367999999999997</v>
      </c>
      <c r="P34" s="52"/>
      <c r="Q34" s="30">
        <v>3.742</v>
      </c>
      <c r="R34" s="30">
        <v>3.73</v>
      </c>
      <c r="S34" s="30">
        <v>3.7360000000000002</v>
      </c>
      <c r="T34" s="30">
        <v>3.7410000000000001</v>
      </c>
      <c r="U34" s="30">
        <v>3.7469999999999999</v>
      </c>
      <c r="V34" s="30">
        <v>3.74</v>
      </c>
      <c r="W34" s="30">
        <v>3.7360000000000002</v>
      </c>
      <c r="X34" s="30">
        <v>3.75</v>
      </c>
      <c r="Y34" s="30">
        <v>3.7349999999999999</v>
      </c>
      <c r="Z34" s="30">
        <v>3.7360000000000002</v>
      </c>
      <c r="AA34" s="30">
        <v>3.7309999999999999</v>
      </c>
      <c r="AB34" s="30">
        <v>3.7320000000000002</v>
      </c>
      <c r="AC34" s="30">
        <v>3.7370000000000001</v>
      </c>
      <c r="AD34" s="30">
        <v>3.74</v>
      </c>
      <c r="AE34" s="30">
        <v>3.726</v>
      </c>
      <c r="AF34" s="30">
        <v>3.7330000000000001</v>
      </c>
      <c r="AG34" s="30">
        <v>3.7530000000000001</v>
      </c>
      <c r="AH34" s="30">
        <v>3.738</v>
      </c>
      <c r="AI34" s="30">
        <v>3.7309999999999999</v>
      </c>
      <c r="AJ34" s="30">
        <v>3.7349999999999999</v>
      </c>
      <c r="AK34" s="30">
        <v>3.7320000000000002</v>
      </c>
      <c r="AL34" s="30">
        <v>3.7309999999999999</v>
      </c>
      <c r="AM34" s="30">
        <v>3.734</v>
      </c>
      <c r="AN34" s="30">
        <v>3.742</v>
      </c>
      <c r="AO34" s="30">
        <v>3.7360000000000002</v>
      </c>
      <c r="AP34" s="30">
        <v>3.7370000000000001</v>
      </c>
      <c r="AQ34" s="30">
        <v>3.7349999999999999</v>
      </c>
      <c r="AR34" s="30">
        <v>3.738</v>
      </c>
      <c r="AS34" s="30">
        <v>3.7320000000000002</v>
      </c>
      <c r="AT34" s="30">
        <v>3.738</v>
      </c>
      <c r="AU34" s="30">
        <v>3.738</v>
      </c>
      <c r="AV34" s="30">
        <v>3.7250000000000001</v>
      </c>
      <c r="AW34" s="30">
        <v>3.7330000000000001</v>
      </c>
    </row>
    <row r="35" spans="1:49" ht="18" customHeight="1">
      <c r="A35" s="23"/>
      <c r="B35" s="12"/>
      <c r="C35" s="76" t="s">
        <v>77</v>
      </c>
      <c r="D35" s="35" t="s">
        <v>131</v>
      </c>
      <c r="E35" s="35"/>
      <c r="F35" s="29" t="s">
        <v>132</v>
      </c>
      <c r="G35" s="38">
        <v>3.75</v>
      </c>
      <c r="H35" s="38">
        <v>0.05</v>
      </c>
      <c r="I35" s="38">
        <v>0.05</v>
      </c>
      <c r="J35" s="38">
        <v>0.05</v>
      </c>
      <c r="K35" s="38">
        <v>0.05</v>
      </c>
      <c r="L35" s="30">
        <f t="shared" si="0"/>
        <v>3.7650000000000001</v>
      </c>
      <c r="M35" s="30">
        <f t="shared" si="1"/>
        <v>3.7269999999999999</v>
      </c>
      <c r="N35" s="30">
        <f t="shared" si="2"/>
        <v>3.8000000000000256E-2</v>
      </c>
      <c r="O35" s="31">
        <f t="shared" si="3"/>
        <v>3.7395333333333336</v>
      </c>
      <c r="P35" s="52"/>
      <c r="Q35" s="30">
        <v>3.7389999999999999</v>
      </c>
      <c r="R35" s="30">
        <v>3.7440000000000002</v>
      </c>
      <c r="S35" s="30">
        <v>3.7349999999999999</v>
      </c>
      <c r="T35" s="30">
        <v>3.7290000000000001</v>
      </c>
      <c r="U35" s="30">
        <v>3.7330000000000001</v>
      </c>
      <c r="V35" s="30">
        <v>3.7290000000000001</v>
      </c>
      <c r="W35" s="30">
        <v>3.7389999999999999</v>
      </c>
      <c r="X35" s="30">
        <v>3.7519999999999998</v>
      </c>
      <c r="Y35" s="30">
        <v>3.7320000000000002</v>
      </c>
      <c r="Z35" s="30">
        <v>3.7389999999999999</v>
      </c>
      <c r="AA35" s="30">
        <v>3.738</v>
      </c>
      <c r="AB35" s="30">
        <v>3.742</v>
      </c>
      <c r="AC35" s="30">
        <v>3.7440000000000002</v>
      </c>
      <c r="AD35" s="30">
        <v>3.742</v>
      </c>
      <c r="AE35" s="30">
        <v>3.7490000000000001</v>
      </c>
      <c r="AF35" s="30">
        <v>3.7450000000000001</v>
      </c>
      <c r="AG35" s="30">
        <v>3.7650000000000001</v>
      </c>
      <c r="AH35" s="30">
        <v>3.7370000000000001</v>
      </c>
      <c r="AI35" s="30">
        <v>3.7389999999999999</v>
      </c>
      <c r="AJ35" s="30">
        <v>3.7360000000000002</v>
      </c>
      <c r="AK35" s="30">
        <v>3.7330000000000001</v>
      </c>
      <c r="AL35" s="30">
        <v>3.742</v>
      </c>
      <c r="AM35" s="30">
        <v>3.742</v>
      </c>
      <c r="AN35" s="30">
        <v>3.7349999999999999</v>
      </c>
      <c r="AO35" s="30">
        <v>3.7389999999999999</v>
      </c>
      <c r="AP35" s="30">
        <v>3.7429999999999999</v>
      </c>
      <c r="AQ35" s="30">
        <v>3.7370000000000001</v>
      </c>
      <c r="AR35" s="30">
        <v>3.7389999999999999</v>
      </c>
      <c r="AS35" s="30">
        <v>3.7410000000000001</v>
      </c>
      <c r="AT35" s="30">
        <v>3.7269999999999999</v>
      </c>
      <c r="AU35" s="30">
        <v>3.7389999999999999</v>
      </c>
      <c r="AV35" s="30">
        <v>3.7349999999999999</v>
      </c>
      <c r="AW35" s="30">
        <v>3.7290000000000001</v>
      </c>
    </row>
    <row r="36" spans="1:49" ht="18" customHeight="1">
      <c r="A36" s="23"/>
      <c r="B36" s="12"/>
      <c r="C36" s="78" t="s">
        <v>115</v>
      </c>
      <c r="D36" s="35" t="s">
        <v>133</v>
      </c>
      <c r="E36" s="35"/>
      <c r="F36" s="29" t="s">
        <v>134</v>
      </c>
      <c r="G36" s="38">
        <v>0.95</v>
      </c>
      <c r="H36" s="38">
        <v>0.04</v>
      </c>
      <c r="I36" s="38">
        <v>0.04</v>
      </c>
      <c r="J36" s="38">
        <v>0.04</v>
      </c>
      <c r="K36" s="38">
        <v>0.04</v>
      </c>
      <c r="L36" s="30">
        <f t="shared" si="0"/>
        <v>0.95299999999999996</v>
      </c>
      <c r="M36" s="30">
        <f t="shared" si="1"/>
        <v>0.94199999999999995</v>
      </c>
      <c r="N36" s="30">
        <f t="shared" si="2"/>
        <v>1.100000000000001E-2</v>
      </c>
      <c r="O36" s="31">
        <f t="shared" si="3"/>
        <v>0.94706666666666672</v>
      </c>
      <c r="P36" s="52"/>
      <c r="Q36" s="30">
        <v>0.95299999999999996</v>
      </c>
      <c r="R36" s="30">
        <v>0.94799999999999995</v>
      </c>
      <c r="S36" s="30">
        <v>0.95099999999999996</v>
      </c>
      <c r="T36" s="30">
        <v>0.94599999999999995</v>
      </c>
      <c r="U36" s="30">
        <v>0.95</v>
      </c>
      <c r="V36" s="30">
        <v>0.95</v>
      </c>
      <c r="W36" s="30">
        <v>0.94799999999999995</v>
      </c>
      <c r="X36" s="30">
        <v>0.94699999999999995</v>
      </c>
      <c r="Y36" s="30">
        <v>0.94499999999999995</v>
      </c>
      <c r="Z36" s="30">
        <v>0.94299999999999995</v>
      </c>
      <c r="AA36" s="30">
        <v>0.94499999999999995</v>
      </c>
      <c r="AB36" s="30">
        <v>0.94799999999999995</v>
      </c>
      <c r="AC36" s="30">
        <v>0.94599999999999995</v>
      </c>
      <c r="AD36" s="30">
        <v>0.94699999999999995</v>
      </c>
      <c r="AE36" s="30">
        <v>0.94699999999999995</v>
      </c>
      <c r="AF36" s="30">
        <v>0.94499999999999995</v>
      </c>
      <c r="AG36" s="30">
        <v>0.94599999999999995</v>
      </c>
      <c r="AH36" s="30">
        <v>0.94399999999999995</v>
      </c>
      <c r="AI36" s="30">
        <v>0.94799999999999995</v>
      </c>
      <c r="AJ36" s="30">
        <v>0.94399999999999995</v>
      </c>
      <c r="AK36" s="30">
        <v>0.95</v>
      </c>
      <c r="AL36" s="30">
        <v>0.94799999999999995</v>
      </c>
      <c r="AM36" s="30">
        <v>0.95</v>
      </c>
      <c r="AN36" s="30">
        <v>0.94199999999999995</v>
      </c>
      <c r="AO36" s="30">
        <v>0.94299999999999995</v>
      </c>
      <c r="AP36" s="30">
        <v>0.94399999999999995</v>
      </c>
      <c r="AQ36" s="30">
        <v>0.94799999999999995</v>
      </c>
      <c r="AR36" s="30">
        <v>0.95199999999999996</v>
      </c>
      <c r="AS36" s="30">
        <v>0.94599999999999995</v>
      </c>
      <c r="AT36" s="30">
        <v>0.94799999999999995</v>
      </c>
      <c r="AU36" s="30">
        <v>0.94699999999999995</v>
      </c>
      <c r="AV36" s="30">
        <v>0.94399999999999995</v>
      </c>
      <c r="AW36" s="30">
        <v>0.94599999999999995</v>
      </c>
    </row>
    <row r="37" spans="1:49" ht="18" customHeight="1">
      <c r="A37" s="23"/>
      <c r="B37" s="12"/>
      <c r="C37" s="78" t="s">
        <v>115</v>
      </c>
      <c r="D37" s="35" t="s">
        <v>135</v>
      </c>
      <c r="E37" s="35"/>
      <c r="F37" s="29" t="s">
        <v>136</v>
      </c>
      <c r="G37" s="38">
        <v>1.85</v>
      </c>
      <c r="H37" s="38">
        <v>0.05</v>
      </c>
      <c r="I37" s="38">
        <v>0.09</v>
      </c>
      <c r="J37" s="38">
        <v>0.05</v>
      </c>
      <c r="K37" s="38">
        <v>0.09</v>
      </c>
      <c r="L37" s="30">
        <f t="shared" si="0"/>
        <v>1.827</v>
      </c>
      <c r="M37" s="30">
        <f t="shared" si="1"/>
        <v>1.8109999999999999</v>
      </c>
      <c r="N37" s="30">
        <f t="shared" si="2"/>
        <v>1.6000000000000014E-2</v>
      </c>
      <c r="O37" s="31">
        <f t="shared" si="3"/>
        <v>1.8172333333333339</v>
      </c>
      <c r="P37" s="52"/>
      <c r="Q37" s="30">
        <v>1.8140000000000001</v>
      </c>
      <c r="R37" s="30">
        <v>1.82</v>
      </c>
      <c r="S37" s="30">
        <v>1.821</v>
      </c>
      <c r="T37" s="30">
        <v>1.8180000000000001</v>
      </c>
      <c r="U37" s="30">
        <v>1.827</v>
      </c>
      <c r="V37" s="30">
        <v>1.8260000000000001</v>
      </c>
      <c r="W37" s="30">
        <v>1.8260000000000001</v>
      </c>
      <c r="X37" s="30">
        <v>1.8169999999999999</v>
      </c>
      <c r="Y37" s="30">
        <v>1.8149999999999999</v>
      </c>
      <c r="Z37" s="30">
        <v>1.8129999999999999</v>
      </c>
      <c r="AA37" s="30">
        <v>1.8149999999999999</v>
      </c>
      <c r="AB37" s="30">
        <v>1.8180000000000001</v>
      </c>
      <c r="AC37" s="30">
        <v>1.8180000000000001</v>
      </c>
      <c r="AD37" s="30">
        <v>1.8169999999999999</v>
      </c>
      <c r="AE37" s="30">
        <v>1.8169999999999999</v>
      </c>
      <c r="AF37" s="30">
        <v>1.8149999999999999</v>
      </c>
      <c r="AG37" s="30">
        <v>1.8149999999999999</v>
      </c>
      <c r="AH37" s="30">
        <v>1.8160000000000001</v>
      </c>
      <c r="AI37" s="30">
        <v>1.819</v>
      </c>
      <c r="AJ37" s="30">
        <v>1.8140000000000001</v>
      </c>
      <c r="AK37" s="30">
        <v>1.8220000000000001</v>
      </c>
      <c r="AL37" s="30">
        <v>1.8109999999999999</v>
      </c>
      <c r="AM37" s="30">
        <v>1.8149999999999999</v>
      </c>
      <c r="AN37" s="30">
        <v>1.8129999999999999</v>
      </c>
      <c r="AO37" s="30">
        <v>1.8160000000000001</v>
      </c>
      <c r="AP37" s="30">
        <v>1.819</v>
      </c>
      <c r="AQ37" s="30">
        <v>1.8140000000000001</v>
      </c>
      <c r="AR37" s="30">
        <v>1.8140000000000001</v>
      </c>
      <c r="AS37" s="30">
        <v>1.8149999999999999</v>
      </c>
      <c r="AT37" s="30">
        <v>1.8169999999999999</v>
      </c>
      <c r="AU37" s="30">
        <v>1.8160000000000001</v>
      </c>
      <c r="AV37" s="30">
        <v>1.8140000000000001</v>
      </c>
      <c r="AW37" s="30">
        <v>1.8149999999999999</v>
      </c>
    </row>
    <row r="38" spans="1:49" ht="18" customHeight="1">
      <c r="A38" s="23"/>
      <c r="B38" s="12"/>
      <c r="C38" s="75" t="s">
        <v>65</v>
      </c>
      <c r="D38" s="35" t="s">
        <v>137</v>
      </c>
      <c r="E38" s="35"/>
      <c r="F38" s="29" t="s">
        <v>138</v>
      </c>
      <c r="G38" s="38">
        <v>2.5299999999999998</v>
      </c>
      <c r="H38" s="38">
        <v>0.08</v>
      </c>
      <c r="I38" s="38">
        <v>0.03</v>
      </c>
      <c r="J38" s="38">
        <v>0.08</v>
      </c>
      <c r="K38" s="38">
        <v>0.03</v>
      </c>
      <c r="L38" s="30">
        <f t="shared" si="0"/>
        <v>2.56</v>
      </c>
      <c r="M38" s="30">
        <f t="shared" si="1"/>
        <v>2.5459999999999998</v>
      </c>
      <c r="N38" s="30">
        <f t="shared" si="2"/>
        <v>1.4000000000000234E-2</v>
      </c>
      <c r="O38" s="31">
        <f t="shared" si="3"/>
        <v>2.5547</v>
      </c>
      <c r="P38" s="52"/>
      <c r="Q38" s="30">
        <v>2.5569999999999999</v>
      </c>
      <c r="R38" s="30">
        <v>2.556</v>
      </c>
      <c r="S38" s="30">
        <v>2.5569999999999999</v>
      </c>
      <c r="T38" s="30">
        <v>2.556</v>
      </c>
      <c r="U38" s="30">
        <v>2.5529999999999999</v>
      </c>
      <c r="V38" s="30">
        <v>2.5550000000000002</v>
      </c>
      <c r="W38" s="30">
        <v>2.5569999999999999</v>
      </c>
      <c r="X38" s="30">
        <v>2.56</v>
      </c>
      <c r="Y38" s="30">
        <v>2.556</v>
      </c>
      <c r="Z38" s="30">
        <v>2.5550000000000002</v>
      </c>
      <c r="AA38" s="30">
        <v>2.5499999999999998</v>
      </c>
      <c r="AB38" s="30">
        <v>2.556</v>
      </c>
      <c r="AC38" s="30">
        <v>2.5550000000000002</v>
      </c>
      <c r="AD38" s="30">
        <v>2.5550000000000002</v>
      </c>
      <c r="AE38" s="30">
        <v>2.5539999999999998</v>
      </c>
      <c r="AF38" s="30">
        <v>2.552</v>
      </c>
      <c r="AG38" s="30">
        <v>2.5550000000000002</v>
      </c>
      <c r="AH38" s="30">
        <v>2.5579999999999998</v>
      </c>
      <c r="AI38" s="30">
        <v>2.5550000000000002</v>
      </c>
      <c r="AJ38" s="30">
        <v>2.556</v>
      </c>
      <c r="AK38" s="30">
        <v>2.556</v>
      </c>
      <c r="AL38" s="30">
        <v>2.552</v>
      </c>
      <c r="AM38" s="30">
        <v>2.556</v>
      </c>
      <c r="AN38" s="30">
        <v>2.5529999999999999</v>
      </c>
      <c r="AO38" s="30">
        <v>2.556</v>
      </c>
      <c r="AP38" s="30">
        <v>2.5550000000000002</v>
      </c>
      <c r="AQ38" s="30">
        <v>2.5539999999999998</v>
      </c>
      <c r="AR38" s="30">
        <v>2.552</v>
      </c>
      <c r="AS38" s="30">
        <v>2.5529999999999999</v>
      </c>
      <c r="AT38" s="30">
        <v>2.5459999999999998</v>
      </c>
      <c r="AU38" s="30">
        <v>2.5569999999999999</v>
      </c>
      <c r="AV38" s="30">
        <v>2.552</v>
      </c>
      <c r="AW38" s="30">
        <v>2.556</v>
      </c>
    </row>
    <row r="39" spans="1:49" ht="18" customHeight="1">
      <c r="A39" s="23"/>
      <c r="B39" s="12"/>
      <c r="C39" s="75" t="s">
        <v>65</v>
      </c>
      <c r="D39" s="35" t="s">
        <v>139</v>
      </c>
      <c r="E39" s="35"/>
      <c r="F39" s="29" t="s">
        <v>140</v>
      </c>
      <c r="G39" s="38">
        <v>2.5299999999999998</v>
      </c>
      <c r="H39" s="38">
        <v>0.08</v>
      </c>
      <c r="I39" s="38">
        <v>0.03</v>
      </c>
      <c r="J39" s="38">
        <v>0.08</v>
      </c>
      <c r="K39" s="38">
        <v>0.03</v>
      </c>
      <c r="L39" s="30">
        <f t="shared" si="0"/>
        <v>2.5499999999999998</v>
      </c>
      <c r="M39" s="30">
        <f t="shared" si="1"/>
        <v>2.5350000000000001</v>
      </c>
      <c r="N39" s="30">
        <f t="shared" si="2"/>
        <v>1.499999999999968E-2</v>
      </c>
      <c r="O39" s="31">
        <f t="shared" si="3"/>
        <v>2.5435999999999996</v>
      </c>
      <c r="P39" s="52"/>
      <c r="Q39" s="30">
        <v>2.5419999999999998</v>
      </c>
      <c r="R39" s="30">
        <v>2.54</v>
      </c>
      <c r="S39" s="30">
        <v>2.5409999999999999</v>
      </c>
      <c r="T39" s="30">
        <v>2.5430000000000001</v>
      </c>
      <c r="U39" s="30">
        <v>2.5419999999999998</v>
      </c>
      <c r="V39" s="30">
        <v>2.5459999999999998</v>
      </c>
      <c r="W39" s="30">
        <v>2.5409999999999999</v>
      </c>
      <c r="X39" s="30">
        <v>2.5430000000000001</v>
      </c>
      <c r="Y39" s="30">
        <v>2.548</v>
      </c>
      <c r="Z39" s="30">
        <v>2.5409999999999999</v>
      </c>
      <c r="AA39" s="30">
        <v>2.5470000000000002</v>
      </c>
      <c r="AB39" s="30">
        <v>2.5449999999999999</v>
      </c>
      <c r="AC39" s="30">
        <v>2.5459999999999998</v>
      </c>
      <c r="AD39" s="30">
        <v>2.5409999999999999</v>
      </c>
      <c r="AE39" s="30">
        <v>2.5419999999999998</v>
      </c>
      <c r="AF39" s="30">
        <v>2.5449999999999999</v>
      </c>
      <c r="AG39" s="30">
        <v>2.5499999999999998</v>
      </c>
      <c r="AH39" s="30">
        <v>2.5449999999999999</v>
      </c>
      <c r="AI39" s="30">
        <v>2.5489999999999999</v>
      </c>
      <c r="AJ39" s="30">
        <v>2.544</v>
      </c>
      <c r="AK39" s="30">
        <v>2.5499999999999998</v>
      </c>
      <c r="AL39" s="30">
        <v>2.5419999999999998</v>
      </c>
      <c r="AM39" s="30">
        <v>2.5459999999999998</v>
      </c>
      <c r="AN39" s="30">
        <v>2.5470000000000002</v>
      </c>
      <c r="AO39" s="30">
        <v>2.544</v>
      </c>
      <c r="AP39" s="30">
        <v>2.536</v>
      </c>
      <c r="AQ39" s="30">
        <v>2.5430000000000001</v>
      </c>
      <c r="AR39" s="30">
        <v>2.5409999999999999</v>
      </c>
      <c r="AS39" s="30">
        <v>2.5430000000000001</v>
      </c>
      <c r="AT39" s="30">
        <v>2.5350000000000001</v>
      </c>
      <c r="AU39" s="30">
        <v>2.5430000000000001</v>
      </c>
      <c r="AV39" s="30">
        <v>2.5449999999999999</v>
      </c>
      <c r="AW39" s="30">
        <v>2.5459999999999998</v>
      </c>
    </row>
    <row r="40" spans="1:49" ht="18" customHeight="1">
      <c r="A40" s="23"/>
      <c r="B40" s="12"/>
      <c r="C40" s="76" t="s">
        <v>77</v>
      </c>
      <c r="D40" s="35" t="s">
        <v>141</v>
      </c>
      <c r="E40" s="35" t="s">
        <v>378</v>
      </c>
      <c r="F40" s="29" t="s">
        <v>143</v>
      </c>
      <c r="G40" s="38"/>
      <c r="H40" s="38">
        <v>0.1</v>
      </c>
      <c r="I40" s="38"/>
      <c r="J40" s="38">
        <v>0.1</v>
      </c>
      <c r="K40" s="38"/>
      <c r="L40" s="30">
        <f t="shared" si="0"/>
        <v>7.1999999999999995E-2</v>
      </c>
      <c r="M40" s="30">
        <f t="shared" si="1"/>
        <v>4.9000000000000002E-2</v>
      </c>
      <c r="N40" s="30">
        <f t="shared" si="2"/>
        <v>2.2999999999999993E-2</v>
      </c>
      <c r="O40" s="31">
        <f t="shared" si="3"/>
        <v>5.6366666666666676E-2</v>
      </c>
      <c r="P40" s="52"/>
      <c r="Q40" s="30">
        <v>7.1999999999999995E-2</v>
      </c>
      <c r="R40" s="30">
        <v>5.7000000000000002E-2</v>
      </c>
      <c r="S40" s="30">
        <v>6.6000000000000003E-2</v>
      </c>
      <c r="T40" s="30">
        <v>5.2999999999999999E-2</v>
      </c>
      <c r="U40" s="30">
        <v>5.3999999999999999E-2</v>
      </c>
      <c r="V40" s="30">
        <v>5.5E-2</v>
      </c>
      <c r="W40" s="30">
        <v>5.5E-2</v>
      </c>
      <c r="X40" s="30">
        <v>5.1999999999999998E-2</v>
      </c>
      <c r="Y40" s="30">
        <v>6.0999999999999999E-2</v>
      </c>
      <c r="Z40" s="30">
        <v>5.5E-2</v>
      </c>
      <c r="AA40" s="30">
        <v>5.1999999999999998E-2</v>
      </c>
      <c r="AB40" s="30">
        <v>5.2999999999999999E-2</v>
      </c>
      <c r="AC40" s="30">
        <v>4.9000000000000002E-2</v>
      </c>
      <c r="AD40" s="30">
        <v>5.1999999999999998E-2</v>
      </c>
      <c r="AE40" s="30">
        <v>5.1999999999999998E-2</v>
      </c>
      <c r="AF40" s="30">
        <v>0.05</v>
      </c>
      <c r="AG40" s="30">
        <v>5.5E-2</v>
      </c>
      <c r="AH40" s="30">
        <v>6.3E-2</v>
      </c>
      <c r="AI40" s="30">
        <v>5.6000000000000001E-2</v>
      </c>
      <c r="AJ40" s="30">
        <v>6.4000000000000001E-2</v>
      </c>
      <c r="AK40" s="30">
        <v>0.05</v>
      </c>
      <c r="AL40" s="30">
        <v>6.2E-2</v>
      </c>
      <c r="AM40" s="30">
        <v>6.0999999999999999E-2</v>
      </c>
      <c r="AN40" s="30">
        <v>5.2999999999999999E-2</v>
      </c>
      <c r="AO40" s="30">
        <v>5.1999999999999998E-2</v>
      </c>
      <c r="AP40" s="30">
        <v>6.5000000000000002E-2</v>
      </c>
      <c r="AQ40" s="30">
        <v>5.7000000000000002E-2</v>
      </c>
      <c r="AR40" s="30">
        <v>5.7000000000000002E-2</v>
      </c>
      <c r="AS40" s="30">
        <v>5.1999999999999998E-2</v>
      </c>
      <c r="AT40" s="30">
        <v>5.6000000000000001E-2</v>
      </c>
      <c r="AU40" s="30">
        <v>5.7000000000000002E-2</v>
      </c>
      <c r="AV40" s="30">
        <v>5.8000000000000003E-2</v>
      </c>
      <c r="AW40" s="30">
        <v>5.6000000000000001E-2</v>
      </c>
    </row>
    <row r="41" spans="1:49" ht="18" customHeight="1">
      <c r="A41" s="23"/>
      <c r="B41" s="12"/>
      <c r="C41" s="75" t="s">
        <v>65</v>
      </c>
      <c r="D41" s="35" t="s">
        <v>144</v>
      </c>
      <c r="E41" s="35"/>
      <c r="F41" s="29" t="s">
        <v>145</v>
      </c>
      <c r="G41" s="38">
        <v>2.48</v>
      </c>
      <c r="H41" s="38">
        <v>0.08</v>
      </c>
      <c r="I41" s="38">
        <v>0.03</v>
      </c>
      <c r="J41" s="38">
        <v>0.08</v>
      </c>
      <c r="K41" s="38">
        <v>0.03</v>
      </c>
      <c r="L41" s="30">
        <f t="shared" si="0"/>
        <v>2.496</v>
      </c>
      <c r="M41" s="30">
        <f t="shared" si="1"/>
        <v>2.4790000000000001</v>
      </c>
      <c r="N41" s="30">
        <f t="shared" si="2"/>
        <v>1.6999999999999904E-2</v>
      </c>
      <c r="O41" s="31">
        <f t="shared" si="3"/>
        <v>2.4894666666666665</v>
      </c>
      <c r="P41" s="52"/>
      <c r="Q41" s="30">
        <v>2.4929999999999999</v>
      </c>
      <c r="R41" s="30">
        <v>2.492</v>
      </c>
      <c r="S41" s="30">
        <v>2.4910000000000001</v>
      </c>
      <c r="T41" s="30">
        <v>2.488</v>
      </c>
      <c r="U41" s="30">
        <v>2.484</v>
      </c>
      <c r="V41" s="30">
        <v>2.4929999999999999</v>
      </c>
      <c r="W41" s="30">
        <v>2.4910000000000001</v>
      </c>
      <c r="X41" s="30">
        <v>2.496</v>
      </c>
      <c r="Y41" s="30">
        <v>2.4889999999999999</v>
      </c>
      <c r="Z41" s="30">
        <v>2.488</v>
      </c>
      <c r="AA41" s="30">
        <v>2.4790000000000001</v>
      </c>
      <c r="AB41" s="30">
        <v>2.4910000000000001</v>
      </c>
      <c r="AC41" s="30">
        <v>2.4900000000000002</v>
      </c>
      <c r="AD41" s="30">
        <v>2.4910000000000001</v>
      </c>
      <c r="AE41" s="30">
        <v>2.4889999999999999</v>
      </c>
      <c r="AF41" s="30">
        <v>2.4870000000000001</v>
      </c>
      <c r="AG41" s="30">
        <v>2.4870000000000001</v>
      </c>
      <c r="AH41" s="30">
        <v>2.4929999999999999</v>
      </c>
      <c r="AI41" s="30">
        <v>2.4870000000000001</v>
      </c>
      <c r="AJ41" s="30">
        <v>2.4900000000000002</v>
      </c>
      <c r="AK41" s="30">
        <v>2.492</v>
      </c>
      <c r="AL41" s="30">
        <v>2.4900000000000002</v>
      </c>
      <c r="AM41" s="30">
        <v>2.4900000000000002</v>
      </c>
      <c r="AN41" s="30">
        <v>2.488</v>
      </c>
      <c r="AO41" s="30">
        <v>2.4940000000000002</v>
      </c>
      <c r="AP41" s="30">
        <v>2.4940000000000002</v>
      </c>
      <c r="AQ41" s="30">
        <v>2.4900000000000002</v>
      </c>
      <c r="AR41" s="30">
        <v>2.4870000000000001</v>
      </c>
      <c r="AS41" s="30">
        <v>2.4900000000000002</v>
      </c>
      <c r="AT41" s="30">
        <v>2.48</v>
      </c>
      <c r="AU41" s="30">
        <v>2.4870000000000001</v>
      </c>
      <c r="AV41" s="30">
        <v>2.488</v>
      </c>
      <c r="AW41" s="30">
        <v>2.488</v>
      </c>
    </row>
    <row r="42" spans="1:49" ht="18" customHeight="1">
      <c r="A42" s="23"/>
      <c r="B42" s="12"/>
      <c r="C42" s="75" t="s">
        <v>65</v>
      </c>
      <c r="D42" s="35" t="s">
        <v>146</v>
      </c>
      <c r="E42" s="35"/>
      <c r="F42" s="29" t="s">
        <v>147</v>
      </c>
      <c r="G42" s="38">
        <v>2.48</v>
      </c>
      <c r="H42" s="38">
        <v>0.08</v>
      </c>
      <c r="I42" s="38">
        <v>0.03</v>
      </c>
      <c r="J42" s="38">
        <v>0.08</v>
      </c>
      <c r="K42" s="38">
        <v>0.03</v>
      </c>
      <c r="L42" s="30">
        <f t="shared" si="0"/>
        <v>2.4950000000000001</v>
      </c>
      <c r="M42" s="30">
        <f t="shared" si="1"/>
        <v>2.4790000000000001</v>
      </c>
      <c r="N42" s="30">
        <f t="shared" si="2"/>
        <v>1.6000000000000014E-2</v>
      </c>
      <c r="O42" s="31">
        <f t="shared" si="3"/>
        <v>2.4892999999999996</v>
      </c>
      <c r="P42" s="52"/>
      <c r="Q42" s="30">
        <v>2.4929999999999999</v>
      </c>
      <c r="R42" s="30">
        <v>2.4910000000000001</v>
      </c>
      <c r="S42" s="30">
        <v>2.4900000000000002</v>
      </c>
      <c r="T42" s="30">
        <v>2.488</v>
      </c>
      <c r="U42" s="30">
        <v>2.4849999999999999</v>
      </c>
      <c r="V42" s="30">
        <v>2.4929999999999999</v>
      </c>
      <c r="W42" s="30">
        <v>2.4900000000000002</v>
      </c>
      <c r="X42" s="30">
        <v>2.4950000000000001</v>
      </c>
      <c r="Y42" s="30">
        <v>2.488</v>
      </c>
      <c r="Z42" s="30">
        <v>2.488</v>
      </c>
      <c r="AA42" s="30">
        <v>2.48</v>
      </c>
      <c r="AB42" s="30">
        <v>2.4900000000000002</v>
      </c>
      <c r="AC42" s="30">
        <v>2.4900000000000002</v>
      </c>
      <c r="AD42" s="30">
        <v>2.4900000000000002</v>
      </c>
      <c r="AE42" s="30">
        <v>2.4889999999999999</v>
      </c>
      <c r="AF42" s="30">
        <v>2.488</v>
      </c>
      <c r="AG42" s="30">
        <v>2.4870000000000001</v>
      </c>
      <c r="AH42" s="30">
        <v>2.492</v>
      </c>
      <c r="AI42" s="30">
        <v>2.488</v>
      </c>
      <c r="AJ42" s="30">
        <v>2.4900000000000002</v>
      </c>
      <c r="AK42" s="30">
        <v>2.4929999999999999</v>
      </c>
      <c r="AL42" s="30">
        <v>2.4889999999999999</v>
      </c>
      <c r="AM42" s="30">
        <v>2.492</v>
      </c>
      <c r="AN42" s="30">
        <v>2.488</v>
      </c>
      <c r="AO42" s="30">
        <v>2.4929999999999999</v>
      </c>
      <c r="AP42" s="30">
        <v>2.492</v>
      </c>
      <c r="AQ42" s="30">
        <v>2.4900000000000002</v>
      </c>
      <c r="AR42" s="30">
        <v>2.488</v>
      </c>
      <c r="AS42" s="30">
        <v>2.4900000000000002</v>
      </c>
      <c r="AT42" s="30">
        <v>2.4790000000000001</v>
      </c>
      <c r="AU42" s="30">
        <v>2.4870000000000001</v>
      </c>
      <c r="AV42" s="30">
        <v>2.488</v>
      </c>
      <c r="AW42" s="30">
        <v>2.4889999999999999</v>
      </c>
    </row>
    <row r="43" spans="1:49" ht="18" customHeight="1">
      <c r="A43" s="23"/>
      <c r="B43" s="12"/>
      <c r="C43" s="75" t="s">
        <v>65</v>
      </c>
      <c r="D43" s="35" t="s">
        <v>379</v>
      </c>
      <c r="E43" s="35"/>
      <c r="F43" s="29" t="s">
        <v>149</v>
      </c>
      <c r="G43" s="38">
        <v>1.17</v>
      </c>
      <c r="H43" s="38">
        <v>0.05</v>
      </c>
      <c r="I43" s="38">
        <v>7.0000000000000007E-2</v>
      </c>
      <c r="J43" s="38">
        <v>0.05</v>
      </c>
      <c r="K43" s="38">
        <v>7.0000000000000007E-2</v>
      </c>
      <c r="L43" s="30">
        <f t="shared" si="0"/>
        <v>1.157</v>
      </c>
      <c r="M43" s="30">
        <f t="shared" si="1"/>
        <v>1.1359999999999999</v>
      </c>
      <c r="N43" s="30">
        <f t="shared" si="2"/>
        <v>2.100000000000013E-2</v>
      </c>
      <c r="O43" s="31">
        <f t="shared" si="3"/>
        <v>1.1510999999999996</v>
      </c>
      <c r="P43" s="52"/>
      <c r="Q43" s="30">
        <v>1.1559999999999999</v>
      </c>
      <c r="R43" s="30">
        <v>1.1559999999999999</v>
      </c>
      <c r="S43" s="30">
        <v>1.153</v>
      </c>
      <c r="T43" s="30">
        <v>1.1539999999999999</v>
      </c>
      <c r="U43" s="30">
        <v>1.147</v>
      </c>
      <c r="V43" s="30">
        <v>1.1539999999999999</v>
      </c>
      <c r="W43" s="30">
        <v>1.1539999999999999</v>
      </c>
      <c r="X43" s="30">
        <v>1.149</v>
      </c>
      <c r="Y43" s="30">
        <v>1.1519999999999999</v>
      </c>
      <c r="Z43" s="30">
        <v>1.1519999999999999</v>
      </c>
      <c r="AA43" s="30">
        <v>1.157</v>
      </c>
      <c r="AB43" s="30">
        <v>1.1519999999999999</v>
      </c>
      <c r="AC43" s="30">
        <v>1.1519999999999999</v>
      </c>
      <c r="AD43" s="30">
        <v>1.1559999999999999</v>
      </c>
      <c r="AE43" s="30">
        <v>1.153</v>
      </c>
      <c r="AF43" s="30">
        <v>1.1479999999999999</v>
      </c>
      <c r="AG43" s="30">
        <v>1.151</v>
      </c>
      <c r="AH43" s="30">
        <v>1.1459999999999999</v>
      </c>
      <c r="AI43" s="30">
        <v>1.1459999999999999</v>
      </c>
      <c r="AJ43" s="30">
        <v>1.155</v>
      </c>
      <c r="AK43" s="30">
        <v>1.1359999999999999</v>
      </c>
      <c r="AL43" s="30">
        <v>1.1439999999999999</v>
      </c>
      <c r="AM43" s="30">
        <v>1.1479999999999999</v>
      </c>
      <c r="AN43" s="30">
        <v>1.153</v>
      </c>
      <c r="AO43" s="30">
        <v>1.1539999999999999</v>
      </c>
      <c r="AP43" s="30">
        <v>1.1519999999999999</v>
      </c>
      <c r="AQ43" s="30">
        <v>1.1539999999999999</v>
      </c>
      <c r="AR43" s="30">
        <v>1.141</v>
      </c>
      <c r="AS43" s="30">
        <v>1.1539999999999999</v>
      </c>
      <c r="AT43" s="30">
        <v>1.1539999999999999</v>
      </c>
      <c r="AU43" s="30">
        <v>1.1459999999999999</v>
      </c>
      <c r="AV43" s="30">
        <v>1.1479999999999999</v>
      </c>
      <c r="AW43" s="30">
        <v>1.153</v>
      </c>
    </row>
    <row r="44" spans="1:49" ht="18" customHeight="1">
      <c r="A44" s="23"/>
      <c r="B44" s="12"/>
      <c r="C44" s="75" t="s">
        <v>65</v>
      </c>
      <c r="D44" s="35" t="s">
        <v>380</v>
      </c>
      <c r="E44" s="35"/>
      <c r="F44" s="29" t="s">
        <v>151</v>
      </c>
      <c r="G44" s="38">
        <v>1.17</v>
      </c>
      <c r="H44" s="38">
        <v>0.05</v>
      </c>
      <c r="I44" s="38">
        <v>7.0000000000000007E-2</v>
      </c>
      <c r="J44" s="38">
        <v>0.05</v>
      </c>
      <c r="K44" s="38">
        <v>7.0000000000000007E-2</v>
      </c>
      <c r="L44" s="30">
        <f t="shared" si="0"/>
        <v>1.1499999999999999</v>
      </c>
      <c r="M44" s="30">
        <f t="shared" si="1"/>
        <v>1.1419999999999999</v>
      </c>
      <c r="N44" s="30">
        <f t="shared" si="2"/>
        <v>8.0000000000000071E-3</v>
      </c>
      <c r="O44" s="31">
        <f t="shared" si="3"/>
        <v>1.1457666666666666</v>
      </c>
      <c r="P44" s="52"/>
      <c r="Q44" s="30">
        <v>1.145</v>
      </c>
      <c r="R44" s="30">
        <v>1.1459999999999999</v>
      </c>
      <c r="S44" s="30">
        <v>1.1499999999999999</v>
      </c>
      <c r="T44" s="30">
        <v>1.145</v>
      </c>
      <c r="U44" s="30">
        <v>1.147</v>
      </c>
      <c r="V44" s="30">
        <v>1.149</v>
      </c>
      <c r="W44" s="30">
        <v>1.149</v>
      </c>
      <c r="X44" s="30">
        <v>1.1459999999999999</v>
      </c>
      <c r="Y44" s="30">
        <v>1.147</v>
      </c>
      <c r="Z44" s="30">
        <v>1.1459999999999999</v>
      </c>
      <c r="AA44" s="30">
        <v>1.1439999999999999</v>
      </c>
      <c r="AB44" s="30">
        <v>1.147</v>
      </c>
      <c r="AC44" s="30">
        <v>1.1479999999999999</v>
      </c>
      <c r="AD44" s="30">
        <v>1.147</v>
      </c>
      <c r="AE44" s="30">
        <v>1.149</v>
      </c>
      <c r="AF44" s="30">
        <v>1.147</v>
      </c>
      <c r="AG44" s="30">
        <v>1.1459999999999999</v>
      </c>
      <c r="AH44" s="30">
        <v>1.1459999999999999</v>
      </c>
      <c r="AI44" s="30">
        <v>1.1439999999999999</v>
      </c>
      <c r="AJ44" s="30">
        <v>1.145</v>
      </c>
      <c r="AK44" s="30">
        <v>1.1419999999999999</v>
      </c>
      <c r="AL44" s="30">
        <v>1.145</v>
      </c>
      <c r="AM44" s="30">
        <v>1.143</v>
      </c>
      <c r="AN44" s="30">
        <v>1.143</v>
      </c>
      <c r="AO44" s="30">
        <v>1.145</v>
      </c>
      <c r="AP44" s="30">
        <v>1.143</v>
      </c>
      <c r="AQ44" s="30">
        <v>1.1439999999999999</v>
      </c>
      <c r="AR44" s="30">
        <v>1.1459999999999999</v>
      </c>
      <c r="AS44" s="30">
        <v>1.1419999999999999</v>
      </c>
      <c r="AT44" s="30">
        <v>1.147</v>
      </c>
      <c r="AU44" s="30">
        <v>1.1439999999999999</v>
      </c>
      <c r="AV44" s="30">
        <v>1.1459999999999999</v>
      </c>
      <c r="AW44" s="30">
        <v>1.1479999999999999</v>
      </c>
    </row>
    <row r="45" spans="1:49" ht="18" customHeight="1">
      <c r="A45" s="23"/>
      <c r="B45" s="12"/>
      <c r="C45" s="75" t="s">
        <v>65</v>
      </c>
      <c r="D45" s="35" t="s">
        <v>381</v>
      </c>
      <c r="E45" s="35"/>
      <c r="F45" s="29" t="s">
        <v>153</v>
      </c>
      <c r="G45" s="38">
        <v>1.17</v>
      </c>
      <c r="H45" s="38">
        <v>0.05</v>
      </c>
      <c r="I45" s="38">
        <v>7.0000000000000007E-2</v>
      </c>
      <c r="J45" s="38">
        <v>0.05</v>
      </c>
      <c r="K45" s="38">
        <v>7.0000000000000007E-2</v>
      </c>
      <c r="L45" s="30">
        <f t="shared" si="0"/>
        <v>1.1679999999999999</v>
      </c>
      <c r="M45" s="30">
        <f t="shared" si="1"/>
        <v>1.137</v>
      </c>
      <c r="N45" s="30">
        <f t="shared" si="2"/>
        <v>3.0999999999999917E-2</v>
      </c>
      <c r="O45" s="31">
        <f t="shared" si="3"/>
        <v>1.1432333333333331</v>
      </c>
      <c r="P45" s="52"/>
      <c r="Q45" s="30">
        <v>1.1439999999999999</v>
      </c>
      <c r="R45" s="30">
        <v>1.1419999999999999</v>
      </c>
      <c r="S45" s="30">
        <v>1.1419999999999999</v>
      </c>
      <c r="T45" s="30">
        <v>1.137</v>
      </c>
      <c r="U45" s="30">
        <v>1.1399999999999999</v>
      </c>
      <c r="V45" s="30">
        <v>1.141</v>
      </c>
      <c r="W45" s="30">
        <v>1.143</v>
      </c>
      <c r="X45" s="30">
        <v>1.1379999999999999</v>
      </c>
      <c r="Y45" s="30">
        <v>1.1399999999999999</v>
      </c>
      <c r="Z45" s="30">
        <v>1.1399999999999999</v>
      </c>
      <c r="AA45" s="30">
        <v>1.1599999999999999</v>
      </c>
      <c r="AB45" s="30">
        <v>1.1399999999999999</v>
      </c>
      <c r="AC45" s="30">
        <v>1.1679999999999999</v>
      </c>
      <c r="AD45" s="30">
        <v>1.141</v>
      </c>
      <c r="AE45" s="30">
        <v>1.139</v>
      </c>
      <c r="AF45" s="30">
        <v>1.1419999999999999</v>
      </c>
      <c r="AG45" s="30">
        <v>1.141</v>
      </c>
      <c r="AH45" s="30">
        <v>1.1399999999999999</v>
      </c>
      <c r="AI45" s="30">
        <v>1.1399999999999999</v>
      </c>
      <c r="AJ45" s="30">
        <v>1.141</v>
      </c>
      <c r="AK45" s="30">
        <v>1.141</v>
      </c>
      <c r="AL45" s="30">
        <v>1.139</v>
      </c>
      <c r="AM45" s="30">
        <v>1.1399999999999999</v>
      </c>
      <c r="AN45" s="30">
        <v>1.1399999999999999</v>
      </c>
      <c r="AO45" s="30">
        <v>1.1419999999999999</v>
      </c>
      <c r="AP45" s="30">
        <v>1.1419999999999999</v>
      </c>
      <c r="AQ45" s="30">
        <v>1.1419999999999999</v>
      </c>
      <c r="AR45" s="30">
        <v>1.1399999999999999</v>
      </c>
      <c r="AS45" s="30">
        <v>1.1679999999999999</v>
      </c>
      <c r="AT45" s="30">
        <v>1.1439999999999999</v>
      </c>
      <c r="AU45" s="30">
        <v>1.141</v>
      </c>
      <c r="AV45" s="30">
        <v>1.139</v>
      </c>
      <c r="AW45" s="30">
        <v>1.143</v>
      </c>
    </row>
    <row r="46" spans="1:49" ht="18" customHeight="1">
      <c r="A46" s="23"/>
      <c r="B46" s="12"/>
      <c r="C46" s="75" t="s">
        <v>65</v>
      </c>
      <c r="D46" s="35" t="s">
        <v>382</v>
      </c>
      <c r="E46" s="35"/>
      <c r="F46" s="29" t="s">
        <v>155</v>
      </c>
      <c r="G46" s="38">
        <v>1.17</v>
      </c>
      <c r="H46" s="38">
        <v>0.05</v>
      </c>
      <c r="I46" s="38">
        <v>7.0000000000000007E-2</v>
      </c>
      <c r="J46" s="38">
        <v>0.05</v>
      </c>
      <c r="K46" s="38">
        <v>7.0000000000000007E-2</v>
      </c>
      <c r="L46" s="30">
        <f t="shared" si="0"/>
        <v>1.1659999999999999</v>
      </c>
      <c r="M46" s="30">
        <f t="shared" si="1"/>
        <v>1.1579999999999999</v>
      </c>
      <c r="N46" s="30">
        <f t="shared" si="2"/>
        <v>8.0000000000000071E-3</v>
      </c>
      <c r="O46" s="31">
        <f t="shared" si="3"/>
        <v>1.1618999999999997</v>
      </c>
      <c r="P46" s="52"/>
      <c r="Q46" s="30">
        <v>1.165</v>
      </c>
      <c r="R46" s="30">
        <v>1.1639999999999999</v>
      </c>
      <c r="S46" s="30">
        <v>1.1639999999999999</v>
      </c>
      <c r="T46" s="30">
        <v>1.1619999999999999</v>
      </c>
      <c r="U46" s="30">
        <v>1.1599999999999999</v>
      </c>
      <c r="V46" s="30">
        <v>1.161</v>
      </c>
      <c r="W46" s="30">
        <v>1.163</v>
      </c>
      <c r="X46" s="30">
        <v>1.163</v>
      </c>
      <c r="Y46" s="30">
        <v>1.1659999999999999</v>
      </c>
      <c r="Z46" s="30">
        <v>1.1599999999999999</v>
      </c>
      <c r="AA46" s="30">
        <v>1.165</v>
      </c>
      <c r="AB46" s="30">
        <v>1.1599999999999999</v>
      </c>
      <c r="AC46" s="30">
        <v>1.163</v>
      </c>
      <c r="AD46" s="30">
        <v>1.163</v>
      </c>
      <c r="AE46" s="30">
        <v>1.1619999999999999</v>
      </c>
      <c r="AF46" s="30">
        <v>1.1619999999999999</v>
      </c>
      <c r="AG46" s="30">
        <v>1.163</v>
      </c>
      <c r="AH46" s="30">
        <v>1.163</v>
      </c>
      <c r="AI46" s="30">
        <v>1.163</v>
      </c>
      <c r="AJ46" s="30">
        <v>1.1619999999999999</v>
      </c>
      <c r="AK46" s="30">
        <v>1.161</v>
      </c>
      <c r="AL46" s="30">
        <v>1.1599999999999999</v>
      </c>
      <c r="AM46" s="30">
        <v>1.1599999999999999</v>
      </c>
      <c r="AN46" s="30">
        <v>1.159</v>
      </c>
      <c r="AO46" s="30">
        <v>1.163</v>
      </c>
      <c r="AP46" s="30">
        <v>1.161</v>
      </c>
      <c r="AQ46" s="30">
        <v>1.1619999999999999</v>
      </c>
      <c r="AR46" s="30">
        <v>1.1579999999999999</v>
      </c>
      <c r="AS46" s="30">
        <v>1.1599999999999999</v>
      </c>
      <c r="AT46" s="30">
        <v>1.159</v>
      </c>
      <c r="AU46" s="30">
        <v>1.1619999999999999</v>
      </c>
      <c r="AV46" s="30">
        <v>1.1599999999999999</v>
      </c>
      <c r="AW46" s="30">
        <v>1.1619999999999999</v>
      </c>
    </row>
    <row r="47" spans="1:49" ht="18" customHeight="1">
      <c r="A47" s="23"/>
      <c r="B47" s="12"/>
      <c r="C47" s="75" t="s">
        <v>65</v>
      </c>
      <c r="D47" s="35" t="s">
        <v>383</v>
      </c>
      <c r="E47" s="35"/>
      <c r="F47" s="29" t="s">
        <v>157</v>
      </c>
      <c r="G47" s="38">
        <v>1.17</v>
      </c>
      <c r="H47" s="38">
        <v>0.05</v>
      </c>
      <c r="I47" s="38">
        <v>7.0000000000000007E-2</v>
      </c>
      <c r="J47" s="38">
        <v>0.05</v>
      </c>
      <c r="K47" s="38">
        <v>7.0000000000000007E-2</v>
      </c>
      <c r="L47" s="30">
        <f t="shared" si="0"/>
        <v>1.159</v>
      </c>
      <c r="M47" s="30">
        <f t="shared" si="1"/>
        <v>1.1479999999999999</v>
      </c>
      <c r="N47" s="30">
        <f t="shared" si="2"/>
        <v>1.1000000000000121E-2</v>
      </c>
      <c r="O47" s="31">
        <f t="shared" si="3"/>
        <v>1.1516666666666668</v>
      </c>
      <c r="P47" s="52"/>
      <c r="Q47" s="30">
        <v>1.1539999999999999</v>
      </c>
      <c r="R47" s="30">
        <v>1.153</v>
      </c>
      <c r="S47" s="30">
        <v>1.151</v>
      </c>
      <c r="T47" s="30">
        <v>1.1499999999999999</v>
      </c>
      <c r="U47" s="30">
        <v>1.149</v>
      </c>
      <c r="V47" s="30">
        <v>1.1499999999999999</v>
      </c>
      <c r="W47" s="30">
        <v>1.153</v>
      </c>
      <c r="X47" s="30">
        <v>1.153</v>
      </c>
      <c r="Y47" s="30">
        <v>1.151</v>
      </c>
      <c r="Z47" s="30">
        <v>1.149</v>
      </c>
      <c r="AA47" s="30">
        <v>1.159</v>
      </c>
      <c r="AB47" s="30">
        <v>1.1499999999999999</v>
      </c>
      <c r="AC47" s="30">
        <v>1.153</v>
      </c>
      <c r="AD47" s="30">
        <v>1.1519999999999999</v>
      </c>
      <c r="AE47" s="30">
        <v>1.1499999999999999</v>
      </c>
      <c r="AF47" s="30">
        <v>1.1499999999999999</v>
      </c>
      <c r="AG47" s="30">
        <v>1.1519999999999999</v>
      </c>
      <c r="AH47" s="30">
        <v>1.153</v>
      </c>
      <c r="AI47" s="30">
        <v>1.151</v>
      </c>
      <c r="AJ47" s="30">
        <v>1.151</v>
      </c>
      <c r="AK47" s="30">
        <v>1.153</v>
      </c>
      <c r="AL47" s="30">
        <v>1.153</v>
      </c>
      <c r="AM47" s="30">
        <v>1.1519999999999999</v>
      </c>
      <c r="AN47" s="30">
        <v>1.1499999999999999</v>
      </c>
      <c r="AO47" s="30">
        <v>1.155</v>
      </c>
      <c r="AP47" s="30">
        <v>1.153</v>
      </c>
      <c r="AQ47" s="30">
        <v>1.1519999999999999</v>
      </c>
      <c r="AR47" s="30">
        <v>1.149</v>
      </c>
      <c r="AS47" s="30">
        <v>1.151</v>
      </c>
      <c r="AT47" s="30">
        <v>1.1479999999999999</v>
      </c>
      <c r="AU47" s="30">
        <v>1.1519999999999999</v>
      </c>
      <c r="AV47" s="30">
        <v>1.1499999999999999</v>
      </c>
      <c r="AW47" s="30">
        <v>1.1539999999999999</v>
      </c>
    </row>
    <row r="48" spans="1:49" ht="18" customHeight="1">
      <c r="A48" s="23"/>
      <c r="B48" s="12"/>
      <c r="C48" s="75" t="s">
        <v>65</v>
      </c>
      <c r="D48" s="35" t="s">
        <v>384</v>
      </c>
      <c r="E48" s="35"/>
      <c r="F48" s="29" t="s">
        <v>159</v>
      </c>
      <c r="G48" s="38">
        <v>1.17</v>
      </c>
      <c r="H48" s="38">
        <v>0.05</v>
      </c>
      <c r="I48" s="38">
        <v>7.0000000000000007E-2</v>
      </c>
      <c r="J48" s="38">
        <v>0.05</v>
      </c>
      <c r="K48" s="38">
        <v>7.0000000000000007E-2</v>
      </c>
      <c r="L48" s="30">
        <f t="shared" si="0"/>
        <v>1.1559999999999999</v>
      </c>
      <c r="M48" s="30">
        <f t="shared" si="1"/>
        <v>1.1459999999999999</v>
      </c>
      <c r="N48" s="30">
        <f t="shared" si="2"/>
        <v>1.0000000000000009E-2</v>
      </c>
      <c r="O48" s="31">
        <f t="shared" si="3"/>
        <v>1.1513333333333333</v>
      </c>
      <c r="P48" s="52"/>
      <c r="Q48" s="30">
        <v>1.155</v>
      </c>
      <c r="R48" s="30">
        <v>1.153</v>
      </c>
      <c r="S48" s="30">
        <v>1.153</v>
      </c>
      <c r="T48" s="30">
        <v>1.151</v>
      </c>
      <c r="U48" s="30">
        <v>1.151</v>
      </c>
      <c r="V48" s="30">
        <v>1.151</v>
      </c>
      <c r="W48" s="30">
        <v>1.153</v>
      </c>
      <c r="X48" s="30">
        <v>1.155</v>
      </c>
      <c r="Y48" s="30">
        <v>1.1519999999999999</v>
      </c>
      <c r="Z48" s="30">
        <v>1.151</v>
      </c>
      <c r="AA48" s="30">
        <v>1.1559999999999999</v>
      </c>
      <c r="AB48" s="30">
        <v>1.151</v>
      </c>
      <c r="AC48" s="30">
        <v>1.151</v>
      </c>
      <c r="AD48" s="30">
        <v>1.151</v>
      </c>
      <c r="AE48" s="30">
        <v>1.1499999999999999</v>
      </c>
      <c r="AF48" s="30">
        <v>1.1499999999999999</v>
      </c>
      <c r="AG48" s="30">
        <v>1.151</v>
      </c>
      <c r="AH48" s="30">
        <v>1.1519999999999999</v>
      </c>
      <c r="AI48" s="30">
        <v>1.151</v>
      </c>
      <c r="AJ48" s="30">
        <v>1.151</v>
      </c>
      <c r="AK48" s="30">
        <v>1.151</v>
      </c>
      <c r="AL48" s="30">
        <v>1.1499999999999999</v>
      </c>
      <c r="AM48" s="30">
        <v>1.151</v>
      </c>
      <c r="AN48" s="30">
        <v>1.149</v>
      </c>
      <c r="AO48" s="30">
        <v>1.1519999999999999</v>
      </c>
      <c r="AP48" s="30">
        <v>1.151</v>
      </c>
      <c r="AQ48" s="30">
        <v>1.151</v>
      </c>
      <c r="AR48" s="30">
        <v>1.149</v>
      </c>
      <c r="AS48" s="30">
        <v>1.151</v>
      </c>
      <c r="AT48" s="30">
        <v>1.1459999999999999</v>
      </c>
      <c r="AU48" s="30">
        <v>1.1519999999999999</v>
      </c>
      <c r="AV48" s="30">
        <v>1.1499999999999999</v>
      </c>
      <c r="AW48" s="30">
        <v>1.1519999999999999</v>
      </c>
    </row>
    <row r="49" spans="1:49" ht="18" customHeight="1">
      <c r="A49" s="23"/>
      <c r="B49" s="12"/>
      <c r="C49" s="75" t="s">
        <v>65</v>
      </c>
      <c r="D49" s="35" t="s">
        <v>385</v>
      </c>
      <c r="E49" s="35"/>
      <c r="F49" s="29" t="s">
        <v>161</v>
      </c>
      <c r="G49" s="38">
        <v>1.17</v>
      </c>
      <c r="H49" s="38">
        <v>0.05</v>
      </c>
      <c r="I49" s="38">
        <v>7.0000000000000007E-2</v>
      </c>
      <c r="J49" s="38">
        <v>0.05</v>
      </c>
      <c r="K49" s="38">
        <v>7.0000000000000007E-2</v>
      </c>
      <c r="L49" s="30">
        <f t="shared" si="0"/>
        <v>1.18</v>
      </c>
      <c r="M49" s="30">
        <f t="shared" si="1"/>
        <v>1.175</v>
      </c>
      <c r="N49" s="30">
        <f t="shared" si="2"/>
        <v>4.9999999999998934E-3</v>
      </c>
      <c r="O49" s="31">
        <f t="shared" si="3"/>
        <v>1.177166666666666</v>
      </c>
      <c r="P49" s="52"/>
      <c r="Q49" s="30">
        <v>1.1779999999999999</v>
      </c>
      <c r="R49" s="30">
        <v>1.1779999999999999</v>
      </c>
      <c r="S49" s="30">
        <v>1.179</v>
      </c>
      <c r="T49" s="30">
        <v>1.1779999999999999</v>
      </c>
      <c r="U49" s="30">
        <v>1.177</v>
      </c>
      <c r="V49" s="30">
        <v>1.179</v>
      </c>
      <c r="W49" s="30">
        <v>1.179</v>
      </c>
      <c r="X49" s="30">
        <v>1.18</v>
      </c>
      <c r="Y49" s="30">
        <v>1.177</v>
      </c>
      <c r="Z49" s="30">
        <v>1.1759999999999999</v>
      </c>
      <c r="AA49" s="30">
        <v>1.179</v>
      </c>
      <c r="AB49" s="30">
        <v>1.1759999999999999</v>
      </c>
      <c r="AC49" s="30">
        <v>1.1779999999999999</v>
      </c>
      <c r="AD49" s="30">
        <v>1.177</v>
      </c>
      <c r="AE49" s="30">
        <v>1.175</v>
      </c>
      <c r="AF49" s="30">
        <v>1.177</v>
      </c>
      <c r="AG49" s="30">
        <v>1.1779999999999999</v>
      </c>
      <c r="AH49" s="30">
        <v>1.179</v>
      </c>
      <c r="AI49" s="30">
        <v>1.1759999999999999</v>
      </c>
      <c r="AJ49" s="30">
        <v>1.179</v>
      </c>
      <c r="AK49" s="30">
        <v>1.1779999999999999</v>
      </c>
      <c r="AL49" s="30">
        <v>1.1759999999999999</v>
      </c>
      <c r="AM49" s="30">
        <v>1.1759999999999999</v>
      </c>
      <c r="AN49" s="30">
        <v>1.175</v>
      </c>
      <c r="AO49" s="30">
        <v>1.177</v>
      </c>
      <c r="AP49" s="30">
        <v>1.177</v>
      </c>
      <c r="AQ49" s="30">
        <v>1.1759999999999999</v>
      </c>
      <c r="AR49" s="30">
        <v>1.175</v>
      </c>
      <c r="AS49" s="30">
        <v>1.175</v>
      </c>
      <c r="AT49" s="30">
        <v>1.175</v>
      </c>
      <c r="AU49" s="30">
        <v>1.177</v>
      </c>
      <c r="AV49" s="30">
        <v>1.175</v>
      </c>
      <c r="AW49" s="30">
        <v>1.1779999999999999</v>
      </c>
    </row>
    <row r="50" spans="1:49" ht="18" customHeight="1">
      <c r="A50" s="23"/>
      <c r="B50" s="12"/>
      <c r="C50" s="75" t="s">
        <v>65</v>
      </c>
      <c r="D50" s="35" t="s">
        <v>386</v>
      </c>
      <c r="E50" s="35"/>
      <c r="F50" s="29" t="s">
        <v>163</v>
      </c>
      <c r="G50" s="38">
        <v>1.17</v>
      </c>
      <c r="H50" s="38">
        <v>0.05</v>
      </c>
      <c r="I50" s="38">
        <v>7.0000000000000007E-2</v>
      </c>
      <c r="J50" s="38">
        <v>0.05</v>
      </c>
      <c r="K50" s="38">
        <v>7.0000000000000007E-2</v>
      </c>
      <c r="L50" s="30">
        <f t="shared" si="0"/>
        <v>1.1739999999999999</v>
      </c>
      <c r="M50" s="30">
        <f t="shared" si="1"/>
        <v>1.165</v>
      </c>
      <c r="N50" s="30">
        <f t="shared" si="2"/>
        <v>8.999999999999897E-3</v>
      </c>
      <c r="O50" s="31">
        <f t="shared" si="3"/>
        <v>1.1687333333333334</v>
      </c>
      <c r="P50" s="52"/>
      <c r="Q50" s="30">
        <v>1.17</v>
      </c>
      <c r="R50" s="30">
        <v>1.169</v>
      </c>
      <c r="S50" s="30">
        <v>1.1719999999999999</v>
      </c>
      <c r="T50" s="30">
        <v>1.169</v>
      </c>
      <c r="U50" s="30">
        <v>1.167</v>
      </c>
      <c r="V50" s="30">
        <v>1.17</v>
      </c>
      <c r="W50" s="30">
        <v>1.17</v>
      </c>
      <c r="X50" s="30">
        <v>1.17</v>
      </c>
      <c r="Y50" s="30">
        <v>1.167</v>
      </c>
      <c r="Z50" s="30">
        <v>1.169</v>
      </c>
      <c r="AA50" s="30">
        <v>1.1739999999999999</v>
      </c>
      <c r="AB50" s="30">
        <v>1.1679999999999999</v>
      </c>
      <c r="AC50" s="30">
        <v>1.169</v>
      </c>
      <c r="AD50" s="30">
        <v>1.17</v>
      </c>
      <c r="AE50" s="30">
        <v>1.1659999999999999</v>
      </c>
      <c r="AF50" s="30">
        <v>1.169</v>
      </c>
      <c r="AG50" s="30">
        <v>1.1659999999999999</v>
      </c>
      <c r="AH50" s="30">
        <v>1.17</v>
      </c>
      <c r="AI50" s="30">
        <v>1.169</v>
      </c>
      <c r="AJ50" s="30">
        <v>1.169</v>
      </c>
      <c r="AK50" s="30">
        <v>1.171</v>
      </c>
      <c r="AL50" s="30">
        <v>1.167</v>
      </c>
      <c r="AM50" s="30">
        <v>1.169</v>
      </c>
      <c r="AN50" s="30">
        <v>1.167</v>
      </c>
      <c r="AO50" s="30">
        <v>1.169</v>
      </c>
      <c r="AP50" s="30">
        <v>1.169</v>
      </c>
      <c r="AQ50" s="30">
        <v>1.169</v>
      </c>
      <c r="AR50" s="30">
        <v>1.167</v>
      </c>
      <c r="AS50" s="30">
        <v>1.1659999999999999</v>
      </c>
      <c r="AT50" s="30">
        <v>1.165</v>
      </c>
      <c r="AU50" s="30">
        <v>1.167</v>
      </c>
      <c r="AV50" s="30">
        <v>1.165</v>
      </c>
      <c r="AW50" s="30">
        <v>1.169</v>
      </c>
    </row>
    <row r="51" spans="1:49" ht="18" customHeight="1">
      <c r="A51" s="23"/>
      <c r="B51" s="12"/>
      <c r="C51" s="75" t="s">
        <v>65</v>
      </c>
      <c r="D51" s="35" t="s">
        <v>387</v>
      </c>
      <c r="E51" s="35"/>
      <c r="F51" s="29" t="s">
        <v>165</v>
      </c>
      <c r="G51" s="38">
        <v>1.17</v>
      </c>
      <c r="H51" s="38">
        <v>0.05</v>
      </c>
      <c r="I51" s="38">
        <v>7.0000000000000007E-2</v>
      </c>
      <c r="J51" s="38">
        <v>0.05</v>
      </c>
      <c r="K51" s="38">
        <v>7.0000000000000007E-2</v>
      </c>
      <c r="L51" s="30">
        <f t="shared" si="0"/>
        <v>1.181</v>
      </c>
      <c r="M51" s="30">
        <f t="shared" si="1"/>
        <v>1.163</v>
      </c>
      <c r="N51" s="30">
        <f t="shared" si="2"/>
        <v>1.8000000000000016E-2</v>
      </c>
      <c r="O51" s="31">
        <f t="shared" si="3"/>
        <v>1.1732666666666665</v>
      </c>
      <c r="P51" s="52"/>
      <c r="Q51" s="30">
        <v>1.1639999999999999</v>
      </c>
      <c r="R51" s="30">
        <v>1.1659999999999999</v>
      </c>
      <c r="S51" s="30">
        <v>1.1639999999999999</v>
      </c>
      <c r="T51" s="30">
        <v>1.1659999999999999</v>
      </c>
      <c r="U51" s="30">
        <v>1.163</v>
      </c>
      <c r="V51" s="30">
        <v>1.179</v>
      </c>
      <c r="W51" s="30">
        <v>1.1779999999999999</v>
      </c>
      <c r="X51" s="30">
        <v>1.179</v>
      </c>
      <c r="Y51" s="30">
        <v>1.18</v>
      </c>
      <c r="Z51" s="30">
        <v>1.179</v>
      </c>
      <c r="AA51" s="30">
        <v>1.181</v>
      </c>
      <c r="AB51" s="30">
        <v>1.179</v>
      </c>
      <c r="AC51" s="30">
        <v>1.179</v>
      </c>
      <c r="AD51" s="30">
        <v>1.18</v>
      </c>
      <c r="AE51" s="30">
        <v>1.165</v>
      </c>
      <c r="AF51" s="30">
        <v>1.163</v>
      </c>
      <c r="AG51" s="30">
        <v>1.181</v>
      </c>
      <c r="AH51" s="30">
        <v>1.179</v>
      </c>
      <c r="AI51" s="30">
        <v>1.18</v>
      </c>
      <c r="AJ51" s="30">
        <v>1.181</v>
      </c>
      <c r="AK51" s="30">
        <v>1.163</v>
      </c>
      <c r="AL51" s="30">
        <v>1.18</v>
      </c>
      <c r="AM51" s="30">
        <v>1.1739999999999999</v>
      </c>
      <c r="AN51" s="30">
        <v>1.1779999999999999</v>
      </c>
      <c r="AO51" s="30">
        <v>1.169</v>
      </c>
      <c r="AP51" s="30">
        <v>1.18</v>
      </c>
      <c r="AQ51" s="30">
        <v>1.163</v>
      </c>
      <c r="AR51" s="30">
        <v>1.1639999999999999</v>
      </c>
      <c r="AS51" s="30">
        <v>1.169</v>
      </c>
      <c r="AT51" s="30">
        <v>1.1719999999999999</v>
      </c>
      <c r="AU51" s="30">
        <v>1.1779999999999999</v>
      </c>
      <c r="AV51" s="30">
        <v>1.179</v>
      </c>
      <c r="AW51" s="30">
        <v>1.181</v>
      </c>
    </row>
    <row r="52" spans="1:49" ht="18" customHeight="1">
      <c r="A52" s="23"/>
      <c r="B52" s="12"/>
      <c r="C52" s="75" t="s">
        <v>65</v>
      </c>
      <c r="D52" s="35" t="s">
        <v>166</v>
      </c>
      <c r="E52" s="35"/>
      <c r="F52" s="29" t="s">
        <v>167</v>
      </c>
      <c r="G52" s="38">
        <v>1.17</v>
      </c>
      <c r="H52" s="38">
        <v>0.05</v>
      </c>
      <c r="I52" s="38">
        <v>7.0000000000000007E-2</v>
      </c>
      <c r="J52" s="38">
        <v>0.05</v>
      </c>
      <c r="K52" s="38">
        <v>7.0000000000000007E-2</v>
      </c>
      <c r="L52" s="30">
        <f t="shared" si="0"/>
        <v>1.175</v>
      </c>
      <c r="M52" s="30">
        <f t="shared" si="1"/>
        <v>1.1679999999999999</v>
      </c>
      <c r="N52" s="30">
        <f t="shared" si="2"/>
        <v>7.0000000000001172E-3</v>
      </c>
      <c r="O52" s="31">
        <f t="shared" si="3"/>
        <v>1.1724333333333337</v>
      </c>
      <c r="P52" s="52"/>
      <c r="Q52" s="30">
        <v>1.173</v>
      </c>
      <c r="R52" s="30">
        <v>1.1739999999999999</v>
      </c>
      <c r="S52" s="30">
        <v>1.1719999999999999</v>
      </c>
      <c r="T52" s="30">
        <v>1.1719999999999999</v>
      </c>
      <c r="U52" s="30">
        <v>1.171</v>
      </c>
      <c r="V52" s="30">
        <v>1.173</v>
      </c>
      <c r="W52" s="30">
        <v>1.1719999999999999</v>
      </c>
      <c r="X52" s="30">
        <v>1.1719999999999999</v>
      </c>
      <c r="Y52" s="30">
        <v>1.173</v>
      </c>
      <c r="Z52" s="30">
        <v>1.173</v>
      </c>
      <c r="AA52" s="30">
        <v>1.1679999999999999</v>
      </c>
      <c r="AB52" s="30">
        <v>1.173</v>
      </c>
      <c r="AC52" s="30">
        <v>1.173</v>
      </c>
      <c r="AD52" s="30">
        <v>1.1719999999999999</v>
      </c>
      <c r="AE52" s="30">
        <v>1.173</v>
      </c>
      <c r="AF52" s="30">
        <v>1.171</v>
      </c>
      <c r="AG52" s="30">
        <v>1.173</v>
      </c>
      <c r="AH52" s="30">
        <v>1.173</v>
      </c>
      <c r="AI52" s="30">
        <v>1.173</v>
      </c>
      <c r="AJ52" s="30">
        <v>1.175</v>
      </c>
      <c r="AK52" s="30">
        <v>1.1719999999999999</v>
      </c>
      <c r="AL52" s="30">
        <v>1.173</v>
      </c>
      <c r="AM52" s="30">
        <v>1.1719999999999999</v>
      </c>
      <c r="AN52" s="30">
        <v>1.171</v>
      </c>
      <c r="AO52" s="30">
        <v>1.1739999999999999</v>
      </c>
      <c r="AP52" s="30">
        <v>1.173</v>
      </c>
      <c r="AQ52" s="30">
        <v>1.173</v>
      </c>
      <c r="AR52" s="30">
        <v>1.1719999999999999</v>
      </c>
      <c r="AS52" s="30">
        <v>1.173</v>
      </c>
      <c r="AT52" s="30">
        <v>1.171</v>
      </c>
      <c r="AU52" s="30">
        <v>1.173</v>
      </c>
      <c r="AV52" s="30">
        <v>1.171</v>
      </c>
      <c r="AW52" s="30">
        <v>1.1719999999999999</v>
      </c>
    </row>
    <row r="53" spans="1:49" ht="18" customHeight="1">
      <c r="A53" s="23"/>
      <c r="B53" s="12"/>
      <c r="C53" s="75" t="s">
        <v>65</v>
      </c>
      <c r="D53" s="35" t="s">
        <v>168</v>
      </c>
      <c r="E53" s="35"/>
      <c r="F53" s="29" t="s">
        <v>169</v>
      </c>
      <c r="G53" s="38">
        <v>1.17</v>
      </c>
      <c r="H53" s="38">
        <v>0.05</v>
      </c>
      <c r="I53" s="38">
        <v>7.0000000000000007E-2</v>
      </c>
      <c r="J53" s="38">
        <v>0.05</v>
      </c>
      <c r="K53" s="38">
        <v>7.0000000000000007E-2</v>
      </c>
      <c r="L53" s="30">
        <f t="shared" si="0"/>
        <v>1.169</v>
      </c>
      <c r="M53" s="30">
        <f t="shared" si="1"/>
        <v>1.1639999999999999</v>
      </c>
      <c r="N53" s="30">
        <f t="shared" si="2"/>
        <v>5.0000000000001155E-3</v>
      </c>
      <c r="O53" s="31">
        <f t="shared" si="3"/>
        <v>1.1671333333333334</v>
      </c>
      <c r="P53" s="52"/>
      <c r="Q53" s="30">
        <v>1.1679999999999999</v>
      </c>
      <c r="R53" s="30">
        <v>1.169</v>
      </c>
      <c r="S53" s="30">
        <v>1.1679999999999999</v>
      </c>
      <c r="T53" s="30">
        <v>1.167</v>
      </c>
      <c r="U53" s="30">
        <v>1.1659999999999999</v>
      </c>
      <c r="V53" s="30">
        <v>1.1679999999999999</v>
      </c>
      <c r="W53" s="30">
        <v>1.1659999999999999</v>
      </c>
      <c r="X53" s="30">
        <v>1.1679999999999999</v>
      </c>
      <c r="Y53" s="30">
        <v>1.167</v>
      </c>
      <c r="Z53" s="30">
        <v>1.167</v>
      </c>
      <c r="AA53" s="30">
        <v>1.1639999999999999</v>
      </c>
      <c r="AB53" s="30">
        <v>1.1679999999999999</v>
      </c>
      <c r="AC53" s="30">
        <v>1.167</v>
      </c>
      <c r="AD53" s="30">
        <v>1.1659999999999999</v>
      </c>
      <c r="AE53" s="30">
        <v>1.167</v>
      </c>
      <c r="AF53" s="30">
        <v>1.167</v>
      </c>
      <c r="AG53" s="30">
        <v>1.1679999999999999</v>
      </c>
      <c r="AH53" s="30">
        <v>1.167</v>
      </c>
      <c r="AI53" s="30">
        <v>1.169</v>
      </c>
      <c r="AJ53" s="30">
        <v>1.1679999999999999</v>
      </c>
      <c r="AK53" s="30">
        <v>1.1659999999999999</v>
      </c>
      <c r="AL53" s="30">
        <v>1.169</v>
      </c>
      <c r="AM53" s="30">
        <v>1.1659999999999999</v>
      </c>
      <c r="AN53" s="30">
        <v>1.1659999999999999</v>
      </c>
      <c r="AO53" s="30">
        <v>1.167</v>
      </c>
      <c r="AP53" s="30">
        <v>1.167</v>
      </c>
      <c r="AQ53" s="30">
        <v>1.1659999999999999</v>
      </c>
      <c r="AR53" s="30">
        <v>1.167</v>
      </c>
      <c r="AS53" s="30">
        <v>1.167</v>
      </c>
      <c r="AT53" s="30">
        <v>1.1679999999999999</v>
      </c>
      <c r="AU53" s="30">
        <v>1.167</v>
      </c>
      <c r="AV53" s="30">
        <v>1.1679999999999999</v>
      </c>
      <c r="AW53" s="30">
        <v>1.167</v>
      </c>
    </row>
    <row r="54" spans="1:49" ht="18" customHeight="1">
      <c r="A54" s="23"/>
      <c r="B54" s="12"/>
      <c r="C54" s="75" t="s">
        <v>65</v>
      </c>
      <c r="D54" s="35" t="s">
        <v>170</v>
      </c>
      <c r="E54" s="35"/>
      <c r="F54" s="29" t="s">
        <v>171</v>
      </c>
      <c r="G54" s="38">
        <v>1.17</v>
      </c>
      <c r="H54" s="38">
        <v>0.05</v>
      </c>
      <c r="I54" s="38">
        <v>7.0000000000000007E-2</v>
      </c>
      <c r="J54" s="38">
        <v>0.05</v>
      </c>
      <c r="K54" s="38">
        <v>7.0000000000000007E-2</v>
      </c>
      <c r="L54" s="30">
        <f t="shared" si="0"/>
        <v>1.1659999999999999</v>
      </c>
      <c r="M54" s="30">
        <f t="shared" si="1"/>
        <v>1.153</v>
      </c>
      <c r="N54" s="30">
        <f t="shared" si="2"/>
        <v>1.2999999999999901E-2</v>
      </c>
      <c r="O54" s="31">
        <f t="shared" si="3"/>
        <v>1.1558999999999999</v>
      </c>
      <c r="P54" s="52"/>
      <c r="Q54" s="30">
        <v>1.1559999999999999</v>
      </c>
      <c r="R54" s="30">
        <v>1.1539999999999999</v>
      </c>
      <c r="S54" s="30">
        <v>1.1559999999999999</v>
      </c>
      <c r="T54" s="30">
        <v>1.1539999999999999</v>
      </c>
      <c r="U54" s="30">
        <v>1.1559999999999999</v>
      </c>
      <c r="V54" s="30">
        <v>1.1559999999999999</v>
      </c>
      <c r="W54" s="30">
        <v>1.1559999999999999</v>
      </c>
      <c r="X54" s="30">
        <v>1.1559999999999999</v>
      </c>
      <c r="Y54" s="30">
        <v>1.1559999999999999</v>
      </c>
      <c r="Z54" s="30">
        <v>1.1539999999999999</v>
      </c>
      <c r="AA54" s="30">
        <v>1.1659999999999999</v>
      </c>
      <c r="AB54" s="30">
        <v>1.153</v>
      </c>
      <c r="AC54" s="30">
        <v>1.1559999999999999</v>
      </c>
      <c r="AD54" s="30">
        <v>1.157</v>
      </c>
      <c r="AE54" s="30">
        <v>1.1559999999999999</v>
      </c>
      <c r="AF54" s="30">
        <v>1.1559999999999999</v>
      </c>
      <c r="AG54" s="30">
        <v>1.1539999999999999</v>
      </c>
      <c r="AH54" s="30">
        <v>1.1559999999999999</v>
      </c>
      <c r="AI54" s="30">
        <v>1.1559999999999999</v>
      </c>
      <c r="AJ54" s="30">
        <v>1.153</v>
      </c>
      <c r="AK54" s="30">
        <v>1.155</v>
      </c>
      <c r="AL54" s="30">
        <v>1.157</v>
      </c>
      <c r="AM54" s="30">
        <v>1.155</v>
      </c>
      <c r="AN54" s="30">
        <v>1.155</v>
      </c>
      <c r="AO54" s="30">
        <v>1.157</v>
      </c>
      <c r="AP54" s="30">
        <v>1.155</v>
      </c>
      <c r="AQ54" s="30">
        <v>1.1559999999999999</v>
      </c>
      <c r="AR54" s="30">
        <v>1.1559999999999999</v>
      </c>
      <c r="AS54" s="30">
        <v>1.1579999999999999</v>
      </c>
      <c r="AT54" s="30">
        <v>1.1559999999999999</v>
      </c>
      <c r="AU54" s="30">
        <v>1.157</v>
      </c>
      <c r="AV54" s="30">
        <v>1.155</v>
      </c>
      <c r="AW54" s="30">
        <v>1.157</v>
      </c>
    </row>
    <row r="55" spans="1:49" ht="18" customHeight="1">
      <c r="A55" s="23"/>
      <c r="B55" s="12"/>
      <c r="C55" s="75" t="s">
        <v>65</v>
      </c>
      <c r="D55" s="35" t="s">
        <v>172</v>
      </c>
      <c r="E55" s="35"/>
      <c r="F55" s="29" t="s">
        <v>173</v>
      </c>
      <c r="G55" s="38">
        <v>1.17</v>
      </c>
      <c r="H55" s="38">
        <v>0.05</v>
      </c>
      <c r="I55" s="38">
        <v>7.0000000000000007E-2</v>
      </c>
      <c r="J55" s="38">
        <v>0.05</v>
      </c>
      <c r="K55" s="38">
        <v>7.0000000000000007E-2</v>
      </c>
      <c r="L55" s="30">
        <f t="shared" si="0"/>
        <v>1.1599999999999999</v>
      </c>
      <c r="M55" s="30">
        <f t="shared" si="1"/>
        <v>1.155</v>
      </c>
      <c r="N55" s="30">
        <f t="shared" si="2"/>
        <v>4.9999999999998934E-3</v>
      </c>
      <c r="O55" s="31">
        <f t="shared" si="3"/>
        <v>1.1578000000000004</v>
      </c>
      <c r="P55" s="52"/>
      <c r="Q55" s="30">
        <v>1.1559999999999999</v>
      </c>
      <c r="R55" s="30">
        <v>1.155</v>
      </c>
      <c r="S55" s="30">
        <v>1.157</v>
      </c>
      <c r="T55" s="30">
        <v>1.1559999999999999</v>
      </c>
      <c r="U55" s="30">
        <v>1.1579999999999999</v>
      </c>
      <c r="V55" s="30">
        <v>1.159</v>
      </c>
      <c r="W55" s="30">
        <v>1.1579999999999999</v>
      </c>
      <c r="X55" s="30">
        <v>1.1579999999999999</v>
      </c>
      <c r="Y55" s="30">
        <v>1.159</v>
      </c>
      <c r="Z55" s="30">
        <v>1.1559999999999999</v>
      </c>
      <c r="AA55" s="30">
        <v>1.159</v>
      </c>
      <c r="AB55" s="30">
        <v>1.1559999999999999</v>
      </c>
      <c r="AC55" s="30">
        <v>1.1579999999999999</v>
      </c>
      <c r="AD55" s="30">
        <v>1.159</v>
      </c>
      <c r="AE55" s="30">
        <v>1.1579999999999999</v>
      </c>
      <c r="AF55" s="30">
        <v>1.1579999999999999</v>
      </c>
      <c r="AG55" s="30">
        <v>1.1579999999999999</v>
      </c>
      <c r="AH55" s="30">
        <v>1.159</v>
      </c>
      <c r="AI55" s="30">
        <v>1.1579999999999999</v>
      </c>
      <c r="AJ55" s="30">
        <v>1.1559999999999999</v>
      </c>
      <c r="AK55" s="30">
        <v>1.1579999999999999</v>
      </c>
      <c r="AL55" s="30">
        <v>1.1579999999999999</v>
      </c>
      <c r="AM55" s="30">
        <v>1.1579999999999999</v>
      </c>
      <c r="AN55" s="30">
        <v>1.159</v>
      </c>
      <c r="AO55" s="30">
        <v>1.159</v>
      </c>
      <c r="AP55" s="30">
        <v>1.1599999999999999</v>
      </c>
      <c r="AQ55" s="30">
        <v>1.157</v>
      </c>
      <c r="AR55" s="30">
        <v>1.1579999999999999</v>
      </c>
      <c r="AS55" s="30">
        <v>1.159</v>
      </c>
      <c r="AT55" s="30">
        <v>1.157</v>
      </c>
      <c r="AU55" s="30">
        <v>1.1579999999999999</v>
      </c>
      <c r="AV55" s="30">
        <v>1.157</v>
      </c>
      <c r="AW55" s="30">
        <v>1.159</v>
      </c>
    </row>
    <row r="56" spans="1:49" ht="18" customHeight="1">
      <c r="A56" s="23"/>
      <c r="B56" s="12"/>
      <c r="C56" s="75" t="s">
        <v>65</v>
      </c>
      <c r="D56" s="35" t="s">
        <v>174</v>
      </c>
      <c r="E56" s="35"/>
      <c r="F56" s="29" t="s">
        <v>175</v>
      </c>
      <c r="G56" s="38">
        <v>1.17</v>
      </c>
      <c r="H56" s="38">
        <v>0.05</v>
      </c>
      <c r="I56" s="38">
        <v>7.0000000000000007E-2</v>
      </c>
      <c r="J56" s="38">
        <v>0.05</v>
      </c>
      <c r="K56" s="38">
        <v>7.0000000000000007E-2</v>
      </c>
      <c r="L56" s="30">
        <f t="shared" si="0"/>
        <v>1.173</v>
      </c>
      <c r="M56" s="30">
        <f t="shared" si="1"/>
        <v>1.163</v>
      </c>
      <c r="N56" s="30">
        <f t="shared" si="2"/>
        <v>1.0000000000000009E-2</v>
      </c>
      <c r="O56" s="31">
        <f t="shared" si="3"/>
        <v>1.166466666666667</v>
      </c>
      <c r="P56" s="52"/>
      <c r="Q56" s="30">
        <v>1.1679999999999999</v>
      </c>
      <c r="R56" s="30">
        <v>1.163</v>
      </c>
      <c r="S56" s="30">
        <v>1.165</v>
      </c>
      <c r="T56" s="30">
        <v>1.1639999999999999</v>
      </c>
      <c r="U56" s="30">
        <v>1.1659999999999999</v>
      </c>
      <c r="V56" s="30">
        <v>1.1659999999999999</v>
      </c>
      <c r="W56" s="30">
        <v>1.167</v>
      </c>
      <c r="X56" s="30">
        <v>1.1679999999999999</v>
      </c>
      <c r="Y56" s="30">
        <v>1.169</v>
      </c>
      <c r="Z56" s="30">
        <v>1.165</v>
      </c>
      <c r="AA56" s="30">
        <v>1.173</v>
      </c>
      <c r="AB56" s="30">
        <v>1.163</v>
      </c>
      <c r="AC56" s="30">
        <v>1.1659999999999999</v>
      </c>
      <c r="AD56" s="30">
        <v>1.169</v>
      </c>
      <c r="AE56" s="30">
        <v>1.167</v>
      </c>
      <c r="AF56" s="30">
        <v>1.1659999999999999</v>
      </c>
      <c r="AG56" s="30">
        <v>1.1659999999999999</v>
      </c>
      <c r="AH56" s="30">
        <v>1.1659999999999999</v>
      </c>
      <c r="AI56" s="30">
        <v>1.1659999999999999</v>
      </c>
      <c r="AJ56" s="30">
        <v>1.1639999999999999</v>
      </c>
      <c r="AK56" s="30">
        <v>1.1659999999999999</v>
      </c>
      <c r="AL56" s="30">
        <v>1.1679999999999999</v>
      </c>
      <c r="AM56" s="30">
        <v>1.167</v>
      </c>
      <c r="AN56" s="30">
        <v>1.1659999999999999</v>
      </c>
      <c r="AO56" s="30">
        <v>1.1679999999999999</v>
      </c>
      <c r="AP56" s="30">
        <v>1.167</v>
      </c>
      <c r="AQ56" s="30">
        <v>1.167</v>
      </c>
      <c r="AR56" s="30">
        <v>1.165</v>
      </c>
      <c r="AS56" s="30">
        <v>1.1679999999999999</v>
      </c>
      <c r="AT56" s="30">
        <v>1.165</v>
      </c>
      <c r="AU56" s="30">
        <v>1.1679999999999999</v>
      </c>
      <c r="AV56" s="30">
        <v>1.1659999999999999</v>
      </c>
      <c r="AW56" s="30">
        <v>1.167</v>
      </c>
    </row>
    <row r="57" spans="1:49" ht="18" customHeight="1">
      <c r="A57" s="23"/>
      <c r="B57" s="12"/>
      <c r="C57" s="75" t="s">
        <v>65</v>
      </c>
      <c r="D57" s="35" t="s">
        <v>176</v>
      </c>
      <c r="E57" s="35"/>
      <c r="F57" s="29" t="s">
        <v>177</v>
      </c>
      <c r="G57" s="38">
        <v>0.84</v>
      </c>
      <c r="H57" s="38">
        <v>0.05</v>
      </c>
      <c r="I57" s="38">
        <v>0.05</v>
      </c>
      <c r="J57" s="38">
        <v>0.05</v>
      </c>
      <c r="K57" s="38">
        <v>0.05</v>
      </c>
      <c r="L57" s="30">
        <f t="shared" si="0"/>
        <v>0.84299999999999997</v>
      </c>
      <c r="M57" s="30">
        <f t="shared" si="1"/>
        <v>0.83299999999999996</v>
      </c>
      <c r="N57" s="30">
        <f t="shared" si="2"/>
        <v>1.0000000000000009E-2</v>
      </c>
      <c r="O57" s="31">
        <f t="shared" si="3"/>
        <v>0.84083333333333299</v>
      </c>
      <c r="P57" s="52"/>
      <c r="Q57" s="30">
        <v>0.84</v>
      </c>
      <c r="R57" s="30">
        <v>0.84099999999999997</v>
      </c>
      <c r="S57" s="30">
        <v>0.84</v>
      </c>
      <c r="T57" s="30">
        <v>0.84</v>
      </c>
      <c r="U57" s="30">
        <v>0.84199999999999997</v>
      </c>
      <c r="V57" s="30">
        <v>0.84</v>
      </c>
      <c r="W57" s="30">
        <v>0.84099999999999997</v>
      </c>
      <c r="X57" s="30">
        <v>0.84099999999999997</v>
      </c>
      <c r="Y57" s="30">
        <v>0.84</v>
      </c>
      <c r="Z57" s="30">
        <v>0.84099999999999997</v>
      </c>
      <c r="AA57" s="30">
        <v>0.83299999999999996</v>
      </c>
      <c r="AB57" s="30">
        <v>0.84199999999999997</v>
      </c>
      <c r="AC57" s="30">
        <v>0.84099999999999997</v>
      </c>
      <c r="AD57" s="30">
        <v>0.84099999999999997</v>
      </c>
      <c r="AE57" s="30">
        <v>0.84099999999999997</v>
      </c>
      <c r="AF57" s="30">
        <v>0.84</v>
      </c>
      <c r="AG57" s="30">
        <v>0.84099999999999997</v>
      </c>
      <c r="AH57" s="30">
        <v>0.84</v>
      </c>
      <c r="AI57" s="30">
        <v>0.84099999999999997</v>
      </c>
      <c r="AJ57" s="30">
        <v>0.84099999999999997</v>
      </c>
      <c r="AK57" s="30">
        <v>0.84099999999999997</v>
      </c>
      <c r="AL57" s="30">
        <v>0.84199999999999997</v>
      </c>
      <c r="AM57" s="30">
        <v>0.84199999999999997</v>
      </c>
      <c r="AN57" s="30">
        <v>0.84199999999999997</v>
      </c>
      <c r="AO57" s="30">
        <v>0.84299999999999997</v>
      </c>
      <c r="AP57" s="30">
        <v>0.84199999999999997</v>
      </c>
      <c r="AQ57" s="30">
        <v>0.84099999999999997</v>
      </c>
      <c r="AR57" s="30">
        <v>0.84099999999999997</v>
      </c>
      <c r="AS57" s="30">
        <v>0.84199999999999997</v>
      </c>
      <c r="AT57" s="30">
        <v>0.84199999999999997</v>
      </c>
      <c r="AU57" s="30">
        <v>0.84199999999999997</v>
      </c>
      <c r="AV57" s="30">
        <v>0.84099999999999997</v>
      </c>
      <c r="AW57" s="30">
        <v>0.84099999999999997</v>
      </c>
    </row>
    <row r="58" spans="1:49" ht="18" customHeight="1">
      <c r="A58" s="23"/>
      <c r="B58" s="12"/>
      <c r="C58" s="75" t="s">
        <v>65</v>
      </c>
      <c r="D58" s="35" t="s">
        <v>178</v>
      </c>
      <c r="E58" s="35"/>
      <c r="F58" s="29" t="s">
        <v>179</v>
      </c>
      <c r="G58" s="38">
        <v>0.84</v>
      </c>
      <c r="H58" s="38">
        <v>0.05</v>
      </c>
      <c r="I58" s="38">
        <v>0.05</v>
      </c>
      <c r="J58" s="38">
        <v>0.05</v>
      </c>
      <c r="K58" s="38">
        <v>0.05</v>
      </c>
      <c r="L58" s="30">
        <f t="shared" si="0"/>
        <v>0.84299999999999997</v>
      </c>
      <c r="M58" s="30">
        <f t="shared" si="1"/>
        <v>0.83499999999999996</v>
      </c>
      <c r="N58" s="30">
        <f t="shared" si="2"/>
        <v>8.0000000000000071E-3</v>
      </c>
      <c r="O58" s="31">
        <f t="shared" si="3"/>
        <v>0.8414999999999998</v>
      </c>
      <c r="P58" s="52"/>
      <c r="Q58" s="30">
        <v>0.84299999999999997</v>
      </c>
      <c r="R58" s="30">
        <v>0.84299999999999997</v>
      </c>
      <c r="S58" s="30">
        <v>0.84099999999999997</v>
      </c>
      <c r="T58" s="30">
        <v>0.84199999999999997</v>
      </c>
      <c r="U58" s="30">
        <v>0.84099999999999997</v>
      </c>
      <c r="V58" s="30">
        <v>0.84199999999999997</v>
      </c>
      <c r="W58" s="30">
        <v>0.84199999999999997</v>
      </c>
      <c r="X58" s="30">
        <v>0.84099999999999997</v>
      </c>
      <c r="Y58" s="30">
        <v>0.84199999999999997</v>
      </c>
      <c r="Z58" s="30">
        <v>0.84199999999999997</v>
      </c>
      <c r="AA58" s="30">
        <v>0.83499999999999996</v>
      </c>
      <c r="AB58" s="30">
        <v>0.84199999999999997</v>
      </c>
      <c r="AC58" s="30">
        <v>0.84299999999999997</v>
      </c>
      <c r="AD58" s="30">
        <v>0.84099999999999997</v>
      </c>
      <c r="AE58" s="30">
        <v>0.84099999999999997</v>
      </c>
      <c r="AF58" s="30">
        <v>0.84199999999999997</v>
      </c>
      <c r="AG58" s="30">
        <v>0.84</v>
      </c>
      <c r="AH58" s="30">
        <v>0.84099999999999997</v>
      </c>
      <c r="AI58" s="30">
        <v>0.84199999999999997</v>
      </c>
      <c r="AJ58" s="30">
        <v>0.84299999999999997</v>
      </c>
      <c r="AK58" s="30">
        <v>0.84199999999999997</v>
      </c>
      <c r="AL58" s="30">
        <v>0.84199999999999997</v>
      </c>
      <c r="AM58" s="30">
        <v>0.84199999999999997</v>
      </c>
      <c r="AN58" s="30">
        <v>0.84099999999999997</v>
      </c>
      <c r="AO58" s="30">
        <v>0.84199999999999997</v>
      </c>
      <c r="AP58" s="30">
        <v>0.84199999999999997</v>
      </c>
      <c r="AQ58" s="30">
        <v>0.84099999999999997</v>
      </c>
      <c r="AR58" s="30">
        <v>0.84099999999999997</v>
      </c>
      <c r="AS58" s="30">
        <v>0.84199999999999997</v>
      </c>
      <c r="AT58" s="30">
        <v>0.84099999999999997</v>
      </c>
      <c r="AU58" s="30">
        <v>0.84099999999999997</v>
      </c>
      <c r="AV58" s="30">
        <v>0.84099999999999997</v>
      </c>
      <c r="AW58" s="30">
        <v>0.84</v>
      </c>
    </row>
    <row r="59" spans="1:49" ht="18" customHeight="1">
      <c r="A59" s="23"/>
      <c r="B59" s="12"/>
      <c r="C59" s="75" t="s">
        <v>65</v>
      </c>
      <c r="D59" s="35" t="s">
        <v>180</v>
      </c>
      <c r="E59" s="35"/>
      <c r="F59" s="29" t="s">
        <v>181</v>
      </c>
      <c r="G59" s="38">
        <v>0.84</v>
      </c>
      <c r="H59" s="38">
        <v>0.05</v>
      </c>
      <c r="I59" s="38">
        <v>0.05</v>
      </c>
      <c r="J59" s="38">
        <v>0.05</v>
      </c>
      <c r="K59" s="38">
        <v>0.05</v>
      </c>
      <c r="L59" s="30">
        <f t="shared" si="0"/>
        <v>0.85699999999999998</v>
      </c>
      <c r="M59" s="30">
        <f t="shared" si="1"/>
        <v>0.83099999999999996</v>
      </c>
      <c r="N59" s="30">
        <f t="shared" si="2"/>
        <v>2.6000000000000023E-2</v>
      </c>
      <c r="O59" s="31">
        <f t="shared" si="3"/>
        <v>0.83363333333333312</v>
      </c>
      <c r="P59" s="52"/>
      <c r="Q59" s="30">
        <v>0.83299999999999996</v>
      </c>
      <c r="R59" s="30">
        <v>0.83299999999999996</v>
      </c>
      <c r="S59" s="30">
        <v>0.83299999999999996</v>
      </c>
      <c r="T59" s="30">
        <v>0.83399999999999996</v>
      </c>
      <c r="U59" s="30">
        <v>0.83299999999999996</v>
      </c>
      <c r="V59" s="30">
        <v>0.83399999999999996</v>
      </c>
      <c r="W59" s="30">
        <v>0.83099999999999996</v>
      </c>
      <c r="X59" s="30">
        <v>0.83199999999999996</v>
      </c>
      <c r="Y59" s="30">
        <v>0.83299999999999996</v>
      </c>
      <c r="Z59" s="30">
        <v>0.85699999999999998</v>
      </c>
      <c r="AA59" s="30">
        <v>0.83299999999999996</v>
      </c>
      <c r="AB59" s="30">
        <v>0.83399999999999996</v>
      </c>
      <c r="AC59" s="30">
        <v>0.83299999999999996</v>
      </c>
      <c r="AD59" s="30">
        <v>0.83299999999999996</v>
      </c>
      <c r="AE59" s="30">
        <v>0.83299999999999996</v>
      </c>
      <c r="AF59" s="30">
        <v>0.83299999999999996</v>
      </c>
      <c r="AG59" s="30">
        <v>0.83399999999999996</v>
      </c>
      <c r="AH59" s="30">
        <v>0.83199999999999996</v>
      </c>
      <c r="AI59" s="30">
        <v>0.83099999999999996</v>
      </c>
      <c r="AJ59" s="30">
        <v>0.83299999999999996</v>
      </c>
      <c r="AK59" s="30">
        <v>0.83099999999999996</v>
      </c>
      <c r="AL59" s="30">
        <v>0.83299999999999996</v>
      </c>
      <c r="AM59" s="30">
        <v>0.83199999999999996</v>
      </c>
      <c r="AN59" s="30">
        <v>0.83399999999999996</v>
      </c>
      <c r="AO59" s="30">
        <v>0.83199999999999996</v>
      </c>
      <c r="AP59" s="30">
        <v>0.83399999999999996</v>
      </c>
      <c r="AQ59" s="30">
        <v>0.83299999999999996</v>
      </c>
      <c r="AR59" s="30">
        <v>0.83299999999999996</v>
      </c>
      <c r="AS59" s="30">
        <v>0.83299999999999996</v>
      </c>
      <c r="AT59" s="30">
        <v>0.83199999999999996</v>
      </c>
      <c r="AU59" s="30">
        <v>0.83299999999999996</v>
      </c>
      <c r="AV59" s="30">
        <v>0.83399999999999996</v>
      </c>
      <c r="AW59" s="30">
        <v>0.83299999999999996</v>
      </c>
    </row>
    <row r="60" spans="1:49" ht="18" customHeight="1">
      <c r="A60" s="23"/>
      <c r="B60" s="12"/>
      <c r="C60" s="75" t="s">
        <v>65</v>
      </c>
      <c r="D60" s="35" t="s">
        <v>182</v>
      </c>
      <c r="E60" s="35"/>
      <c r="F60" s="29" t="s">
        <v>183</v>
      </c>
      <c r="G60" s="38">
        <v>0.84</v>
      </c>
      <c r="H60" s="38">
        <v>0.05</v>
      </c>
      <c r="I60" s="38">
        <v>0.05</v>
      </c>
      <c r="J60" s="38">
        <v>0.05</v>
      </c>
      <c r="K60" s="38">
        <v>0.05</v>
      </c>
      <c r="L60" s="30">
        <f t="shared" si="0"/>
        <v>0.83099999999999996</v>
      </c>
      <c r="M60" s="30">
        <f t="shared" si="1"/>
        <v>0.82499999999999996</v>
      </c>
      <c r="N60" s="30">
        <f t="shared" si="2"/>
        <v>6.0000000000000053E-3</v>
      </c>
      <c r="O60" s="31">
        <f t="shared" si="3"/>
        <v>0.82919999999999983</v>
      </c>
      <c r="P60" s="52"/>
      <c r="Q60" s="30">
        <v>0.83</v>
      </c>
      <c r="R60" s="30">
        <v>0.83099999999999996</v>
      </c>
      <c r="S60" s="30">
        <v>0.83</v>
      </c>
      <c r="T60" s="30">
        <v>0.82899999999999996</v>
      </c>
      <c r="U60" s="30">
        <v>0.82799999999999996</v>
      </c>
      <c r="V60" s="30">
        <v>0.82899999999999996</v>
      </c>
      <c r="W60" s="30">
        <v>0.82899999999999996</v>
      </c>
      <c r="X60" s="30">
        <v>0.82799999999999996</v>
      </c>
      <c r="Y60" s="30">
        <v>0.82899999999999996</v>
      </c>
      <c r="Z60" s="30">
        <v>0.83099999999999996</v>
      </c>
      <c r="AA60" s="30">
        <v>0.82499999999999996</v>
      </c>
      <c r="AB60" s="30">
        <v>0.83</v>
      </c>
      <c r="AC60" s="30">
        <v>0.83</v>
      </c>
      <c r="AD60" s="30">
        <v>0.82899999999999996</v>
      </c>
      <c r="AE60" s="30">
        <v>0.82899999999999996</v>
      </c>
      <c r="AF60" s="30">
        <v>0.82899999999999996</v>
      </c>
      <c r="AG60" s="30">
        <v>0.83</v>
      </c>
      <c r="AH60" s="30">
        <v>0.82799999999999996</v>
      </c>
      <c r="AI60" s="30">
        <v>0.82899999999999996</v>
      </c>
      <c r="AJ60" s="30">
        <v>0.83</v>
      </c>
      <c r="AK60" s="30">
        <v>0.82899999999999996</v>
      </c>
      <c r="AL60" s="30">
        <v>0.83</v>
      </c>
      <c r="AM60" s="30">
        <v>0.82899999999999996</v>
      </c>
      <c r="AN60" s="30">
        <v>0.83</v>
      </c>
      <c r="AO60" s="30">
        <v>0.82799999999999996</v>
      </c>
      <c r="AP60" s="30">
        <v>0.83</v>
      </c>
      <c r="AQ60" s="30">
        <v>0.82899999999999996</v>
      </c>
      <c r="AR60" s="30">
        <v>0.83</v>
      </c>
      <c r="AS60" s="30">
        <v>0.83</v>
      </c>
      <c r="AT60" s="30">
        <v>0.82799999999999996</v>
      </c>
      <c r="AU60" s="30">
        <v>0.82799999999999996</v>
      </c>
      <c r="AV60" s="30">
        <v>0.83</v>
      </c>
      <c r="AW60" s="30">
        <v>0.83099999999999996</v>
      </c>
    </row>
    <row r="61" spans="1:49" ht="18" customHeight="1">
      <c r="A61" s="23"/>
      <c r="B61" s="12"/>
      <c r="C61" s="78" t="s">
        <v>115</v>
      </c>
      <c r="D61" s="35" t="s">
        <v>184</v>
      </c>
      <c r="E61" s="35"/>
      <c r="F61" s="29" t="s">
        <v>185</v>
      </c>
      <c r="G61" s="38">
        <v>2.14</v>
      </c>
      <c r="H61" s="38">
        <v>0.03</v>
      </c>
      <c r="I61" s="38">
        <v>0.03</v>
      </c>
      <c r="J61" s="38">
        <v>0.03</v>
      </c>
      <c r="K61" s="38">
        <v>0.03</v>
      </c>
      <c r="L61" s="30">
        <f t="shared" si="0"/>
        <v>2.1629999999999998</v>
      </c>
      <c r="M61" s="30">
        <f t="shared" si="1"/>
        <v>2.1549999999999998</v>
      </c>
      <c r="N61" s="30">
        <f t="shared" si="2"/>
        <v>8.0000000000000071E-3</v>
      </c>
      <c r="O61" s="31">
        <f t="shared" si="3"/>
        <v>2.1576</v>
      </c>
      <c r="P61" s="52"/>
      <c r="Q61" s="30">
        <v>2.1629999999999998</v>
      </c>
      <c r="R61" s="30">
        <v>2.1579999999999999</v>
      </c>
      <c r="S61" s="30">
        <v>2.1589999999999998</v>
      </c>
      <c r="T61" s="30">
        <v>2.1560000000000001</v>
      </c>
      <c r="U61" s="30">
        <v>2.16</v>
      </c>
      <c r="V61" s="30">
        <v>2.16</v>
      </c>
      <c r="W61" s="30">
        <v>2.1589999999999998</v>
      </c>
      <c r="X61" s="30">
        <v>2.1589999999999998</v>
      </c>
      <c r="Y61" s="30">
        <v>2.157</v>
      </c>
      <c r="Z61" s="30">
        <v>2.1549999999999998</v>
      </c>
      <c r="AA61" s="30">
        <v>2.1579999999999999</v>
      </c>
      <c r="AB61" s="30">
        <v>2.1589999999999998</v>
      </c>
      <c r="AC61" s="30">
        <v>2.1560000000000001</v>
      </c>
      <c r="AD61" s="30">
        <v>2.16</v>
      </c>
      <c r="AE61" s="30">
        <v>2.1579999999999999</v>
      </c>
      <c r="AF61" s="30">
        <v>2.157</v>
      </c>
      <c r="AG61" s="30">
        <v>2.1589999999999998</v>
      </c>
      <c r="AH61" s="30">
        <v>2.1549999999999998</v>
      </c>
      <c r="AI61" s="30">
        <v>2.1560000000000001</v>
      </c>
      <c r="AJ61" s="30">
        <v>2.1560000000000001</v>
      </c>
      <c r="AK61" s="30">
        <v>2.1579999999999999</v>
      </c>
      <c r="AL61" s="30">
        <v>2.1589999999999998</v>
      </c>
      <c r="AM61" s="30">
        <v>2.157</v>
      </c>
      <c r="AN61" s="30">
        <v>2.1549999999999998</v>
      </c>
      <c r="AO61" s="30">
        <v>2.1579999999999999</v>
      </c>
      <c r="AP61" s="30">
        <v>2.161</v>
      </c>
      <c r="AQ61" s="30">
        <v>2.1549999999999998</v>
      </c>
      <c r="AR61" s="30">
        <v>2.1549999999999998</v>
      </c>
      <c r="AS61" s="30">
        <v>2.1549999999999998</v>
      </c>
      <c r="AT61" s="30">
        <v>2.1549999999999998</v>
      </c>
      <c r="AU61" s="30">
        <v>2.157</v>
      </c>
      <c r="AV61" s="30">
        <v>2.1539999999999999</v>
      </c>
      <c r="AW61" s="30">
        <v>2.1539999999999999</v>
      </c>
    </row>
    <row r="62" spans="1:49" ht="18" customHeight="1">
      <c r="A62" s="23"/>
      <c r="B62" s="12"/>
      <c r="C62" s="78" t="s">
        <v>115</v>
      </c>
      <c r="D62" s="35" t="s">
        <v>186</v>
      </c>
      <c r="E62" s="35"/>
      <c r="F62" s="29" t="s">
        <v>187</v>
      </c>
      <c r="G62" s="38">
        <v>2.14</v>
      </c>
      <c r="H62" s="38">
        <v>0.03</v>
      </c>
      <c r="I62" s="38">
        <v>0.03</v>
      </c>
      <c r="J62" s="38">
        <v>0.03</v>
      </c>
      <c r="K62" s="38">
        <v>0.03</v>
      </c>
      <c r="L62" s="30">
        <f t="shared" si="0"/>
        <v>2.169</v>
      </c>
      <c r="M62" s="30">
        <f t="shared" si="1"/>
        <v>2.1560000000000001</v>
      </c>
      <c r="N62" s="30">
        <f t="shared" si="2"/>
        <v>1.2999999999999901E-2</v>
      </c>
      <c r="O62" s="31">
        <f t="shared" si="3"/>
        <v>2.1617000000000002</v>
      </c>
      <c r="P62" s="52"/>
      <c r="Q62" s="30">
        <v>2.1680000000000001</v>
      </c>
      <c r="R62" s="30">
        <v>2.165</v>
      </c>
      <c r="S62" s="30">
        <v>2.169</v>
      </c>
      <c r="T62" s="30">
        <v>2.1640000000000001</v>
      </c>
      <c r="U62" s="30">
        <v>2.1629999999999998</v>
      </c>
      <c r="V62" s="30">
        <v>2.1680000000000001</v>
      </c>
      <c r="W62" s="30">
        <v>2.1619999999999999</v>
      </c>
      <c r="X62" s="30">
        <v>2.1619999999999999</v>
      </c>
      <c r="Y62" s="30">
        <v>2.161</v>
      </c>
      <c r="Z62" s="30">
        <v>2.16</v>
      </c>
      <c r="AA62" s="30">
        <v>2.16</v>
      </c>
      <c r="AB62" s="30">
        <v>2.1640000000000001</v>
      </c>
      <c r="AC62" s="30">
        <v>2.1589999999999998</v>
      </c>
      <c r="AD62" s="30">
        <v>2.1619999999999999</v>
      </c>
      <c r="AE62" s="30">
        <v>2.1619999999999999</v>
      </c>
      <c r="AF62" s="30">
        <v>2.161</v>
      </c>
      <c r="AG62" s="30">
        <v>2.16</v>
      </c>
      <c r="AH62" s="30">
        <v>2.157</v>
      </c>
      <c r="AI62" s="30">
        <v>2.1560000000000001</v>
      </c>
      <c r="AJ62" s="30">
        <v>2.16</v>
      </c>
      <c r="AK62" s="30">
        <v>2.1579999999999999</v>
      </c>
      <c r="AL62" s="30">
        <v>2.165</v>
      </c>
      <c r="AM62" s="30">
        <v>2.161</v>
      </c>
      <c r="AN62" s="30">
        <v>2.1579999999999999</v>
      </c>
      <c r="AO62" s="30">
        <v>2.1589999999999998</v>
      </c>
      <c r="AP62" s="30">
        <v>2.16</v>
      </c>
      <c r="AQ62" s="30">
        <v>2.1589999999999998</v>
      </c>
      <c r="AR62" s="30">
        <v>2.165</v>
      </c>
      <c r="AS62" s="30">
        <v>2.161</v>
      </c>
      <c r="AT62" s="30">
        <v>2.1619999999999999</v>
      </c>
      <c r="AU62" s="30">
        <v>2.161</v>
      </c>
      <c r="AV62" s="30">
        <v>2.16</v>
      </c>
      <c r="AW62" s="30">
        <v>2.16</v>
      </c>
    </row>
    <row r="63" spans="1:49" ht="18" customHeight="1">
      <c r="A63" s="23"/>
      <c r="B63" s="12"/>
      <c r="C63" s="78" t="s">
        <v>115</v>
      </c>
      <c r="D63" s="35" t="s">
        <v>188</v>
      </c>
      <c r="E63" s="35"/>
      <c r="F63" s="29" t="s">
        <v>189</v>
      </c>
      <c r="G63" s="38">
        <v>2.14</v>
      </c>
      <c r="H63" s="38">
        <v>0.03</v>
      </c>
      <c r="I63" s="38">
        <v>0.03</v>
      </c>
      <c r="J63" s="38">
        <v>0.03</v>
      </c>
      <c r="K63" s="38">
        <v>0.03</v>
      </c>
      <c r="L63" s="30">
        <f t="shared" si="0"/>
        <v>2.169</v>
      </c>
      <c r="M63" s="30">
        <f t="shared" si="1"/>
        <v>2.153</v>
      </c>
      <c r="N63" s="30">
        <f t="shared" si="2"/>
        <v>1.6000000000000014E-2</v>
      </c>
      <c r="O63" s="31">
        <f t="shared" si="3"/>
        <v>2.160000000000001</v>
      </c>
      <c r="P63" s="52"/>
      <c r="Q63" s="30">
        <v>2.1659999999999999</v>
      </c>
      <c r="R63" s="30">
        <v>2.1659999999999999</v>
      </c>
      <c r="S63" s="30">
        <v>2.169</v>
      </c>
      <c r="T63" s="30">
        <v>2.1640000000000001</v>
      </c>
      <c r="U63" s="30">
        <v>2.1629999999999998</v>
      </c>
      <c r="V63" s="30">
        <v>2.1680000000000001</v>
      </c>
      <c r="W63" s="30">
        <v>2.1619999999999999</v>
      </c>
      <c r="X63" s="30">
        <v>2.16</v>
      </c>
      <c r="Y63" s="30">
        <v>2.1579999999999999</v>
      </c>
      <c r="Z63" s="30">
        <v>2.1560000000000001</v>
      </c>
      <c r="AA63" s="30">
        <v>2.1579999999999999</v>
      </c>
      <c r="AB63" s="30">
        <v>2.161</v>
      </c>
      <c r="AC63" s="30">
        <v>2.1549999999999998</v>
      </c>
      <c r="AD63" s="30">
        <v>2.161</v>
      </c>
      <c r="AE63" s="30">
        <v>2.16</v>
      </c>
      <c r="AF63" s="30">
        <v>2.1579999999999999</v>
      </c>
      <c r="AG63" s="30">
        <v>2.1589999999999998</v>
      </c>
      <c r="AH63" s="30">
        <v>2.153</v>
      </c>
      <c r="AI63" s="30">
        <v>2.1579999999999999</v>
      </c>
      <c r="AJ63" s="30">
        <v>2.1579999999999999</v>
      </c>
      <c r="AK63" s="30">
        <v>2.161</v>
      </c>
      <c r="AL63" s="30">
        <v>2.161</v>
      </c>
      <c r="AM63" s="30">
        <v>2.1619999999999999</v>
      </c>
      <c r="AN63" s="30">
        <v>2.157</v>
      </c>
      <c r="AO63" s="30">
        <v>2.1549999999999998</v>
      </c>
      <c r="AP63" s="30">
        <v>2.153</v>
      </c>
      <c r="AQ63" s="30">
        <v>2.16</v>
      </c>
      <c r="AR63" s="30">
        <v>2.1640000000000001</v>
      </c>
      <c r="AS63" s="30">
        <v>2.1579999999999999</v>
      </c>
      <c r="AT63" s="30">
        <v>2.1560000000000001</v>
      </c>
      <c r="AU63" s="30">
        <v>2.1539999999999999</v>
      </c>
      <c r="AV63" s="30">
        <v>2.157</v>
      </c>
      <c r="AW63" s="30">
        <v>2.1539999999999999</v>
      </c>
    </row>
    <row r="64" spans="1:49" ht="18" customHeight="1">
      <c r="A64" s="23"/>
      <c r="B64" s="12"/>
      <c r="C64" s="78" t="s">
        <v>115</v>
      </c>
      <c r="D64" s="35" t="s">
        <v>190</v>
      </c>
      <c r="E64" s="35"/>
      <c r="F64" s="29" t="s">
        <v>191</v>
      </c>
      <c r="G64" s="38">
        <v>2.14</v>
      </c>
      <c r="H64" s="38">
        <v>0.03</v>
      </c>
      <c r="I64" s="38">
        <v>0.03</v>
      </c>
      <c r="J64" s="38">
        <v>0.03</v>
      </c>
      <c r="K64" s="38">
        <v>0.03</v>
      </c>
      <c r="L64" s="30">
        <f t="shared" si="0"/>
        <v>2.169</v>
      </c>
      <c r="M64" s="30">
        <f t="shared" si="1"/>
        <v>2.1520000000000001</v>
      </c>
      <c r="N64" s="30">
        <f t="shared" si="2"/>
        <v>1.6999999999999904E-2</v>
      </c>
      <c r="O64" s="31">
        <f t="shared" si="3"/>
        <v>2.1590999999999996</v>
      </c>
      <c r="P64" s="52"/>
      <c r="Q64" s="30">
        <v>2.1619999999999999</v>
      </c>
      <c r="R64" s="30">
        <v>2.169</v>
      </c>
      <c r="S64" s="30">
        <v>2.1629999999999998</v>
      </c>
      <c r="T64" s="30">
        <v>2.1669999999999998</v>
      </c>
      <c r="U64" s="30">
        <v>2.1669999999999998</v>
      </c>
      <c r="V64" s="30">
        <v>2.161</v>
      </c>
      <c r="W64" s="30">
        <v>2.1659999999999999</v>
      </c>
      <c r="X64" s="30">
        <v>2.1579999999999999</v>
      </c>
      <c r="Y64" s="30">
        <v>2.1560000000000001</v>
      </c>
      <c r="Z64" s="30">
        <v>2.1539999999999999</v>
      </c>
      <c r="AA64" s="30">
        <v>2.1560000000000001</v>
      </c>
      <c r="AB64" s="30">
        <v>2.1589999999999998</v>
      </c>
      <c r="AC64" s="30">
        <v>2.153</v>
      </c>
      <c r="AD64" s="30">
        <v>2.1579999999999999</v>
      </c>
      <c r="AE64" s="30">
        <v>2.157</v>
      </c>
      <c r="AF64" s="30">
        <v>2.1560000000000001</v>
      </c>
      <c r="AG64" s="30">
        <v>2.157</v>
      </c>
      <c r="AH64" s="30">
        <v>2.1520000000000001</v>
      </c>
      <c r="AI64" s="30">
        <v>2.157</v>
      </c>
      <c r="AJ64" s="30">
        <v>2.1539999999999999</v>
      </c>
      <c r="AK64" s="30">
        <v>2.16</v>
      </c>
      <c r="AL64" s="30">
        <v>2.161</v>
      </c>
      <c r="AM64" s="30">
        <v>2.1579999999999999</v>
      </c>
      <c r="AN64" s="30">
        <v>2.1520000000000001</v>
      </c>
      <c r="AO64" s="30">
        <v>2.1579999999999999</v>
      </c>
      <c r="AP64" s="30">
        <v>2.1640000000000001</v>
      </c>
      <c r="AQ64" s="30">
        <v>2.157</v>
      </c>
      <c r="AR64" s="30">
        <v>2.161</v>
      </c>
      <c r="AS64" s="30">
        <v>2.1589999999999998</v>
      </c>
      <c r="AT64" s="30">
        <v>2.161</v>
      </c>
      <c r="AU64" s="30">
        <v>2.1520000000000001</v>
      </c>
      <c r="AV64" s="30">
        <v>2.157</v>
      </c>
      <c r="AW64" s="30">
        <v>2.1589999999999998</v>
      </c>
    </row>
    <row r="65" spans="1:49" ht="18" customHeight="1">
      <c r="A65" s="23"/>
      <c r="B65" s="12"/>
      <c r="C65" s="75" t="s">
        <v>65</v>
      </c>
      <c r="D65" s="35" t="s">
        <v>192</v>
      </c>
      <c r="E65" s="35"/>
      <c r="F65" s="29" t="s">
        <v>193</v>
      </c>
      <c r="G65" s="38">
        <v>78.16</v>
      </c>
      <c r="H65" s="38">
        <v>0.1</v>
      </c>
      <c r="I65" s="38">
        <v>0.1</v>
      </c>
      <c r="J65" s="38">
        <v>0.1</v>
      </c>
      <c r="K65" s="38">
        <v>0.1</v>
      </c>
      <c r="L65" s="30">
        <f t="shared" si="0"/>
        <v>78.162999999999997</v>
      </c>
      <c r="M65" s="30">
        <f t="shared" si="1"/>
        <v>78.094999999999999</v>
      </c>
      <c r="N65" s="30">
        <f t="shared" si="2"/>
        <v>6.799999999999784E-2</v>
      </c>
      <c r="O65" s="31">
        <f t="shared" si="3"/>
        <v>78.129500000000007</v>
      </c>
      <c r="P65" s="52"/>
      <c r="Q65" s="30">
        <v>78.135000000000005</v>
      </c>
      <c r="R65" s="30">
        <v>78.125</v>
      </c>
      <c r="S65" s="30">
        <v>78.135999999999996</v>
      </c>
      <c r="T65" s="30">
        <v>78.111000000000004</v>
      </c>
      <c r="U65" s="30">
        <v>78.102999999999994</v>
      </c>
      <c r="V65" s="30">
        <v>78.126999999999995</v>
      </c>
      <c r="W65" s="30">
        <v>78.129000000000005</v>
      </c>
      <c r="X65" s="30">
        <v>78.129000000000005</v>
      </c>
      <c r="Y65" s="30">
        <v>78.119</v>
      </c>
      <c r="Z65" s="30">
        <v>78.128</v>
      </c>
      <c r="AA65" s="30">
        <v>78.132000000000005</v>
      </c>
      <c r="AB65" s="30">
        <v>78.135000000000005</v>
      </c>
      <c r="AC65" s="30">
        <v>78.132000000000005</v>
      </c>
      <c r="AD65" s="30">
        <v>78.141000000000005</v>
      </c>
      <c r="AE65" s="30">
        <v>78.131</v>
      </c>
      <c r="AF65" s="30">
        <v>78.114999999999995</v>
      </c>
      <c r="AG65" s="30">
        <v>78.117999999999995</v>
      </c>
      <c r="AH65" s="30">
        <v>78.12</v>
      </c>
      <c r="AI65" s="30">
        <v>78.094999999999999</v>
      </c>
      <c r="AJ65" s="30">
        <v>78.122</v>
      </c>
      <c r="AK65" s="30">
        <v>78.120999999999995</v>
      </c>
      <c r="AL65" s="30">
        <v>78.150000000000006</v>
      </c>
      <c r="AM65" s="30">
        <v>78.131</v>
      </c>
      <c r="AN65" s="30">
        <v>78.128</v>
      </c>
      <c r="AO65" s="30">
        <v>78.134</v>
      </c>
      <c r="AP65" s="30">
        <v>78.162999999999997</v>
      </c>
      <c r="AQ65" s="30">
        <v>78.141999999999996</v>
      </c>
      <c r="AR65" s="30">
        <v>78.141000000000005</v>
      </c>
      <c r="AS65" s="30">
        <v>78.162000000000006</v>
      </c>
      <c r="AT65" s="30">
        <v>78.13</v>
      </c>
      <c r="AU65" s="30">
        <v>78.159000000000006</v>
      </c>
      <c r="AV65" s="30">
        <v>78.150000000000006</v>
      </c>
      <c r="AW65" s="30">
        <v>78.135000000000005</v>
      </c>
    </row>
    <row r="66" spans="1:49" ht="18" customHeight="1">
      <c r="A66" s="23"/>
      <c r="B66" s="12"/>
      <c r="C66" s="75" t="s">
        <v>65</v>
      </c>
      <c r="D66" s="35" t="s">
        <v>194</v>
      </c>
      <c r="E66" s="35"/>
      <c r="F66" s="29" t="s">
        <v>195</v>
      </c>
      <c r="G66" s="38">
        <v>78.16</v>
      </c>
      <c r="H66" s="38">
        <v>0.1</v>
      </c>
      <c r="I66" s="38">
        <v>0.1</v>
      </c>
      <c r="J66" s="38">
        <v>0.1</v>
      </c>
      <c r="K66" s="38">
        <v>0.1</v>
      </c>
      <c r="L66" s="30">
        <f t="shared" si="0"/>
        <v>78.114000000000004</v>
      </c>
      <c r="M66" s="30">
        <f t="shared" si="1"/>
        <v>78.063000000000002</v>
      </c>
      <c r="N66" s="30">
        <f t="shared" si="2"/>
        <v>5.1000000000001933E-2</v>
      </c>
      <c r="O66" s="31">
        <f t="shared" si="3"/>
        <v>78.087100000000007</v>
      </c>
      <c r="P66" s="52"/>
      <c r="Q66" s="30">
        <v>78.093999999999994</v>
      </c>
      <c r="R66" s="30">
        <v>78.100999999999999</v>
      </c>
      <c r="S66" s="30">
        <v>78.09</v>
      </c>
      <c r="T66" s="30">
        <v>78.063000000000002</v>
      </c>
      <c r="U66" s="30">
        <v>78.094999999999999</v>
      </c>
      <c r="V66" s="30">
        <v>78.081000000000003</v>
      </c>
      <c r="W66" s="30">
        <v>78.075999999999993</v>
      </c>
      <c r="X66" s="30">
        <v>78.103999999999999</v>
      </c>
      <c r="Y66" s="30">
        <v>78.075999999999993</v>
      </c>
      <c r="Z66" s="30">
        <v>78.076999999999998</v>
      </c>
      <c r="AA66" s="30">
        <v>78.102000000000004</v>
      </c>
      <c r="AB66" s="30">
        <v>78.084999999999994</v>
      </c>
      <c r="AC66" s="30">
        <v>78.081000000000003</v>
      </c>
      <c r="AD66" s="30">
        <v>78.090999999999994</v>
      </c>
      <c r="AE66" s="30">
        <v>78.082999999999998</v>
      </c>
      <c r="AF66" s="30">
        <v>78.075999999999993</v>
      </c>
      <c r="AG66" s="30">
        <v>78.078999999999994</v>
      </c>
      <c r="AH66" s="30">
        <v>78.087999999999994</v>
      </c>
      <c r="AI66" s="30">
        <v>78.081999999999994</v>
      </c>
      <c r="AJ66" s="30">
        <v>78.09</v>
      </c>
      <c r="AK66" s="30">
        <v>78.078999999999994</v>
      </c>
      <c r="AL66" s="30">
        <v>78.096999999999994</v>
      </c>
      <c r="AM66" s="30">
        <v>78.081999999999994</v>
      </c>
      <c r="AN66" s="30">
        <v>78.09</v>
      </c>
      <c r="AO66" s="30">
        <v>78.084000000000003</v>
      </c>
      <c r="AP66" s="30">
        <v>78.099000000000004</v>
      </c>
      <c r="AQ66" s="30">
        <v>78.085999999999999</v>
      </c>
      <c r="AR66" s="30">
        <v>78.087000000000003</v>
      </c>
      <c r="AS66" s="30">
        <v>78.114000000000004</v>
      </c>
      <c r="AT66" s="30">
        <v>78.081000000000003</v>
      </c>
      <c r="AU66" s="30">
        <v>78.108999999999995</v>
      </c>
      <c r="AV66" s="30">
        <v>78.103999999999999</v>
      </c>
      <c r="AW66" s="30">
        <v>78.088999999999999</v>
      </c>
    </row>
    <row r="67" spans="1:49" ht="18" customHeight="1">
      <c r="A67" s="23"/>
      <c r="B67" s="12"/>
      <c r="C67" s="75" t="s">
        <v>65</v>
      </c>
      <c r="D67" s="35" t="s">
        <v>196</v>
      </c>
      <c r="E67" s="35"/>
      <c r="F67" s="29" t="s">
        <v>197</v>
      </c>
      <c r="G67" s="38">
        <v>78.16</v>
      </c>
      <c r="H67" s="38">
        <v>0.1</v>
      </c>
      <c r="I67" s="38">
        <v>0.1</v>
      </c>
      <c r="J67" s="38">
        <v>0.1</v>
      </c>
      <c r="K67" s="38">
        <v>0.1</v>
      </c>
      <c r="L67" s="30">
        <f t="shared" si="0"/>
        <v>78.123000000000005</v>
      </c>
      <c r="M67" s="30">
        <f t="shared" si="1"/>
        <v>78.084000000000003</v>
      </c>
      <c r="N67" s="30">
        <f t="shared" si="2"/>
        <v>3.9000000000001478E-2</v>
      </c>
      <c r="O67" s="31">
        <f t="shared" si="3"/>
        <v>78.105366666666669</v>
      </c>
      <c r="P67" s="52"/>
      <c r="Q67" s="30">
        <v>78.114999999999995</v>
      </c>
      <c r="R67" s="30">
        <v>78.103999999999999</v>
      </c>
      <c r="S67" s="30">
        <v>78.117999999999995</v>
      </c>
      <c r="T67" s="30">
        <v>78.091999999999999</v>
      </c>
      <c r="U67" s="30">
        <v>78.084000000000003</v>
      </c>
      <c r="V67" s="30">
        <v>78.099000000000004</v>
      </c>
      <c r="W67" s="30">
        <v>78.111999999999995</v>
      </c>
      <c r="X67" s="30">
        <v>78.106999999999999</v>
      </c>
      <c r="Y67" s="30">
        <v>78.100999999999999</v>
      </c>
      <c r="Z67" s="30">
        <v>78.111000000000004</v>
      </c>
      <c r="AA67" s="30">
        <v>78.084000000000003</v>
      </c>
      <c r="AB67" s="30">
        <v>78.123000000000005</v>
      </c>
      <c r="AC67" s="30">
        <v>78.111999999999995</v>
      </c>
      <c r="AD67" s="30">
        <v>78.111999999999995</v>
      </c>
      <c r="AE67" s="30">
        <v>78.119</v>
      </c>
      <c r="AF67" s="30">
        <v>78.111999999999995</v>
      </c>
      <c r="AG67" s="30">
        <v>78.114000000000004</v>
      </c>
      <c r="AH67" s="30">
        <v>78.093000000000004</v>
      </c>
      <c r="AI67" s="30">
        <v>78.091999999999999</v>
      </c>
      <c r="AJ67" s="30">
        <v>78.103999999999999</v>
      </c>
      <c r="AK67" s="30">
        <v>78.096000000000004</v>
      </c>
      <c r="AL67" s="30">
        <v>78.111000000000004</v>
      </c>
      <c r="AM67" s="30">
        <v>78.099999999999994</v>
      </c>
      <c r="AN67" s="30">
        <v>78.094999999999999</v>
      </c>
      <c r="AO67" s="30">
        <v>78.103999999999999</v>
      </c>
      <c r="AP67" s="30">
        <v>78.119</v>
      </c>
      <c r="AQ67" s="30">
        <v>78.106999999999999</v>
      </c>
      <c r="AR67" s="30">
        <v>78.102000000000004</v>
      </c>
      <c r="AS67" s="30">
        <v>78.123000000000005</v>
      </c>
      <c r="AT67" s="30">
        <v>78.096000000000004</v>
      </c>
      <c r="AU67" s="30">
        <v>78.123999999999995</v>
      </c>
      <c r="AV67" s="30">
        <v>78.117999999999995</v>
      </c>
      <c r="AW67" s="30">
        <v>78.100999999999999</v>
      </c>
    </row>
    <row r="68" spans="1:49" ht="18" customHeight="1">
      <c r="A68" s="23"/>
      <c r="B68" s="12"/>
      <c r="C68" s="75" t="s">
        <v>65</v>
      </c>
      <c r="D68" s="35" t="s">
        <v>198</v>
      </c>
      <c r="E68" s="35"/>
      <c r="F68" s="29" t="s">
        <v>199</v>
      </c>
      <c r="G68" s="38">
        <v>78.16</v>
      </c>
      <c r="H68" s="38">
        <v>0.1</v>
      </c>
      <c r="I68" s="38">
        <v>0.1</v>
      </c>
      <c r="J68" s="38">
        <v>0.1</v>
      </c>
      <c r="K68" s="38">
        <v>0.1</v>
      </c>
      <c r="L68" s="30">
        <f t="shared" si="0"/>
        <v>78.195999999999998</v>
      </c>
      <c r="M68" s="30">
        <f t="shared" si="1"/>
        <v>78.138999999999996</v>
      </c>
      <c r="N68" s="30">
        <f t="shared" si="2"/>
        <v>5.700000000000216E-2</v>
      </c>
      <c r="O68" s="31">
        <f t="shared" si="3"/>
        <v>78.171033333333327</v>
      </c>
      <c r="P68" s="52"/>
      <c r="Q68" s="30">
        <v>78.182000000000002</v>
      </c>
      <c r="R68" s="30">
        <v>78.194999999999993</v>
      </c>
      <c r="S68" s="30">
        <v>78.173000000000002</v>
      </c>
      <c r="T68" s="30">
        <v>78.153000000000006</v>
      </c>
      <c r="U68" s="30">
        <v>78.155000000000001</v>
      </c>
      <c r="V68" s="30">
        <v>78.171000000000006</v>
      </c>
      <c r="W68" s="30">
        <v>78.180999999999997</v>
      </c>
      <c r="X68" s="30">
        <v>78.183000000000007</v>
      </c>
      <c r="Y68" s="30">
        <v>78.174000000000007</v>
      </c>
      <c r="Z68" s="30">
        <v>78.180000000000007</v>
      </c>
      <c r="AA68" s="30">
        <v>78.183000000000007</v>
      </c>
      <c r="AB68" s="30">
        <v>78.183999999999997</v>
      </c>
      <c r="AC68" s="30">
        <v>78.183000000000007</v>
      </c>
      <c r="AD68" s="30">
        <v>78.195999999999998</v>
      </c>
      <c r="AE68" s="30">
        <v>78.191999999999993</v>
      </c>
      <c r="AF68" s="30">
        <v>78.171999999999997</v>
      </c>
      <c r="AG68" s="30">
        <v>78.182000000000002</v>
      </c>
      <c r="AH68" s="30">
        <v>78.180999999999997</v>
      </c>
      <c r="AI68" s="30">
        <v>78.149000000000001</v>
      </c>
      <c r="AJ68" s="30">
        <v>78.182000000000002</v>
      </c>
      <c r="AK68" s="30">
        <v>78.138999999999996</v>
      </c>
      <c r="AL68" s="30">
        <v>78.171999999999997</v>
      </c>
      <c r="AM68" s="30">
        <v>78.152000000000001</v>
      </c>
      <c r="AN68" s="30">
        <v>78.152000000000001</v>
      </c>
      <c r="AO68" s="30">
        <v>78.149000000000001</v>
      </c>
      <c r="AP68" s="30">
        <v>78.164000000000001</v>
      </c>
      <c r="AQ68" s="30">
        <v>78.162999999999997</v>
      </c>
      <c r="AR68" s="30">
        <v>78.167000000000002</v>
      </c>
      <c r="AS68" s="30">
        <v>78.171999999999997</v>
      </c>
      <c r="AT68" s="30">
        <v>78.150000000000006</v>
      </c>
      <c r="AU68" s="30">
        <v>78.186000000000007</v>
      </c>
      <c r="AV68" s="30">
        <v>78.171000000000006</v>
      </c>
      <c r="AW68" s="30">
        <v>78.16</v>
      </c>
    </row>
    <row r="69" spans="1:49" ht="18" customHeight="1">
      <c r="A69" s="23"/>
      <c r="B69" s="12"/>
      <c r="C69" s="75" t="s">
        <v>65</v>
      </c>
      <c r="D69" s="35" t="s">
        <v>200</v>
      </c>
      <c r="E69" s="35"/>
      <c r="F69" s="29" t="s">
        <v>201</v>
      </c>
      <c r="G69" s="38">
        <v>4.03</v>
      </c>
      <c r="H69" s="38">
        <v>0.03</v>
      </c>
      <c r="I69" s="38">
        <v>0.03</v>
      </c>
      <c r="J69" s="38">
        <v>0.03</v>
      </c>
      <c r="K69" s="38">
        <v>0.03</v>
      </c>
      <c r="L69" s="30">
        <f t="shared" ref="L69:L132" si="4">MAX(Q69:AT69)</f>
        <v>4.0229999999999997</v>
      </c>
      <c r="M69" s="30">
        <f t="shared" ref="M69:M132" si="5">MIN(Q69:AT69)</f>
        <v>4.0090000000000003</v>
      </c>
      <c r="N69" s="30">
        <f t="shared" ref="N69:N132" si="6">L69-M69</f>
        <v>1.3999999999999346E-2</v>
      </c>
      <c r="O69" s="31">
        <f t="shared" ref="O69:O132" si="7">AVERAGE(Q69:AT69)</f>
        <v>4.0167666666666664</v>
      </c>
      <c r="P69" s="52"/>
      <c r="Q69" s="30">
        <v>4.0149999999999997</v>
      </c>
      <c r="R69" s="30">
        <v>4.0090000000000003</v>
      </c>
      <c r="S69" s="30">
        <v>4.016</v>
      </c>
      <c r="T69" s="30">
        <v>4.0179999999999998</v>
      </c>
      <c r="U69" s="30">
        <v>4.0170000000000003</v>
      </c>
      <c r="V69" s="30">
        <v>4.0140000000000002</v>
      </c>
      <c r="W69" s="30">
        <v>4.0170000000000003</v>
      </c>
      <c r="X69" s="30">
        <v>4.0179999999999998</v>
      </c>
      <c r="Y69" s="30">
        <v>4.016</v>
      </c>
      <c r="Z69" s="30">
        <v>4.016</v>
      </c>
      <c r="AA69" s="30">
        <v>4.0199999999999996</v>
      </c>
      <c r="AB69" s="30">
        <v>4.016</v>
      </c>
      <c r="AC69" s="30">
        <v>4.016</v>
      </c>
      <c r="AD69" s="30">
        <v>4.0149999999999997</v>
      </c>
      <c r="AE69" s="30">
        <v>4.0179999999999998</v>
      </c>
      <c r="AF69" s="30">
        <v>4.0190000000000001</v>
      </c>
      <c r="AG69" s="30">
        <v>4.016</v>
      </c>
      <c r="AH69" s="30">
        <v>4.016</v>
      </c>
      <c r="AI69" s="30">
        <v>4.0209999999999999</v>
      </c>
      <c r="AJ69" s="30">
        <v>4.0170000000000003</v>
      </c>
      <c r="AK69" s="30">
        <v>4.0190000000000001</v>
      </c>
      <c r="AL69" s="30">
        <v>4.0140000000000002</v>
      </c>
      <c r="AM69" s="30">
        <v>4.0209999999999999</v>
      </c>
      <c r="AN69" s="30">
        <v>4.0179999999999998</v>
      </c>
      <c r="AO69" s="30">
        <v>4.0190000000000001</v>
      </c>
      <c r="AP69" s="30">
        <v>4.0140000000000002</v>
      </c>
      <c r="AQ69" s="30">
        <v>4.016</v>
      </c>
      <c r="AR69" s="30">
        <v>4.0140000000000002</v>
      </c>
      <c r="AS69" s="30">
        <v>4.0149999999999997</v>
      </c>
      <c r="AT69" s="30">
        <v>4.0229999999999997</v>
      </c>
      <c r="AU69" s="30">
        <v>4.0179999999999998</v>
      </c>
      <c r="AV69" s="30">
        <v>4.016</v>
      </c>
      <c r="AW69" s="30">
        <v>4.0170000000000003</v>
      </c>
    </row>
    <row r="70" spans="1:49" ht="18" customHeight="1">
      <c r="A70" s="23"/>
      <c r="B70" s="12"/>
      <c r="C70" s="75" t="s">
        <v>65</v>
      </c>
      <c r="D70" s="35" t="s">
        <v>202</v>
      </c>
      <c r="E70" s="35"/>
      <c r="F70" s="29" t="s">
        <v>203</v>
      </c>
      <c r="G70" s="38">
        <v>1.08</v>
      </c>
      <c r="H70" s="38">
        <v>0.08</v>
      </c>
      <c r="I70" s="38">
        <v>0.08</v>
      </c>
      <c r="J70" s="38">
        <v>0.08</v>
      </c>
      <c r="K70" s="38">
        <v>0.08</v>
      </c>
      <c r="L70" s="30">
        <f t="shared" si="4"/>
        <v>1.159</v>
      </c>
      <c r="M70" s="30">
        <f t="shared" si="5"/>
        <v>1.149</v>
      </c>
      <c r="N70" s="30">
        <f t="shared" si="6"/>
        <v>1.0000000000000009E-2</v>
      </c>
      <c r="O70" s="31">
        <f t="shared" si="7"/>
        <v>1.1548999999999998</v>
      </c>
      <c r="P70" s="52"/>
      <c r="Q70" s="30">
        <v>1.157</v>
      </c>
      <c r="R70" s="30">
        <v>1.155</v>
      </c>
      <c r="S70" s="30">
        <v>1.1559999999999999</v>
      </c>
      <c r="T70" s="30">
        <v>1.153</v>
      </c>
      <c r="U70" s="30">
        <v>1.155</v>
      </c>
      <c r="V70" s="30">
        <v>1.1579999999999999</v>
      </c>
      <c r="W70" s="30">
        <v>1.153</v>
      </c>
      <c r="X70" s="30">
        <v>1.153</v>
      </c>
      <c r="Y70" s="30">
        <v>1.155</v>
      </c>
      <c r="Z70" s="30">
        <v>1.157</v>
      </c>
      <c r="AA70" s="30">
        <v>1.1519999999999999</v>
      </c>
      <c r="AB70" s="30">
        <v>1.1579999999999999</v>
      </c>
      <c r="AC70" s="30">
        <v>1.157</v>
      </c>
      <c r="AD70" s="30">
        <v>1.155</v>
      </c>
      <c r="AE70" s="30">
        <v>1.1559999999999999</v>
      </c>
      <c r="AF70" s="30">
        <v>1.155</v>
      </c>
      <c r="AG70" s="30">
        <v>1.1539999999999999</v>
      </c>
      <c r="AH70" s="30">
        <v>1.1559999999999999</v>
      </c>
      <c r="AI70" s="30">
        <v>1.1559999999999999</v>
      </c>
      <c r="AJ70" s="30">
        <v>1.153</v>
      </c>
      <c r="AK70" s="30">
        <v>1.159</v>
      </c>
      <c r="AL70" s="30">
        <v>1.1519999999999999</v>
      </c>
      <c r="AM70" s="30">
        <v>1.157</v>
      </c>
      <c r="AN70" s="30">
        <v>1.151</v>
      </c>
      <c r="AO70" s="30">
        <v>1.1499999999999999</v>
      </c>
      <c r="AP70" s="30">
        <v>1.149</v>
      </c>
      <c r="AQ70" s="30">
        <v>1.1559999999999999</v>
      </c>
      <c r="AR70" s="30">
        <v>1.1579999999999999</v>
      </c>
      <c r="AS70" s="30">
        <v>1.1559999999999999</v>
      </c>
      <c r="AT70" s="30">
        <v>1.155</v>
      </c>
      <c r="AU70" s="30">
        <v>1.153</v>
      </c>
      <c r="AV70" s="30">
        <v>1.155</v>
      </c>
      <c r="AW70" s="30">
        <v>1.153</v>
      </c>
    </row>
    <row r="71" spans="1:49" ht="18" customHeight="1">
      <c r="A71" s="23"/>
      <c r="B71" s="12"/>
      <c r="C71" s="75" t="s">
        <v>65</v>
      </c>
      <c r="D71" s="35" t="s">
        <v>204</v>
      </c>
      <c r="E71" s="35"/>
      <c r="F71" s="29" t="s">
        <v>205</v>
      </c>
      <c r="G71" s="38">
        <v>1.08</v>
      </c>
      <c r="H71" s="38">
        <v>0.08</v>
      </c>
      <c r="I71" s="38">
        <v>0.08</v>
      </c>
      <c r="J71" s="38">
        <v>0.08</v>
      </c>
      <c r="K71" s="38">
        <v>0.08</v>
      </c>
      <c r="L71" s="30">
        <f t="shared" si="4"/>
        <v>1.1599999999999999</v>
      </c>
      <c r="M71" s="30">
        <f t="shared" si="5"/>
        <v>1.1499999999999999</v>
      </c>
      <c r="N71" s="30">
        <f t="shared" si="6"/>
        <v>1.0000000000000009E-2</v>
      </c>
      <c r="O71" s="31">
        <f t="shared" si="7"/>
        <v>1.1548666666666667</v>
      </c>
      <c r="P71" s="52"/>
      <c r="Q71" s="30">
        <v>1.1499999999999999</v>
      </c>
      <c r="R71" s="30">
        <v>1.153</v>
      </c>
      <c r="S71" s="30">
        <v>1.153</v>
      </c>
      <c r="T71" s="30">
        <v>1.1519999999999999</v>
      </c>
      <c r="U71" s="30">
        <v>1.157</v>
      </c>
      <c r="V71" s="30">
        <v>1.1519999999999999</v>
      </c>
      <c r="W71" s="30">
        <v>1.1559999999999999</v>
      </c>
      <c r="X71" s="30">
        <v>1.1519999999999999</v>
      </c>
      <c r="Y71" s="30">
        <v>1.157</v>
      </c>
      <c r="Z71" s="30">
        <v>1.159</v>
      </c>
      <c r="AA71" s="30">
        <v>1.151</v>
      </c>
      <c r="AB71" s="30">
        <v>1.1599999999999999</v>
      </c>
      <c r="AC71" s="30">
        <v>1.157</v>
      </c>
      <c r="AD71" s="30">
        <v>1.1539999999999999</v>
      </c>
      <c r="AE71" s="30">
        <v>1.1579999999999999</v>
      </c>
      <c r="AF71" s="30">
        <v>1.157</v>
      </c>
      <c r="AG71" s="30">
        <v>1.153</v>
      </c>
      <c r="AH71" s="30">
        <v>1.155</v>
      </c>
      <c r="AI71" s="30">
        <v>1.159</v>
      </c>
      <c r="AJ71" s="30">
        <v>1.155</v>
      </c>
      <c r="AK71" s="30">
        <v>1.1519999999999999</v>
      </c>
      <c r="AL71" s="30">
        <v>1.1539999999999999</v>
      </c>
      <c r="AM71" s="30">
        <v>1.1579999999999999</v>
      </c>
      <c r="AN71" s="30">
        <v>1.153</v>
      </c>
      <c r="AO71" s="30">
        <v>1.1539999999999999</v>
      </c>
      <c r="AP71" s="30">
        <v>1.155</v>
      </c>
      <c r="AQ71" s="30">
        <v>1.157</v>
      </c>
      <c r="AR71" s="30">
        <v>1.153</v>
      </c>
      <c r="AS71" s="30">
        <v>1.153</v>
      </c>
      <c r="AT71" s="30">
        <v>1.157</v>
      </c>
      <c r="AU71" s="30">
        <v>1.155</v>
      </c>
      <c r="AV71" s="30">
        <v>1.1519999999999999</v>
      </c>
      <c r="AW71" s="30">
        <v>1.1559999999999999</v>
      </c>
    </row>
    <row r="72" spans="1:49" ht="18" customHeight="1">
      <c r="A72" s="23"/>
      <c r="B72" s="12"/>
      <c r="C72" s="75" t="s">
        <v>65</v>
      </c>
      <c r="D72" s="35" t="s">
        <v>206</v>
      </c>
      <c r="E72" s="35"/>
      <c r="F72" s="29" t="s">
        <v>207</v>
      </c>
      <c r="G72" s="38">
        <v>1.08</v>
      </c>
      <c r="H72" s="38">
        <v>0.08</v>
      </c>
      <c r="I72" s="38">
        <v>0.08</v>
      </c>
      <c r="J72" s="38">
        <v>0.08</v>
      </c>
      <c r="K72" s="38">
        <v>0.08</v>
      </c>
      <c r="L72" s="30">
        <f t="shared" si="4"/>
        <v>1.155</v>
      </c>
      <c r="M72" s="30">
        <f t="shared" si="5"/>
        <v>1.131</v>
      </c>
      <c r="N72" s="30">
        <f t="shared" si="6"/>
        <v>2.4000000000000021E-2</v>
      </c>
      <c r="O72" s="31">
        <f t="shared" si="7"/>
        <v>1.1428333333333331</v>
      </c>
      <c r="P72" s="52"/>
      <c r="Q72" s="30">
        <v>1.131</v>
      </c>
      <c r="R72" s="30">
        <v>1.133</v>
      </c>
      <c r="S72" s="30">
        <v>1.137</v>
      </c>
      <c r="T72" s="30">
        <v>1.1319999999999999</v>
      </c>
      <c r="U72" s="30">
        <v>1.1399999999999999</v>
      </c>
      <c r="V72" s="30">
        <v>1.1379999999999999</v>
      </c>
      <c r="W72" s="30">
        <v>1.139</v>
      </c>
      <c r="X72" s="30">
        <v>1.1439999999999999</v>
      </c>
      <c r="Y72" s="30">
        <v>1.145</v>
      </c>
      <c r="Z72" s="30">
        <v>1.1459999999999999</v>
      </c>
      <c r="AA72" s="30">
        <v>1.143</v>
      </c>
      <c r="AB72" s="30">
        <v>1.147</v>
      </c>
      <c r="AC72" s="30">
        <v>1.147</v>
      </c>
      <c r="AD72" s="30">
        <v>1.145</v>
      </c>
      <c r="AE72" s="30">
        <v>1.145</v>
      </c>
      <c r="AF72" s="30">
        <v>1.1399999999999999</v>
      </c>
      <c r="AG72" s="30">
        <v>1.1439999999999999</v>
      </c>
      <c r="AH72" s="30">
        <v>1.145</v>
      </c>
      <c r="AI72" s="30">
        <v>1.1479999999999999</v>
      </c>
      <c r="AJ72" s="30">
        <v>1.1419999999999999</v>
      </c>
      <c r="AK72" s="30">
        <v>1.151</v>
      </c>
      <c r="AL72" s="30">
        <v>1.155</v>
      </c>
      <c r="AM72" s="30">
        <v>1.145</v>
      </c>
      <c r="AN72" s="30">
        <v>1.1399999999999999</v>
      </c>
      <c r="AO72" s="30">
        <v>1.141</v>
      </c>
      <c r="AP72" s="30">
        <v>1.1419999999999999</v>
      </c>
      <c r="AQ72" s="30">
        <v>1.143</v>
      </c>
      <c r="AR72" s="30">
        <v>1.1479999999999999</v>
      </c>
      <c r="AS72" s="30">
        <v>1.1439999999999999</v>
      </c>
      <c r="AT72" s="30">
        <v>1.145</v>
      </c>
      <c r="AU72" s="30">
        <v>1.1499999999999999</v>
      </c>
      <c r="AV72" s="30">
        <v>1.1419999999999999</v>
      </c>
      <c r="AW72" s="30">
        <v>1.1439999999999999</v>
      </c>
    </row>
    <row r="73" spans="1:49" ht="18" customHeight="1">
      <c r="A73" s="23"/>
      <c r="B73" s="12"/>
      <c r="C73" s="75" t="s">
        <v>65</v>
      </c>
      <c r="D73" s="35" t="s">
        <v>208</v>
      </c>
      <c r="E73" s="35"/>
      <c r="F73" s="29" t="s">
        <v>209</v>
      </c>
      <c r="G73" s="38">
        <v>1.08</v>
      </c>
      <c r="H73" s="38">
        <v>0.08</v>
      </c>
      <c r="I73" s="38">
        <v>0.08</v>
      </c>
      <c r="J73" s="38">
        <v>0.08</v>
      </c>
      <c r="K73" s="38">
        <v>0.08</v>
      </c>
      <c r="L73" s="30">
        <f t="shared" si="4"/>
        <v>1.1599999999999999</v>
      </c>
      <c r="M73" s="30">
        <f t="shared" si="5"/>
        <v>1.1499999999999999</v>
      </c>
      <c r="N73" s="30">
        <f t="shared" si="6"/>
        <v>1.0000000000000009E-2</v>
      </c>
      <c r="O73" s="31">
        <f t="shared" si="7"/>
        <v>1.1547000000000003</v>
      </c>
      <c r="P73" s="52"/>
      <c r="Q73" s="30">
        <v>1.1519999999999999</v>
      </c>
      <c r="R73" s="30">
        <v>1.1579999999999999</v>
      </c>
      <c r="S73" s="30">
        <v>1.157</v>
      </c>
      <c r="T73" s="30">
        <v>1.1559999999999999</v>
      </c>
      <c r="U73" s="30">
        <v>1.1599999999999999</v>
      </c>
      <c r="V73" s="30">
        <v>1.1579999999999999</v>
      </c>
      <c r="W73" s="30">
        <v>1.159</v>
      </c>
      <c r="X73" s="30">
        <v>1.1519999999999999</v>
      </c>
      <c r="Y73" s="30">
        <v>1.1539999999999999</v>
      </c>
      <c r="Z73" s="30">
        <v>1.1559999999999999</v>
      </c>
      <c r="AA73" s="30">
        <v>1.1499999999999999</v>
      </c>
      <c r="AB73" s="30">
        <v>1.1559999999999999</v>
      </c>
      <c r="AC73" s="30">
        <v>1.153</v>
      </c>
      <c r="AD73" s="30">
        <v>1.153</v>
      </c>
      <c r="AE73" s="30">
        <v>1.155</v>
      </c>
      <c r="AF73" s="30">
        <v>1.1599999999999999</v>
      </c>
      <c r="AG73" s="30">
        <v>1.151</v>
      </c>
      <c r="AH73" s="30">
        <v>1.151</v>
      </c>
      <c r="AI73" s="30">
        <v>1.1539999999999999</v>
      </c>
      <c r="AJ73" s="30">
        <v>1.153</v>
      </c>
      <c r="AK73" s="30">
        <v>1.1559999999999999</v>
      </c>
      <c r="AL73" s="30">
        <v>1.1579999999999999</v>
      </c>
      <c r="AM73" s="30">
        <v>1.1539999999999999</v>
      </c>
      <c r="AN73" s="30">
        <v>1.1519999999999999</v>
      </c>
      <c r="AO73" s="30">
        <v>1.157</v>
      </c>
      <c r="AP73" s="30">
        <v>1.1519999999999999</v>
      </c>
      <c r="AQ73" s="30">
        <v>1.153</v>
      </c>
      <c r="AR73" s="30">
        <v>1.155</v>
      </c>
      <c r="AS73" s="30">
        <v>1.151</v>
      </c>
      <c r="AT73" s="30">
        <v>1.155</v>
      </c>
      <c r="AU73" s="30">
        <v>1.159</v>
      </c>
      <c r="AV73" s="30">
        <v>1.1499999999999999</v>
      </c>
      <c r="AW73" s="30">
        <v>1.1539999999999999</v>
      </c>
    </row>
    <row r="74" spans="1:49" ht="18" customHeight="1">
      <c r="A74" s="23"/>
      <c r="B74" s="12"/>
      <c r="C74" s="75" t="s">
        <v>65</v>
      </c>
      <c r="D74" s="35" t="s">
        <v>210</v>
      </c>
      <c r="E74" s="35"/>
      <c r="F74" s="29" t="s">
        <v>211</v>
      </c>
      <c r="G74" s="38">
        <v>1.08</v>
      </c>
      <c r="H74" s="38">
        <v>0.08</v>
      </c>
      <c r="I74" s="38">
        <v>0.08</v>
      </c>
      <c r="J74" s="38">
        <v>0.08</v>
      </c>
      <c r="K74" s="38">
        <v>0.08</v>
      </c>
      <c r="L74" s="30">
        <f t="shared" si="4"/>
        <v>1.1599999999999999</v>
      </c>
      <c r="M74" s="30">
        <f t="shared" si="5"/>
        <v>1.1419999999999999</v>
      </c>
      <c r="N74" s="30">
        <f t="shared" si="6"/>
        <v>1.8000000000000016E-2</v>
      </c>
      <c r="O74" s="31">
        <f t="shared" si="7"/>
        <v>1.1525333333333334</v>
      </c>
      <c r="P74" s="52"/>
      <c r="Q74" s="30">
        <v>1.1539999999999999</v>
      </c>
      <c r="R74" s="30">
        <v>1.1519999999999999</v>
      </c>
      <c r="S74" s="30">
        <v>1.1539999999999999</v>
      </c>
      <c r="T74" s="30">
        <v>1.1499999999999999</v>
      </c>
      <c r="U74" s="30">
        <v>1.1539999999999999</v>
      </c>
      <c r="V74" s="30">
        <v>1.1559999999999999</v>
      </c>
      <c r="W74" s="30">
        <v>1.153</v>
      </c>
      <c r="X74" s="30">
        <v>1.1559999999999999</v>
      </c>
      <c r="Y74" s="30">
        <v>1.159</v>
      </c>
      <c r="Z74" s="30">
        <v>1.1579999999999999</v>
      </c>
      <c r="AA74" s="30">
        <v>1.155</v>
      </c>
      <c r="AB74" s="30">
        <v>1.1519999999999999</v>
      </c>
      <c r="AC74" s="30">
        <v>1.1559999999999999</v>
      </c>
      <c r="AD74" s="30">
        <v>1.157</v>
      </c>
      <c r="AE74" s="30">
        <v>1.1499999999999999</v>
      </c>
      <c r="AF74" s="30">
        <v>1.1539999999999999</v>
      </c>
      <c r="AG74" s="30">
        <v>1.155</v>
      </c>
      <c r="AH74" s="30">
        <v>1.1539999999999999</v>
      </c>
      <c r="AI74" s="30">
        <v>1.157</v>
      </c>
      <c r="AJ74" s="30">
        <v>1.1479999999999999</v>
      </c>
      <c r="AK74" s="30">
        <v>1.159</v>
      </c>
      <c r="AL74" s="30">
        <v>1.1599999999999999</v>
      </c>
      <c r="AM74" s="30">
        <v>1.1499999999999999</v>
      </c>
      <c r="AN74" s="30">
        <v>1.1459999999999999</v>
      </c>
      <c r="AO74" s="30">
        <v>1.1439999999999999</v>
      </c>
      <c r="AP74" s="30">
        <v>1.1419999999999999</v>
      </c>
      <c r="AQ74" s="30">
        <v>1.149</v>
      </c>
      <c r="AR74" s="30">
        <v>1.149</v>
      </c>
      <c r="AS74" s="30">
        <v>1.1479999999999999</v>
      </c>
      <c r="AT74" s="30">
        <v>1.145</v>
      </c>
      <c r="AU74" s="30">
        <v>1.143</v>
      </c>
      <c r="AV74" s="30">
        <v>1.147</v>
      </c>
      <c r="AW74" s="30">
        <v>1.143</v>
      </c>
    </row>
    <row r="75" spans="1:49" ht="18" customHeight="1">
      <c r="A75" s="23"/>
      <c r="B75" s="12"/>
      <c r="C75" s="75" t="s">
        <v>65</v>
      </c>
      <c r="D75" s="35" t="s">
        <v>388</v>
      </c>
      <c r="E75" s="35"/>
      <c r="F75" s="29" t="s">
        <v>213</v>
      </c>
      <c r="G75" s="38">
        <v>0.28000000000000003</v>
      </c>
      <c r="H75" s="38">
        <v>0.05</v>
      </c>
      <c r="I75" s="38">
        <v>0.05</v>
      </c>
      <c r="J75" s="38">
        <v>0.05</v>
      </c>
      <c r="K75" s="38">
        <v>0.05</v>
      </c>
      <c r="L75" s="30">
        <f t="shared" si="4"/>
        <v>0.33</v>
      </c>
      <c r="M75" s="30">
        <f t="shared" si="5"/>
        <v>0.32</v>
      </c>
      <c r="N75" s="30">
        <f t="shared" si="6"/>
        <v>1.0000000000000009E-2</v>
      </c>
      <c r="O75" s="31">
        <f t="shared" si="7"/>
        <v>0.3257666666666667</v>
      </c>
      <c r="P75" s="52"/>
      <c r="Q75" s="30">
        <v>0.32700000000000001</v>
      </c>
      <c r="R75" s="30">
        <v>0.32100000000000001</v>
      </c>
      <c r="S75" s="30">
        <v>0.32500000000000001</v>
      </c>
      <c r="T75" s="30">
        <v>0.32</v>
      </c>
      <c r="U75" s="30">
        <v>0.32800000000000001</v>
      </c>
      <c r="V75" s="30">
        <v>0.32900000000000001</v>
      </c>
      <c r="W75" s="30">
        <v>0.32600000000000001</v>
      </c>
      <c r="X75" s="30">
        <v>0.32600000000000001</v>
      </c>
      <c r="Y75" s="30">
        <v>0.32600000000000001</v>
      </c>
      <c r="Z75" s="30">
        <v>0.32600000000000001</v>
      </c>
      <c r="AA75" s="30">
        <v>0.32500000000000001</v>
      </c>
      <c r="AB75" s="30">
        <v>0.32800000000000001</v>
      </c>
      <c r="AC75" s="30">
        <v>0.32400000000000001</v>
      </c>
      <c r="AD75" s="30">
        <v>0.32700000000000001</v>
      </c>
      <c r="AE75" s="30">
        <v>0.32700000000000001</v>
      </c>
      <c r="AF75" s="30">
        <v>0.32800000000000001</v>
      </c>
      <c r="AG75" s="30">
        <v>0.32500000000000001</v>
      </c>
      <c r="AH75" s="30">
        <v>0.32300000000000001</v>
      </c>
      <c r="AI75" s="30">
        <v>0.32400000000000001</v>
      </c>
      <c r="AJ75" s="30">
        <v>0.32500000000000001</v>
      </c>
      <c r="AK75" s="30">
        <v>0.32700000000000001</v>
      </c>
      <c r="AL75" s="30">
        <v>0.33</v>
      </c>
      <c r="AM75" s="30">
        <v>0.32700000000000001</v>
      </c>
      <c r="AN75" s="30">
        <v>0.32300000000000001</v>
      </c>
      <c r="AO75" s="30">
        <v>0.32600000000000001</v>
      </c>
      <c r="AP75" s="30">
        <v>0.32900000000000001</v>
      </c>
      <c r="AQ75" s="30">
        <v>0.32600000000000001</v>
      </c>
      <c r="AR75" s="30">
        <v>0.32500000000000001</v>
      </c>
      <c r="AS75" s="30">
        <v>0.32500000000000001</v>
      </c>
      <c r="AT75" s="30">
        <v>0.32500000000000001</v>
      </c>
      <c r="AU75" s="30">
        <v>0.32100000000000001</v>
      </c>
      <c r="AV75" s="30">
        <v>0.32300000000000001</v>
      </c>
      <c r="AW75" s="30">
        <v>0.32400000000000001</v>
      </c>
    </row>
    <row r="76" spans="1:49" ht="18" customHeight="1">
      <c r="A76" s="23"/>
      <c r="B76" s="12"/>
      <c r="C76" s="75" t="s">
        <v>65</v>
      </c>
      <c r="D76" s="35" t="s">
        <v>214</v>
      </c>
      <c r="E76" s="35"/>
      <c r="F76" s="29" t="s">
        <v>215</v>
      </c>
      <c r="G76" s="38">
        <v>0.56999999999999995</v>
      </c>
      <c r="H76" s="38">
        <v>0.08</v>
      </c>
      <c r="I76" s="38">
        <v>0.08</v>
      </c>
      <c r="J76" s="38">
        <v>0.08</v>
      </c>
      <c r="K76" s="38">
        <v>0.08</v>
      </c>
      <c r="L76" s="30">
        <f t="shared" si="4"/>
        <v>0.59899999999999998</v>
      </c>
      <c r="M76" s="30">
        <f t="shared" si="5"/>
        <v>0.57999999999999996</v>
      </c>
      <c r="N76" s="30">
        <f t="shared" si="6"/>
        <v>1.9000000000000017E-2</v>
      </c>
      <c r="O76" s="31">
        <f t="shared" si="7"/>
        <v>0.58830000000000005</v>
      </c>
      <c r="P76" s="52"/>
      <c r="Q76" s="30">
        <v>0.57999999999999996</v>
      </c>
      <c r="R76" s="30">
        <v>0.58299999999999996</v>
      </c>
      <c r="S76" s="30">
        <v>0.58499999999999996</v>
      </c>
      <c r="T76" s="30">
        <v>0.58199999999999996</v>
      </c>
      <c r="U76" s="30">
        <v>0.58499999999999996</v>
      </c>
      <c r="V76" s="30">
        <v>0.58599999999999997</v>
      </c>
      <c r="W76" s="30">
        <v>0.58399999999999996</v>
      </c>
      <c r="X76" s="30">
        <v>0.58399999999999996</v>
      </c>
      <c r="Y76" s="30">
        <v>0.59</v>
      </c>
      <c r="Z76" s="30">
        <v>0.59599999999999997</v>
      </c>
      <c r="AA76" s="30">
        <v>0.58299999999999996</v>
      </c>
      <c r="AB76" s="30">
        <v>0.59199999999999997</v>
      </c>
      <c r="AC76" s="30">
        <v>0.59099999999999997</v>
      </c>
      <c r="AD76" s="30">
        <v>0.58599999999999997</v>
      </c>
      <c r="AE76" s="30">
        <v>0.59099999999999997</v>
      </c>
      <c r="AF76" s="30">
        <v>0.58499999999999996</v>
      </c>
      <c r="AG76" s="30">
        <v>0.58399999999999996</v>
      </c>
      <c r="AH76" s="30">
        <v>0.59</v>
      </c>
      <c r="AI76" s="30">
        <v>0.59199999999999997</v>
      </c>
      <c r="AJ76" s="30">
        <v>0.58899999999999997</v>
      </c>
      <c r="AK76" s="30">
        <v>0.59499999999999997</v>
      </c>
      <c r="AL76" s="30">
        <v>0.59899999999999998</v>
      </c>
      <c r="AM76" s="30">
        <v>0.59</v>
      </c>
      <c r="AN76" s="30">
        <v>0.58699999999999997</v>
      </c>
      <c r="AO76" s="30">
        <v>0.58899999999999997</v>
      </c>
      <c r="AP76" s="30">
        <v>0.59099999999999997</v>
      </c>
      <c r="AQ76" s="30">
        <v>0.58899999999999997</v>
      </c>
      <c r="AR76" s="30">
        <v>0.58899999999999997</v>
      </c>
      <c r="AS76" s="30">
        <v>0.59099999999999997</v>
      </c>
      <c r="AT76" s="30">
        <v>0.59099999999999997</v>
      </c>
      <c r="AU76" s="30">
        <v>0.59599999999999997</v>
      </c>
      <c r="AV76" s="30">
        <v>0.59</v>
      </c>
      <c r="AW76" s="30">
        <v>0.58899999999999997</v>
      </c>
    </row>
    <row r="77" spans="1:49" ht="18" customHeight="1">
      <c r="A77" s="23"/>
      <c r="B77" s="12"/>
      <c r="C77" s="75" t="s">
        <v>65</v>
      </c>
      <c r="D77" s="35" t="s">
        <v>216</v>
      </c>
      <c r="E77" s="35"/>
      <c r="F77" s="29" t="s">
        <v>217</v>
      </c>
      <c r="G77" s="38">
        <v>35.479999999999997</v>
      </c>
      <c r="H77" s="38">
        <v>0.06</v>
      </c>
      <c r="I77" s="38">
        <v>0.06</v>
      </c>
      <c r="J77" s="38">
        <v>0.06</v>
      </c>
      <c r="K77" s="38">
        <v>0.06</v>
      </c>
      <c r="L77" s="30">
        <f t="shared" si="4"/>
        <v>35.539000000000001</v>
      </c>
      <c r="M77" s="30">
        <f t="shared" si="5"/>
        <v>35.533000000000001</v>
      </c>
      <c r="N77" s="30">
        <f t="shared" si="6"/>
        <v>6.0000000000002274E-3</v>
      </c>
      <c r="O77" s="31">
        <f t="shared" si="7"/>
        <v>35.535800000000002</v>
      </c>
      <c r="P77" s="52"/>
      <c r="Q77" s="30">
        <v>35.534999999999997</v>
      </c>
      <c r="R77" s="30">
        <v>35.534999999999997</v>
      </c>
      <c r="S77" s="30">
        <v>35.536000000000001</v>
      </c>
      <c r="T77" s="30">
        <v>35.533000000000001</v>
      </c>
      <c r="U77" s="30">
        <v>35.536000000000001</v>
      </c>
      <c r="V77" s="30">
        <v>35.536000000000001</v>
      </c>
      <c r="W77" s="30">
        <v>35.534999999999997</v>
      </c>
      <c r="X77" s="30">
        <v>35.536000000000001</v>
      </c>
      <c r="Y77" s="30">
        <v>35.536000000000001</v>
      </c>
      <c r="Z77" s="30">
        <v>35.536000000000001</v>
      </c>
      <c r="AA77" s="30">
        <v>35.533999999999999</v>
      </c>
      <c r="AB77" s="30">
        <v>35.537999999999997</v>
      </c>
      <c r="AC77" s="30">
        <v>35.537999999999997</v>
      </c>
      <c r="AD77" s="30">
        <v>35.536999999999999</v>
      </c>
      <c r="AE77" s="30">
        <v>35.536999999999999</v>
      </c>
      <c r="AF77" s="30">
        <v>35.536000000000001</v>
      </c>
      <c r="AG77" s="30">
        <v>35.536000000000001</v>
      </c>
      <c r="AH77" s="30">
        <v>35.536000000000001</v>
      </c>
      <c r="AI77" s="30">
        <v>35.533999999999999</v>
      </c>
      <c r="AJ77" s="30">
        <v>35.534999999999997</v>
      </c>
      <c r="AK77" s="30">
        <v>35.536999999999999</v>
      </c>
      <c r="AL77" s="30">
        <v>35.536999999999999</v>
      </c>
      <c r="AM77" s="30">
        <v>35.536000000000001</v>
      </c>
      <c r="AN77" s="30">
        <v>35.533999999999999</v>
      </c>
      <c r="AO77" s="30">
        <v>35.539000000000001</v>
      </c>
      <c r="AP77" s="30">
        <v>35.533999999999999</v>
      </c>
      <c r="AQ77" s="30">
        <v>35.534999999999997</v>
      </c>
      <c r="AR77" s="30">
        <v>35.537999999999997</v>
      </c>
      <c r="AS77" s="30">
        <v>35.536000000000001</v>
      </c>
      <c r="AT77" s="30">
        <v>35.533000000000001</v>
      </c>
      <c r="AU77" s="30">
        <v>35.531999999999996</v>
      </c>
      <c r="AV77" s="30">
        <v>35.534999999999997</v>
      </c>
      <c r="AW77" s="30">
        <v>35.531999999999996</v>
      </c>
    </row>
    <row r="78" spans="1:49" ht="18" customHeight="1">
      <c r="A78" s="23"/>
      <c r="B78" s="12"/>
      <c r="C78" s="75" t="s">
        <v>65</v>
      </c>
      <c r="D78" s="35" t="s">
        <v>218</v>
      </c>
      <c r="E78" s="35"/>
      <c r="F78" s="29" t="s">
        <v>219</v>
      </c>
      <c r="G78" s="38"/>
      <c r="H78" s="38">
        <v>0.08</v>
      </c>
      <c r="I78" s="38"/>
      <c r="J78" s="38">
        <v>0.08</v>
      </c>
      <c r="K78" s="38"/>
      <c r="L78" s="30">
        <f t="shared" si="4"/>
        <v>7.8E-2</v>
      </c>
      <c r="M78" s="30">
        <f t="shared" si="5"/>
        <v>6.9000000000000006E-2</v>
      </c>
      <c r="N78" s="30">
        <f t="shared" si="6"/>
        <v>8.9999999999999941E-3</v>
      </c>
      <c r="O78" s="31">
        <f t="shared" si="7"/>
        <v>7.4499999999999983E-2</v>
      </c>
      <c r="P78" s="52"/>
      <c r="Q78" s="30">
        <v>7.4999999999999997E-2</v>
      </c>
      <c r="R78" s="30">
        <v>7.6999999999999999E-2</v>
      </c>
      <c r="S78" s="30">
        <v>7.5999999999999998E-2</v>
      </c>
      <c r="T78" s="30">
        <v>7.4999999999999997E-2</v>
      </c>
      <c r="U78" s="30">
        <v>7.0999999999999994E-2</v>
      </c>
      <c r="V78" s="30">
        <v>6.9000000000000006E-2</v>
      </c>
      <c r="W78" s="30">
        <v>7.0000000000000007E-2</v>
      </c>
      <c r="X78" s="30">
        <v>7.5999999999999998E-2</v>
      </c>
      <c r="Y78" s="30">
        <v>7.5999999999999998E-2</v>
      </c>
      <c r="Z78" s="30">
        <v>7.5999999999999998E-2</v>
      </c>
      <c r="AA78" s="30">
        <v>7.4999999999999997E-2</v>
      </c>
      <c r="AB78" s="30">
        <v>7.8E-2</v>
      </c>
      <c r="AC78" s="30">
        <v>7.3999999999999996E-2</v>
      </c>
      <c r="AD78" s="30">
        <v>7.6999999999999999E-2</v>
      </c>
      <c r="AE78" s="30">
        <v>7.6999999999999999E-2</v>
      </c>
      <c r="AF78" s="30">
        <v>7.5999999999999998E-2</v>
      </c>
      <c r="AG78" s="30">
        <v>7.4999999999999997E-2</v>
      </c>
      <c r="AH78" s="30">
        <v>7.2999999999999995E-2</v>
      </c>
      <c r="AI78" s="30">
        <v>7.0999999999999994E-2</v>
      </c>
      <c r="AJ78" s="30">
        <v>7.4999999999999997E-2</v>
      </c>
      <c r="AK78" s="30">
        <v>7.2999999999999995E-2</v>
      </c>
      <c r="AL78" s="30">
        <v>7.3999999999999996E-2</v>
      </c>
      <c r="AM78" s="30">
        <v>7.5999999999999998E-2</v>
      </c>
      <c r="AN78" s="30">
        <v>7.2999999999999995E-2</v>
      </c>
      <c r="AO78" s="30">
        <v>7.1999999999999995E-2</v>
      </c>
      <c r="AP78" s="30">
        <v>7.0999999999999994E-2</v>
      </c>
      <c r="AQ78" s="30">
        <v>7.3999999999999996E-2</v>
      </c>
      <c r="AR78" s="30">
        <v>7.8E-2</v>
      </c>
      <c r="AS78" s="30">
        <v>7.6999999999999999E-2</v>
      </c>
      <c r="AT78" s="30">
        <v>7.4999999999999997E-2</v>
      </c>
      <c r="AU78" s="30">
        <v>7.3999999999999996E-2</v>
      </c>
      <c r="AV78" s="30">
        <v>7.5999999999999998E-2</v>
      </c>
      <c r="AW78" s="30">
        <v>7.3999999999999996E-2</v>
      </c>
    </row>
    <row r="79" spans="1:49" ht="18" customHeight="1">
      <c r="A79" s="23"/>
      <c r="B79" s="12"/>
      <c r="C79" s="75" t="s">
        <v>65</v>
      </c>
      <c r="D79" s="35" t="s">
        <v>220</v>
      </c>
      <c r="E79" s="35"/>
      <c r="F79" s="29"/>
      <c r="G79" s="38"/>
      <c r="H79" s="38">
        <v>0.05</v>
      </c>
      <c r="I79" s="38"/>
      <c r="J79" s="38">
        <v>0.05</v>
      </c>
      <c r="K79" s="38"/>
      <c r="L79" s="30">
        <f t="shared" si="4"/>
        <v>0.05</v>
      </c>
      <c r="M79" s="30">
        <f t="shared" si="5"/>
        <v>0.04</v>
      </c>
      <c r="N79" s="30">
        <f t="shared" si="6"/>
        <v>1.0000000000000002E-2</v>
      </c>
      <c r="O79" s="31">
        <f t="shared" si="7"/>
        <v>4.4500000000000005E-2</v>
      </c>
      <c r="P79" s="52"/>
      <c r="Q79" s="30">
        <v>0.04</v>
      </c>
      <c r="R79" s="30">
        <v>4.4999999999999998E-2</v>
      </c>
      <c r="S79" s="30">
        <v>4.4999999999999998E-2</v>
      </c>
      <c r="T79" s="30">
        <v>4.3999999999999997E-2</v>
      </c>
      <c r="U79" s="30">
        <v>4.5999999999999999E-2</v>
      </c>
      <c r="V79" s="30">
        <v>4.9000000000000002E-2</v>
      </c>
      <c r="W79" s="30">
        <v>4.4999999999999998E-2</v>
      </c>
      <c r="X79" s="30">
        <v>4.7E-2</v>
      </c>
      <c r="Y79" s="30">
        <v>4.3999999999999997E-2</v>
      </c>
      <c r="Z79" s="30">
        <v>4.1000000000000002E-2</v>
      </c>
      <c r="AA79" s="30">
        <v>4.5999999999999999E-2</v>
      </c>
      <c r="AB79" s="30">
        <v>4.5999999999999999E-2</v>
      </c>
      <c r="AC79" s="30">
        <v>4.3999999999999997E-2</v>
      </c>
      <c r="AD79" s="30">
        <v>4.9000000000000002E-2</v>
      </c>
      <c r="AE79" s="30">
        <v>4.4999999999999998E-2</v>
      </c>
      <c r="AF79" s="30">
        <v>4.3999999999999997E-2</v>
      </c>
      <c r="AG79" s="30">
        <v>4.8000000000000001E-2</v>
      </c>
      <c r="AH79" s="30">
        <v>4.2000000000000003E-2</v>
      </c>
      <c r="AI79" s="30">
        <v>4.2000000000000003E-2</v>
      </c>
      <c r="AJ79" s="30">
        <v>4.2000000000000003E-2</v>
      </c>
      <c r="AK79" s="30">
        <v>4.3999999999999997E-2</v>
      </c>
      <c r="AL79" s="30">
        <v>0.05</v>
      </c>
      <c r="AM79" s="30">
        <v>4.4999999999999998E-2</v>
      </c>
      <c r="AN79" s="30">
        <v>4.1000000000000002E-2</v>
      </c>
      <c r="AO79" s="30">
        <v>4.1000000000000002E-2</v>
      </c>
      <c r="AP79" s="30">
        <v>4.1000000000000002E-2</v>
      </c>
      <c r="AQ79" s="30">
        <v>4.2999999999999997E-2</v>
      </c>
      <c r="AR79" s="30">
        <v>4.8000000000000001E-2</v>
      </c>
      <c r="AS79" s="30">
        <v>4.2000000000000003E-2</v>
      </c>
      <c r="AT79" s="30">
        <v>4.5999999999999999E-2</v>
      </c>
      <c r="AU79" s="30">
        <v>4.2000000000000003E-2</v>
      </c>
      <c r="AV79" s="30">
        <v>4.1000000000000002E-2</v>
      </c>
      <c r="AW79" s="30">
        <v>4.4999999999999998E-2</v>
      </c>
    </row>
    <row r="80" spans="1:49" ht="18" customHeight="1">
      <c r="A80" s="23"/>
      <c r="B80" s="12"/>
      <c r="C80" s="75" t="s">
        <v>65</v>
      </c>
      <c r="D80" s="35" t="s">
        <v>221</v>
      </c>
      <c r="E80" s="35"/>
      <c r="F80" s="29" t="s">
        <v>222</v>
      </c>
      <c r="G80" s="38">
        <v>0.52</v>
      </c>
      <c r="H80" s="38">
        <v>0.05</v>
      </c>
      <c r="I80" s="38">
        <v>0.05</v>
      </c>
      <c r="J80" s="38">
        <v>0.05</v>
      </c>
      <c r="K80" s="38">
        <v>0.05</v>
      </c>
      <c r="L80" s="30">
        <f t="shared" si="4"/>
        <v>0.55100000000000005</v>
      </c>
      <c r="M80" s="30">
        <f t="shared" si="5"/>
        <v>0.53900000000000003</v>
      </c>
      <c r="N80" s="30">
        <f t="shared" si="6"/>
        <v>1.2000000000000011E-2</v>
      </c>
      <c r="O80" s="31">
        <f t="shared" si="7"/>
        <v>0.54600000000000004</v>
      </c>
      <c r="P80" s="52"/>
      <c r="Q80" s="30">
        <v>0.53900000000000003</v>
      </c>
      <c r="R80" s="30">
        <v>0.54200000000000004</v>
      </c>
      <c r="S80" s="30">
        <v>0.54600000000000004</v>
      </c>
      <c r="T80" s="30">
        <v>0.54</v>
      </c>
      <c r="U80" s="30">
        <v>0.54500000000000004</v>
      </c>
      <c r="V80" s="30">
        <v>0.54700000000000004</v>
      </c>
      <c r="W80" s="30">
        <v>0.54300000000000004</v>
      </c>
      <c r="X80" s="30">
        <v>0.54800000000000004</v>
      </c>
      <c r="Y80" s="30">
        <v>0.54600000000000004</v>
      </c>
      <c r="Z80" s="30">
        <v>0.54400000000000004</v>
      </c>
      <c r="AA80" s="30">
        <v>0.54600000000000004</v>
      </c>
      <c r="AB80" s="30">
        <v>0.54900000000000004</v>
      </c>
      <c r="AC80" s="30">
        <v>0.54500000000000004</v>
      </c>
      <c r="AD80" s="30">
        <v>0.54800000000000004</v>
      </c>
      <c r="AE80" s="30">
        <v>0.54800000000000004</v>
      </c>
      <c r="AF80" s="30">
        <v>0.54600000000000004</v>
      </c>
      <c r="AG80" s="30">
        <v>0.54700000000000004</v>
      </c>
      <c r="AH80" s="30">
        <v>0.54400000000000004</v>
      </c>
      <c r="AI80" s="30">
        <v>0.54800000000000004</v>
      </c>
      <c r="AJ80" s="30">
        <v>0.54500000000000004</v>
      </c>
      <c r="AK80" s="30">
        <v>0.55000000000000004</v>
      </c>
      <c r="AL80" s="30">
        <v>0.55100000000000005</v>
      </c>
      <c r="AM80" s="30">
        <v>0.54700000000000004</v>
      </c>
      <c r="AN80" s="30">
        <v>0.54300000000000004</v>
      </c>
      <c r="AO80" s="30">
        <v>0.54400000000000004</v>
      </c>
      <c r="AP80" s="30">
        <v>0.54500000000000004</v>
      </c>
      <c r="AQ80" s="30">
        <v>0.54600000000000004</v>
      </c>
      <c r="AR80" s="30">
        <v>0.55100000000000005</v>
      </c>
      <c r="AS80" s="30">
        <v>0.54800000000000004</v>
      </c>
      <c r="AT80" s="30">
        <v>0.54900000000000004</v>
      </c>
      <c r="AU80" s="30">
        <v>0.55200000000000005</v>
      </c>
      <c r="AV80" s="30">
        <v>0.54700000000000004</v>
      </c>
      <c r="AW80" s="30">
        <v>0.54800000000000004</v>
      </c>
    </row>
    <row r="81" spans="1:49" ht="18" customHeight="1">
      <c r="A81" s="23"/>
      <c r="B81" s="12"/>
      <c r="C81" s="75" t="s">
        <v>65</v>
      </c>
      <c r="D81" s="35" t="s">
        <v>223</v>
      </c>
      <c r="E81" s="35"/>
      <c r="F81" s="29" t="s">
        <v>224</v>
      </c>
      <c r="G81" s="38">
        <v>0.49</v>
      </c>
      <c r="H81" s="38">
        <v>0.06</v>
      </c>
      <c r="I81" s="38">
        <v>0.06</v>
      </c>
      <c r="J81" s="38">
        <v>0.06</v>
      </c>
      <c r="K81" s="38">
        <v>0.06</v>
      </c>
      <c r="L81" s="30">
        <f t="shared" si="4"/>
        <v>0.55000000000000004</v>
      </c>
      <c r="M81" s="30">
        <f t="shared" si="5"/>
        <v>0.53300000000000003</v>
      </c>
      <c r="N81" s="30">
        <f t="shared" si="6"/>
        <v>1.7000000000000015E-2</v>
      </c>
      <c r="O81" s="31">
        <f t="shared" si="7"/>
        <v>0.54330000000000001</v>
      </c>
      <c r="P81" s="52"/>
      <c r="Q81" s="30">
        <v>0.54200000000000004</v>
      </c>
      <c r="R81" s="30">
        <v>0.54600000000000004</v>
      </c>
      <c r="S81" s="30">
        <v>0.54700000000000004</v>
      </c>
      <c r="T81" s="30">
        <v>0.54500000000000004</v>
      </c>
      <c r="U81" s="30">
        <v>0.55000000000000004</v>
      </c>
      <c r="V81" s="30">
        <v>0.54800000000000004</v>
      </c>
      <c r="W81" s="30">
        <v>0.54800000000000004</v>
      </c>
      <c r="X81" s="30">
        <v>0.54900000000000004</v>
      </c>
      <c r="Y81" s="30">
        <v>0.54100000000000004</v>
      </c>
      <c r="Z81" s="30">
        <v>0.53300000000000003</v>
      </c>
      <c r="AA81" s="30">
        <v>0.54700000000000004</v>
      </c>
      <c r="AB81" s="30">
        <v>0.54400000000000004</v>
      </c>
      <c r="AC81" s="30">
        <v>0.54200000000000004</v>
      </c>
      <c r="AD81" s="30">
        <v>0.54900000000000004</v>
      </c>
      <c r="AE81" s="30">
        <v>0.54200000000000004</v>
      </c>
      <c r="AF81" s="30">
        <v>0.54100000000000004</v>
      </c>
      <c r="AG81" s="30">
        <v>0.54800000000000004</v>
      </c>
      <c r="AH81" s="30">
        <v>0.54</v>
      </c>
      <c r="AI81" s="30">
        <v>0.54100000000000004</v>
      </c>
      <c r="AJ81" s="30">
        <v>0.54</v>
      </c>
      <c r="AK81" s="30">
        <v>0.54300000000000004</v>
      </c>
      <c r="AL81" s="30">
        <v>0.54600000000000004</v>
      </c>
      <c r="AM81" s="30">
        <v>0.54200000000000004</v>
      </c>
      <c r="AN81" s="30">
        <v>0.53900000000000003</v>
      </c>
      <c r="AO81" s="30">
        <v>0.54</v>
      </c>
      <c r="AP81" s="30">
        <v>0.54100000000000004</v>
      </c>
      <c r="AQ81" s="30">
        <v>0.54</v>
      </c>
      <c r="AR81" s="30">
        <v>0.54500000000000004</v>
      </c>
      <c r="AS81" s="30">
        <v>0.53900000000000003</v>
      </c>
      <c r="AT81" s="30">
        <v>0.54100000000000004</v>
      </c>
      <c r="AU81" s="30">
        <v>0.54300000000000004</v>
      </c>
      <c r="AV81" s="30">
        <v>0.53800000000000003</v>
      </c>
      <c r="AW81" s="30">
        <v>0.54</v>
      </c>
    </row>
    <row r="82" spans="1:49" ht="18" customHeight="1">
      <c r="A82" s="23"/>
      <c r="B82" s="12"/>
      <c r="C82" s="79" t="s">
        <v>225</v>
      </c>
      <c r="D82" s="35" t="s">
        <v>226</v>
      </c>
      <c r="E82" s="35"/>
      <c r="F82" s="29" t="s">
        <v>227</v>
      </c>
      <c r="G82" s="38">
        <v>4.78</v>
      </c>
      <c r="H82" s="38">
        <v>0.03</v>
      </c>
      <c r="I82" s="38">
        <v>0.03</v>
      </c>
      <c r="J82" s="38">
        <v>0.03</v>
      </c>
      <c r="K82" s="38">
        <v>0.03</v>
      </c>
      <c r="L82" s="30">
        <f t="shared" si="4"/>
        <v>4.7769250000000003</v>
      </c>
      <c r="M82" s="30">
        <f t="shared" si="5"/>
        <v>4.7751530000000004</v>
      </c>
      <c r="N82" s="30">
        <f t="shared" si="6"/>
        <v>1.7719999999998848E-3</v>
      </c>
      <c r="O82" s="31">
        <f t="shared" si="7"/>
        <v>4.7758632333333342</v>
      </c>
      <c r="P82" s="52"/>
      <c r="Q82" s="30">
        <v>4.7755640000000001</v>
      </c>
      <c r="R82" s="30">
        <v>4.7751530000000004</v>
      </c>
      <c r="S82" s="30">
        <v>4.7753009999999998</v>
      </c>
      <c r="T82" s="30">
        <v>4.7766679999999999</v>
      </c>
      <c r="U82" s="30">
        <v>4.7757560000000003</v>
      </c>
      <c r="V82" s="30">
        <v>4.7756429999999996</v>
      </c>
      <c r="W82" s="30">
        <v>4.7759150000000004</v>
      </c>
      <c r="X82" s="30">
        <v>4.7753180000000004</v>
      </c>
      <c r="Y82" s="30">
        <v>4.7758339999999997</v>
      </c>
      <c r="Z82" s="30">
        <v>4.7758200000000004</v>
      </c>
      <c r="AA82" s="30">
        <v>4.7760210000000001</v>
      </c>
      <c r="AB82" s="30">
        <v>4.7760210000000001</v>
      </c>
      <c r="AC82" s="30">
        <v>4.7758839999999996</v>
      </c>
      <c r="AD82" s="30">
        <v>4.775874</v>
      </c>
      <c r="AE82" s="30">
        <v>4.7765399999999998</v>
      </c>
      <c r="AF82" s="30">
        <v>4.7758380000000002</v>
      </c>
      <c r="AG82" s="30">
        <v>4.7769250000000003</v>
      </c>
      <c r="AH82" s="30">
        <v>4.7758789999999998</v>
      </c>
      <c r="AI82" s="30">
        <v>4.775506</v>
      </c>
      <c r="AJ82" s="30">
        <v>4.7752749999999997</v>
      </c>
      <c r="AK82" s="30">
        <v>4.7761060000000004</v>
      </c>
      <c r="AL82" s="30">
        <v>4.7761360000000002</v>
      </c>
      <c r="AM82" s="30">
        <v>4.7756350000000003</v>
      </c>
      <c r="AN82" s="30">
        <v>4.7764300000000004</v>
      </c>
      <c r="AO82" s="30">
        <v>4.7751580000000002</v>
      </c>
      <c r="AP82" s="30">
        <v>4.7759299999999998</v>
      </c>
      <c r="AQ82" s="30">
        <v>4.7755320000000001</v>
      </c>
      <c r="AR82" s="30">
        <v>4.77576</v>
      </c>
      <c r="AS82" s="30">
        <v>4.7764509999999998</v>
      </c>
      <c r="AT82" s="30">
        <v>4.7760239999999996</v>
      </c>
      <c r="AU82" s="30">
        <v>4.7759099999999997</v>
      </c>
      <c r="AV82" s="30">
        <v>4.7759349999999996</v>
      </c>
      <c r="AW82" s="30">
        <v>4.7757040000000002</v>
      </c>
    </row>
    <row r="83" spans="1:49" ht="18" customHeight="1">
      <c r="A83" s="23"/>
      <c r="B83" s="12"/>
      <c r="C83" s="79" t="s">
        <v>225</v>
      </c>
      <c r="D83" s="35" t="s">
        <v>228</v>
      </c>
      <c r="E83" s="35"/>
      <c r="F83" s="29" t="s">
        <v>229</v>
      </c>
      <c r="G83" s="38">
        <v>0</v>
      </c>
      <c r="H83" s="38">
        <v>0.12</v>
      </c>
      <c r="I83" s="38">
        <v>0</v>
      </c>
      <c r="J83" s="38">
        <v>0.12</v>
      </c>
      <c r="K83" s="38">
        <v>0</v>
      </c>
      <c r="L83" s="30">
        <f t="shared" si="4"/>
        <v>9.6805000000000002E-2</v>
      </c>
      <c r="M83" s="30">
        <f t="shared" si="5"/>
        <v>3.5582000000000003E-2</v>
      </c>
      <c r="N83" s="30">
        <f t="shared" si="6"/>
        <v>6.1223E-2</v>
      </c>
      <c r="O83" s="31">
        <f t="shared" si="7"/>
        <v>5.3475333333333319E-2</v>
      </c>
      <c r="P83" s="52"/>
      <c r="Q83" s="30">
        <v>5.3801000000000002E-2</v>
      </c>
      <c r="R83" s="30">
        <v>6.8263000000000004E-2</v>
      </c>
      <c r="S83" s="30">
        <v>5.9123000000000002E-2</v>
      </c>
      <c r="T83" s="30">
        <v>9.6805000000000002E-2</v>
      </c>
      <c r="U83" s="30">
        <v>6.3247999999999999E-2</v>
      </c>
      <c r="V83" s="30">
        <v>5.7658000000000001E-2</v>
      </c>
      <c r="W83" s="30">
        <v>5.4427000000000003E-2</v>
      </c>
      <c r="X83" s="30">
        <v>5.2350000000000001E-2</v>
      </c>
      <c r="Y83" s="30">
        <v>5.8143E-2</v>
      </c>
      <c r="Z83" s="30">
        <v>5.9117000000000003E-2</v>
      </c>
      <c r="AA83" s="30">
        <v>5.8354000000000003E-2</v>
      </c>
      <c r="AB83" s="30">
        <v>5.2935999999999997E-2</v>
      </c>
      <c r="AC83" s="30">
        <v>5.3301000000000001E-2</v>
      </c>
      <c r="AD83" s="30">
        <v>5.8178000000000001E-2</v>
      </c>
      <c r="AE83" s="30">
        <v>4.2116000000000001E-2</v>
      </c>
      <c r="AF83" s="30">
        <v>5.1347999999999998E-2</v>
      </c>
      <c r="AG83" s="30">
        <v>4.8701000000000001E-2</v>
      </c>
      <c r="AH83" s="30">
        <v>4.2632999999999997E-2</v>
      </c>
      <c r="AI83" s="30">
        <v>4.7183999999999997E-2</v>
      </c>
      <c r="AJ83" s="30">
        <v>6.4952999999999997E-2</v>
      </c>
      <c r="AK83" s="30">
        <v>4.0210999999999997E-2</v>
      </c>
      <c r="AL83" s="30">
        <v>5.5605000000000002E-2</v>
      </c>
      <c r="AM83" s="30">
        <v>3.5582000000000003E-2</v>
      </c>
      <c r="AN83" s="30">
        <v>4.0065999999999997E-2</v>
      </c>
      <c r="AO83" s="30">
        <v>4.5391000000000001E-2</v>
      </c>
      <c r="AP83" s="30">
        <v>4.9641999999999999E-2</v>
      </c>
      <c r="AQ83" s="30">
        <v>5.4306E-2</v>
      </c>
      <c r="AR83" s="30">
        <v>4.8194000000000001E-2</v>
      </c>
      <c r="AS83" s="30">
        <v>4.4067000000000002E-2</v>
      </c>
      <c r="AT83" s="30">
        <v>4.8557000000000003E-2</v>
      </c>
      <c r="AU83" s="30">
        <v>5.6503999999999999E-2</v>
      </c>
      <c r="AV83" s="30">
        <v>4.2340000000000003E-2</v>
      </c>
      <c r="AW83" s="30">
        <v>4.3597999999999998E-2</v>
      </c>
    </row>
    <row r="84" spans="1:49" ht="18" customHeight="1">
      <c r="A84" s="23"/>
      <c r="B84" s="12"/>
      <c r="C84" s="79" t="s">
        <v>225</v>
      </c>
      <c r="D84" s="35" t="s">
        <v>230</v>
      </c>
      <c r="E84" s="35"/>
      <c r="F84" s="29" t="s">
        <v>231</v>
      </c>
      <c r="G84" s="38">
        <v>12.13</v>
      </c>
      <c r="H84" s="38">
        <v>0.06</v>
      </c>
      <c r="I84" s="38">
        <v>0.06</v>
      </c>
      <c r="J84" s="38">
        <v>0.08</v>
      </c>
      <c r="K84" s="38">
        <v>0.06</v>
      </c>
      <c r="L84" s="30">
        <f t="shared" si="4"/>
        <v>12.194304000000001</v>
      </c>
      <c r="M84" s="30">
        <f t="shared" si="5"/>
        <v>12.169805999999999</v>
      </c>
      <c r="N84" s="30">
        <f t="shared" si="6"/>
        <v>2.4498000000001241E-2</v>
      </c>
      <c r="O84" s="31">
        <f t="shared" si="7"/>
        <v>12.180290866666668</v>
      </c>
      <c r="P84" s="52"/>
      <c r="Q84" s="30">
        <v>12.175405</v>
      </c>
      <c r="R84" s="30">
        <v>12.170513</v>
      </c>
      <c r="S84" s="30">
        <v>12.176481000000001</v>
      </c>
      <c r="T84" s="30">
        <v>12.1914</v>
      </c>
      <c r="U84" s="30">
        <v>12.179005999999999</v>
      </c>
      <c r="V84" s="30">
        <v>12.172345999999999</v>
      </c>
      <c r="W84" s="30">
        <v>12.182702000000001</v>
      </c>
      <c r="X84" s="30">
        <v>12.179186</v>
      </c>
      <c r="Y84" s="30">
        <v>12.178668999999999</v>
      </c>
      <c r="Z84" s="30">
        <v>12.179646</v>
      </c>
      <c r="AA84" s="30">
        <v>12.176171</v>
      </c>
      <c r="AB84" s="30">
        <v>12.189095999999999</v>
      </c>
      <c r="AC84" s="30">
        <v>12.176932000000001</v>
      </c>
      <c r="AD84" s="30">
        <v>12.170111</v>
      </c>
      <c r="AE84" s="30">
        <v>12.172259</v>
      </c>
      <c r="AF84" s="30">
        <v>12.180178</v>
      </c>
      <c r="AG84" s="30">
        <v>12.181426</v>
      </c>
      <c r="AH84" s="30">
        <v>12.171654</v>
      </c>
      <c r="AI84" s="30">
        <v>12.188264999999999</v>
      </c>
      <c r="AJ84" s="30">
        <v>12.169805999999999</v>
      </c>
      <c r="AK84" s="30">
        <v>12.187360999999999</v>
      </c>
      <c r="AL84" s="30">
        <v>12.194304000000001</v>
      </c>
      <c r="AM84" s="30">
        <v>12.186192999999999</v>
      </c>
      <c r="AN84" s="30">
        <v>12.186230999999999</v>
      </c>
      <c r="AO84" s="30">
        <v>12.184096</v>
      </c>
      <c r="AP84" s="30">
        <v>12.181684000000001</v>
      </c>
      <c r="AQ84" s="30">
        <v>12.182834</v>
      </c>
      <c r="AR84" s="30">
        <v>12.182174</v>
      </c>
      <c r="AS84" s="30">
        <v>12.179997999999999</v>
      </c>
      <c r="AT84" s="30">
        <v>12.182599</v>
      </c>
      <c r="AU84" s="30">
        <v>12.178445999999999</v>
      </c>
      <c r="AV84" s="30">
        <v>12.181106</v>
      </c>
      <c r="AW84" s="30">
        <v>12.176684</v>
      </c>
    </row>
    <row r="85" spans="1:49" ht="18" customHeight="1">
      <c r="A85" s="23"/>
      <c r="B85" s="12"/>
      <c r="C85" s="79" t="s">
        <v>225</v>
      </c>
      <c r="D85" s="35" t="s">
        <v>232</v>
      </c>
      <c r="E85" s="35"/>
      <c r="F85" s="29" t="s">
        <v>233</v>
      </c>
      <c r="G85" s="38">
        <v>12.13</v>
      </c>
      <c r="H85" s="38">
        <v>0.06</v>
      </c>
      <c r="I85" s="38">
        <v>0.06</v>
      </c>
      <c r="J85" s="38">
        <v>0.08</v>
      </c>
      <c r="K85" s="38">
        <v>0.06</v>
      </c>
      <c r="L85" s="30">
        <f t="shared" si="4"/>
        <v>12.177622</v>
      </c>
      <c r="M85" s="30">
        <f t="shared" si="5"/>
        <v>12.155343999999999</v>
      </c>
      <c r="N85" s="30">
        <f t="shared" si="6"/>
        <v>2.227800000000002E-2</v>
      </c>
      <c r="O85" s="31">
        <f t="shared" si="7"/>
        <v>12.165380799999999</v>
      </c>
      <c r="P85" s="52"/>
      <c r="Q85" s="30">
        <v>12.163472000000001</v>
      </c>
      <c r="R85" s="30">
        <v>12.158768</v>
      </c>
      <c r="S85" s="30">
        <v>12.160961</v>
      </c>
      <c r="T85" s="30">
        <v>12.170285</v>
      </c>
      <c r="U85" s="30">
        <v>12.166845</v>
      </c>
      <c r="V85" s="30">
        <v>12.163487</v>
      </c>
      <c r="W85" s="30">
        <v>12.164446</v>
      </c>
      <c r="X85" s="30">
        <v>12.164239</v>
      </c>
      <c r="Y85" s="30">
        <v>12.168583</v>
      </c>
      <c r="Z85" s="30">
        <v>12.164286000000001</v>
      </c>
      <c r="AA85" s="30">
        <v>12.160539999999999</v>
      </c>
      <c r="AB85" s="30">
        <v>12.163797000000001</v>
      </c>
      <c r="AC85" s="30">
        <v>12.161631</v>
      </c>
      <c r="AD85" s="30">
        <v>12.159420000000001</v>
      </c>
      <c r="AE85" s="30">
        <v>12.159158</v>
      </c>
      <c r="AF85" s="30">
        <v>12.170145</v>
      </c>
      <c r="AG85" s="30">
        <v>12.168395</v>
      </c>
      <c r="AH85" s="30">
        <v>12.160356999999999</v>
      </c>
      <c r="AI85" s="30">
        <v>12.164403999999999</v>
      </c>
      <c r="AJ85" s="30">
        <v>12.155343999999999</v>
      </c>
      <c r="AK85" s="30">
        <v>12.172272</v>
      </c>
      <c r="AL85" s="30">
        <v>12.177622</v>
      </c>
      <c r="AM85" s="30">
        <v>12.169377000000001</v>
      </c>
      <c r="AN85" s="30">
        <v>12.172974</v>
      </c>
      <c r="AO85" s="30">
        <v>12.166370000000001</v>
      </c>
      <c r="AP85" s="30">
        <v>12.162689</v>
      </c>
      <c r="AQ85" s="30">
        <v>12.169909000000001</v>
      </c>
      <c r="AR85" s="30">
        <v>12.166679</v>
      </c>
      <c r="AS85" s="30">
        <v>12.166504</v>
      </c>
      <c r="AT85" s="30">
        <v>12.168464999999999</v>
      </c>
      <c r="AU85" s="30">
        <v>12.165015</v>
      </c>
      <c r="AV85" s="30">
        <v>12.170192999999999</v>
      </c>
      <c r="AW85" s="30">
        <v>12.166093</v>
      </c>
    </row>
    <row r="86" spans="1:49" ht="18" customHeight="1">
      <c r="A86" s="23"/>
      <c r="B86" s="12"/>
      <c r="C86" s="79" t="s">
        <v>225</v>
      </c>
      <c r="D86" s="35" t="s">
        <v>234</v>
      </c>
      <c r="E86" s="35"/>
      <c r="F86" s="29" t="s">
        <v>235</v>
      </c>
      <c r="G86" s="38">
        <v>12.13</v>
      </c>
      <c r="H86" s="38">
        <v>0.06</v>
      </c>
      <c r="I86" s="38">
        <v>0.06</v>
      </c>
      <c r="J86" s="38">
        <v>0.08</v>
      </c>
      <c r="K86" s="38">
        <v>0.06</v>
      </c>
      <c r="L86" s="30">
        <f t="shared" si="4"/>
        <v>12.200901</v>
      </c>
      <c r="M86" s="30">
        <f t="shared" si="5"/>
        <v>12.181202000000001</v>
      </c>
      <c r="N86" s="30">
        <f t="shared" si="6"/>
        <v>1.9698999999999245E-2</v>
      </c>
      <c r="O86" s="31">
        <f t="shared" si="7"/>
        <v>12.191879166666668</v>
      </c>
      <c r="P86" s="52"/>
      <c r="Q86" s="30">
        <v>12.192520999999999</v>
      </c>
      <c r="R86" s="30">
        <v>12.193707</v>
      </c>
      <c r="S86" s="30">
        <v>12.187181000000001</v>
      </c>
      <c r="T86" s="30">
        <v>12.196225</v>
      </c>
      <c r="U86" s="30">
        <v>12.195990999999999</v>
      </c>
      <c r="V86" s="30">
        <v>12.195283</v>
      </c>
      <c r="W86" s="30">
        <v>12.189026</v>
      </c>
      <c r="X86" s="30">
        <v>12.191525</v>
      </c>
      <c r="Y86" s="30">
        <v>12.200901</v>
      </c>
      <c r="Z86" s="30">
        <v>12.190526</v>
      </c>
      <c r="AA86" s="30">
        <v>12.190727000000001</v>
      </c>
      <c r="AB86" s="30">
        <v>12.181202000000001</v>
      </c>
      <c r="AC86" s="30">
        <v>12.188415000000001</v>
      </c>
      <c r="AD86" s="30">
        <v>12.193033</v>
      </c>
      <c r="AE86" s="30">
        <v>12.190072000000001</v>
      </c>
      <c r="AF86" s="30">
        <v>12.196738</v>
      </c>
      <c r="AG86" s="30">
        <v>12.195451</v>
      </c>
      <c r="AH86" s="30">
        <v>12.193629</v>
      </c>
      <c r="AI86" s="30">
        <v>12.183028999999999</v>
      </c>
      <c r="AJ86" s="30">
        <v>12.187647999999999</v>
      </c>
      <c r="AK86" s="30">
        <v>12.192788</v>
      </c>
      <c r="AL86" s="30">
        <v>12.195055</v>
      </c>
      <c r="AM86" s="30">
        <v>12.191813</v>
      </c>
      <c r="AN86" s="30">
        <v>12.199517</v>
      </c>
      <c r="AO86" s="30">
        <v>12.189076</v>
      </c>
      <c r="AP86" s="30">
        <v>12.183059</v>
      </c>
      <c r="AQ86" s="30">
        <v>12.194717000000001</v>
      </c>
      <c r="AR86" s="30">
        <v>12.191117999999999</v>
      </c>
      <c r="AS86" s="30">
        <v>12.193782000000001</v>
      </c>
      <c r="AT86" s="30">
        <v>12.19262</v>
      </c>
      <c r="AU86" s="30">
        <v>12.193246</v>
      </c>
      <c r="AV86" s="30">
        <v>12.196591</v>
      </c>
      <c r="AW86" s="30">
        <v>12.195790000000001</v>
      </c>
    </row>
    <row r="87" spans="1:49" ht="18" customHeight="1">
      <c r="A87" s="23"/>
      <c r="B87" s="12"/>
      <c r="C87" s="79" t="s">
        <v>225</v>
      </c>
      <c r="D87" s="35" t="s">
        <v>236</v>
      </c>
      <c r="E87" s="35"/>
      <c r="F87" s="29" t="s">
        <v>237</v>
      </c>
      <c r="G87" s="38">
        <v>12.13</v>
      </c>
      <c r="H87" s="38">
        <v>0.06</v>
      </c>
      <c r="I87" s="38">
        <v>0.06</v>
      </c>
      <c r="J87" s="38">
        <v>0.08</v>
      </c>
      <c r="K87" s="38">
        <v>0.06</v>
      </c>
      <c r="L87" s="30">
        <f t="shared" si="4"/>
        <v>12.19082</v>
      </c>
      <c r="M87" s="30">
        <f t="shared" si="5"/>
        <v>12.169164</v>
      </c>
      <c r="N87" s="30">
        <f t="shared" si="6"/>
        <v>2.165600000000012E-2</v>
      </c>
      <c r="O87" s="31">
        <f t="shared" si="7"/>
        <v>12.181335600000001</v>
      </c>
      <c r="P87" s="52"/>
      <c r="Q87" s="30">
        <v>12.186458</v>
      </c>
      <c r="R87" s="30">
        <v>12.183847999999999</v>
      </c>
      <c r="S87" s="30">
        <v>12.180821999999999</v>
      </c>
      <c r="T87" s="30">
        <v>12.178713999999999</v>
      </c>
      <c r="U87" s="30">
        <v>12.183377999999999</v>
      </c>
      <c r="V87" s="30">
        <v>12.185707000000001</v>
      </c>
      <c r="W87" s="30">
        <v>12.178528</v>
      </c>
      <c r="X87" s="30">
        <v>12.181222</v>
      </c>
      <c r="Y87" s="30">
        <v>12.188961000000001</v>
      </c>
      <c r="Z87" s="30">
        <v>12.181214000000001</v>
      </c>
      <c r="AA87" s="30">
        <v>12.181300999999999</v>
      </c>
      <c r="AB87" s="30">
        <v>12.169164</v>
      </c>
      <c r="AC87" s="30">
        <v>12.17952</v>
      </c>
      <c r="AD87" s="30">
        <v>12.183437</v>
      </c>
      <c r="AE87" s="30">
        <v>12.183097</v>
      </c>
      <c r="AF87" s="30">
        <v>12.19082</v>
      </c>
      <c r="AG87" s="30">
        <v>12.185508</v>
      </c>
      <c r="AH87" s="30">
        <v>12.182292</v>
      </c>
      <c r="AI87" s="30">
        <v>12.171227999999999</v>
      </c>
      <c r="AJ87" s="30">
        <v>12.180759999999999</v>
      </c>
      <c r="AK87" s="30">
        <v>12.183123999999999</v>
      </c>
      <c r="AL87" s="30">
        <v>12.181329</v>
      </c>
      <c r="AM87" s="30">
        <v>12.180097</v>
      </c>
      <c r="AN87" s="30">
        <v>12.182349</v>
      </c>
      <c r="AO87" s="30">
        <v>12.179888</v>
      </c>
      <c r="AP87" s="30">
        <v>12.173346</v>
      </c>
      <c r="AQ87" s="30">
        <v>12.183554000000001</v>
      </c>
      <c r="AR87" s="30">
        <v>12.177327</v>
      </c>
      <c r="AS87" s="30">
        <v>12.183621</v>
      </c>
      <c r="AT87" s="30">
        <v>12.179454</v>
      </c>
      <c r="AU87" s="30">
        <v>12.182074999999999</v>
      </c>
      <c r="AV87" s="30">
        <v>12.18563</v>
      </c>
      <c r="AW87" s="30">
        <v>12.185936</v>
      </c>
    </row>
    <row r="88" spans="1:49" ht="18" customHeight="1">
      <c r="A88" s="23"/>
      <c r="B88" s="12"/>
      <c r="C88" s="79" t="s">
        <v>225</v>
      </c>
      <c r="D88" s="35" t="s">
        <v>238</v>
      </c>
      <c r="E88" s="35"/>
      <c r="F88" s="29" t="s">
        <v>239</v>
      </c>
      <c r="G88" s="38">
        <v>12.13</v>
      </c>
      <c r="H88" s="38">
        <v>0.06</v>
      </c>
      <c r="I88" s="38">
        <v>0.06</v>
      </c>
      <c r="J88" s="38">
        <v>0.08</v>
      </c>
      <c r="K88" s="38">
        <v>0.06</v>
      </c>
      <c r="L88" s="30">
        <f t="shared" si="4"/>
        <v>12.185957</v>
      </c>
      <c r="M88" s="30">
        <f t="shared" si="5"/>
        <v>12.162697</v>
      </c>
      <c r="N88" s="30">
        <f t="shared" si="6"/>
        <v>2.3260000000000502E-2</v>
      </c>
      <c r="O88" s="31">
        <f t="shared" si="7"/>
        <v>12.177185333333332</v>
      </c>
      <c r="P88" s="52"/>
      <c r="Q88" s="30">
        <v>12.183164</v>
      </c>
      <c r="R88" s="30">
        <v>12.178724000000001</v>
      </c>
      <c r="S88" s="30">
        <v>12.175958</v>
      </c>
      <c r="T88" s="30">
        <v>12.171557</v>
      </c>
      <c r="U88" s="30">
        <v>12.177515</v>
      </c>
      <c r="V88" s="30">
        <v>12.180437</v>
      </c>
      <c r="W88" s="30">
        <v>12.174815000000001</v>
      </c>
      <c r="X88" s="30">
        <v>12.17708</v>
      </c>
      <c r="Y88" s="30">
        <v>12.185433</v>
      </c>
      <c r="Z88" s="30">
        <v>12.176311999999999</v>
      </c>
      <c r="AA88" s="30">
        <v>12.177139</v>
      </c>
      <c r="AB88" s="30">
        <v>12.162697</v>
      </c>
      <c r="AC88" s="30">
        <v>12.174194</v>
      </c>
      <c r="AD88" s="30">
        <v>12.177591</v>
      </c>
      <c r="AE88" s="30">
        <v>12.180301999999999</v>
      </c>
      <c r="AF88" s="30">
        <v>12.185957</v>
      </c>
      <c r="AG88" s="30">
        <v>12.181203</v>
      </c>
      <c r="AH88" s="30">
        <v>12.179107999999999</v>
      </c>
      <c r="AI88" s="30">
        <v>12.168585999999999</v>
      </c>
      <c r="AJ88" s="30">
        <v>12.176537</v>
      </c>
      <c r="AK88" s="30">
        <v>12.179065</v>
      </c>
      <c r="AL88" s="30">
        <v>12.178494000000001</v>
      </c>
      <c r="AM88" s="30">
        <v>12.177860000000001</v>
      </c>
      <c r="AN88" s="30">
        <v>12.179694</v>
      </c>
      <c r="AO88" s="30">
        <v>12.174947</v>
      </c>
      <c r="AP88" s="30">
        <v>12.170057</v>
      </c>
      <c r="AQ88" s="30">
        <v>12.180097</v>
      </c>
      <c r="AR88" s="30">
        <v>12.174628</v>
      </c>
      <c r="AS88" s="30">
        <v>12.180232</v>
      </c>
      <c r="AT88" s="30">
        <v>12.176176999999999</v>
      </c>
      <c r="AU88" s="30">
        <v>12.177097</v>
      </c>
      <c r="AV88" s="30">
        <v>12.184862000000001</v>
      </c>
      <c r="AW88" s="30">
        <v>12.182700000000001</v>
      </c>
    </row>
    <row r="89" spans="1:49" ht="18" customHeight="1">
      <c r="A89" s="23"/>
      <c r="B89" s="12"/>
      <c r="C89" s="79" t="s">
        <v>225</v>
      </c>
      <c r="D89" s="35" t="s">
        <v>240</v>
      </c>
      <c r="E89" s="35"/>
      <c r="F89" s="29" t="s">
        <v>241</v>
      </c>
      <c r="G89" s="38">
        <v>12.13</v>
      </c>
      <c r="H89" s="38">
        <v>0.06</v>
      </c>
      <c r="I89" s="38">
        <v>0.06</v>
      </c>
      <c r="J89" s="38">
        <v>0.08</v>
      </c>
      <c r="K89" s="38">
        <v>0.06</v>
      </c>
      <c r="L89" s="30">
        <f t="shared" si="4"/>
        <v>12.181592</v>
      </c>
      <c r="M89" s="30">
        <f t="shared" si="5"/>
        <v>12.156718</v>
      </c>
      <c r="N89" s="30">
        <f t="shared" si="6"/>
        <v>2.4874000000000507E-2</v>
      </c>
      <c r="O89" s="31">
        <f t="shared" si="7"/>
        <v>12.172376100000001</v>
      </c>
      <c r="P89" s="52"/>
      <c r="Q89" s="30">
        <v>12.178385</v>
      </c>
      <c r="R89" s="30">
        <v>12.171258</v>
      </c>
      <c r="S89" s="30">
        <v>12.168958999999999</v>
      </c>
      <c r="T89" s="30">
        <v>12.163632</v>
      </c>
      <c r="U89" s="30">
        <v>12.170135</v>
      </c>
      <c r="V89" s="30">
        <v>12.173477</v>
      </c>
      <c r="W89" s="30">
        <v>12.17033</v>
      </c>
      <c r="X89" s="30">
        <v>12.171438</v>
      </c>
      <c r="Y89" s="30">
        <v>12.181592</v>
      </c>
      <c r="Z89" s="30">
        <v>12.170213</v>
      </c>
      <c r="AA89" s="30">
        <v>12.172178000000001</v>
      </c>
      <c r="AB89" s="30">
        <v>12.156718</v>
      </c>
      <c r="AC89" s="30">
        <v>12.169326999999999</v>
      </c>
      <c r="AD89" s="30">
        <v>12.171870999999999</v>
      </c>
      <c r="AE89" s="30">
        <v>12.177728</v>
      </c>
      <c r="AF89" s="30">
        <v>12.178482000000001</v>
      </c>
      <c r="AG89" s="30">
        <v>12.178151</v>
      </c>
      <c r="AH89" s="30">
        <v>12.175628</v>
      </c>
      <c r="AI89" s="30">
        <v>12.167688999999999</v>
      </c>
      <c r="AJ89" s="30">
        <v>12.172383999999999</v>
      </c>
      <c r="AK89" s="30">
        <v>12.174308</v>
      </c>
      <c r="AL89" s="30">
        <v>12.173321</v>
      </c>
      <c r="AM89" s="30">
        <v>12.175447</v>
      </c>
      <c r="AN89" s="30">
        <v>12.176437999999999</v>
      </c>
      <c r="AO89" s="30">
        <v>12.16925</v>
      </c>
      <c r="AP89" s="30">
        <v>12.166623</v>
      </c>
      <c r="AQ89" s="30">
        <v>12.175227</v>
      </c>
      <c r="AR89" s="30">
        <v>12.17248</v>
      </c>
      <c r="AS89" s="30">
        <v>12.176550000000001</v>
      </c>
      <c r="AT89" s="30">
        <v>12.172064000000001</v>
      </c>
      <c r="AU89" s="30">
        <v>12.171765000000001</v>
      </c>
      <c r="AV89" s="30">
        <v>12.18341</v>
      </c>
      <c r="AW89" s="30">
        <v>12.178402999999999</v>
      </c>
    </row>
    <row r="90" spans="1:49" ht="18" customHeight="1">
      <c r="A90" s="23"/>
      <c r="B90" s="12"/>
      <c r="C90" s="79" t="s">
        <v>225</v>
      </c>
      <c r="D90" s="35" t="s">
        <v>242</v>
      </c>
      <c r="E90" s="35"/>
      <c r="F90" s="29" t="s">
        <v>243</v>
      </c>
      <c r="G90" s="38">
        <v>12.13</v>
      </c>
      <c r="H90" s="38">
        <v>0.06</v>
      </c>
      <c r="I90" s="38">
        <v>0.06</v>
      </c>
      <c r="J90" s="38">
        <v>0.08</v>
      </c>
      <c r="K90" s="38">
        <v>0.06</v>
      </c>
      <c r="L90" s="30">
        <f t="shared" si="4"/>
        <v>12.186443000000001</v>
      </c>
      <c r="M90" s="30">
        <f t="shared" si="5"/>
        <v>12.160665</v>
      </c>
      <c r="N90" s="30">
        <f t="shared" si="6"/>
        <v>2.5778000000000745E-2</v>
      </c>
      <c r="O90" s="31">
        <f t="shared" si="7"/>
        <v>12.174169366666664</v>
      </c>
      <c r="P90" s="52"/>
      <c r="Q90" s="30">
        <v>12.178762000000001</v>
      </c>
      <c r="R90" s="30">
        <v>12.161082</v>
      </c>
      <c r="S90" s="30">
        <v>12.165823</v>
      </c>
      <c r="T90" s="30">
        <v>12.165512</v>
      </c>
      <c r="U90" s="30">
        <v>12.164122000000001</v>
      </c>
      <c r="V90" s="30">
        <v>12.167885999999999</v>
      </c>
      <c r="W90" s="30">
        <v>12.176818000000001</v>
      </c>
      <c r="X90" s="30">
        <v>12.171519</v>
      </c>
      <c r="Y90" s="30">
        <v>12.179556</v>
      </c>
      <c r="Z90" s="30">
        <v>12.169252999999999</v>
      </c>
      <c r="AA90" s="30">
        <v>12.17694</v>
      </c>
      <c r="AB90" s="30">
        <v>12.165450999999999</v>
      </c>
      <c r="AC90" s="30">
        <v>12.170458999999999</v>
      </c>
      <c r="AD90" s="30">
        <v>12.171465</v>
      </c>
      <c r="AE90" s="30">
        <v>12.184077</v>
      </c>
      <c r="AF90" s="30">
        <v>12.180559000000001</v>
      </c>
      <c r="AG90" s="30">
        <v>12.178895000000001</v>
      </c>
      <c r="AH90" s="30">
        <v>12.177956</v>
      </c>
      <c r="AI90" s="30">
        <v>12.185722999999999</v>
      </c>
      <c r="AJ90" s="30">
        <v>12.178466</v>
      </c>
      <c r="AK90" s="30">
        <v>12.170907</v>
      </c>
      <c r="AL90" s="30">
        <v>12.169788</v>
      </c>
      <c r="AM90" s="30">
        <v>12.181813</v>
      </c>
      <c r="AN90" s="30">
        <v>12.180417</v>
      </c>
      <c r="AO90" s="30">
        <v>12.160665</v>
      </c>
      <c r="AP90" s="30">
        <v>12.179567</v>
      </c>
      <c r="AQ90" s="30">
        <v>12.171067000000001</v>
      </c>
      <c r="AR90" s="30">
        <v>12.186443000000001</v>
      </c>
      <c r="AS90" s="30">
        <v>12.178610000000001</v>
      </c>
      <c r="AT90" s="30">
        <v>12.17548</v>
      </c>
      <c r="AU90" s="30">
        <v>12.172237000000001</v>
      </c>
      <c r="AV90" s="30">
        <v>12.188503000000001</v>
      </c>
      <c r="AW90" s="30">
        <v>12.177683</v>
      </c>
    </row>
    <row r="91" spans="1:49" ht="18" customHeight="1">
      <c r="A91" s="23"/>
      <c r="B91" s="12"/>
      <c r="C91" s="79" t="s">
        <v>225</v>
      </c>
      <c r="D91" s="35" t="s">
        <v>244</v>
      </c>
      <c r="E91" s="35"/>
      <c r="F91" s="29" t="s">
        <v>245</v>
      </c>
      <c r="G91" s="38">
        <v>12.13</v>
      </c>
      <c r="H91" s="38">
        <v>0.06</v>
      </c>
      <c r="I91" s="38">
        <v>0.06</v>
      </c>
      <c r="J91" s="38">
        <v>0.08</v>
      </c>
      <c r="K91" s="38">
        <v>0.06</v>
      </c>
      <c r="L91" s="30">
        <f t="shared" si="4"/>
        <v>12.203474</v>
      </c>
      <c r="M91" s="30">
        <f t="shared" si="5"/>
        <v>12.181516999999999</v>
      </c>
      <c r="N91" s="30">
        <f t="shared" si="6"/>
        <v>2.1957000000000448E-2</v>
      </c>
      <c r="O91" s="31">
        <f t="shared" si="7"/>
        <v>12.191951933333334</v>
      </c>
      <c r="P91" s="52"/>
      <c r="Q91" s="30">
        <v>12.191307</v>
      </c>
      <c r="R91" s="30">
        <v>12.181516999999999</v>
      </c>
      <c r="S91" s="30">
        <v>12.185746</v>
      </c>
      <c r="T91" s="30">
        <v>12.189158000000001</v>
      </c>
      <c r="U91" s="30">
        <v>12.186977000000001</v>
      </c>
      <c r="V91" s="30">
        <v>12.186906</v>
      </c>
      <c r="W91" s="30">
        <v>12.195394</v>
      </c>
      <c r="X91" s="30">
        <v>12.191618999999999</v>
      </c>
      <c r="Y91" s="30">
        <v>12.194267999999999</v>
      </c>
      <c r="Z91" s="30">
        <v>12.188484000000001</v>
      </c>
      <c r="AA91" s="30">
        <v>12.192981</v>
      </c>
      <c r="AB91" s="30">
        <v>12.194910999999999</v>
      </c>
      <c r="AC91" s="30">
        <v>12.192188</v>
      </c>
      <c r="AD91" s="30">
        <v>12.189406</v>
      </c>
      <c r="AE91" s="30">
        <v>12.19509</v>
      </c>
      <c r="AF91" s="30">
        <v>12.190887999999999</v>
      </c>
      <c r="AG91" s="30">
        <v>12.193153000000001</v>
      </c>
      <c r="AH91" s="30">
        <v>12.192698</v>
      </c>
      <c r="AI91" s="30">
        <v>12.203474</v>
      </c>
      <c r="AJ91" s="30">
        <v>12.192933999999999</v>
      </c>
      <c r="AK91" s="30">
        <v>12.191046999999999</v>
      </c>
      <c r="AL91" s="30">
        <v>12.188521</v>
      </c>
      <c r="AM91" s="30">
        <v>12.197601000000001</v>
      </c>
      <c r="AN91" s="30">
        <v>12.197502</v>
      </c>
      <c r="AO91" s="30">
        <v>12.183982</v>
      </c>
      <c r="AP91" s="30">
        <v>12.194005000000001</v>
      </c>
      <c r="AQ91" s="30">
        <v>12.189982000000001</v>
      </c>
      <c r="AR91" s="30">
        <v>12.200556000000001</v>
      </c>
      <c r="AS91" s="30">
        <v>12.192512000000001</v>
      </c>
      <c r="AT91" s="30">
        <v>12.193751000000001</v>
      </c>
      <c r="AU91" s="30">
        <v>12.190023</v>
      </c>
      <c r="AV91" s="30">
        <v>12.196857</v>
      </c>
      <c r="AW91" s="30">
        <v>12.194392000000001</v>
      </c>
    </row>
    <row r="92" spans="1:49" ht="18" customHeight="1">
      <c r="A92" s="23"/>
      <c r="B92" s="12"/>
      <c r="C92" s="79" t="s">
        <v>225</v>
      </c>
      <c r="D92" s="35" t="s">
        <v>246</v>
      </c>
      <c r="E92" s="35"/>
      <c r="F92" s="29" t="s">
        <v>247</v>
      </c>
      <c r="G92" s="38">
        <v>12.13</v>
      </c>
      <c r="H92" s="38">
        <v>0.06</v>
      </c>
      <c r="I92" s="38">
        <v>0.06</v>
      </c>
      <c r="J92" s="38">
        <v>0.08</v>
      </c>
      <c r="K92" s="38">
        <v>0.06</v>
      </c>
      <c r="L92" s="30">
        <f t="shared" si="4"/>
        <v>12.207027999999999</v>
      </c>
      <c r="M92" s="30">
        <f t="shared" si="5"/>
        <v>12.176072</v>
      </c>
      <c r="N92" s="30">
        <f t="shared" si="6"/>
        <v>3.0955999999999761E-2</v>
      </c>
      <c r="O92" s="31">
        <f t="shared" si="7"/>
        <v>12.189569566666664</v>
      </c>
      <c r="P92" s="52"/>
      <c r="Q92" s="30">
        <v>12.185650000000001</v>
      </c>
      <c r="R92" s="30">
        <v>12.176072</v>
      </c>
      <c r="S92" s="30">
        <v>12.179112</v>
      </c>
      <c r="T92" s="30">
        <v>12.193899999999999</v>
      </c>
      <c r="U92" s="30">
        <v>12.185110999999999</v>
      </c>
      <c r="V92" s="30">
        <v>12.180156</v>
      </c>
      <c r="W92" s="30">
        <v>12.195371</v>
      </c>
      <c r="X92" s="30">
        <v>12.188620999999999</v>
      </c>
      <c r="Y92" s="30">
        <v>12.190199</v>
      </c>
      <c r="Z92" s="30">
        <v>12.184279</v>
      </c>
      <c r="AA92" s="30">
        <v>12.189944000000001</v>
      </c>
      <c r="AB92" s="30">
        <v>12.197983000000001</v>
      </c>
      <c r="AC92" s="30">
        <v>12.188743000000001</v>
      </c>
      <c r="AD92" s="30">
        <v>12.185845</v>
      </c>
      <c r="AE92" s="30">
        <v>12.190778</v>
      </c>
      <c r="AF92" s="30">
        <v>12.185955999999999</v>
      </c>
      <c r="AG92" s="30">
        <v>12.191318000000001</v>
      </c>
      <c r="AH92" s="30">
        <v>12.187988000000001</v>
      </c>
      <c r="AI92" s="30">
        <v>12.207027999999999</v>
      </c>
      <c r="AJ92" s="30">
        <v>12.188604</v>
      </c>
      <c r="AK92" s="30">
        <v>12.186866999999999</v>
      </c>
      <c r="AL92" s="30">
        <v>12.186835</v>
      </c>
      <c r="AM92" s="30">
        <v>12.195233999999999</v>
      </c>
      <c r="AN92" s="30">
        <v>12.199819</v>
      </c>
      <c r="AO92" s="30">
        <v>12.17909</v>
      </c>
      <c r="AP92" s="30">
        <v>12.193206</v>
      </c>
      <c r="AQ92" s="30">
        <v>12.185604</v>
      </c>
      <c r="AR92" s="30">
        <v>12.202906</v>
      </c>
      <c r="AS92" s="30">
        <v>12.189477999999999</v>
      </c>
      <c r="AT92" s="30">
        <v>12.19539</v>
      </c>
      <c r="AU92" s="30">
        <v>12.19028</v>
      </c>
      <c r="AV92" s="30">
        <v>12.195398000000001</v>
      </c>
      <c r="AW92" s="30">
        <v>12.189178</v>
      </c>
    </row>
    <row r="93" spans="1:49" ht="18" customHeight="1">
      <c r="A93" s="23"/>
      <c r="B93" s="12"/>
      <c r="C93" s="79" t="s">
        <v>225</v>
      </c>
      <c r="D93" s="35" t="s">
        <v>248</v>
      </c>
      <c r="E93" s="35"/>
      <c r="F93" s="29" t="s">
        <v>249</v>
      </c>
      <c r="G93" s="38">
        <v>12.13</v>
      </c>
      <c r="H93" s="38">
        <v>0.06</v>
      </c>
      <c r="I93" s="38">
        <v>0.06</v>
      </c>
      <c r="J93" s="38">
        <v>0.08</v>
      </c>
      <c r="K93" s="38">
        <v>0.06</v>
      </c>
      <c r="L93" s="30">
        <f t="shared" si="4"/>
        <v>12.178395</v>
      </c>
      <c r="M93" s="30">
        <f t="shared" si="5"/>
        <v>12.15249</v>
      </c>
      <c r="N93" s="30">
        <f t="shared" si="6"/>
        <v>2.5904999999999845E-2</v>
      </c>
      <c r="O93" s="31">
        <f t="shared" si="7"/>
        <v>12.161480300000001</v>
      </c>
      <c r="P93" s="52"/>
      <c r="Q93" s="30">
        <v>12.156105999999999</v>
      </c>
      <c r="R93" s="30">
        <v>12.153941</v>
      </c>
      <c r="S93" s="30">
        <v>12.153397</v>
      </c>
      <c r="T93" s="30">
        <v>12.178395</v>
      </c>
      <c r="U93" s="30">
        <v>12.158125999999999</v>
      </c>
      <c r="V93" s="30">
        <v>12.15249</v>
      </c>
      <c r="W93" s="30">
        <v>12.16179</v>
      </c>
      <c r="X93" s="30">
        <v>12.158522</v>
      </c>
      <c r="Y93" s="30">
        <v>12.161096000000001</v>
      </c>
      <c r="Z93" s="30">
        <v>12.156746999999999</v>
      </c>
      <c r="AA93" s="30">
        <v>12.160729999999999</v>
      </c>
      <c r="AB93" s="30">
        <v>12.158587000000001</v>
      </c>
      <c r="AC93" s="30">
        <v>12.159777999999999</v>
      </c>
      <c r="AD93" s="30">
        <v>12.157420999999999</v>
      </c>
      <c r="AE93" s="30">
        <v>12.160550000000001</v>
      </c>
      <c r="AF93" s="30">
        <v>12.162595</v>
      </c>
      <c r="AG93" s="30">
        <v>12.163608999999999</v>
      </c>
      <c r="AH93" s="30">
        <v>12.155659999999999</v>
      </c>
      <c r="AI93" s="30">
        <v>12.170814999999999</v>
      </c>
      <c r="AJ93" s="30">
        <v>12.157309</v>
      </c>
      <c r="AK93" s="30">
        <v>12.159929999999999</v>
      </c>
      <c r="AL93" s="30">
        <v>12.168682</v>
      </c>
      <c r="AM93" s="30">
        <v>12.165953</v>
      </c>
      <c r="AN93" s="30">
        <v>12.170242</v>
      </c>
      <c r="AO93" s="30">
        <v>12.153528</v>
      </c>
      <c r="AP93" s="30">
        <v>12.168059</v>
      </c>
      <c r="AQ93" s="30">
        <v>12.161089</v>
      </c>
      <c r="AR93" s="30">
        <v>12.170533000000001</v>
      </c>
      <c r="AS93" s="30">
        <v>12.162559999999999</v>
      </c>
      <c r="AT93" s="30">
        <v>12.166169</v>
      </c>
      <c r="AU93" s="30">
        <v>12.164609</v>
      </c>
      <c r="AV93" s="30">
        <v>12.165749</v>
      </c>
      <c r="AW93" s="30">
        <v>12.157769999999999</v>
      </c>
    </row>
    <row r="94" spans="1:49" ht="18" customHeight="1">
      <c r="A94" s="23"/>
      <c r="B94" s="12"/>
      <c r="C94" s="79" t="s">
        <v>225</v>
      </c>
      <c r="D94" s="35" t="s">
        <v>250</v>
      </c>
      <c r="E94" s="35"/>
      <c r="F94" s="29" t="s">
        <v>251</v>
      </c>
      <c r="G94" s="38">
        <v>12.13</v>
      </c>
      <c r="H94" s="38">
        <v>0.06</v>
      </c>
      <c r="I94" s="38">
        <v>0.06</v>
      </c>
      <c r="J94" s="38">
        <v>0.08</v>
      </c>
      <c r="K94" s="38">
        <v>0.06</v>
      </c>
      <c r="L94" s="30">
        <f t="shared" si="4"/>
        <v>12.184701</v>
      </c>
      <c r="M94" s="30">
        <f t="shared" si="5"/>
        <v>12.154901000000001</v>
      </c>
      <c r="N94" s="30">
        <f t="shared" si="6"/>
        <v>2.9799999999999827E-2</v>
      </c>
      <c r="O94" s="31">
        <f t="shared" si="7"/>
        <v>12.163143066666667</v>
      </c>
      <c r="P94" s="52"/>
      <c r="Q94" s="30">
        <v>12.16085</v>
      </c>
      <c r="R94" s="30">
        <v>12.165403</v>
      </c>
      <c r="S94" s="30">
        <v>12.163207999999999</v>
      </c>
      <c r="T94" s="30">
        <v>12.184701</v>
      </c>
      <c r="U94" s="30">
        <v>12.165699999999999</v>
      </c>
      <c r="V94" s="30">
        <v>12.162081000000001</v>
      </c>
      <c r="W94" s="30">
        <v>12.158849</v>
      </c>
      <c r="X94" s="30">
        <v>12.161440000000001</v>
      </c>
      <c r="Y94" s="30">
        <v>12.166475</v>
      </c>
      <c r="Z94" s="30">
        <v>12.164566000000001</v>
      </c>
      <c r="AA94" s="30">
        <v>12.159077999999999</v>
      </c>
      <c r="AB94" s="30">
        <v>12.162694999999999</v>
      </c>
      <c r="AC94" s="30">
        <v>12.162376999999999</v>
      </c>
      <c r="AD94" s="30">
        <v>12.161059</v>
      </c>
      <c r="AE94" s="30">
        <v>12.157873</v>
      </c>
      <c r="AF94" s="30">
        <v>12.168787</v>
      </c>
      <c r="AG94" s="30">
        <v>12.165112000000001</v>
      </c>
      <c r="AH94" s="30">
        <v>12.15611</v>
      </c>
      <c r="AI94" s="30">
        <v>12.154901000000001</v>
      </c>
      <c r="AJ94" s="30">
        <v>12.154997</v>
      </c>
      <c r="AK94" s="30">
        <v>12.163817999999999</v>
      </c>
      <c r="AL94" s="30">
        <v>12.176752</v>
      </c>
      <c r="AM94" s="30">
        <v>12.160147</v>
      </c>
      <c r="AN94" s="30">
        <v>12.164403</v>
      </c>
      <c r="AO94" s="30">
        <v>12.160741</v>
      </c>
      <c r="AP94" s="30">
        <v>12.163218000000001</v>
      </c>
      <c r="AQ94" s="30">
        <v>12.168918</v>
      </c>
      <c r="AR94" s="30">
        <v>12.158336</v>
      </c>
      <c r="AS94" s="30">
        <v>12.16295</v>
      </c>
      <c r="AT94" s="30">
        <v>12.158747</v>
      </c>
      <c r="AU94" s="30">
        <v>12.164016999999999</v>
      </c>
      <c r="AV94" s="30">
        <v>12.162772</v>
      </c>
      <c r="AW94" s="30">
        <v>12.157748</v>
      </c>
    </row>
    <row r="95" spans="1:49" ht="18" customHeight="1">
      <c r="A95" s="23"/>
      <c r="B95" s="12"/>
      <c r="C95" s="79" t="s">
        <v>225</v>
      </c>
      <c r="D95" s="35" t="s">
        <v>252</v>
      </c>
      <c r="E95" s="35"/>
      <c r="F95" s="29" t="s">
        <v>253</v>
      </c>
      <c r="G95" s="38">
        <v>12.13</v>
      </c>
      <c r="H95" s="38">
        <v>0.06</v>
      </c>
      <c r="I95" s="38">
        <v>0.06</v>
      </c>
      <c r="J95" s="38">
        <v>0.08</v>
      </c>
      <c r="K95" s="38">
        <v>0.06</v>
      </c>
      <c r="L95" s="30">
        <f t="shared" si="4"/>
        <v>12.186178</v>
      </c>
      <c r="M95" s="30">
        <f t="shared" si="5"/>
        <v>12.173693999999999</v>
      </c>
      <c r="N95" s="30">
        <f t="shared" si="6"/>
        <v>1.2484000000000606E-2</v>
      </c>
      <c r="O95" s="31">
        <f t="shared" si="7"/>
        <v>12.178551433333331</v>
      </c>
      <c r="P95" s="52"/>
      <c r="Q95" s="30">
        <v>12.178461</v>
      </c>
      <c r="R95" s="30">
        <v>12.178183000000001</v>
      </c>
      <c r="S95" s="30">
        <v>12.177046000000001</v>
      </c>
      <c r="T95" s="30">
        <v>12.186178</v>
      </c>
      <c r="U95" s="30">
        <v>12.177973</v>
      </c>
      <c r="V95" s="30">
        <v>12.180588</v>
      </c>
      <c r="W95" s="30">
        <v>12.176326</v>
      </c>
      <c r="X95" s="30">
        <v>12.177821</v>
      </c>
      <c r="Y95" s="30">
        <v>12.182556</v>
      </c>
      <c r="Z95" s="30">
        <v>12.179072</v>
      </c>
      <c r="AA95" s="30">
        <v>12.177096000000001</v>
      </c>
      <c r="AB95" s="30">
        <v>12.176030000000001</v>
      </c>
      <c r="AC95" s="30">
        <v>12.178395999999999</v>
      </c>
      <c r="AD95" s="30">
        <v>12.177334</v>
      </c>
      <c r="AE95" s="30">
        <v>12.178136</v>
      </c>
      <c r="AF95" s="30">
        <v>12.184094</v>
      </c>
      <c r="AG95" s="30">
        <v>12.180725000000001</v>
      </c>
      <c r="AH95" s="30">
        <v>12.174110000000001</v>
      </c>
      <c r="AI95" s="30">
        <v>12.173693999999999</v>
      </c>
      <c r="AJ95" s="30">
        <v>12.175572000000001</v>
      </c>
      <c r="AK95" s="30">
        <v>12.18051</v>
      </c>
      <c r="AL95" s="30">
        <v>12.183939000000001</v>
      </c>
      <c r="AM95" s="30">
        <v>12.178687</v>
      </c>
      <c r="AN95" s="30">
        <v>12.179494999999999</v>
      </c>
      <c r="AO95" s="30">
        <v>12.176136</v>
      </c>
      <c r="AP95" s="30">
        <v>12.176307</v>
      </c>
      <c r="AQ95" s="30">
        <v>12.182287000000001</v>
      </c>
      <c r="AR95" s="30">
        <v>12.177109</v>
      </c>
      <c r="AS95" s="30">
        <v>12.177635</v>
      </c>
      <c r="AT95" s="30">
        <v>12.175046999999999</v>
      </c>
      <c r="AU95" s="30">
        <v>12.177927</v>
      </c>
      <c r="AV95" s="30">
        <v>12.178713999999999</v>
      </c>
      <c r="AW95" s="30">
        <v>12.178976</v>
      </c>
    </row>
    <row r="96" spans="1:49" ht="18" customHeight="1">
      <c r="A96" s="23"/>
      <c r="B96" s="12"/>
      <c r="C96" s="79" t="s">
        <v>225</v>
      </c>
      <c r="D96" s="35" t="s">
        <v>254</v>
      </c>
      <c r="E96" s="35"/>
      <c r="F96" s="29" t="s">
        <v>255</v>
      </c>
      <c r="G96" s="38">
        <v>12.13</v>
      </c>
      <c r="H96" s="38">
        <v>0.06</v>
      </c>
      <c r="I96" s="38">
        <v>0.06</v>
      </c>
      <c r="J96" s="38">
        <v>0.08</v>
      </c>
      <c r="K96" s="38">
        <v>0.06</v>
      </c>
      <c r="L96" s="30">
        <f t="shared" si="4"/>
        <v>12.183406</v>
      </c>
      <c r="M96" s="30">
        <f t="shared" si="5"/>
        <v>12.173434</v>
      </c>
      <c r="N96" s="30">
        <f t="shared" si="6"/>
        <v>9.9719999999994258E-3</v>
      </c>
      <c r="O96" s="31">
        <f t="shared" si="7"/>
        <v>12.177714600000002</v>
      </c>
      <c r="P96" s="52"/>
      <c r="Q96" s="30">
        <v>12.179841</v>
      </c>
      <c r="R96" s="30">
        <v>12.178393</v>
      </c>
      <c r="S96" s="30">
        <v>12.176542</v>
      </c>
      <c r="T96" s="30">
        <v>12.177015000000001</v>
      </c>
      <c r="U96" s="30">
        <v>12.175803999999999</v>
      </c>
      <c r="V96" s="30">
        <v>12.178293999999999</v>
      </c>
      <c r="W96" s="30">
        <v>12.177842</v>
      </c>
      <c r="X96" s="30">
        <v>12.176147</v>
      </c>
      <c r="Y96" s="30">
        <v>12.181519</v>
      </c>
      <c r="Z96" s="30">
        <v>12.177951</v>
      </c>
      <c r="AA96" s="30">
        <v>12.177727000000001</v>
      </c>
      <c r="AB96" s="30">
        <v>12.173496999999999</v>
      </c>
      <c r="AC96" s="30">
        <v>12.175792</v>
      </c>
      <c r="AD96" s="30">
        <v>12.177830999999999</v>
      </c>
      <c r="AE96" s="30">
        <v>12.181217</v>
      </c>
      <c r="AF96" s="30">
        <v>12.183406</v>
      </c>
      <c r="AG96" s="30">
        <v>12.181559</v>
      </c>
      <c r="AH96" s="30">
        <v>12.176263000000001</v>
      </c>
      <c r="AI96" s="30">
        <v>12.174405999999999</v>
      </c>
      <c r="AJ96" s="30">
        <v>12.173434</v>
      </c>
      <c r="AK96" s="30">
        <v>12.179760999999999</v>
      </c>
      <c r="AL96" s="30">
        <v>12.178944</v>
      </c>
      <c r="AM96" s="30">
        <v>12.177947</v>
      </c>
      <c r="AN96" s="30">
        <v>12.18144</v>
      </c>
      <c r="AO96" s="30">
        <v>12.173902</v>
      </c>
      <c r="AP96" s="30">
        <v>12.173589</v>
      </c>
      <c r="AQ96" s="30">
        <v>12.179952</v>
      </c>
      <c r="AR96" s="30">
        <v>12.178297000000001</v>
      </c>
      <c r="AS96" s="30">
        <v>12.176030000000001</v>
      </c>
      <c r="AT96" s="30">
        <v>12.177096000000001</v>
      </c>
      <c r="AU96" s="30">
        <v>12.179494999999999</v>
      </c>
      <c r="AV96" s="30">
        <v>12.180171</v>
      </c>
      <c r="AW96" s="30">
        <v>12.179016000000001</v>
      </c>
    </row>
    <row r="97" spans="1:49" ht="18" customHeight="1">
      <c r="A97" s="23"/>
      <c r="B97" s="12"/>
      <c r="C97" s="79" t="s">
        <v>225</v>
      </c>
      <c r="D97" s="35" t="s">
        <v>256</v>
      </c>
      <c r="E97" s="35"/>
      <c r="F97" s="29" t="s">
        <v>257</v>
      </c>
      <c r="G97" s="38">
        <v>12.13</v>
      </c>
      <c r="H97" s="38">
        <v>0.06</v>
      </c>
      <c r="I97" s="38">
        <v>0.06</v>
      </c>
      <c r="J97" s="38">
        <v>0.08</v>
      </c>
      <c r="K97" s="38">
        <v>0.06</v>
      </c>
      <c r="L97" s="30">
        <f t="shared" si="4"/>
        <v>12.185532</v>
      </c>
      <c r="M97" s="30">
        <f t="shared" si="5"/>
        <v>12.164261</v>
      </c>
      <c r="N97" s="30">
        <f t="shared" si="6"/>
        <v>2.1271000000000484E-2</v>
      </c>
      <c r="O97" s="31">
        <f t="shared" si="7"/>
        <v>12.177946433333336</v>
      </c>
      <c r="P97" s="52"/>
      <c r="Q97" s="30">
        <v>12.178768</v>
      </c>
      <c r="R97" s="30">
        <v>12.175587999999999</v>
      </c>
      <c r="S97" s="30">
        <v>12.174187999999999</v>
      </c>
      <c r="T97" s="30">
        <v>12.164261</v>
      </c>
      <c r="U97" s="30">
        <v>12.177092999999999</v>
      </c>
      <c r="V97" s="30">
        <v>12.180037</v>
      </c>
      <c r="W97" s="30">
        <v>12.177637000000001</v>
      </c>
      <c r="X97" s="30">
        <v>12.176945</v>
      </c>
      <c r="Y97" s="30">
        <v>12.185305</v>
      </c>
      <c r="Z97" s="30">
        <v>12.176181</v>
      </c>
      <c r="AA97" s="30">
        <v>12.178094</v>
      </c>
      <c r="AB97" s="30">
        <v>12.17094</v>
      </c>
      <c r="AC97" s="30">
        <v>12.174079000000001</v>
      </c>
      <c r="AD97" s="30">
        <v>12.176767999999999</v>
      </c>
      <c r="AE97" s="30">
        <v>12.181678</v>
      </c>
      <c r="AF97" s="30">
        <v>12.185532</v>
      </c>
      <c r="AG97" s="30">
        <v>12.183697</v>
      </c>
      <c r="AH97" s="30">
        <v>12.179962</v>
      </c>
      <c r="AI97" s="30">
        <v>12.179087000000001</v>
      </c>
      <c r="AJ97" s="30">
        <v>12.176599</v>
      </c>
      <c r="AK97" s="30">
        <v>12.183298000000001</v>
      </c>
      <c r="AL97" s="30">
        <v>12.174932</v>
      </c>
      <c r="AM97" s="30">
        <v>12.181963</v>
      </c>
      <c r="AN97" s="30">
        <v>12.183852</v>
      </c>
      <c r="AO97" s="30">
        <v>12.177956999999999</v>
      </c>
      <c r="AP97" s="30">
        <v>12.168303</v>
      </c>
      <c r="AQ97" s="30">
        <v>12.177839000000001</v>
      </c>
      <c r="AR97" s="30">
        <v>12.179163000000001</v>
      </c>
      <c r="AS97" s="30">
        <v>12.178879</v>
      </c>
      <c r="AT97" s="30">
        <v>12.179767999999999</v>
      </c>
      <c r="AU97" s="30">
        <v>12.177363</v>
      </c>
      <c r="AV97" s="30">
        <v>12.183382</v>
      </c>
      <c r="AW97" s="30">
        <v>12.187436999999999</v>
      </c>
    </row>
    <row r="98" spans="1:49" ht="18" customHeight="1">
      <c r="A98" s="23"/>
      <c r="B98" s="12"/>
      <c r="C98" s="79" t="s">
        <v>225</v>
      </c>
      <c r="D98" s="35" t="s">
        <v>258</v>
      </c>
      <c r="E98" s="35"/>
      <c r="F98" s="29" t="s">
        <v>259</v>
      </c>
      <c r="G98" s="38">
        <v>14.13</v>
      </c>
      <c r="H98" s="38">
        <v>0.05</v>
      </c>
      <c r="I98" s="38">
        <v>0.05</v>
      </c>
      <c r="J98" s="38">
        <v>0.08</v>
      </c>
      <c r="K98" s="38">
        <v>0.05</v>
      </c>
      <c r="L98" s="30">
        <f t="shared" si="4"/>
        <v>14.141088</v>
      </c>
      <c r="M98" s="30">
        <f t="shared" si="5"/>
        <v>14.110253</v>
      </c>
      <c r="N98" s="30">
        <f t="shared" si="6"/>
        <v>3.0834999999999724E-2</v>
      </c>
      <c r="O98" s="31">
        <f t="shared" si="7"/>
        <v>14.126753533333334</v>
      </c>
      <c r="P98" s="52"/>
      <c r="Q98" s="30">
        <v>14.11403</v>
      </c>
      <c r="R98" s="30">
        <v>14.117227</v>
      </c>
      <c r="S98" s="30">
        <v>14.123474999999999</v>
      </c>
      <c r="T98" s="30">
        <v>14.138054</v>
      </c>
      <c r="U98" s="30">
        <v>14.124998</v>
      </c>
      <c r="V98" s="30">
        <v>14.117723</v>
      </c>
      <c r="W98" s="30">
        <v>14.130538</v>
      </c>
      <c r="X98" s="30">
        <v>14.127852000000001</v>
      </c>
      <c r="Y98" s="30">
        <v>14.124954000000001</v>
      </c>
      <c r="Z98" s="30">
        <v>14.126061</v>
      </c>
      <c r="AA98" s="30">
        <v>14.123466000000001</v>
      </c>
      <c r="AB98" s="30">
        <v>14.137931999999999</v>
      </c>
      <c r="AC98" s="30">
        <v>14.125994</v>
      </c>
      <c r="AD98" s="30">
        <v>14.119819</v>
      </c>
      <c r="AE98" s="30">
        <v>14.122457000000001</v>
      </c>
      <c r="AF98" s="30">
        <v>14.130464</v>
      </c>
      <c r="AG98" s="30">
        <v>14.132168</v>
      </c>
      <c r="AH98" s="30">
        <v>14.114127999999999</v>
      </c>
      <c r="AI98" s="30">
        <v>14.128162</v>
      </c>
      <c r="AJ98" s="30">
        <v>14.110253</v>
      </c>
      <c r="AK98" s="30">
        <v>14.133379</v>
      </c>
      <c r="AL98" s="30">
        <v>14.141088</v>
      </c>
      <c r="AM98" s="30">
        <v>14.133089</v>
      </c>
      <c r="AN98" s="30">
        <v>14.134843999999999</v>
      </c>
      <c r="AO98" s="30">
        <v>14.130148999999999</v>
      </c>
      <c r="AP98" s="30">
        <v>14.129166</v>
      </c>
      <c r="AQ98" s="30">
        <v>14.128213000000001</v>
      </c>
      <c r="AR98" s="30">
        <v>14.128166999999999</v>
      </c>
      <c r="AS98" s="30">
        <v>14.128378</v>
      </c>
      <c r="AT98" s="30">
        <v>14.126378000000001</v>
      </c>
      <c r="AU98" s="30">
        <v>14.124181</v>
      </c>
      <c r="AV98" s="30">
        <v>14.124803999999999</v>
      </c>
      <c r="AW98" s="30">
        <v>14.117725</v>
      </c>
    </row>
    <row r="99" spans="1:49" ht="18" customHeight="1">
      <c r="A99" s="23"/>
      <c r="B99" s="12"/>
      <c r="C99" s="79" t="s">
        <v>225</v>
      </c>
      <c r="D99" s="35" t="s">
        <v>260</v>
      </c>
      <c r="E99" s="35"/>
      <c r="F99" s="29" t="s">
        <v>261</v>
      </c>
      <c r="G99" s="38">
        <v>14.13</v>
      </c>
      <c r="H99" s="38">
        <v>0.05</v>
      </c>
      <c r="I99" s="38">
        <v>0.05</v>
      </c>
      <c r="J99" s="38">
        <v>0.08</v>
      </c>
      <c r="K99" s="38">
        <v>0.05</v>
      </c>
      <c r="L99" s="30">
        <f t="shared" si="4"/>
        <v>14.134105999999999</v>
      </c>
      <c r="M99" s="30">
        <f t="shared" si="5"/>
        <v>14.106211</v>
      </c>
      <c r="N99" s="30">
        <f t="shared" si="6"/>
        <v>2.7894999999999115E-2</v>
      </c>
      <c r="O99" s="31">
        <f t="shared" si="7"/>
        <v>14.122403833333331</v>
      </c>
      <c r="P99" s="52"/>
      <c r="Q99" s="30">
        <v>14.114355</v>
      </c>
      <c r="R99" s="30">
        <v>14.117832</v>
      </c>
      <c r="S99" s="30">
        <v>14.119585000000001</v>
      </c>
      <c r="T99" s="30">
        <v>14.1287</v>
      </c>
      <c r="U99" s="30">
        <v>14.126123</v>
      </c>
      <c r="V99" s="30">
        <v>14.119662999999999</v>
      </c>
      <c r="W99" s="30">
        <v>14.122567</v>
      </c>
      <c r="X99" s="30">
        <v>14.124409999999999</v>
      </c>
      <c r="Y99" s="30">
        <v>14.124434000000001</v>
      </c>
      <c r="Z99" s="30">
        <v>14.122615</v>
      </c>
      <c r="AA99" s="30">
        <v>14.119066</v>
      </c>
      <c r="AB99" s="30">
        <v>14.121708999999999</v>
      </c>
      <c r="AC99" s="30">
        <v>14.121001</v>
      </c>
      <c r="AD99" s="30">
        <v>14.118468</v>
      </c>
      <c r="AE99" s="30">
        <v>14.119144</v>
      </c>
      <c r="AF99" s="30">
        <v>14.129156</v>
      </c>
      <c r="AG99" s="30">
        <v>14.129078</v>
      </c>
      <c r="AH99" s="30">
        <v>14.113287</v>
      </c>
      <c r="AI99" s="30">
        <v>14.115907</v>
      </c>
      <c r="AJ99" s="30">
        <v>14.106211</v>
      </c>
      <c r="AK99" s="30">
        <v>14.127594</v>
      </c>
      <c r="AL99" s="30">
        <v>14.134105999999999</v>
      </c>
      <c r="AM99" s="30">
        <v>14.126842999999999</v>
      </c>
      <c r="AN99" s="30">
        <v>14.13109</v>
      </c>
      <c r="AO99" s="30">
        <v>14.121978</v>
      </c>
      <c r="AP99" s="30">
        <v>14.11941</v>
      </c>
      <c r="AQ99" s="30">
        <v>14.125219</v>
      </c>
      <c r="AR99" s="30">
        <v>14.123051999999999</v>
      </c>
      <c r="AS99" s="30">
        <v>14.124973000000001</v>
      </c>
      <c r="AT99" s="30">
        <v>14.124539</v>
      </c>
      <c r="AU99" s="30">
        <v>14.121397</v>
      </c>
      <c r="AV99" s="30">
        <v>14.12537</v>
      </c>
      <c r="AW99" s="30">
        <v>14.117888000000001</v>
      </c>
    </row>
    <row r="100" spans="1:49" ht="18" customHeight="1">
      <c r="A100" s="23"/>
      <c r="B100" s="12"/>
      <c r="C100" s="79" t="s">
        <v>225</v>
      </c>
      <c r="D100" s="35" t="s">
        <v>262</v>
      </c>
      <c r="E100" s="35"/>
      <c r="F100" s="29" t="s">
        <v>263</v>
      </c>
      <c r="G100" s="38">
        <v>14.13</v>
      </c>
      <c r="H100" s="38">
        <v>0.05</v>
      </c>
      <c r="I100" s="38">
        <v>0.05</v>
      </c>
      <c r="J100" s="38">
        <v>0.08</v>
      </c>
      <c r="K100" s="38">
        <v>0.05</v>
      </c>
      <c r="L100" s="30">
        <f t="shared" si="4"/>
        <v>14.166548000000001</v>
      </c>
      <c r="M100" s="30">
        <f t="shared" si="5"/>
        <v>14.146568</v>
      </c>
      <c r="N100" s="30">
        <f t="shared" si="6"/>
        <v>1.9980000000000331E-2</v>
      </c>
      <c r="O100" s="31">
        <f t="shared" si="7"/>
        <v>14.158471</v>
      </c>
      <c r="P100" s="52"/>
      <c r="Q100" s="30">
        <v>14.151486</v>
      </c>
      <c r="R100" s="30">
        <v>14.160681</v>
      </c>
      <c r="S100" s="30">
        <v>14.155678</v>
      </c>
      <c r="T100" s="30">
        <v>14.164379</v>
      </c>
      <c r="U100" s="30">
        <v>14.16389</v>
      </c>
      <c r="V100" s="30">
        <v>14.159496000000001</v>
      </c>
      <c r="W100" s="30">
        <v>14.157249999999999</v>
      </c>
      <c r="X100" s="30">
        <v>14.161489</v>
      </c>
      <c r="Y100" s="30">
        <v>14.16531</v>
      </c>
      <c r="Z100" s="30">
        <v>14.158416000000001</v>
      </c>
      <c r="AA100" s="30">
        <v>14.158785</v>
      </c>
      <c r="AB100" s="30">
        <v>14.15245</v>
      </c>
      <c r="AC100" s="30">
        <v>14.158094999999999</v>
      </c>
      <c r="AD100" s="30">
        <v>14.161941000000001</v>
      </c>
      <c r="AE100" s="30">
        <v>14.159519</v>
      </c>
      <c r="AF100" s="30">
        <v>14.163083</v>
      </c>
      <c r="AG100" s="30">
        <v>14.165431</v>
      </c>
      <c r="AH100" s="30">
        <v>14.154847</v>
      </c>
      <c r="AI100" s="30">
        <v>14.146568</v>
      </c>
      <c r="AJ100" s="30">
        <v>14.147368</v>
      </c>
      <c r="AK100" s="30">
        <v>14.157772</v>
      </c>
      <c r="AL100" s="30">
        <v>14.160659000000001</v>
      </c>
      <c r="AM100" s="30">
        <v>14.158898000000001</v>
      </c>
      <c r="AN100" s="30">
        <v>14.166548000000001</v>
      </c>
      <c r="AO100" s="30">
        <v>14.154529999999999</v>
      </c>
      <c r="AP100" s="30">
        <v>14.151161999999999</v>
      </c>
      <c r="AQ100" s="30">
        <v>14.159309</v>
      </c>
      <c r="AR100" s="30">
        <v>14.158255</v>
      </c>
      <c r="AS100" s="30">
        <v>14.162222</v>
      </c>
      <c r="AT100" s="30">
        <v>14.158613000000001</v>
      </c>
      <c r="AU100" s="30">
        <v>14.158885</v>
      </c>
      <c r="AV100" s="30">
        <v>14.160045999999999</v>
      </c>
      <c r="AW100" s="30">
        <v>14.156088</v>
      </c>
    </row>
    <row r="101" spans="1:49" ht="18" customHeight="1">
      <c r="A101" s="23"/>
      <c r="B101" s="12"/>
      <c r="C101" s="79" t="s">
        <v>225</v>
      </c>
      <c r="D101" s="35" t="s">
        <v>264</v>
      </c>
      <c r="E101" s="35"/>
      <c r="F101" s="29" t="s">
        <v>265</v>
      </c>
      <c r="G101" s="38">
        <v>14.13</v>
      </c>
      <c r="H101" s="38">
        <v>0.05</v>
      </c>
      <c r="I101" s="38">
        <v>0.05</v>
      </c>
      <c r="J101" s="38">
        <v>0.08</v>
      </c>
      <c r="K101" s="38">
        <v>0.05</v>
      </c>
      <c r="L101" s="30">
        <f t="shared" si="4"/>
        <v>14.160124</v>
      </c>
      <c r="M101" s="30">
        <f t="shared" si="5"/>
        <v>14.135211</v>
      </c>
      <c r="N101" s="30">
        <f t="shared" si="6"/>
        <v>2.4912999999999741E-2</v>
      </c>
      <c r="O101" s="31">
        <f t="shared" si="7"/>
        <v>14.14888613333334</v>
      </c>
      <c r="P101" s="52"/>
      <c r="Q101" s="30">
        <v>14.148612999999999</v>
      </c>
      <c r="R101" s="30">
        <v>14.152367999999999</v>
      </c>
      <c r="S101" s="30">
        <v>14.149311000000001</v>
      </c>
      <c r="T101" s="30">
        <v>14.146808999999999</v>
      </c>
      <c r="U101" s="30">
        <v>14.152585</v>
      </c>
      <c r="V101" s="30">
        <v>14.150771000000001</v>
      </c>
      <c r="W101" s="30">
        <v>14.146826000000001</v>
      </c>
      <c r="X101" s="30">
        <v>14.151609000000001</v>
      </c>
      <c r="Y101" s="30">
        <v>14.156458000000001</v>
      </c>
      <c r="Z101" s="30">
        <v>14.149957000000001</v>
      </c>
      <c r="AA101" s="30">
        <v>14.149862000000001</v>
      </c>
      <c r="AB101" s="30">
        <v>14.138214</v>
      </c>
      <c r="AC101" s="30">
        <v>14.148111</v>
      </c>
      <c r="AD101" s="30">
        <v>14.152937</v>
      </c>
      <c r="AE101" s="30">
        <v>14.153707000000001</v>
      </c>
      <c r="AF101" s="30">
        <v>14.160124</v>
      </c>
      <c r="AG101" s="30">
        <v>14.156397999999999</v>
      </c>
      <c r="AH101" s="30">
        <v>14.145967000000001</v>
      </c>
      <c r="AI101" s="30">
        <v>14.135211</v>
      </c>
      <c r="AJ101" s="30">
        <v>14.143367</v>
      </c>
      <c r="AK101" s="30">
        <v>14.149554999999999</v>
      </c>
      <c r="AL101" s="30">
        <v>14.148773</v>
      </c>
      <c r="AM101" s="30">
        <v>14.14789</v>
      </c>
      <c r="AN101" s="30">
        <v>14.150950999999999</v>
      </c>
      <c r="AO101" s="30">
        <v>14.145987999999999</v>
      </c>
      <c r="AP101" s="30">
        <v>14.140643000000001</v>
      </c>
      <c r="AQ101" s="30">
        <v>14.149721</v>
      </c>
      <c r="AR101" s="30">
        <v>14.14439</v>
      </c>
      <c r="AS101" s="30">
        <v>14.153089</v>
      </c>
      <c r="AT101" s="30">
        <v>14.146379</v>
      </c>
      <c r="AU101" s="30">
        <v>14.148846000000001</v>
      </c>
      <c r="AV101" s="30">
        <v>14.151255000000001</v>
      </c>
      <c r="AW101" s="30">
        <v>14.149171000000001</v>
      </c>
    </row>
    <row r="102" spans="1:49" ht="18" customHeight="1">
      <c r="A102" s="23"/>
      <c r="B102" s="12"/>
      <c r="C102" s="79" t="s">
        <v>225</v>
      </c>
      <c r="D102" s="35" t="s">
        <v>266</v>
      </c>
      <c r="E102" s="35" t="s">
        <v>389</v>
      </c>
      <c r="F102" s="29" t="s">
        <v>268</v>
      </c>
      <c r="G102" s="38">
        <v>14.13</v>
      </c>
      <c r="H102" s="38">
        <v>0.05</v>
      </c>
      <c r="I102" s="38">
        <v>0.05</v>
      </c>
      <c r="J102" s="38">
        <v>0.08</v>
      </c>
      <c r="K102" s="38">
        <v>0.05</v>
      </c>
      <c r="L102" s="30">
        <f t="shared" si="4"/>
        <v>14.151759999999999</v>
      </c>
      <c r="M102" s="30">
        <f t="shared" si="5"/>
        <v>14.127841</v>
      </c>
      <c r="N102" s="30">
        <f t="shared" si="6"/>
        <v>2.3918999999999357E-2</v>
      </c>
      <c r="O102" s="31">
        <f t="shared" si="7"/>
        <v>14.141229000000001</v>
      </c>
      <c r="P102" s="52"/>
      <c r="Q102" s="30">
        <v>14.142217</v>
      </c>
      <c r="R102" s="30">
        <v>14.14404</v>
      </c>
      <c r="S102" s="30">
        <v>14.141156000000001</v>
      </c>
      <c r="T102" s="30">
        <v>14.137074999999999</v>
      </c>
      <c r="U102" s="30">
        <v>14.14315</v>
      </c>
      <c r="V102" s="30">
        <v>14.14296</v>
      </c>
      <c r="W102" s="30">
        <v>14.139809</v>
      </c>
      <c r="X102" s="30">
        <v>14.143827999999999</v>
      </c>
      <c r="Y102" s="30">
        <v>14.148851000000001</v>
      </c>
      <c r="Z102" s="30">
        <v>14.141595000000001</v>
      </c>
      <c r="AA102" s="30">
        <v>14.142144999999999</v>
      </c>
      <c r="AB102" s="30">
        <v>14.127841</v>
      </c>
      <c r="AC102" s="30">
        <v>14.139321000000001</v>
      </c>
      <c r="AD102" s="30">
        <v>14.143584000000001</v>
      </c>
      <c r="AE102" s="30">
        <v>14.147167</v>
      </c>
      <c r="AF102" s="30">
        <v>14.151759999999999</v>
      </c>
      <c r="AG102" s="30">
        <v>14.148443</v>
      </c>
      <c r="AH102" s="30">
        <v>14.139112000000001</v>
      </c>
      <c r="AI102" s="30">
        <v>14.128895</v>
      </c>
      <c r="AJ102" s="30">
        <v>14.136051</v>
      </c>
      <c r="AK102" s="30">
        <v>14.141572</v>
      </c>
      <c r="AL102" s="30">
        <v>14.142538999999999</v>
      </c>
      <c r="AM102" s="30">
        <v>14.141829</v>
      </c>
      <c r="AN102" s="30">
        <v>14.14447</v>
      </c>
      <c r="AO102" s="30">
        <v>14.137466999999999</v>
      </c>
      <c r="AP102" s="30">
        <v>14.133877999999999</v>
      </c>
      <c r="AQ102" s="30">
        <v>14.142668</v>
      </c>
      <c r="AR102" s="30">
        <v>14.138052999999999</v>
      </c>
      <c r="AS102" s="30">
        <v>14.145968999999999</v>
      </c>
      <c r="AT102" s="30">
        <v>14.139424999999999</v>
      </c>
      <c r="AU102" s="30">
        <v>14.140342</v>
      </c>
      <c r="AV102" s="30">
        <v>14.147114999999999</v>
      </c>
      <c r="AW102" s="30">
        <v>14.141997</v>
      </c>
    </row>
    <row r="103" spans="1:49" ht="18" customHeight="1">
      <c r="A103" s="23"/>
      <c r="B103" s="12"/>
      <c r="C103" s="79" t="s">
        <v>225</v>
      </c>
      <c r="D103" s="35" t="s">
        <v>269</v>
      </c>
      <c r="E103" s="35"/>
      <c r="F103" s="29" t="s">
        <v>270</v>
      </c>
      <c r="G103" s="38">
        <v>14.13</v>
      </c>
      <c r="H103" s="38">
        <v>0.05</v>
      </c>
      <c r="I103" s="38">
        <v>0.05</v>
      </c>
      <c r="J103" s="38">
        <v>0.08</v>
      </c>
      <c r="K103" s="38">
        <v>0.05</v>
      </c>
      <c r="L103" s="30">
        <f t="shared" si="4"/>
        <v>14.139732</v>
      </c>
      <c r="M103" s="30">
        <f t="shared" si="5"/>
        <v>14.11656</v>
      </c>
      <c r="N103" s="30">
        <f t="shared" si="6"/>
        <v>2.3172000000000637E-2</v>
      </c>
      <c r="O103" s="31">
        <f t="shared" si="7"/>
        <v>14.131433766666667</v>
      </c>
      <c r="P103" s="52"/>
      <c r="Q103" s="30">
        <v>14.131724999999999</v>
      </c>
      <c r="R103" s="30">
        <v>14.131351</v>
      </c>
      <c r="S103" s="30">
        <v>14.12917</v>
      </c>
      <c r="T103" s="30">
        <v>14.138102</v>
      </c>
      <c r="U103" s="30">
        <v>14.130539000000001</v>
      </c>
      <c r="V103" s="30">
        <v>14.130925</v>
      </c>
      <c r="W103" s="30">
        <v>14.129965</v>
      </c>
      <c r="X103" s="30">
        <v>14.132740999999999</v>
      </c>
      <c r="Y103" s="30">
        <v>14.138731999999999</v>
      </c>
      <c r="Z103" s="30">
        <v>14.130122</v>
      </c>
      <c r="AA103" s="30">
        <v>14.131769999999999</v>
      </c>
      <c r="AB103" s="30">
        <v>14.11656</v>
      </c>
      <c r="AC103" s="30">
        <v>14.129227999999999</v>
      </c>
      <c r="AD103" s="30">
        <v>14.132414000000001</v>
      </c>
      <c r="AE103" s="30">
        <v>14.138859</v>
      </c>
      <c r="AF103" s="30">
        <v>14.139732</v>
      </c>
      <c r="AG103" s="30">
        <v>14.139144</v>
      </c>
      <c r="AH103" s="30">
        <v>14.130065</v>
      </c>
      <c r="AI103" s="30">
        <v>14.122284000000001</v>
      </c>
      <c r="AJ103" s="30">
        <v>14.126533999999999</v>
      </c>
      <c r="AK103" s="30">
        <v>14.131410000000001</v>
      </c>
      <c r="AL103" s="30">
        <v>14.132168999999999</v>
      </c>
      <c r="AM103" s="30">
        <v>14.133806999999999</v>
      </c>
      <c r="AN103" s="30">
        <v>14.135628000000001</v>
      </c>
      <c r="AO103" s="30">
        <v>14.126747</v>
      </c>
      <c r="AP103" s="30">
        <v>14.125047</v>
      </c>
      <c r="AQ103" s="30">
        <v>14.132148000000001</v>
      </c>
      <c r="AR103" s="30">
        <v>14.130012000000001</v>
      </c>
      <c r="AS103" s="30">
        <v>14.136379</v>
      </c>
      <c r="AT103" s="30">
        <v>14.129704</v>
      </c>
      <c r="AU103" s="30">
        <v>14.129253</v>
      </c>
      <c r="AV103" s="30">
        <v>14.139461000000001</v>
      </c>
      <c r="AW103" s="30">
        <v>14.131983</v>
      </c>
    </row>
    <row r="104" spans="1:49" ht="18" customHeight="1">
      <c r="A104" s="23"/>
      <c r="B104" s="12"/>
      <c r="C104" s="79" t="s">
        <v>225</v>
      </c>
      <c r="D104" s="35" t="s">
        <v>271</v>
      </c>
      <c r="E104" s="35"/>
      <c r="F104" s="29" t="s">
        <v>272</v>
      </c>
      <c r="G104" s="38">
        <v>14.13</v>
      </c>
      <c r="H104" s="38">
        <v>0.05</v>
      </c>
      <c r="I104" s="38">
        <v>0.05</v>
      </c>
      <c r="J104" s="38">
        <v>0.08</v>
      </c>
      <c r="K104" s="38">
        <v>0.05</v>
      </c>
      <c r="L104" s="30">
        <f t="shared" si="4"/>
        <v>14.148289999999999</v>
      </c>
      <c r="M104" s="30">
        <f t="shared" si="5"/>
        <v>14.123676</v>
      </c>
      <c r="N104" s="30">
        <f t="shared" si="6"/>
        <v>2.4613999999999692E-2</v>
      </c>
      <c r="O104" s="31">
        <f t="shared" si="7"/>
        <v>14.13629526666667</v>
      </c>
      <c r="P104" s="52"/>
      <c r="Q104" s="30">
        <v>14.136614</v>
      </c>
      <c r="R104" s="30">
        <v>14.124995999999999</v>
      </c>
      <c r="S104" s="30">
        <v>14.128947999999999</v>
      </c>
      <c r="T104" s="30">
        <v>14.127822999999999</v>
      </c>
      <c r="U104" s="30">
        <v>14.127829999999999</v>
      </c>
      <c r="V104" s="30">
        <v>14.129712</v>
      </c>
      <c r="W104" s="30">
        <v>14.139329</v>
      </c>
      <c r="X104" s="30">
        <v>14.136132999999999</v>
      </c>
      <c r="Y104" s="30">
        <v>14.141892</v>
      </c>
      <c r="Z104" s="30">
        <v>14.132441</v>
      </c>
      <c r="AA104" s="30">
        <v>14.139706</v>
      </c>
      <c r="AB104" s="30">
        <v>14.127051</v>
      </c>
      <c r="AC104" s="30">
        <v>14.134328999999999</v>
      </c>
      <c r="AD104" s="30">
        <v>14.135386</v>
      </c>
      <c r="AE104" s="30">
        <v>14.148289999999999</v>
      </c>
      <c r="AF104" s="30">
        <v>14.141697000000001</v>
      </c>
      <c r="AG104" s="30">
        <v>14.144787000000001</v>
      </c>
      <c r="AH104" s="30">
        <v>14.136571</v>
      </c>
      <c r="AI104" s="30">
        <v>14.142715000000001</v>
      </c>
      <c r="AJ104" s="30">
        <v>14.134810999999999</v>
      </c>
      <c r="AK104" s="30">
        <v>14.132478000000001</v>
      </c>
      <c r="AL104" s="30">
        <v>14.133661999999999</v>
      </c>
      <c r="AM104" s="30">
        <v>14.144019999999999</v>
      </c>
      <c r="AN104" s="30">
        <v>14.143940000000001</v>
      </c>
      <c r="AO104" s="30">
        <v>14.123676</v>
      </c>
      <c r="AP104" s="30">
        <v>14.140198</v>
      </c>
      <c r="AQ104" s="30">
        <v>14.133298999999999</v>
      </c>
      <c r="AR104" s="30">
        <v>14.147268</v>
      </c>
      <c r="AS104" s="30">
        <v>14.142867000000001</v>
      </c>
      <c r="AT104" s="30">
        <v>14.136388999999999</v>
      </c>
      <c r="AU104" s="30">
        <v>14.133421999999999</v>
      </c>
      <c r="AV104" s="30">
        <v>14.14884</v>
      </c>
      <c r="AW104" s="30">
        <v>14.135861999999999</v>
      </c>
    </row>
    <row r="105" spans="1:49" ht="18" customHeight="1">
      <c r="A105" s="23"/>
      <c r="B105" s="12"/>
      <c r="C105" s="79" t="s">
        <v>225</v>
      </c>
      <c r="D105" s="35" t="s">
        <v>273</v>
      </c>
      <c r="E105" s="35"/>
      <c r="F105" s="29" t="s">
        <v>274</v>
      </c>
      <c r="G105" s="38">
        <v>14.13</v>
      </c>
      <c r="H105" s="38">
        <v>0.05</v>
      </c>
      <c r="I105" s="38">
        <v>0.05</v>
      </c>
      <c r="J105" s="38">
        <v>0.08</v>
      </c>
      <c r="K105" s="38">
        <v>0.05</v>
      </c>
      <c r="L105" s="30">
        <f t="shared" si="4"/>
        <v>14.169354999999999</v>
      </c>
      <c r="M105" s="30">
        <f t="shared" si="5"/>
        <v>14.150898</v>
      </c>
      <c r="N105" s="30">
        <f t="shared" si="6"/>
        <v>1.8456999999999724E-2</v>
      </c>
      <c r="O105" s="31">
        <f t="shared" si="7"/>
        <v>14.160917733333333</v>
      </c>
      <c r="P105" s="52"/>
      <c r="Q105" s="30">
        <v>14.154341000000001</v>
      </c>
      <c r="R105" s="30">
        <v>14.150898</v>
      </c>
      <c r="S105" s="30">
        <v>14.155061999999999</v>
      </c>
      <c r="T105" s="30">
        <v>14.159171000000001</v>
      </c>
      <c r="U105" s="30">
        <v>14.157367000000001</v>
      </c>
      <c r="V105" s="30">
        <v>14.154104999999999</v>
      </c>
      <c r="W105" s="30">
        <v>14.165357</v>
      </c>
      <c r="X105" s="30">
        <v>14.163468</v>
      </c>
      <c r="Y105" s="30">
        <v>14.162665000000001</v>
      </c>
      <c r="Z105" s="30">
        <v>14.157954</v>
      </c>
      <c r="AA105" s="30">
        <v>14.163043</v>
      </c>
      <c r="AB105" s="30">
        <v>14.16497</v>
      </c>
      <c r="AC105" s="30">
        <v>14.162699</v>
      </c>
      <c r="AD105" s="30">
        <v>14.160553999999999</v>
      </c>
      <c r="AE105" s="30">
        <v>14.16704</v>
      </c>
      <c r="AF105" s="30">
        <v>14.161811</v>
      </c>
      <c r="AG105" s="30">
        <v>14.165666</v>
      </c>
      <c r="AH105" s="30">
        <v>14.157705</v>
      </c>
      <c r="AI105" s="30">
        <v>14.16902</v>
      </c>
      <c r="AJ105" s="30">
        <v>14.157638</v>
      </c>
      <c r="AK105" s="30">
        <v>14.158398999999999</v>
      </c>
      <c r="AL105" s="30">
        <v>14.157638</v>
      </c>
      <c r="AM105" s="30">
        <v>14.166847000000001</v>
      </c>
      <c r="AN105" s="30">
        <v>14.167752</v>
      </c>
      <c r="AO105" s="30">
        <v>14.151237999999999</v>
      </c>
      <c r="AP105" s="30">
        <v>14.163138999999999</v>
      </c>
      <c r="AQ105" s="30">
        <v>14.157551</v>
      </c>
      <c r="AR105" s="30">
        <v>14.169354999999999</v>
      </c>
      <c r="AS105" s="30">
        <v>14.163181</v>
      </c>
      <c r="AT105" s="30">
        <v>14.161898000000001</v>
      </c>
      <c r="AU105" s="30">
        <v>14.158382</v>
      </c>
      <c r="AV105" s="30">
        <v>14.164237999999999</v>
      </c>
      <c r="AW105" s="30">
        <v>14.158352000000001</v>
      </c>
    </row>
    <row r="106" spans="1:49" ht="18" customHeight="1">
      <c r="A106" s="23"/>
      <c r="B106" s="12"/>
      <c r="C106" s="79" t="s">
        <v>225</v>
      </c>
      <c r="D106" s="35" t="s">
        <v>275</v>
      </c>
      <c r="E106" s="35"/>
      <c r="F106" s="29" t="s">
        <v>276</v>
      </c>
      <c r="G106" s="38">
        <v>14.13</v>
      </c>
      <c r="H106" s="38">
        <v>0.05</v>
      </c>
      <c r="I106" s="38">
        <v>0.05</v>
      </c>
      <c r="J106" s="38">
        <v>0.08</v>
      </c>
      <c r="K106" s="38">
        <v>0.05</v>
      </c>
      <c r="L106" s="30">
        <f t="shared" si="4"/>
        <v>14.168256</v>
      </c>
      <c r="M106" s="30">
        <f t="shared" si="5"/>
        <v>14.146296</v>
      </c>
      <c r="N106" s="30">
        <f t="shared" si="6"/>
        <v>2.195999999999998E-2</v>
      </c>
      <c r="O106" s="31">
        <f t="shared" si="7"/>
        <v>14.157915066666668</v>
      </c>
      <c r="P106" s="52"/>
      <c r="Q106" s="30">
        <v>14.146296</v>
      </c>
      <c r="R106" s="30">
        <v>14.147076999999999</v>
      </c>
      <c r="S106" s="30">
        <v>14.149573</v>
      </c>
      <c r="T106" s="30">
        <v>14.163271</v>
      </c>
      <c r="U106" s="30">
        <v>14.154807</v>
      </c>
      <c r="V106" s="30">
        <v>14.148531</v>
      </c>
      <c r="W106" s="30">
        <v>14.163478</v>
      </c>
      <c r="X106" s="30">
        <v>14.159184</v>
      </c>
      <c r="Y106" s="30">
        <v>14.159082</v>
      </c>
      <c r="Z106" s="30">
        <v>14.15381</v>
      </c>
      <c r="AA106" s="30">
        <v>14.158644000000001</v>
      </c>
      <c r="AB106" s="30">
        <v>14.168256</v>
      </c>
      <c r="AC106" s="30">
        <v>14.159613</v>
      </c>
      <c r="AD106" s="30">
        <v>14.158317</v>
      </c>
      <c r="AE106" s="30">
        <v>14.161782000000001</v>
      </c>
      <c r="AF106" s="30">
        <v>14.157667999999999</v>
      </c>
      <c r="AG106" s="30">
        <v>14.163632</v>
      </c>
      <c r="AH106" s="30">
        <v>14.151951</v>
      </c>
      <c r="AI106" s="30">
        <v>14.167071</v>
      </c>
      <c r="AJ106" s="30">
        <v>14.152023</v>
      </c>
      <c r="AK106" s="30">
        <v>14.155355</v>
      </c>
      <c r="AL106" s="30">
        <v>14.156669000000001</v>
      </c>
      <c r="AM106" s="30">
        <v>14.162635999999999</v>
      </c>
      <c r="AN106" s="30">
        <v>14.167707999999999</v>
      </c>
      <c r="AO106" s="30">
        <v>14.148679</v>
      </c>
      <c r="AP106" s="30">
        <v>14.160719</v>
      </c>
      <c r="AQ106" s="30">
        <v>14.154026999999999</v>
      </c>
      <c r="AR106" s="30">
        <v>14.167875</v>
      </c>
      <c r="AS106" s="30">
        <v>14.159344000000001</v>
      </c>
      <c r="AT106" s="30">
        <v>14.160373999999999</v>
      </c>
      <c r="AU106" s="30">
        <v>14.157266</v>
      </c>
      <c r="AV106" s="30">
        <v>14.159492</v>
      </c>
      <c r="AW106" s="30">
        <v>14.152158999999999</v>
      </c>
    </row>
    <row r="107" spans="1:49" ht="18" customHeight="1">
      <c r="A107" s="23"/>
      <c r="B107" s="12"/>
      <c r="C107" s="79" t="s">
        <v>225</v>
      </c>
      <c r="D107" s="35" t="s">
        <v>277</v>
      </c>
      <c r="E107" s="35"/>
      <c r="F107" s="29" t="s">
        <v>278</v>
      </c>
      <c r="G107" s="38">
        <v>14.13</v>
      </c>
      <c r="H107" s="38">
        <v>0.05</v>
      </c>
      <c r="I107" s="38">
        <v>0.05</v>
      </c>
      <c r="J107" s="38">
        <v>0.08</v>
      </c>
      <c r="K107" s="38">
        <v>0.05</v>
      </c>
      <c r="L107" s="30">
        <f t="shared" si="4"/>
        <v>14.141031</v>
      </c>
      <c r="M107" s="30">
        <f t="shared" si="5"/>
        <v>14.112569000000001</v>
      </c>
      <c r="N107" s="30">
        <f t="shared" si="6"/>
        <v>2.8461999999999321E-2</v>
      </c>
      <c r="O107" s="31">
        <f t="shared" si="7"/>
        <v>14.124412433333335</v>
      </c>
      <c r="P107" s="52"/>
      <c r="Q107" s="30">
        <v>14.112569000000001</v>
      </c>
      <c r="R107" s="30">
        <v>14.116307000000001</v>
      </c>
      <c r="S107" s="30">
        <v>14.11659</v>
      </c>
      <c r="T107" s="30">
        <v>14.141031</v>
      </c>
      <c r="U107" s="30">
        <v>14.120899</v>
      </c>
      <c r="V107" s="30">
        <v>14.114431</v>
      </c>
      <c r="W107" s="30">
        <v>14.125544</v>
      </c>
      <c r="X107" s="30">
        <v>14.123336</v>
      </c>
      <c r="Y107" s="30">
        <v>14.124466999999999</v>
      </c>
      <c r="Z107" s="30">
        <v>14.120407</v>
      </c>
      <c r="AA107" s="30">
        <v>14.124266</v>
      </c>
      <c r="AB107" s="30">
        <v>14.123555</v>
      </c>
      <c r="AC107" s="30">
        <v>14.124354</v>
      </c>
      <c r="AD107" s="30">
        <v>14.122978</v>
      </c>
      <c r="AE107" s="30">
        <v>14.126927999999999</v>
      </c>
      <c r="AF107" s="30">
        <v>14.128565999999999</v>
      </c>
      <c r="AG107" s="30">
        <v>14.130326</v>
      </c>
      <c r="AH107" s="30">
        <v>14.115602000000001</v>
      </c>
      <c r="AI107" s="30">
        <v>14.130532000000001</v>
      </c>
      <c r="AJ107" s="30">
        <v>14.116054</v>
      </c>
      <c r="AK107" s="30">
        <v>14.121978</v>
      </c>
      <c r="AL107" s="30">
        <v>14.132061</v>
      </c>
      <c r="AM107" s="30">
        <v>14.129490000000001</v>
      </c>
      <c r="AN107" s="30">
        <v>14.134601999999999</v>
      </c>
      <c r="AO107" s="30">
        <v>14.115403000000001</v>
      </c>
      <c r="AP107" s="30">
        <v>14.130912</v>
      </c>
      <c r="AQ107" s="30">
        <v>14.122515999999999</v>
      </c>
      <c r="AR107" s="30">
        <v>14.132822000000001</v>
      </c>
      <c r="AS107" s="30">
        <v>14.12707</v>
      </c>
      <c r="AT107" s="30">
        <v>14.126777000000001</v>
      </c>
      <c r="AU107" s="30">
        <v>14.125688999999999</v>
      </c>
      <c r="AV107" s="30">
        <v>14.12687</v>
      </c>
      <c r="AW107" s="30">
        <v>14.115987000000001</v>
      </c>
    </row>
    <row r="108" spans="1:49" ht="18" customHeight="1">
      <c r="A108" s="23"/>
      <c r="B108" s="12"/>
      <c r="C108" s="79" t="s">
        <v>225</v>
      </c>
      <c r="D108" s="35" t="s">
        <v>279</v>
      </c>
      <c r="E108" s="35"/>
      <c r="F108" s="29" t="s">
        <v>280</v>
      </c>
      <c r="G108" s="38">
        <v>14.13</v>
      </c>
      <c r="H108" s="38">
        <v>0.05</v>
      </c>
      <c r="I108" s="38">
        <v>0.05</v>
      </c>
      <c r="J108" s="38">
        <v>0.08</v>
      </c>
      <c r="K108" s="38">
        <v>0.05</v>
      </c>
      <c r="L108" s="30">
        <f t="shared" si="4"/>
        <v>14.156577</v>
      </c>
      <c r="M108" s="30">
        <f t="shared" si="5"/>
        <v>14.124758999999999</v>
      </c>
      <c r="N108" s="30">
        <f t="shared" si="6"/>
        <v>3.1818000000001234E-2</v>
      </c>
      <c r="O108" s="31">
        <f t="shared" si="7"/>
        <v>14.13676896666667</v>
      </c>
      <c r="P108" s="52"/>
      <c r="Q108" s="30">
        <v>14.127471</v>
      </c>
      <c r="R108" s="30">
        <v>14.138828</v>
      </c>
      <c r="S108" s="30">
        <v>14.137022</v>
      </c>
      <c r="T108" s="30">
        <v>14.156577</v>
      </c>
      <c r="U108" s="30">
        <v>14.138562</v>
      </c>
      <c r="V108" s="30">
        <v>14.133784</v>
      </c>
      <c r="W108" s="30">
        <v>14.133701</v>
      </c>
      <c r="X108" s="30">
        <v>14.137057</v>
      </c>
      <c r="Y108" s="30">
        <v>14.13941</v>
      </c>
      <c r="Z108" s="30">
        <v>14.138922000000001</v>
      </c>
      <c r="AA108" s="30">
        <v>14.133440999999999</v>
      </c>
      <c r="AB108" s="30">
        <v>14.139982</v>
      </c>
      <c r="AC108" s="30">
        <v>14.138203000000001</v>
      </c>
      <c r="AD108" s="30">
        <v>14.137921</v>
      </c>
      <c r="AE108" s="30">
        <v>14.135478000000001</v>
      </c>
      <c r="AF108" s="30">
        <v>14.144602000000001</v>
      </c>
      <c r="AG108" s="30">
        <v>14.142492000000001</v>
      </c>
      <c r="AH108" s="30">
        <v>14.126649</v>
      </c>
      <c r="AI108" s="30">
        <v>14.125450000000001</v>
      </c>
      <c r="AJ108" s="30">
        <v>14.124758999999999</v>
      </c>
      <c r="AK108" s="30">
        <v>14.137079999999999</v>
      </c>
      <c r="AL108" s="30">
        <v>14.149262</v>
      </c>
      <c r="AM108" s="30">
        <v>14.134548000000001</v>
      </c>
      <c r="AN108" s="30">
        <v>14.138866999999999</v>
      </c>
      <c r="AO108" s="30">
        <v>14.134790000000001</v>
      </c>
      <c r="AP108" s="30">
        <v>14.13734</v>
      </c>
      <c r="AQ108" s="30">
        <v>14.140685</v>
      </c>
      <c r="AR108" s="30">
        <v>14.131736</v>
      </c>
      <c r="AS108" s="30">
        <v>14.138208000000001</v>
      </c>
      <c r="AT108" s="30">
        <v>14.130242000000001</v>
      </c>
      <c r="AU108" s="30">
        <v>14.135875</v>
      </c>
      <c r="AV108" s="30">
        <v>14.133335000000001</v>
      </c>
      <c r="AW108" s="30">
        <v>14.125902</v>
      </c>
    </row>
    <row r="109" spans="1:49" ht="18" customHeight="1">
      <c r="A109" s="23"/>
      <c r="B109" s="12"/>
      <c r="C109" s="79" t="s">
        <v>225</v>
      </c>
      <c r="D109" s="35" t="s">
        <v>281</v>
      </c>
      <c r="E109" s="35"/>
      <c r="F109" s="29" t="s">
        <v>282</v>
      </c>
      <c r="G109" s="38">
        <v>14.13</v>
      </c>
      <c r="H109" s="38">
        <v>0.05</v>
      </c>
      <c r="I109" s="38">
        <v>0.05</v>
      </c>
      <c r="J109" s="38">
        <v>0.08</v>
      </c>
      <c r="K109" s="38">
        <v>0.05</v>
      </c>
      <c r="L109" s="30">
        <f t="shared" si="4"/>
        <v>14.162611</v>
      </c>
      <c r="M109" s="30">
        <f t="shared" si="5"/>
        <v>14.142372</v>
      </c>
      <c r="N109" s="30">
        <f t="shared" si="6"/>
        <v>2.0239000000000118E-2</v>
      </c>
      <c r="O109" s="31">
        <f t="shared" si="7"/>
        <v>14.153437666666667</v>
      </c>
      <c r="P109" s="52"/>
      <c r="Q109" s="30">
        <v>14.145761</v>
      </c>
      <c r="R109" s="30">
        <v>14.153406</v>
      </c>
      <c r="S109" s="30">
        <v>14.152994</v>
      </c>
      <c r="T109" s="30">
        <v>14.160208000000001</v>
      </c>
      <c r="U109" s="30">
        <v>14.15117</v>
      </c>
      <c r="V109" s="30">
        <v>14.155144999999999</v>
      </c>
      <c r="W109" s="30">
        <v>14.152004</v>
      </c>
      <c r="X109" s="30">
        <v>14.155452</v>
      </c>
      <c r="Y109" s="30">
        <v>14.157717</v>
      </c>
      <c r="Z109" s="30">
        <v>14.154491</v>
      </c>
      <c r="AA109" s="30">
        <v>14.152582000000001</v>
      </c>
      <c r="AB109" s="30">
        <v>14.153044</v>
      </c>
      <c r="AC109" s="30">
        <v>14.155863999999999</v>
      </c>
      <c r="AD109" s="30">
        <v>14.155525000000001</v>
      </c>
      <c r="AE109" s="30">
        <v>14.156812</v>
      </c>
      <c r="AF109" s="30">
        <v>14.162611</v>
      </c>
      <c r="AG109" s="30">
        <v>14.159639</v>
      </c>
      <c r="AH109" s="30">
        <v>14.145034000000001</v>
      </c>
      <c r="AI109" s="30">
        <v>14.142372</v>
      </c>
      <c r="AJ109" s="30">
        <v>14.144238</v>
      </c>
      <c r="AK109" s="30">
        <v>14.155263</v>
      </c>
      <c r="AL109" s="30">
        <v>14.15977</v>
      </c>
      <c r="AM109" s="30">
        <v>14.154216</v>
      </c>
      <c r="AN109" s="30">
        <v>14.155986</v>
      </c>
      <c r="AO109" s="30">
        <v>14.150665</v>
      </c>
      <c r="AP109" s="30">
        <v>14.151434999999999</v>
      </c>
      <c r="AQ109" s="30">
        <v>14.156991</v>
      </c>
      <c r="AR109" s="30">
        <v>14.151691</v>
      </c>
      <c r="AS109" s="30">
        <v>14.154591</v>
      </c>
      <c r="AT109" s="30">
        <v>14.146452999999999</v>
      </c>
      <c r="AU109" s="30">
        <v>14.151237999999999</v>
      </c>
      <c r="AV109" s="30">
        <v>14.150744</v>
      </c>
      <c r="AW109" s="30">
        <v>14.14879</v>
      </c>
    </row>
    <row r="110" spans="1:49" ht="18" customHeight="1">
      <c r="A110" s="23"/>
      <c r="B110" s="12"/>
      <c r="C110" s="79" t="s">
        <v>225</v>
      </c>
      <c r="D110" s="35" t="s">
        <v>283</v>
      </c>
      <c r="E110" s="35"/>
      <c r="F110" s="29" t="s">
        <v>284</v>
      </c>
      <c r="G110" s="38">
        <v>14.13</v>
      </c>
      <c r="H110" s="38">
        <v>0.05</v>
      </c>
      <c r="I110" s="38">
        <v>0.05</v>
      </c>
      <c r="J110" s="38">
        <v>0.08</v>
      </c>
      <c r="K110" s="38">
        <v>0.05</v>
      </c>
      <c r="L110" s="30">
        <f t="shared" si="4"/>
        <v>14.150529000000001</v>
      </c>
      <c r="M110" s="30">
        <f t="shared" si="5"/>
        <v>14.130153999999999</v>
      </c>
      <c r="N110" s="30">
        <f t="shared" si="6"/>
        <v>2.0375000000001364E-2</v>
      </c>
      <c r="O110" s="31">
        <f t="shared" si="7"/>
        <v>14.141267666666668</v>
      </c>
      <c r="P110" s="52"/>
      <c r="Q110" s="30">
        <v>14.135730000000001</v>
      </c>
      <c r="R110" s="30">
        <v>14.142661</v>
      </c>
      <c r="S110" s="30">
        <v>14.140661</v>
      </c>
      <c r="T110" s="30">
        <v>14.141259</v>
      </c>
      <c r="U110" s="30">
        <v>14.138762</v>
      </c>
      <c r="V110" s="30">
        <v>14.141313999999999</v>
      </c>
      <c r="W110" s="30">
        <v>14.142429999999999</v>
      </c>
      <c r="X110" s="30">
        <v>14.142332</v>
      </c>
      <c r="Y110" s="30">
        <v>14.144750999999999</v>
      </c>
      <c r="Z110" s="30">
        <v>14.141645</v>
      </c>
      <c r="AA110" s="30">
        <v>14.142106</v>
      </c>
      <c r="AB110" s="30">
        <v>14.139301</v>
      </c>
      <c r="AC110" s="30">
        <v>14.141754000000001</v>
      </c>
      <c r="AD110" s="30">
        <v>14.144640000000001</v>
      </c>
      <c r="AE110" s="30">
        <v>14.148348</v>
      </c>
      <c r="AF110" s="30">
        <v>14.150529000000001</v>
      </c>
      <c r="AG110" s="30">
        <v>14.149559</v>
      </c>
      <c r="AH110" s="30">
        <v>14.134873000000001</v>
      </c>
      <c r="AI110" s="30">
        <v>14.131726</v>
      </c>
      <c r="AJ110" s="30">
        <v>14.130153999999999</v>
      </c>
      <c r="AK110" s="30">
        <v>14.142877</v>
      </c>
      <c r="AL110" s="30">
        <v>14.143644999999999</v>
      </c>
      <c r="AM110" s="30">
        <v>14.142068</v>
      </c>
      <c r="AN110" s="30">
        <v>14.147289000000001</v>
      </c>
      <c r="AO110" s="30">
        <v>14.136684000000001</v>
      </c>
      <c r="AP110" s="30">
        <v>14.137249000000001</v>
      </c>
      <c r="AQ110" s="30">
        <v>14.142778</v>
      </c>
      <c r="AR110" s="30">
        <v>14.141456</v>
      </c>
      <c r="AS110" s="30">
        <v>14.141557000000001</v>
      </c>
      <c r="AT110" s="30">
        <v>14.137892000000001</v>
      </c>
      <c r="AU110" s="30">
        <v>14.142253999999999</v>
      </c>
      <c r="AV110" s="30">
        <v>14.14066</v>
      </c>
      <c r="AW110" s="30">
        <v>14.137411999999999</v>
      </c>
    </row>
    <row r="111" spans="1:49" ht="18" customHeight="1">
      <c r="A111" s="23"/>
      <c r="B111" s="12"/>
      <c r="C111" s="79" t="s">
        <v>225</v>
      </c>
      <c r="D111" s="35" t="s">
        <v>285</v>
      </c>
      <c r="E111" s="35"/>
      <c r="F111" s="29" t="s">
        <v>286</v>
      </c>
      <c r="G111" s="38">
        <v>14.13</v>
      </c>
      <c r="H111" s="38">
        <v>0.05</v>
      </c>
      <c r="I111" s="38">
        <v>0.05</v>
      </c>
      <c r="J111" s="38">
        <v>0.08</v>
      </c>
      <c r="K111" s="38">
        <v>0.05</v>
      </c>
      <c r="L111" s="30">
        <f t="shared" si="4"/>
        <v>14.139884</v>
      </c>
      <c r="M111" s="30">
        <f t="shared" si="5"/>
        <v>14.116070000000001</v>
      </c>
      <c r="N111" s="30">
        <f t="shared" si="6"/>
        <v>2.381399999999978E-2</v>
      </c>
      <c r="O111" s="31">
        <f t="shared" si="7"/>
        <v>14.129097666666665</v>
      </c>
      <c r="P111" s="52"/>
      <c r="Q111" s="30">
        <v>14.125698999999999</v>
      </c>
      <c r="R111" s="30">
        <v>14.131916</v>
      </c>
      <c r="S111" s="30">
        <v>14.128328</v>
      </c>
      <c r="T111" s="30">
        <v>14.122310000000001</v>
      </c>
      <c r="U111" s="30">
        <v>14.126353999999999</v>
      </c>
      <c r="V111" s="30">
        <v>14.127483</v>
      </c>
      <c r="W111" s="30">
        <v>14.132856</v>
      </c>
      <c r="X111" s="30">
        <v>14.129212000000001</v>
      </c>
      <c r="Y111" s="30">
        <v>14.131785000000001</v>
      </c>
      <c r="Z111" s="30">
        <v>14.128799000000001</v>
      </c>
      <c r="AA111" s="30">
        <v>14.131629999999999</v>
      </c>
      <c r="AB111" s="30">
        <v>14.125558</v>
      </c>
      <c r="AC111" s="30">
        <v>14.127644</v>
      </c>
      <c r="AD111" s="30">
        <v>14.133755000000001</v>
      </c>
      <c r="AE111" s="30">
        <v>14.139884</v>
      </c>
      <c r="AF111" s="30">
        <v>14.138446999999999</v>
      </c>
      <c r="AG111" s="30">
        <v>14.139479</v>
      </c>
      <c r="AH111" s="30">
        <v>14.124712000000001</v>
      </c>
      <c r="AI111" s="30">
        <v>14.121079999999999</v>
      </c>
      <c r="AJ111" s="30">
        <v>14.116070000000001</v>
      </c>
      <c r="AK111" s="30">
        <v>14.130490999999999</v>
      </c>
      <c r="AL111" s="30">
        <v>14.127520000000001</v>
      </c>
      <c r="AM111" s="30">
        <v>14.12992</v>
      </c>
      <c r="AN111" s="30">
        <v>14.138591999999999</v>
      </c>
      <c r="AO111" s="30">
        <v>14.122703</v>
      </c>
      <c r="AP111" s="30">
        <v>14.123063</v>
      </c>
      <c r="AQ111" s="30">
        <v>14.128565</v>
      </c>
      <c r="AR111" s="30">
        <v>14.131221</v>
      </c>
      <c r="AS111" s="30">
        <v>14.128522999999999</v>
      </c>
      <c r="AT111" s="30">
        <v>14.129331000000001</v>
      </c>
      <c r="AU111" s="30">
        <v>14.13327</v>
      </c>
      <c r="AV111" s="30">
        <v>14.130576</v>
      </c>
      <c r="AW111" s="30">
        <v>14.126034000000001</v>
      </c>
    </row>
    <row r="112" spans="1:49" ht="18" customHeight="1">
      <c r="A112" s="23"/>
      <c r="B112" s="12"/>
      <c r="C112" s="79" t="s">
        <v>225</v>
      </c>
      <c r="D112" s="35" t="s">
        <v>287</v>
      </c>
      <c r="E112" s="35"/>
      <c r="F112" s="29" t="s">
        <v>390</v>
      </c>
      <c r="G112" s="38">
        <v>0.15</v>
      </c>
      <c r="H112" s="38"/>
      <c r="I112" s="38"/>
      <c r="J112" s="38"/>
      <c r="K112" s="38"/>
      <c r="L112" s="30">
        <f t="shared" si="4"/>
        <v>0</v>
      </c>
      <c r="M112" s="30">
        <f t="shared" si="5"/>
        <v>0</v>
      </c>
      <c r="N112" s="30">
        <f t="shared" si="6"/>
        <v>0</v>
      </c>
      <c r="O112" s="31" t="e">
        <f t="shared" si="7"/>
        <v>#DIV/0!</v>
      </c>
      <c r="P112" s="52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</row>
    <row r="113" spans="1:49" ht="18" customHeight="1">
      <c r="A113" s="23"/>
      <c r="B113" s="12"/>
      <c r="C113" s="79" t="s">
        <v>225</v>
      </c>
      <c r="D113" s="35" t="s">
        <v>287</v>
      </c>
      <c r="E113" s="35"/>
      <c r="F113" s="29" t="s">
        <v>391</v>
      </c>
      <c r="G113" s="38">
        <v>0.15</v>
      </c>
      <c r="H113" s="38"/>
      <c r="I113" s="38"/>
      <c r="J113" s="38"/>
      <c r="K113" s="38"/>
      <c r="L113" s="30">
        <f t="shared" si="4"/>
        <v>0</v>
      </c>
      <c r="M113" s="30">
        <f t="shared" si="5"/>
        <v>0</v>
      </c>
      <c r="N113" s="30">
        <f t="shared" si="6"/>
        <v>0</v>
      </c>
      <c r="O113" s="31" t="e">
        <f t="shared" si="7"/>
        <v>#DIV/0!</v>
      </c>
      <c r="P113" s="52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</row>
    <row r="114" spans="1:49" ht="18" customHeight="1">
      <c r="A114" s="23"/>
      <c r="B114" s="12"/>
      <c r="C114" s="79" t="s">
        <v>225</v>
      </c>
      <c r="D114" s="35" t="s">
        <v>287</v>
      </c>
      <c r="E114" s="35"/>
      <c r="F114" s="29" t="s">
        <v>392</v>
      </c>
      <c r="G114" s="38">
        <v>0</v>
      </c>
      <c r="H114" s="38">
        <v>0.15</v>
      </c>
      <c r="I114" s="38">
        <v>0</v>
      </c>
      <c r="J114" s="38">
        <v>0.15</v>
      </c>
      <c r="K114" s="38">
        <v>0</v>
      </c>
      <c r="L114" s="30">
        <f t="shared" si="4"/>
        <v>0.14442099999999999</v>
      </c>
      <c r="M114" s="30">
        <f t="shared" si="5"/>
        <v>9.9096000000000004E-2</v>
      </c>
      <c r="N114" s="30">
        <f t="shared" si="6"/>
        <v>4.532499999999999E-2</v>
      </c>
      <c r="O114" s="31">
        <f t="shared" si="7"/>
        <v>0.12023066666666665</v>
      </c>
      <c r="P114" s="52"/>
      <c r="Q114" s="30">
        <v>0.119209</v>
      </c>
      <c r="R114" s="30">
        <v>0.119978</v>
      </c>
      <c r="S114" s="30">
        <v>0.11762599999999999</v>
      </c>
      <c r="T114" s="30">
        <v>0.122349</v>
      </c>
      <c r="U114" s="30">
        <v>0.12403599999999999</v>
      </c>
      <c r="V114" s="30">
        <v>0.13573099999999999</v>
      </c>
      <c r="W114" s="30">
        <v>0.121295</v>
      </c>
      <c r="X114" s="30">
        <v>0.11794200000000001</v>
      </c>
      <c r="Y114" s="30">
        <v>0.128637</v>
      </c>
      <c r="Z114" s="30">
        <v>0.118994</v>
      </c>
      <c r="AA114" s="30">
        <v>0.118988</v>
      </c>
      <c r="AB114" s="30">
        <v>0.12795899999999999</v>
      </c>
      <c r="AC114" s="30">
        <v>0.116782</v>
      </c>
      <c r="AD114" s="30">
        <v>0.105668</v>
      </c>
      <c r="AE114" s="30">
        <v>0.127527</v>
      </c>
      <c r="AF114" s="30">
        <v>0.12377100000000001</v>
      </c>
      <c r="AG114" s="30">
        <v>0.121409</v>
      </c>
      <c r="AH114" s="30">
        <v>0.12562400000000001</v>
      </c>
      <c r="AI114" s="30">
        <v>0.14442099999999999</v>
      </c>
      <c r="AJ114" s="30">
        <v>0.13782900000000001</v>
      </c>
      <c r="AK114" s="30">
        <v>0.12436999999999999</v>
      </c>
      <c r="AL114" s="30">
        <v>9.9096000000000004E-2</v>
      </c>
      <c r="AM114" s="30">
        <v>0.11919100000000001</v>
      </c>
      <c r="AN114" s="30">
        <v>0.11476699999999999</v>
      </c>
      <c r="AO114" s="30">
        <v>0.117105</v>
      </c>
      <c r="AP114" s="30">
        <v>0.108012</v>
      </c>
      <c r="AQ114" s="30">
        <v>0.116283</v>
      </c>
      <c r="AR114" s="30">
        <v>0.116671</v>
      </c>
      <c r="AS114" s="30">
        <v>0.104294</v>
      </c>
      <c r="AT114" s="30">
        <v>0.111356</v>
      </c>
      <c r="AU114" s="30">
        <v>0.10764799999999999</v>
      </c>
      <c r="AV114" s="30">
        <v>0.128942</v>
      </c>
      <c r="AW114" s="30">
        <v>0.12245</v>
      </c>
    </row>
    <row r="115" spans="1:49" ht="18" customHeight="1">
      <c r="A115" s="23"/>
      <c r="B115" s="12"/>
      <c r="C115" s="79" t="s">
        <v>225</v>
      </c>
      <c r="D115" s="35" t="s">
        <v>291</v>
      </c>
      <c r="E115" s="35"/>
      <c r="F115" s="29" t="s">
        <v>292</v>
      </c>
      <c r="G115" s="38">
        <v>0</v>
      </c>
      <c r="H115" s="38">
        <v>0.15</v>
      </c>
      <c r="I115" s="38">
        <v>0</v>
      </c>
      <c r="J115" s="38">
        <v>0.15</v>
      </c>
      <c r="K115" s="38">
        <v>0</v>
      </c>
      <c r="L115" s="30">
        <f t="shared" si="4"/>
        <v>0.11501</v>
      </c>
      <c r="M115" s="30">
        <f t="shared" si="5"/>
        <v>7.5415999999999997E-2</v>
      </c>
      <c r="N115" s="30">
        <f t="shared" si="6"/>
        <v>3.9594000000000004E-2</v>
      </c>
      <c r="O115" s="31">
        <f t="shared" si="7"/>
        <v>9.3318866666666708E-2</v>
      </c>
      <c r="P115" s="52"/>
      <c r="Q115" s="30">
        <v>9.2151999999999998E-2</v>
      </c>
      <c r="R115" s="30">
        <v>0.10141</v>
      </c>
      <c r="S115" s="30">
        <v>9.4601000000000005E-2</v>
      </c>
      <c r="T115" s="30">
        <v>9.9439E-2</v>
      </c>
      <c r="U115" s="30">
        <v>0.100037</v>
      </c>
      <c r="V115" s="30">
        <v>9.5915E-2</v>
      </c>
      <c r="W115" s="30">
        <v>9.1951000000000005E-2</v>
      </c>
      <c r="X115" s="30">
        <v>9.4309000000000004E-2</v>
      </c>
      <c r="Y115" s="30">
        <v>0.106791</v>
      </c>
      <c r="Z115" s="30">
        <v>9.5452999999999996E-2</v>
      </c>
      <c r="AA115" s="30">
        <v>9.2281000000000002E-2</v>
      </c>
      <c r="AB115" s="30">
        <v>9.4453999999999996E-2</v>
      </c>
      <c r="AC115" s="30">
        <v>8.7852E-2</v>
      </c>
      <c r="AD115" s="30">
        <v>8.1158999999999995E-2</v>
      </c>
      <c r="AE115" s="30">
        <v>9.6010999999999999E-2</v>
      </c>
      <c r="AF115" s="30">
        <v>9.7488000000000005E-2</v>
      </c>
      <c r="AG115" s="30">
        <v>9.5847000000000002E-2</v>
      </c>
      <c r="AH115" s="30">
        <v>9.5916000000000001E-2</v>
      </c>
      <c r="AI115" s="30">
        <v>0.11501</v>
      </c>
      <c r="AJ115" s="30">
        <v>0.10861</v>
      </c>
      <c r="AK115" s="30">
        <v>9.7545000000000007E-2</v>
      </c>
      <c r="AL115" s="30">
        <v>7.8648999999999997E-2</v>
      </c>
      <c r="AM115" s="30">
        <v>9.0120000000000006E-2</v>
      </c>
      <c r="AN115" s="30">
        <v>8.7327000000000002E-2</v>
      </c>
      <c r="AO115" s="30">
        <v>9.2919000000000002E-2</v>
      </c>
      <c r="AP115" s="30">
        <v>7.5415999999999997E-2</v>
      </c>
      <c r="AQ115" s="30">
        <v>9.3001E-2</v>
      </c>
      <c r="AR115" s="30">
        <v>8.9453000000000005E-2</v>
      </c>
      <c r="AS115" s="30">
        <v>7.6503000000000002E-2</v>
      </c>
      <c r="AT115" s="30">
        <v>8.1947000000000006E-2</v>
      </c>
      <c r="AU115" s="30">
        <v>8.1806000000000004E-2</v>
      </c>
      <c r="AV115" s="30">
        <v>9.7753999999999994E-2</v>
      </c>
      <c r="AW115" s="30">
        <v>9.3992999999999993E-2</v>
      </c>
    </row>
    <row r="116" spans="1:49" ht="18" customHeight="1">
      <c r="A116" s="23"/>
      <c r="B116" s="12"/>
      <c r="C116" s="79" t="s">
        <v>225</v>
      </c>
      <c r="D116" s="35" t="s">
        <v>293</v>
      </c>
      <c r="E116" s="35"/>
      <c r="F116" s="29" t="s">
        <v>294</v>
      </c>
      <c r="G116" s="38">
        <v>0</v>
      </c>
      <c r="H116" s="38">
        <v>0.14000000000000001</v>
      </c>
      <c r="I116" s="38">
        <v>0</v>
      </c>
      <c r="J116" s="38">
        <v>0.15</v>
      </c>
      <c r="K116" s="38">
        <v>0</v>
      </c>
      <c r="L116" s="30">
        <f t="shared" si="4"/>
        <v>0.13699900000000001</v>
      </c>
      <c r="M116" s="30">
        <f t="shared" si="5"/>
        <v>0.106741</v>
      </c>
      <c r="N116" s="30">
        <f t="shared" si="6"/>
        <v>3.0258000000000007E-2</v>
      </c>
      <c r="O116" s="31">
        <f t="shared" si="7"/>
        <v>0.11862609999999998</v>
      </c>
      <c r="P116" s="52"/>
      <c r="Q116" s="30">
        <v>0.109251</v>
      </c>
      <c r="R116" s="30">
        <v>0.125107</v>
      </c>
      <c r="S116" s="30">
        <v>0.112474</v>
      </c>
      <c r="T116" s="30">
        <v>0.11537500000000001</v>
      </c>
      <c r="U116" s="30">
        <v>0.126691</v>
      </c>
      <c r="V116" s="30">
        <v>0.13699900000000001</v>
      </c>
      <c r="W116" s="30">
        <v>0.111941</v>
      </c>
      <c r="X116" s="30">
        <v>0.12274599999999999</v>
      </c>
      <c r="Y116" s="30">
        <v>0.111112</v>
      </c>
      <c r="Z116" s="30">
        <v>0.11695700000000001</v>
      </c>
      <c r="AA116" s="30">
        <v>0.12013500000000001</v>
      </c>
      <c r="AB116" s="30">
        <v>0.122348</v>
      </c>
      <c r="AC116" s="30">
        <v>0.11693099999999999</v>
      </c>
      <c r="AD116" s="30">
        <v>0.11827600000000001</v>
      </c>
      <c r="AE116" s="30">
        <v>0.11190799999999999</v>
      </c>
      <c r="AF116" s="30">
        <v>0.11769</v>
      </c>
      <c r="AG116" s="30">
        <v>0.11974600000000001</v>
      </c>
      <c r="AH116" s="30">
        <v>0.11534999999999999</v>
      </c>
      <c r="AI116" s="30">
        <v>0.107103</v>
      </c>
      <c r="AJ116" s="30">
        <v>0.106741</v>
      </c>
      <c r="AK116" s="30">
        <v>0.124802</v>
      </c>
      <c r="AL116" s="30">
        <v>0.126031</v>
      </c>
      <c r="AM116" s="30">
        <v>0.117803</v>
      </c>
      <c r="AN116" s="30">
        <v>0.123991</v>
      </c>
      <c r="AO116" s="30">
        <v>0.126634</v>
      </c>
      <c r="AP116" s="30">
        <v>0.11132499999999999</v>
      </c>
      <c r="AQ116" s="30">
        <v>0.127085</v>
      </c>
      <c r="AR116" s="30">
        <v>0.116434</v>
      </c>
      <c r="AS116" s="30">
        <v>0.11878</v>
      </c>
      <c r="AT116" s="30">
        <v>0.121017</v>
      </c>
      <c r="AU116" s="30">
        <v>0.121646</v>
      </c>
      <c r="AV116" s="30">
        <v>0.109234</v>
      </c>
      <c r="AW116" s="30">
        <v>0.11672200000000001</v>
      </c>
    </row>
    <row r="117" spans="1:49" ht="18" customHeight="1">
      <c r="A117" s="23"/>
      <c r="B117" s="12"/>
      <c r="C117" s="79" t="s">
        <v>225</v>
      </c>
      <c r="D117" s="35" t="s">
        <v>295</v>
      </c>
      <c r="E117" s="35"/>
      <c r="F117" s="29" t="s">
        <v>296</v>
      </c>
      <c r="G117" s="38">
        <v>0</v>
      </c>
      <c r="H117" s="38">
        <v>0.15</v>
      </c>
      <c r="I117" s="38">
        <v>0</v>
      </c>
      <c r="J117" s="38">
        <v>0.15</v>
      </c>
      <c r="K117" s="38">
        <v>0</v>
      </c>
      <c r="L117" s="30">
        <f t="shared" si="4"/>
        <v>0.12636900000000001</v>
      </c>
      <c r="M117" s="30">
        <f t="shared" si="5"/>
        <v>9.0301000000000006E-2</v>
      </c>
      <c r="N117" s="30">
        <f t="shared" si="6"/>
        <v>3.6068000000000003E-2</v>
      </c>
      <c r="O117" s="31">
        <f t="shared" si="7"/>
        <v>0.10759950000000001</v>
      </c>
      <c r="P117" s="52"/>
      <c r="Q117" s="30">
        <v>0.10329000000000001</v>
      </c>
      <c r="R117" s="30">
        <v>0.115692</v>
      </c>
      <c r="S117" s="30">
        <v>0.105603</v>
      </c>
      <c r="T117" s="30">
        <v>0.107891</v>
      </c>
      <c r="U117" s="30">
        <v>0.113277</v>
      </c>
      <c r="V117" s="30">
        <v>0.11189399999999999</v>
      </c>
      <c r="W117" s="30">
        <v>0.101451</v>
      </c>
      <c r="X117" s="30">
        <v>0.113467</v>
      </c>
      <c r="Y117" s="30">
        <v>9.9601999999999996E-2</v>
      </c>
      <c r="Z117" s="30">
        <v>0.109275</v>
      </c>
      <c r="AA117" s="30">
        <v>0.105228</v>
      </c>
      <c r="AB117" s="30">
        <v>0.106146</v>
      </c>
      <c r="AC117" s="30">
        <v>0.101048</v>
      </c>
      <c r="AD117" s="30">
        <v>0.106458</v>
      </c>
      <c r="AE117" s="30">
        <v>9.6283999999999995E-2</v>
      </c>
      <c r="AF117" s="30">
        <v>0.11087</v>
      </c>
      <c r="AG117" s="30">
        <v>0.10996400000000001</v>
      </c>
      <c r="AH117" s="30">
        <v>9.9501999999999993E-2</v>
      </c>
      <c r="AI117" s="30">
        <v>9.3007000000000006E-2</v>
      </c>
      <c r="AJ117" s="30">
        <v>9.0301000000000006E-2</v>
      </c>
      <c r="AK117" s="30">
        <v>0.119077</v>
      </c>
      <c r="AL117" s="30">
        <v>0.12636900000000001</v>
      </c>
      <c r="AM117" s="30">
        <v>0.107726</v>
      </c>
      <c r="AN117" s="30">
        <v>0.113658</v>
      </c>
      <c r="AO117" s="30">
        <v>0.12337099999999999</v>
      </c>
      <c r="AP117" s="30">
        <v>9.3618000000000007E-2</v>
      </c>
      <c r="AQ117" s="30">
        <v>0.121631</v>
      </c>
      <c r="AR117" s="30">
        <v>0.10283</v>
      </c>
      <c r="AS117" s="30">
        <v>0.10971599999999999</v>
      </c>
      <c r="AT117" s="30">
        <v>0.109739</v>
      </c>
      <c r="AU117" s="30">
        <v>0.111414</v>
      </c>
      <c r="AV117" s="30">
        <v>0.100705</v>
      </c>
      <c r="AW117" s="30">
        <v>0.109677</v>
      </c>
    </row>
    <row r="118" spans="1:49" ht="18" customHeight="1">
      <c r="A118" s="23"/>
      <c r="B118" s="12"/>
      <c r="C118" s="79" t="s">
        <v>225</v>
      </c>
      <c r="D118" s="35" t="s">
        <v>297</v>
      </c>
      <c r="E118" s="35"/>
      <c r="F118" s="29" t="s">
        <v>298</v>
      </c>
      <c r="G118" s="38">
        <v>11.05</v>
      </c>
      <c r="H118" s="38">
        <v>0.05</v>
      </c>
      <c r="I118" s="38">
        <v>0.05</v>
      </c>
      <c r="J118" s="38">
        <v>0.05</v>
      </c>
      <c r="K118" s="38">
        <v>0.05</v>
      </c>
      <c r="L118" s="30">
        <f t="shared" si="4"/>
        <v>11.065481</v>
      </c>
      <c r="M118" s="30">
        <f t="shared" si="5"/>
        <v>11.042460999999999</v>
      </c>
      <c r="N118" s="30">
        <f t="shared" si="6"/>
        <v>2.3020000000000707E-2</v>
      </c>
      <c r="O118" s="31">
        <f t="shared" si="7"/>
        <v>11.057735466666664</v>
      </c>
      <c r="P118" s="52"/>
      <c r="Q118" s="30">
        <v>11.061591</v>
      </c>
      <c r="R118" s="30">
        <v>11.062571999999999</v>
      </c>
      <c r="S118" s="30">
        <v>11.064005999999999</v>
      </c>
      <c r="T118" s="30">
        <v>11.056168</v>
      </c>
      <c r="U118" s="30">
        <v>11.057669000000001</v>
      </c>
      <c r="V118" s="30">
        <v>11.063781000000001</v>
      </c>
      <c r="W118" s="30">
        <v>11.055528000000001</v>
      </c>
      <c r="X118" s="30">
        <v>11.060589999999999</v>
      </c>
      <c r="Y118" s="30">
        <v>11.055387</v>
      </c>
      <c r="Z118" s="30">
        <v>11.061419000000001</v>
      </c>
      <c r="AA118" s="30">
        <v>11.057261</v>
      </c>
      <c r="AB118" s="30">
        <v>11.058344</v>
      </c>
      <c r="AC118" s="30">
        <v>11.058630000000001</v>
      </c>
      <c r="AD118" s="30">
        <v>11.059714</v>
      </c>
      <c r="AE118" s="30">
        <v>11.056414999999999</v>
      </c>
      <c r="AF118" s="30">
        <v>11.060551</v>
      </c>
      <c r="AG118" s="30">
        <v>11.057337</v>
      </c>
      <c r="AH118" s="30">
        <v>11.050720999999999</v>
      </c>
      <c r="AI118" s="30">
        <v>11.042460999999999</v>
      </c>
      <c r="AJ118" s="30">
        <v>11.050774000000001</v>
      </c>
      <c r="AK118" s="30">
        <v>11.060916000000001</v>
      </c>
      <c r="AL118" s="30">
        <v>11.064005999999999</v>
      </c>
      <c r="AM118" s="30">
        <v>11.054781999999999</v>
      </c>
      <c r="AN118" s="30">
        <v>11.052212000000001</v>
      </c>
      <c r="AO118" s="30">
        <v>11.065481</v>
      </c>
      <c r="AP118" s="30">
        <v>11.052360999999999</v>
      </c>
      <c r="AQ118" s="30">
        <v>11.064849000000001</v>
      </c>
      <c r="AR118" s="30">
        <v>11.053735</v>
      </c>
      <c r="AS118" s="30">
        <v>11.058804</v>
      </c>
      <c r="AT118" s="30">
        <v>11.053998999999999</v>
      </c>
      <c r="AU118" s="30">
        <v>11.05728</v>
      </c>
      <c r="AV118" s="30">
        <v>11.053559999999999</v>
      </c>
      <c r="AW118" s="30">
        <v>11.054444</v>
      </c>
    </row>
    <row r="119" spans="1:49" ht="18" customHeight="1">
      <c r="A119" s="23"/>
      <c r="B119" s="12"/>
      <c r="C119" s="79" t="s">
        <v>225</v>
      </c>
      <c r="D119" s="35" t="s">
        <v>299</v>
      </c>
      <c r="E119" s="35"/>
      <c r="F119" s="29" t="s">
        <v>300</v>
      </c>
      <c r="G119" s="38">
        <v>11.05</v>
      </c>
      <c r="H119" s="38">
        <v>0.05</v>
      </c>
      <c r="I119" s="38">
        <v>0.05</v>
      </c>
      <c r="J119" s="38">
        <v>0.05</v>
      </c>
      <c r="K119" s="38">
        <v>0.05</v>
      </c>
      <c r="L119" s="30">
        <f t="shared" si="4"/>
        <v>11.039334</v>
      </c>
      <c r="M119" s="30">
        <f t="shared" si="5"/>
        <v>11.004943000000001</v>
      </c>
      <c r="N119" s="30">
        <f t="shared" si="6"/>
        <v>3.4390999999999394E-2</v>
      </c>
      <c r="O119" s="31">
        <f t="shared" si="7"/>
        <v>11.027209433333336</v>
      </c>
      <c r="P119" s="52"/>
      <c r="Q119" s="30">
        <v>11.029658</v>
      </c>
      <c r="R119" s="30">
        <v>11.035425</v>
      </c>
      <c r="S119" s="30">
        <v>11.037049</v>
      </c>
      <c r="T119" s="30">
        <v>11.035425</v>
      </c>
      <c r="U119" s="30">
        <v>11.029194</v>
      </c>
      <c r="V119" s="30">
        <v>11.033205000000001</v>
      </c>
      <c r="W119" s="30">
        <v>11.021789999999999</v>
      </c>
      <c r="X119" s="30">
        <v>11.030048000000001</v>
      </c>
      <c r="Y119" s="30">
        <v>11.024922</v>
      </c>
      <c r="Z119" s="30">
        <v>11.032774</v>
      </c>
      <c r="AA119" s="30">
        <v>11.024767000000001</v>
      </c>
      <c r="AB119" s="30">
        <v>11.027665000000001</v>
      </c>
      <c r="AC119" s="30">
        <v>11.02932</v>
      </c>
      <c r="AD119" s="30">
        <v>11.029254</v>
      </c>
      <c r="AE119" s="30">
        <v>11.024074000000001</v>
      </c>
      <c r="AF119" s="30">
        <v>11.033798000000001</v>
      </c>
      <c r="AG119" s="30">
        <v>11.02669</v>
      </c>
      <c r="AH119" s="30">
        <v>11.01688</v>
      </c>
      <c r="AI119" s="30">
        <v>11.004943000000001</v>
      </c>
      <c r="AJ119" s="30">
        <v>11.018974999999999</v>
      </c>
      <c r="AK119" s="30">
        <v>11.031076000000001</v>
      </c>
      <c r="AL119" s="30">
        <v>11.038498000000001</v>
      </c>
      <c r="AM119" s="30">
        <v>11.021383</v>
      </c>
      <c r="AN119" s="30">
        <v>11.01742</v>
      </c>
      <c r="AO119" s="30">
        <v>11.039334</v>
      </c>
      <c r="AP119" s="30">
        <v>11.023679</v>
      </c>
      <c r="AQ119" s="30">
        <v>11.03665</v>
      </c>
      <c r="AR119" s="30">
        <v>11.017265999999999</v>
      </c>
      <c r="AS119" s="30">
        <v>11.026588</v>
      </c>
      <c r="AT119" s="30">
        <v>11.018533</v>
      </c>
      <c r="AU119" s="30">
        <v>11.027115999999999</v>
      </c>
      <c r="AV119" s="30">
        <v>11.018295999999999</v>
      </c>
      <c r="AW119" s="30">
        <v>11.018205</v>
      </c>
    </row>
    <row r="120" spans="1:49" ht="18" customHeight="1">
      <c r="A120" s="23"/>
      <c r="B120" s="12"/>
      <c r="C120" s="79" t="s">
        <v>225</v>
      </c>
      <c r="D120" s="35" t="s">
        <v>301</v>
      </c>
      <c r="E120" s="35"/>
      <c r="F120" s="29" t="s">
        <v>302</v>
      </c>
      <c r="G120" s="38">
        <v>11.05</v>
      </c>
      <c r="H120" s="38">
        <v>0.05</v>
      </c>
      <c r="I120" s="38">
        <v>0.05</v>
      </c>
      <c r="J120" s="38">
        <v>0.05</v>
      </c>
      <c r="K120" s="38">
        <v>0.05</v>
      </c>
      <c r="L120" s="30">
        <f t="shared" si="4"/>
        <v>11.043863999999999</v>
      </c>
      <c r="M120" s="30">
        <f t="shared" si="5"/>
        <v>11.00672</v>
      </c>
      <c r="N120" s="30">
        <f t="shared" si="6"/>
        <v>3.7143999999999622E-2</v>
      </c>
      <c r="O120" s="31">
        <f t="shared" si="7"/>
        <v>11.031073733333329</v>
      </c>
      <c r="P120" s="52"/>
      <c r="Q120" s="30">
        <v>11.033550999999999</v>
      </c>
      <c r="R120" s="30">
        <v>11.040862000000001</v>
      </c>
      <c r="S120" s="30">
        <v>11.041809000000001</v>
      </c>
      <c r="T120" s="30">
        <v>11.041460000000001</v>
      </c>
      <c r="U120" s="30">
        <v>11.033289999999999</v>
      </c>
      <c r="V120" s="30">
        <v>11.036536</v>
      </c>
      <c r="W120" s="30">
        <v>11.024848</v>
      </c>
      <c r="X120" s="30">
        <v>11.033751000000001</v>
      </c>
      <c r="Y120" s="30">
        <v>11.032709000000001</v>
      </c>
      <c r="Z120" s="30">
        <v>11.036903000000001</v>
      </c>
      <c r="AA120" s="30">
        <v>11.027934999999999</v>
      </c>
      <c r="AB120" s="30">
        <v>11.031743000000001</v>
      </c>
      <c r="AC120" s="30">
        <v>11.033188000000001</v>
      </c>
      <c r="AD120" s="30">
        <v>11.032683</v>
      </c>
      <c r="AE120" s="30">
        <v>11.02655</v>
      </c>
      <c r="AF120" s="30">
        <v>11.038639</v>
      </c>
      <c r="AG120" s="30">
        <v>11.030549000000001</v>
      </c>
      <c r="AH120" s="30">
        <v>11.019310000000001</v>
      </c>
      <c r="AI120" s="30">
        <v>11.00672</v>
      </c>
      <c r="AJ120" s="30">
        <v>11.021706</v>
      </c>
      <c r="AK120" s="30">
        <v>11.034705000000001</v>
      </c>
      <c r="AL120" s="30">
        <v>11.043355</v>
      </c>
      <c r="AM120" s="30">
        <v>11.024431999999999</v>
      </c>
      <c r="AN120" s="30">
        <v>11.020452000000001</v>
      </c>
      <c r="AO120" s="30">
        <v>11.043863999999999</v>
      </c>
      <c r="AP120" s="30">
        <v>11.027808</v>
      </c>
      <c r="AQ120" s="30">
        <v>11.041128</v>
      </c>
      <c r="AR120" s="30">
        <v>11.019598</v>
      </c>
      <c r="AS120" s="30">
        <v>11.030438999999999</v>
      </c>
      <c r="AT120" s="30">
        <v>11.021689</v>
      </c>
      <c r="AU120" s="30">
        <v>11.031185000000001</v>
      </c>
      <c r="AV120" s="30">
        <v>11.021477000000001</v>
      </c>
      <c r="AW120" s="30">
        <v>11.020481</v>
      </c>
    </row>
    <row r="121" spans="1:49" ht="18" customHeight="1">
      <c r="A121" s="23"/>
      <c r="B121" s="12"/>
      <c r="C121" s="79" t="s">
        <v>225</v>
      </c>
      <c r="D121" s="35" t="s">
        <v>303</v>
      </c>
      <c r="E121" s="35"/>
      <c r="F121" s="29" t="s">
        <v>304</v>
      </c>
      <c r="G121" s="38">
        <v>21.59</v>
      </c>
      <c r="H121" s="38">
        <v>0.08</v>
      </c>
      <c r="I121" s="38">
        <v>0.05</v>
      </c>
      <c r="J121" s="38">
        <v>0.08</v>
      </c>
      <c r="K121" s="38">
        <v>0.05</v>
      </c>
      <c r="L121" s="30">
        <f t="shared" si="4"/>
        <v>21.579324</v>
      </c>
      <c r="M121" s="30">
        <f t="shared" si="5"/>
        <v>21.559806999999999</v>
      </c>
      <c r="N121" s="30">
        <f t="shared" si="6"/>
        <v>1.9517000000000451E-2</v>
      </c>
      <c r="O121" s="31">
        <f t="shared" si="7"/>
        <v>21.571561800000001</v>
      </c>
      <c r="P121" s="52"/>
      <c r="Q121" s="30">
        <v>21.572638000000001</v>
      </c>
      <c r="R121" s="30">
        <v>21.575163</v>
      </c>
      <c r="S121" s="30">
        <v>21.568697</v>
      </c>
      <c r="T121" s="30">
        <v>21.559806999999999</v>
      </c>
      <c r="U121" s="30">
        <v>21.579324</v>
      </c>
      <c r="V121" s="30">
        <v>21.574524</v>
      </c>
      <c r="W121" s="30">
        <v>21.566375000000001</v>
      </c>
      <c r="X121" s="30">
        <v>21.572783999999999</v>
      </c>
      <c r="Y121" s="30">
        <v>21.576146999999999</v>
      </c>
      <c r="Z121" s="30">
        <v>21.570910000000001</v>
      </c>
      <c r="AA121" s="30">
        <v>21.569375000000001</v>
      </c>
      <c r="AB121" s="30">
        <v>21.565681000000001</v>
      </c>
      <c r="AC121" s="30">
        <v>21.571096000000001</v>
      </c>
      <c r="AD121" s="30">
        <v>21.574473999999999</v>
      </c>
      <c r="AE121" s="30">
        <v>21.575885</v>
      </c>
      <c r="AF121" s="30">
        <v>21.578818999999999</v>
      </c>
      <c r="AG121" s="30">
        <v>21.577988999999999</v>
      </c>
      <c r="AH121" s="30">
        <v>21.577604000000001</v>
      </c>
      <c r="AI121" s="30">
        <v>21.566344000000001</v>
      </c>
      <c r="AJ121" s="30">
        <v>21.568525000000001</v>
      </c>
      <c r="AK121" s="30">
        <v>21.576574999999998</v>
      </c>
      <c r="AL121" s="30">
        <v>21.565362</v>
      </c>
      <c r="AM121" s="30">
        <v>21.572872</v>
      </c>
      <c r="AN121" s="30">
        <v>21.575181000000001</v>
      </c>
      <c r="AO121" s="30">
        <v>21.576740999999998</v>
      </c>
      <c r="AP121" s="30">
        <v>21.567330999999999</v>
      </c>
      <c r="AQ121" s="30">
        <v>21.566838000000001</v>
      </c>
      <c r="AR121" s="30">
        <v>21.565024999999999</v>
      </c>
      <c r="AS121" s="30">
        <v>21.570164999999999</v>
      </c>
      <c r="AT121" s="30">
        <v>21.568603</v>
      </c>
      <c r="AU121" s="30">
        <v>21.570399999999999</v>
      </c>
      <c r="AV121" s="30">
        <v>21.567433000000001</v>
      </c>
      <c r="AW121" s="30">
        <v>21.570046999999999</v>
      </c>
    </row>
    <row r="122" spans="1:49" ht="18" customHeight="1">
      <c r="A122" s="23"/>
      <c r="B122" s="12"/>
      <c r="C122" s="79" t="s">
        <v>225</v>
      </c>
      <c r="D122" s="35" t="s">
        <v>305</v>
      </c>
      <c r="E122" s="35"/>
      <c r="F122" s="29" t="s">
        <v>306</v>
      </c>
      <c r="G122" s="38">
        <v>21.59</v>
      </c>
      <c r="H122" s="38">
        <v>0.08</v>
      </c>
      <c r="I122" s="38">
        <v>0.05</v>
      </c>
      <c r="J122" s="38">
        <v>0.08</v>
      </c>
      <c r="K122" s="38">
        <v>0.05</v>
      </c>
      <c r="L122" s="30">
        <f t="shared" si="4"/>
        <v>21.574978000000002</v>
      </c>
      <c r="M122" s="30">
        <f t="shared" si="5"/>
        <v>21.557421999999999</v>
      </c>
      <c r="N122" s="30">
        <f t="shared" si="6"/>
        <v>1.755600000000257E-2</v>
      </c>
      <c r="O122" s="31">
        <f t="shared" si="7"/>
        <v>21.568210733333334</v>
      </c>
      <c r="P122" s="52"/>
      <c r="Q122" s="30">
        <v>21.568456000000001</v>
      </c>
      <c r="R122" s="30">
        <v>21.569475000000001</v>
      </c>
      <c r="S122" s="30">
        <v>21.564613000000001</v>
      </c>
      <c r="T122" s="30">
        <v>21.557421999999999</v>
      </c>
      <c r="U122" s="30">
        <v>21.574978000000002</v>
      </c>
      <c r="V122" s="30">
        <v>21.569889</v>
      </c>
      <c r="W122" s="30">
        <v>21.563814000000001</v>
      </c>
      <c r="X122" s="30">
        <v>21.568650000000002</v>
      </c>
      <c r="Y122" s="30">
        <v>21.571287999999999</v>
      </c>
      <c r="Z122" s="30">
        <v>21.567907000000002</v>
      </c>
      <c r="AA122" s="30">
        <v>21.565874000000001</v>
      </c>
      <c r="AB122" s="30">
        <v>21.564662999999999</v>
      </c>
      <c r="AC122" s="30">
        <v>21.567916</v>
      </c>
      <c r="AD122" s="30">
        <v>21.569804000000001</v>
      </c>
      <c r="AE122" s="30">
        <v>21.571901</v>
      </c>
      <c r="AF122" s="30">
        <v>21.573791</v>
      </c>
      <c r="AG122" s="30">
        <v>21.574179999999998</v>
      </c>
      <c r="AH122" s="30">
        <v>21.574074</v>
      </c>
      <c r="AI122" s="30">
        <v>21.566393000000001</v>
      </c>
      <c r="AJ122" s="30">
        <v>21.564876999999999</v>
      </c>
      <c r="AK122" s="30">
        <v>21.573352</v>
      </c>
      <c r="AL122" s="30">
        <v>21.563089000000002</v>
      </c>
      <c r="AM122" s="30">
        <v>21.570485000000001</v>
      </c>
      <c r="AN122" s="30">
        <v>21.572825000000002</v>
      </c>
      <c r="AO122" s="30">
        <v>21.572782</v>
      </c>
      <c r="AP122" s="30">
        <v>21.564992</v>
      </c>
      <c r="AQ122" s="30">
        <v>21.563212</v>
      </c>
      <c r="AR122" s="30">
        <v>21.562902999999999</v>
      </c>
      <c r="AS122" s="30">
        <v>21.566737</v>
      </c>
      <c r="AT122" s="30">
        <v>21.56598</v>
      </c>
      <c r="AU122" s="30">
        <v>21.566548000000001</v>
      </c>
      <c r="AV122" s="30">
        <v>21.564177999999998</v>
      </c>
      <c r="AW122" s="30">
        <v>21.566041999999999</v>
      </c>
    </row>
    <row r="123" spans="1:49" ht="18" customHeight="1">
      <c r="A123" s="22"/>
      <c r="B123" s="11"/>
      <c r="C123" s="80" t="s">
        <v>225</v>
      </c>
      <c r="D123" s="56" t="s">
        <v>307</v>
      </c>
      <c r="E123" s="35"/>
      <c r="F123" s="57" t="s">
        <v>308</v>
      </c>
      <c r="G123" s="58">
        <v>21.59</v>
      </c>
      <c r="H123" s="58">
        <v>0.08</v>
      </c>
      <c r="I123" s="58">
        <v>0.05</v>
      </c>
      <c r="J123" s="58">
        <v>0.08</v>
      </c>
      <c r="K123" s="58">
        <v>0.05</v>
      </c>
      <c r="L123" s="30">
        <f t="shared" si="4"/>
        <v>21.618048999999999</v>
      </c>
      <c r="M123" s="30">
        <f t="shared" si="5"/>
        <v>21.606901000000001</v>
      </c>
      <c r="N123" s="30">
        <f t="shared" si="6"/>
        <v>1.1147999999998603E-2</v>
      </c>
      <c r="O123" s="31">
        <f t="shared" si="7"/>
        <v>21.613178133333331</v>
      </c>
      <c r="P123" s="62"/>
      <c r="Q123" s="30">
        <v>21.614577000000001</v>
      </c>
      <c r="R123" s="30">
        <v>21.614467999999999</v>
      </c>
      <c r="S123" s="30">
        <v>21.610278000000001</v>
      </c>
      <c r="T123" s="30">
        <v>21.610021</v>
      </c>
      <c r="U123" s="30">
        <v>21.618048999999999</v>
      </c>
      <c r="V123" s="30">
        <v>21.613606999999998</v>
      </c>
      <c r="W123" s="30">
        <v>21.612314999999999</v>
      </c>
      <c r="X123" s="30">
        <v>21.615289000000001</v>
      </c>
      <c r="Y123" s="30">
        <v>21.612490000000001</v>
      </c>
      <c r="Z123" s="30">
        <v>21.613377</v>
      </c>
      <c r="AA123" s="30">
        <v>21.611219999999999</v>
      </c>
      <c r="AB123" s="30">
        <v>21.614906999999999</v>
      </c>
      <c r="AC123" s="30">
        <v>21.612002</v>
      </c>
      <c r="AD123" s="30">
        <v>21.611953</v>
      </c>
      <c r="AE123" s="30">
        <v>21.613189999999999</v>
      </c>
      <c r="AF123" s="30">
        <v>21.614308999999999</v>
      </c>
      <c r="AG123" s="30">
        <v>21.616807999999999</v>
      </c>
      <c r="AH123" s="30">
        <v>21.613918999999999</v>
      </c>
      <c r="AI123" s="30">
        <v>21.612587999999999</v>
      </c>
      <c r="AJ123" s="30">
        <v>21.606901000000001</v>
      </c>
      <c r="AK123" s="30">
        <v>21.616741000000001</v>
      </c>
      <c r="AL123" s="30">
        <v>21.611927000000001</v>
      </c>
      <c r="AM123" s="30">
        <v>21.614664000000001</v>
      </c>
      <c r="AN123" s="30">
        <v>21.616555999999999</v>
      </c>
      <c r="AO123" s="30">
        <v>21.615953999999999</v>
      </c>
      <c r="AP123" s="30">
        <v>21.609134999999998</v>
      </c>
      <c r="AQ123" s="30">
        <v>21.611485999999999</v>
      </c>
      <c r="AR123" s="30">
        <v>21.6111</v>
      </c>
      <c r="AS123" s="30">
        <v>21.612065000000001</v>
      </c>
      <c r="AT123" s="30">
        <v>21.613448000000002</v>
      </c>
      <c r="AU123" s="30">
        <v>21.611622000000001</v>
      </c>
      <c r="AV123" s="30">
        <v>21.608689999999999</v>
      </c>
      <c r="AW123" s="30">
        <v>21.610772999999998</v>
      </c>
    </row>
    <row r="124" spans="1:49" ht="18" customHeight="1" thickBot="1">
      <c r="A124" s="21"/>
      <c r="B124" s="11"/>
      <c r="C124" s="81" t="s">
        <v>115</v>
      </c>
      <c r="D124" s="56" t="s">
        <v>309</v>
      </c>
      <c r="E124" s="35"/>
      <c r="F124" s="57"/>
      <c r="G124" s="58">
        <v>0</v>
      </c>
      <c r="H124" s="58">
        <v>0</v>
      </c>
      <c r="I124" s="58">
        <v>0.1</v>
      </c>
      <c r="J124" s="58">
        <v>0</v>
      </c>
      <c r="K124" s="58">
        <v>0.1</v>
      </c>
      <c r="L124" s="59">
        <f t="shared" si="4"/>
        <v>8.0000000000000002E-3</v>
      </c>
      <c r="M124" s="59">
        <f t="shared" si="5"/>
        <v>-5.0999999999999997E-2</v>
      </c>
      <c r="N124" s="59">
        <f t="shared" si="6"/>
        <v>5.8999999999999997E-2</v>
      </c>
      <c r="O124" s="60">
        <f t="shared" si="7"/>
        <v>-3.0766666666666678E-2</v>
      </c>
      <c r="P124" s="53"/>
      <c r="Q124" s="30">
        <v>-4.8000000000000001E-2</v>
      </c>
      <c r="R124" s="30">
        <v>-3.5000000000000003E-2</v>
      </c>
      <c r="S124" s="30">
        <v>-3.4000000000000002E-2</v>
      </c>
      <c r="T124" s="30">
        <v>-3.5999999999999997E-2</v>
      </c>
      <c r="U124" s="30">
        <v>-1.4E-2</v>
      </c>
      <c r="V124" s="30">
        <v>-1.4999999999999999E-2</v>
      </c>
      <c r="W124" s="30">
        <v>-1.4999999999999999E-2</v>
      </c>
      <c r="X124" s="30">
        <v>-4.2000000000000003E-2</v>
      </c>
      <c r="Y124" s="30">
        <v>-4.2999999999999997E-2</v>
      </c>
      <c r="Z124" s="30">
        <v>-0.05</v>
      </c>
      <c r="AA124" s="30">
        <v>-2.5000000000000001E-2</v>
      </c>
      <c r="AB124" s="30">
        <v>-0.04</v>
      </c>
      <c r="AC124" s="30">
        <v>-4.5999999999999999E-2</v>
      </c>
      <c r="AD124" s="30">
        <v>-2.3E-2</v>
      </c>
      <c r="AE124" s="30">
        <v>-4.1000000000000002E-2</v>
      </c>
      <c r="AF124" s="30">
        <v>-3.5999999999999997E-2</v>
      </c>
      <c r="AG124" s="30">
        <v>-4.1000000000000002E-2</v>
      </c>
      <c r="AH124" s="30">
        <v>-4.8000000000000001E-2</v>
      </c>
      <c r="AI124" s="30">
        <v>-4.7E-2</v>
      </c>
      <c r="AJ124" s="30">
        <v>-5.0000000000000001E-3</v>
      </c>
      <c r="AK124" s="30">
        <v>-4.1000000000000002E-2</v>
      </c>
      <c r="AL124" s="30">
        <v>-5.0999999999999997E-2</v>
      </c>
      <c r="AM124" s="30">
        <v>-3.7999999999999999E-2</v>
      </c>
      <c r="AN124" s="30">
        <v>-3.2000000000000001E-2</v>
      </c>
      <c r="AO124" s="30">
        <v>-2.9000000000000001E-2</v>
      </c>
      <c r="AP124" s="30">
        <v>-1.2E-2</v>
      </c>
      <c r="AQ124" s="30">
        <v>-1.9E-2</v>
      </c>
      <c r="AR124" s="30">
        <v>-1.6E-2</v>
      </c>
      <c r="AS124" s="30">
        <v>8.0000000000000002E-3</v>
      </c>
      <c r="AT124" s="30">
        <v>-8.9999999999999993E-3</v>
      </c>
      <c r="AU124" s="30">
        <v>-3.2000000000000001E-2</v>
      </c>
      <c r="AV124" s="30">
        <v>-4.5999999999999999E-2</v>
      </c>
      <c r="AW124" s="30">
        <v>-3.6999999999999998E-2</v>
      </c>
    </row>
    <row r="125" spans="1:49" ht="18" customHeight="1">
      <c r="A125" s="24"/>
      <c r="B125" s="20" t="s">
        <v>393</v>
      </c>
      <c r="C125" s="74" t="s">
        <v>65</v>
      </c>
      <c r="D125" s="34" t="s">
        <v>311</v>
      </c>
      <c r="E125" s="34"/>
      <c r="F125" s="26" t="s">
        <v>67</v>
      </c>
      <c r="G125" s="37">
        <v>80</v>
      </c>
      <c r="H125" s="37">
        <v>0.1</v>
      </c>
      <c r="I125" s="37">
        <v>0.1</v>
      </c>
      <c r="J125" s="37">
        <v>0.2</v>
      </c>
      <c r="K125" s="37">
        <v>0.1</v>
      </c>
      <c r="L125" s="27">
        <f t="shared" si="4"/>
        <v>79.977999999999994</v>
      </c>
      <c r="M125" s="27">
        <f t="shared" si="5"/>
        <v>79.930999999999997</v>
      </c>
      <c r="N125" s="27">
        <f t="shared" si="6"/>
        <v>4.6999999999997044E-2</v>
      </c>
      <c r="O125" s="28">
        <f t="shared" si="7"/>
        <v>79.957533333333316</v>
      </c>
      <c r="P125" s="51"/>
      <c r="Q125" s="30">
        <v>79.963999999999999</v>
      </c>
      <c r="R125" s="30">
        <v>79.963999999999999</v>
      </c>
      <c r="S125" s="30">
        <v>79.962999999999994</v>
      </c>
      <c r="T125" s="30">
        <v>79.945999999999998</v>
      </c>
      <c r="U125" s="30">
        <v>79.951999999999998</v>
      </c>
      <c r="V125" s="30">
        <v>79.959000000000003</v>
      </c>
      <c r="W125" s="30">
        <v>79.962999999999994</v>
      </c>
      <c r="X125" s="30">
        <v>79.956999999999994</v>
      </c>
      <c r="Y125" s="30">
        <v>79.960999999999999</v>
      </c>
      <c r="Z125" s="30">
        <v>79.959000000000003</v>
      </c>
      <c r="AA125" s="30">
        <v>79.977999999999994</v>
      </c>
      <c r="AB125" s="30">
        <v>79.97</v>
      </c>
      <c r="AC125" s="30">
        <v>79.974000000000004</v>
      </c>
      <c r="AD125" s="30">
        <v>79.966999999999999</v>
      </c>
      <c r="AE125" s="30">
        <v>79.972999999999999</v>
      </c>
      <c r="AF125" s="30">
        <v>79.965999999999994</v>
      </c>
      <c r="AG125" s="30">
        <v>79.97</v>
      </c>
      <c r="AH125" s="30">
        <v>79.95</v>
      </c>
      <c r="AI125" s="30">
        <v>79.944999999999993</v>
      </c>
      <c r="AJ125" s="30">
        <v>79.950999999999993</v>
      </c>
      <c r="AK125" s="30">
        <v>79.947000000000003</v>
      </c>
      <c r="AL125" s="30">
        <v>79.962999999999994</v>
      </c>
      <c r="AM125" s="30">
        <v>79.950999999999993</v>
      </c>
      <c r="AN125" s="30">
        <v>79.930999999999997</v>
      </c>
      <c r="AO125" s="30">
        <v>79.956000000000003</v>
      </c>
      <c r="AP125" s="30">
        <v>79.956999999999994</v>
      </c>
      <c r="AQ125" s="30">
        <v>79.945999999999998</v>
      </c>
      <c r="AR125" s="30">
        <v>79.95</v>
      </c>
      <c r="AS125" s="30">
        <v>79.959999999999994</v>
      </c>
      <c r="AT125" s="30">
        <v>79.933000000000007</v>
      </c>
      <c r="AU125" s="30">
        <v>79.968000000000004</v>
      </c>
      <c r="AV125" s="30">
        <v>79.957999999999998</v>
      </c>
      <c r="AW125" s="30">
        <v>79.938999999999993</v>
      </c>
    </row>
    <row r="126" spans="1:49" ht="18" customHeight="1">
      <c r="A126" s="23"/>
      <c r="B126" s="19"/>
      <c r="C126" s="75" t="s">
        <v>65</v>
      </c>
      <c r="D126" s="35" t="s">
        <v>68</v>
      </c>
      <c r="E126" s="35"/>
      <c r="F126" s="29" t="s">
        <v>69</v>
      </c>
      <c r="G126" s="38">
        <v>73.31</v>
      </c>
      <c r="H126" s="38">
        <v>0.09</v>
      </c>
      <c r="I126" s="38">
        <v>0.06</v>
      </c>
      <c r="J126" s="38">
        <v>0.09</v>
      </c>
      <c r="K126" s="38">
        <v>0.06</v>
      </c>
      <c r="L126" s="30">
        <f t="shared" si="4"/>
        <v>73.400000000000006</v>
      </c>
      <c r="M126" s="30">
        <f t="shared" si="5"/>
        <v>73.372</v>
      </c>
      <c r="N126" s="30">
        <f t="shared" si="6"/>
        <v>2.8000000000005798E-2</v>
      </c>
      <c r="O126" s="31">
        <f t="shared" si="7"/>
        <v>73.386200000000002</v>
      </c>
      <c r="P126" s="52"/>
      <c r="Q126" s="30">
        <v>73.388000000000005</v>
      </c>
      <c r="R126" s="30">
        <v>73.382000000000005</v>
      </c>
      <c r="S126" s="30">
        <v>73.385000000000005</v>
      </c>
      <c r="T126" s="30">
        <v>73.382000000000005</v>
      </c>
      <c r="U126" s="30">
        <v>73.382000000000005</v>
      </c>
      <c r="V126" s="30">
        <v>73.39</v>
      </c>
      <c r="W126" s="30">
        <v>73.387</v>
      </c>
      <c r="X126" s="30">
        <v>73.385999999999996</v>
      </c>
      <c r="Y126" s="30">
        <v>73.391999999999996</v>
      </c>
      <c r="Z126" s="30">
        <v>73.385000000000005</v>
      </c>
      <c r="AA126" s="30">
        <v>73.378</v>
      </c>
      <c r="AB126" s="30">
        <v>73.399000000000001</v>
      </c>
      <c r="AC126" s="30">
        <v>73.397999999999996</v>
      </c>
      <c r="AD126" s="30">
        <v>73.399000000000001</v>
      </c>
      <c r="AE126" s="30">
        <v>73.397999999999996</v>
      </c>
      <c r="AF126" s="30">
        <v>73.388999999999996</v>
      </c>
      <c r="AG126" s="30">
        <v>73.397000000000006</v>
      </c>
      <c r="AH126" s="30">
        <v>73.376000000000005</v>
      </c>
      <c r="AI126" s="30">
        <v>73.372</v>
      </c>
      <c r="AJ126" s="30">
        <v>73.379000000000005</v>
      </c>
      <c r="AK126" s="30">
        <v>73.38</v>
      </c>
      <c r="AL126" s="30">
        <v>73.400000000000006</v>
      </c>
      <c r="AM126" s="30">
        <v>73.385999999999996</v>
      </c>
      <c r="AN126" s="30">
        <v>73.376999999999995</v>
      </c>
      <c r="AO126" s="30">
        <v>73.38</v>
      </c>
      <c r="AP126" s="30">
        <v>73.382000000000005</v>
      </c>
      <c r="AQ126" s="30">
        <v>73.382000000000005</v>
      </c>
      <c r="AR126" s="30">
        <v>73.384</v>
      </c>
      <c r="AS126" s="30">
        <v>73.397999999999996</v>
      </c>
      <c r="AT126" s="30">
        <v>73.373000000000005</v>
      </c>
      <c r="AU126" s="30">
        <v>73.400000000000006</v>
      </c>
      <c r="AV126" s="30">
        <v>73.397999999999996</v>
      </c>
      <c r="AW126" s="30">
        <v>73.382000000000005</v>
      </c>
    </row>
    <row r="127" spans="1:49" ht="18" customHeight="1">
      <c r="A127" s="23"/>
      <c r="B127" s="19"/>
      <c r="C127" s="75" t="s">
        <v>65</v>
      </c>
      <c r="D127" s="35" t="s">
        <v>70</v>
      </c>
      <c r="E127" s="35"/>
      <c r="F127" s="29" t="s">
        <v>71</v>
      </c>
      <c r="G127" s="38"/>
      <c r="H127" s="38">
        <v>0.08</v>
      </c>
      <c r="I127" s="38"/>
      <c r="J127" s="38">
        <v>0.08</v>
      </c>
      <c r="K127" s="38"/>
      <c r="L127" s="30">
        <f t="shared" si="4"/>
        <v>5.6000000000000001E-2</v>
      </c>
      <c r="M127" s="30">
        <f t="shared" si="5"/>
        <v>2.9000000000000001E-2</v>
      </c>
      <c r="N127" s="30">
        <f t="shared" si="6"/>
        <v>2.7E-2</v>
      </c>
      <c r="O127" s="31">
        <f t="shared" si="7"/>
        <v>3.4733333333333345E-2</v>
      </c>
      <c r="P127" s="52"/>
      <c r="Q127" s="30">
        <v>3.7999999999999999E-2</v>
      </c>
      <c r="R127" s="30">
        <v>3.7999999999999999E-2</v>
      </c>
      <c r="S127" s="30">
        <v>3.5000000000000003E-2</v>
      </c>
      <c r="T127" s="30">
        <v>3.6999999999999998E-2</v>
      </c>
      <c r="U127" s="30">
        <v>3.3000000000000002E-2</v>
      </c>
      <c r="V127" s="30">
        <v>3.2000000000000001E-2</v>
      </c>
      <c r="W127" s="30">
        <v>3.5000000000000003E-2</v>
      </c>
      <c r="X127" s="30">
        <v>3.3000000000000002E-2</v>
      </c>
      <c r="Y127" s="30">
        <v>3.4000000000000002E-2</v>
      </c>
      <c r="Z127" s="30">
        <v>3.3000000000000002E-2</v>
      </c>
      <c r="AA127" s="30">
        <v>5.6000000000000001E-2</v>
      </c>
      <c r="AB127" s="30">
        <v>3.4000000000000002E-2</v>
      </c>
      <c r="AC127" s="30">
        <v>0.04</v>
      </c>
      <c r="AD127" s="30">
        <v>3.1E-2</v>
      </c>
      <c r="AE127" s="30">
        <v>3.5000000000000003E-2</v>
      </c>
      <c r="AF127" s="30">
        <v>3.4000000000000002E-2</v>
      </c>
      <c r="AG127" s="30">
        <v>3.3000000000000002E-2</v>
      </c>
      <c r="AH127" s="30">
        <v>3.6999999999999998E-2</v>
      </c>
      <c r="AI127" s="30">
        <v>3.2000000000000001E-2</v>
      </c>
      <c r="AJ127" s="30">
        <v>3.4000000000000002E-2</v>
      </c>
      <c r="AK127" s="30">
        <v>3.4000000000000002E-2</v>
      </c>
      <c r="AL127" s="30">
        <v>2.9000000000000001E-2</v>
      </c>
      <c r="AM127" s="30">
        <v>3.3000000000000002E-2</v>
      </c>
      <c r="AN127" s="30">
        <v>3.3000000000000002E-2</v>
      </c>
      <c r="AO127" s="30">
        <v>3.4000000000000002E-2</v>
      </c>
      <c r="AP127" s="30">
        <v>3.2000000000000001E-2</v>
      </c>
      <c r="AQ127" s="30">
        <v>3.3000000000000002E-2</v>
      </c>
      <c r="AR127" s="30">
        <v>3.4000000000000002E-2</v>
      </c>
      <c r="AS127" s="30">
        <v>3.3000000000000002E-2</v>
      </c>
      <c r="AT127" s="30">
        <v>3.3000000000000002E-2</v>
      </c>
      <c r="AU127" s="30">
        <v>2.5000000000000001E-2</v>
      </c>
      <c r="AV127" s="30">
        <v>3.4000000000000002E-2</v>
      </c>
      <c r="AW127" s="30">
        <v>3.5000000000000003E-2</v>
      </c>
    </row>
    <row r="128" spans="1:49" ht="18" customHeight="1">
      <c r="A128" s="23"/>
      <c r="B128" s="19"/>
      <c r="C128" s="75" t="s">
        <v>65</v>
      </c>
      <c r="D128" s="35" t="s">
        <v>72</v>
      </c>
      <c r="E128" s="35" t="s">
        <v>394</v>
      </c>
      <c r="F128" s="29" t="s">
        <v>74</v>
      </c>
      <c r="G128" s="38">
        <v>80</v>
      </c>
      <c r="H128" s="38">
        <v>0.1</v>
      </c>
      <c r="I128" s="38">
        <v>0.1</v>
      </c>
      <c r="J128" s="38">
        <v>0.1</v>
      </c>
      <c r="K128" s="38">
        <v>0.1</v>
      </c>
      <c r="L128" s="30">
        <f t="shared" si="4"/>
        <v>80.031000000000006</v>
      </c>
      <c r="M128" s="30">
        <f t="shared" si="5"/>
        <v>79.978999999999999</v>
      </c>
      <c r="N128" s="30">
        <f t="shared" si="6"/>
        <v>5.2000000000006708E-2</v>
      </c>
      <c r="O128" s="31">
        <f t="shared" si="7"/>
        <v>80.011933333333346</v>
      </c>
      <c r="P128" s="52"/>
      <c r="Q128" s="30">
        <v>80.031000000000006</v>
      </c>
      <c r="R128" s="30">
        <v>80.03</v>
      </c>
      <c r="S128" s="30">
        <v>80.021000000000001</v>
      </c>
      <c r="T128" s="30">
        <v>80.003</v>
      </c>
      <c r="U128" s="30">
        <v>80.004999999999995</v>
      </c>
      <c r="V128" s="30">
        <v>80.016999999999996</v>
      </c>
      <c r="W128" s="30">
        <v>80.022999999999996</v>
      </c>
      <c r="X128" s="30">
        <v>80.025000000000006</v>
      </c>
      <c r="Y128" s="30">
        <v>80.018000000000001</v>
      </c>
      <c r="Z128" s="30">
        <v>80.02</v>
      </c>
      <c r="AA128" s="30">
        <v>80.025999999999996</v>
      </c>
      <c r="AB128" s="30">
        <v>80.031000000000006</v>
      </c>
      <c r="AC128" s="30">
        <v>80.028000000000006</v>
      </c>
      <c r="AD128" s="30">
        <v>80.027000000000001</v>
      </c>
      <c r="AE128" s="30">
        <v>80.025999999999996</v>
      </c>
      <c r="AF128" s="30">
        <v>80.013000000000005</v>
      </c>
      <c r="AG128" s="30">
        <v>80.016000000000005</v>
      </c>
      <c r="AH128" s="30">
        <v>80.004999999999995</v>
      </c>
      <c r="AI128" s="30">
        <v>79.995999999999995</v>
      </c>
      <c r="AJ128" s="30">
        <v>80.006</v>
      </c>
      <c r="AK128" s="30">
        <v>79.994</v>
      </c>
      <c r="AL128" s="30">
        <v>80.016000000000005</v>
      </c>
      <c r="AM128" s="30">
        <v>80</v>
      </c>
      <c r="AN128" s="30">
        <v>79.978999999999999</v>
      </c>
      <c r="AO128" s="30">
        <v>80.004999999999995</v>
      </c>
      <c r="AP128" s="30">
        <v>80.004999999999995</v>
      </c>
      <c r="AQ128" s="30">
        <v>80.001999999999995</v>
      </c>
      <c r="AR128" s="30">
        <v>79.997</v>
      </c>
      <c r="AS128" s="30">
        <v>80.007999999999996</v>
      </c>
      <c r="AT128" s="30">
        <v>79.984999999999999</v>
      </c>
      <c r="AU128" s="30">
        <v>80.031000000000006</v>
      </c>
      <c r="AV128" s="30">
        <v>80.013999999999996</v>
      </c>
      <c r="AW128" s="30">
        <v>79.995999999999995</v>
      </c>
    </row>
    <row r="129" spans="1:49" ht="18" customHeight="1">
      <c r="A129" s="23"/>
      <c r="B129" s="19"/>
      <c r="C129" s="75" t="s">
        <v>65</v>
      </c>
      <c r="D129" s="35" t="s">
        <v>75</v>
      </c>
      <c r="E129" s="35"/>
      <c r="F129" s="29" t="s">
        <v>76</v>
      </c>
      <c r="G129" s="38">
        <v>80</v>
      </c>
      <c r="H129" s="38">
        <v>0.1</v>
      </c>
      <c r="I129" s="38">
        <v>0.1</v>
      </c>
      <c r="J129" s="38">
        <v>0.1</v>
      </c>
      <c r="K129" s="38">
        <v>0.1</v>
      </c>
      <c r="L129" s="30">
        <f t="shared" si="4"/>
        <v>80.001999999999995</v>
      </c>
      <c r="M129" s="30">
        <f t="shared" si="5"/>
        <v>79.947000000000003</v>
      </c>
      <c r="N129" s="30">
        <f t="shared" si="6"/>
        <v>5.499999999999261E-2</v>
      </c>
      <c r="O129" s="31">
        <f t="shared" si="7"/>
        <v>79.97669999999998</v>
      </c>
      <c r="P129" s="52"/>
      <c r="Q129" s="30">
        <v>79.984999999999999</v>
      </c>
      <c r="R129" s="30">
        <v>79.983000000000004</v>
      </c>
      <c r="S129" s="30">
        <v>79.984999999999999</v>
      </c>
      <c r="T129" s="30">
        <v>79.960999999999999</v>
      </c>
      <c r="U129" s="30">
        <v>79.965000000000003</v>
      </c>
      <c r="V129" s="30">
        <v>79.980999999999995</v>
      </c>
      <c r="W129" s="30">
        <v>79.98</v>
      </c>
      <c r="X129" s="30">
        <v>79.980999999999995</v>
      </c>
      <c r="Y129" s="30">
        <v>79.977999999999994</v>
      </c>
      <c r="Z129" s="30">
        <v>79.97</v>
      </c>
      <c r="AA129" s="30">
        <v>80.001999999999995</v>
      </c>
      <c r="AB129" s="30">
        <v>79.988</v>
      </c>
      <c r="AC129" s="30">
        <v>79.991</v>
      </c>
      <c r="AD129" s="30">
        <v>79.989999999999995</v>
      </c>
      <c r="AE129" s="30">
        <v>79.994</v>
      </c>
      <c r="AF129" s="30">
        <v>79.968000000000004</v>
      </c>
      <c r="AG129" s="30">
        <v>79.977999999999994</v>
      </c>
      <c r="AH129" s="30">
        <v>79.965999999999994</v>
      </c>
      <c r="AI129" s="30">
        <v>79.956000000000003</v>
      </c>
      <c r="AJ129" s="30">
        <v>79.971999999999994</v>
      </c>
      <c r="AK129" s="30">
        <v>79.962999999999994</v>
      </c>
      <c r="AL129" s="30">
        <v>79.995999999999995</v>
      </c>
      <c r="AM129" s="30">
        <v>79.97</v>
      </c>
      <c r="AN129" s="30">
        <v>79.947000000000003</v>
      </c>
      <c r="AO129" s="30">
        <v>79.974999999999994</v>
      </c>
      <c r="AP129" s="30">
        <v>79.986000000000004</v>
      </c>
      <c r="AQ129" s="30">
        <v>79.974000000000004</v>
      </c>
      <c r="AR129" s="30">
        <v>79.974999999999994</v>
      </c>
      <c r="AS129" s="30">
        <v>79.983999999999995</v>
      </c>
      <c r="AT129" s="30">
        <v>79.956999999999994</v>
      </c>
      <c r="AU129" s="30">
        <v>79.994</v>
      </c>
      <c r="AV129" s="30">
        <v>79.984999999999999</v>
      </c>
      <c r="AW129" s="30">
        <v>79.963999999999999</v>
      </c>
    </row>
    <row r="130" spans="1:49" ht="18" customHeight="1">
      <c r="A130" s="23"/>
      <c r="B130" s="19"/>
      <c r="C130" s="76" t="s">
        <v>77</v>
      </c>
      <c r="D130" s="35" t="s">
        <v>78</v>
      </c>
      <c r="E130" s="35"/>
      <c r="F130" s="29" t="s">
        <v>79</v>
      </c>
      <c r="G130" s="38">
        <v>3.75</v>
      </c>
      <c r="H130" s="38">
        <v>0.08</v>
      </c>
      <c r="I130" s="38">
        <v>0.05</v>
      </c>
      <c r="J130" s="38">
        <v>0.08</v>
      </c>
      <c r="K130" s="38">
        <v>0.05</v>
      </c>
      <c r="L130" s="30">
        <f t="shared" si="4"/>
        <v>3.8050000000000002</v>
      </c>
      <c r="M130" s="30">
        <f t="shared" si="5"/>
        <v>3.7589999999999999</v>
      </c>
      <c r="N130" s="30">
        <f t="shared" si="6"/>
        <v>4.6000000000000263E-2</v>
      </c>
      <c r="O130" s="31">
        <f t="shared" si="7"/>
        <v>3.7927999999999997</v>
      </c>
      <c r="P130" s="52"/>
      <c r="Q130" s="30">
        <v>3.802</v>
      </c>
      <c r="R130" s="30">
        <v>3.78</v>
      </c>
      <c r="S130" s="30">
        <v>3.7970000000000002</v>
      </c>
      <c r="T130" s="30">
        <v>3.798</v>
      </c>
      <c r="U130" s="30">
        <v>3.7970000000000002</v>
      </c>
      <c r="V130" s="30">
        <v>3.79</v>
      </c>
      <c r="W130" s="30">
        <v>3.802</v>
      </c>
      <c r="X130" s="30">
        <v>3.7869999999999999</v>
      </c>
      <c r="Y130" s="30">
        <v>3.7959999999999998</v>
      </c>
      <c r="Z130" s="30">
        <v>3.802</v>
      </c>
      <c r="AA130" s="30">
        <v>3.7890000000000001</v>
      </c>
      <c r="AB130" s="30">
        <v>3.8050000000000002</v>
      </c>
      <c r="AC130" s="30">
        <v>3.7909999999999999</v>
      </c>
      <c r="AD130" s="30">
        <v>3.7839999999999998</v>
      </c>
      <c r="AE130" s="30">
        <v>3.7930000000000001</v>
      </c>
      <c r="AF130" s="30">
        <v>3.7919999999999998</v>
      </c>
      <c r="AG130" s="30">
        <v>3.7589999999999999</v>
      </c>
      <c r="AH130" s="30">
        <v>3.79</v>
      </c>
      <c r="AI130" s="30">
        <v>3.7909999999999999</v>
      </c>
      <c r="AJ130" s="30">
        <v>3.7850000000000001</v>
      </c>
      <c r="AK130" s="30">
        <v>3.8010000000000002</v>
      </c>
      <c r="AL130" s="30">
        <v>3.8039999999999998</v>
      </c>
      <c r="AM130" s="30">
        <v>3.7919999999999998</v>
      </c>
      <c r="AN130" s="30">
        <v>3.7970000000000002</v>
      </c>
      <c r="AO130" s="30">
        <v>3.794</v>
      </c>
      <c r="AP130" s="30">
        <v>3.7919999999999998</v>
      </c>
      <c r="AQ130" s="30">
        <v>3.8</v>
      </c>
      <c r="AR130" s="30">
        <v>3.7890000000000001</v>
      </c>
      <c r="AS130" s="30">
        <v>3.7970000000000002</v>
      </c>
      <c r="AT130" s="30">
        <v>3.7879999999999998</v>
      </c>
      <c r="AU130" s="30">
        <v>3.7890000000000001</v>
      </c>
      <c r="AV130" s="30">
        <v>3.8</v>
      </c>
      <c r="AW130" s="30">
        <v>3.7919999999999998</v>
      </c>
    </row>
    <row r="131" spans="1:49" ht="18" customHeight="1">
      <c r="A131" s="23"/>
      <c r="B131" s="19"/>
      <c r="C131" s="76" t="s">
        <v>77</v>
      </c>
      <c r="D131" s="35" t="s">
        <v>80</v>
      </c>
      <c r="E131" s="35"/>
      <c r="F131" s="29" t="s">
        <v>81</v>
      </c>
      <c r="G131" s="38">
        <v>3.75</v>
      </c>
      <c r="H131" s="38">
        <v>0.08</v>
      </c>
      <c r="I131" s="38">
        <v>0.05</v>
      </c>
      <c r="J131" s="38">
        <v>0.08</v>
      </c>
      <c r="K131" s="38">
        <v>0.05</v>
      </c>
      <c r="L131" s="30">
        <f t="shared" si="4"/>
        <v>3.7909999999999999</v>
      </c>
      <c r="M131" s="30">
        <f t="shared" si="5"/>
        <v>3.7589999999999999</v>
      </c>
      <c r="N131" s="30">
        <f t="shared" si="6"/>
        <v>3.2000000000000028E-2</v>
      </c>
      <c r="O131" s="31">
        <f t="shared" si="7"/>
        <v>3.7787999999999999</v>
      </c>
      <c r="P131" s="52"/>
      <c r="Q131" s="30">
        <v>3.7839999999999998</v>
      </c>
      <c r="R131" s="30">
        <v>3.7719999999999998</v>
      </c>
      <c r="S131" s="30">
        <v>3.77</v>
      </c>
      <c r="T131" s="30">
        <v>3.77</v>
      </c>
      <c r="U131" s="30">
        <v>3.7759999999999998</v>
      </c>
      <c r="V131" s="30">
        <v>3.7759999999999998</v>
      </c>
      <c r="W131" s="30">
        <v>3.7789999999999999</v>
      </c>
      <c r="X131" s="30">
        <v>3.786</v>
      </c>
      <c r="Y131" s="30">
        <v>3.7839999999999998</v>
      </c>
      <c r="Z131" s="30">
        <v>3.7789999999999999</v>
      </c>
      <c r="AA131" s="30">
        <v>3.7730000000000001</v>
      </c>
      <c r="AB131" s="30">
        <v>3.7829999999999999</v>
      </c>
      <c r="AC131" s="30">
        <v>3.7719999999999998</v>
      </c>
      <c r="AD131" s="30">
        <v>3.7749999999999999</v>
      </c>
      <c r="AE131" s="30">
        <v>3.7690000000000001</v>
      </c>
      <c r="AF131" s="30">
        <v>3.7770000000000001</v>
      </c>
      <c r="AG131" s="30">
        <v>3.7589999999999999</v>
      </c>
      <c r="AH131" s="30">
        <v>3.778</v>
      </c>
      <c r="AI131" s="30">
        <v>3.77</v>
      </c>
      <c r="AJ131" s="30">
        <v>3.7810000000000001</v>
      </c>
      <c r="AK131" s="30">
        <v>3.7869999999999999</v>
      </c>
      <c r="AL131" s="30">
        <v>3.786</v>
      </c>
      <c r="AM131" s="30">
        <v>3.7850000000000001</v>
      </c>
      <c r="AN131" s="30">
        <v>3.7909999999999999</v>
      </c>
      <c r="AO131" s="30">
        <v>3.7879999999999998</v>
      </c>
      <c r="AP131" s="30">
        <v>3.786</v>
      </c>
      <c r="AQ131" s="30">
        <v>3.786</v>
      </c>
      <c r="AR131" s="30">
        <v>3.782</v>
      </c>
      <c r="AS131" s="30">
        <v>3.782</v>
      </c>
      <c r="AT131" s="30">
        <v>3.778</v>
      </c>
      <c r="AU131" s="30">
        <v>3.782</v>
      </c>
      <c r="AV131" s="30">
        <v>3.7949999999999999</v>
      </c>
      <c r="AW131" s="30">
        <v>3.786</v>
      </c>
    </row>
    <row r="132" spans="1:49" ht="18" customHeight="1">
      <c r="A132" s="23"/>
      <c r="B132" s="19"/>
      <c r="C132" s="76" t="s">
        <v>77</v>
      </c>
      <c r="D132" s="35" t="s">
        <v>82</v>
      </c>
      <c r="E132" s="35"/>
      <c r="F132" s="29" t="s">
        <v>83</v>
      </c>
      <c r="G132" s="38">
        <v>3.75</v>
      </c>
      <c r="H132" s="38">
        <v>0.08</v>
      </c>
      <c r="I132" s="38">
        <v>0.05</v>
      </c>
      <c r="J132" s="38">
        <v>0.08</v>
      </c>
      <c r="K132" s="38">
        <v>0.05</v>
      </c>
      <c r="L132" s="30">
        <f t="shared" si="4"/>
        <v>3.7970000000000002</v>
      </c>
      <c r="M132" s="30">
        <f t="shared" si="5"/>
        <v>3.758</v>
      </c>
      <c r="N132" s="30">
        <f t="shared" si="6"/>
        <v>3.9000000000000146E-2</v>
      </c>
      <c r="O132" s="31">
        <f t="shared" si="7"/>
        <v>3.7700333333333331</v>
      </c>
      <c r="P132" s="52"/>
      <c r="Q132" s="30">
        <v>3.7709999999999999</v>
      </c>
      <c r="R132" s="30">
        <v>3.762</v>
      </c>
      <c r="S132" s="30">
        <v>3.7679999999999998</v>
      </c>
      <c r="T132" s="30">
        <v>3.7970000000000002</v>
      </c>
      <c r="U132" s="30">
        <v>3.7709999999999999</v>
      </c>
      <c r="V132" s="30">
        <v>3.766</v>
      </c>
      <c r="W132" s="30">
        <v>3.774</v>
      </c>
      <c r="X132" s="30">
        <v>3.7730000000000001</v>
      </c>
      <c r="Y132" s="30">
        <v>3.7730000000000001</v>
      </c>
      <c r="Z132" s="30">
        <v>3.774</v>
      </c>
      <c r="AA132" s="30">
        <v>3.7669999999999999</v>
      </c>
      <c r="AB132" s="30">
        <v>3.7749999999999999</v>
      </c>
      <c r="AC132" s="30">
        <v>3.77</v>
      </c>
      <c r="AD132" s="30">
        <v>3.77</v>
      </c>
      <c r="AE132" s="30">
        <v>3.7709999999999999</v>
      </c>
      <c r="AF132" s="30">
        <v>3.7709999999999999</v>
      </c>
      <c r="AG132" s="30">
        <v>3.758</v>
      </c>
      <c r="AH132" s="30">
        <v>3.7639999999999998</v>
      </c>
      <c r="AI132" s="30">
        <v>3.76</v>
      </c>
      <c r="AJ132" s="30">
        <v>3.7669999999999999</v>
      </c>
      <c r="AK132" s="30">
        <v>3.766</v>
      </c>
      <c r="AL132" s="30">
        <v>3.7759999999999998</v>
      </c>
      <c r="AM132" s="30">
        <v>3.7639999999999998</v>
      </c>
      <c r="AN132" s="30">
        <v>3.7770000000000001</v>
      </c>
      <c r="AO132" s="30">
        <v>3.7629999999999999</v>
      </c>
      <c r="AP132" s="30">
        <v>3.7669999999999999</v>
      </c>
      <c r="AQ132" s="30">
        <v>3.7709999999999999</v>
      </c>
      <c r="AR132" s="30">
        <v>3.7709999999999999</v>
      </c>
      <c r="AS132" s="30">
        <v>3.7770000000000001</v>
      </c>
      <c r="AT132" s="30">
        <v>3.7669999999999999</v>
      </c>
      <c r="AU132" s="30">
        <v>3.7709999999999999</v>
      </c>
      <c r="AV132" s="30">
        <v>3.7629999999999999</v>
      </c>
      <c r="AW132" s="30">
        <v>3.774</v>
      </c>
    </row>
    <row r="133" spans="1:49" ht="18" customHeight="1">
      <c r="A133" s="23"/>
      <c r="B133" s="19"/>
      <c r="C133" s="75" t="s">
        <v>65</v>
      </c>
      <c r="D133" s="35" t="s">
        <v>84</v>
      </c>
      <c r="E133" s="35"/>
      <c r="F133" s="29" t="s">
        <v>85</v>
      </c>
      <c r="G133" s="38">
        <v>80</v>
      </c>
      <c r="H133" s="38">
        <v>0.1</v>
      </c>
      <c r="I133" s="38">
        <v>0.1</v>
      </c>
      <c r="J133" s="38">
        <v>0.1</v>
      </c>
      <c r="K133" s="38">
        <v>0.1</v>
      </c>
      <c r="L133" s="30">
        <f t="shared" ref="L133:L196" si="8">MAX(Q133:AT133)</f>
        <v>79.950999999999993</v>
      </c>
      <c r="M133" s="30">
        <f t="shared" ref="M133:M196" si="9">MIN(Q133:AT133)</f>
        <v>79.915000000000006</v>
      </c>
      <c r="N133" s="30">
        <f t="shared" ref="N133:N196" si="10">L133-M133</f>
        <v>3.5999999999987153E-2</v>
      </c>
      <c r="O133" s="31">
        <f t="shared" ref="O133:O196" si="11">AVERAGE(Q133:AT133)</f>
        <v>79.937166666666641</v>
      </c>
      <c r="P133" s="52"/>
      <c r="Q133" s="30">
        <v>79.942999999999998</v>
      </c>
      <c r="R133" s="30">
        <v>79.94</v>
      </c>
      <c r="S133" s="30">
        <v>79.944999999999993</v>
      </c>
      <c r="T133" s="30">
        <v>79.929000000000002</v>
      </c>
      <c r="U133" s="30">
        <v>79.930999999999997</v>
      </c>
      <c r="V133" s="30">
        <v>79.941000000000003</v>
      </c>
      <c r="W133" s="30">
        <v>79.938999999999993</v>
      </c>
      <c r="X133" s="30">
        <v>79.938000000000002</v>
      </c>
      <c r="Y133" s="30">
        <v>79.945999999999998</v>
      </c>
      <c r="Z133" s="30">
        <v>79.936999999999998</v>
      </c>
      <c r="AA133" s="30">
        <v>79.942999999999998</v>
      </c>
      <c r="AB133" s="30">
        <v>79.947000000000003</v>
      </c>
      <c r="AC133" s="30">
        <v>79.950999999999993</v>
      </c>
      <c r="AD133" s="30">
        <v>79.950999999999993</v>
      </c>
      <c r="AE133" s="30">
        <v>79.95</v>
      </c>
      <c r="AF133" s="30">
        <v>79.941000000000003</v>
      </c>
      <c r="AG133" s="30">
        <v>79.944999999999993</v>
      </c>
      <c r="AH133" s="30">
        <v>79.927999999999997</v>
      </c>
      <c r="AI133" s="30">
        <v>79.921000000000006</v>
      </c>
      <c r="AJ133" s="30">
        <v>79.926000000000002</v>
      </c>
      <c r="AK133" s="30">
        <v>79.929000000000002</v>
      </c>
      <c r="AL133" s="30">
        <v>79.950999999999993</v>
      </c>
      <c r="AM133" s="30">
        <v>79.932000000000002</v>
      </c>
      <c r="AN133" s="30">
        <v>79.915000000000006</v>
      </c>
      <c r="AO133" s="30">
        <v>79.936000000000007</v>
      </c>
      <c r="AP133" s="30">
        <v>79.938000000000002</v>
      </c>
      <c r="AQ133" s="30">
        <v>79.930000000000007</v>
      </c>
      <c r="AR133" s="30">
        <v>79.932000000000002</v>
      </c>
      <c r="AS133" s="30">
        <v>79.944000000000003</v>
      </c>
      <c r="AT133" s="30">
        <v>79.915999999999997</v>
      </c>
      <c r="AU133" s="30">
        <v>79.948999999999998</v>
      </c>
      <c r="AV133" s="30">
        <v>79.94</v>
      </c>
      <c r="AW133" s="30">
        <v>79.924000000000007</v>
      </c>
    </row>
    <row r="134" spans="1:49" ht="18" customHeight="1">
      <c r="A134" s="23"/>
      <c r="B134" s="19"/>
      <c r="C134" s="76" t="s">
        <v>77</v>
      </c>
      <c r="D134" s="35" t="s">
        <v>86</v>
      </c>
      <c r="E134" s="35"/>
      <c r="F134" s="29" t="s">
        <v>87</v>
      </c>
      <c r="G134" s="38">
        <v>1.55</v>
      </c>
      <c r="H134" s="38">
        <v>0.03</v>
      </c>
      <c r="I134" s="38">
        <v>0.03</v>
      </c>
      <c r="J134" s="38">
        <v>0.03</v>
      </c>
      <c r="K134" s="38">
        <v>0.03</v>
      </c>
      <c r="L134" s="30">
        <f t="shared" si="8"/>
        <v>1.575</v>
      </c>
      <c r="M134" s="30">
        <f t="shared" si="9"/>
        <v>1.552</v>
      </c>
      <c r="N134" s="30">
        <f t="shared" si="10"/>
        <v>2.2999999999999909E-2</v>
      </c>
      <c r="O134" s="31">
        <f t="shared" si="11"/>
        <v>1.5646</v>
      </c>
      <c r="P134" s="52"/>
      <c r="Q134" s="30">
        <v>1.5720000000000001</v>
      </c>
      <c r="R134" s="30">
        <v>1.569</v>
      </c>
      <c r="S134" s="30">
        <v>1.5640000000000001</v>
      </c>
      <c r="T134" s="30">
        <v>1.5589999999999999</v>
      </c>
      <c r="U134" s="30">
        <v>1.5629999999999999</v>
      </c>
      <c r="V134" s="30">
        <v>1.5649999999999999</v>
      </c>
      <c r="W134" s="30">
        <v>1.5680000000000001</v>
      </c>
      <c r="X134" s="30">
        <v>1.5660000000000001</v>
      </c>
      <c r="Y134" s="30">
        <v>1.5609999999999999</v>
      </c>
      <c r="Z134" s="30">
        <v>1.5680000000000001</v>
      </c>
      <c r="AA134" s="30">
        <v>1.56</v>
      </c>
      <c r="AB134" s="30">
        <v>1.5660000000000001</v>
      </c>
      <c r="AC134" s="30">
        <v>1.575</v>
      </c>
      <c r="AD134" s="30">
        <v>1.5640000000000001</v>
      </c>
      <c r="AE134" s="30">
        <v>1.5580000000000001</v>
      </c>
      <c r="AF134" s="30">
        <v>1.5640000000000001</v>
      </c>
      <c r="AG134" s="30">
        <v>1.5529999999999999</v>
      </c>
      <c r="AH134" s="30">
        <v>1.569</v>
      </c>
      <c r="AI134" s="30">
        <v>1.5680000000000001</v>
      </c>
      <c r="AJ134" s="30">
        <v>1.5640000000000001</v>
      </c>
      <c r="AK134" s="30">
        <v>1.552</v>
      </c>
      <c r="AL134" s="30">
        <v>1.5660000000000001</v>
      </c>
      <c r="AM134" s="30">
        <v>1.5660000000000001</v>
      </c>
      <c r="AN134" s="30">
        <v>1.56</v>
      </c>
      <c r="AO134" s="30">
        <v>1.571</v>
      </c>
      <c r="AP134" s="30">
        <v>1.571</v>
      </c>
      <c r="AQ134" s="30">
        <v>1.569</v>
      </c>
      <c r="AR134" s="30">
        <v>1.5620000000000001</v>
      </c>
      <c r="AS134" s="30">
        <v>1.571</v>
      </c>
      <c r="AT134" s="30">
        <v>1.554</v>
      </c>
      <c r="AU134" s="30">
        <v>1.5620000000000001</v>
      </c>
      <c r="AV134" s="30">
        <v>1.5629999999999999</v>
      </c>
      <c r="AW134" s="30">
        <v>1.5589999999999999</v>
      </c>
    </row>
    <row r="135" spans="1:49" ht="18" customHeight="1">
      <c r="A135" s="23"/>
      <c r="B135" s="19"/>
      <c r="C135" s="76" t="s">
        <v>77</v>
      </c>
      <c r="D135" s="35" t="s">
        <v>88</v>
      </c>
      <c r="E135" s="35"/>
      <c r="F135" s="29" t="s">
        <v>89</v>
      </c>
      <c r="G135" s="38">
        <v>1.55</v>
      </c>
      <c r="H135" s="38">
        <v>0.03</v>
      </c>
      <c r="I135" s="38">
        <v>0.03</v>
      </c>
      <c r="J135" s="38">
        <v>0.03</v>
      </c>
      <c r="K135" s="38">
        <v>0.03</v>
      </c>
      <c r="L135" s="30">
        <f t="shared" si="8"/>
        <v>1.583</v>
      </c>
      <c r="M135" s="30">
        <f t="shared" si="9"/>
        <v>1.5640000000000001</v>
      </c>
      <c r="N135" s="30">
        <f t="shared" si="10"/>
        <v>1.8999999999999906E-2</v>
      </c>
      <c r="O135" s="31">
        <f t="shared" si="11"/>
        <v>1.5723333333333336</v>
      </c>
      <c r="P135" s="52"/>
      <c r="Q135" s="30">
        <v>1.571</v>
      </c>
      <c r="R135" s="30">
        <v>1.573</v>
      </c>
      <c r="S135" s="30">
        <v>1.5720000000000001</v>
      </c>
      <c r="T135" s="30">
        <v>1.57</v>
      </c>
      <c r="U135" s="30">
        <v>1.5720000000000001</v>
      </c>
      <c r="V135" s="30">
        <v>1.5669999999999999</v>
      </c>
      <c r="W135" s="30">
        <v>1.569</v>
      </c>
      <c r="X135" s="30">
        <v>1.57</v>
      </c>
      <c r="Y135" s="30">
        <v>1.5680000000000001</v>
      </c>
      <c r="Z135" s="30">
        <v>1.569</v>
      </c>
      <c r="AA135" s="30">
        <v>1.579</v>
      </c>
      <c r="AB135" s="30">
        <v>1.573</v>
      </c>
      <c r="AC135" s="30">
        <v>1.573</v>
      </c>
      <c r="AD135" s="30">
        <v>1.581</v>
      </c>
      <c r="AE135" s="30">
        <v>1.5780000000000001</v>
      </c>
      <c r="AF135" s="30">
        <v>1.5720000000000001</v>
      </c>
      <c r="AG135" s="30">
        <v>1.5640000000000001</v>
      </c>
      <c r="AH135" s="30">
        <v>1.5680000000000001</v>
      </c>
      <c r="AI135" s="30">
        <v>1.5669999999999999</v>
      </c>
      <c r="AJ135" s="30">
        <v>1.569</v>
      </c>
      <c r="AK135" s="30">
        <v>1.575</v>
      </c>
      <c r="AL135" s="30">
        <v>1.5760000000000001</v>
      </c>
      <c r="AM135" s="30">
        <v>1.5660000000000001</v>
      </c>
      <c r="AN135" s="30">
        <v>1.583</v>
      </c>
      <c r="AO135" s="30">
        <v>1.5760000000000001</v>
      </c>
      <c r="AP135" s="30">
        <v>1.57</v>
      </c>
      <c r="AQ135" s="30">
        <v>1.57</v>
      </c>
      <c r="AR135" s="30">
        <v>1.5720000000000001</v>
      </c>
      <c r="AS135" s="30">
        <v>1.5780000000000001</v>
      </c>
      <c r="AT135" s="30">
        <v>1.579</v>
      </c>
      <c r="AU135" s="30">
        <v>1.5720000000000001</v>
      </c>
      <c r="AV135" s="30">
        <v>1.573</v>
      </c>
      <c r="AW135" s="30">
        <v>1.5780000000000001</v>
      </c>
    </row>
    <row r="136" spans="1:49" ht="18" customHeight="1">
      <c r="A136" s="23"/>
      <c r="B136" s="19"/>
      <c r="C136" s="76" t="s">
        <v>77</v>
      </c>
      <c r="D136" s="35" t="s">
        <v>90</v>
      </c>
      <c r="E136" s="35"/>
      <c r="F136" s="29" t="s">
        <v>91</v>
      </c>
      <c r="G136" s="38">
        <v>1.55</v>
      </c>
      <c r="H136" s="38">
        <v>0.03</v>
      </c>
      <c r="I136" s="38">
        <v>0.03</v>
      </c>
      <c r="J136" s="38">
        <v>0.03</v>
      </c>
      <c r="K136" s="38">
        <v>0.03</v>
      </c>
      <c r="L136" s="30">
        <f t="shared" si="8"/>
        <v>1.579</v>
      </c>
      <c r="M136" s="30">
        <f t="shared" si="9"/>
        <v>1.5629999999999999</v>
      </c>
      <c r="N136" s="30">
        <f t="shared" si="10"/>
        <v>1.6000000000000014E-2</v>
      </c>
      <c r="O136" s="31">
        <f t="shared" si="11"/>
        <v>1.5706333333333333</v>
      </c>
      <c r="P136" s="52"/>
      <c r="Q136" s="30">
        <v>1.5629999999999999</v>
      </c>
      <c r="R136" s="30">
        <v>1.573</v>
      </c>
      <c r="S136" s="30">
        <v>1.5720000000000001</v>
      </c>
      <c r="T136" s="30">
        <v>1.5629999999999999</v>
      </c>
      <c r="U136" s="30">
        <v>1.5649999999999999</v>
      </c>
      <c r="V136" s="30">
        <v>1.573</v>
      </c>
      <c r="W136" s="30">
        <v>1.5780000000000001</v>
      </c>
      <c r="X136" s="30">
        <v>1.573</v>
      </c>
      <c r="Y136" s="30">
        <v>1.579</v>
      </c>
      <c r="Z136" s="30">
        <v>1.5780000000000001</v>
      </c>
      <c r="AA136" s="30">
        <v>1.569</v>
      </c>
      <c r="AB136" s="30">
        <v>1.5629999999999999</v>
      </c>
      <c r="AC136" s="30">
        <v>1.5660000000000001</v>
      </c>
      <c r="AD136" s="30">
        <v>1.5660000000000001</v>
      </c>
      <c r="AE136" s="30">
        <v>1.5680000000000001</v>
      </c>
      <c r="AF136" s="30">
        <v>1.5640000000000001</v>
      </c>
      <c r="AG136" s="30">
        <v>1.571</v>
      </c>
      <c r="AH136" s="30">
        <v>1.57</v>
      </c>
      <c r="AI136" s="30">
        <v>1.5760000000000001</v>
      </c>
      <c r="AJ136" s="30">
        <v>1.575</v>
      </c>
      <c r="AK136" s="30">
        <v>1.569</v>
      </c>
      <c r="AL136" s="30">
        <v>1.571</v>
      </c>
      <c r="AM136" s="30">
        <v>1.573</v>
      </c>
      <c r="AN136" s="30">
        <v>1.5649999999999999</v>
      </c>
      <c r="AO136" s="30">
        <v>1.571</v>
      </c>
      <c r="AP136" s="30">
        <v>1.573</v>
      </c>
      <c r="AQ136" s="30">
        <v>1.57</v>
      </c>
      <c r="AR136" s="30">
        <v>1.573</v>
      </c>
      <c r="AS136" s="30">
        <v>1.573</v>
      </c>
      <c r="AT136" s="30">
        <v>1.5760000000000001</v>
      </c>
      <c r="AU136" s="30">
        <v>1.573</v>
      </c>
      <c r="AV136" s="30">
        <v>1.5760000000000001</v>
      </c>
      <c r="AW136" s="30">
        <v>1.573</v>
      </c>
    </row>
    <row r="137" spans="1:49" ht="18" customHeight="1">
      <c r="A137" s="23"/>
      <c r="B137" s="19"/>
      <c r="C137" s="76" t="s">
        <v>77</v>
      </c>
      <c r="D137" s="35" t="s">
        <v>92</v>
      </c>
      <c r="E137" s="35"/>
      <c r="F137" s="29" t="s">
        <v>93</v>
      </c>
      <c r="G137" s="38">
        <v>1.55</v>
      </c>
      <c r="H137" s="38">
        <v>0.03</v>
      </c>
      <c r="I137" s="38">
        <v>0.03</v>
      </c>
      <c r="J137" s="38">
        <v>0.03</v>
      </c>
      <c r="K137" s="38">
        <v>0.03</v>
      </c>
      <c r="L137" s="30">
        <f t="shared" si="8"/>
        <v>1.58</v>
      </c>
      <c r="M137" s="30">
        <f t="shared" si="9"/>
        <v>1.5569999999999999</v>
      </c>
      <c r="N137" s="30">
        <f t="shared" si="10"/>
        <v>2.3000000000000131E-2</v>
      </c>
      <c r="O137" s="31">
        <f t="shared" si="11"/>
        <v>1.5689333333333335</v>
      </c>
      <c r="P137" s="52"/>
      <c r="Q137" s="30">
        <v>1.56</v>
      </c>
      <c r="R137" s="30">
        <v>1.5760000000000001</v>
      </c>
      <c r="S137" s="30">
        <v>1.5720000000000001</v>
      </c>
      <c r="T137" s="30">
        <v>1.5629999999999999</v>
      </c>
      <c r="U137" s="30">
        <v>1.5649999999999999</v>
      </c>
      <c r="V137" s="30">
        <v>1.573</v>
      </c>
      <c r="W137" s="30">
        <v>1.5760000000000001</v>
      </c>
      <c r="X137" s="30">
        <v>1.5720000000000001</v>
      </c>
      <c r="Y137" s="30">
        <v>1.569</v>
      </c>
      <c r="Z137" s="30">
        <v>1.5760000000000001</v>
      </c>
      <c r="AA137" s="30">
        <v>1.569</v>
      </c>
      <c r="AB137" s="30">
        <v>1.5680000000000001</v>
      </c>
      <c r="AC137" s="30">
        <v>1.571</v>
      </c>
      <c r="AD137" s="30">
        <v>1.5669999999999999</v>
      </c>
      <c r="AE137" s="30">
        <v>1.5569999999999999</v>
      </c>
      <c r="AF137" s="30">
        <v>1.569</v>
      </c>
      <c r="AG137" s="30">
        <v>1.5620000000000001</v>
      </c>
      <c r="AH137" s="30">
        <v>1.5609999999999999</v>
      </c>
      <c r="AI137" s="30">
        <v>1.573</v>
      </c>
      <c r="AJ137" s="30">
        <v>1.5640000000000001</v>
      </c>
      <c r="AK137" s="30">
        <v>1.5720000000000001</v>
      </c>
      <c r="AL137" s="30">
        <v>1.573</v>
      </c>
      <c r="AM137" s="30">
        <v>1.5720000000000001</v>
      </c>
      <c r="AN137" s="30">
        <v>1.5669999999999999</v>
      </c>
      <c r="AO137" s="30">
        <v>1.569</v>
      </c>
      <c r="AP137" s="30">
        <v>1.58</v>
      </c>
      <c r="AQ137" s="30">
        <v>1.5780000000000001</v>
      </c>
      <c r="AR137" s="30">
        <v>1.571</v>
      </c>
      <c r="AS137" s="30">
        <v>1.5620000000000001</v>
      </c>
      <c r="AT137" s="30">
        <v>1.5609999999999999</v>
      </c>
      <c r="AU137" s="30">
        <v>1.571</v>
      </c>
      <c r="AV137" s="30">
        <v>1.569</v>
      </c>
      <c r="AW137" s="30">
        <v>1.5589999999999999</v>
      </c>
    </row>
    <row r="138" spans="1:49" ht="18" customHeight="1">
      <c r="A138" s="23"/>
      <c r="B138" s="19"/>
      <c r="C138" s="76" t="s">
        <v>77</v>
      </c>
      <c r="D138" s="35" t="s">
        <v>94</v>
      </c>
      <c r="E138" s="35" t="s">
        <v>395</v>
      </c>
      <c r="F138" s="29" t="s">
        <v>96</v>
      </c>
      <c r="G138" s="38">
        <v>1.55</v>
      </c>
      <c r="H138" s="38">
        <v>0.03</v>
      </c>
      <c r="I138" s="38">
        <v>0.03</v>
      </c>
      <c r="J138" s="38">
        <v>0.03</v>
      </c>
      <c r="K138" s="38">
        <v>0.03</v>
      </c>
      <c r="L138" s="30">
        <f t="shared" si="8"/>
        <v>1.5720000000000001</v>
      </c>
      <c r="M138" s="30">
        <f t="shared" si="9"/>
        <v>1.5529999999999999</v>
      </c>
      <c r="N138" s="30">
        <f t="shared" si="10"/>
        <v>1.9000000000000128E-2</v>
      </c>
      <c r="O138" s="31">
        <f t="shared" si="11"/>
        <v>1.5608333333333333</v>
      </c>
      <c r="P138" s="52"/>
      <c r="Q138" s="30">
        <v>1.5609999999999999</v>
      </c>
      <c r="R138" s="30">
        <v>1.5640000000000001</v>
      </c>
      <c r="S138" s="30">
        <v>1.5529999999999999</v>
      </c>
      <c r="T138" s="30">
        <v>1.56</v>
      </c>
      <c r="U138" s="30">
        <v>1.5649999999999999</v>
      </c>
      <c r="V138" s="30">
        <v>1.5620000000000001</v>
      </c>
      <c r="W138" s="30">
        <v>1.56</v>
      </c>
      <c r="X138" s="30">
        <v>1.56</v>
      </c>
      <c r="Y138" s="30">
        <v>1.5569999999999999</v>
      </c>
      <c r="Z138" s="30">
        <v>1.56</v>
      </c>
      <c r="AA138" s="30">
        <v>1.5629999999999999</v>
      </c>
      <c r="AB138" s="30">
        <v>1.5549999999999999</v>
      </c>
      <c r="AC138" s="30">
        <v>1.5629999999999999</v>
      </c>
      <c r="AD138" s="30">
        <v>1.5609999999999999</v>
      </c>
      <c r="AE138" s="30">
        <v>1.556</v>
      </c>
      <c r="AF138" s="30">
        <v>1.5589999999999999</v>
      </c>
      <c r="AG138" s="30">
        <v>1.5720000000000001</v>
      </c>
      <c r="AH138" s="30">
        <v>1.5609999999999999</v>
      </c>
      <c r="AI138" s="30">
        <v>1.5649999999999999</v>
      </c>
      <c r="AJ138" s="30">
        <v>1.5660000000000001</v>
      </c>
      <c r="AK138" s="30">
        <v>1.5649999999999999</v>
      </c>
      <c r="AL138" s="30">
        <v>1.5589999999999999</v>
      </c>
      <c r="AM138" s="30">
        <v>1.5609999999999999</v>
      </c>
      <c r="AN138" s="30">
        <v>1.5629999999999999</v>
      </c>
      <c r="AO138" s="30">
        <v>1.5649999999999999</v>
      </c>
      <c r="AP138" s="30">
        <v>1.5569999999999999</v>
      </c>
      <c r="AQ138" s="30">
        <v>1.56</v>
      </c>
      <c r="AR138" s="30">
        <v>1.556</v>
      </c>
      <c r="AS138" s="30">
        <v>1.5569999999999999</v>
      </c>
      <c r="AT138" s="30">
        <v>1.5589999999999999</v>
      </c>
      <c r="AU138" s="30">
        <v>1.556</v>
      </c>
      <c r="AV138" s="30">
        <v>1.556</v>
      </c>
      <c r="AW138" s="30">
        <v>1.5640000000000001</v>
      </c>
    </row>
    <row r="139" spans="1:49" ht="18" customHeight="1">
      <c r="A139" s="23"/>
      <c r="B139" s="19"/>
      <c r="C139" s="76" t="s">
        <v>77</v>
      </c>
      <c r="D139" s="35" t="s">
        <v>97</v>
      </c>
      <c r="E139" s="35"/>
      <c r="F139" s="29" t="s">
        <v>98</v>
      </c>
      <c r="G139" s="38">
        <v>1.55</v>
      </c>
      <c r="H139" s="38">
        <v>0.03</v>
      </c>
      <c r="I139" s="38">
        <v>0.03</v>
      </c>
      <c r="J139" s="38">
        <v>0.03</v>
      </c>
      <c r="K139" s="38">
        <v>0.03</v>
      </c>
      <c r="L139" s="30">
        <f t="shared" si="8"/>
        <v>1.571</v>
      </c>
      <c r="M139" s="30">
        <f t="shared" si="9"/>
        <v>1.5549999999999999</v>
      </c>
      <c r="N139" s="30">
        <f t="shared" si="10"/>
        <v>1.6000000000000014E-2</v>
      </c>
      <c r="O139" s="31">
        <f t="shared" si="11"/>
        <v>1.5642333333333334</v>
      </c>
      <c r="P139" s="52"/>
      <c r="Q139" s="30">
        <v>1.5680000000000001</v>
      </c>
      <c r="R139" s="30">
        <v>1.5629999999999999</v>
      </c>
      <c r="S139" s="30">
        <v>1.5649999999999999</v>
      </c>
      <c r="T139" s="30">
        <v>1.5649999999999999</v>
      </c>
      <c r="U139" s="30">
        <v>1.5669999999999999</v>
      </c>
      <c r="V139" s="30">
        <v>1.571</v>
      </c>
      <c r="W139" s="30">
        <v>1.5629999999999999</v>
      </c>
      <c r="X139" s="30">
        <v>1.5629999999999999</v>
      </c>
      <c r="Y139" s="30">
        <v>1.5640000000000001</v>
      </c>
      <c r="Z139" s="30">
        <v>1.5629999999999999</v>
      </c>
      <c r="AA139" s="30">
        <v>1.5620000000000001</v>
      </c>
      <c r="AB139" s="30">
        <v>1.5640000000000001</v>
      </c>
      <c r="AC139" s="30">
        <v>1.5589999999999999</v>
      </c>
      <c r="AD139" s="30">
        <v>1.56</v>
      </c>
      <c r="AE139" s="30">
        <v>1.5609999999999999</v>
      </c>
      <c r="AF139" s="30">
        <v>1.5660000000000001</v>
      </c>
      <c r="AG139" s="30">
        <v>1.5640000000000001</v>
      </c>
      <c r="AH139" s="30">
        <v>1.57</v>
      </c>
      <c r="AI139" s="30">
        <v>1.5549999999999999</v>
      </c>
      <c r="AJ139" s="30">
        <v>1.5669999999999999</v>
      </c>
      <c r="AK139" s="30">
        <v>1.5680000000000001</v>
      </c>
      <c r="AL139" s="30">
        <v>1.5609999999999999</v>
      </c>
      <c r="AM139" s="30">
        <v>1.569</v>
      </c>
      <c r="AN139" s="30">
        <v>1.5649999999999999</v>
      </c>
      <c r="AO139" s="30">
        <v>1.5680000000000001</v>
      </c>
      <c r="AP139" s="30">
        <v>1.5660000000000001</v>
      </c>
      <c r="AQ139" s="30">
        <v>1.5660000000000001</v>
      </c>
      <c r="AR139" s="30">
        <v>1.56</v>
      </c>
      <c r="AS139" s="30">
        <v>1.5620000000000001</v>
      </c>
      <c r="AT139" s="30">
        <v>1.5620000000000001</v>
      </c>
      <c r="AU139" s="30">
        <v>1.56</v>
      </c>
      <c r="AV139" s="30">
        <v>1.5629999999999999</v>
      </c>
      <c r="AW139" s="30">
        <v>1.5629999999999999</v>
      </c>
    </row>
    <row r="140" spans="1:49" ht="18" customHeight="1">
      <c r="A140" s="23"/>
      <c r="B140" s="19"/>
      <c r="C140" s="76" t="s">
        <v>77</v>
      </c>
      <c r="D140" s="35" t="s">
        <v>99</v>
      </c>
      <c r="E140" s="35"/>
      <c r="F140" s="29" t="s">
        <v>100</v>
      </c>
      <c r="G140" s="38">
        <v>1.55</v>
      </c>
      <c r="H140" s="38">
        <v>0.03</v>
      </c>
      <c r="I140" s="38">
        <v>0.03</v>
      </c>
      <c r="J140" s="38">
        <v>0.03</v>
      </c>
      <c r="K140" s="38">
        <v>0.03</v>
      </c>
      <c r="L140" s="30">
        <f t="shared" si="8"/>
        <v>1.5760000000000001</v>
      </c>
      <c r="M140" s="30">
        <f t="shared" si="9"/>
        <v>1.5569999999999999</v>
      </c>
      <c r="N140" s="30">
        <f t="shared" si="10"/>
        <v>1.9000000000000128E-2</v>
      </c>
      <c r="O140" s="31">
        <f t="shared" si="11"/>
        <v>1.5670000000000004</v>
      </c>
      <c r="P140" s="52"/>
      <c r="Q140" s="30">
        <v>1.5640000000000001</v>
      </c>
      <c r="R140" s="30">
        <v>1.5660000000000001</v>
      </c>
      <c r="S140" s="30">
        <v>1.569</v>
      </c>
      <c r="T140" s="30">
        <v>1.5760000000000001</v>
      </c>
      <c r="U140" s="30">
        <v>1.57</v>
      </c>
      <c r="V140" s="30">
        <v>1.5640000000000001</v>
      </c>
      <c r="W140" s="30">
        <v>1.5669999999999999</v>
      </c>
      <c r="X140" s="30">
        <v>1.5660000000000001</v>
      </c>
      <c r="Y140" s="30">
        <v>1.5669999999999999</v>
      </c>
      <c r="Z140" s="30">
        <v>1.5669999999999999</v>
      </c>
      <c r="AA140" s="30">
        <v>1.5680000000000001</v>
      </c>
      <c r="AB140" s="30">
        <v>1.569</v>
      </c>
      <c r="AC140" s="30">
        <v>1.5680000000000001</v>
      </c>
      <c r="AD140" s="30">
        <v>1.5649999999999999</v>
      </c>
      <c r="AE140" s="30">
        <v>1.5649999999999999</v>
      </c>
      <c r="AF140" s="30">
        <v>1.5680000000000001</v>
      </c>
      <c r="AG140" s="30">
        <v>1.5569999999999999</v>
      </c>
      <c r="AH140" s="30">
        <v>1.5660000000000001</v>
      </c>
      <c r="AI140" s="30">
        <v>1.5640000000000001</v>
      </c>
      <c r="AJ140" s="30">
        <v>1.5680000000000001</v>
      </c>
      <c r="AK140" s="30">
        <v>1.5640000000000001</v>
      </c>
      <c r="AL140" s="30">
        <v>1.5649999999999999</v>
      </c>
      <c r="AM140" s="30">
        <v>1.571</v>
      </c>
      <c r="AN140" s="30">
        <v>1.569</v>
      </c>
      <c r="AO140" s="30">
        <v>1.5680000000000001</v>
      </c>
      <c r="AP140" s="30">
        <v>1.5609999999999999</v>
      </c>
      <c r="AQ140" s="30">
        <v>1.57</v>
      </c>
      <c r="AR140" s="30">
        <v>1.5669999999999999</v>
      </c>
      <c r="AS140" s="30">
        <v>1.5720000000000001</v>
      </c>
      <c r="AT140" s="30">
        <v>1.569</v>
      </c>
      <c r="AU140" s="30">
        <v>1.5669999999999999</v>
      </c>
      <c r="AV140" s="30">
        <v>1.571</v>
      </c>
      <c r="AW140" s="30">
        <v>1.5720000000000001</v>
      </c>
    </row>
    <row r="141" spans="1:49" ht="18" customHeight="1">
      <c r="A141" s="23"/>
      <c r="B141" s="19"/>
      <c r="C141" s="76" t="s">
        <v>77</v>
      </c>
      <c r="D141" s="35" t="s">
        <v>101</v>
      </c>
      <c r="E141" s="35"/>
      <c r="F141" s="29" t="s">
        <v>102</v>
      </c>
      <c r="G141" s="38">
        <v>1.55</v>
      </c>
      <c r="H141" s="38">
        <v>0.03</v>
      </c>
      <c r="I141" s="38">
        <v>0.03</v>
      </c>
      <c r="J141" s="38">
        <v>0.03</v>
      </c>
      <c r="K141" s="38">
        <v>0.03</v>
      </c>
      <c r="L141" s="30">
        <f t="shared" si="8"/>
        <v>1.5760000000000001</v>
      </c>
      <c r="M141" s="30">
        <f t="shared" si="9"/>
        <v>1.5589999999999999</v>
      </c>
      <c r="N141" s="30">
        <f t="shared" si="10"/>
        <v>1.7000000000000126E-2</v>
      </c>
      <c r="O141" s="31">
        <f t="shared" si="11"/>
        <v>1.5691333333333337</v>
      </c>
      <c r="P141" s="52"/>
      <c r="Q141" s="30">
        <v>1.5680000000000001</v>
      </c>
      <c r="R141" s="30">
        <v>1.5649999999999999</v>
      </c>
      <c r="S141" s="30">
        <v>1.5680000000000001</v>
      </c>
      <c r="T141" s="30">
        <v>1.5660000000000001</v>
      </c>
      <c r="U141" s="30">
        <v>1.5720000000000001</v>
      </c>
      <c r="V141" s="30">
        <v>1.57</v>
      </c>
      <c r="W141" s="30">
        <v>1.571</v>
      </c>
      <c r="X141" s="30">
        <v>1.569</v>
      </c>
      <c r="Y141" s="30">
        <v>1.5589999999999999</v>
      </c>
      <c r="Z141" s="30">
        <v>1.571</v>
      </c>
      <c r="AA141" s="30">
        <v>1.571</v>
      </c>
      <c r="AB141" s="30">
        <v>1.569</v>
      </c>
      <c r="AC141" s="30">
        <v>1.5640000000000001</v>
      </c>
      <c r="AD141" s="30">
        <v>1.5680000000000001</v>
      </c>
      <c r="AE141" s="30">
        <v>1.57</v>
      </c>
      <c r="AF141" s="30">
        <v>1.571</v>
      </c>
      <c r="AG141" s="30">
        <v>1.5649999999999999</v>
      </c>
      <c r="AH141" s="30">
        <v>1.5720000000000001</v>
      </c>
      <c r="AI141" s="30">
        <v>1.57</v>
      </c>
      <c r="AJ141" s="30">
        <v>1.5760000000000001</v>
      </c>
      <c r="AK141" s="30">
        <v>1.575</v>
      </c>
      <c r="AL141" s="30">
        <v>1.56</v>
      </c>
      <c r="AM141" s="30">
        <v>1.575</v>
      </c>
      <c r="AN141" s="30">
        <v>1.571</v>
      </c>
      <c r="AO141" s="30">
        <v>1.573</v>
      </c>
      <c r="AP141" s="30">
        <v>1.569</v>
      </c>
      <c r="AQ141" s="30">
        <v>1.571</v>
      </c>
      <c r="AR141" s="30">
        <v>1.569</v>
      </c>
      <c r="AS141" s="30">
        <v>1.5669999999999999</v>
      </c>
      <c r="AT141" s="30">
        <v>1.569</v>
      </c>
      <c r="AU141" s="30">
        <v>1.569</v>
      </c>
      <c r="AV141" s="30">
        <v>1.5620000000000001</v>
      </c>
      <c r="AW141" s="30">
        <v>1.5760000000000001</v>
      </c>
    </row>
    <row r="142" spans="1:49" ht="18" customHeight="1">
      <c r="A142" s="23"/>
      <c r="B142" s="19"/>
      <c r="C142" s="76" t="s">
        <v>77</v>
      </c>
      <c r="D142" s="35" t="s">
        <v>103</v>
      </c>
      <c r="E142" s="35"/>
      <c r="F142" s="29" t="s">
        <v>104</v>
      </c>
      <c r="G142" s="38">
        <v>1.55</v>
      </c>
      <c r="H142" s="38">
        <v>0.03</v>
      </c>
      <c r="I142" s="38">
        <v>0.03</v>
      </c>
      <c r="J142" s="38">
        <v>0.03</v>
      </c>
      <c r="K142" s="38">
        <v>0.03</v>
      </c>
      <c r="L142" s="30">
        <f t="shared" si="8"/>
        <v>1.5720000000000001</v>
      </c>
      <c r="M142" s="30">
        <f t="shared" si="9"/>
        <v>1.5509999999999999</v>
      </c>
      <c r="N142" s="30">
        <f t="shared" si="10"/>
        <v>2.100000000000013E-2</v>
      </c>
      <c r="O142" s="31">
        <f t="shared" si="11"/>
        <v>1.5641666666666665</v>
      </c>
      <c r="P142" s="52"/>
      <c r="Q142" s="30">
        <v>1.5580000000000001</v>
      </c>
      <c r="R142" s="30">
        <v>1.5649999999999999</v>
      </c>
      <c r="S142" s="30">
        <v>1.5640000000000001</v>
      </c>
      <c r="T142" s="30">
        <v>1.5589999999999999</v>
      </c>
      <c r="U142" s="30">
        <v>1.5680000000000001</v>
      </c>
      <c r="V142" s="30">
        <v>1.571</v>
      </c>
      <c r="W142" s="30">
        <v>1.571</v>
      </c>
      <c r="X142" s="30">
        <v>1.5680000000000001</v>
      </c>
      <c r="Y142" s="30">
        <v>1.5720000000000001</v>
      </c>
      <c r="Z142" s="30">
        <v>1.571</v>
      </c>
      <c r="AA142" s="30">
        <v>1.5669999999999999</v>
      </c>
      <c r="AB142" s="30">
        <v>1.5609999999999999</v>
      </c>
      <c r="AC142" s="30">
        <v>1.5660000000000001</v>
      </c>
      <c r="AD142" s="30">
        <v>1.5660000000000001</v>
      </c>
      <c r="AE142" s="30">
        <v>1.5649999999999999</v>
      </c>
      <c r="AF142" s="30">
        <v>1.5629999999999999</v>
      </c>
      <c r="AG142" s="30">
        <v>1.5509999999999999</v>
      </c>
      <c r="AH142" s="30">
        <v>1.554</v>
      </c>
      <c r="AI142" s="30">
        <v>1.556</v>
      </c>
      <c r="AJ142" s="30">
        <v>1.5589999999999999</v>
      </c>
      <c r="AK142" s="30">
        <v>1.57</v>
      </c>
      <c r="AL142" s="30">
        <v>1.5669999999999999</v>
      </c>
      <c r="AM142" s="30">
        <v>1.5609999999999999</v>
      </c>
      <c r="AN142" s="30">
        <v>1.5669999999999999</v>
      </c>
      <c r="AO142" s="30">
        <v>1.5640000000000001</v>
      </c>
      <c r="AP142" s="30">
        <v>1.5640000000000001</v>
      </c>
      <c r="AQ142" s="30">
        <v>1.5660000000000001</v>
      </c>
      <c r="AR142" s="30">
        <v>1.5680000000000001</v>
      </c>
      <c r="AS142" s="30">
        <v>1.56</v>
      </c>
      <c r="AT142" s="30">
        <v>1.5629999999999999</v>
      </c>
      <c r="AU142" s="30">
        <v>1.5680000000000001</v>
      </c>
      <c r="AV142" s="30">
        <v>1.5649999999999999</v>
      </c>
      <c r="AW142" s="30">
        <v>1.5649999999999999</v>
      </c>
    </row>
    <row r="143" spans="1:49" ht="18" customHeight="1">
      <c r="A143" s="23"/>
      <c r="B143" s="19"/>
      <c r="C143" s="76" t="s">
        <v>77</v>
      </c>
      <c r="D143" s="35" t="s">
        <v>105</v>
      </c>
      <c r="E143" s="35"/>
      <c r="F143" s="29" t="s">
        <v>106</v>
      </c>
      <c r="G143" s="38">
        <v>1.55</v>
      </c>
      <c r="H143" s="38">
        <v>0.03</v>
      </c>
      <c r="I143" s="38">
        <v>0.03</v>
      </c>
      <c r="J143" s="38">
        <v>0.03</v>
      </c>
      <c r="K143" s="38">
        <v>0.03</v>
      </c>
      <c r="L143" s="30">
        <f t="shared" si="8"/>
        <v>1.5640000000000001</v>
      </c>
      <c r="M143" s="30">
        <f t="shared" si="9"/>
        <v>1.5469999999999999</v>
      </c>
      <c r="N143" s="30">
        <f t="shared" si="10"/>
        <v>1.7000000000000126E-2</v>
      </c>
      <c r="O143" s="31">
        <f t="shared" si="11"/>
        <v>1.5579333333333336</v>
      </c>
      <c r="P143" s="52"/>
      <c r="Q143" s="30">
        <v>1.5589999999999999</v>
      </c>
      <c r="R143" s="30">
        <v>1.554</v>
      </c>
      <c r="S143" s="30">
        <v>1.5580000000000001</v>
      </c>
      <c r="T143" s="30">
        <v>1.554</v>
      </c>
      <c r="U143" s="30">
        <v>1.5629999999999999</v>
      </c>
      <c r="V143" s="30">
        <v>1.5469999999999999</v>
      </c>
      <c r="W143" s="30">
        <v>1.5629999999999999</v>
      </c>
      <c r="X143" s="30">
        <v>1.5580000000000001</v>
      </c>
      <c r="Y143" s="30">
        <v>1.5569999999999999</v>
      </c>
      <c r="Z143" s="30">
        <v>1.5629999999999999</v>
      </c>
      <c r="AA143" s="30">
        <v>1.552</v>
      </c>
      <c r="AB143" s="30">
        <v>1.554</v>
      </c>
      <c r="AC143" s="30">
        <v>1.5549999999999999</v>
      </c>
      <c r="AD143" s="30">
        <v>1.5609999999999999</v>
      </c>
      <c r="AE143" s="30">
        <v>1.5569999999999999</v>
      </c>
      <c r="AF143" s="30">
        <v>1.556</v>
      </c>
      <c r="AG143" s="30">
        <v>1.5640000000000001</v>
      </c>
      <c r="AH143" s="30">
        <v>1.5549999999999999</v>
      </c>
      <c r="AI143" s="30">
        <v>1.5640000000000001</v>
      </c>
      <c r="AJ143" s="30">
        <v>1.5569999999999999</v>
      </c>
      <c r="AK143" s="30">
        <v>1.5569999999999999</v>
      </c>
      <c r="AL143" s="30">
        <v>1.5509999999999999</v>
      </c>
      <c r="AM143" s="30">
        <v>1.5640000000000001</v>
      </c>
      <c r="AN143" s="30">
        <v>1.5529999999999999</v>
      </c>
      <c r="AO143" s="30">
        <v>1.5640000000000001</v>
      </c>
      <c r="AP143" s="30">
        <v>1.56</v>
      </c>
      <c r="AQ143" s="30">
        <v>1.5569999999999999</v>
      </c>
      <c r="AR143" s="30">
        <v>1.5640000000000001</v>
      </c>
      <c r="AS143" s="30">
        <v>1.554</v>
      </c>
      <c r="AT143" s="30">
        <v>1.5629999999999999</v>
      </c>
      <c r="AU143" s="30">
        <v>1.5640000000000001</v>
      </c>
      <c r="AV143" s="30">
        <v>1.5620000000000001</v>
      </c>
      <c r="AW143" s="30">
        <v>1.5649999999999999</v>
      </c>
    </row>
    <row r="144" spans="1:49" ht="18" customHeight="1">
      <c r="A144" s="23"/>
      <c r="B144" s="19"/>
      <c r="C144" s="76" t="s">
        <v>77</v>
      </c>
      <c r="D144" s="35" t="s">
        <v>107</v>
      </c>
      <c r="E144" s="35"/>
      <c r="F144" s="29" t="s">
        <v>108</v>
      </c>
      <c r="G144" s="38">
        <v>1.55</v>
      </c>
      <c r="H144" s="38">
        <v>0.03</v>
      </c>
      <c r="I144" s="38">
        <v>0.03</v>
      </c>
      <c r="J144" s="38">
        <v>0.03</v>
      </c>
      <c r="K144" s="38">
        <v>0.03</v>
      </c>
      <c r="L144" s="30">
        <f t="shared" si="8"/>
        <v>1.569</v>
      </c>
      <c r="M144" s="30">
        <f t="shared" si="9"/>
        <v>1.552</v>
      </c>
      <c r="N144" s="30">
        <f t="shared" si="10"/>
        <v>1.6999999999999904E-2</v>
      </c>
      <c r="O144" s="31">
        <f t="shared" si="11"/>
        <v>1.5614999999999999</v>
      </c>
      <c r="P144" s="52"/>
      <c r="Q144" s="30">
        <v>1.5620000000000001</v>
      </c>
      <c r="R144" s="30">
        <v>1.5580000000000001</v>
      </c>
      <c r="S144" s="30">
        <v>1.5620000000000001</v>
      </c>
      <c r="T144" s="30">
        <v>1.5569999999999999</v>
      </c>
      <c r="U144" s="30">
        <v>1.5589999999999999</v>
      </c>
      <c r="V144" s="30">
        <v>1.5569999999999999</v>
      </c>
      <c r="W144" s="30">
        <v>1.5629999999999999</v>
      </c>
      <c r="X144" s="30">
        <v>1.56</v>
      </c>
      <c r="Y144" s="30">
        <v>1.5629999999999999</v>
      </c>
      <c r="Z144" s="30">
        <v>1.5629999999999999</v>
      </c>
      <c r="AA144" s="30">
        <v>1.5629999999999999</v>
      </c>
      <c r="AB144" s="30">
        <v>1.5660000000000001</v>
      </c>
      <c r="AC144" s="30">
        <v>1.5620000000000001</v>
      </c>
      <c r="AD144" s="30">
        <v>1.5640000000000001</v>
      </c>
      <c r="AE144" s="30">
        <v>1.5609999999999999</v>
      </c>
      <c r="AF144" s="30">
        <v>1.56</v>
      </c>
      <c r="AG144" s="30">
        <v>1.56</v>
      </c>
      <c r="AH144" s="30">
        <v>1.569</v>
      </c>
      <c r="AI144" s="30">
        <v>1.5629999999999999</v>
      </c>
      <c r="AJ144" s="30">
        <v>1.5649999999999999</v>
      </c>
      <c r="AK144" s="30">
        <v>1.552</v>
      </c>
      <c r="AL144" s="30">
        <v>1.569</v>
      </c>
      <c r="AM144" s="30">
        <v>1.5620000000000001</v>
      </c>
      <c r="AN144" s="30">
        <v>1.5660000000000001</v>
      </c>
      <c r="AO144" s="30">
        <v>1.5669999999999999</v>
      </c>
      <c r="AP144" s="30">
        <v>1.5589999999999999</v>
      </c>
      <c r="AQ144" s="30">
        <v>1.552</v>
      </c>
      <c r="AR144" s="30">
        <v>1.5640000000000001</v>
      </c>
      <c r="AS144" s="30">
        <v>1.5580000000000001</v>
      </c>
      <c r="AT144" s="30">
        <v>1.5589999999999999</v>
      </c>
      <c r="AU144" s="30">
        <v>1.5640000000000001</v>
      </c>
      <c r="AV144" s="30">
        <v>1.5660000000000001</v>
      </c>
      <c r="AW144" s="30">
        <v>1.5609999999999999</v>
      </c>
    </row>
    <row r="145" spans="1:49" ht="18" customHeight="1">
      <c r="A145" s="23"/>
      <c r="B145" s="19"/>
      <c r="C145" s="76" t="s">
        <v>77</v>
      </c>
      <c r="D145" s="35" t="s">
        <v>109</v>
      </c>
      <c r="E145" s="35"/>
      <c r="F145" s="29" t="s">
        <v>110</v>
      </c>
      <c r="G145" s="38">
        <v>1.55</v>
      </c>
      <c r="H145" s="38">
        <v>0.03</v>
      </c>
      <c r="I145" s="38">
        <v>0.03</v>
      </c>
      <c r="J145" s="38">
        <v>0.03</v>
      </c>
      <c r="K145" s="38">
        <v>0.03</v>
      </c>
      <c r="L145" s="30">
        <f t="shared" si="8"/>
        <v>1.5760000000000001</v>
      </c>
      <c r="M145" s="30">
        <f t="shared" si="9"/>
        <v>1.5589999999999999</v>
      </c>
      <c r="N145" s="30">
        <f t="shared" si="10"/>
        <v>1.7000000000000126E-2</v>
      </c>
      <c r="O145" s="31">
        <f t="shared" si="11"/>
        <v>1.5679333333333334</v>
      </c>
      <c r="P145" s="52"/>
      <c r="Q145" s="30">
        <v>1.5760000000000001</v>
      </c>
      <c r="R145" s="30">
        <v>1.5640000000000001</v>
      </c>
      <c r="S145" s="30">
        <v>1.5760000000000001</v>
      </c>
      <c r="T145" s="30">
        <v>1.5669999999999999</v>
      </c>
      <c r="U145" s="30">
        <v>1.5609999999999999</v>
      </c>
      <c r="V145" s="30">
        <v>1.5660000000000001</v>
      </c>
      <c r="W145" s="30">
        <v>1.5740000000000001</v>
      </c>
      <c r="X145" s="30">
        <v>1.569</v>
      </c>
      <c r="Y145" s="30">
        <v>1.5649999999999999</v>
      </c>
      <c r="Z145" s="30">
        <v>1.5740000000000001</v>
      </c>
      <c r="AA145" s="30">
        <v>1.5660000000000001</v>
      </c>
      <c r="AB145" s="30">
        <v>1.569</v>
      </c>
      <c r="AC145" s="30">
        <v>1.5660000000000001</v>
      </c>
      <c r="AD145" s="30">
        <v>1.5649999999999999</v>
      </c>
      <c r="AE145" s="30">
        <v>1.5620000000000001</v>
      </c>
      <c r="AF145" s="30">
        <v>1.575</v>
      </c>
      <c r="AG145" s="30">
        <v>1.5629999999999999</v>
      </c>
      <c r="AH145" s="30">
        <v>1.5620000000000001</v>
      </c>
      <c r="AI145" s="30">
        <v>1.5589999999999999</v>
      </c>
      <c r="AJ145" s="30">
        <v>1.5720000000000001</v>
      </c>
      <c r="AK145" s="30">
        <v>1.571</v>
      </c>
      <c r="AL145" s="30">
        <v>1.5660000000000001</v>
      </c>
      <c r="AM145" s="30">
        <v>1.5640000000000001</v>
      </c>
      <c r="AN145" s="30">
        <v>1.5660000000000001</v>
      </c>
      <c r="AO145" s="30">
        <v>1.573</v>
      </c>
      <c r="AP145" s="30">
        <v>1.57</v>
      </c>
      <c r="AQ145" s="30">
        <v>1.5649999999999999</v>
      </c>
      <c r="AR145" s="30">
        <v>1.57</v>
      </c>
      <c r="AS145" s="30">
        <v>1.5720000000000001</v>
      </c>
      <c r="AT145" s="30">
        <v>1.57</v>
      </c>
      <c r="AU145" s="30">
        <v>1.57</v>
      </c>
      <c r="AV145" s="30">
        <v>1.5680000000000001</v>
      </c>
      <c r="AW145" s="30">
        <v>1.575</v>
      </c>
    </row>
    <row r="146" spans="1:49" ht="18" customHeight="1">
      <c r="A146" s="23"/>
      <c r="B146" s="19"/>
      <c r="C146" s="76" t="s">
        <v>77</v>
      </c>
      <c r="D146" s="35" t="s">
        <v>111</v>
      </c>
      <c r="E146" s="35"/>
      <c r="F146" s="29" t="s">
        <v>112</v>
      </c>
      <c r="G146" s="38">
        <v>1.55</v>
      </c>
      <c r="H146" s="38">
        <v>0.03</v>
      </c>
      <c r="I146" s="38">
        <v>0.03</v>
      </c>
      <c r="J146" s="38">
        <v>0.03</v>
      </c>
      <c r="K146" s="38">
        <v>0.03</v>
      </c>
      <c r="L146" s="30">
        <f t="shared" si="8"/>
        <v>1.5780000000000001</v>
      </c>
      <c r="M146" s="30">
        <f t="shared" si="9"/>
        <v>1.5549999999999999</v>
      </c>
      <c r="N146" s="30">
        <f t="shared" si="10"/>
        <v>2.3000000000000131E-2</v>
      </c>
      <c r="O146" s="31">
        <f t="shared" si="11"/>
        <v>1.5673999999999997</v>
      </c>
      <c r="P146" s="52"/>
      <c r="Q146" s="30">
        <v>1.5680000000000001</v>
      </c>
      <c r="R146" s="30">
        <v>1.5660000000000001</v>
      </c>
      <c r="S146" s="30">
        <v>1.5640000000000001</v>
      </c>
      <c r="T146" s="30">
        <v>1.569</v>
      </c>
      <c r="U146" s="30">
        <v>1.575</v>
      </c>
      <c r="V146" s="30">
        <v>1.5720000000000001</v>
      </c>
      <c r="W146" s="30">
        <v>1.571</v>
      </c>
      <c r="X146" s="30">
        <v>1.5669999999999999</v>
      </c>
      <c r="Y146" s="30">
        <v>1.571</v>
      </c>
      <c r="Z146" s="30">
        <v>1.571</v>
      </c>
      <c r="AA146" s="30">
        <v>1.5669999999999999</v>
      </c>
      <c r="AB146" s="30">
        <v>1.5680000000000001</v>
      </c>
      <c r="AC146" s="30">
        <v>1.5609999999999999</v>
      </c>
      <c r="AD146" s="30">
        <v>1.5549999999999999</v>
      </c>
      <c r="AE146" s="30">
        <v>1.5629999999999999</v>
      </c>
      <c r="AF146" s="30">
        <v>1.569</v>
      </c>
      <c r="AG146" s="30">
        <v>1.5780000000000001</v>
      </c>
      <c r="AH146" s="30">
        <v>1.5680000000000001</v>
      </c>
      <c r="AI146" s="30">
        <v>1.569</v>
      </c>
      <c r="AJ146" s="30">
        <v>1.5640000000000001</v>
      </c>
      <c r="AK146" s="30">
        <v>1.5680000000000001</v>
      </c>
      <c r="AL146" s="30">
        <v>1.556</v>
      </c>
      <c r="AM146" s="30">
        <v>1.5680000000000001</v>
      </c>
      <c r="AN146" s="30">
        <v>1.575</v>
      </c>
      <c r="AO146" s="30">
        <v>1.5740000000000001</v>
      </c>
      <c r="AP146" s="30">
        <v>1.5620000000000001</v>
      </c>
      <c r="AQ146" s="30">
        <v>1.5760000000000001</v>
      </c>
      <c r="AR146" s="30">
        <v>1.5649999999999999</v>
      </c>
      <c r="AS146" s="30">
        <v>1.5640000000000001</v>
      </c>
      <c r="AT146" s="30">
        <v>1.5580000000000001</v>
      </c>
      <c r="AU146" s="30">
        <v>1.5649999999999999</v>
      </c>
      <c r="AV146" s="30">
        <v>1.571</v>
      </c>
      <c r="AW146" s="30">
        <v>1.5760000000000001</v>
      </c>
    </row>
    <row r="147" spans="1:49" ht="18" customHeight="1">
      <c r="A147" s="23"/>
      <c r="B147" s="19"/>
      <c r="C147" s="77" t="s">
        <v>77</v>
      </c>
      <c r="D147" s="35" t="s">
        <v>113</v>
      </c>
      <c r="E147" s="35"/>
      <c r="F147" s="29" t="s">
        <v>114</v>
      </c>
      <c r="G147" s="38">
        <v>1.55</v>
      </c>
      <c r="H147" s="38">
        <v>0.03</v>
      </c>
      <c r="I147" s="38">
        <v>0.03</v>
      </c>
      <c r="J147" s="38">
        <v>0.03</v>
      </c>
      <c r="K147" s="38">
        <v>0.03</v>
      </c>
      <c r="L147" s="30">
        <f t="shared" si="8"/>
        <v>1.569</v>
      </c>
      <c r="M147" s="30">
        <f t="shared" si="9"/>
        <v>1.556</v>
      </c>
      <c r="N147" s="30">
        <f t="shared" si="10"/>
        <v>1.2999999999999901E-2</v>
      </c>
      <c r="O147" s="31">
        <f t="shared" si="11"/>
        <v>1.5639666666666669</v>
      </c>
      <c r="P147" s="52"/>
      <c r="Q147" s="30">
        <v>1.5589999999999999</v>
      </c>
      <c r="R147" s="30">
        <v>1.5649999999999999</v>
      </c>
      <c r="S147" s="30">
        <v>1.5669999999999999</v>
      </c>
      <c r="T147" s="30">
        <v>1.5640000000000001</v>
      </c>
      <c r="U147" s="30">
        <v>1.5629999999999999</v>
      </c>
      <c r="V147" s="30">
        <v>1.5589999999999999</v>
      </c>
      <c r="W147" s="30">
        <v>1.5669999999999999</v>
      </c>
      <c r="X147" s="30">
        <v>1.5629999999999999</v>
      </c>
      <c r="Y147" s="30">
        <v>1.5660000000000001</v>
      </c>
      <c r="Z147" s="30">
        <v>1.5669999999999999</v>
      </c>
      <c r="AA147" s="30">
        <v>1.5629999999999999</v>
      </c>
      <c r="AB147" s="30">
        <v>1.569</v>
      </c>
      <c r="AC147" s="30">
        <v>1.5640000000000001</v>
      </c>
      <c r="AD147" s="30">
        <v>1.5629999999999999</v>
      </c>
      <c r="AE147" s="30">
        <v>1.5680000000000001</v>
      </c>
      <c r="AF147" s="30">
        <v>1.5680000000000001</v>
      </c>
      <c r="AG147" s="30">
        <v>1.556</v>
      </c>
      <c r="AH147" s="30">
        <v>1.569</v>
      </c>
      <c r="AI147" s="30">
        <v>1.569</v>
      </c>
      <c r="AJ147" s="30">
        <v>1.5609999999999999</v>
      </c>
      <c r="AK147" s="30">
        <v>1.5609999999999999</v>
      </c>
      <c r="AL147" s="30">
        <v>1.5629999999999999</v>
      </c>
      <c r="AM147" s="30">
        <v>1.5580000000000001</v>
      </c>
      <c r="AN147" s="30">
        <v>1.5629999999999999</v>
      </c>
      <c r="AO147" s="30">
        <v>1.569</v>
      </c>
      <c r="AP147" s="30">
        <v>1.56</v>
      </c>
      <c r="AQ147" s="30">
        <v>1.5640000000000001</v>
      </c>
      <c r="AR147" s="30">
        <v>1.5609999999999999</v>
      </c>
      <c r="AS147" s="30">
        <v>1.5629999999999999</v>
      </c>
      <c r="AT147" s="30">
        <v>1.5669999999999999</v>
      </c>
      <c r="AU147" s="30">
        <v>1.5609999999999999</v>
      </c>
      <c r="AV147" s="30">
        <v>1.5720000000000001</v>
      </c>
      <c r="AW147" s="30">
        <v>1.569</v>
      </c>
    </row>
    <row r="148" spans="1:49" ht="18" customHeight="1">
      <c r="A148" s="23"/>
      <c r="B148" s="19"/>
      <c r="C148" s="78" t="s">
        <v>115</v>
      </c>
      <c r="D148" s="35" t="s">
        <v>116</v>
      </c>
      <c r="E148" s="35" t="s">
        <v>396</v>
      </c>
      <c r="F148" s="29" t="s">
        <v>118</v>
      </c>
      <c r="G148" s="38">
        <v>4.1399999999999997</v>
      </c>
      <c r="H148" s="38">
        <v>0.03</v>
      </c>
      <c r="I148" s="38">
        <v>0.03</v>
      </c>
      <c r="J148" s="38">
        <v>0.03</v>
      </c>
      <c r="K148" s="38">
        <v>0.03</v>
      </c>
      <c r="L148" s="30">
        <f t="shared" si="8"/>
        <v>4.1639999999999997</v>
      </c>
      <c r="M148" s="30">
        <f t="shared" si="9"/>
        <v>4.133</v>
      </c>
      <c r="N148" s="30">
        <f t="shared" si="10"/>
        <v>3.0999999999999694E-2</v>
      </c>
      <c r="O148" s="31">
        <f t="shared" si="11"/>
        <v>4.1510333333333334</v>
      </c>
      <c r="P148" s="52"/>
      <c r="Q148" s="30">
        <v>4.1360000000000001</v>
      </c>
      <c r="R148" s="30">
        <v>4.16</v>
      </c>
      <c r="S148" s="30">
        <v>4.1589999999999998</v>
      </c>
      <c r="T148" s="30">
        <v>4.1589999999999998</v>
      </c>
      <c r="U148" s="30">
        <v>4.1639999999999997</v>
      </c>
      <c r="V148" s="30">
        <v>4.1630000000000003</v>
      </c>
      <c r="W148" s="30">
        <v>4.1630000000000003</v>
      </c>
      <c r="X148" s="30">
        <v>4.1500000000000004</v>
      </c>
      <c r="Y148" s="30">
        <v>4.1550000000000002</v>
      </c>
      <c r="Z148" s="30">
        <v>4.16</v>
      </c>
      <c r="AA148" s="30">
        <v>4.1479999999999997</v>
      </c>
      <c r="AB148" s="30">
        <v>4.1580000000000004</v>
      </c>
      <c r="AC148" s="30">
        <v>4.1539999999999999</v>
      </c>
      <c r="AD148" s="30">
        <v>4.1500000000000004</v>
      </c>
      <c r="AE148" s="30">
        <v>4.1559999999999997</v>
      </c>
      <c r="AF148" s="30">
        <v>4.16</v>
      </c>
      <c r="AG148" s="30">
        <v>4.1479999999999997</v>
      </c>
      <c r="AH148" s="30">
        <v>4.1520000000000001</v>
      </c>
      <c r="AI148" s="30">
        <v>4.1500000000000004</v>
      </c>
      <c r="AJ148" s="30">
        <v>4.1529999999999996</v>
      </c>
      <c r="AK148" s="30">
        <v>4.1529999999999996</v>
      </c>
      <c r="AL148" s="30">
        <v>4.1399999999999997</v>
      </c>
      <c r="AM148" s="30">
        <v>4.1349999999999998</v>
      </c>
      <c r="AN148" s="30">
        <v>4.1509999999999998</v>
      </c>
      <c r="AO148" s="30">
        <v>4.1539999999999999</v>
      </c>
      <c r="AP148" s="30">
        <v>4.1509999999999998</v>
      </c>
      <c r="AQ148" s="30">
        <v>4.133</v>
      </c>
      <c r="AR148" s="30">
        <v>4.1340000000000003</v>
      </c>
      <c r="AS148" s="30">
        <v>4.1399999999999997</v>
      </c>
      <c r="AT148" s="30">
        <v>4.1420000000000003</v>
      </c>
      <c r="AU148" s="30">
        <v>4.1340000000000003</v>
      </c>
      <c r="AV148" s="30">
        <v>4.1390000000000002</v>
      </c>
      <c r="AW148" s="30">
        <v>4.1399999999999997</v>
      </c>
    </row>
    <row r="149" spans="1:49" ht="18" customHeight="1">
      <c r="A149" s="23"/>
      <c r="B149" s="19"/>
      <c r="C149" s="78" t="s">
        <v>115</v>
      </c>
      <c r="D149" s="35" t="s">
        <v>119</v>
      </c>
      <c r="E149" s="35"/>
      <c r="F149" s="29" t="s">
        <v>120</v>
      </c>
      <c r="G149" s="38">
        <v>4.1399999999999997</v>
      </c>
      <c r="H149" s="38">
        <v>0.03</v>
      </c>
      <c r="I149" s="38">
        <v>0.03</v>
      </c>
      <c r="J149" s="38">
        <v>0.03</v>
      </c>
      <c r="K149" s="38">
        <v>0.03</v>
      </c>
      <c r="L149" s="30">
        <f t="shared" si="8"/>
        <v>4.1669999999999998</v>
      </c>
      <c r="M149" s="30">
        <f t="shared" si="9"/>
        <v>4.141</v>
      </c>
      <c r="N149" s="30">
        <f t="shared" si="10"/>
        <v>2.5999999999999801E-2</v>
      </c>
      <c r="O149" s="31">
        <f t="shared" si="11"/>
        <v>4.1493000000000002</v>
      </c>
      <c r="P149" s="52"/>
      <c r="Q149" s="30">
        <v>4.141</v>
      </c>
      <c r="R149" s="30">
        <v>4.165</v>
      </c>
      <c r="S149" s="30">
        <v>4.1669999999999998</v>
      </c>
      <c r="T149" s="30">
        <v>4.1630000000000003</v>
      </c>
      <c r="U149" s="30">
        <v>4.1630000000000003</v>
      </c>
      <c r="V149" s="30">
        <v>4.1619999999999999</v>
      </c>
      <c r="W149" s="30">
        <v>4.1619999999999999</v>
      </c>
      <c r="X149" s="30">
        <v>4.1449999999999996</v>
      </c>
      <c r="Y149" s="30">
        <v>4.1479999999999997</v>
      </c>
      <c r="Z149" s="30">
        <v>4.1509999999999998</v>
      </c>
      <c r="AA149" s="30">
        <v>4.1440000000000001</v>
      </c>
      <c r="AB149" s="30">
        <v>4.1509999999999998</v>
      </c>
      <c r="AC149" s="30">
        <v>4.1479999999999997</v>
      </c>
      <c r="AD149" s="30">
        <v>4.1470000000000002</v>
      </c>
      <c r="AE149" s="30">
        <v>4.149</v>
      </c>
      <c r="AF149" s="30">
        <v>4.1509999999999998</v>
      </c>
      <c r="AG149" s="30">
        <v>4.1459999999999999</v>
      </c>
      <c r="AH149" s="30">
        <v>4.1470000000000002</v>
      </c>
      <c r="AI149" s="30">
        <v>4.1429999999999998</v>
      </c>
      <c r="AJ149" s="30">
        <v>4.1459999999999999</v>
      </c>
      <c r="AK149" s="30">
        <v>4.1459999999999999</v>
      </c>
      <c r="AL149" s="30">
        <v>4.1429999999999998</v>
      </c>
      <c r="AM149" s="30">
        <v>4.1449999999999996</v>
      </c>
      <c r="AN149" s="30">
        <v>4.1440000000000001</v>
      </c>
      <c r="AO149" s="30">
        <v>4.1470000000000002</v>
      </c>
      <c r="AP149" s="30">
        <v>4.1449999999999996</v>
      </c>
      <c r="AQ149" s="30">
        <v>4.1429999999999998</v>
      </c>
      <c r="AR149" s="30">
        <v>4.1429999999999998</v>
      </c>
      <c r="AS149" s="30">
        <v>4.141</v>
      </c>
      <c r="AT149" s="30">
        <v>4.1429999999999998</v>
      </c>
      <c r="AU149" s="30">
        <v>4.1420000000000003</v>
      </c>
      <c r="AV149" s="30">
        <v>4.1390000000000002</v>
      </c>
      <c r="AW149" s="30">
        <v>4.141</v>
      </c>
    </row>
    <row r="150" spans="1:49" ht="18" customHeight="1">
      <c r="A150" s="23"/>
      <c r="B150" s="19"/>
      <c r="C150" s="78" t="s">
        <v>115</v>
      </c>
      <c r="D150" s="35" t="s">
        <v>121</v>
      </c>
      <c r="E150" s="35"/>
      <c r="F150" s="29" t="s">
        <v>122</v>
      </c>
      <c r="G150" s="38">
        <v>4.1399999999999997</v>
      </c>
      <c r="H150" s="38">
        <v>0.03</v>
      </c>
      <c r="I150" s="38">
        <v>0.03</v>
      </c>
      <c r="J150" s="38">
        <v>0.03</v>
      </c>
      <c r="K150" s="38">
        <v>0.03</v>
      </c>
      <c r="L150" s="30">
        <f t="shared" si="8"/>
        <v>4.1639999999999997</v>
      </c>
      <c r="M150" s="30">
        <f t="shared" si="9"/>
        <v>4.1379999999999999</v>
      </c>
      <c r="N150" s="30">
        <f t="shared" si="10"/>
        <v>2.5999999999999801E-2</v>
      </c>
      <c r="O150" s="31">
        <f t="shared" si="11"/>
        <v>4.1460333333333335</v>
      </c>
      <c r="P150" s="52"/>
      <c r="Q150" s="30">
        <v>4.1379999999999999</v>
      </c>
      <c r="R150" s="30">
        <v>4.157</v>
      </c>
      <c r="S150" s="30">
        <v>4.1589999999999998</v>
      </c>
      <c r="T150" s="30">
        <v>4.1559999999999997</v>
      </c>
      <c r="U150" s="30">
        <v>4.1609999999999996</v>
      </c>
      <c r="V150" s="30">
        <v>4.1639999999999997</v>
      </c>
      <c r="W150" s="30">
        <v>4.16</v>
      </c>
      <c r="X150" s="30">
        <v>4.1440000000000001</v>
      </c>
      <c r="Y150" s="30">
        <v>4.1449999999999996</v>
      </c>
      <c r="Z150" s="30">
        <v>4.1459999999999999</v>
      </c>
      <c r="AA150" s="30">
        <v>4.1420000000000003</v>
      </c>
      <c r="AB150" s="30">
        <v>4.1470000000000002</v>
      </c>
      <c r="AC150" s="30">
        <v>4.1459999999999999</v>
      </c>
      <c r="AD150" s="30">
        <v>4.1440000000000001</v>
      </c>
      <c r="AE150" s="30">
        <v>4.1449999999999996</v>
      </c>
      <c r="AF150" s="30">
        <v>4.1459999999999999</v>
      </c>
      <c r="AG150" s="30">
        <v>4.1420000000000003</v>
      </c>
      <c r="AH150" s="30">
        <v>4.1440000000000001</v>
      </c>
      <c r="AI150" s="30">
        <v>4.1420000000000003</v>
      </c>
      <c r="AJ150" s="30">
        <v>4.1420000000000003</v>
      </c>
      <c r="AK150" s="30">
        <v>4.1449999999999996</v>
      </c>
      <c r="AL150" s="30">
        <v>4.1429999999999998</v>
      </c>
      <c r="AM150" s="30">
        <v>4.1399999999999997</v>
      </c>
      <c r="AN150" s="30">
        <v>4.141</v>
      </c>
      <c r="AO150" s="30">
        <v>4.141</v>
      </c>
      <c r="AP150" s="30">
        <v>4.1440000000000001</v>
      </c>
      <c r="AQ150" s="30">
        <v>4.1379999999999999</v>
      </c>
      <c r="AR150" s="30">
        <v>4.1379999999999999</v>
      </c>
      <c r="AS150" s="30">
        <v>4.1390000000000002</v>
      </c>
      <c r="AT150" s="30">
        <v>4.1420000000000003</v>
      </c>
      <c r="AU150" s="30">
        <v>4.141</v>
      </c>
      <c r="AV150" s="30">
        <v>4.1379999999999999</v>
      </c>
      <c r="AW150" s="30">
        <v>4.1399999999999997</v>
      </c>
    </row>
    <row r="151" spans="1:49" ht="18" customHeight="1">
      <c r="A151" s="23"/>
      <c r="B151" s="19"/>
      <c r="C151" s="78" t="s">
        <v>115</v>
      </c>
      <c r="D151" s="35" t="s">
        <v>123</v>
      </c>
      <c r="E151" s="35"/>
      <c r="F151" s="29" t="s">
        <v>124</v>
      </c>
      <c r="G151" s="38">
        <v>4.1399999999999997</v>
      </c>
      <c r="H151" s="38">
        <v>0.03</v>
      </c>
      <c r="I151" s="38">
        <v>0.03</v>
      </c>
      <c r="J151" s="38">
        <v>0.03</v>
      </c>
      <c r="K151" s="38">
        <v>0.03</v>
      </c>
      <c r="L151" s="30">
        <f t="shared" si="8"/>
        <v>4.1580000000000004</v>
      </c>
      <c r="M151" s="30">
        <f t="shared" si="9"/>
        <v>4.1369999999999996</v>
      </c>
      <c r="N151" s="30">
        <f t="shared" si="10"/>
        <v>2.1000000000000796E-2</v>
      </c>
      <c r="O151" s="31">
        <f t="shared" si="11"/>
        <v>4.1504333333333339</v>
      </c>
      <c r="P151" s="52"/>
      <c r="Q151" s="30">
        <v>4.1399999999999997</v>
      </c>
      <c r="R151" s="30">
        <v>4.1440000000000001</v>
      </c>
      <c r="S151" s="30">
        <v>4.1459999999999999</v>
      </c>
      <c r="T151" s="30">
        <v>4.1420000000000003</v>
      </c>
      <c r="U151" s="30">
        <v>4.1500000000000004</v>
      </c>
      <c r="V151" s="30">
        <v>4.149</v>
      </c>
      <c r="W151" s="30">
        <v>4.149</v>
      </c>
      <c r="X151" s="30">
        <v>4.1539999999999999</v>
      </c>
      <c r="Y151" s="30">
        <v>4.1550000000000002</v>
      </c>
      <c r="Z151" s="30">
        <v>4.1559999999999997</v>
      </c>
      <c r="AA151" s="30">
        <v>4.1529999999999996</v>
      </c>
      <c r="AB151" s="30">
        <v>4.1580000000000004</v>
      </c>
      <c r="AC151" s="30">
        <v>4.1539999999999999</v>
      </c>
      <c r="AD151" s="30">
        <v>4.1550000000000002</v>
      </c>
      <c r="AE151" s="30">
        <v>4.157</v>
      </c>
      <c r="AF151" s="30">
        <v>4.1559999999999997</v>
      </c>
      <c r="AG151" s="30">
        <v>4.1529999999999996</v>
      </c>
      <c r="AH151" s="30">
        <v>4.1529999999999996</v>
      </c>
      <c r="AI151" s="30">
        <v>4.1520000000000001</v>
      </c>
      <c r="AJ151" s="30">
        <v>4.1550000000000002</v>
      </c>
      <c r="AK151" s="30">
        <v>4.1550000000000002</v>
      </c>
      <c r="AL151" s="30">
        <v>4.1509999999999998</v>
      </c>
      <c r="AM151" s="30">
        <v>4.1390000000000002</v>
      </c>
      <c r="AN151" s="30">
        <v>4.1539999999999999</v>
      </c>
      <c r="AO151" s="30">
        <v>4.1550000000000002</v>
      </c>
      <c r="AP151" s="30">
        <v>4.1559999999999997</v>
      </c>
      <c r="AQ151" s="30">
        <v>4.1369999999999996</v>
      </c>
      <c r="AR151" s="30">
        <v>4.1420000000000003</v>
      </c>
      <c r="AS151" s="30">
        <v>4.1470000000000002</v>
      </c>
      <c r="AT151" s="30">
        <v>4.1459999999999999</v>
      </c>
      <c r="AU151" s="30">
        <v>4.1449999999999996</v>
      </c>
      <c r="AV151" s="30">
        <v>4.1449999999999996</v>
      </c>
      <c r="AW151" s="30">
        <v>4.1449999999999996</v>
      </c>
    </row>
    <row r="152" spans="1:49" ht="18" customHeight="1">
      <c r="A152" s="23"/>
      <c r="B152" s="19"/>
      <c r="C152" s="76" t="s">
        <v>77</v>
      </c>
      <c r="D152" s="35" t="s">
        <v>125</v>
      </c>
      <c r="E152" s="35"/>
      <c r="F152" s="29" t="s">
        <v>126</v>
      </c>
      <c r="G152" s="38">
        <v>3.75</v>
      </c>
      <c r="H152" s="38">
        <v>0.08</v>
      </c>
      <c r="I152" s="38">
        <v>0.05</v>
      </c>
      <c r="J152" s="38">
        <v>0.08</v>
      </c>
      <c r="K152" s="38">
        <v>0.05</v>
      </c>
      <c r="L152" s="30">
        <f t="shared" si="8"/>
        <v>3.778</v>
      </c>
      <c r="M152" s="30">
        <f t="shared" si="9"/>
        <v>3.7469999999999999</v>
      </c>
      <c r="N152" s="30">
        <f t="shared" si="10"/>
        <v>3.1000000000000139E-2</v>
      </c>
      <c r="O152" s="31">
        <f t="shared" si="11"/>
        <v>3.7607000000000013</v>
      </c>
      <c r="P152" s="52"/>
      <c r="Q152" s="30">
        <v>3.7570000000000001</v>
      </c>
      <c r="R152" s="30">
        <v>3.75</v>
      </c>
      <c r="S152" s="30">
        <v>3.7469999999999999</v>
      </c>
      <c r="T152" s="30">
        <v>3.7730000000000001</v>
      </c>
      <c r="U152" s="30">
        <v>3.76</v>
      </c>
      <c r="V152" s="30">
        <v>3.7559999999999998</v>
      </c>
      <c r="W152" s="30">
        <v>3.7549999999999999</v>
      </c>
      <c r="X152" s="30">
        <v>3.7629999999999999</v>
      </c>
      <c r="Y152" s="30">
        <v>3.7610000000000001</v>
      </c>
      <c r="Z152" s="30">
        <v>3.7549999999999999</v>
      </c>
      <c r="AA152" s="30">
        <v>3.7650000000000001</v>
      </c>
      <c r="AB152" s="30">
        <v>3.758</v>
      </c>
      <c r="AC152" s="30">
        <v>3.7559999999999998</v>
      </c>
      <c r="AD152" s="30">
        <v>3.7549999999999999</v>
      </c>
      <c r="AE152" s="30">
        <v>3.758</v>
      </c>
      <c r="AF152" s="30">
        <v>3.7669999999999999</v>
      </c>
      <c r="AG152" s="30">
        <v>3.754</v>
      </c>
      <c r="AH152" s="30">
        <v>3.7519999999999998</v>
      </c>
      <c r="AI152" s="30">
        <v>3.754</v>
      </c>
      <c r="AJ152" s="30">
        <v>3.754</v>
      </c>
      <c r="AK152" s="30">
        <v>3.778</v>
      </c>
      <c r="AL152" s="30">
        <v>3.7749999999999999</v>
      </c>
      <c r="AM152" s="30">
        <v>3.7570000000000001</v>
      </c>
      <c r="AN152" s="30">
        <v>3.7770000000000001</v>
      </c>
      <c r="AO152" s="30">
        <v>3.7519999999999998</v>
      </c>
      <c r="AP152" s="30">
        <v>3.7589999999999999</v>
      </c>
      <c r="AQ152" s="30">
        <v>3.774</v>
      </c>
      <c r="AR152" s="30">
        <v>3.7589999999999999</v>
      </c>
      <c r="AS152" s="30">
        <v>3.7690000000000001</v>
      </c>
      <c r="AT152" s="30">
        <v>3.7709999999999999</v>
      </c>
      <c r="AU152" s="30">
        <v>3.7589999999999999</v>
      </c>
      <c r="AV152" s="30">
        <v>3.7759999999999998</v>
      </c>
      <c r="AW152" s="30">
        <v>3.77</v>
      </c>
    </row>
    <row r="153" spans="1:49" ht="18" customHeight="1">
      <c r="A153" s="23"/>
      <c r="B153" s="19"/>
      <c r="C153" s="76" t="s">
        <v>77</v>
      </c>
      <c r="D153" s="35" t="s">
        <v>127</v>
      </c>
      <c r="E153" s="35"/>
      <c r="F153" s="29" t="s">
        <v>128</v>
      </c>
      <c r="G153" s="38">
        <v>3.75</v>
      </c>
      <c r="H153" s="38">
        <v>0.08</v>
      </c>
      <c r="I153" s="38">
        <v>0.05</v>
      </c>
      <c r="J153" s="38">
        <v>0.08</v>
      </c>
      <c r="K153" s="38">
        <v>0.05</v>
      </c>
      <c r="L153" s="30">
        <f t="shared" si="8"/>
        <v>3.798</v>
      </c>
      <c r="M153" s="30">
        <f t="shared" si="9"/>
        <v>3.7389999999999999</v>
      </c>
      <c r="N153" s="30">
        <f t="shared" si="10"/>
        <v>5.9000000000000163E-2</v>
      </c>
      <c r="O153" s="31">
        <f t="shared" si="11"/>
        <v>3.7531999999999996</v>
      </c>
      <c r="P153" s="52"/>
      <c r="Q153" s="30">
        <v>3.7469999999999999</v>
      </c>
      <c r="R153" s="30">
        <v>3.758</v>
      </c>
      <c r="S153" s="30">
        <v>3.742</v>
      </c>
      <c r="T153" s="30">
        <v>3.746</v>
      </c>
      <c r="U153" s="30">
        <v>3.7440000000000002</v>
      </c>
      <c r="V153" s="30">
        <v>3.7480000000000002</v>
      </c>
      <c r="W153" s="30">
        <v>3.7480000000000002</v>
      </c>
      <c r="X153" s="30">
        <v>3.76</v>
      </c>
      <c r="Y153" s="30">
        <v>3.762</v>
      </c>
      <c r="Z153" s="30">
        <v>3.7480000000000002</v>
      </c>
      <c r="AA153" s="30">
        <v>3.7559999999999998</v>
      </c>
      <c r="AB153" s="30">
        <v>3.7570000000000001</v>
      </c>
      <c r="AC153" s="30">
        <v>3.76</v>
      </c>
      <c r="AD153" s="30">
        <v>3.7490000000000001</v>
      </c>
      <c r="AE153" s="30">
        <v>3.7559999999999998</v>
      </c>
      <c r="AF153" s="30">
        <v>3.7530000000000001</v>
      </c>
      <c r="AG153" s="30">
        <v>3.7389999999999999</v>
      </c>
      <c r="AH153" s="30">
        <v>3.7469999999999999</v>
      </c>
      <c r="AI153" s="30">
        <v>3.7469999999999999</v>
      </c>
      <c r="AJ153" s="30">
        <v>3.7530000000000001</v>
      </c>
      <c r="AK153" s="30">
        <v>3.75</v>
      </c>
      <c r="AL153" s="30">
        <v>3.766</v>
      </c>
      <c r="AM153" s="30">
        <v>3.798</v>
      </c>
      <c r="AN153" s="30">
        <v>3.7509999999999999</v>
      </c>
      <c r="AO153" s="30">
        <v>3.7530000000000001</v>
      </c>
      <c r="AP153" s="30">
        <v>3.7530000000000001</v>
      </c>
      <c r="AQ153" s="30">
        <v>3.7429999999999999</v>
      </c>
      <c r="AR153" s="30">
        <v>3.7549999999999999</v>
      </c>
      <c r="AS153" s="30">
        <v>3.7519999999999998</v>
      </c>
      <c r="AT153" s="30">
        <v>3.7549999999999999</v>
      </c>
      <c r="AU153" s="30">
        <v>3.7549999999999999</v>
      </c>
      <c r="AV153" s="30">
        <v>3.7559999999999998</v>
      </c>
      <c r="AW153" s="30">
        <v>3.7589999999999999</v>
      </c>
    </row>
    <row r="154" spans="1:49" ht="18" customHeight="1">
      <c r="A154" s="23"/>
      <c r="B154" s="19"/>
      <c r="C154" s="76" t="s">
        <v>77</v>
      </c>
      <c r="D154" s="35" t="s">
        <v>129</v>
      </c>
      <c r="E154" s="35"/>
      <c r="F154" s="29" t="s">
        <v>130</v>
      </c>
      <c r="G154" s="38">
        <v>3.75</v>
      </c>
      <c r="H154" s="38">
        <v>0.05</v>
      </c>
      <c r="I154" s="38">
        <v>0.05</v>
      </c>
      <c r="J154" s="38">
        <v>0.05</v>
      </c>
      <c r="K154" s="38">
        <v>0.05</v>
      </c>
      <c r="L154" s="30">
        <f t="shared" si="8"/>
        <v>3.7610000000000001</v>
      </c>
      <c r="M154" s="30">
        <f t="shared" si="9"/>
        <v>3.7290000000000001</v>
      </c>
      <c r="N154" s="30">
        <f t="shared" si="10"/>
        <v>3.2000000000000028E-2</v>
      </c>
      <c r="O154" s="31">
        <f t="shared" si="11"/>
        <v>3.7539666666666665</v>
      </c>
      <c r="P154" s="52"/>
      <c r="Q154" s="30">
        <v>3.7490000000000001</v>
      </c>
      <c r="R154" s="30">
        <v>3.76</v>
      </c>
      <c r="S154" s="30">
        <v>3.7559999999999998</v>
      </c>
      <c r="T154" s="30">
        <v>3.7469999999999999</v>
      </c>
      <c r="U154" s="30">
        <v>3.758</v>
      </c>
      <c r="V154" s="30">
        <v>3.758</v>
      </c>
      <c r="W154" s="30">
        <v>3.7519999999999998</v>
      </c>
      <c r="X154" s="30">
        <v>3.758</v>
      </c>
      <c r="Y154" s="30">
        <v>3.7589999999999999</v>
      </c>
      <c r="Z154" s="30">
        <v>3.7519999999999998</v>
      </c>
      <c r="AA154" s="30">
        <v>3.7589999999999999</v>
      </c>
      <c r="AB154" s="30">
        <v>3.7549999999999999</v>
      </c>
      <c r="AC154" s="30">
        <v>3.7610000000000001</v>
      </c>
      <c r="AD154" s="30">
        <v>3.7559999999999998</v>
      </c>
      <c r="AE154" s="30">
        <v>3.758</v>
      </c>
      <c r="AF154" s="30">
        <v>3.7480000000000002</v>
      </c>
      <c r="AG154" s="30">
        <v>3.7290000000000001</v>
      </c>
      <c r="AH154" s="30">
        <v>3.7519999999999998</v>
      </c>
      <c r="AI154" s="30">
        <v>3.758</v>
      </c>
      <c r="AJ154" s="30">
        <v>3.7559999999999998</v>
      </c>
      <c r="AK154" s="30">
        <v>3.7480000000000002</v>
      </c>
      <c r="AL154" s="30">
        <v>3.7519999999999998</v>
      </c>
      <c r="AM154" s="30">
        <v>3.7589999999999999</v>
      </c>
      <c r="AN154" s="30">
        <v>3.7490000000000001</v>
      </c>
      <c r="AO154" s="30">
        <v>3.7549999999999999</v>
      </c>
      <c r="AP154" s="30">
        <v>3.7570000000000001</v>
      </c>
      <c r="AQ154" s="30">
        <v>3.7570000000000001</v>
      </c>
      <c r="AR154" s="30">
        <v>3.7559999999999998</v>
      </c>
      <c r="AS154" s="30">
        <v>3.75</v>
      </c>
      <c r="AT154" s="30">
        <v>3.7549999999999999</v>
      </c>
      <c r="AU154" s="30">
        <v>3.7559999999999998</v>
      </c>
      <c r="AV154" s="30">
        <v>3.7610000000000001</v>
      </c>
      <c r="AW154" s="30">
        <v>3.7480000000000002</v>
      </c>
    </row>
    <row r="155" spans="1:49" ht="18" customHeight="1">
      <c r="A155" s="23"/>
      <c r="B155" s="19"/>
      <c r="C155" s="76" t="s">
        <v>77</v>
      </c>
      <c r="D155" s="35" t="s">
        <v>131</v>
      </c>
      <c r="E155" s="35"/>
      <c r="F155" s="29" t="s">
        <v>132</v>
      </c>
      <c r="G155" s="38">
        <v>3.75</v>
      </c>
      <c r="H155" s="38">
        <v>0.05</v>
      </c>
      <c r="I155" s="38">
        <v>0.05</v>
      </c>
      <c r="J155" s="38">
        <v>0.05</v>
      </c>
      <c r="K155" s="38">
        <v>0.05</v>
      </c>
      <c r="L155" s="30">
        <f t="shared" si="8"/>
        <v>3.7709999999999999</v>
      </c>
      <c r="M155" s="30">
        <f t="shared" si="9"/>
        <v>3.7429999999999999</v>
      </c>
      <c r="N155" s="30">
        <f t="shared" si="10"/>
        <v>2.8000000000000025E-2</v>
      </c>
      <c r="O155" s="31">
        <f t="shared" si="11"/>
        <v>3.7638000000000016</v>
      </c>
      <c r="P155" s="52"/>
      <c r="Q155" s="30">
        <v>3.7589999999999999</v>
      </c>
      <c r="R155" s="30">
        <v>3.7610000000000001</v>
      </c>
      <c r="S155" s="30">
        <v>3.7669999999999999</v>
      </c>
      <c r="T155" s="30">
        <v>3.76</v>
      </c>
      <c r="U155" s="30">
        <v>3.7629999999999999</v>
      </c>
      <c r="V155" s="30">
        <v>3.7679999999999998</v>
      </c>
      <c r="W155" s="30">
        <v>3.77</v>
      </c>
      <c r="X155" s="30">
        <v>3.7639999999999998</v>
      </c>
      <c r="Y155" s="30">
        <v>3.766</v>
      </c>
      <c r="Z155" s="30">
        <v>3.77</v>
      </c>
      <c r="AA155" s="30">
        <v>3.758</v>
      </c>
      <c r="AB155" s="30">
        <v>3.7650000000000001</v>
      </c>
      <c r="AC155" s="30">
        <v>3.7639999999999998</v>
      </c>
      <c r="AD155" s="30">
        <v>3.7610000000000001</v>
      </c>
      <c r="AE155" s="30">
        <v>3.766</v>
      </c>
      <c r="AF155" s="30">
        <v>3.7669999999999999</v>
      </c>
      <c r="AG155" s="30">
        <v>3.7429999999999999</v>
      </c>
      <c r="AH155" s="30">
        <v>3.7690000000000001</v>
      </c>
      <c r="AI155" s="30">
        <v>3.7639999999999998</v>
      </c>
      <c r="AJ155" s="30">
        <v>3.7679999999999998</v>
      </c>
      <c r="AK155" s="30">
        <v>3.758</v>
      </c>
      <c r="AL155" s="30">
        <v>3.762</v>
      </c>
      <c r="AM155" s="30">
        <v>3.766</v>
      </c>
      <c r="AN155" s="30">
        <v>3.76</v>
      </c>
      <c r="AO155" s="30">
        <v>3.7629999999999999</v>
      </c>
      <c r="AP155" s="30">
        <v>3.766</v>
      </c>
      <c r="AQ155" s="30">
        <v>3.766</v>
      </c>
      <c r="AR155" s="30">
        <v>3.766</v>
      </c>
      <c r="AS155" s="30">
        <v>3.7709999999999999</v>
      </c>
      <c r="AT155" s="30">
        <v>3.7629999999999999</v>
      </c>
      <c r="AU155" s="30">
        <v>3.766</v>
      </c>
      <c r="AV155" s="30">
        <v>3.7669999999999999</v>
      </c>
      <c r="AW155" s="30">
        <v>3.7589999999999999</v>
      </c>
    </row>
    <row r="156" spans="1:49" ht="18" customHeight="1">
      <c r="A156" s="23"/>
      <c r="B156" s="19"/>
      <c r="C156" s="78" t="s">
        <v>115</v>
      </c>
      <c r="D156" s="35" t="s">
        <v>133</v>
      </c>
      <c r="E156" s="35"/>
      <c r="F156" s="29" t="s">
        <v>134</v>
      </c>
      <c r="G156" s="38">
        <v>0.95</v>
      </c>
      <c r="H156" s="38">
        <v>0.04</v>
      </c>
      <c r="I156" s="38">
        <v>0.04</v>
      </c>
      <c r="J156" s="38">
        <v>0.04</v>
      </c>
      <c r="K156" s="38">
        <v>0.04</v>
      </c>
      <c r="L156" s="30">
        <f t="shared" si="8"/>
        <v>0.96</v>
      </c>
      <c r="M156" s="30">
        <f t="shared" si="9"/>
        <v>0.94099999999999995</v>
      </c>
      <c r="N156" s="30">
        <f t="shared" si="10"/>
        <v>1.9000000000000017E-2</v>
      </c>
      <c r="O156" s="31">
        <f t="shared" si="11"/>
        <v>0.94883333333333331</v>
      </c>
      <c r="P156" s="52"/>
      <c r="Q156" s="30">
        <v>0.95099999999999996</v>
      </c>
      <c r="R156" s="30">
        <v>0.95099999999999996</v>
      </c>
      <c r="S156" s="30">
        <v>0.95699999999999996</v>
      </c>
      <c r="T156" s="30">
        <v>0.94899999999999995</v>
      </c>
      <c r="U156" s="30">
        <v>0.95799999999999996</v>
      </c>
      <c r="V156" s="30">
        <v>0.96</v>
      </c>
      <c r="W156" s="30">
        <v>0.95599999999999996</v>
      </c>
      <c r="X156" s="30">
        <v>0.94399999999999995</v>
      </c>
      <c r="Y156" s="30">
        <v>0.94699999999999995</v>
      </c>
      <c r="Z156" s="30">
        <v>0.95</v>
      </c>
      <c r="AA156" s="30">
        <v>0.94299999999999995</v>
      </c>
      <c r="AB156" s="30">
        <v>0.95</v>
      </c>
      <c r="AC156" s="30">
        <v>0.94699999999999995</v>
      </c>
      <c r="AD156" s="30">
        <v>0.94599999999999995</v>
      </c>
      <c r="AE156" s="30">
        <v>0.94799999999999995</v>
      </c>
      <c r="AF156" s="30">
        <v>0.95</v>
      </c>
      <c r="AG156" s="30">
        <v>0.94499999999999995</v>
      </c>
      <c r="AH156" s="30">
        <v>0.94599999999999995</v>
      </c>
      <c r="AI156" s="30">
        <v>0.94499999999999995</v>
      </c>
      <c r="AJ156" s="30">
        <v>0.94599999999999995</v>
      </c>
      <c r="AK156" s="30">
        <v>0.94699999999999995</v>
      </c>
      <c r="AL156" s="30">
        <v>0.95</v>
      </c>
      <c r="AM156" s="30">
        <v>0.95099999999999996</v>
      </c>
      <c r="AN156" s="30">
        <v>0.94499999999999995</v>
      </c>
      <c r="AO156" s="30">
        <v>0.94599999999999995</v>
      </c>
      <c r="AP156" s="30">
        <v>0.94099999999999995</v>
      </c>
      <c r="AQ156" s="30">
        <v>0.95</v>
      </c>
      <c r="AR156" s="30">
        <v>0.95199999999999996</v>
      </c>
      <c r="AS156" s="30">
        <v>0.94799999999999995</v>
      </c>
      <c r="AT156" s="30">
        <v>0.94599999999999995</v>
      </c>
      <c r="AU156" s="30">
        <v>0.94899999999999995</v>
      </c>
      <c r="AV156" s="30">
        <v>0.94599999999999995</v>
      </c>
      <c r="AW156" s="30">
        <v>0.94499999999999995</v>
      </c>
    </row>
    <row r="157" spans="1:49" ht="18" customHeight="1">
      <c r="A157" s="23"/>
      <c r="B157" s="19"/>
      <c r="C157" s="78" t="s">
        <v>115</v>
      </c>
      <c r="D157" s="35" t="s">
        <v>135</v>
      </c>
      <c r="E157" s="35"/>
      <c r="F157" s="29" t="s">
        <v>136</v>
      </c>
      <c r="G157" s="38">
        <v>1.85</v>
      </c>
      <c r="H157" s="38">
        <v>0.05</v>
      </c>
      <c r="I157" s="38">
        <v>0.09</v>
      </c>
      <c r="J157" s="38">
        <v>0.05</v>
      </c>
      <c r="K157" s="38">
        <v>0.09</v>
      </c>
      <c r="L157" s="30">
        <f t="shared" si="8"/>
        <v>1.8280000000000001</v>
      </c>
      <c r="M157" s="30">
        <f t="shared" si="9"/>
        <v>1.8069999999999999</v>
      </c>
      <c r="N157" s="30">
        <f t="shared" si="10"/>
        <v>2.100000000000013E-2</v>
      </c>
      <c r="O157" s="31">
        <f t="shared" si="11"/>
        <v>1.8127666666666664</v>
      </c>
      <c r="P157" s="52"/>
      <c r="Q157" s="30">
        <v>1.821</v>
      </c>
      <c r="R157" s="30">
        <v>1.8140000000000001</v>
      </c>
      <c r="S157" s="30">
        <v>1.82</v>
      </c>
      <c r="T157" s="30">
        <v>1.8129999999999999</v>
      </c>
      <c r="U157" s="30">
        <v>1.823</v>
      </c>
      <c r="V157" s="30">
        <v>1.8280000000000001</v>
      </c>
      <c r="W157" s="30">
        <v>1.821</v>
      </c>
      <c r="X157" s="30">
        <v>1.8089999999999999</v>
      </c>
      <c r="Y157" s="30">
        <v>1.81</v>
      </c>
      <c r="Z157" s="30">
        <v>1.8109999999999999</v>
      </c>
      <c r="AA157" s="30">
        <v>1.8080000000000001</v>
      </c>
      <c r="AB157" s="30">
        <v>1.8129999999999999</v>
      </c>
      <c r="AC157" s="30">
        <v>1.8129999999999999</v>
      </c>
      <c r="AD157" s="30">
        <v>1.81</v>
      </c>
      <c r="AE157" s="30">
        <v>1.8109999999999999</v>
      </c>
      <c r="AF157" s="30">
        <v>1.8140000000000001</v>
      </c>
      <c r="AG157" s="30">
        <v>1.8080000000000001</v>
      </c>
      <c r="AH157" s="30">
        <v>1.8120000000000001</v>
      </c>
      <c r="AI157" s="30">
        <v>1.8149999999999999</v>
      </c>
      <c r="AJ157" s="30">
        <v>1.8080000000000001</v>
      </c>
      <c r="AK157" s="30">
        <v>1.8180000000000001</v>
      </c>
      <c r="AL157" s="30">
        <v>1.8080000000000001</v>
      </c>
      <c r="AM157" s="30">
        <v>1.8120000000000001</v>
      </c>
      <c r="AN157" s="30">
        <v>1.8069999999999999</v>
      </c>
      <c r="AO157" s="30">
        <v>1.8129999999999999</v>
      </c>
      <c r="AP157" s="30">
        <v>1.8109999999999999</v>
      </c>
      <c r="AQ157" s="30">
        <v>1.81</v>
      </c>
      <c r="AR157" s="30">
        <v>1.8080000000000001</v>
      </c>
      <c r="AS157" s="30">
        <v>1.8069999999999999</v>
      </c>
      <c r="AT157" s="30">
        <v>1.8069999999999999</v>
      </c>
      <c r="AU157" s="30">
        <v>1.802</v>
      </c>
      <c r="AV157" s="30">
        <v>1.806</v>
      </c>
      <c r="AW157" s="30">
        <v>1.8049999999999999</v>
      </c>
    </row>
    <row r="158" spans="1:49" ht="18" customHeight="1">
      <c r="A158" s="23"/>
      <c r="B158" s="19"/>
      <c r="C158" s="75" t="s">
        <v>65</v>
      </c>
      <c r="D158" s="35" t="s">
        <v>137</v>
      </c>
      <c r="E158" s="35"/>
      <c r="F158" s="29" t="s">
        <v>138</v>
      </c>
      <c r="G158" s="38">
        <v>2.5299999999999998</v>
      </c>
      <c r="H158" s="38">
        <v>0.08</v>
      </c>
      <c r="I158" s="38">
        <v>0.03</v>
      </c>
      <c r="J158" s="38">
        <v>0.08</v>
      </c>
      <c r="K158" s="38">
        <v>0.03</v>
      </c>
      <c r="L158" s="30">
        <f t="shared" si="8"/>
        <v>2.5590000000000002</v>
      </c>
      <c r="M158" s="30">
        <f t="shared" si="9"/>
        <v>2.5430000000000001</v>
      </c>
      <c r="N158" s="30">
        <f t="shared" si="10"/>
        <v>1.6000000000000014E-2</v>
      </c>
      <c r="O158" s="31">
        <f t="shared" si="11"/>
        <v>2.5484333333333331</v>
      </c>
      <c r="P158" s="52"/>
      <c r="Q158" s="30">
        <v>2.552</v>
      </c>
      <c r="R158" s="30">
        <v>2.5550000000000002</v>
      </c>
      <c r="S158" s="30">
        <v>2.548</v>
      </c>
      <c r="T158" s="30">
        <v>2.5499999999999998</v>
      </c>
      <c r="U158" s="30">
        <v>2.5459999999999998</v>
      </c>
      <c r="V158" s="30">
        <v>2.5470000000000002</v>
      </c>
      <c r="W158" s="30">
        <v>2.5510000000000002</v>
      </c>
      <c r="X158" s="30">
        <v>2.548</v>
      </c>
      <c r="Y158" s="30">
        <v>2.5499999999999998</v>
      </c>
      <c r="Z158" s="30">
        <v>2.548</v>
      </c>
      <c r="AA158" s="30">
        <v>2.5590000000000002</v>
      </c>
      <c r="AB158" s="30">
        <v>2.5489999999999999</v>
      </c>
      <c r="AC158" s="30">
        <v>2.5539999999999998</v>
      </c>
      <c r="AD158" s="30">
        <v>2.5449999999999999</v>
      </c>
      <c r="AE158" s="30">
        <v>2.5499999999999998</v>
      </c>
      <c r="AF158" s="30">
        <v>2.5470000000000002</v>
      </c>
      <c r="AG158" s="30">
        <v>2.5510000000000002</v>
      </c>
      <c r="AH158" s="30">
        <v>2.5499999999999998</v>
      </c>
      <c r="AI158" s="30">
        <v>2.544</v>
      </c>
      <c r="AJ158" s="30">
        <v>2.548</v>
      </c>
      <c r="AK158" s="30">
        <v>2.5459999999999998</v>
      </c>
      <c r="AL158" s="30">
        <v>2.5449999999999999</v>
      </c>
      <c r="AM158" s="30">
        <v>2.5470000000000002</v>
      </c>
      <c r="AN158" s="30">
        <v>2.5449999999999999</v>
      </c>
      <c r="AO158" s="30">
        <v>2.548</v>
      </c>
      <c r="AP158" s="30">
        <v>2.548</v>
      </c>
      <c r="AQ158" s="30">
        <v>2.5470000000000002</v>
      </c>
      <c r="AR158" s="30">
        <v>2.548</v>
      </c>
      <c r="AS158" s="30">
        <v>2.544</v>
      </c>
      <c r="AT158" s="30">
        <v>2.5430000000000001</v>
      </c>
      <c r="AU158" s="30">
        <v>2.5470000000000002</v>
      </c>
      <c r="AV158" s="30">
        <v>2.548</v>
      </c>
      <c r="AW158" s="30">
        <v>2.5459999999999998</v>
      </c>
    </row>
    <row r="159" spans="1:49" ht="18" customHeight="1">
      <c r="A159" s="23"/>
      <c r="B159" s="19"/>
      <c r="C159" s="75" t="s">
        <v>65</v>
      </c>
      <c r="D159" s="35" t="s">
        <v>139</v>
      </c>
      <c r="E159" s="35"/>
      <c r="F159" s="29" t="s">
        <v>140</v>
      </c>
      <c r="G159" s="38">
        <v>2.5299999999999998</v>
      </c>
      <c r="H159" s="38">
        <v>0.08</v>
      </c>
      <c r="I159" s="38">
        <v>0.03</v>
      </c>
      <c r="J159" s="38">
        <v>0.08</v>
      </c>
      <c r="K159" s="38">
        <v>0.03</v>
      </c>
      <c r="L159" s="30">
        <f t="shared" si="8"/>
        <v>2.5489999999999999</v>
      </c>
      <c r="M159" s="30">
        <f t="shared" si="9"/>
        <v>2.532</v>
      </c>
      <c r="N159" s="30">
        <f t="shared" si="10"/>
        <v>1.6999999999999904E-2</v>
      </c>
      <c r="O159" s="31">
        <f t="shared" si="11"/>
        <v>2.5448999999999997</v>
      </c>
      <c r="P159" s="52"/>
      <c r="Q159" s="30">
        <v>2.5459999999999998</v>
      </c>
      <c r="R159" s="30">
        <v>2.5470000000000002</v>
      </c>
      <c r="S159" s="30">
        <v>2.5409999999999999</v>
      </c>
      <c r="T159" s="30">
        <v>2.5449999999999999</v>
      </c>
      <c r="U159" s="30">
        <v>2.5419999999999998</v>
      </c>
      <c r="V159" s="30">
        <v>2.5449999999999999</v>
      </c>
      <c r="W159" s="30">
        <v>2.5459999999999998</v>
      </c>
      <c r="X159" s="30">
        <v>2.544</v>
      </c>
      <c r="Y159" s="30">
        <v>2.5489999999999999</v>
      </c>
      <c r="Z159" s="30">
        <v>2.5459999999999998</v>
      </c>
      <c r="AA159" s="30">
        <v>2.5459999999999998</v>
      </c>
      <c r="AB159" s="30">
        <v>2.548</v>
      </c>
      <c r="AC159" s="30">
        <v>2.5459999999999998</v>
      </c>
      <c r="AD159" s="30">
        <v>2.5430000000000001</v>
      </c>
      <c r="AE159" s="30">
        <v>2.548</v>
      </c>
      <c r="AF159" s="30">
        <v>2.548</v>
      </c>
      <c r="AG159" s="30">
        <v>2.548</v>
      </c>
      <c r="AH159" s="30">
        <v>2.5430000000000001</v>
      </c>
      <c r="AI159" s="30">
        <v>2.5470000000000002</v>
      </c>
      <c r="AJ159" s="30">
        <v>2.544</v>
      </c>
      <c r="AK159" s="30">
        <v>2.5459999999999998</v>
      </c>
      <c r="AL159" s="30">
        <v>2.544</v>
      </c>
      <c r="AM159" s="30">
        <v>2.5459999999999998</v>
      </c>
      <c r="AN159" s="30">
        <v>2.5470000000000002</v>
      </c>
      <c r="AO159" s="30">
        <v>2.5449999999999999</v>
      </c>
      <c r="AP159" s="30">
        <v>2.5419999999999998</v>
      </c>
      <c r="AQ159" s="30">
        <v>2.5449999999999999</v>
      </c>
      <c r="AR159" s="30">
        <v>2.5449999999999999</v>
      </c>
      <c r="AS159" s="30">
        <v>2.5430000000000001</v>
      </c>
      <c r="AT159" s="30">
        <v>2.532</v>
      </c>
      <c r="AU159" s="30">
        <v>2.544</v>
      </c>
      <c r="AV159" s="30">
        <v>2.548</v>
      </c>
      <c r="AW159" s="30">
        <v>2.5470000000000002</v>
      </c>
    </row>
    <row r="160" spans="1:49" ht="18" customHeight="1">
      <c r="A160" s="23"/>
      <c r="B160" s="19"/>
      <c r="C160" s="76" t="s">
        <v>77</v>
      </c>
      <c r="D160" s="35" t="s">
        <v>141</v>
      </c>
      <c r="E160" s="35" t="s">
        <v>397</v>
      </c>
      <c r="F160" s="29" t="s">
        <v>143</v>
      </c>
      <c r="G160" s="38"/>
      <c r="H160" s="38">
        <v>0.1</v>
      </c>
      <c r="I160" s="38"/>
      <c r="J160" s="38">
        <v>0.1</v>
      </c>
      <c r="K160" s="38"/>
      <c r="L160" s="30">
        <f t="shared" si="8"/>
        <v>6.2E-2</v>
      </c>
      <c r="M160" s="30">
        <f t="shared" si="9"/>
        <v>0.05</v>
      </c>
      <c r="N160" s="30">
        <f t="shared" si="10"/>
        <v>1.1999999999999997E-2</v>
      </c>
      <c r="O160" s="31">
        <f t="shared" si="11"/>
        <v>5.5700000000000013E-2</v>
      </c>
      <c r="P160" s="52"/>
      <c r="Q160" s="30">
        <v>6.0999999999999999E-2</v>
      </c>
      <c r="R160" s="30">
        <v>6.2E-2</v>
      </c>
      <c r="S160" s="30">
        <v>5.8999999999999997E-2</v>
      </c>
      <c r="T160" s="30">
        <v>5.0999999999999997E-2</v>
      </c>
      <c r="U160" s="30">
        <v>5.8000000000000003E-2</v>
      </c>
      <c r="V160" s="30">
        <v>6.2E-2</v>
      </c>
      <c r="W160" s="30">
        <v>5.8000000000000003E-2</v>
      </c>
      <c r="X160" s="30">
        <v>5.6000000000000001E-2</v>
      </c>
      <c r="Y160" s="30">
        <v>5.0999999999999997E-2</v>
      </c>
      <c r="Z160" s="30">
        <v>5.8000000000000003E-2</v>
      </c>
      <c r="AA160" s="30">
        <v>5.7000000000000002E-2</v>
      </c>
      <c r="AB160" s="30">
        <v>5.0999999999999997E-2</v>
      </c>
      <c r="AC160" s="30">
        <v>5.5E-2</v>
      </c>
      <c r="AD160" s="30">
        <v>5.2999999999999999E-2</v>
      </c>
      <c r="AE160" s="30">
        <v>5.6000000000000001E-2</v>
      </c>
      <c r="AF160" s="30">
        <v>5.2999999999999999E-2</v>
      </c>
      <c r="AG160" s="30">
        <v>5.1999999999999998E-2</v>
      </c>
      <c r="AH160" s="30">
        <v>6.2E-2</v>
      </c>
      <c r="AI160" s="30">
        <v>5.8000000000000003E-2</v>
      </c>
      <c r="AJ160" s="30">
        <v>5.5E-2</v>
      </c>
      <c r="AK160" s="30">
        <v>0.05</v>
      </c>
      <c r="AL160" s="30">
        <v>5.1999999999999998E-2</v>
      </c>
      <c r="AM160" s="30">
        <v>5.3999999999999999E-2</v>
      </c>
      <c r="AN160" s="30">
        <v>5.6000000000000001E-2</v>
      </c>
      <c r="AO160" s="30">
        <v>5.2999999999999999E-2</v>
      </c>
      <c r="AP160" s="30">
        <v>5.6000000000000001E-2</v>
      </c>
      <c r="AQ160" s="30">
        <v>5.2999999999999999E-2</v>
      </c>
      <c r="AR160" s="30">
        <v>5.2999999999999999E-2</v>
      </c>
      <c r="AS160" s="30">
        <v>5.6000000000000001E-2</v>
      </c>
      <c r="AT160" s="30">
        <v>0.06</v>
      </c>
      <c r="AU160" s="30">
        <v>5.2999999999999999E-2</v>
      </c>
      <c r="AV160" s="30">
        <v>4.8000000000000001E-2</v>
      </c>
      <c r="AW160" s="30">
        <v>5.6000000000000001E-2</v>
      </c>
    </row>
    <row r="161" spans="1:49" ht="18" customHeight="1">
      <c r="A161" s="23"/>
      <c r="B161" s="19"/>
      <c r="C161" s="75" t="s">
        <v>65</v>
      </c>
      <c r="D161" s="35" t="s">
        <v>144</v>
      </c>
      <c r="E161" s="35"/>
      <c r="F161" s="29" t="s">
        <v>145</v>
      </c>
      <c r="G161" s="38">
        <v>2.48</v>
      </c>
      <c r="H161" s="38">
        <v>0.08</v>
      </c>
      <c r="I161" s="38">
        <v>0.03</v>
      </c>
      <c r="J161" s="38">
        <v>0.08</v>
      </c>
      <c r="K161" s="38">
        <v>0.03</v>
      </c>
      <c r="L161" s="30">
        <f t="shared" si="8"/>
        <v>2.492</v>
      </c>
      <c r="M161" s="30">
        <f t="shared" si="9"/>
        <v>2.4710000000000001</v>
      </c>
      <c r="N161" s="30">
        <f t="shared" si="10"/>
        <v>2.0999999999999908E-2</v>
      </c>
      <c r="O161" s="31">
        <f t="shared" si="11"/>
        <v>2.4789333333333321</v>
      </c>
      <c r="P161" s="52"/>
      <c r="Q161" s="30">
        <v>2.4849999999999999</v>
      </c>
      <c r="R161" s="30">
        <v>2.4860000000000002</v>
      </c>
      <c r="S161" s="30">
        <v>2.4790000000000001</v>
      </c>
      <c r="T161" s="30">
        <v>2.476</v>
      </c>
      <c r="U161" s="30">
        <v>2.4729999999999999</v>
      </c>
      <c r="V161" s="30">
        <v>2.4780000000000002</v>
      </c>
      <c r="W161" s="30">
        <v>2.48</v>
      </c>
      <c r="X161" s="30">
        <v>2.48</v>
      </c>
      <c r="Y161" s="30">
        <v>2.48</v>
      </c>
      <c r="Z161" s="30">
        <v>2.4769999999999999</v>
      </c>
      <c r="AA161" s="30">
        <v>2.492</v>
      </c>
      <c r="AB161" s="30">
        <v>2.4809999999999999</v>
      </c>
      <c r="AC161" s="30">
        <v>2.4830000000000001</v>
      </c>
      <c r="AD161" s="30">
        <v>2.4769999999999999</v>
      </c>
      <c r="AE161" s="30">
        <v>2.4830000000000001</v>
      </c>
      <c r="AF161" s="30">
        <v>2.476</v>
      </c>
      <c r="AG161" s="30">
        <v>2.48</v>
      </c>
      <c r="AH161" s="30">
        <v>2.4790000000000001</v>
      </c>
      <c r="AI161" s="30">
        <v>2.476</v>
      </c>
      <c r="AJ161" s="30">
        <v>2.4790000000000001</v>
      </c>
      <c r="AK161" s="30">
        <v>2.4750000000000001</v>
      </c>
      <c r="AL161" s="30">
        <v>2.4790000000000001</v>
      </c>
      <c r="AM161" s="30">
        <v>2.4769999999999999</v>
      </c>
      <c r="AN161" s="30">
        <v>2.4729999999999999</v>
      </c>
      <c r="AO161" s="30">
        <v>2.48</v>
      </c>
      <c r="AP161" s="30">
        <v>2.4809999999999999</v>
      </c>
      <c r="AQ161" s="30">
        <v>2.4780000000000002</v>
      </c>
      <c r="AR161" s="30">
        <v>2.4790000000000001</v>
      </c>
      <c r="AS161" s="30">
        <v>2.4750000000000001</v>
      </c>
      <c r="AT161" s="30">
        <v>2.4710000000000001</v>
      </c>
      <c r="AU161" s="30">
        <v>2.4769999999999999</v>
      </c>
      <c r="AV161" s="30">
        <v>2.48</v>
      </c>
      <c r="AW161" s="30">
        <v>2.4780000000000002</v>
      </c>
    </row>
    <row r="162" spans="1:49" ht="18" customHeight="1">
      <c r="A162" s="23"/>
      <c r="B162" s="19"/>
      <c r="C162" s="75" t="s">
        <v>65</v>
      </c>
      <c r="D162" s="35" t="s">
        <v>146</v>
      </c>
      <c r="E162" s="35"/>
      <c r="F162" s="29" t="s">
        <v>147</v>
      </c>
      <c r="G162" s="38">
        <v>2.48</v>
      </c>
      <c r="H162" s="38">
        <v>0.08</v>
      </c>
      <c r="I162" s="38">
        <v>0.03</v>
      </c>
      <c r="J162" s="38">
        <v>0.08</v>
      </c>
      <c r="K162" s="38">
        <v>0.03</v>
      </c>
      <c r="L162" s="30">
        <f t="shared" si="8"/>
        <v>2.492</v>
      </c>
      <c r="M162" s="30">
        <f t="shared" si="9"/>
        <v>2.4710000000000001</v>
      </c>
      <c r="N162" s="30">
        <f t="shared" si="10"/>
        <v>2.0999999999999908E-2</v>
      </c>
      <c r="O162" s="31">
        <f t="shared" si="11"/>
        <v>2.4798666666666667</v>
      </c>
      <c r="P162" s="52"/>
      <c r="Q162" s="30">
        <v>2.4849999999999999</v>
      </c>
      <c r="R162" s="30">
        <v>2.4870000000000001</v>
      </c>
      <c r="S162" s="30">
        <v>2.4790000000000001</v>
      </c>
      <c r="T162" s="30">
        <v>2.476</v>
      </c>
      <c r="U162" s="30">
        <v>2.4750000000000001</v>
      </c>
      <c r="V162" s="30">
        <v>2.4790000000000001</v>
      </c>
      <c r="W162" s="30">
        <v>2.4820000000000002</v>
      </c>
      <c r="X162" s="30">
        <v>2.4809999999999999</v>
      </c>
      <c r="Y162" s="30">
        <v>2.4809999999999999</v>
      </c>
      <c r="Z162" s="30">
        <v>2.4790000000000001</v>
      </c>
      <c r="AA162" s="30">
        <v>2.492</v>
      </c>
      <c r="AB162" s="30">
        <v>2.4809999999999999</v>
      </c>
      <c r="AC162" s="30">
        <v>2.4820000000000002</v>
      </c>
      <c r="AD162" s="30">
        <v>2.4780000000000002</v>
      </c>
      <c r="AE162" s="30">
        <v>2.484</v>
      </c>
      <c r="AF162" s="30">
        <v>2.4780000000000002</v>
      </c>
      <c r="AG162" s="30">
        <v>2.4809999999999999</v>
      </c>
      <c r="AH162" s="30">
        <v>2.4790000000000001</v>
      </c>
      <c r="AI162" s="30">
        <v>2.4769999999999999</v>
      </c>
      <c r="AJ162" s="30">
        <v>2.4809999999999999</v>
      </c>
      <c r="AK162" s="30">
        <v>2.4769999999999999</v>
      </c>
      <c r="AL162" s="30">
        <v>2.48</v>
      </c>
      <c r="AM162" s="30">
        <v>2.4790000000000001</v>
      </c>
      <c r="AN162" s="30">
        <v>2.4750000000000001</v>
      </c>
      <c r="AO162" s="30">
        <v>2.4809999999999999</v>
      </c>
      <c r="AP162" s="30">
        <v>2.4809999999999999</v>
      </c>
      <c r="AQ162" s="30">
        <v>2.4790000000000001</v>
      </c>
      <c r="AR162" s="30">
        <v>2.48</v>
      </c>
      <c r="AS162" s="30">
        <v>2.476</v>
      </c>
      <c r="AT162" s="30">
        <v>2.4710000000000001</v>
      </c>
      <c r="AU162" s="30">
        <v>2.4769999999999999</v>
      </c>
      <c r="AV162" s="30">
        <v>2.48</v>
      </c>
      <c r="AW162" s="30">
        <v>2.4790000000000001</v>
      </c>
    </row>
    <row r="163" spans="1:49" ht="18" customHeight="1">
      <c r="A163" s="23"/>
      <c r="B163" s="19"/>
      <c r="C163" s="75" t="s">
        <v>65</v>
      </c>
      <c r="D163" s="35" t="s">
        <v>316</v>
      </c>
      <c r="E163" s="35"/>
      <c r="F163" s="29" t="s">
        <v>149</v>
      </c>
      <c r="G163" s="38">
        <v>1.17</v>
      </c>
      <c r="H163" s="38">
        <v>0.05</v>
      </c>
      <c r="I163" s="38">
        <v>7.0000000000000007E-2</v>
      </c>
      <c r="J163" s="38">
        <v>0.05</v>
      </c>
      <c r="K163" s="38">
        <v>7.0000000000000007E-2</v>
      </c>
      <c r="L163" s="30">
        <f t="shared" si="8"/>
        <v>1.165</v>
      </c>
      <c r="M163" s="30">
        <f t="shared" si="9"/>
        <v>1.147</v>
      </c>
      <c r="N163" s="30">
        <f t="shared" si="10"/>
        <v>1.8000000000000016E-2</v>
      </c>
      <c r="O163" s="31">
        <f t="shared" si="11"/>
        <v>1.1594</v>
      </c>
      <c r="P163" s="52"/>
      <c r="Q163" s="30">
        <v>1.161</v>
      </c>
      <c r="R163" s="30">
        <v>1.159</v>
      </c>
      <c r="S163" s="30">
        <v>1.159</v>
      </c>
      <c r="T163" s="30">
        <v>1.159</v>
      </c>
      <c r="U163" s="30">
        <v>1.157</v>
      </c>
      <c r="V163" s="30">
        <v>1.163</v>
      </c>
      <c r="W163" s="30">
        <v>1.1619999999999999</v>
      </c>
      <c r="X163" s="30">
        <v>1.163</v>
      </c>
      <c r="Y163" s="30">
        <v>1.157</v>
      </c>
      <c r="Z163" s="30">
        <v>1.1599999999999999</v>
      </c>
      <c r="AA163" s="30">
        <v>1.157</v>
      </c>
      <c r="AB163" s="30">
        <v>1.1559999999999999</v>
      </c>
      <c r="AC163" s="30">
        <v>1.1579999999999999</v>
      </c>
      <c r="AD163" s="30">
        <v>1.1619999999999999</v>
      </c>
      <c r="AE163" s="30">
        <v>1.1579999999999999</v>
      </c>
      <c r="AF163" s="30">
        <v>1.1599999999999999</v>
      </c>
      <c r="AG163" s="30">
        <v>1.159</v>
      </c>
      <c r="AH163" s="30">
        <v>1.1579999999999999</v>
      </c>
      <c r="AI163" s="30">
        <v>1.1559999999999999</v>
      </c>
      <c r="AJ163" s="30">
        <v>1.165</v>
      </c>
      <c r="AK163" s="30">
        <v>1.1579999999999999</v>
      </c>
      <c r="AL163" s="30">
        <v>1.161</v>
      </c>
      <c r="AM163" s="30">
        <v>1.1619999999999999</v>
      </c>
      <c r="AN163" s="30">
        <v>1.1639999999999999</v>
      </c>
      <c r="AO163" s="30">
        <v>1.1619999999999999</v>
      </c>
      <c r="AP163" s="30">
        <v>1.1599999999999999</v>
      </c>
      <c r="AQ163" s="30">
        <v>1.159</v>
      </c>
      <c r="AR163" s="30">
        <v>1.157</v>
      </c>
      <c r="AS163" s="30">
        <v>1.147</v>
      </c>
      <c r="AT163" s="30">
        <v>1.163</v>
      </c>
      <c r="AU163" s="30">
        <v>1.161</v>
      </c>
      <c r="AV163" s="30">
        <v>1.143</v>
      </c>
      <c r="AW163" s="30">
        <v>1.1619999999999999</v>
      </c>
    </row>
    <row r="164" spans="1:49" ht="18" customHeight="1">
      <c r="A164" s="23"/>
      <c r="B164" s="19"/>
      <c r="C164" s="75" t="s">
        <v>65</v>
      </c>
      <c r="D164" s="35" t="s">
        <v>317</v>
      </c>
      <c r="E164" s="35"/>
      <c r="F164" s="29" t="s">
        <v>151</v>
      </c>
      <c r="G164" s="38">
        <v>1.17</v>
      </c>
      <c r="H164" s="38">
        <v>0.05</v>
      </c>
      <c r="I164" s="38">
        <v>7.0000000000000007E-2</v>
      </c>
      <c r="J164" s="38">
        <v>0.05</v>
      </c>
      <c r="K164" s="38">
        <v>7.0000000000000007E-2</v>
      </c>
      <c r="L164" s="30">
        <f t="shared" si="8"/>
        <v>1.1659999999999999</v>
      </c>
      <c r="M164" s="30">
        <f t="shared" si="9"/>
        <v>1.141</v>
      </c>
      <c r="N164" s="30">
        <f t="shared" si="10"/>
        <v>2.4999999999999911E-2</v>
      </c>
      <c r="O164" s="31">
        <f t="shared" si="11"/>
        <v>1.1557333333333335</v>
      </c>
      <c r="P164" s="52"/>
      <c r="Q164" s="30">
        <v>1.143</v>
      </c>
      <c r="R164" s="30">
        <v>1.1639999999999999</v>
      </c>
      <c r="S164" s="30">
        <v>1.1439999999999999</v>
      </c>
      <c r="T164" s="30">
        <v>1.143</v>
      </c>
      <c r="U164" s="30">
        <v>1.1639999999999999</v>
      </c>
      <c r="V164" s="30">
        <v>1.1639999999999999</v>
      </c>
      <c r="W164" s="30">
        <v>1.1659999999999999</v>
      </c>
      <c r="X164" s="30">
        <v>1.1659999999999999</v>
      </c>
      <c r="Y164" s="30">
        <v>1.1619999999999999</v>
      </c>
      <c r="Z164" s="30">
        <v>1.1619999999999999</v>
      </c>
      <c r="AA164" s="30">
        <v>1.1459999999999999</v>
      </c>
      <c r="AB164" s="30">
        <v>1.1659999999999999</v>
      </c>
      <c r="AC164" s="30">
        <v>1.145</v>
      </c>
      <c r="AD164" s="30">
        <v>1.1639999999999999</v>
      </c>
      <c r="AE164" s="30">
        <v>1.147</v>
      </c>
      <c r="AF164" s="30">
        <v>1.1639999999999999</v>
      </c>
      <c r="AG164" s="30">
        <v>1.1439999999999999</v>
      </c>
      <c r="AH164" s="30">
        <v>1.1439999999999999</v>
      </c>
      <c r="AI164" s="30">
        <v>1.1639999999999999</v>
      </c>
      <c r="AJ164" s="30">
        <v>1.1639999999999999</v>
      </c>
      <c r="AK164" s="30">
        <v>1.161</v>
      </c>
      <c r="AL164" s="30">
        <v>1.1639999999999999</v>
      </c>
      <c r="AM164" s="30">
        <v>1.141</v>
      </c>
      <c r="AN164" s="30">
        <v>1.1419999999999999</v>
      </c>
      <c r="AO164" s="30">
        <v>1.1639999999999999</v>
      </c>
      <c r="AP164" s="30">
        <v>1.143</v>
      </c>
      <c r="AQ164" s="30">
        <v>1.143</v>
      </c>
      <c r="AR164" s="30">
        <v>1.1639999999999999</v>
      </c>
      <c r="AS164" s="30">
        <v>1.1599999999999999</v>
      </c>
      <c r="AT164" s="30">
        <v>1.1639999999999999</v>
      </c>
      <c r="AU164" s="30">
        <v>1.145</v>
      </c>
      <c r="AV164" s="30">
        <v>1.163</v>
      </c>
      <c r="AW164" s="30">
        <v>1.1639999999999999</v>
      </c>
    </row>
    <row r="165" spans="1:49" ht="18" customHeight="1">
      <c r="A165" s="23"/>
      <c r="B165" s="19"/>
      <c r="C165" s="75" t="s">
        <v>65</v>
      </c>
      <c r="D165" s="35" t="s">
        <v>318</v>
      </c>
      <c r="E165" s="35"/>
      <c r="F165" s="29" t="s">
        <v>153</v>
      </c>
      <c r="G165" s="38">
        <v>1.17</v>
      </c>
      <c r="H165" s="38">
        <v>0.05</v>
      </c>
      <c r="I165" s="38">
        <v>7.0000000000000007E-2</v>
      </c>
      <c r="J165" s="38">
        <v>0.05</v>
      </c>
      <c r="K165" s="38">
        <v>7.0000000000000007E-2</v>
      </c>
      <c r="L165" s="30">
        <f t="shared" si="8"/>
        <v>1.161</v>
      </c>
      <c r="M165" s="30">
        <f t="shared" si="9"/>
        <v>1.141</v>
      </c>
      <c r="N165" s="30">
        <f t="shared" si="10"/>
        <v>2.0000000000000018E-2</v>
      </c>
      <c r="O165" s="31">
        <f t="shared" si="11"/>
        <v>1.1585333333333334</v>
      </c>
      <c r="P165" s="52"/>
      <c r="Q165" s="30">
        <v>1.161</v>
      </c>
      <c r="R165" s="30">
        <v>1.1599999999999999</v>
      </c>
      <c r="S165" s="30">
        <v>1.159</v>
      </c>
      <c r="T165" s="30">
        <v>1.159</v>
      </c>
      <c r="U165" s="30">
        <v>1.161</v>
      </c>
      <c r="V165" s="30">
        <v>1.1599999999999999</v>
      </c>
      <c r="W165" s="30">
        <v>1.1599999999999999</v>
      </c>
      <c r="X165" s="30">
        <v>1.1599999999999999</v>
      </c>
      <c r="Y165" s="30">
        <v>1.1579999999999999</v>
      </c>
      <c r="Z165" s="30">
        <v>1.159</v>
      </c>
      <c r="AA165" s="30">
        <v>1.141</v>
      </c>
      <c r="AB165" s="30">
        <v>1.1579999999999999</v>
      </c>
      <c r="AC165" s="30">
        <v>1.159</v>
      </c>
      <c r="AD165" s="30">
        <v>1.1599999999999999</v>
      </c>
      <c r="AE165" s="30">
        <v>1.1579999999999999</v>
      </c>
      <c r="AF165" s="30">
        <v>1.1579999999999999</v>
      </c>
      <c r="AG165" s="30">
        <v>1.159</v>
      </c>
      <c r="AH165" s="30">
        <v>1.1599999999999999</v>
      </c>
      <c r="AI165" s="30">
        <v>1.1579999999999999</v>
      </c>
      <c r="AJ165" s="30">
        <v>1.159</v>
      </c>
      <c r="AK165" s="30">
        <v>1.159</v>
      </c>
      <c r="AL165" s="30">
        <v>1.159</v>
      </c>
      <c r="AM165" s="30">
        <v>1.1579999999999999</v>
      </c>
      <c r="AN165" s="30">
        <v>1.1599999999999999</v>
      </c>
      <c r="AO165" s="30">
        <v>1.159</v>
      </c>
      <c r="AP165" s="30">
        <v>1.1599999999999999</v>
      </c>
      <c r="AQ165" s="30">
        <v>1.1579999999999999</v>
      </c>
      <c r="AR165" s="30">
        <v>1.1599999999999999</v>
      </c>
      <c r="AS165" s="30">
        <v>1.159</v>
      </c>
      <c r="AT165" s="30">
        <v>1.157</v>
      </c>
      <c r="AU165" s="30">
        <v>1.159</v>
      </c>
      <c r="AV165" s="30">
        <v>1.1579999999999999</v>
      </c>
      <c r="AW165" s="30">
        <v>1.159</v>
      </c>
    </row>
    <row r="166" spans="1:49" ht="18" customHeight="1">
      <c r="A166" s="23"/>
      <c r="B166" s="19"/>
      <c r="C166" s="75" t="s">
        <v>65</v>
      </c>
      <c r="D166" s="35" t="s">
        <v>319</v>
      </c>
      <c r="E166" s="35"/>
      <c r="F166" s="29" t="s">
        <v>155</v>
      </c>
      <c r="G166" s="38">
        <v>1.17</v>
      </c>
      <c r="H166" s="38">
        <v>0.05</v>
      </c>
      <c r="I166" s="38">
        <v>7.0000000000000007E-2</v>
      </c>
      <c r="J166" s="38">
        <v>0.05</v>
      </c>
      <c r="K166" s="38">
        <v>7.0000000000000007E-2</v>
      </c>
      <c r="L166" s="30">
        <f t="shared" si="8"/>
        <v>1.1659999999999999</v>
      </c>
      <c r="M166" s="30">
        <f t="shared" si="9"/>
        <v>1.1579999999999999</v>
      </c>
      <c r="N166" s="30">
        <f t="shared" si="10"/>
        <v>8.0000000000000071E-3</v>
      </c>
      <c r="O166" s="31">
        <f t="shared" si="11"/>
        <v>1.1623666666666668</v>
      </c>
      <c r="P166" s="52"/>
      <c r="Q166" s="30">
        <v>1.1639999999999999</v>
      </c>
      <c r="R166" s="30">
        <v>1.165</v>
      </c>
      <c r="S166" s="30">
        <v>1.163</v>
      </c>
      <c r="T166" s="30">
        <v>1.163</v>
      </c>
      <c r="U166" s="30">
        <v>1.161</v>
      </c>
      <c r="V166" s="30">
        <v>1.163</v>
      </c>
      <c r="W166" s="30">
        <v>1.1659999999999999</v>
      </c>
      <c r="X166" s="30">
        <v>1.1619999999999999</v>
      </c>
      <c r="Y166" s="30">
        <v>1.163</v>
      </c>
      <c r="Z166" s="30">
        <v>1.1619999999999999</v>
      </c>
      <c r="AA166" s="30">
        <v>1.1619999999999999</v>
      </c>
      <c r="AB166" s="30">
        <v>1.1619999999999999</v>
      </c>
      <c r="AC166" s="30">
        <v>1.1619999999999999</v>
      </c>
      <c r="AD166" s="30">
        <v>1.1619999999999999</v>
      </c>
      <c r="AE166" s="30">
        <v>1.1619999999999999</v>
      </c>
      <c r="AF166" s="30">
        <v>1.163</v>
      </c>
      <c r="AG166" s="30">
        <v>1.161</v>
      </c>
      <c r="AH166" s="30">
        <v>1.1639999999999999</v>
      </c>
      <c r="AI166" s="30">
        <v>1.1619999999999999</v>
      </c>
      <c r="AJ166" s="30">
        <v>1.161</v>
      </c>
      <c r="AK166" s="30">
        <v>1.163</v>
      </c>
      <c r="AL166" s="30">
        <v>1.163</v>
      </c>
      <c r="AM166" s="30">
        <v>1.1639999999999999</v>
      </c>
      <c r="AN166" s="30">
        <v>1.163</v>
      </c>
      <c r="AO166" s="30">
        <v>1.163</v>
      </c>
      <c r="AP166" s="30">
        <v>1.161</v>
      </c>
      <c r="AQ166" s="30">
        <v>1.1619999999999999</v>
      </c>
      <c r="AR166" s="30">
        <v>1.161</v>
      </c>
      <c r="AS166" s="30">
        <v>1.1599999999999999</v>
      </c>
      <c r="AT166" s="30">
        <v>1.1579999999999999</v>
      </c>
      <c r="AU166" s="30">
        <v>1.1619999999999999</v>
      </c>
      <c r="AV166" s="30">
        <v>1.163</v>
      </c>
      <c r="AW166" s="30">
        <v>1.1599999999999999</v>
      </c>
    </row>
    <row r="167" spans="1:49" ht="18" customHeight="1">
      <c r="A167" s="23"/>
      <c r="B167" s="19"/>
      <c r="C167" s="75" t="s">
        <v>65</v>
      </c>
      <c r="D167" s="35" t="s">
        <v>320</v>
      </c>
      <c r="E167" s="35"/>
      <c r="F167" s="29" t="s">
        <v>157</v>
      </c>
      <c r="G167" s="38">
        <v>1.17</v>
      </c>
      <c r="H167" s="38">
        <v>0.05</v>
      </c>
      <c r="I167" s="38">
        <v>7.0000000000000007E-2</v>
      </c>
      <c r="J167" s="38">
        <v>0.05</v>
      </c>
      <c r="K167" s="38">
        <v>7.0000000000000007E-2</v>
      </c>
      <c r="L167" s="30">
        <f t="shared" si="8"/>
        <v>1.163</v>
      </c>
      <c r="M167" s="30">
        <f t="shared" si="9"/>
        <v>1.151</v>
      </c>
      <c r="N167" s="30">
        <f t="shared" si="10"/>
        <v>1.2000000000000011E-2</v>
      </c>
      <c r="O167" s="31">
        <f t="shared" si="11"/>
        <v>1.1589666666666665</v>
      </c>
      <c r="P167" s="52"/>
      <c r="Q167" s="30">
        <v>1.163</v>
      </c>
      <c r="R167" s="30">
        <v>1.163</v>
      </c>
      <c r="S167" s="30">
        <v>1.1599999999999999</v>
      </c>
      <c r="T167" s="30">
        <v>1.1579999999999999</v>
      </c>
      <c r="U167" s="30">
        <v>1.157</v>
      </c>
      <c r="V167" s="30">
        <v>1.159</v>
      </c>
      <c r="W167" s="30">
        <v>1.1599999999999999</v>
      </c>
      <c r="X167" s="30">
        <v>1.1599999999999999</v>
      </c>
      <c r="Y167" s="30">
        <v>1.1579999999999999</v>
      </c>
      <c r="Z167" s="30">
        <v>1.159</v>
      </c>
      <c r="AA167" s="30">
        <v>1.151</v>
      </c>
      <c r="AB167" s="30">
        <v>1.159</v>
      </c>
      <c r="AC167" s="30">
        <v>1.1579999999999999</v>
      </c>
      <c r="AD167" s="30">
        <v>1.157</v>
      </c>
      <c r="AE167" s="30">
        <v>1.1599999999999999</v>
      </c>
      <c r="AF167" s="30">
        <v>1.1539999999999999</v>
      </c>
      <c r="AG167" s="30">
        <v>1.159</v>
      </c>
      <c r="AH167" s="30">
        <v>1.1579999999999999</v>
      </c>
      <c r="AI167" s="30">
        <v>1.1579999999999999</v>
      </c>
      <c r="AJ167" s="30">
        <v>1.159</v>
      </c>
      <c r="AK167" s="30">
        <v>1.1619999999999999</v>
      </c>
      <c r="AL167" s="30">
        <v>1.1619999999999999</v>
      </c>
      <c r="AM167" s="30">
        <v>1.1619999999999999</v>
      </c>
      <c r="AN167" s="30">
        <v>1.159</v>
      </c>
      <c r="AO167" s="30">
        <v>1.1619999999999999</v>
      </c>
      <c r="AP167" s="30">
        <v>1.1599999999999999</v>
      </c>
      <c r="AQ167" s="30">
        <v>1.161</v>
      </c>
      <c r="AR167" s="30">
        <v>1.1599999999999999</v>
      </c>
      <c r="AS167" s="30">
        <v>1.157</v>
      </c>
      <c r="AT167" s="30">
        <v>1.1539999999999999</v>
      </c>
      <c r="AU167" s="30">
        <v>1.159</v>
      </c>
      <c r="AV167" s="30">
        <v>1.161</v>
      </c>
      <c r="AW167" s="30">
        <v>1.159</v>
      </c>
    </row>
    <row r="168" spans="1:49" ht="18" customHeight="1">
      <c r="A168" s="23"/>
      <c r="B168" s="19"/>
      <c r="C168" s="75" t="s">
        <v>65</v>
      </c>
      <c r="D168" s="35" t="s">
        <v>321</v>
      </c>
      <c r="E168" s="35"/>
      <c r="F168" s="29" t="s">
        <v>159</v>
      </c>
      <c r="G168" s="38">
        <v>1.17</v>
      </c>
      <c r="H168" s="38">
        <v>0.05</v>
      </c>
      <c r="I168" s="38">
        <v>7.0000000000000007E-2</v>
      </c>
      <c r="J168" s="38">
        <v>0.05</v>
      </c>
      <c r="K168" s="38">
        <v>7.0000000000000007E-2</v>
      </c>
      <c r="L168" s="30">
        <f t="shared" si="8"/>
        <v>1.1599999999999999</v>
      </c>
      <c r="M168" s="30">
        <f t="shared" si="9"/>
        <v>1.151</v>
      </c>
      <c r="N168" s="30">
        <f t="shared" si="10"/>
        <v>8.999999999999897E-3</v>
      </c>
      <c r="O168" s="31">
        <f t="shared" si="11"/>
        <v>1.1550000000000002</v>
      </c>
      <c r="P168" s="52"/>
      <c r="Q168" s="30">
        <v>1.1579999999999999</v>
      </c>
      <c r="R168" s="30">
        <v>1.1599999999999999</v>
      </c>
      <c r="S168" s="30">
        <v>1.157</v>
      </c>
      <c r="T168" s="30">
        <v>1.1539999999999999</v>
      </c>
      <c r="U168" s="30">
        <v>1.1539999999999999</v>
      </c>
      <c r="V168" s="30">
        <v>1.153</v>
      </c>
      <c r="W168" s="30">
        <v>1.155</v>
      </c>
      <c r="X168" s="30">
        <v>1.1559999999999999</v>
      </c>
      <c r="Y168" s="30">
        <v>1.1539999999999999</v>
      </c>
      <c r="Z168" s="30">
        <v>1.155</v>
      </c>
      <c r="AA168" s="30">
        <v>1.153</v>
      </c>
      <c r="AB168" s="30">
        <v>1.155</v>
      </c>
      <c r="AC168" s="30">
        <v>1.153</v>
      </c>
      <c r="AD168" s="30">
        <v>1.1539999999999999</v>
      </c>
      <c r="AE168" s="30">
        <v>1.155</v>
      </c>
      <c r="AF168" s="30">
        <v>1.151</v>
      </c>
      <c r="AG168" s="30">
        <v>1.155</v>
      </c>
      <c r="AH168" s="30">
        <v>1.155</v>
      </c>
      <c r="AI168" s="30">
        <v>1.1539999999999999</v>
      </c>
      <c r="AJ168" s="30">
        <v>1.1539999999999999</v>
      </c>
      <c r="AK168" s="30">
        <v>1.1559999999999999</v>
      </c>
      <c r="AL168" s="30">
        <v>1.157</v>
      </c>
      <c r="AM168" s="30">
        <v>1.1579999999999999</v>
      </c>
      <c r="AN168" s="30">
        <v>1.1539999999999999</v>
      </c>
      <c r="AO168" s="30">
        <v>1.157</v>
      </c>
      <c r="AP168" s="30">
        <v>1.1559999999999999</v>
      </c>
      <c r="AQ168" s="30">
        <v>1.157</v>
      </c>
      <c r="AR168" s="30">
        <v>1.1559999999999999</v>
      </c>
      <c r="AS168" s="30">
        <v>1.153</v>
      </c>
      <c r="AT168" s="30">
        <v>1.151</v>
      </c>
      <c r="AU168" s="30">
        <v>1.157</v>
      </c>
      <c r="AV168" s="30">
        <v>1.1559999999999999</v>
      </c>
      <c r="AW168" s="30">
        <v>1.1539999999999999</v>
      </c>
    </row>
    <row r="169" spans="1:49" ht="18" customHeight="1">
      <c r="A169" s="23"/>
      <c r="B169" s="19"/>
      <c r="C169" s="75" t="s">
        <v>65</v>
      </c>
      <c r="D169" s="35" t="s">
        <v>322</v>
      </c>
      <c r="E169" s="35"/>
      <c r="F169" s="29" t="s">
        <v>161</v>
      </c>
      <c r="G169" s="38">
        <v>1.17</v>
      </c>
      <c r="H169" s="38">
        <v>0.05</v>
      </c>
      <c r="I169" s="38">
        <v>7.0000000000000007E-2</v>
      </c>
      <c r="J169" s="38">
        <v>0.05</v>
      </c>
      <c r="K169" s="38">
        <v>7.0000000000000007E-2</v>
      </c>
      <c r="L169" s="30">
        <f t="shared" si="8"/>
        <v>1.181</v>
      </c>
      <c r="M169" s="30">
        <f t="shared" si="9"/>
        <v>1.1739999999999999</v>
      </c>
      <c r="N169" s="30">
        <f t="shared" si="10"/>
        <v>7.0000000000001172E-3</v>
      </c>
      <c r="O169" s="31">
        <f t="shared" si="11"/>
        <v>1.1772333333333334</v>
      </c>
      <c r="P169" s="52"/>
      <c r="Q169" s="30">
        <v>1.179</v>
      </c>
      <c r="R169" s="30">
        <v>1.181</v>
      </c>
      <c r="S169" s="30">
        <v>1.1779999999999999</v>
      </c>
      <c r="T169" s="30">
        <v>1.1759999999999999</v>
      </c>
      <c r="U169" s="30">
        <v>1.1759999999999999</v>
      </c>
      <c r="V169" s="30">
        <v>1.1779999999999999</v>
      </c>
      <c r="W169" s="30">
        <v>1.1779999999999999</v>
      </c>
      <c r="X169" s="30">
        <v>1.1779999999999999</v>
      </c>
      <c r="Y169" s="30">
        <v>1.177</v>
      </c>
      <c r="Z169" s="30">
        <v>1.177</v>
      </c>
      <c r="AA169" s="30">
        <v>1.1779999999999999</v>
      </c>
      <c r="AB169" s="30">
        <v>1.1779999999999999</v>
      </c>
      <c r="AC169" s="30">
        <v>1.1759999999999999</v>
      </c>
      <c r="AD169" s="30">
        <v>1.177</v>
      </c>
      <c r="AE169" s="30">
        <v>1.1779999999999999</v>
      </c>
      <c r="AF169" s="30">
        <v>1.175</v>
      </c>
      <c r="AG169" s="30">
        <v>1.177</v>
      </c>
      <c r="AH169" s="30">
        <v>1.1779999999999999</v>
      </c>
      <c r="AI169" s="30">
        <v>1.1759999999999999</v>
      </c>
      <c r="AJ169" s="30">
        <v>1.1779999999999999</v>
      </c>
      <c r="AK169" s="30">
        <v>1.179</v>
      </c>
      <c r="AL169" s="30">
        <v>1.177</v>
      </c>
      <c r="AM169" s="30">
        <v>1.1779999999999999</v>
      </c>
      <c r="AN169" s="30">
        <v>1.1759999999999999</v>
      </c>
      <c r="AO169" s="30">
        <v>1.1779999999999999</v>
      </c>
      <c r="AP169" s="30">
        <v>1.177</v>
      </c>
      <c r="AQ169" s="30">
        <v>1.179</v>
      </c>
      <c r="AR169" s="30">
        <v>1.1759999999999999</v>
      </c>
      <c r="AS169" s="30">
        <v>1.1739999999999999</v>
      </c>
      <c r="AT169" s="30">
        <v>1.1739999999999999</v>
      </c>
      <c r="AU169" s="30">
        <v>1.1779999999999999</v>
      </c>
      <c r="AV169" s="30">
        <v>1.177</v>
      </c>
      <c r="AW169" s="30">
        <v>1.1759999999999999</v>
      </c>
    </row>
    <row r="170" spans="1:49" ht="18" customHeight="1">
      <c r="A170" s="23"/>
      <c r="B170" s="19"/>
      <c r="C170" s="75" t="s">
        <v>65</v>
      </c>
      <c r="D170" s="35" t="s">
        <v>323</v>
      </c>
      <c r="E170" s="35"/>
      <c r="F170" s="29" t="s">
        <v>163</v>
      </c>
      <c r="G170" s="38">
        <v>1.17</v>
      </c>
      <c r="H170" s="38">
        <v>0.05</v>
      </c>
      <c r="I170" s="38">
        <v>7.0000000000000007E-2</v>
      </c>
      <c r="J170" s="38">
        <v>0.05</v>
      </c>
      <c r="K170" s="38">
        <v>7.0000000000000007E-2</v>
      </c>
      <c r="L170" s="30">
        <f t="shared" si="8"/>
        <v>1.175</v>
      </c>
      <c r="M170" s="30">
        <f t="shared" si="9"/>
        <v>1.169</v>
      </c>
      <c r="N170" s="30">
        <f t="shared" si="10"/>
        <v>6.0000000000000053E-3</v>
      </c>
      <c r="O170" s="31">
        <f t="shared" si="11"/>
        <v>1.1718333333333339</v>
      </c>
      <c r="P170" s="52"/>
      <c r="Q170" s="30">
        <v>1.175</v>
      </c>
      <c r="R170" s="30">
        <v>1.175</v>
      </c>
      <c r="S170" s="30">
        <v>1.1719999999999999</v>
      </c>
      <c r="T170" s="30">
        <v>1.1719999999999999</v>
      </c>
      <c r="U170" s="30">
        <v>1.171</v>
      </c>
      <c r="V170" s="30">
        <v>1.1719999999999999</v>
      </c>
      <c r="W170" s="30">
        <v>1.171</v>
      </c>
      <c r="X170" s="30">
        <v>1.173</v>
      </c>
      <c r="Y170" s="30">
        <v>1.1719999999999999</v>
      </c>
      <c r="Z170" s="30">
        <v>1.171</v>
      </c>
      <c r="AA170" s="30">
        <v>1.169</v>
      </c>
      <c r="AB170" s="30">
        <v>1.1719999999999999</v>
      </c>
      <c r="AC170" s="30">
        <v>1.17</v>
      </c>
      <c r="AD170" s="30">
        <v>1.1719999999999999</v>
      </c>
      <c r="AE170" s="30">
        <v>1.1719999999999999</v>
      </c>
      <c r="AF170" s="30">
        <v>1.171</v>
      </c>
      <c r="AG170" s="30">
        <v>1.1739999999999999</v>
      </c>
      <c r="AH170" s="30">
        <v>1.173</v>
      </c>
      <c r="AI170" s="30">
        <v>1.17</v>
      </c>
      <c r="AJ170" s="30">
        <v>1.173</v>
      </c>
      <c r="AK170" s="30">
        <v>1.173</v>
      </c>
      <c r="AL170" s="30">
        <v>1.173</v>
      </c>
      <c r="AM170" s="30">
        <v>1.173</v>
      </c>
      <c r="AN170" s="30">
        <v>1.171</v>
      </c>
      <c r="AO170" s="30">
        <v>1.1719999999999999</v>
      </c>
      <c r="AP170" s="30">
        <v>1.17</v>
      </c>
      <c r="AQ170" s="30">
        <v>1.1719999999999999</v>
      </c>
      <c r="AR170" s="30">
        <v>1.171</v>
      </c>
      <c r="AS170" s="30">
        <v>1.17</v>
      </c>
      <c r="AT170" s="30">
        <v>1.17</v>
      </c>
      <c r="AU170" s="30">
        <v>1.1719999999999999</v>
      </c>
      <c r="AV170" s="30">
        <v>1.17</v>
      </c>
      <c r="AW170" s="30">
        <v>1.17</v>
      </c>
    </row>
    <row r="171" spans="1:49" ht="18" customHeight="1">
      <c r="A171" s="23"/>
      <c r="B171" s="19"/>
      <c r="C171" s="75" t="s">
        <v>65</v>
      </c>
      <c r="D171" s="35" t="s">
        <v>324</v>
      </c>
      <c r="E171" s="35"/>
      <c r="F171" s="29" t="s">
        <v>165</v>
      </c>
      <c r="G171" s="38">
        <v>1.17</v>
      </c>
      <c r="H171" s="38">
        <v>0.05</v>
      </c>
      <c r="I171" s="38">
        <v>7.0000000000000007E-2</v>
      </c>
      <c r="J171" s="38">
        <v>0.05</v>
      </c>
      <c r="K171" s="38">
        <v>7.0000000000000007E-2</v>
      </c>
      <c r="L171" s="30">
        <f t="shared" si="8"/>
        <v>1.1839999999999999</v>
      </c>
      <c r="M171" s="30">
        <f t="shared" si="9"/>
        <v>1.161</v>
      </c>
      <c r="N171" s="30">
        <f t="shared" si="10"/>
        <v>2.2999999999999909E-2</v>
      </c>
      <c r="O171" s="31">
        <f t="shared" si="11"/>
        <v>1.1788999999999998</v>
      </c>
      <c r="P171" s="52"/>
      <c r="Q171" s="30">
        <v>1.165</v>
      </c>
      <c r="R171" s="30">
        <v>1.1830000000000001</v>
      </c>
      <c r="S171" s="30">
        <v>1.1830000000000001</v>
      </c>
      <c r="T171" s="30">
        <v>1.165</v>
      </c>
      <c r="U171" s="30">
        <v>1.1830000000000001</v>
      </c>
      <c r="V171" s="30">
        <v>1.1839999999999999</v>
      </c>
      <c r="W171" s="30">
        <v>1.1819999999999999</v>
      </c>
      <c r="X171" s="30">
        <v>1.1830000000000001</v>
      </c>
      <c r="Y171" s="30">
        <v>1.1639999999999999</v>
      </c>
      <c r="Z171" s="30">
        <v>1.1819999999999999</v>
      </c>
      <c r="AA171" s="30">
        <v>1.179</v>
      </c>
      <c r="AB171" s="30">
        <v>1.1830000000000001</v>
      </c>
      <c r="AC171" s="30">
        <v>1.1830000000000001</v>
      </c>
      <c r="AD171" s="30">
        <v>1.1819999999999999</v>
      </c>
      <c r="AE171" s="30">
        <v>1.1819999999999999</v>
      </c>
      <c r="AF171" s="30">
        <v>1.181</v>
      </c>
      <c r="AG171" s="30">
        <v>1.1819999999999999</v>
      </c>
      <c r="AH171" s="30">
        <v>1.1839999999999999</v>
      </c>
      <c r="AI171" s="30">
        <v>1.1619999999999999</v>
      </c>
      <c r="AJ171" s="30">
        <v>1.18</v>
      </c>
      <c r="AK171" s="30">
        <v>1.1839999999999999</v>
      </c>
      <c r="AL171" s="30">
        <v>1.1819999999999999</v>
      </c>
      <c r="AM171" s="30">
        <v>1.1830000000000001</v>
      </c>
      <c r="AN171" s="30">
        <v>1.18</v>
      </c>
      <c r="AO171" s="30">
        <v>1.181</v>
      </c>
      <c r="AP171" s="30">
        <v>1.1830000000000001</v>
      </c>
      <c r="AQ171" s="30">
        <v>1.161</v>
      </c>
      <c r="AR171" s="30">
        <v>1.179</v>
      </c>
      <c r="AS171" s="30">
        <v>1.1830000000000001</v>
      </c>
      <c r="AT171" s="30">
        <v>1.179</v>
      </c>
      <c r="AU171" s="30">
        <v>1.1830000000000001</v>
      </c>
      <c r="AV171" s="30">
        <v>1.1679999999999999</v>
      </c>
      <c r="AW171" s="30">
        <v>1.179</v>
      </c>
    </row>
    <row r="172" spans="1:49" ht="18" customHeight="1">
      <c r="A172" s="23"/>
      <c r="B172" s="19"/>
      <c r="C172" s="75" t="s">
        <v>65</v>
      </c>
      <c r="D172" s="35" t="s">
        <v>166</v>
      </c>
      <c r="E172" s="35"/>
      <c r="F172" s="29" t="s">
        <v>167</v>
      </c>
      <c r="G172" s="38">
        <v>1.17</v>
      </c>
      <c r="H172" s="38">
        <v>0.05</v>
      </c>
      <c r="I172" s="38">
        <v>7.0000000000000007E-2</v>
      </c>
      <c r="J172" s="38">
        <v>0.05</v>
      </c>
      <c r="K172" s="38">
        <v>7.0000000000000007E-2</v>
      </c>
      <c r="L172" s="30">
        <f t="shared" si="8"/>
        <v>1.1719999999999999</v>
      </c>
      <c r="M172" s="30">
        <f t="shared" si="9"/>
        <v>1.1459999999999999</v>
      </c>
      <c r="N172" s="30">
        <f t="shared" si="10"/>
        <v>2.6000000000000023E-2</v>
      </c>
      <c r="O172" s="31">
        <f t="shared" si="11"/>
        <v>1.1669333333333334</v>
      </c>
      <c r="P172" s="52"/>
      <c r="Q172" s="30">
        <v>1.171</v>
      </c>
      <c r="R172" s="30">
        <v>1.169</v>
      </c>
      <c r="S172" s="30">
        <v>1.171</v>
      </c>
      <c r="T172" s="30">
        <v>1.167</v>
      </c>
      <c r="U172" s="30">
        <v>1.167</v>
      </c>
      <c r="V172" s="30">
        <v>1.167</v>
      </c>
      <c r="W172" s="30">
        <v>1.1459999999999999</v>
      </c>
      <c r="X172" s="30">
        <v>1.1679999999999999</v>
      </c>
      <c r="Y172" s="30">
        <v>1.169</v>
      </c>
      <c r="Z172" s="30">
        <v>1.1679999999999999</v>
      </c>
      <c r="AA172" s="30">
        <v>1.1719999999999999</v>
      </c>
      <c r="AB172" s="30">
        <v>1.1679999999999999</v>
      </c>
      <c r="AC172" s="30">
        <v>1.169</v>
      </c>
      <c r="AD172" s="30">
        <v>1.1679999999999999</v>
      </c>
      <c r="AE172" s="30">
        <v>1.1679999999999999</v>
      </c>
      <c r="AF172" s="30">
        <v>1.1659999999999999</v>
      </c>
      <c r="AG172" s="30">
        <v>1.169</v>
      </c>
      <c r="AH172" s="30">
        <v>1.167</v>
      </c>
      <c r="AI172" s="30">
        <v>1.165</v>
      </c>
      <c r="AJ172" s="30">
        <v>1.167</v>
      </c>
      <c r="AK172" s="30">
        <v>1.165</v>
      </c>
      <c r="AL172" s="30">
        <v>1.167</v>
      </c>
      <c r="AM172" s="30">
        <v>1.167</v>
      </c>
      <c r="AN172" s="30">
        <v>1.165</v>
      </c>
      <c r="AO172" s="30">
        <v>1.169</v>
      </c>
      <c r="AP172" s="30">
        <v>1.1679999999999999</v>
      </c>
      <c r="AQ172" s="30">
        <v>1.1659999999999999</v>
      </c>
      <c r="AR172" s="30">
        <v>1.1659999999999999</v>
      </c>
      <c r="AS172" s="30">
        <v>1.167</v>
      </c>
      <c r="AT172" s="30">
        <v>1.1659999999999999</v>
      </c>
      <c r="AU172" s="30">
        <v>1.169</v>
      </c>
      <c r="AV172" s="30">
        <v>1.167</v>
      </c>
      <c r="AW172" s="30">
        <v>1.167</v>
      </c>
    </row>
    <row r="173" spans="1:49" ht="18" customHeight="1">
      <c r="A173" s="23"/>
      <c r="B173" s="19"/>
      <c r="C173" s="75" t="s">
        <v>65</v>
      </c>
      <c r="D173" s="35" t="s">
        <v>168</v>
      </c>
      <c r="E173" s="35"/>
      <c r="F173" s="29" t="s">
        <v>169</v>
      </c>
      <c r="G173" s="38">
        <v>1.17</v>
      </c>
      <c r="H173" s="38">
        <v>0.05</v>
      </c>
      <c r="I173" s="38">
        <v>7.0000000000000007E-2</v>
      </c>
      <c r="J173" s="38">
        <v>0.05</v>
      </c>
      <c r="K173" s="38">
        <v>7.0000000000000007E-2</v>
      </c>
      <c r="L173" s="30">
        <f t="shared" si="8"/>
        <v>1.167</v>
      </c>
      <c r="M173" s="30">
        <f t="shared" si="9"/>
        <v>1.163</v>
      </c>
      <c r="N173" s="30">
        <f t="shared" si="10"/>
        <v>4.0000000000000036E-3</v>
      </c>
      <c r="O173" s="31">
        <f t="shared" si="11"/>
        <v>1.1649333333333334</v>
      </c>
      <c r="P173" s="52"/>
      <c r="Q173" s="30">
        <v>1.1659999999999999</v>
      </c>
      <c r="R173" s="30">
        <v>1.165</v>
      </c>
      <c r="S173" s="30">
        <v>1.165</v>
      </c>
      <c r="T173" s="30">
        <v>1.165</v>
      </c>
      <c r="U173" s="30">
        <v>1.1639999999999999</v>
      </c>
      <c r="V173" s="30">
        <v>1.165</v>
      </c>
      <c r="W173" s="30">
        <v>1.165</v>
      </c>
      <c r="X173" s="30">
        <v>1.1659999999999999</v>
      </c>
      <c r="Y173" s="30">
        <v>1.1659999999999999</v>
      </c>
      <c r="Z173" s="30">
        <v>1.165</v>
      </c>
      <c r="AA173" s="30">
        <v>1.167</v>
      </c>
      <c r="AB173" s="30">
        <v>1.167</v>
      </c>
      <c r="AC173" s="30">
        <v>1.167</v>
      </c>
      <c r="AD173" s="30">
        <v>1.1639999999999999</v>
      </c>
      <c r="AE173" s="30">
        <v>1.1639999999999999</v>
      </c>
      <c r="AF173" s="30">
        <v>1.163</v>
      </c>
      <c r="AG173" s="30">
        <v>1.165</v>
      </c>
      <c r="AH173" s="30">
        <v>1.1659999999999999</v>
      </c>
      <c r="AI173" s="30">
        <v>1.1659999999999999</v>
      </c>
      <c r="AJ173" s="30">
        <v>1.1639999999999999</v>
      </c>
      <c r="AK173" s="30">
        <v>1.165</v>
      </c>
      <c r="AL173" s="30">
        <v>1.1659999999999999</v>
      </c>
      <c r="AM173" s="30">
        <v>1.163</v>
      </c>
      <c r="AN173" s="30">
        <v>1.163</v>
      </c>
      <c r="AO173" s="30">
        <v>1.1639999999999999</v>
      </c>
      <c r="AP173" s="30">
        <v>1.1639999999999999</v>
      </c>
      <c r="AQ173" s="30">
        <v>1.165</v>
      </c>
      <c r="AR173" s="30">
        <v>1.163</v>
      </c>
      <c r="AS173" s="30">
        <v>1.165</v>
      </c>
      <c r="AT173" s="30">
        <v>1.165</v>
      </c>
      <c r="AU173" s="30">
        <v>1.1830000000000001</v>
      </c>
      <c r="AV173" s="30">
        <v>1.165</v>
      </c>
      <c r="AW173" s="30">
        <v>1.1639999999999999</v>
      </c>
    </row>
    <row r="174" spans="1:49" ht="18" customHeight="1">
      <c r="A174" s="23"/>
      <c r="B174" s="19"/>
      <c r="C174" s="75" t="s">
        <v>65</v>
      </c>
      <c r="D174" s="35" t="s">
        <v>170</v>
      </c>
      <c r="E174" s="35"/>
      <c r="F174" s="29" t="s">
        <v>171</v>
      </c>
      <c r="G174" s="38">
        <v>1.17</v>
      </c>
      <c r="H174" s="38">
        <v>0.05</v>
      </c>
      <c r="I174" s="38">
        <v>7.0000000000000007E-2</v>
      </c>
      <c r="J174" s="38">
        <v>0.05</v>
      </c>
      <c r="K174" s="38">
        <v>7.0000000000000007E-2</v>
      </c>
      <c r="L174" s="30">
        <f t="shared" si="8"/>
        <v>1.1719999999999999</v>
      </c>
      <c r="M174" s="30">
        <f t="shared" si="9"/>
        <v>1.1539999999999999</v>
      </c>
      <c r="N174" s="30">
        <f t="shared" si="10"/>
        <v>1.8000000000000016E-2</v>
      </c>
      <c r="O174" s="31">
        <f t="shared" si="11"/>
        <v>1.1681333333333332</v>
      </c>
      <c r="P174" s="52"/>
      <c r="Q174" s="30">
        <v>1.169</v>
      </c>
      <c r="R174" s="30">
        <v>1.169</v>
      </c>
      <c r="S174" s="30">
        <v>1.17</v>
      </c>
      <c r="T174" s="30">
        <v>1.163</v>
      </c>
      <c r="U174" s="30">
        <v>1.169</v>
      </c>
      <c r="V174" s="30">
        <v>1.167</v>
      </c>
      <c r="W174" s="30">
        <v>1.171</v>
      </c>
      <c r="X174" s="30">
        <v>1.1719999999999999</v>
      </c>
      <c r="Y174" s="30">
        <v>1.169</v>
      </c>
      <c r="Z174" s="30">
        <v>1.1679999999999999</v>
      </c>
      <c r="AA174" s="30">
        <v>1.1539999999999999</v>
      </c>
      <c r="AB174" s="30">
        <v>1.1679999999999999</v>
      </c>
      <c r="AC174" s="30">
        <v>1.169</v>
      </c>
      <c r="AD174" s="30">
        <v>1.171</v>
      </c>
      <c r="AE174" s="30">
        <v>1.171</v>
      </c>
      <c r="AF174" s="30">
        <v>1.169</v>
      </c>
      <c r="AG174" s="30">
        <v>1.169</v>
      </c>
      <c r="AH174" s="30">
        <v>1.1659999999999999</v>
      </c>
      <c r="AI174" s="30">
        <v>1.167</v>
      </c>
      <c r="AJ174" s="30">
        <v>1.169</v>
      </c>
      <c r="AK174" s="30">
        <v>1.1659999999999999</v>
      </c>
      <c r="AL174" s="30">
        <v>1.17</v>
      </c>
      <c r="AM174" s="30">
        <v>1.1679999999999999</v>
      </c>
      <c r="AN174" s="30">
        <v>1.1659999999999999</v>
      </c>
      <c r="AO174" s="30">
        <v>1.1679999999999999</v>
      </c>
      <c r="AP174" s="30">
        <v>1.17</v>
      </c>
      <c r="AQ174" s="30">
        <v>1.169</v>
      </c>
      <c r="AR174" s="30">
        <v>1.17</v>
      </c>
      <c r="AS174" s="30">
        <v>1.169</v>
      </c>
      <c r="AT174" s="30">
        <v>1.1679999999999999</v>
      </c>
      <c r="AU174" s="30">
        <v>1.1719999999999999</v>
      </c>
      <c r="AV174" s="30">
        <v>1.1659999999999999</v>
      </c>
      <c r="AW174" s="30">
        <v>1.1679999999999999</v>
      </c>
    </row>
    <row r="175" spans="1:49" ht="18" customHeight="1">
      <c r="A175" s="23"/>
      <c r="B175" s="19"/>
      <c r="C175" s="75" t="s">
        <v>65</v>
      </c>
      <c r="D175" s="35" t="s">
        <v>172</v>
      </c>
      <c r="E175" s="35"/>
      <c r="F175" s="29" t="s">
        <v>173</v>
      </c>
      <c r="G175" s="38">
        <v>1.17</v>
      </c>
      <c r="H175" s="38">
        <v>0.05</v>
      </c>
      <c r="I175" s="38">
        <v>7.0000000000000007E-2</v>
      </c>
      <c r="J175" s="38">
        <v>0.05</v>
      </c>
      <c r="K175" s="38">
        <v>7.0000000000000007E-2</v>
      </c>
      <c r="L175" s="30">
        <f t="shared" si="8"/>
        <v>1.1619999999999999</v>
      </c>
      <c r="M175" s="30">
        <f t="shared" si="9"/>
        <v>1.153</v>
      </c>
      <c r="N175" s="30">
        <f t="shared" si="10"/>
        <v>8.999999999999897E-3</v>
      </c>
      <c r="O175" s="31">
        <f t="shared" si="11"/>
        <v>1.1584999999999999</v>
      </c>
      <c r="P175" s="52"/>
      <c r="Q175" s="30">
        <v>1.1599999999999999</v>
      </c>
      <c r="R175" s="30">
        <v>1.1599999999999999</v>
      </c>
      <c r="S175" s="30">
        <v>1.157</v>
      </c>
      <c r="T175" s="30">
        <v>1.1579999999999999</v>
      </c>
      <c r="U175" s="30">
        <v>1.1599999999999999</v>
      </c>
      <c r="V175" s="30">
        <v>1.161</v>
      </c>
      <c r="W175" s="30">
        <v>1.161</v>
      </c>
      <c r="X175" s="30">
        <v>1.1599999999999999</v>
      </c>
      <c r="Y175" s="30">
        <v>1.161</v>
      </c>
      <c r="Z175" s="30">
        <v>1.1559999999999999</v>
      </c>
      <c r="AA175" s="30">
        <v>1.157</v>
      </c>
      <c r="AB175" s="30">
        <v>1.1559999999999999</v>
      </c>
      <c r="AC175" s="30">
        <v>1.1599999999999999</v>
      </c>
      <c r="AD175" s="30">
        <v>1.1599999999999999</v>
      </c>
      <c r="AE175" s="30">
        <v>1.157</v>
      </c>
      <c r="AF175" s="30">
        <v>1.1559999999999999</v>
      </c>
      <c r="AG175" s="30">
        <v>1.1579999999999999</v>
      </c>
      <c r="AH175" s="30">
        <v>1.1599999999999999</v>
      </c>
      <c r="AI175" s="30">
        <v>1.1599999999999999</v>
      </c>
      <c r="AJ175" s="30">
        <v>1.153</v>
      </c>
      <c r="AK175" s="30">
        <v>1.1599999999999999</v>
      </c>
      <c r="AL175" s="30">
        <v>1.161</v>
      </c>
      <c r="AM175" s="30">
        <v>1.1559999999999999</v>
      </c>
      <c r="AN175" s="30">
        <v>1.157</v>
      </c>
      <c r="AO175" s="30">
        <v>1.1619999999999999</v>
      </c>
      <c r="AP175" s="30">
        <v>1.1579999999999999</v>
      </c>
      <c r="AQ175" s="30">
        <v>1.159</v>
      </c>
      <c r="AR175" s="30">
        <v>1.153</v>
      </c>
      <c r="AS175" s="30">
        <v>1.159</v>
      </c>
      <c r="AT175" s="30">
        <v>1.159</v>
      </c>
      <c r="AU175" s="30">
        <v>1.163</v>
      </c>
      <c r="AV175" s="30">
        <v>1.1579999999999999</v>
      </c>
      <c r="AW175" s="30">
        <v>1.161</v>
      </c>
    </row>
    <row r="176" spans="1:49" ht="18" customHeight="1">
      <c r="A176" s="23"/>
      <c r="B176" s="19"/>
      <c r="C176" s="75" t="s">
        <v>65</v>
      </c>
      <c r="D176" s="35" t="s">
        <v>174</v>
      </c>
      <c r="E176" s="35"/>
      <c r="F176" s="29" t="s">
        <v>175</v>
      </c>
      <c r="G176" s="38">
        <v>1.17</v>
      </c>
      <c r="H176" s="38">
        <v>0.05</v>
      </c>
      <c r="I176" s="38">
        <v>7.0000000000000007E-2</v>
      </c>
      <c r="J176" s="38">
        <v>0.05</v>
      </c>
      <c r="K176" s="38">
        <v>7.0000000000000007E-2</v>
      </c>
      <c r="L176" s="30">
        <f t="shared" si="8"/>
        <v>1.175</v>
      </c>
      <c r="M176" s="30">
        <f t="shared" si="9"/>
        <v>1.1659999999999999</v>
      </c>
      <c r="N176" s="30">
        <f t="shared" si="10"/>
        <v>9.000000000000119E-3</v>
      </c>
      <c r="O176" s="31">
        <f t="shared" si="11"/>
        <v>1.1702000000000001</v>
      </c>
      <c r="P176" s="52"/>
      <c r="Q176" s="30">
        <v>1.17</v>
      </c>
      <c r="R176" s="30">
        <v>1.17</v>
      </c>
      <c r="S176" s="30">
        <v>1.171</v>
      </c>
      <c r="T176" s="30">
        <v>1.17</v>
      </c>
      <c r="U176" s="30">
        <v>1.1679999999999999</v>
      </c>
      <c r="V176" s="30">
        <v>1.173</v>
      </c>
      <c r="W176" s="30">
        <v>1.173</v>
      </c>
      <c r="X176" s="30">
        <v>1.1719999999999999</v>
      </c>
      <c r="Y176" s="30">
        <v>1.171</v>
      </c>
      <c r="Z176" s="30">
        <v>1.171</v>
      </c>
      <c r="AA176" s="30">
        <v>1.1659999999999999</v>
      </c>
      <c r="AB176" s="30">
        <v>1.171</v>
      </c>
      <c r="AC176" s="30">
        <v>1.171</v>
      </c>
      <c r="AD176" s="30">
        <v>1.1679999999999999</v>
      </c>
      <c r="AE176" s="30">
        <v>1.169</v>
      </c>
      <c r="AF176" s="30">
        <v>1.167</v>
      </c>
      <c r="AG176" s="30">
        <v>1.171</v>
      </c>
      <c r="AH176" s="30">
        <v>1.171</v>
      </c>
      <c r="AI176" s="30">
        <v>1.17</v>
      </c>
      <c r="AJ176" s="30">
        <v>1.1719999999999999</v>
      </c>
      <c r="AK176" s="30">
        <v>1.169</v>
      </c>
      <c r="AL176" s="30">
        <v>1.17</v>
      </c>
      <c r="AM176" s="30">
        <v>1.169</v>
      </c>
      <c r="AN176" s="30">
        <v>1.167</v>
      </c>
      <c r="AO176" s="30">
        <v>1.175</v>
      </c>
      <c r="AP176" s="30">
        <v>1.171</v>
      </c>
      <c r="AQ176" s="30">
        <v>1.1719999999999999</v>
      </c>
      <c r="AR176" s="30">
        <v>1.1719999999999999</v>
      </c>
      <c r="AS176" s="30">
        <v>1.1679999999999999</v>
      </c>
      <c r="AT176" s="30">
        <v>1.1679999999999999</v>
      </c>
      <c r="AU176" s="30">
        <v>1.1719999999999999</v>
      </c>
      <c r="AV176" s="30">
        <v>1.165</v>
      </c>
      <c r="AW176" s="30">
        <v>1.171</v>
      </c>
    </row>
    <row r="177" spans="1:49" ht="18" customHeight="1">
      <c r="A177" s="23"/>
      <c r="B177" s="19"/>
      <c r="C177" s="75" t="s">
        <v>65</v>
      </c>
      <c r="D177" s="35" t="s">
        <v>176</v>
      </c>
      <c r="E177" s="35"/>
      <c r="F177" s="29" t="s">
        <v>177</v>
      </c>
      <c r="G177" s="38">
        <v>0.84</v>
      </c>
      <c r="H177" s="38">
        <v>0.05</v>
      </c>
      <c r="I177" s="38">
        <v>0.05</v>
      </c>
      <c r="J177" s="38">
        <v>0.05</v>
      </c>
      <c r="K177" s="38">
        <v>0.05</v>
      </c>
      <c r="L177" s="30">
        <f t="shared" si="8"/>
        <v>0.84099999999999997</v>
      </c>
      <c r="M177" s="30">
        <f t="shared" si="9"/>
        <v>0.83</v>
      </c>
      <c r="N177" s="30">
        <f t="shared" si="10"/>
        <v>1.100000000000001E-2</v>
      </c>
      <c r="O177" s="31">
        <f t="shared" si="11"/>
        <v>0.8329666666666663</v>
      </c>
      <c r="P177" s="52"/>
      <c r="Q177" s="30">
        <v>0.83199999999999996</v>
      </c>
      <c r="R177" s="30">
        <v>0.83299999999999996</v>
      </c>
      <c r="S177" s="30">
        <v>0.83199999999999996</v>
      </c>
      <c r="T177" s="30">
        <v>0.83299999999999996</v>
      </c>
      <c r="U177" s="30">
        <v>0.83199999999999996</v>
      </c>
      <c r="V177" s="30">
        <v>0.83199999999999996</v>
      </c>
      <c r="W177" s="30">
        <v>0.83299999999999996</v>
      </c>
      <c r="X177" s="30">
        <v>0.83399999999999996</v>
      </c>
      <c r="Y177" s="30">
        <v>0.83199999999999996</v>
      </c>
      <c r="Z177" s="30">
        <v>0.83299999999999996</v>
      </c>
      <c r="AA177" s="30">
        <v>0.84099999999999997</v>
      </c>
      <c r="AB177" s="30">
        <v>0.83299999999999996</v>
      </c>
      <c r="AC177" s="30">
        <v>0.83299999999999996</v>
      </c>
      <c r="AD177" s="30">
        <v>0.83199999999999996</v>
      </c>
      <c r="AE177" s="30">
        <v>0.83299999999999996</v>
      </c>
      <c r="AF177" s="30">
        <v>0.83199999999999996</v>
      </c>
      <c r="AG177" s="30">
        <v>0.83099999999999996</v>
      </c>
      <c r="AH177" s="30">
        <v>0.83299999999999996</v>
      </c>
      <c r="AI177" s="30">
        <v>0.83</v>
      </c>
      <c r="AJ177" s="30">
        <v>0.83199999999999996</v>
      </c>
      <c r="AK177" s="30">
        <v>0.83399999999999996</v>
      </c>
      <c r="AL177" s="30">
        <v>0.83399999999999996</v>
      </c>
      <c r="AM177" s="30">
        <v>0.83299999999999996</v>
      </c>
      <c r="AN177" s="30">
        <v>0.83299999999999996</v>
      </c>
      <c r="AO177" s="30">
        <v>0.83399999999999996</v>
      </c>
      <c r="AP177" s="30">
        <v>0.83299999999999996</v>
      </c>
      <c r="AQ177" s="30">
        <v>0.83299999999999996</v>
      </c>
      <c r="AR177" s="30">
        <v>0.83199999999999996</v>
      </c>
      <c r="AS177" s="30">
        <v>0.83299999999999996</v>
      </c>
      <c r="AT177" s="30">
        <v>0.83399999999999996</v>
      </c>
      <c r="AU177" s="30">
        <v>0.83399999999999996</v>
      </c>
      <c r="AV177" s="30">
        <v>0.83299999999999996</v>
      </c>
      <c r="AW177" s="30">
        <v>0.83299999999999996</v>
      </c>
    </row>
    <row r="178" spans="1:49" ht="18" customHeight="1">
      <c r="A178" s="23"/>
      <c r="B178" s="19"/>
      <c r="C178" s="75" t="s">
        <v>65</v>
      </c>
      <c r="D178" s="35" t="s">
        <v>178</v>
      </c>
      <c r="E178" s="35"/>
      <c r="F178" s="29" t="s">
        <v>179</v>
      </c>
      <c r="G178" s="38">
        <v>0.84</v>
      </c>
      <c r="H178" s="38">
        <v>0.05</v>
      </c>
      <c r="I178" s="38">
        <v>0.05</v>
      </c>
      <c r="J178" s="38">
        <v>0.05</v>
      </c>
      <c r="K178" s="38">
        <v>0.05</v>
      </c>
      <c r="L178" s="30">
        <f t="shared" si="8"/>
        <v>0.84099999999999997</v>
      </c>
      <c r="M178" s="30">
        <f t="shared" si="9"/>
        <v>0.83399999999999996</v>
      </c>
      <c r="N178" s="30">
        <f t="shared" si="10"/>
        <v>7.0000000000000062E-3</v>
      </c>
      <c r="O178" s="31">
        <f t="shared" si="11"/>
        <v>0.83549999999999991</v>
      </c>
      <c r="P178" s="52"/>
      <c r="Q178" s="30">
        <v>0.83599999999999997</v>
      </c>
      <c r="R178" s="30">
        <v>0.83599999999999997</v>
      </c>
      <c r="S178" s="30">
        <v>0.83499999999999996</v>
      </c>
      <c r="T178" s="30">
        <v>0.83599999999999997</v>
      </c>
      <c r="U178" s="30">
        <v>0.83499999999999996</v>
      </c>
      <c r="V178" s="30">
        <v>0.83399999999999996</v>
      </c>
      <c r="W178" s="30">
        <v>0.83499999999999996</v>
      </c>
      <c r="X178" s="30">
        <v>0.83499999999999996</v>
      </c>
      <c r="Y178" s="30">
        <v>0.83599999999999997</v>
      </c>
      <c r="Z178" s="30">
        <v>0.83499999999999996</v>
      </c>
      <c r="AA178" s="30">
        <v>0.84099999999999997</v>
      </c>
      <c r="AB178" s="30">
        <v>0.83499999999999996</v>
      </c>
      <c r="AC178" s="30">
        <v>0.83699999999999997</v>
      </c>
      <c r="AD178" s="30">
        <v>0.83499999999999996</v>
      </c>
      <c r="AE178" s="30">
        <v>0.83699999999999997</v>
      </c>
      <c r="AF178" s="30">
        <v>0.83599999999999997</v>
      </c>
      <c r="AG178" s="30">
        <v>0.83599999999999997</v>
      </c>
      <c r="AH178" s="30">
        <v>0.83399999999999996</v>
      </c>
      <c r="AI178" s="30">
        <v>0.83599999999999997</v>
      </c>
      <c r="AJ178" s="30">
        <v>0.83499999999999996</v>
      </c>
      <c r="AK178" s="30">
        <v>0.83499999999999996</v>
      </c>
      <c r="AL178" s="30">
        <v>0.83399999999999996</v>
      </c>
      <c r="AM178" s="30">
        <v>0.83499999999999996</v>
      </c>
      <c r="AN178" s="30">
        <v>0.83499999999999996</v>
      </c>
      <c r="AO178" s="30">
        <v>0.83499999999999996</v>
      </c>
      <c r="AP178" s="30">
        <v>0.83599999999999997</v>
      </c>
      <c r="AQ178" s="30">
        <v>0.83499999999999996</v>
      </c>
      <c r="AR178" s="30">
        <v>0.83499999999999996</v>
      </c>
      <c r="AS178" s="30">
        <v>0.83599999999999997</v>
      </c>
      <c r="AT178" s="30">
        <v>0.83399999999999996</v>
      </c>
      <c r="AU178" s="30">
        <v>0.83499999999999996</v>
      </c>
      <c r="AV178" s="30">
        <v>0.83499999999999996</v>
      </c>
      <c r="AW178" s="30">
        <v>0.83499999999999996</v>
      </c>
    </row>
    <row r="179" spans="1:49" ht="18" customHeight="1">
      <c r="A179" s="23"/>
      <c r="B179" s="19"/>
      <c r="C179" s="75" t="s">
        <v>65</v>
      </c>
      <c r="D179" s="35" t="s">
        <v>180</v>
      </c>
      <c r="E179" s="35"/>
      <c r="F179" s="29" t="s">
        <v>181</v>
      </c>
      <c r="G179" s="38">
        <v>0.84</v>
      </c>
      <c r="H179" s="38">
        <v>0.05</v>
      </c>
      <c r="I179" s="38">
        <v>0.05</v>
      </c>
      <c r="J179" s="38">
        <v>0.05</v>
      </c>
      <c r="K179" s="38">
        <v>0.05</v>
      </c>
      <c r="L179" s="30">
        <f t="shared" si="8"/>
        <v>0.83399999999999996</v>
      </c>
      <c r="M179" s="30">
        <f t="shared" si="9"/>
        <v>0.83099999999999996</v>
      </c>
      <c r="N179" s="30">
        <f t="shared" si="10"/>
        <v>3.0000000000000027E-3</v>
      </c>
      <c r="O179" s="31">
        <f t="shared" si="11"/>
        <v>0.83276666666666643</v>
      </c>
      <c r="P179" s="52"/>
      <c r="Q179" s="30">
        <v>0.83299999999999996</v>
      </c>
      <c r="R179" s="30">
        <v>0.83099999999999996</v>
      </c>
      <c r="S179" s="30">
        <v>0.83299999999999996</v>
      </c>
      <c r="T179" s="30">
        <v>0.83199999999999996</v>
      </c>
      <c r="U179" s="30">
        <v>0.83299999999999996</v>
      </c>
      <c r="V179" s="30">
        <v>0.83099999999999996</v>
      </c>
      <c r="W179" s="30">
        <v>0.83199999999999996</v>
      </c>
      <c r="X179" s="30">
        <v>0.83199999999999996</v>
      </c>
      <c r="Y179" s="30">
        <v>0.83299999999999996</v>
      </c>
      <c r="Z179" s="30">
        <v>0.83199999999999996</v>
      </c>
      <c r="AA179" s="30">
        <v>0.83399999999999996</v>
      </c>
      <c r="AB179" s="30">
        <v>0.83299999999999996</v>
      </c>
      <c r="AC179" s="30">
        <v>0.83399999999999996</v>
      </c>
      <c r="AD179" s="30">
        <v>0.83299999999999996</v>
      </c>
      <c r="AE179" s="30">
        <v>0.83299999999999996</v>
      </c>
      <c r="AF179" s="30">
        <v>0.83299999999999996</v>
      </c>
      <c r="AG179" s="30">
        <v>0.83199999999999996</v>
      </c>
      <c r="AH179" s="30">
        <v>0.83299999999999996</v>
      </c>
      <c r="AI179" s="30">
        <v>0.83399999999999996</v>
      </c>
      <c r="AJ179" s="30">
        <v>0.83299999999999996</v>
      </c>
      <c r="AK179" s="30">
        <v>0.83399999999999996</v>
      </c>
      <c r="AL179" s="30">
        <v>0.83399999999999996</v>
      </c>
      <c r="AM179" s="30">
        <v>0.83299999999999996</v>
      </c>
      <c r="AN179" s="30">
        <v>0.83299999999999996</v>
      </c>
      <c r="AO179" s="30">
        <v>0.83199999999999996</v>
      </c>
      <c r="AP179" s="30">
        <v>0.83299999999999996</v>
      </c>
      <c r="AQ179" s="30">
        <v>0.83199999999999996</v>
      </c>
      <c r="AR179" s="30">
        <v>0.83299999999999996</v>
      </c>
      <c r="AS179" s="30">
        <v>0.83199999999999996</v>
      </c>
      <c r="AT179" s="30">
        <v>0.83299999999999996</v>
      </c>
      <c r="AU179" s="30">
        <v>0.83299999999999996</v>
      </c>
      <c r="AV179" s="30">
        <v>0.83299999999999996</v>
      </c>
      <c r="AW179" s="30">
        <v>0.83299999999999996</v>
      </c>
    </row>
    <row r="180" spans="1:49" ht="18" customHeight="1">
      <c r="A180" s="23"/>
      <c r="B180" s="19"/>
      <c r="C180" s="75" t="s">
        <v>65</v>
      </c>
      <c r="D180" s="35" t="s">
        <v>182</v>
      </c>
      <c r="E180" s="35"/>
      <c r="F180" s="29" t="s">
        <v>183</v>
      </c>
      <c r="G180" s="38">
        <v>0.84</v>
      </c>
      <c r="H180" s="38">
        <v>0.05</v>
      </c>
      <c r="I180" s="38">
        <v>0.05</v>
      </c>
      <c r="J180" s="38">
        <v>0.05</v>
      </c>
      <c r="K180" s="38">
        <v>0.05</v>
      </c>
      <c r="L180" s="30">
        <f t="shared" si="8"/>
        <v>0.83</v>
      </c>
      <c r="M180" s="30">
        <f t="shared" si="9"/>
        <v>0.82499999999999996</v>
      </c>
      <c r="N180" s="30">
        <f t="shared" si="10"/>
        <v>5.0000000000000044E-3</v>
      </c>
      <c r="O180" s="31">
        <f t="shared" si="11"/>
        <v>0.82633333333333303</v>
      </c>
      <c r="P180" s="52"/>
      <c r="Q180" s="30">
        <v>0.82599999999999996</v>
      </c>
      <c r="R180" s="30">
        <v>0.82599999999999996</v>
      </c>
      <c r="S180" s="30">
        <v>0.82599999999999996</v>
      </c>
      <c r="T180" s="30">
        <v>0.82499999999999996</v>
      </c>
      <c r="U180" s="30">
        <v>0.82599999999999996</v>
      </c>
      <c r="V180" s="30">
        <v>0.82499999999999996</v>
      </c>
      <c r="W180" s="30">
        <v>0.82599999999999996</v>
      </c>
      <c r="X180" s="30">
        <v>0.82499999999999996</v>
      </c>
      <c r="Y180" s="30">
        <v>0.82599999999999996</v>
      </c>
      <c r="Z180" s="30">
        <v>0.82599999999999996</v>
      </c>
      <c r="AA180" s="30">
        <v>0.83</v>
      </c>
      <c r="AB180" s="30">
        <v>0.82699999999999996</v>
      </c>
      <c r="AC180" s="30">
        <v>0.82599999999999996</v>
      </c>
      <c r="AD180" s="30">
        <v>0.82599999999999996</v>
      </c>
      <c r="AE180" s="30">
        <v>0.82699999999999996</v>
      </c>
      <c r="AF180" s="30">
        <v>0.82499999999999996</v>
      </c>
      <c r="AG180" s="30">
        <v>0.82699999999999996</v>
      </c>
      <c r="AH180" s="30">
        <v>0.82599999999999996</v>
      </c>
      <c r="AI180" s="30">
        <v>0.82699999999999996</v>
      </c>
      <c r="AJ180" s="30">
        <v>0.82599999999999996</v>
      </c>
      <c r="AK180" s="30">
        <v>0.82699999999999996</v>
      </c>
      <c r="AL180" s="30">
        <v>0.82699999999999996</v>
      </c>
      <c r="AM180" s="30">
        <v>0.82699999999999996</v>
      </c>
      <c r="AN180" s="30">
        <v>0.82699999999999996</v>
      </c>
      <c r="AO180" s="30">
        <v>0.82599999999999996</v>
      </c>
      <c r="AP180" s="30">
        <v>0.82699999999999996</v>
      </c>
      <c r="AQ180" s="30">
        <v>0.82499999999999996</v>
      </c>
      <c r="AR180" s="30">
        <v>0.82599999999999996</v>
      </c>
      <c r="AS180" s="30">
        <v>0.82599999999999996</v>
      </c>
      <c r="AT180" s="30">
        <v>0.82799999999999996</v>
      </c>
      <c r="AU180" s="30">
        <v>0.82599999999999996</v>
      </c>
      <c r="AV180" s="30">
        <v>0.82599999999999996</v>
      </c>
      <c r="AW180" s="30">
        <v>0.82599999999999996</v>
      </c>
    </row>
    <row r="181" spans="1:49" ht="18" customHeight="1">
      <c r="A181" s="23"/>
      <c r="B181" s="19"/>
      <c r="C181" s="78" t="s">
        <v>115</v>
      </c>
      <c r="D181" s="35" t="s">
        <v>184</v>
      </c>
      <c r="E181" s="35"/>
      <c r="F181" s="29" t="s">
        <v>185</v>
      </c>
      <c r="G181" s="38">
        <v>2.14</v>
      </c>
      <c r="H181" s="38">
        <v>0.03</v>
      </c>
      <c r="I181" s="38">
        <v>0.03</v>
      </c>
      <c r="J181" s="38">
        <v>0.03</v>
      </c>
      <c r="K181" s="38">
        <v>0.03</v>
      </c>
      <c r="L181" s="30">
        <f t="shared" si="8"/>
        <v>2.1629999999999998</v>
      </c>
      <c r="M181" s="30">
        <f t="shared" si="9"/>
        <v>2.1560000000000001</v>
      </c>
      <c r="N181" s="30">
        <f t="shared" si="10"/>
        <v>6.9999999999996732E-3</v>
      </c>
      <c r="O181" s="31">
        <f t="shared" si="11"/>
        <v>2.1594666666666664</v>
      </c>
      <c r="P181" s="52"/>
      <c r="Q181" s="30">
        <v>2.157</v>
      </c>
      <c r="R181" s="30">
        <v>2.1579999999999999</v>
      </c>
      <c r="S181" s="30">
        <v>2.1579999999999999</v>
      </c>
      <c r="T181" s="30">
        <v>2.157</v>
      </c>
      <c r="U181" s="30">
        <v>2.16</v>
      </c>
      <c r="V181" s="30">
        <v>2.16</v>
      </c>
      <c r="W181" s="30">
        <v>2.1579999999999999</v>
      </c>
      <c r="X181" s="30">
        <v>2.161</v>
      </c>
      <c r="Y181" s="30">
        <v>2.161</v>
      </c>
      <c r="Z181" s="30">
        <v>2.161</v>
      </c>
      <c r="AA181" s="30">
        <v>2.1589999999999998</v>
      </c>
      <c r="AB181" s="30">
        <v>2.1629999999999998</v>
      </c>
      <c r="AC181" s="30">
        <v>2.1629999999999998</v>
      </c>
      <c r="AD181" s="30">
        <v>2.161</v>
      </c>
      <c r="AE181" s="30">
        <v>2.161</v>
      </c>
      <c r="AF181" s="30">
        <v>2.161</v>
      </c>
      <c r="AG181" s="30">
        <v>2.16</v>
      </c>
      <c r="AH181" s="30">
        <v>2.161</v>
      </c>
      <c r="AI181" s="30">
        <v>2.16</v>
      </c>
      <c r="AJ181" s="30">
        <v>2.1579999999999999</v>
      </c>
      <c r="AK181" s="30">
        <v>2.1629999999999998</v>
      </c>
      <c r="AL181" s="30">
        <v>2.1560000000000001</v>
      </c>
      <c r="AM181" s="30">
        <v>2.1589999999999998</v>
      </c>
      <c r="AN181" s="30">
        <v>2.1560000000000001</v>
      </c>
      <c r="AO181" s="30">
        <v>2.1579999999999999</v>
      </c>
      <c r="AP181" s="30">
        <v>2.16</v>
      </c>
      <c r="AQ181" s="30">
        <v>2.157</v>
      </c>
      <c r="AR181" s="30">
        <v>2.16</v>
      </c>
      <c r="AS181" s="30">
        <v>2.1589999999999998</v>
      </c>
      <c r="AT181" s="30">
        <v>2.1579999999999999</v>
      </c>
      <c r="AU181" s="30">
        <v>2.1549999999999998</v>
      </c>
      <c r="AV181" s="30">
        <v>2.157</v>
      </c>
      <c r="AW181" s="30">
        <v>2.157</v>
      </c>
    </row>
    <row r="182" spans="1:49" ht="18" customHeight="1">
      <c r="A182" s="23"/>
      <c r="B182" s="19"/>
      <c r="C182" s="78" t="s">
        <v>115</v>
      </c>
      <c r="D182" s="35" t="s">
        <v>186</v>
      </c>
      <c r="E182" s="35"/>
      <c r="F182" s="29" t="s">
        <v>187</v>
      </c>
      <c r="G182" s="38">
        <v>2.14</v>
      </c>
      <c r="H182" s="38">
        <v>0.03</v>
      </c>
      <c r="I182" s="38">
        <v>0.03</v>
      </c>
      <c r="J182" s="38">
        <v>0.03</v>
      </c>
      <c r="K182" s="38">
        <v>0.03</v>
      </c>
      <c r="L182" s="30">
        <f t="shared" si="8"/>
        <v>2.169</v>
      </c>
      <c r="M182" s="30">
        <f t="shared" si="9"/>
        <v>2.1459999999999999</v>
      </c>
      <c r="N182" s="30">
        <f t="shared" si="10"/>
        <v>2.3000000000000131E-2</v>
      </c>
      <c r="O182" s="31">
        <f t="shared" si="11"/>
        <v>2.1585333333333332</v>
      </c>
      <c r="P182" s="52"/>
      <c r="Q182" s="30">
        <v>2.169</v>
      </c>
      <c r="R182" s="30">
        <v>2.149</v>
      </c>
      <c r="S182" s="30">
        <v>2.1469999999999998</v>
      </c>
      <c r="T182" s="30">
        <v>2.1469999999999998</v>
      </c>
      <c r="U182" s="30">
        <v>2.1520000000000001</v>
      </c>
      <c r="V182" s="30">
        <v>2.153</v>
      </c>
      <c r="W182" s="30">
        <v>2.1509999999999998</v>
      </c>
      <c r="X182" s="30">
        <v>2.1579999999999999</v>
      </c>
      <c r="Y182" s="30">
        <v>2.1629999999999998</v>
      </c>
      <c r="Z182" s="30">
        <v>2.1680000000000001</v>
      </c>
      <c r="AA182" s="30">
        <v>2.1560000000000001</v>
      </c>
      <c r="AB182" s="30">
        <v>2.1659999999999999</v>
      </c>
      <c r="AC182" s="30">
        <v>2.1619999999999999</v>
      </c>
      <c r="AD182" s="30">
        <v>2.1589999999999998</v>
      </c>
      <c r="AE182" s="30">
        <v>2.1640000000000001</v>
      </c>
      <c r="AF182" s="30">
        <v>2.1680000000000001</v>
      </c>
      <c r="AG182" s="30">
        <v>2.1579999999999999</v>
      </c>
      <c r="AH182" s="30">
        <v>2.161</v>
      </c>
      <c r="AI182" s="30">
        <v>2.1640000000000001</v>
      </c>
      <c r="AJ182" s="30">
        <v>2.1619999999999999</v>
      </c>
      <c r="AK182" s="30">
        <v>2.1659999999999999</v>
      </c>
      <c r="AL182" s="30">
        <v>2.169</v>
      </c>
      <c r="AM182" s="30">
        <v>2.1469999999999998</v>
      </c>
      <c r="AN182" s="30">
        <v>2.161</v>
      </c>
      <c r="AO182" s="30">
        <v>2.1640000000000001</v>
      </c>
      <c r="AP182" s="30">
        <v>2.1669999999999998</v>
      </c>
      <c r="AQ182" s="30">
        <v>2.1459999999999999</v>
      </c>
      <c r="AR182" s="30">
        <v>2.15</v>
      </c>
      <c r="AS182" s="30">
        <v>2.1549999999999998</v>
      </c>
      <c r="AT182" s="30">
        <v>2.1539999999999999</v>
      </c>
      <c r="AU182" s="30">
        <v>2.1680000000000001</v>
      </c>
      <c r="AV182" s="30">
        <v>2.153</v>
      </c>
      <c r="AW182" s="30">
        <v>2.153</v>
      </c>
    </row>
    <row r="183" spans="1:49" ht="18" customHeight="1">
      <c r="A183" s="23"/>
      <c r="B183" s="19"/>
      <c r="C183" s="78" t="s">
        <v>115</v>
      </c>
      <c r="D183" s="35" t="s">
        <v>188</v>
      </c>
      <c r="E183" s="35"/>
      <c r="F183" s="29" t="s">
        <v>189</v>
      </c>
      <c r="G183" s="38">
        <v>2.14</v>
      </c>
      <c r="H183" s="38">
        <v>0.03</v>
      </c>
      <c r="I183" s="38">
        <v>0.03</v>
      </c>
      <c r="J183" s="38">
        <v>0.03</v>
      </c>
      <c r="K183" s="38">
        <v>0.03</v>
      </c>
      <c r="L183" s="30">
        <f t="shared" si="8"/>
        <v>2.169</v>
      </c>
      <c r="M183" s="30">
        <f t="shared" si="9"/>
        <v>2.1589999999999998</v>
      </c>
      <c r="N183" s="30">
        <f t="shared" si="10"/>
        <v>1.0000000000000231E-2</v>
      </c>
      <c r="O183" s="31">
        <f t="shared" si="11"/>
        <v>2.165166666666666</v>
      </c>
      <c r="P183" s="52"/>
      <c r="Q183" s="30">
        <v>2.1619999999999999</v>
      </c>
      <c r="R183" s="30">
        <v>2.1669999999999998</v>
      </c>
      <c r="S183" s="30">
        <v>2.1659999999999999</v>
      </c>
      <c r="T183" s="30">
        <v>2.1659999999999999</v>
      </c>
      <c r="U183" s="30">
        <v>2.1659999999999999</v>
      </c>
      <c r="V183" s="30">
        <v>2.169</v>
      </c>
      <c r="W183" s="30">
        <v>2.165</v>
      </c>
      <c r="X183" s="30">
        <v>2.169</v>
      </c>
      <c r="Y183" s="30">
        <v>2.165</v>
      </c>
      <c r="Z183" s="30">
        <v>2.161</v>
      </c>
      <c r="AA183" s="30">
        <v>2.1669999999999998</v>
      </c>
      <c r="AB183" s="30">
        <v>2.1669999999999998</v>
      </c>
      <c r="AC183" s="30">
        <v>2.1669999999999998</v>
      </c>
      <c r="AD183" s="30">
        <v>2.169</v>
      </c>
      <c r="AE183" s="30">
        <v>2.165</v>
      </c>
      <c r="AF183" s="30">
        <v>2.1640000000000001</v>
      </c>
      <c r="AG183" s="30">
        <v>2.1680000000000001</v>
      </c>
      <c r="AH183" s="30">
        <v>2.1659999999999999</v>
      </c>
      <c r="AI183" s="30">
        <v>2.1659999999999999</v>
      </c>
      <c r="AJ183" s="30">
        <v>2.1619999999999999</v>
      </c>
      <c r="AK183" s="30">
        <v>2.169</v>
      </c>
      <c r="AL183" s="30">
        <v>2.1680000000000001</v>
      </c>
      <c r="AM183" s="30">
        <v>2.1669999999999998</v>
      </c>
      <c r="AN183" s="30">
        <v>2.161</v>
      </c>
      <c r="AO183" s="30">
        <v>2.16</v>
      </c>
      <c r="AP183" s="30">
        <v>2.1589999999999998</v>
      </c>
      <c r="AQ183" s="30">
        <v>2.1659999999999999</v>
      </c>
      <c r="AR183" s="30">
        <v>2.161</v>
      </c>
      <c r="AS183" s="30">
        <v>2.1629999999999998</v>
      </c>
      <c r="AT183" s="30">
        <v>2.1640000000000001</v>
      </c>
      <c r="AU183" s="30">
        <v>2.1619999999999999</v>
      </c>
      <c r="AV183" s="30">
        <v>2.161</v>
      </c>
      <c r="AW183" s="30">
        <v>2.1629999999999998</v>
      </c>
    </row>
    <row r="184" spans="1:49" ht="18" customHeight="1">
      <c r="A184" s="23"/>
      <c r="B184" s="19"/>
      <c r="C184" s="78" t="s">
        <v>115</v>
      </c>
      <c r="D184" s="35" t="s">
        <v>190</v>
      </c>
      <c r="E184" s="35"/>
      <c r="F184" s="29" t="s">
        <v>191</v>
      </c>
      <c r="G184" s="38">
        <v>2.14</v>
      </c>
      <c r="H184" s="38">
        <v>0.03</v>
      </c>
      <c r="I184" s="38">
        <v>0.03</v>
      </c>
      <c r="J184" s="38">
        <v>0.03</v>
      </c>
      <c r="K184" s="38">
        <v>0.03</v>
      </c>
      <c r="L184" s="30">
        <f t="shared" si="8"/>
        <v>2.169</v>
      </c>
      <c r="M184" s="30">
        <f t="shared" si="9"/>
        <v>2.1619999999999999</v>
      </c>
      <c r="N184" s="30">
        <f t="shared" si="10"/>
        <v>7.0000000000001172E-3</v>
      </c>
      <c r="O184" s="31">
        <f t="shared" si="11"/>
        <v>2.166199999999999</v>
      </c>
      <c r="P184" s="52"/>
      <c r="Q184" s="30">
        <v>2.1640000000000001</v>
      </c>
      <c r="R184" s="30">
        <v>2.169</v>
      </c>
      <c r="S184" s="30">
        <v>2.1680000000000001</v>
      </c>
      <c r="T184" s="30">
        <v>2.1669999999999998</v>
      </c>
      <c r="U184" s="30">
        <v>2.1640000000000001</v>
      </c>
      <c r="V184" s="30">
        <v>2.1680000000000001</v>
      </c>
      <c r="W184" s="30">
        <v>2.1619999999999999</v>
      </c>
      <c r="X184" s="30">
        <v>2.1659999999999999</v>
      </c>
      <c r="Y184" s="30">
        <v>2.165</v>
      </c>
      <c r="Z184" s="30">
        <v>2.1640000000000001</v>
      </c>
      <c r="AA184" s="30">
        <v>2.165</v>
      </c>
      <c r="AB184" s="30">
        <v>2.1680000000000001</v>
      </c>
      <c r="AC184" s="30">
        <v>2.1680000000000001</v>
      </c>
      <c r="AD184" s="30">
        <v>2.1680000000000001</v>
      </c>
      <c r="AE184" s="30">
        <v>2.1669999999999998</v>
      </c>
      <c r="AF184" s="30">
        <v>2.1659999999999999</v>
      </c>
      <c r="AG184" s="30">
        <v>2.1669999999999998</v>
      </c>
      <c r="AH184" s="30">
        <v>2.1659999999999999</v>
      </c>
      <c r="AI184" s="30">
        <v>2.165</v>
      </c>
      <c r="AJ184" s="30">
        <v>2.165</v>
      </c>
      <c r="AK184" s="30">
        <v>2.1680000000000001</v>
      </c>
      <c r="AL184" s="30">
        <v>2.1669999999999998</v>
      </c>
      <c r="AM184" s="30">
        <v>2.1659999999999999</v>
      </c>
      <c r="AN184" s="30">
        <v>2.1640000000000001</v>
      </c>
      <c r="AO184" s="30">
        <v>2.169</v>
      </c>
      <c r="AP184" s="30">
        <v>2.1640000000000001</v>
      </c>
      <c r="AQ184" s="30">
        <v>2.1640000000000001</v>
      </c>
      <c r="AR184" s="30">
        <v>2.169</v>
      </c>
      <c r="AS184" s="30">
        <v>2.1659999999999999</v>
      </c>
      <c r="AT184" s="30">
        <v>2.1669999999999998</v>
      </c>
      <c r="AU184" s="30">
        <v>2.1680000000000001</v>
      </c>
      <c r="AV184" s="30">
        <v>2.1640000000000001</v>
      </c>
      <c r="AW184" s="30">
        <v>2.1659999999999999</v>
      </c>
    </row>
    <row r="185" spans="1:49" ht="18" customHeight="1">
      <c r="A185" s="23"/>
      <c r="B185" s="19"/>
      <c r="C185" s="75" t="s">
        <v>65</v>
      </c>
      <c r="D185" s="35" t="s">
        <v>192</v>
      </c>
      <c r="E185" s="35"/>
      <c r="F185" s="29" t="s">
        <v>193</v>
      </c>
      <c r="G185" s="38">
        <v>78.16</v>
      </c>
      <c r="H185" s="38">
        <v>0.1</v>
      </c>
      <c r="I185" s="38">
        <v>0.1</v>
      </c>
      <c r="J185" s="38">
        <v>0.1</v>
      </c>
      <c r="K185" s="38">
        <v>0.1</v>
      </c>
      <c r="L185" s="30">
        <f t="shared" si="8"/>
        <v>78.150000000000006</v>
      </c>
      <c r="M185" s="30">
        <f t="shared" si="9"/>
        <v>78.102999999999994</v>
      </c>
      <c r="N185" s="30">
        <f t="shared" si="10"/>
        <v>4.7000000000011255E-2</v>
      </c>
      <c r="O185" s="31">
        <f t="shared" si="11"/>
        <v>78.128400000000028</v>
      </c>
      <c r="P185" s="52"/>
      <c r="Q185" s="30">
        <v>78.138000000000005</v>
      </c>
      <c r="R185" s="30">
        <v>78.132999999999996</v>
      </c>
      <c r="S185" s="30">
        <v>78.135999999999996</v>
      </c>
      <c r="T185" s="30">
        <v>78.114000000000004</v>
      </c>
      <c r="U185" s="30">
        <v>78.114999999999995</v>
      </c>
      <c r="V185" s="30">
        <v>78.132000000000005</v>
      </c>
      <c r="W185" s="30">
        <v>78.131</v>
      </c>
      <c r="X185" s="30">
        <v>78.132999999999996</v>
      </c>
      <c r="Y185" s="30">
        <v>78.132000000000005</v>
      </c>
      <c r="Z185" s="30">
        <v>78.122</v>
      </c>
      <c r="AA185" s="30">
        <v>78.132999999999996</v>
      </c>
      <c r="AB185" s="30">
        <v>78.138999999999996</v>
      </c>
      <c r="AC185" s="30">
        <v>78.144999999999996</v>
      </c>
      <c r="AD185" s="30">
        <v>78.143000000000001</v>
      </c>
      <c r="AE185" s="30">
        <v>78.146000000000001</v>
      </c>
      <c r="AF185" s="30">
        <v>78.12</v>
      </c>
      <c r="AG185" s="30">
        <v>78.132999999999996</v>
      </c>
      <c r="AH185" s="30">
        <v>78.119</v>
      </c>
      <c r="AI185" s="30">
        <v>78.108999999999995</v>
      </c>
      <c r="AJ185" s="30">
        <v>78.123000000000005</v>
      </c>
      <c r="AK185" s="30">
        <v>78.114999999999995</v>
      </c>
      <c r="AL185" s="30">
        <v>78.150000000000006</v>
      </c>
      <c r="AM185" s="30">
        <v>78.123999999999995</v>
      </c>
      <c r="AN185" s="30">
        <v>78.102999999999994</v>
      </c>
      <c r="AO185" s="30">
        <v>78.128</v>
      </c>
      <c r="AP185" s="30">
        <v>78.138999999999996</v>
      </c>
      <c r="AQ185" s="30">
        <v>78.126000000000005</v>
      </c>
      <c r="AR185" s="30">
        <v>78.128</v>
      </c>
      <c r="AS185" s="30">
        <v>78.137</v>
      </c>
      <c r="AT185" s="30">
        <v>78.105999999999995</v>
      </c>
      <c r="AU185" s="30">
        <v>78.144999999999996</v>
      </c>
      <c r="AV185" s="30">
        <v>78.132999999999996</v>
      </c>
      <c r="AW185" s="30">
        <v>78.119</v>
      </c>
    </row>
    <row r="186" spans="1:49" ht="18" customHeight="1">
      <c r="A186" s="23"/>
      <c r="B186" s="19"/>
      <c r="C186" s="75" t="s">
        <v>65</v>
      </c>
      <c r="D186" s="35" t="s">
        <v>194</v>
      </c>
      <c r="E186" s="35"/>
      <c r="F186" s="29" t="s">
        <v>195</v>
      </c>
      <c r="G186" s="38">
        <v>78.16</v>
      </c>
      <c r="H186" s="38">
        <v>0.1</v>
      </c>
      <c r="I186" s="38">
        <v>0.1</v>
      </c>
      <c r="J186" s="38">
        <v>0.1</v>
      </c>
      <c r="K186" s="38">
        <v>0.1</v>
      </c>
      <c r="L186" s="30">
        <f t="shared" si="8"/>
        <v>78.236999999999995</v>
      </c>
      <c r="M186" s="30">
        <f t="shared" si="9"/>
        <v>78.072000000000003</v>
      </c>
      <c r="N186" s="30">
        <f t="shared" si="10"/>
        <v>0.16499999999999204</v>
      </c>
      <c r="O186" s="31">
        <f t="shared" si="11"/>
        <v>78.111233333333317</v>
      </c>
      <c r="P186" s="52"/>
      <c r="Q186" s="30">
        <v>78.100999999999999</v>
      </c>
      <c r="R186" s="30">
        <v>78.102000000000004</v>
      </c>
      <c r="S186" s="30">
        <v>78.103999999999999</v>
      </c>
      <c r="T186" s="30">
        <v>78.088999999999999</v>
      </c>
      <c r="U186" s="30">
        <v>78.093000000000004</v>
      </c>
      <c r="V186" s="30">
        <v>78.102000000000004</v>
      </c>
      <c r="W186" s="30">
        <v>78.099000000000004</v>
      </c>
      <c r="X186" s="30">
        <v>78.097999999999999</v>
      </c>
      <c r="Y186" s="30">
        <v>78.105000000000004</v>
      </c>
      <c r="Z186" s="30">
        <v>78.096999999999994</v>
      </c>
      <c r="AA186" s="30">
        <v>78.078999999999994</v>
      </c>
      <c r="AB186" s="30">
        <v>78.106999999999999</v>
      </c>
      <c r="AC186" s="30">
        <v>78.108999999999995</v>
      </c>
      <c r="AD186" s="30">
        <v>78.111999999999995</v>
      </c>
      <c r="AE186" s="30">
        <v>78.111999999999995</v>
      </c>
      <c r="AF186" s="30">
        <v>78.103999999999999</v>
      </c>
      <c r="AG186" s="30">
        <v>78.105999999999995</v>
      </c>
      <c r="AH186" s="30">
        <v>78.088999999999999</v>
      </c>
      <c r="AI186" s="30">
        <v>78.08</v>
      </c>
      <c r="AJ186" s="30">
        <v>78.087000000000003</v>
      </c>
      <c r="AK186" s="30">
        <v>78.088999999999999</v>
      </c>
      <c r="AL186" s="30">
        <v>78.11</v>
      </c>
      <c r="AM186" s="30">
        <v>78.233000000000004</v>
      </c>
      <c r="AN186" s="30">
        <v>78.224999999999994</v>
      </c>
      <c r="AO186" s="30">
        <v>78.094999999999999</v>
      </c>
      <c r="AP186" s="30">
        <v>78.099999999999994</v>
      </c>
      <c r="AQ186" s="30">
        <v>78.236999999999995</v>
      </c>
      <c r="AR186" s="30">
        <v>78.094999999999999</v>
      </c>
      <c r="AS186" s="30">
        <v>78.105999999999995</v>
      </c>
      <c r="AT186" s="30">
        <v>78.072000000000003</v>
      </c>
      <c r="AU186" s="30">
        <v>78.108000000000004</v>
      </c>
      <c r="AV186" s="30">
        <v>78.102000000000004</v>
      </c>
      <c r="AW186" s="30">
        <v>78.227999999999994</v>
      </c>
    </row>
    <row r="187" spans="1:49" ht="18" customHeight="1">
      <c r="A187" s="23"/>
      <c r="B187" s="19"/>
      <c r="C187" s="75" t="s">
        <v>65</v>
      </c>
      <c r="D187" s="35" t="s">
        <v>196</v>
      </c>
      <c r="E187" s="35"/>
      <c r="F187" s="29" t="s">
        <v>197</v>
      </c>
      <c r="G187" s="38">
        <v>78.16</v>
      </c>
      <c r="H187" s="38">
        <v>0.1</v>
      </c>
      <c r="I187" s="38">
        <v>0.1</v>
      </c>
      <c r="J187" s="38">
        <v>0.1</v>
      </c>
      <c r="K187" s="38">
        <v>0.1</v>
      </c>
      <c r="L187" s="30">
        <f t="shared" si="8"/>
        <v>78.117999999999995</v>
      </c>
      <c r="M187" s="30">
        <f t="shared" si="9"/>
        <v>78.069000000000003</v>
      </c>
      <c r="N187" s="30">
        <f t="shared" si="10"/>
        <v>4.8999999999992383E-2</v>
      </c>
      <c r="O187" s="31">
        <f t="shared" si="11"/>
        <v>78.093433333333323</v>
      </c>
      <c r="P187" s="52"/>
      <c r="Q187" s="30">
        <v>78.084999999999994</v>
      </c>
      <c r="R187" s="30">
        <v>78.084000000000003</v>
      </c>
      <c r="S187" s="30">
        <v>78.084000000000003</v>
      </c>
      <c r="T187" s="30">
        <v>78.069000000000003</v>
      </c>
      <c r="U187" s="30">
        <v>78.099999999999994</v>
      </c>
      <c r="V187" s="30">
        <v>78.081999999999994</v>
      </c>
      <c r="W187" s="30">
        <v>78.087999999999994</v>
      </c>
      <c r="X187" s="30">
        <v>78.08</v>
      </c>
      <c r="Y187" s="30">
        <v>78.08</v>
      </c>
      <c r="Z187" s="30">
        <v>78.078999999999994</v>
      </c>
      <c r="AA187" s="30">
        <v>78.111000000000004</v>
      </c>
      <c r="AB187" s="30">
        <v>78.090999999999994</v>
      </c>
      <c r="AC187" s="30">
        <v>78.102000000000004</v>
      </c>
      <c r="AD187" s="30">
        <v>78.090999999999994</v>
      </c>
      <c r="AE187" s="30">
        <v>78.096000000000004</v>
      </c>
      <c r="AF187" s="30">
        <v>78.088999999999999</v>
      </c>
      <c r="AG187" s="30">
        <v>78.09</v>
      </c>
      <c r="AH187" s="30">
        <v>78.085999999999999</v>
      </c>
      <c r="AI187" s="30">
        <v>78.084000000000003</v>
      </c>
      <c r="AJ187" s="30">
        <v>78.102999999999994</v>
      </c>
      <c r="AK187" s="30">
        <v>78.100999999999999</v>
      </c>
      <c r="AL187" s="30">
        <v>78.117999999999995</v>
      </c>
      <c r="AM187" s="30">
        <v>78.100999999999999</v>
      </c>
      <c r="AN187" s="30">
        <v>78.087999999999994</v>
      </c>
      <c r="AO187" s="30">
        <v>78.11</v>
      </c>
      <c r="AP187" s="30">
        <v>78.11</v>
      </c>
      <c r="AQ187" s="30">
        <v>78.100999999999999</v>
      </c>
      <c r="AR187" s="30">
        <v>78.102999999999994</v>
      </c>
      <c r="AS187" s="30">
        <v>78.111999999999995</v>
      </c>
      <c r="AT187" s="30">
        <v>78.084999999999994</v>
      </c>
      <c r="AU187" s="30">
        <v>78.120999999999995</v>
      </c>
      <c r="AV187" s="30">
        <v>78.111000000000004</v>
      </c>
      <c r="AW187" s="30">
        <v>78.090999999999994</v>
      </c>
    </row>
    <row r="188" spans="1:49" ht="18" customHeight="1">
      <c r="A188" s="23"/>
      <c r="B188" s="19"/>
      <c r="C188" s="75" t="s">
        <v>65</v>
      </c>
      <c r="D188" s="35" t="s">
        <v>198</v>
      </c>
      <c r="E188" s="35"/>
      <c r="F188" s="29" t="s">
        <v>199</v>
      </c>
      <c r="G188" s="38">
        <v>78.16</v>
      </c>
      <c r="H188" s="38">
        <v>0.1</v>
      </c>
      <c r="I188" s="38">
        <v>0.1</v>
      </c>
      <c r="J188" s="38">
        <v>0.1</v>
      </c>
      <c r="K188" s="38">
        <v>0.1</v>
      </c>
      <c r="L188" s="30">
        <f t="shared" si="8"/>
        <v>78.197999999999993</v>
      </c>
      <c r="M188" s="30">
        <f t="shared" si="9"/>
        <v>78.144999999999996</v>
      </c>
      <c r="N188" s="30">
        <f t="shared" si="10"/>
        <v>5.2999999999997272E-2</v>
      </c>
      <c r="O188" s="31">
        <f t="shared" si="11"/>
        <v>78.176566666666673</v>
      </c>
      <c r="P188" s="52"/>
      <c r="Q188" s="30">
        <v>78.194000000000003</v>
      </c>
      <c r="R188" s="30">
        <v>78.191000000000003</v>
      </c>
      <c r="S188" s="30">
        <v>78.182000000000002</v>
      </c>
      <c r="T188" s="30">
        <v>78.168999999999997</v>
      </c>
      <c r="U188" s="30">
        <v>78.173000000000002</v>
      </c>
      <c r="V188" s="30">
        <v>78.180000000000007</v>
      </c>
      <c r="W188" s="30">
        <v>78.186000000000007</v>
      </c>
      <c r="X188" s="30">
        <v>78.19</v>
      </c>
      <c r="Y188" s="30">
        <v>78.183000000000007</v>
      </c>
      <c r="Z188" s="30">
        <v>78.186000000000007</v>
      </c>
      <c r="AA188" s="30">
        <v>78.174000000000007</v>
      </c>
      <c r="AB188" s="30">
        <v>78.197999999999993</v>
      </c>
      <c r="AC188" s="30">
        <v>78.194999999999993</v>
      </c>
      <c r="AD188" s="30">
        <v>78.191999999999993</v>
      </c>
      <c r="AE188" s="30">
        <v>78.194000000000003</v>
      </c>
      <c r="AF188" s="30">
        <v>78.180000000000007</v>
      </c>
      <c r="AG188" s="30">
        <v>78.177999999999997</v>
      </c>
      <c r="AH188" s="30">
        <v>78.171999999999997</v>
      </c>
      <c r="AI188" s="30">
        <v>78.165000000000006</v>
      </c>
      <c r="AJ188" s="30">
        <v>78.174000000000007</v>
      </c>
      <c r="AK188" s="30">
        <v>78.16</v>
      </c>
      <c r="AL188" s="30">
        <v>78.182000000000002</v>
      </c>
      <c r="AM188" s="30">
        <v>78.165999999999997</v>
      </c>
      <c r="AN188" s="30">
        <v>78.144999999999996</v>
      </c>
      <c r="AO188" s="30">
        <v>78.171000000000006</v>
      </c>
      <c r="AP188" s="30">
        <v>78.168000000000006</v>
      </c>
      <c r="AQ188" s="30">
        <v>78.168000000000006</v>
      </c>
      <c r="AR188" s="30">
        <v>78.162000000000006</v>
      </c>
      <c r="AS188" s="30">
        <v>78.171000000000006</v>
      </c>
      <c r="AT188" s="30">
        <v>78.147999999999996</v>
      </c>
      <c r="AU188" s="30">
        <v>78.195999999999998</v>
      </c>
      <c r="AV188" s="30">
        <v>78.180000000000007</v>
      </c>
      <c r="AW188" s="30">
        <v>78.161000000000001</v>
      </c>
    </row>
    <row r="189" spans="1:49" ht="18" customHeight="1">
      <c r="A189" s="23"/>
      <c r="B189" s="19"/>
      <c r="C189" s="75" t="s">
        <v>65</v>
      </c>
      <c r="D189" s="35" t="s">
        <v>200</v>
      </c>
      <c r="E189" s="35"/>
      <c r="F189" s="29" t="s">
        <v>201</v>
      </c>
      <c r="G189" s="38">
        <v>4.03</v>
      </c>
      <c r="H189" s="38">
        <v>0.03</v>
      </c>
      <c r="I189" s="38">
        <v>0.03</v>
      </c>
      <c r="J189" s="38">
        <v>0.03</v>
      </c>
      <c r="K189" s="38">
        <v>0.03</v>
      </c>
      <c r="L189" s="30">
        <f t="shared" si="8"/>
        <v>4.0229999999999997</v>
      </c>
      <c r="M189" s="30">
        <f t="shared" si="9"/>
        <v>4.0149999999999997</v>
      </c>
      <c r="N189" s="30">
        <f t="shared" si="10"/>
        <v>8.0000000000000071E-3</v>
      </c>
      <c r="O189" s="31">
        <f t="shared" si="11"/>
        <v>4.0198333333333336</v>
      </c>
      <c r="P189" s="52"/>
      <c r="Q189" s="30">
        <v>4.0199999999999996</v>
      </c>
      <c r="R189" s="30">
        <v>4.0220000000000002</v>
      </c>
      <c r="S189" s="30">
        <v>4.0220000000000002</v>
      </c>
      <c r="T189" s="30">
        <v>4.0220000000000002</v>
      </c>
      <c r="U189" s="30">
        <v>4.0190000000000001</v>
      </c>
      <c r="V189" s="30">
        <v>4.0179999999999998</v>
      </c>
      <c r="W189" s="30">
        <v>4.0199999999999996</v>
      </c>
      <c r="X189" s="30">
        <v>4.0190000000000001</v>
      </c>
      <c r="Y189" s="30">
        <v>4.0190000000000001</v>
      </c>
      <c r="Z189" s="30">
        <v>4.0199999999999996</v>
      </c>
      <c r="AA189" s="30">
        <v>4.0149999999999997</v>
      </c>
      <c r="AB189" s="30">
        <v>4.016</v>
      </c>
      <c r="AC189" s="30">
        <v>4.0149999999999997</v>
      </c>
      <c r="AD189" s="30">
        <v>4.0209999999999999</v>
      </c>
      <c r="AE189" s="30">
        <v>4.0190000000000001</v>
      </c>
      <c r="AF189" s="30">
        <v>4.0209999999999999</v>
      </c>
      <c r="AG189" s="30">
        <v>4.0190000000000001</v>
      </c>
      <c r="AH189" s="30">
        <v>4.0229999999999997</v>
      </c>
      <c r="AI189" s="30">
        <v>4.0229999999999997</v>
      </c>
      <c r="AJ189" s="30">
        <v>4.0220000000000002</v>
      </c>
      <c r="AK189" s="30">
        <v>4.0220000000000002</v>
      </c>
      <c r="AL189" s="30">
        <v>4.0190000000000001</v>
      </c>
      <c r="AM189" s="30">
        <v>4.0209999999999999</v>
      </c>
      <c r="AN189" s="30">
        <v>4.0229999999999997</v>
      </c>
      <c r="AO189" s="30">
        <v>4.0199999999999996</v>
      </c>
      <c r="AP189" s="30">
        <v>4.0190000000000001</v>
      </c>
      <c r="AQ189" s="30">
        <v>4.0190000000000001</v>
      </c>
      <c r="AR189" s="30">
        <v>4.0190000000000001</v>
      </c>
      <c r="AS189" s="30">
        <v>4.0179999999999998</v>
      </c>
      <c r="AT189" s="30">
        <v>4.0199999999999996</v>
      </c>
      <c r="AU189" s="30">
        <v>4.0179999999999998</v>
      </c>
      <c r="AV189" s="30">
        <v>4.0190000000000001</v>
      </c>
      <c r="AW189" s="30">
        <v>4.0199999999999996</v>
      </c>
    </row>
    <row r="190" spans="1:49" ht="18" customHeight="1">
      <c r="A190" s="23"/>
      <c r="B190" s="19"/>
      <c r="C190" s="75" t="s">
        <v>65</v>
      </c>
      <c r="D190" s="35" t="s">
        <v>202</v>
      </c>
      <c r="E190" s="35"/>
      <c r="F190" s="29" t="s">
        <v>203</v>
      </c>
      <c r="G190" s="38">
        <v>1.08</v>
      </c>
      <c r="H190" s="38">
        <v>0.08</v>
      </c>
      <c r="I190" s="38">
        <v>0.08</v>
      </c>
      <c r="J190" s="38">
        <v>0.08</v>
      </c>
      <c r="K190" s="38">
        <v>0.08</v>
      </c>
      <c r="L190" s="30">
        <f t="shared" si="8"/>
        <v>1.1599999999999999</v>
      </c>
      <c r="M190" s="30">
        <f t="shared" si="9"/>
        <v>1.1499999999999999</v>
      </c>
      <c r="N190" s="30">
        <f t="shared" si="10"/>
        <v>1.0000000000000009E-2</v>
      </c>
      <c r="O190" s="31">
        <f t="shared" si="11"/>
        <v>1.1556999999999999</v>
      </c>
      <c r="P190" s="52"/>
      <c r="Q190" s="30">
        <v>1.1559999999999999</v>
      </c>
      <c r="R190" s="30">
        <v>1.157</v>
      </c>
      <c r="S190" s="30">
        <v>1.153</v>
      </c>
      <c r="T190" s="30">
        <v>1.1559999999999999</v>
      </c>
      <c r="U190" s="30">
        <v>1.1579999999999999</v>
      </c>
      <c r="V190" s="30">
        <v>1.1599999999999999</v>
      </c>
      <c r="W190" s="30">
        <v>1.157</v>
      </c>
      <c r="X190" s="30">
        <v>1.1519999999999999</v>
      </c>
      <c r="Y190" s="30">
        <v>1.155</v>
      </c>
      <c r="Z190" s="30">
        <v>1.1579999999999999</v>
      </c>
      <c r="AA190" s="30">
        <v>1.1499999999999999</v>
      </c>
      <c r="AB190" s="30">
        <v>1.1579999999999999</v>
      </c>
      <c r="AC190" s="30">
        <v>1.1579999999999999</v>
      </c>
      <c r="AD190" s="30">
        <v>1.153</v>
      </c>
      <c r="AE190" s="30">
        <v>1.157</v>
      </c>
      <c r="AF190" s="30">
        <v>1.1519999999999999</v>
      </c>
      <c r="AG190" s="30">
        <v>1.151</v>
      </c>
      <c r="AH190" s="30">
        <v>1.1559999999999999</v>
      </c>
      <c r="AI190" s="30">
        <v>1.1559999999999999</v>
      </c>
      <c r="AJ190" s="30">
        <v>1.155</v>
      </c>
      <c r="AK190" s="30">
        <v>1.159</v>
      </c>
      <c r="AL190" s="30">
        <v>1.159</v>
      </c>
      <c r="AM190" s="30">
        <v>1.157</v>
      </c>
      <c r="AN190" s="30">
        <v>1.1539999999999999</v>
      </c>
      <c r="AO190" s="30">
        <v>1.1599999999999999</v>
      </c>
      <c r="AP190" s="30">
        <v>1.1559999999999999</v>
      </c>
      <c r="AQ190" s="30">
        <v>1.155</v>
      </c>
      <c r="AR190" s="30">
        <v>1.1559999999999999</v>
      </c>
      <c r="AS190" s="30">
        <v>1.1539999999999999</v>
      </c>
      <c r="AT190" s="30">
        <v>1.153</v>
      </c>
      <c r="AU190" s="30">
        <v>1.1539999999999999</v>
      </c>
      <c r="AV190" s="30">
        <v>1.153</v>
      </c>
      <c r="AW190" s="30">
        <v>1.151</v>
      </c>
    </row>
    <row r="191" spans="1:49" ht="18" customHeight="1">
      <c r="A191" s="23"/>
      <c r="B191" s="19"/>
      <c r="C191" s="75" t="s">
        <v>65</v>
      </c>
      <c r="D191" s="35" t="s">
        <v>204</v>
      </c>
      <c r="E191" s="35"/>
      <c r="F191" s="29" t="s">
        <v>205</v>
      </c>
      <c r="G191" s="38">
        <v>1.08</v>
      </c>
      <c r="H191" s="38">
        <v>0.08</v>
      </c>
      <c r="I191" s="38">
        <v>0.08</v>
      </c>
      <c r="J191" s="38">
        <v>0.08</v>
      </c>
      <c r="K191" s="38">
        <v>0.08</v>
      </c>
      <c r="L191" s="30">
        <f t="shared" si="8"/>
        <v>1.1599999999999999</v>
      </c>
      <c r="M191" s="30">
        <f t="shared" si="9"/>
        <v>1.1459999999999999</v>
      </c>
      <c r="N191" s="30">
        <f t="shared" si="10"/>
        <v>1.4000000000000012E-2</v>
      </c>
      <c r="O191" s="31">
        <f t="shared" si="11"/>
        <v>1.1517333333333331</v>
      </c>
      <c r="P191" s="52"/>
      <c r="Q191" s="30">
        <v>1.153</v>
      </c>
      <c r="R191" s="30">
        <v>1.1559999999999999</v>
      </c>
      <c r="S191" s="30">
        <v>1.155</v>
      </c>
      <c r="T191" s="30">
        <v>1.1539999999999999</v>
      </c>
      <c r="U191" s="30">
        <v>1.1599999999999999</v>
      </c>
      <c r="V191" s="30">
        <v>1.155</v>
      </c>
      <c r="W191" s="30">
        <v>1.1579999999999999</v>
      </c>
      <c r="X191" s="30">
        <v>1.151</v>
      </c>
      <c r="Y191" s="30">
        <v>1.151</v>
      </c>
      <c r="Z191" s="30">
        <v>1.151</v>
      </c>
      <c r="AA191" s="30">
        <v>1.149</v>
      </c>
      <c r="AB191" s="30">
        <v>1.1539999999999999</v>
      </c>
      <c r="AC191" s="30">
        <v>1.1499999999999999</v>
      </c>
      <c r="AD191" s="30">
        <v>1.1519999999999999</v>
      </c>
      <c r="AE191" s="30">
        <v>1.1519999999999999</v>
      </c>
      <c r="AF191" s="30">
        <v>1.151</v>
      </c>
      <c r="AG191" s="30">
        <v>1.151</v>
      </c>
      <c r="AH191" s="30">
        <v>1.1479999999999999</v>
      </c>
      <c r="AI191" s="30">
        <v>1.1459999999999999</v>
      </c>
      <c r="AJ191" s="30">
        <v>1.1499999999999999</v>
      </c>
      <c r="AK191" s="30">
        <v>1.149</v>
      </c>
      <c r="AL191" s="30">
        <v>1.1499999999999999</v>
      </c>
      <c r="AM191" s="30">
        <v>1.153</v>
      </c>
      <c r="AN191" s="30">
        <v>1.1479999999999999</v>
      </c>
      <c r="AO191" s="30">
        <v>1.1479999999999999</v>
      </c>
      <c r="AP191" s="30">
        <v>1.1479999999999999</v>
      </c>
      <c r="AQ191" s="30">
        <v>1.151</v>
      </c>
      <c r="AR191" s="30">
        <v>1.155</v>
      </c>
      <c r="AS191" s="30">
        <v>1.1499999999999999</v>
      </c>
      <c r="AT191" s="30">
        <v>1.153</v>
      </c>
      <c r="AU191" s="30">
        <v>1.1559999999999999</v>
      </c>
      <c r="AV191" s="30">
        <v>1.149</v>
      </c>
      <c r="AW191" s="30">
        <v>1.1519999999999999</v>
      </c>
    </row>
    <row r="192" spans="1:49" ht="18" customHeight="1">
      <c r="A192" s="23"/>
      <c r="B192" s="19"/>
      <c r="C192" s="75" t="s">
        <v>65</v>
      </c>
      <c r="D192" s="35" t="s">
        <v>206</v>
      </c>
      <c r="E192" s="35"/>
      <c r="F192" s="29" t="s">
        <v>207</v>
      </c>
      <c r="G192" s="38">
        <v>1.08</v>
      </c>
      <c r="H192" s="38">
        <v>0.08</v>
      </c>
      <c r="I192" s="38">
        <v>0.08</v>
      </c>
      <c r="J192" s="38">
        <v>0.08</v>
      </c>
      <c r="K192" s="38">
        <v>0.08</v>
      </c>
      <c r="L192" s="30">
        <f t="shared" si="8"/>
        <v>1.1599999999999999</v>
      </c>
      <c r="M192" s="30">
        <f t="shared" si="9"/>
        <v>1.1459999999999999</v>
      </c>
      <c r="N192" s="30">
        <f t="shared" si="10"/>
        <v>1.4000000000000012E-2</v>
      </c>
      <c r="O192" s="31">
        <f t="shared" si="11"/>
        <v>1.1538000000000002</v>
      </c>
      <c r="P192" s="52"/>
      <c r="Q192" s="30">
        <v>1.1459999999999999</v>
      </c>
      <c r="R192" s="30">
        <v>1.1519999999999999</v>
      </c>
      <c r="S192" s="30">
        <v>1.1579999999999999</v>
      </c>
      <c r="T192" s="30">
        <v>1.1499999999999999</v>
      </c>
      <c r="U192" s="30">
        <v>1.159</v>
      </c>
      <c r="V192" s="30">
        <v>1.159</v>
      </c>
      <c r="W192" s="30">
        <v>1.1579999999999999</v>
      </c>
      <c r="X192" s="30">
        <v>1.1599999999999999</v>
      </c>
      <c r="Y192" s="30">
        <v>1.1599999999999999</v>
      </c>
      <c r="Z192" s="30">
        <v>1.1599999999999999</v>
      </c>
      <c r="AA192" s="30">
        <v>1.159</v>
      </c>
      <c r="AB192" s="30">
        <v>1.1519999999999999</v>
      </c>
      <c r="AC192" s="30">
        <v>1.1599999999999999</v>
      </c>
      <c r="AD192" s="30">
        <v>1.1519999999999999</v>
      </c>
      <c r="AE192" s="30">
        <v>1.151</v>
      </c>
      <c r="AF192" s="30">
        <v>1.1599999999999999</v>
      </c>
      <c r="AG192" s="30">
        <v>1.151</v>
      </c>
      <c r="AH192" s="30">
        <v>1.159</v>
      </c>
      <c r="AI192" s="30">
        <v>1.1579999999999999</v>
      </c>
      <c r="AJ192" s="30">
        <v>1.1479999999999999</v>
      </c>
      <c r="AK192" s="30">
        <v>1.151</v>
      </c>
      <c r="AL192" s="30">
        <v>1.1519999999999999</v>
      </c>
      <c r="AM192" s="30">
        <v>1.1499999999999999</v>
      </c>
      <c r="AN192" s="30">
        <v>1.147</v>
      </c>
      <c r="AO192" s="30">
        <v>1.151</v>
      </c>
      <c r="AP192" s="30">
        <v>1.155</v>
      </c>
      <c r="AQ192" s="30">
        <v>1.1479999999999999</v>
      </c>
      <c r="AR192" s="30">
        <v>1.1479999999999999</v>
      </c>
      <c r="AS192" s="30">
        <v>1.149</v>
      </c>
      <c r="AT192" s="30">
        <v>1.151</v>
      </c>
      <c r="AU192" s="30">
        <v>1.1539999999999999</v>
      </c>
      <c r="AV192" s="30">
        <v>1.147</v>
      </c>
      <c r="AW192" s="30">
        <v>1.1499999999999999</v>
      </c>
    </row>
    <row r="193" spans="1:49" ht="18" customHeight="1">
      <c r="A193" s="23"/>
      <c r="B193" s="19"/>
      <c r="C193" s="75" t="s">
        <v>65</v>
      </c>
      <c r="D193" s="35" t="s">
        <v>208</v>
      </c>
      <c r="E193" s="35"/>
      <c r="F193" s="29" t="s">
        <v>209</v>
      </c>
      <c r="G193" s="38">
        <v>1.08</v>
      </c>
      <c r="H193" s="38">
        <v>0.08</v>
      </c>
      <c r="I193" s="38">
        <v>0.08</v>
      </c>
      <c r="J193" s="38">
        <v>0.08</v>
      </c>
      <c r="K193" s="38">
        <v>0.08</v>
      </c>
      <c r="L193" s="30">
        <f t="shared" si="8"/>
        <v>1.1579999999999999</v>
      </c>
      <c r="M193" s="30">
        <f t="shared" si="9"/>
        <v>1.149</v>
      </c>
      <c r="N193" s="30">
        <f t="shared" si="10"/>
        <v>8.999999999999897E-3</v>
      </c>
      <c r="O193" s="31">
        <f t="shared" si="11"/>
        <v>1.1532000000000004</v>
      </c>
      <c r="P193" s="52"/>
      <c r="Q193" s="30">
        <v>1.157</v>
      </c>
      <c r="R193" s="30">
        <v>1.1519999999999999</v>
      </c>
      <c r="S193" s="30">
        <v>1.1499999999999999</v>
      </c>
      <c r="T193" s="30">
        <v>1.1499999999999999</v>
      </c>
      <c r="U193" s="30">
        <v>1.153</v>
      </c>
      <c r="V193" s="30">
        <v>1.1579999999999999</v>
      </c>
      <c r="W193" s="30">
        <v>1.1519999999999999</v>
      </c>
      <c r="X193" s="30">
        <v>1.1519999999999999</v>
      </c>
      <c r="Y193" s="30">
        <v>1.1539999999999999</v>
      </c>
      <c r="Z193" s="30">
        <v>1.1559999999999999</v>
      </c>
      <c r="AA193" s="30">
        <v>1.151</v>
      </c>
      <c r="AB193" s="30">
        <v>1.1559999999999999</v>
      </c>
      <c r="AC193" s="30">
        <v>1.157</v>
      </c>
      <c r="AD193" s="30">
        <v>1.153</v>
      </c>
      <c r="AE193" s="30">
        <v>1.155</v>
      </c>
      <c r="AF193" s="30">
        <v>1.1519999999999999</v>
      </c>
      <c r="AG193" s="30">
        <v>1.151</v>
      </c>
      <c r="AH193" s="30">
        <v>1.155</v>
      </c>
      <c r="AI193" s="30">
        <v>1.155</v>
      </c>
      <c r="AJ193" s="30">
        <v>1.153</v>
      </c>
      <c r="AK193" s="30">
        <v>1.1579999999999999</v>
      </c>
      <c r="AL193" s="30">
        <v>1.151</v>
      </c>
      <c r="AM193" s="30">
        <v>1.1539999999999999</v>
      </c>
      <c r="AN193" s="30">
        <v>1.1519999999999999</v>
      </c>
      <c r="AO193" s="30">
        <v>1.1519999999999999</v>
      </c>
      <c r="AP193" s="30">
        <v>1.1519999999999999</v>
      </c>
      <c r="AQ193" s="30">
        <v>1.1519999999999999</v>
      </c>
      <c r="AR193" s="30">
        <v>1.1519999999999999</v>
      </c>
      <c r="AS193" s="30">
        <v>1.1519999999999999</v>
      </c>
      <c r="AT193" s="30">
        <v>1.149</v>
      </c>
      <c r="AU193" s="30">
        <v>1.153</v>
      </c>
      <c r="AV193" s="30">
        <v>1.1499999999999999</v>
      </c>
      <c r="AW193" s="30">
        <v>1.147</v>
      </c>
    </row>
    <row r="194" spans="1:49" ht="18" customHeight="1">
      <c r="A194" s="23"/>
      <c r="B194" s="19"/>
      <c r="C194" s="75" t="s">
        <v>65</v>
      </c>
      <c r="D194" s="35" t="s">
        <v>210</v>
      </c>
      <c r="E194" s="35"/>
      <c r="F194" s="29" t="s">
        <v>211</v>
      </c>
      <c r="G194" s="38">
        <v>1.08</v>
      </c>
      <c r="H194" s="38">
        <v>0.08</v>
      </c>
      <c r="I194" s="38">
        <v>0.08</v>
      </c>
      <c r="J194" s="38">
        <v>0.08</v>
      </c>
      <c r="K194" s="38">
        <v>0.08</v>
      </c>
      <c r="L194" s="30">
        <f t="shared" si="8"/>
        <v>1.1599999999999999</v>
      </c>
      <c r="M194" s="30">
        <f t="shared" si="9"/>
        <v>1.151</v>
      </c>
      <c r="N194" s="30">
        <f t="shared" si="10"/>
        <v>8.999999999999897E-3</v>
      </c>
      <c r="O194" s="31">
        <f t="shared" si="11"/>
        <v>1.1561333333333332</v>
      </c>
      <c r="P194" s="52"/>
      <c r="Q194" s="30">
        <v>1.1579999999999999</v>
      </c>
      <c r="R194" s="30">
        <v>1.1579999999999999</v>
      </c>
      <c r="S194" s="30">
        <v>1.151</v>
      </c>
      <c r="T194" s="30">
        <v>1.157</v>
      </c>
      <c r="U194" s="30">
        <v>1.1539999999999999</v>
      </c>
      <c r="V194" s="30">
        <v>1.153</v>
      </c>
      <c r="W194" s="30">
        <v>1.1519999999999999</v>
      </c>
      <c r="X194" s="30">
        <v>1.157</v>
      </c>
      <c r="Y194" s="30">
        <v>1.157</v>
      </c>
      <c r="Z194" s="30">
        <v>1.157</v>
      </c>
      <c r="AA194" s="30">
        <v>1.155</v>
      </c>
      <c r="AB194" s="30">
        <v>1.1599999999999999</v>
      </c>
      <c r="AC194" s="30">
        <v>1.1559999999999999</v>
      </c>
      <c r="AD194" s="30">
        <v>1.1579999999999999</v>
      </c>
      <c r="AE194" s="30">
        <v>1.1579999999999999</v>
      </c>
      <c r="AF194" s="30">
        <v>1.157</v>
      </c>
      <c r="AG194" s="30">
        <v>1.1559999999999999</v>
      </c>
      <c r="AH194" s="30">
        <v>1.1539999999999999</v>
      </c>
      <c r="AI194" s="30">
        <v>1.155</v>
      </c>
      <c r="AJ194" s="30">
        <v>1.155</v>
      </c>
      <c r="AK194" s="30">
        <v>1.1579999999999999</v>
      </c>
      <c r="AL194" s="30">
        <v>1.1519999999999999</v>
      </c>
      <c r="AM194" s="30">
        <v>1.1579999999999999</v>
      </c>
      <c r="AN194" s="30">
        <v>1.1539999999999999</v>
      </c>
      <c r="AO194" s="30">
        <v>1.153</v>
      </c>
      <c r="AP194" s="30">
        <v>1.1559999999999999</v>
      </c>
      <c r="AQ194" s="30">
        <v>1.157</v>
      </c>
      <c r="AR194" s="30">
        <v>1.159</v>
      </c>
      <c r="AS194" s="30">
        <v>1.159</v>
      </c>
      <c r="AT194" s="30">
        <v>1.1599999999999999</v>
      </c>
      <c r="AU194" s="30">
        <v>1.1539999999999999</v>
      </c>
      <c r="AV194" s="30">
        <v>1.157</v>
      </c>
      <c r="AW194" s="30">
        <v>1.1579999999999999</v>
      </c>
    </row>
    <row r="195" spans="1:49" ht="18" customHeight="1">
      <c r="A195" s="23"/>
      <c r="B195" s="19"/>
      <c r="C195" s="75" t="s">
        <v>65</v>
      </c>
      <c r="D195" s="35" t="s">
        <v>398</v>
      </c>
      <c r="E195" s="35"/>
      <c r="F195" s="29" t="s">
        <v>213</v>
      </c>
      <c r="G195" s="38">
        <v>0.28000000000000003</v>
      </c>
      <c r="H195" s="38">
        <v>0.05</v>
      </c>
      <c r="I195" s="38">
        <v>0.05</v>
      </c>
      <c r="J195" s="38">
        <v>0.05</v>
      </c>
      <c r="K195" s="38">
        <v>0.05</v>
      </c>
      <c r="L195" s="30">
        <f t="shared" si="8"/>
        <v>0.32100000000000001</v>
      </c>
      <c r="M195" s="30">
        <f t="shared" si="9"/>
        <v>0.313</v>
      </c>
      <c r="N195" s="30">
        <f t="shared" si="10"/>
        <v>8.0000000000000071E-3</v>
      </c>
      <c r="O195" s="31">
        <f t="shared" si="11"/>
        <v>0.31690000000000002</v>
      </c>
      <c r="P195" s="52"/>
      <c r="Q195" s="30">
        <v>0.316</v>
      </c>
      <c r="R195" s="30">
        <v>0.317</v>
      </c>
      <c r="S195" s="30">
        <v>0.32</v>
      </c>
      <c r="T195" s="30">
        <v>0.315</v>
      </c>
      <c r="U195" s="30">
        <v>0.31900000000000001</v>
      </c>
      <c r="V195" s="30">
        <v>0.318</v>
      </c>
      <c r="W195" s="30">
        <v>0.318</v>
      </c>
      <c r="X195" s="30">
        <v>0.316</v>
      </c>
      <c r="Y195" s="30">
        <v>0.317</v>
      </c>
      <c r="Z195" s="30">
        <v>0.318</v>
      </c>
      <c r="AA195" s="30">
        <v>0.314</v>
      </c>
      <c r="AB195" s="30">
        <v>0.31900000000000001</v>
      </c>
      <c r="AC195" s="30">
        <v>0.315</v>
      </c>
      <c r="AD195" s="30">
        <v>0.317</v>
      </c>
      <c r="AE195" s="30">
        <v>0.318</v>
      </c>
      <c r="AF195" s="30">
        <v>0.316</v>
      </c>
      <c r="AG195" s="30">
        <v>0.316</v>
      </c>
      <c r="AH195" s="30">
        <v>0.314</v>
      </c>
      <c r="AI195" s="30">
        <v>0.313</v>
      </c>
      <c r="AJ195" s="30">
        <v>0.316</v>
      </c>
      <c r="AK195" s="30">
        <v>0.316</v>
      </c>
      <c r="AL195" s="30">
        <v>0.317</v>
      </c>
      <c r="AM195" s="30">
        <v>0.318</v>
      </c>
      <c r="AN195" s="30">
        <v>0.315</v>
      </c>
      <c r="AO195" s="30">
        <v>0.313</v>
      </c>
      <c r="AP195" s="30">
        <v>0.32</v>
      </c>
      <c r="AQ195" s="30">
        <v>0.317</v>
      </c>
      <c r="AR195" s="30">
        <v>0.31900000000000001</v>
      </c>
      <c r="AS195" s="30">
        <v>0.32100000000000001</v>
      </c>
      <c r="AT195" s="30">
        <v>0.31900000000000001</v>
      </c>
      <c r="AU195" s="30">
        <v>0.318</v>
      </c>
      <c r="AV195" s="30">
        <v>0.31900000000000001</v>
      </c>
      <c r="AW195" s="30">
        <v>0.318</v>
      </c>
    </row>
    <row r="196" spans="1:49" ht="18" customHeight="1">
      <c r="A196" s="23"/>
      <c r="B196" s="19"/>
      <c r="C196" s="75" t="s">
        <v>65</v>
      </c>
      <c r="D196" s="35" t="s">
        <v>214</v>
      </c>
      <c r="E196" s="35"/>
      <c r="F196" s="29" t="s">
        <v>215</v>
      </c>
      <c r="G196" s="38">
        <v>0.56999999999999995</v>
      </c>
      <c r="H196" s="38">
        <v>0.08</v>
      </c>
      <c r="I196" s="38">
        <v>0.08</v>
      </c>
      <c r="J196" s="38">
        <v>0.08</v>
      </c>
      <c r="K196" s="38">
        <v>0.08</v>
      </c>
      <c r="L196" s="30">
        <f t="shared" si="8"/>
        <v>0.59799999999999998</v>
      </c>
      <c r="M196" s="30">
        <f t="shared" si="9"/>
        <v>0.57899999999999996</v>
      </c>
      <c r="N196" s="30">
        <f t="shared" si="10"/>
        <v>1.9000000000000017E-2</v>
      </c>
      <c r="O196" s="31">
        <f t="shared" si="11"/>
        <v>0.59053333333333335</v>
      </c>
      <c r="P196" s="52"/>
      <c r="Q196" s="30">
        <v>0.57899999999999996</v>
      </c>
      <c r="R196" s="30">
        <v>0.58499999999999996</v>
      </c>
      <c r="S196" s="30">
        <v>0.58799999999999997</v>
      </c>
      <c r="T196" s="30">
        <v>0.58399999999999996</v>
      </c>
      <c r="U196" s="30">
        <v>0.59</v>
      </c>
      <c r="V196" s="30">
        <v>0.58899999999999997</v>
      </c>
      <c r="W196" s="30">
        <v>0.58899999999999997</v>
      </c>
      <c r="X196" s="30">
        <v>0.58799999999999997</v>
      </c>
      <c r="Y196" s="30">
        <v>0.59199999999999997</v>
      </c>
      <c r="Z196" s="30">
        <v>0.59599999999999997</v>
      </c>
      <c r="AA196" s="30">
        <v>0.58599999999999997</v>
      </c>
      <c r="AB196" s="30">
        <v>0.59399999999999997</v>
      </c>
      <c r="AC196" s="30">
        <v>0.59099999999999997</v>
      </c>
      <c r="AD196" s="30">
        <v>0.58899999999999997</v>
      </c>
      <c r="AE196" s="30">
        <v>0.59299999999999997</v>
      </c>
      <c r="AF196" s="30">
        <v>0.59599999999999997</v>
      </c>
      <c r="AG196" s="30">
        <v>0.58699999999999997</v>
      </c>
      <c r="AH196" s="30">
        <v>0.58899999999999997</v>
      </c>
      <c r="AI196" s="30">
        <v>0.58799999999999997</v>
      </c>
      <c r="AJ196" s="30">
        <v>0.59</v>
      </c>
      <c r="AK196" s="30">
        <v>0.59099999999999997</v>
      </c>
      <c r="AL196" s="30">
        <v>0.59299999999999997</v>
      </c>
      <c r="AM196" s="30">
        <v>0.59299999999999997</v>
      </c>
      <c r="AN196" s="30">
        <v>0.58799999999999997</v>
      </c>
      <c r="AO196" s="30">
        <v>0.59299999999999997</v>
      </c>
      <c r="AP196" s="30">
        <v>0.59799999999999998</v>
      </c>
      <c r="AQ196" s="30">
        <v>0.59199999999999997</v>
      </c>
      <c r="AR196" s="30">
        <v>0.59699999999999998</v>
      </c>
      <c r="AS196" s="30">
        <v>0.59399999999999997</v>
      </c>
      <c r="AT196" s="30">
        <v>0.59399999999999997</v>
      </c>
      <c r="AU196" s="30">
        <v>0.59699999999999998</v>
      </c>
      <c r="AV196" s="30">
        <v>0.59199999999999997</v>
      </c>
      <c r="AW196" s="30">
        <v>0.59299999999999997</v>
      </c>
    </row>
    <row r="197" spans="1:49" ht="18" customHeight="1">
      <c r="A197" s="23"/>
      <c r="B197" s="19"/>
      <c r="C197" s="75" t="s">
        <v>65</v>
      </c>
      <c r="D197" s="35" t="s">
        <v>216</v>
      </c>
      <c r="E197" s="35"/>
      <c r="F197" s="29" t="s">
        <v>217</v>
      </c>
      <c r="G197" s="38">
        <v>35.479999999999997</v>
      </c>
      <c r="H197" s="38">
        <v>0.06</v>
      </c>
      <c r="I197" s="38">
        <v>0.06</v>
      </c>
      <c r="J197" s="38">
        <v>0.06</v>
      </c>
      <c r="K197" s="38">
        <v>0.06</v>
      </c>
      <c r="L197" s="30">
        <f t="shared" ref="L197:L244" si="12">MAX(Q197:AT197)</f>
        <v>35.5</v>
      </c>
      <c r="M197" s="30">
        <f t="shared" ref="M197:M244" si="13">MIN(Q197:AT197)</f>
        <v>35.487000000000002</v>
      </c>
      <c r="N197" s="30">
        <f t="shared" ref="N197:N260" si="14">L197-M197</f>
        <v>1.2999999999998124E-2</v>
      </c>
      <c r="O197" s="31">
        <f t="shared" ref="O197:O244" si="15">AVERAGE(Q197:AT197)</f>
        <v>35.494500000000002</v>
      </c>
      <c r="P197" s="52"/>
      <c r="Q197" s="30">
        <v>35.487000000000002</v>
      </c>
      <c r="R197" s="30">
        <v>35.491</v>
      </c>
      <c r="S197" s="30">
        <v>35.488999999999997</v>
      </c>
      <c r="T197" s="30">
        <v>35.488999999999997</v>
      </c>
      <c r="U197" s="30">
        <v>35.494</v>
      </c>
      <c r="V197" s="30">
        <v>35.496000000000002</v>
      </c>
      <c r="W197" s="30">
        <v>35.493000000000002</v>
      </c>
      <c r="X197" s="30">
        <v>35.493000000000002</v>
      </c>
      <c r="Y197" s="30">
        <v>35.496000000000002</v>
      </c>
      <c r="Z197" s="30">
        <v>35.499000000000002</v>
      </c>
      <c r="AA197" s="30">
        <v>35.491999999999997</v>
      </c>
      <c r="AB197" s="30">
        <v>35.499000000000002</v>
      </c>
      <c r="AC197" s="30">
        <v>35.494</v>
      </c>
      <c r="AD197" s="30">
        <v>35.494</v>
      </c>
      <c r="AE197" s="30">
        <v>35.497</v>
      </c>
      <c r="AF197" s="30">
        <v>35.499000000000002</v>
      </c>
      <c r="AG197" s="30">
        <v>35.491999999999997</v>
      </c>
      <c r="AH197" s="30">
        <v>35.493000000000002</v>
      </c>
      <c r="AI197" s="30">
        <v>35.491999999999997</v>
      </c>
      <c r="AJ197" s="30">
        <v>35.494</v>
      </c>
      <c r="AK197" s="30">
        <v>35.494</v>
      </c>
      <c r="AL197" s="30">
        <v>35.5</v>
      </c>
      <c r="AM197" s="30">
        <v>35.497999999999998</v>
      </c>
      <c r="AN197" s="30">
        <v>35.493000000000002</v>
      </c>
      <c r="AO197" s="30">
        <v>35.494</v>
      </c>
      <c r="AP197" s="30">
        <v>35.494999999999997</v>
      </c>
      <c r="AQ197" s="30">
        <v>35.496000000000002</v>
      </c>
      <c r="AR197" s="30">
        <v>35.499000000000002</v>
      </c>
      <c r="AS197" s="30">
        <v>35.497999999999998</v>
      </c>
      <c r="AT197" s="30">
        <v>35.494999999999997</v>
      </c>
      <c r="AU197" s="30">
        <v>35.494999999999997</v>
      </c>
      <c r="AV197" s="30">
        <v>35.496000000000002</v>
      </c>
      <c r="AW197" s="30">
        <v>35.494</v>
      </c>
    </row>
    <row r="198" spans="1:49" ht="18" customHeight="1">
      <c r="A198" s="23"/>
      <c r="B198" s="19"/>
      <c r="C198" s="75" t="s">
        <v>65</v>
      </c>
      <c r="D198" s="35" t="s">
        <v>218</v>
      </c>
      <c r="E198" s="35"/>
      <c r="F198" s="29" t="s">
        <v>219</v>
      </c>
      <c r="G198" s="38"/>
      <c r="H198" s="38">
        <v>0.08</v>
      </c>
      <c r="I198" s="38"/>
      <c r="J198" s="38">
        <v>0.08</v>
      </c>
      <c r="K198" s="38"/>
      <c r="L198" s="30">
        <f t="shared" si="12"/>
        <v>0.08</v>
      </c>
      <c r="M198" s="30">
        <f t="shared" si="13"/>
        <v>6.4000000000000001E-2</v>
      </c>
      <c r="N198" s="30">
        <f t="shared" si="14"/>
        <v>1.6E-2</v>
      </c>
      <c r="O198" s="31">
        <f t="shared" si="15"/>
        <v>7.3933333333333323E-2</v>
      </c>
      <c r="P198" s="52"/>
      <c r="Q198" s="30">
        <v>6.7000000000000004E-2</v>
      </c>
      <c r="R198" s="30">
        <v>6.6000000000000003E-2</v>
      </c>
      <c r="S198" s="30">
        <v>7.1999999999999995E-2</v>
      </c>
      <c r="T198" s="30">
        <v>6.4000000000000001E-2</v>
      </c>
      <c r="U198" s="30">
        <v>7.3999999999999996E-2</v>
      </c>
      <c r="V198" s="30">
        <v>7.4999999999999997E-2</v>
      </c>
      <c r="W198" s="30">
        <v>7.2999999999999995E-2</v>
      </c>
      <c r="X198" s="30">
        <v>7.2999999999999995E-2</v>
      </c>
      <c r="Y198" s="30">
        <v>7.3999999999999996E-2</v>
      </c>
      <c r="Z198" s="30">
        <v>7.4999999999999997E-2</v>
      </c>
      <c r="AA198" s="30">
        <v>7.0999999999999994E-2</v>
      </c>
      <c r="AB198" s="30">
        <v>7.5999999999999998E-2</v>
      </c>
      <c r="AC198" s="30">
        <v>7.2999999999999995E-2</v>
      </c>
      <c r="AD198" s="30">
        <v>7.3999999999999996E-2</v>
      </c>
      <c r="AE198" s="30">
        <v>7.4999999999999997E-2</v>
      </c>
      <c r="AF198" s="30">
        <v>7.4999999999999997E-2</v>
      </c>
      <c r="AG198" s="30">
        <v>7.1999999999999995E-2</v>
      </c>
      <c r="AH198" s="30">
        <v>7.1999999999999995E-2</v>
      </c>
      <c r="AI198" s="30">
        <v>7.8E-2</v>
      </c>
      <c r="AJ198" s="30">
        <v>7.2999999999999995E-2</v>
      </c>
      <c r="AK198" s="30">
        <v>0.08</v>
      </c>
      <c r="AL198" s="30">
        <v>0.08</v>
      </c>
      <c r="AM198" s="30">
        <v>7.4999999999999997E-2</v>
      </c>
      <c r="AN198" s="30">
        <v>7.0999999999999994E-2</v>
      </c>
      <c r="AO198" s="30">
        <v>7.4999999999999997E-2</v>
      </c>
      <c r="AP198" s="30">
        <v>7.9000000000000001E-2</v>
      </c>
      <c r="AQ198" s="30">
        <v>7.2999999999999995E-2</v>
      </c>
      <c r="AR198" s="30">
        <v>7.6999999999999999E-2</v>
      </c>
      <c r="AS198" s="30">
        <v>7.8E-2</v>
      </c>
      <c r="AT198" s="30">
        <v>7.8E-2</v>
      </c>
      <c r="AU198" s="30">
        <v>7.3999999999999996E-2</v>
      </c>
      <c r="AV198" s="30">
        <v>7.5999999999999998E-2</v>
      </c>
      <c r="AW198" s="30">
        <v>7.6999999999999999E-2</v>
      </c>
    </row>
    <row r="199" spans="1:49" ht="18" customHeight="1">
      <c r="A199" s="23"/>
      <c r="B199" s="19"/>
      <c r="C199" s="75" t="s">
        <v>65</v>
      </c>
      <c r="D199" s="35" t="s">
        <v>220</v>
      </c>
      <c r="E199" s="35"/>
      <c r="F199" s="29"/>
      <c r="G199" s="38"/>
      <c r="H199" s="38">
        <v>0.05</v>
      </c>
      <c r="I199" s="38"/>
      <c r="J199" s="38">
        <v>0.05</v>
      </c>
      <c r="K199" s="38"/>
      <c r="L199" s="30">
        <f t="shared" si="12"/>
        <v>0.05</v>
      </c>
      <c r="M199" s="30">
        <f t="shared" si="13"/>
        <v>3.5999999999999997E-2</v>
      </c>
      <c r="N199" s="30">
        <f t="shared" si="14"/>
        <v>1.4000000000000005E-2</v>
      </c>
      <c r="O199" s="31">
        <f t="shared" si="15"/>
        <v>4.2600000000000006E-2</v>
      </c>
      <c r="P199" s="52"/>
      <c r="Q199" s="30">
        <v>4.5999999999999999E-2</v>
      </c>
      <c r="R199" s="30">
        <v>4.1000000000000002E-2</v>
      </c>
      <c r="S199" s="30">
        <v>4.1000000000000002E-2</v>
      </c>
      <c r="T199" s="30">
        <v>0.04</v>
      </c>
      <c r="U199" s="30">
        <v>4.5999999999999999E-2</v>
      </c>
      <c r="V199" s="30">
        <v>4.7E-2</v>
      </c>
      <c r="W199" s="30">
        <v>4.3999999999999997E-2</v>
      </c>
      <c r="X199" s="30">
        <v>4.5999999999999999E-2</v>
      </c>
      <c r="Y199" s="30">
        <v>4.8000000000000001E-2</v>
      </c>
      <c r="Z199" s="30">
        <v>0.05</v>
      </c>
      <c r="AA199" s="30">
        <v>4.3999999999999997E-2</v>
      </c>
      <c r="AB199" s="30">
        <v>4.1000000000000002E-2</v>
      </c>
      <c r="AC199" s="30">
        <v>4.5999999999999999E-2</v>
      </c>
      <c r="AD199" s="30">
        <v>4.5999999999999999E-2</v>
      </c>
      <c r="AE199" s="30">
        <v>0.04</v>
      </c>
      <c r="AF199" s="30">
        <v>0.05</v>
      </c>
      <c r="AG199" s="30">
        <v>4.4999999999999998E-2</v>
      </c>
      <c r="AH199" s="30">
        <v>4.3999999999999997E-2</v>
      </c>
      <c r="AI199" s="30">
        <v>4.5999999999999999E-2</v>
      </c>
      <c r="AJ199" s="30">
        <v>3.6999999999999998E-2</v>
      </c>
      <c r="AK199" s="30">
        <v>4.8000000000000001E-2</v>
      </c>
      <c r="AL199" s="30">
        <v>4.2000000000000003E-2</v>
      </c>
      <c r="AM199" s="30">
        <v>0.04</v>
      </c>
      <c r="AN199" s="30">
        <v>3.5999999999999997E-2</v>
      </c>
      <c r="AO199" s="30">
        <v>3.5999999999999997E-2</v>
      </c>
      <c r="AP199" s="30">
        <v>3.5999999999999997E-2</v>
      </c>
      <c r="AQ199" s="30">
        <v>3.7999999999999999E-2</v>
      </c>
      <c r="AR199" s="30">
        <v>3.7999999999999999E-2</v>
      </c>
      <c r="AS199" s="30">
        <v>3.6999999999999998E-2</v>
      </c>
      <c r="AT199" s="30">
        <v>3.9E-2</v>
      </c>
      <c r="AU199" s="30">
        <v>3.5000000000000003E-2</v>
      </c>
      <c r="AV199" s="30">
        <v>3.5000000000000003E-2</v>
      </c>
      <c r="AW199" s="30">
        <v>3.6999999999999998E-2</v>
      </c>
    </row>
    <row r="200" spans="1:49" ht="18" customHeight="1">
      <c r="A200" s="23"/>
      <c r="B200" s="19"/>
      <c r="C200" s="75" t="s">
        <v>65</v>
      </c>
      <c r="D200" s="35" t="s">
        <v>221</v>
      </c>
      <c r="E200" s="35"/>
      <c r="F200" s="29" t="s">
        <v>222</v>
      </c>
      <c r="G200" s="38">
        <v>0.52</v>
      </c>
      <c r="H200" s="38">
        <v>0.05</v>
      </c>
      <c r="I200" s="38">
        <v>0.05</v>
      </c>
      <c r="J200" s="38">
        <v>0.05</v>
      </c>
      <c r="K200" s="38">
        <v>0.05</v>
      </c>
      <c r="L200" s="30">
        <f t="shared" si="12"/>
        <v>0.56999999999999995</v>
      </c>
      <c r="M200" s="30">
        <f t="shared" si="13"/>
        <v>0.55600000000000005</v>
      </c>
      <c r="N200" s="30">
        <f t="shared" si="14"/>
        <v>1.3999999999999901E-2</v>
      </c>
      <c r="O200" s="31">
        <f t="shared" si="15"/>
        <v>0.56086666666666674</v>
      </c>
      <c r="P200" s="52"/>
      <c r="Q200" s="30">
        <v>0.56200000000000006</v>
      </c>
      <c r="R200" s="30">
        <v>0.56499999999999995</v>
      </c>
      <c r="S200" s="30">
        <v>0.56999999999999995</v>
      </c>
      <c r="T200" s="30">
        <v>0.56399999999999995</v>
      </c>
      <c r="U200" s="30">
        <v>0.56499999999999995</v>
      </c>
      <c r="V200" s="30">
        <v>0.56699999999999995</v>
      </c>
      <c r="W200" s="30">
        <v>0.56399999999999995</v>
      </c>
      <c r="X200" s="30">
        <v>0.56200000000000006</v>
      </c>
      <c r="Y200" s="30">
        <v>0.56000000000000005</v>
      </c>
      <c r="Z200" s="30">
        <v>0.55800000000000005</v>
      </c>
      <c r="AA200" s="30">
        <v>0.56100000000000005</v>
      </c>
      <c r="AB200" s="30">
        <v>0.56200000000000006</v>
      </c>
      <c r="AC200" s="30">
        <v>0.55800000000000005</v>
      </c>
      <c r="AD200" s="30">
        <v>0.56399999999999995</v>
      </c>
      <c r="AE200" s="30">
        <v>0.56000000000000005</v>
      </c>
      <c r="AF200" s="30">
        <v>0.55800000000000005</v>
      </c>
      <c r="AG200" s="30">
        <v>0.56299999999999994</v>
      </c>
      <c r="AH200" s="30">
        <v>0.55700000000000005</v>
      </c>
      <c r="AI200" s="30">
        <v>0.55800000000000005</v>
      </c>
      <c r="AJ200" s="30">
        <v>0.55800000000000005</v>
      </c>
      <c r="AK200" s="30">
        <v>0.56000000000000005</v>
      </c>
      <c r="AL200" s="30">
        <v>0.56100000000000005</v>
      </c>
      <c r="AM200" s="30">
        <v>0.56000000000000005</v>
      </c>
      <c r="AN200" s="30">
        <v>0.55700000000000005</v>
      </c>
      <c r="AO200" s="30">
        <v>0.55900000000000005</v>
      </c>
      <c r="AP200" s="30">
        <v>0.56100000000000005</v>
      </c>
      <c r="AQ200" s="30">
        <v>0.55800000000000005</v>
      </c>
      <c r="AR200" s="30">
        <v>0.55600000000000005</v>
      </c>
      <c r="AS200" s="30">
        <v>0.55700000000000005</v>
      </c>
      <c r="AT200" s="30">
        <v>0.56100000000000005</v>
      </c>
      <c r="AU200" s="30">
        <v>0.56599999999999995</v>
      </c>
      <c r="AV200" s="30">
        <v>0.55500000000000005</v>
      </c>
      <c r="AW200" s="30">
        <v>0.56000000000000005</v>
      </c>
    </row>
    <row r="201" spans="1:49" ht="18" customHeight="1">
      <c r="A201" s="23"/>
      <c r="B201" s="19"/>
      <c r="C201" s="75" t="s">
        <v>65</v>
      </c>
      <c r="D201" s="35" t="s">
        <v>223</v>
      </c>
      <c r="E201" s="35"/>
      <c r="F201" s="29" t="s">
        <v>224</v>
      </c>
      <c r="G201" s="38">
        <v>0.49</v>
      </c>
      <c r="H201" s="38">
        <v>0.06</v>
      </c>
      <c r="I201" s="38">
        <v>0.06</v>
      </c>
      <c r="J201" s="38">
        <v>0.06</v>
      </c>
      <c r="K201" s="38">
        <v>0.06</v>
      </c>
      <c r="L201" s="30">
        <f t="shared" si="12"/>
        <v>0.53700000000000003</v>
      </c>
      <c r="M201" s="30">
        <f t="shared" si="13"/>
        <v>0.52300000000000002</v>
      </c>
      <c r="N201" s="30">
        <f t="shared" si="14"/>
        <v>1.4000000000000012E-2</v>
      </c>
      <c r="O201" s="31">
        <f t="shared" si="15"/>
        <v>0.53186666666666682</v>
      </c>
      <c r="P201" s="52"/>
      <c r="Q201" s="30">
        <v>0.52300000000000002</v>
      </c>
      <c r="R201" s="30">
        <v>0.52600000000000002</v>
      </c>
      <c r="S201" s="30">
        <v>0.53</v>
      </c>
      <c r="T201" s="30">
        <v>0.52500000000000002</v>
      </c>
      <c r="U201" s="30">
        <v>0.52800000000000002</v>
      </c>
      <c r="V201" s="30">
        <v>0.53300000000000003</v>
      </c>
      <c r="W201" s="30">
        <v>0.52600000000000002</v>
      </c>
      <c r="X201" s="30">
        <v>0.53</v>
      </c>
      <c r="Y201" s="30">
        <v>0.53300000000000003</v>
      </c>
      <c r="Z201" s="30">
        <v>0.53600000000000003</v>
      </c>
      <c r="AA201" s="30">
        <v>0.52900000000000003</v>
      </c>
      <c r="AB201" s="30">
        <v>0.53600000000000003</v>
      </c>
      <c r="AC201" s="30">
        <v>0.53100000000000003</v>
      </c>
      <c r="AD201" s="30">
        <v>0.53200000000000003</v>
      </c>
      <c r="AE201" s="30">
        <v>0.53500000000000003</v>
      </c>
      <c r="AF201" s="30">
        <v>0.53</v>
      </c>
      <c r="AG201" s="30">
        <v>0.53</v>
      </c>
      <c r="AH201" s="30">
        <v>0.52900000000000003</v>
      </c>
      <c r="AI201" s="30">
        <v>0.53300000000000003</v>
      </c>
      <c r="AJ201" s="30">
        <v>0.53300000000000003</v>
      </c>
      <c r="AK201" s="30">
        <v>0.53600000000000003</v>
      </c>
      <c r="AL201" s="30">
        <v>0.53700000000000003</v>
      </c>
      <c r="AM201" s="30">
        <v>0.53500000000000003</v>
      </c>
      <c r="AN201" s="30">
        <v>0.53100000000000003</v>
      </c>
      <c r="AO201" s="30">
        <v>0.53400000000000003</v>
      </c>
      <c r="AP201" s="30">
        <v>0.53700000000000003</v>
      </c>
      <c r="AQ201" s="30">
        <v>0.53400000000000003</v>
      </c>
      <c r="AR201" s="30">
        <v>0.53600000000000003</v>
      </c>
      <c r="AS201" s="30">
        <v>0.53400000000000003</v>
      </c>
      <c r="AT201" s="30">
        <v>0.53400000000000003</v>
      </c>
      <c r="AU201" s="30">
        <v>0.53600000000000003</v>
      </c>
      <c r="AV201" s="30">
        <v>0.53300000000000003</v>
      </c>
      <c r="AW201" s="30">
        <v>0.53200000000000003</v>
      </c>
    </row>
    <row r="202" spans="1:49" ht="18" customHeight="1">
      <c r="A202" s="23"/>
      <c r="B202" s="19"/>
      <c r="C202" s="79" t="s">
        <v>225</v>
      </c>
      <c r="D202" s="35" t="s">
        <v>226</v>
      </c>
      <c r="E202" s="35"/>
      <c r="F202" s="29" t="s">
        <v>227</v>
      </c>
      <c r="G202" s="38">
        <v>4.78</v>
      </c>
      <c r="H202" s="38">
        <v>0.03</v>
      </c>
      <c r="I202" s="38">
        <v>0.03</v>
      </c>
      <c r="J202" s="38">
        <v>0.03</v>
      </c>
      <c r="K202" s="38">
        <v>0.03</v>
      </c>
      <c r="L202" s="30">
        <f t="shared" si="12"/>
        <v>4.7825139999999999</v>
      </c>
      <c r="M202" s="30">
        <f t="shared" si="13"/>
        <v>4.7798129999999999</v>
      </c>
      <c r="N202" s="30">
        <f t="shared" si="14"/>
        <v>2.7010000000000645E-3</v>
      </c>
      <c r="O202" s="31">
        <f t="shared" si="15"/>
        <v>4.7814331333333326</v>
      </c>
      <c r="P202" s="52"/>
      <c r="Q202" s="30">
        <v>4.7806499999999996</v>
      </c>
      <c r="R202" s="30">
        <v>4.7799870000000002</v>
      </c>
      <c r="S202" s="30">
        <v>4.7798129999999999</v>
      </c>
      <c r="T202" s="30">
        <v>4.7819250000000002</v>
      </c>
      <c r="U202" s="30">
        <v>4.7810649999999999</v>
      </c>
      <c r="V202" s="30">
        <v>4.7815810000000001</v>
      </c>
      <c r="W202" s="30">
        <v>4.7811969999999997</v>
      </c>
      <c r="X202" s="30">
        <v>4.781199</v>
      </c>
      <c r="Y202" s="30">
        <v>4.7819859999999998</v>
      </c>
      <c r="Z202" s="30">
        <v>4.7805309999999999</v>
      </c>
      <c r="AA202" s="30">
        <v>4.7816090000000004</v>
      </c>
      <c r="AB202" s="30">
        <v>4.7820029999999996</v>
      </c>
      <c r="AC202" s="30">
        <v>4.7817499999999997</v>
      </c>
      <c r="AD202" s="30">
        <v>4.7821689999999997</v>
      </c>
      <c r="AE202" s="30">
        <v>4.781917</v>
      </c>
      <c r="AF202" s="30">
        <v>4.7824169999999997</v>
      </c>
      <c r="AG202" s="30">
        <v>4.7815630000000002</v>
      </c>
      <c r="AH202" s="30">
        <v>4.7803849999999999</v>
      </c>
      <c r="AI202" s="30">
        <v>4.7812229999999998</v>
      </c>
      <c r="AJ202" s="30">
        <v>4.7804320000000002</v>
      </c>
      <c r="AK202" s="30">
        <v>4.7821360000000004</v>
      </c>
      <c r="AL202" s="30">
        <v>4.7821449999999999</v>
      </c>
      <c r="AM202" s="30">
        <v>4.7812289999999997</v>
      </c>
      <c r="AN202" s="30">
        <v>4.7817749999999997</v>
      </c>
      <c r="AO202" s="30">
        <v>4.7825139999999999</v>
      </c>
      <c r="AP202" s="30">
        <v>4.7817939999999997</v>
      </c>
      <c r="AQ202" s="30">
        <v>4.7809949999999999</v>
      </c>
      <c r="AR202" s="30">
        <v>4.7817049999999997</v>
      </c>
      <c r="AS202" s="30">
        <v>4.7823909999999996</v>
      </c>
      <c r="AT202" s="30">
        <v>4.7809080000000002</v>
      </c>
      <c r="AU202" s="30">
        <v>4.7821199999999999</v>
      </c>
      <c r="AV202" s="30">
        <v>4.7809869999999997</v>
      </c>
      <c r="AW202" s="30">
        <v>4.7805749999999998</v>
      </c>
    </row>
    <row r="203" spans="1:49" ht="18" customHeight="1">
      <c r="A203" s="23"/>
      <c r="B203" s="19"/>
      <c r="C203" s="79" t="s">
        <v>225</v>
      </c>
      <c r="D203" s="35" t="s">
        <v>228</v>
      </c>
      <c r="E203" s="35"/>
      <c r="F203" s="29" t="s">
        <v>229</v>
      </c>
      <c r="G203" s="38">
        <v>0</v>
      </c>
      <c r="H203" s="38">
        <v>0.12</v>
      </c>
      <c r="I203" s="38">
        <v>0</v>
      </c>
      <c r="J203" s="38">
        <v>0.12</v>
      </c>
      <c r="K203" s="38">
        <v>0</v>
      </c>
      <c r="L203" s="30">
        <f t="shared" si="12"/>
        <v>5.4195E-2</v>
      </c>
      <c r="M203" s="30">
        <f t="shared" si="13"/>
        <v>2.9641000000000001E-2</v>
      </c>
      <c r="N203" s="30">
        <f t="shared" si="14"/>
        <v>2.4553999999999999E-2</v>
      </c>
      <c r="O203" s="31">
        <f t="shared" si="15"/>
        <v>3.9419133333333335E-2</v>
      </c>
      <c r="P203" s="52"/>
      <c r="Q203" s="30">
        <v>3.0983E-2</v>
      </c>
      <c r="R203" s="30">
        <v>3.4098999999999997E-2</v>
      </c>
      <c r="S203" s="30">
        <v>3.3050000000000003E-2</v>
      </c>
      <c r="T203" s="30">
        <v>3.798E-2</v>
      </c>
      <c r="U203" s="30">
        <v>3.8306E-2</v>
      </c>
      <c r="V203" s="30">
        <v>3.6413000000000001E-2</v>
      </c>
      <c r="W203" s="30">
        <v>3.7990999999999997E-2</v>
      </c>
      <c r="X203" s="30">
        <v>4.2223999999999998E-2</v>
      </c>
      <c r="Y203" s="30">
        <v>3.9358999999999998E-2</v>
      </c>
      <c r="Z203" s="30">
        <v>3.4679000000000001E-2</v>
      </c>
      <c r="AA203" s="30">
        <v>3.4039E-2</v>
      </c>
      <c r="AB203" s="30">
        <v>5.2976000000000002E-2</v>
      </c>
      <c r="AC203" s="30">
        <v>3.9447999999999997E-2</v>
      </c>
      <c r="AD203" s="30">
        <v>4.1494999999999997E-2</v>
      </c>
      <c r="AE203" s="30">
        <v>3.2431000000000001E-2</v>
      </c>
      <c r="AF203" s="30">
        <v>4.4887000000000003E-2</v>
      </c>
      <c r="AG203" s="30">
        <v>3.9913999999999998E-2</v>
      </c>
      <c r="AH203" s="30">
        <v>2.9641000000000001E-2</v>
      </c>
      <c r="AI203" s="30">
        <v>4.6635999999999997E-2</v>
      </c>
      <c r="AJ203" s="30">
        <v>3.2531999999999998E-2</v>
      </c>
      <c r="AK203" s="30">
        <v>3.7143000000000002E-2</v>
      </c>
      <c r="AL203" s="30">
        <v>4.19E-2</v>
      </c>
      <c r="AM203" s="30">
        <v>3.9459000000000001E-2</v>
      </c>
      <c r="AN203" s="30">
        <v>3.9974000000000003E-2</v>
      </c>
      <c r="AO203" s="30">
        <v>3.8559999999999997E-2</v>
      </c>
      <c r="AP203" s="30">
        <v>3.1645E-2</v>
      </c>
      <c r="AQ203" s="30">
        <v>4.8420999999999999E-2</v>
      </c>
      <c r="AR203" s="30">
        <v>5.2499999999999998E-2</v>
      </c>
      <c r="AS203" s="30">
        <v>5.4195E-2</v>
      </c>
      <c r="AT203" s="30">
        <v>3.9694E-2</v>
      </c>
      <c r="AU203" s="30">
        <v>4.0631E-2</v>
      </c>
      <c r="AV203" s="30">
        <v>3.9635999999999998E-2</v>
      </c>
      <c r="AW203" s="30">
        <v>5.2261000000000002E-2</v>
      </c>
    </row>
    <row r="204" spans="1:49" ht="18" customHeight="1">
      <c r="A204" s="23"/>
      <c r="B204" s="19"/>
      <c r="C204" s="79" t="s">
        <v>225</v>
      </c>
      <c r="D204" s="35" t="s">
        <v>230</v>
      </c>
      <c r="E204" s="35"/>
      <c r="F204" s="29" t="s">
        <v>231</v>
      </c>
      <c r="G204" s="38">
        <v>12.13</v>
      </c>
      <c r="H204" s="38">
        <v>0.06</v>
      </c>
      <c r="I204" s="38">
        <v>0.06</v>
      </c>
      <c r="J204" s="38">
        <v>0.08</v>
      </c>
      <c r="K204" s="38">
        <v>0.06</v>
      </c>
      <c r="L204" s="30">
        <f t="shared" si="12"/>
        <v>12.206340000000001</v>
      </c>
      <c r="M204" s="30">
        <f t="shared" si="13"/>
        <v>12.182173000000001</v>
      </c>
      <c r="N204" s="30">
        <f t="shared" si="14"/>
        <v>2.4167000000000272E-2</v>
      </c>
      <c r="O204" s="31">
        <f t="shared" si="15"/>
        <v>12.193621400000003</v>
      </c>
      <c r="P204" s="52"/>
      <c r="Q204" s="30">
        <v>12.182173000000001</v>
      </c>
      <c r="R204" s="30">
        <v>12.182624000000001</v>
      </c>
      <c r="S204" s="30">
        <v>12.190623</v>
      </c>
      <c r="T204" s="30">
        <v>12.191101</v>
      </c>
      <c r="U204" s="30">
        <v>12.193747</v>
      </c>
      <c r="V204" s="30">
        <v>12.192837000000001</v>
      </c>
      <c r="W204" s="30">
        <v>12.191077</v>
      </c>
      <c r="X204" s="30">
        <v>12.193879000000001</v>
      </c>
      <c r="Y204" s="30">
        <v>12.198352</v>
      </c>
      <c r="Z204" s="30">
        <v>12.191734</v>
      </c>
      <c r="AA204" s="30">
        <v>12.185181999999999</v>
      </c>
      <c r="AB204" s="30">
        <v>12.195043</v>
      </c>
      <c r="AC204" s="30">
        <v>12.190016999999999</v>
      </c>
      <c r="AD204" s="30">
        <v>12.191499</v>
      </c>
      <c r="AE204" s="30">
        <v>12.188138</v>
      </c>
      <c r="AF204" s="30">
        <v>12.199719</v>
      </c>
      <c r="AG204" s="30">
        <v>12.197400999999999</v>
      </c>
      <c r="AH204" s="30">
        <v>12.186294</v>
      </c>
      <c r="AI204" s="30">
        <v>12.194165</v>
      </c>
      <c r="AJ204" s="30">
        <v>12.184120999999999</v>
      </c>
      <c r="AK204" s="30">
        <v>12.196325999999999</v>
      </c>
      <c r="AL204" s="30">
        <v>12.202821999999999</v>
      </c>
      <c r="AM204" s="30">
        <v>12.196096000000001</v>
      </c>
      <c r="AN204" s="30">
        <v>12.198112</v>
      </c>
      <c r="AO204" s="30">
        <v>12.196444</v>
      </c>
      <c r="AP204" s="30">
        <v>12.186526000000001</v>
      </c>
      <c r="AQ204" s="30">
        <v>12.203941</v>
      </c>
      <c r="AR204" s="30">
        <v>12.202711000000001</v>
      </c>
      <c r="AS204" s="30">
        <v>12.206340000000001</v>
      </c>
      <c r="AT204" s="30">
        <v>12.199598</v>
      </c>
      <c r="AU204" s="30">
        <v>12.196222000000001</v>
      </c>
      <c r="AV204" s="30">
        <v>12.198777</v>
      </c>
      <c r="AW204" s="30">
        <v>12.204532</v>
      </c>
    </row>
    <row r="205" spans="1:49" ht="18" customHeight="1">
      <c r="A205" s="23"/>
      <c r="B205" s="19"/>
      <c r="C205" s="79" t="s">
        <v>225</v>
      </c>
      <c r="D205" s="35" t="s">
        <v>232</v>
      </c>
      <c r="E205" s="35"/>
      <c r="F205" s="29" t="s">
        <v>233</v>
      </c>
      <c r="G205" s="38">
        <v>12.13</v>
      </c>
      <c r="H205" s="38">
        <v>0.06</v>
      </c>
      <c r="I205" s="38">
        <v>0.06</v>
      </c>
      <c r="J205" s="38">
        <v>0.08</v>
      </c>
      <c r="K205" s="38">
        <v>0.06</v>
      </c>
      <c r="L205" s="30">
        <f t="shared" si="12"/>
        <v>12.184576</v>
      </c>
      <c r="M205" s="30">
        <f t="shared" si="13"/>
        <v>12.167783999999999</v>
      </c>
      <c r="N205" s="30">
        <f t="shared" si="14"/>
        <v>1.6792000000000584E-2</v>
      </c>
      <c r="O205" s="31">
        <f t="shared" si="15"/>
        <v>12.1751776</v>
      </c>
      <c r="P205" s="52"/>
      <c r="Q205" s="30">
        <v>12.170197999999999</v>
      </c>
      <c r="R205" s="30">
        <v>12.172446000000001</v>
      </c>
      <c r="S205" s="30">
        <v>12.172770999999999</v>
      </c>
      <c r="T205" s="30">
        <v>12.176686999999999</v>
      </c>
      <c r="U205" s="30">
        <v>12.175388</v>
      </c>
      <c r="V205" s="30">
        <v>12.176468</v>
      </c>
      <c r="W205" s="30">
        <v>12.172772</v>
      </c>
      <c r="X205" s="30">
        <v>12.174279</v>
      </c>
      <c r="Y205" s="30">
        <v>12.179506</v>
      </c>
      <c r="Z205" s="30">
        <v>12.173552000000001</v>
      </c>
      <c r="AA205" s="30">
        <v>12.16836</v>
      </c>
      <c r="AB205" s="30">
        <v>12.173285999999999</v>
      </c>
      <c r="AC205" s="30">
        <v>12.170456</v>
      </c>
      <c r="AD205" s="30">
        <v>12.170851000000001</v>
      </c>
      <c r="AE205" s="30">
        <v>12.170031</v>
      </c>
      <c r="AF205" s="30">
        <v>12.175988</v>
      </c>
      <c r="AG205" s="30">
        <v>12.177529</v>
      </c>
      <c r="AH205" s="30">
        <v>12.169302999999999</v>
      </c>
      <c r="AI205" s="30">
        <v>12.172684</v>
      </c>
      <c r="AJ205" s="30">
        <v>12.167783999999999</v>
      </c>
      <c r="AK205" s="30">
        <v>12.179004000000001</v>
      </c>
      <c r="AL205" s="30">
        <v>12.184576</v>
      </c>
      <c r="AM205" s="30">
        <v>12.176596999999999</v>
      </c>
      <c r="AN205" s="30">
        <v>12.181361000000001</v>
      </c>
      <c r="AO205" s="30">
        <v>12.179449</v>
      </c>
      <c r="AP205" s="30">
        <v>12.171977999999999</v>
      </c>
      <c r="AQ205" s="30">
        <v>12.182115</v>
      </c>
      <c r="AR205" s="30">
        <v>12.177872000000001</v>
      </c>
      <c r="AS205" s="30">
        <v>12.182843</v>
      </c>
      <c r="AT205" s="30">
        <v>12.179194000000001</v>
      </c>
      <c r="AU205" s="30">
        <v>12.176485</v>
      </c>
      <c r="AV205" s="30">
        <v>12.182054000000001</v>
      </c>
      <c r="AW205" s="30">
        <v>12.183609000000001</v>
      </c>
    </row>
    <row r="206" spans="1:49" ht="18" customHeight="1">
      <c r="A206" s="23"/>
      <c r="B206" s="19"/>
      <c r="C206" s="79" t="s">
        <v>225</v>
      </c>
      <c r="D206" s="35" t="s">
        <v>234</v>
      </c>
      <c r="E206" s="35"/>
      <c r="F206" s="29" t="s">
        <v>235</v>
      </c>
      <c r="G206" s="38">
        <v>12.13</v>
      </c>
      <c r="H206" s="38">
        <v>0.06</v>
      </c>
      <c r="I206" s="38">
        <v>0.06</v>
      </c>
      <c r="J206" s="38">
        <v>0.08</v>
      </c>
      <c r="K206" s="38">
        <v>0.06</v>
      </c>
      <c r="L206" s="30">
        <f t="shared" si="12"/>
        <v>12.20177</v>
      </c>
      <c r="M206" s="30">
        <f t="shared" si="13"/>
        <v>12.188402999999999</v>
      </c>
      <c r="N206" s="30">
        <f t="shared" si="14"/>
        <v>1.3367000000000573E-2</v>
      </c>
      <c r="O206" s="31">
        <f t="shared" si="15"/>
        <v>12.194171666666666</v>
      </c>
      <c r="P206" s="52"/>
      <c r="Q206" s="30">
        <v>12.195847000000001</v>
      </c>
      <c r="R206" s="30">
        <v>12.196583</v>
      </c>
      <c r="S206" s="30">
        <v>12.19028</v>
      </c>
      <c r="T206" s="30">
        <v>12.198181</v>
      </c>
      <c r="U206" s="30">
        <v>12.193364000000001</v>
      </c>
      <c r="V206" s="30">
        <v>12.195287</v>
      </c>
      <c r="W206" s="30">
        <v>12.193458</v>
      </c>
      <c r="X206" s="30">
        <v>12.192242</v>
      </c>
      <c r="Y206" s="30">
        <v>12.197668</v>
      </c>
      <c r="Z206" s="30">
        <v>12.193567</v>
      </c>
      <c r="AA206" s="30">
        <v>12.190963</v>
      </c>
      <c r="AB206" s="30">
        <v>12.191148</v>
      </c>
      <c r="AC206" s="30">
        <v>12.190322999999999</v>
      </c>
      <c r="AD206" s="30">
        <v>12.191576</v>
      </c>
      <c r="AE206" s="30">
        <v>12.193187999999999</v>
      </c>
      <c r="AF206" s="30">
        <v>12.193051000000001</v>
      </c>
      <c r="AG206" s="30">
        <v>12.196043</v>
      </c>
      <c r="AH206" s="30">
        <v>12.192214999999999</v>
      </c>
      <c r="AI206" s="30">
        <v>12.188402999999999</v>
      </c>
      <c r="AJ206" s="30">
        <v>12.188999000000001</v>
      </c>
      <c r="AK206" s="30">
        <v>12.195713</v>
      </c>
      <c r="AL206" s="30">
        <v>12.20177</v>
      </c>
      <c r="AM206" s="30">
        <v>12.195478</v>
      </c>
      <c r="AN206" s="30">
        <v>12.200309000000001</v>
      </c>
      <c r="AO206" s="30">
        <v>12.199009999999999</v>
      </c>
      <c r="AP206" s="30">
        <v>12.194077</v>
      </c>
      <c r="AQ206" s="30">
        <v>12.194813999999999</v>
      </c>
      <c r="AR206" s="30">
        <v>12.189667999999999</v>
      </c>
      <c r="AS206" s="30">
        <v>12.195866000000001</v>
      </c>
      <c r="AT206" s="30">
        <v>12.196059</v>
      </c>
      <c r="AU206" s="30">
        <v>12.195655</v>
      </c>
      <c r="AV206" s="30">
        <v>12.19894</v>
      </c>
      <c r="AW206" s="30">
        <v>12.194794999999999</v>
      </c>
    </row>
    <row r="207" spans="1:49" ht="18" customHeight="1">
      <c r="A207" s="23"/>
      <c r="B207" s="19"/>
      <c r="C207" s="79" t="s">
        <v>225</v>
      </c>
      <c r="D207" s="35" t="s">
        <v>236</v>
      </c>
      <c r="E207" s="35"/>
      <c r="F207" s="29" t="s">
        <v>237</v>
      </c>
      <c r="G207" s="38">
        <v>12.13</v>
      </c>
      <c r="H207" s="38">
        <v>0.06</v>
      </c>
      <c r="I207" s="38">
        <v>0.06</v>
      </c>
      <c r="J207" s="38">
        <v>0.08</v>
      </c>
      <c r="K207" s="38">
        <v>0.06</v>
      </c>
      <c r="L207" s="30">
        <f t="shared" si="12"/>
        <v>12.184963</v>
      </c>
      <c r="M207" s="30">
        <f t="shared" si="13"/>
        <v>12.171709999999999</v>
      </c>
      <c r="N207" s="30">
        <f t="shared" si="14"/>
        <v>1.3253000000000625E-2</v>
      </c>
      <c r="O207" s="31">
        <f t="shared" si="15"/>
        <v>12.179853266666667</v>
      </c>
      <c r="P207" s="52"/>
      <c r="Q207" s="30">
        <v>12.182688000000001</v>
      </c>
      <c r="R207" s="30">
        <v>12.183234000000001</v>
      </c>
      <c r="S207" s="30">
        <v>12.177028999999999</v>
      </c>
      <c r="T207" s="30">
        <v>12.18361</v>
      </c>
      <c r="U207" s="30">
        <v>12.179178</v>
      </c>
      <c r="V207" s="30">
        <v>12.182642</v>
      </c>
      <c r="W207" s="30">
        <v>12.180675000000001</v>
      </c>
      <c r="X207" s="30">
        <v>12.177569</v>
      </c>
      <c r="Y207" s="30">
        <v>12.18262</v>
      </c>
      <c r="Z207" s="30">
        <v>12.179796</v>
      </c>
      <c r="AA207" s="30">
        <v>12.179618</v>
      </c>
      <c r="AB207" s="30">
        <v>12.174168999999999</v>
      </c>
      <c r="AC207" s="30">
        <v>12.178606</v>
      </c>
      <c r="AD207" s="30">
        <v>12.179001</v>
      </c>
      <c r="AE207" s="30">
        <v>12.181587</v>
      </c>
      <c r="AF207" s="30">
        <v>12.179524000000001</v>
      </c>
      <c r="AG207" s="30">
        <v>12.18145</v>
      </c>
      <c r="AH207" s="30">
        <v>12.180854999999999</v>
      </c>
      <c r="AI207" s="30">
        <v>12.174403999999999</v>
      </c>
      <c r="AJ207" s="30">
        <v>12.177752999999999</v>
      </c>
      <c r="AK207" s="30">
        <v>12.181129</v>
      </c>
      <c r="AL207" s="30">
        <v>12.184733</v>
      </c>
      <c r="AM207" s="30">
        <v>12.1799</v>
      </c>
      <c r="AN207" s="30">
        <v>12.184542</v>
      </c>
      <c r="AO207" s="30">
        <v>12.184963</v>
      </c>
      <c r="AP207" s="30">
        <v>12.182612000000001</v>
      </c>
      <c r="AQ207" s="30">
        <v>12.174215999999999</v>
      </c>
      <c r="AR207" s="30">
        <v>12.171709999999999</v>
      </c>
      <c r="AS207" s="30">
        <v>12.175727</v>
      </c>
      <c r="AT207" s="30">
        <v>12.180058000000001</v>
      </c>
      <c r="AU207" s="30">
        <v>12.180508</v>
      </c>
      <c r="AV207" s="30">
        <v>12.181976000000001</v>
      </c>
      <c r="AW207" s="30">
        <v>12.175292000000001</v>
      </c>
    </row>
    <row r="208" spans="1:49" ht="18" customHeight="1">
      <c r="A208" s="23"/>
      <c r="B208" s="19"/>
      <c r="C208" s="79" t="s">
        <v>225</v>
      </c>
      <c r="D208" s="35" t="s">
        <v>238</v>
      </c>
      <c r="E208" s="35"/>
      <c r="F208" s="29" t="s">
        <v>239</v>
      </c>
      <c r="G208" s="38">
        <v>12.13</v>
      </c>
      <c r="H208" s="38">
        <v>0.06</v>
      </c>
      <c r="I208" s="38">
        <v>0.06</v>
      </c>
      <c r="J208" s="38">
        <v>0.08</v>
      </c>
      <c r="K208" s="38">
        <v>0.06</v>
      </c>
      <c r="L208" s="30">
        <f t="shared" si="12"/>
        <v>12.185890000000001</v>
      </c>
      <c r="M208" s="30">
        <f t="shared" si="13"/>
        <v>12.171044999999999</v>
      </c>
      <c r="N208" s="30">
        <f t="shared" si="14"/>
        <v>1.4845000000001107E-2</v>
      </c>
      <c r="O208" s="31">
        <f t="shared" si="15"/>
        <v>12.178563366666667</v>
      </c>
      <c r="P208" s="52"/>
      <c r="Q208" s="30">
        <v>12.180802999999999</v>
      </c>
      <c r="R208" s="30">
        <v>12.180481</v>
      </c>
      <c r="S208" s="30">
        <v>12.174837999999999</v>
      </c>
      <c r="T208" s="30">
        <v>12.182053</v>
      </c>
      <c r="U208" s="30">
        <v>12.175298</v>
      </c>
      <c r="V208" s="30">
        <v>12.180455</v>
      </c>
      <c r="W208" s="30">
        <v>12.179418999999999</v>
      </c>
      <c r="X208" s="30">
        <v>12.175019000000001</v>
      </c>
      <c r="Y208" s="30">
        <v>12.182288</v>
      </c>
      <c r="Z208" s="30">
        <v>12.178359</v>
      </c>
      <c r="AA208" s="30">
        <v>12.176411999999999</v>
      </c>
      <c r="AB208" s="30">
        <v>12.174054999999999</v>
      </c>
      <c r="AC208" s="30">
        <v>12.176189000000001</v>
      </c>
      <c r="AD208" s="30">
        <v>12.178451000000001</v>
      </c>
      <c r="AE208" s="30">
        <v>12.178989</v>
      </c>
      <c r="AF208" s="30">
        <v>12.178546000000001</v>
      </c>
      <c r="AG208" s="30">
        <v>12.179938999999999</v>
      </c>
      <c r="AH208" s="30">
        <v>12.181077</v>
      </c>
      <c r="AI208" s="30">
        <v>12.173666000000001</v>
      </c>
      <c r="AJ208" s="30">
        <v>12.175869</v>
      </c>
      <c r="AK208" s="30">
        <v>12.178962</v>
      </c>
      <c r="AL208" s="30">
        <v>12.185890000000001</v>
      </c>
      <c r="AM208" s="30">
        <v>12.180344</v>
      </c>
      <c r="AN208" s="30">
        <v>12.184772000000001</v>
      </c>
      <c r="AO208" s="30">
        <v>12.184875999999999</v>
      </c>
      <c r="AP208" s="30">
        <v>12.182168000000001</v>
      </c>
      <c r="AQ208" s="30">
        <v>12.173351</v>
      </c>
      <c r="AR208" s="30">
        <v>12.171044999999999</v>
      </c>
      <c r="AS208" s="30">
        <v>12.175877</v>
      </c>
      <c r="AT208" s="30">
        <v>12.17741</v>
      </c>
      <c r="AU208" s="30">
        <v>12.177592000000001</v>
      </c>
      <c r="AV208" s="30">
        <v>12.181222999999999</v>
      </c>
      <c r="AW208" s="30">
        <v>12.175075</v>
      </c>
    </row>
    <row r="209" spans="1:49" ht="18" customHeight="1">
      <c r="A209" s="23"/>
      <c r="B209" s="19"/>
      <c r="C209" s="79" t="s">
        <v>225</v>
      </c>
      <c r="D209" s="35" t="s">
        <v>240</v>
      </c>
      <c r="E209" s="35"/>
      <c r="F209" s="29" t="s">
        <v>241</v>
      </c>
      <c r="G209" s="38">
        <v>12.13</v>
      </c>
      <c r="H209" s="38">
        <v>0.06</v>
      </c>
      <c r="I209" s="38">
        <v>0.06</v>
      </c>
      <c r="J209" s="38">
        <v>0.08</v>
      </c>
      <c r="K209" s="38">
        <v>0.06</v>
      </c>
      <c r="L209" s="30">
        <f t="shared" si="12"/>
        <v>12.186553999999999</v>
      </c>
      <c r="M209" s="30">
        <f t="shared" si="13"/>
        <v>12.172165</v>
      </c>
      <c r="N209" s="30">
        <f t="shared" si="14"/>
        <v>1.4388999999999541E-2</v>
      </c>
      <c r="O209" s="31">
        <f t="shared" si="15"/>
        <v>12.178597233333333</v>
      </c>
      <c r="P209" s="52"/>
      <c r="Q209" s="30">
        <v>12.180431</v>
      </c>
      <c r="R209" s="30">
        <v>12.179394</v>
      </c>
      <c r="S209" s="30">
        <v>12.174426</v>
      </c>
      <c r="T209" s="30">
        <v>12.182695000000001</v>
      </c>
      <c r="U209" s="30">
        <v>12.174232999999999</v>
      </c>
      <c r="V209" s="30">
        <v>12.179368999999999</v>
      </c>
      <c r="W209" s="30">
        <v>12.179439</v>
      </c>
      <c r="X209" s="30">
        <v>12.173795</v>
      </c>
      <c r="Y209" s="30">
        <v>12.183596</v>
      </c>
      <c r="Z209" s="30">
        <v>12.178020999999999</v>
      </c>
      <c r="AA209" s="30">
        <v>12.174769</v>
      </c>
      <c r="AB209" s="30">
        <v>12.177</v>
      </c>
      <c r="AC209" s="30">
        <v>12.175751999999999</v>
      </c>
      <c r="AD209" s="30">
        <v>12.179971999999999</v>
      </c>
      <c r="AE209" s="30">
        <v>12.177733999999999</v>
      </c>
      <c r="AF209" s="30">
        <v>12.179518</v>
      </c>
      <c r="AG209" s="30">
        <v>12.180465</v>
      </c>
      <c r="AH209" s="30">
        <v>12.181677000000001</v>
      </c>
      <c r="AI209" s="30">
        <v>12.175291</v>
      </c>
      <c r="AJ209" s="30">
        <v>12.175287000000001</v>
      </c>
      <c r="AK209" s="30">
        <v>12.177289999999999</v>
      </c>
      <c r="AL209" s="30">
        <v>12.186553999999999</v>
      </c>
      <c r="AM209" s="30">
        <v>12.181365</v>
      </c>
      <c r="AN209" s="30">
        <v>12.185466999999999</v>
      </c>
      <c r="AO209" s="30">
        <v>12.185048</v>
      </c>
      <c r="AP209" s="30">
        <v>12.181229</v>
      </c>
      <c r="AQ209" s="30">
        <v>12.173260000000001</v>
      </c>
      <c r="AR209" s="30">
        <v>12.172165</v>
      </c>
      <c r="AS209" s="30">
        <v>12.177977</v>
      </c>
      <c r="AT209" s="30">
        <v>12.174697999999999</v>
      </c>
      <c r="AU209" s="30">
        <v>12.175592</v>
      </c>
      <c r="AV209" s="30">
        <v>12.182366999999999</v>
      </c>
      <c r="AW209" s="30">
        <v>12.176247999999999</v>
      </c>
    </row>
    <row r="210" spans="1:49" ht="18" customHeight="1">
      <c r="A210" s="23"/>
      <c r="B210" s="19"/>
      <c r="C210" s="79" t="s">
        <v>225</v>
      </c>
      <c r="D210" s="35" t="s">
        <v>242</v>
      </c>
      <c r="E210" s="35"/>
      <c r="F210" s="29" t="s">
        <v>243</v>
      </c>
      <c r="G210" s="38">
        <v>12.13</v>
      </c>
      <c r="H210" s="38">
        <v>0.06</v>
      </c>
      <c r="I210" s="38">
        <v>0.06</v>
      </c>
      <c r="J210" s="38">
        <v>0.08</v>
      </c>
      <c r="K210" s="38">
        <v>0.06</v>
      </c>
      <c r="L210" s="30">
        <f t="shared" si="12"/>
        <v>12.195103</v>
      </c>
      <c r="M210" s="30">
        <f t="shared" si="13"/>
        <v>12.171972</v>
      </c>
      <c r="N210" s="30">
        <f t="shared" si="14"/>
        <v>2.3130999999999347E-2</v>
      </c>
      <c r="O210" s="31">
        <f t="shared" si="15"/>
        <v>12.181611966666669</v>
      </c>
      <c r="P210" s="52"/>
      <c r="Q210" s="30">
        <v>12.179734</v>
      </c>
      <c r="R210" s="30">
        <v>12.17553</v>
      </c>
      <c r="S210" s="30">
        <v>12.171972</v>
      </c>
      <c r="T210" s="30">
        <v>12.181889</v>
      </c>
      <c r="U210" s="30">
        <v>12.173159999999999</v>
      </c>
      <c r="V210" s="30">
        <v>12.176909999999999</v>
      </c>
      <c r="W210" s="30">
        <v>12.181711</v>
      </c>
      <c r="X210" s="30">
        <v>12.175367</v>
      </c>
      <c r="Y210" s="30">
        <v>12.184808</v>
      </c>
      <c r="Z210" s="30">
        <v>12.180643</v>
      </c>
      <c r="AA210" s="30">
        <v>12.172496000000001</v>
      </c>
      <c r="AB210" s="30">
        <v>12.195103</v>
      </c>
      <c r="AC210" s="30">
        <v>12.179853</v>
      </c>
      <c r="AD210" s="30">
        <v>12.190363</v>
      </c>
      <c r="AE210" s="30">
        <v>12.177618000000001</v>
      </c>
      <c r="AF210" s="30">
        <v>12.185192000000001</v>
      </c>
      <c r="AG210" s="30">
        <v>12.185793</v>
      </c>
      <c r="AH210" s="30">
        <v>12.184951999999999</v>
      </c>
      <c r="AI210" s="30">
        <v>12.186339</v>
      </c>
      <c r="AJ210" s="30">
        <v>12.178212</v>
      </c>
      <c r="AK210" s="30">
        <v>12.174713000000001</v>
      </c>
      <c r="AL210" s="30">
        <v>12.186521000000001</v>
      </c>
      <c r="AM210" s="30">
        <v>12.186753</v>
      </c>
      <c r="AN210" s="30">
        <v>12.189361</v>
      </c>
      <c r="AO210" s="30">
        <v>12.184533999999999</v>
      </c>
      <c r="AP210" s="30">
        <v>12.180897999999999</v>
      </c>
      <c r="AQ210" s="30">
        <v>12.176633000000001</v>
      </c>
      <c r="AR210" s="30">
        <v>12.18472</v>
      </c>
      <c r="AS210" s="30">
        <v>12.194252000000001</v>
      </c>
      <c r="AT210" s="30">
        <v>12.172329</v>
      </c>
      <c r="AU210" s="30">
        <v>12.177781</v>
      </c>
      <c r="AV210" s="30">
        <v>12.186978</v>
      </c>
      <c r="AW210" s="30">
        <v>12.183013000000001</v>
      </c>
    </row>
    <row r="211" spans="1:49" ht="18" customHeight="1">
      <c r="A211" s="23"/>
      <c r="B211" s="19"/>
      <c r="C211" s="79" t="s">
        <v>225</v>
      </c>
      <c r="D211" s="35" t="s">
        <v>244</v>
      </c>
      <c r="E211" s="35"/>
      <c r="F211" s="29" t="s">
        <v>245</v>
      </c>
      <c r="G211" s="38">
        <v>12.13</v>
      </c>
      <c r="H211" s="38">
        <v>0.06</v>
      </c>
      <c r="I211" s="38">
        <v>0.06</v>
      </c>
      <c r="J211" s="38">
        <v>0.08</v>
      </c>
      <c r="K211" s="38">
        <v>0.06</v>
      </c>
      <c r="L211" s="30">
        <f t="shared" si="12"/>
        <v>12.211225000000001</v>
      </c>
      <c r="M211" s="30">
        <f t="shared" si="13"/>
        <v>12.194379</v>
      </c>
      <c r="N211" s="30">
        <f t="shared" si="14"/>
        <v>1.6846000000001027E-2</v>
      </c>
      <c r="O211" s="31">
        <f t="shared" si="15"/>
        <v>12.201515300000001</v>
      </c>
      <c r="P211" s="52"/>
      <c r="Q211" s="30">
        <v>12.198722</v>
      </c>
      <c r="R211" s="30">
        <v>12.195053</v>
      </c>
      <c r="S211" s="30">
        <v>12.194379</v>
      </c>
      <c r="T211" s="30">
        <v>12.199218</v>
      </c>
      <c r="U211" s="30">
        <v>12.198282000000001</v>
      </c>
      <c r="V211" s="30">
        <v>12.198485</v>
      </c>
      <c r="W211" s="30">
        <v>12.202470999999999</v>
      </c>
      <c r="X211" s="30">
        <v>12.200187</v>
      </c>
      <c r="Y211" s="30">
        <v>12.203808</v>
      </c>
      <c r="Z211" s="30">
        <v>12.200274</v>
      </c>
      <c r="AA211" s="30">
        <v>12.195015</v>
      </c>
      <c r="AB211" s="30">
        <v>12.202483000000001</v>
      </c>
      <c r="AC211" s="30">
        <v>12.203023999999999</v>
      </c>
      <c r="AD211" s="30">
        <v>12.207364999999999</v>
      </c>
      <c r="AE211" s="30">
        <v>12.196548</v>
      </c>
      <c r="AF211" s="30">
        <v>12.206644000000001</v>
      </c>
      <c r="AG211" s="30">
        <v>12.205187</v>
      </c>
      <c r="AH211" s="30">
        <v>12.200358</v>
      </c>
      <c r="AI211" s="30">
        <v>12.207890000000001</v>
      </c>
      <c r="AJ211" s="30">
        <v>12.197685</v>
      </c>
      <c r="AK211" s="30">
        <v>12.196802</v>
      </c>
      <c r="AL211" s="30">
        <v>12.204705000000001</v>
      </c>
      <c r="AM211" s="30">
        <v>12.206844</v>
      </c>
      <c r="AN211" s="30">
        <v>12.207749</v>
      </c>
      <c r="AO211" s="30">
        <v>12.202439999999999</v>
      </c>
      <c r="AP211" s="30">
        <v>12.197931000000001</v>
      </c>
      <c r="AQ211" s="30">
        <v>12.200609</v>
      </c>
      <c r="AR211" s="30">
        <v>12.207413000000001</v>
      </c>
      <c r="AS211" s="30">
        <v>12.211225000000001</v>
      </c>
      <c r="AT211" s="30">
        <v>12.196662999999999</v>
      </c>
      <c r="AU211" s="30">
        <v>12.199754</v>
      </c>
      <c r="AV211" s="30">
        <v>12.203289</v>
      </c>
      <c r="AW211" s="30">
        <v>12.206386</v>
      </c>
    </row>
    <row r="212" spans="1:49" ht="18" customHeight="1">
      <c r="A212" s="23"/>
      <c r="B212" s="19"/>
      <c r="C212" s="79" t="s">
        <v>225</v>
      </c>
      <c r="D212" s="35" t="s">
        <v>246</v>
      </c>
      <c r="E212" s="35"/>
      <c r="F212" s="29" t="s">
        <v>247</v>
      </c>
      <c r="G212" s="38">
        <v>12.13</v>
      </c>
      <c r="H212" s="38">
        <v>0.06</v>
      </c>
      <c r="I212" s="38">
        <v>0.06</v>
      </c>
      <c r="J212" s="38">
        <v>0.08</v>
      </c>
      <c r="K212" s="38">
        <v>0.06</v>
      </c>
      <c r="L212" s="30">
        <f t="shared" si="12"/>
        <v>12.221069999999999</v>
      </c>
      <c r="M212" s="30">
        <f t="shared" si="13"/>
        <v>12.194407999999999</v>
      </c>
      <c r="N212" s="30">
        <f t="shared" si="14"/>
        <v>2.6661999999999964E-2</v>
      </c>
      <c r="O212" s="31">
        <f t="shared" si="15"/>
        <v>12.203813166666666</v>
      </c>
      <c r="P212" s="52"/>
      <c r="Q212" s="30">
        <v>12.198553</v>
      </c>
      <c r="R212" s="30">
        <v>12.195693</v>
      </c>
      <c r="S212" s="30">
        <v>12.195553</v>
      </c>
      <c r="T212" s="30">
        <v>12.199553999999999</v>
      </c>
      <c r="U212" s="30">
        <v>12.201582</v>
      </c>
      <c r="V212" s="30">
        <v>12.199498999999999</v>
      </c>
      <c r="W212" s="30">
        <v>12.203975</v>
      </c>
      <c r="X212" s="30">
        <v>12.203417</v>
      </c>
      <c r="Y212" s="30">
        <v>12.206918</v>
      </c>
      <c r="Z212" s="30">
        <v>12.200979</v>
      </c>
      <c r="AA212" s="30">
        <v>12.194407999999999</v>
      </c>
      <c r="AB212" s="30">
        <v>12.205171999999999</v>
      </c>
      <c r="AC212" s="30">
        <v>12.205247</v>
      </c>
      <c r="AD212" s="30">
        <v>12.211</v>
      </c>
      <c r="AE212" s="30">
        <v>12.196102</v>
      </c>
      <c r="AF212" s="30">
        <v>12.209035</v>
      </c>
      <c r="AG212" s="30">
        <v>12.207368000000001</v>
      </c>
      <c r="AH212" s="30">
        <v>12.198879</v>
      </c>
      <c r="AI212" s="30">
        <v>12.209996</v>
      </c>
      <c r="AJ212" s="30">
        <v>12.197291999999999</v>
      </c>
      <c r="AK212" s="30">
        <v>12.199505</v>
      </c>
      <c r="AL212" s="30">
        <v>12.208209999999999</v>
      </c>
      <c r="AM212" s="30">
        <v>12.21</v>
      </c>
      <c r="AN212" s="30">
        <v>12.210264</v>
      </c>
      <c r="AO212" s="30">
        <v>12.205085</v>
      </c>
      <c r="AP212" s="30">
        <v>12.196904999999999</v>
      </c>
      <c r="AQ212" s="30">
        <v>12.206818999999999</v>
      </c>
      <c r="AR212" s="30">
        <v>12.216500999999999</v>
      </c>
      <c r="AS212" s="30">
        <v>12.221069999999999</v>
      </c>
      <c r="AT212" s="30">
        <v>12.199814</v>
      </c>
      <c r="AU212" s="30">
        <v>12.20336</v>
      </c>
      <c r="AV212" s="30">
        <v>12.204720999999999</v>
      </c>
      <c r="AW212" s="30">
        <v>12.211584999999999</v>
      </c>
    </row>
    <row r="213" spans="1:49" ht="18" customHeight="1">
      <c r="A213" s="23"/>
      <c r="B213" s="19"/>
      <c r="C213" s="79" t="s">
        <v>225</v>
      </c>
      <c r="D213" s="35" t="s">
        <v>248</v>
      </c>
      <c r="E213" s="35"/>
      <c r="F213" s="29" t="s">
        <v>249</v>
      </c>
      <c r="G213" s="38">
        <v>12.13</v>
      </c>
      <c r="H213" s="38">
        <v>0.06</v>
      </c>
      <c r="I213" s="38">
        <v>0.06</v>
      </c>
      <c r="J213" s="38">
        <v>0.08</v>
      </c>
      <c r="K213" s="38">
        <v>0.06</v>
      </c>
      <c r="L213" s="30">
        <f t="shared" si="12"/>
        <v>12.189226</v>
      </c>
      <c r="M213" s="30">
        <f t="shared" si="13"/>
        <v>12.160994000000001</v>
      </c>
      <c r="N213" s="30">
        <f t="shared" si="14"/>
        <v>2.8231999999999147E-2</v>
      </c>
      <c r="O213" s="31">
        <f t="shared" si="15"/>
        <v>12.169608933333334</v>
      </c>
      <c r="P213" s="52"/>
      <c r="Q213" s="30">
        <v>12.160994000000001</v>
      </c>
      <c r="R213" s="30">
        <v>12.163081</v>
      </c>
      <c r="S213" s="30">
        <v>12.164504000000001</v>
      </c>
      <c r="T213" s="30">
        <v>12.166572</v>
      </c>
      <c r="U213" s="30">
        <v>12.167159</v>
      </c>
      <c r="V213" s="30">
        <v>12.164686</v>
      </c>
      <c r="W213" s="30">
        <v>12.164145</v>
      </c>
      <c r="X213" s="30">
        <v>12.166145999999999</v>
      </c>
      <c r="Y213" s="30">
        <v>12.172412</v>
      </c>
      <c r="Z213" s="30">
        <v>12.166464</v>
      </c>
      <c r="AA213" s="30">
        <v>12.161163</v>
      </c>
      <c r="AB213" s="30">
        <v>12.178375000000001</v>
      </c>
      <c r="AC213" s="30">
        <v>12.167826</v>
      </c>
      <c r="AD213" s="30">
        <v>12.171923</v>
      </c>
      <c r="AE213" s="30">
        <v>12.163347</v>
      </c>
      <c r="AF213" s="30">
        <v>12.174849999999999</v>
      </c>
      <c r="AG213" s="30">
        <v>12.174147</v>
      </c>
      <c r="AH213" s="30">
        <v>12.163015</v>
      </c>
      <c r="AI213" s="30">
        <v>12.173373</v>
      </c>
      <c r="AJ213" s="30">
        <v>12.161165</v>
      </c>
      <c r="AK213" s="30">
        <v>12.170396</v>
      </c>
      <c r="AL213" s="30">
        <v>12.178692</v>
      </c>
      <c r="AM213" s="30">
        <v>12.175076000000001</v>
      </c>
      <c r="AN213" s="30">
        <v>12.175897000000001</v>
      </c>
      <c r="AO213" s="30">
        <v>12.169814000000001</v>
      </c>
      <c r="AP213" s="30">
        <v>12.161557999999999</v>
      </c>
      <c r="AQ213" s="30">
        <v>12.176985</v>
      </c>
      <c r="AR213" s="30">
        <v>12.176532999999999</v>
      </c>
      <c r="AS213" s="30">
        <v>12.189226</v>
      </c>
      <c r="AT213" s="30">
        <v>12.168744</v>
      </c>
      <c r="AU213" s="30">
        <v>12.171609</v>
      </c>
      <c r="AV213" s="30">
        <v>12.173413999999999</v>
      </c>
      <c r="AW213" s="30">
        <v>12.172717</v>
      </c>
    </row>
    <row r="214" spans="1:49" ht="18" customHeight="1">
      <c r="A214" s="23"/>
      <c r="B214" s="19"/>
      <c r="C214" s="79" t="s">
        <v>225</v>
      </c>
      <c r="D214" s="35" t="s">
        <v>250</v>
      </c>
      <c r="E214" s="35"/>
      <c r="F214" s="29" t="s">
        <v>251</v>
      </c>
      <c r="G214" s="38">
        <v>12.13</v>
      </c>
      <c r="H214" s="38">
        <v>0.06</v>
      </c>
      <c r="I214" s="38">
        <v>0.06</v>
      </c>
      <c r="J214" s="38">
        <v>0.08</v>
      </c>
      <c r="K214" s="38">
        <v>0.06</v>
      </c>
      <c r="L214" s="30">
        <f t="shared" si="12"/>
        <v>12.189847</v>
      </c>
      <c r="M214" s="30">
        <f t="shared" si="13"/>
        <v>12.171665000000001</v>
      </c>
      <c r="N214" s="30">
        <f t="shared" si="14"/>
        <v>1.8181999999999476E-2</v>
      </c>
      <c r="O214" s="31">
        <f t="shared" si="15"/>
        <v>12.178287166666662</v>
      </c>
      <c r="P214" s="52"/>
      <c r="Q214" s="30">
        <v>12.174962000000001</v>
      </c>
      <c r="R214" s="30">
        <v>12.181886</v>
      </c>
      <c r="S214" s="30">
        <v>12.179402</v>
      </c>
      <c r="T214" s="30">
        <v>12.178815999999999</v>
      </c>
      <c r="U214" s="30">
        <v>12.177861999999999</v>
      </c>
      <c r="V214" s="30">
        <v>12.176532999999999</v>
      </c>
      <c r="W214" s="30">
        <v>12.173762</v>
      </c>
      <c r="X214" s="30">
        <v>12.174704999999999</v>
      </c>
      <c r="Y214" s="30">
        <v>12.18102</v>
      </c>
      <c r="Z214" s="30">
        <v>12.177019</v>
      </c>
      <c r="AA214" s="30">
        <v>12.173864999999999</v>
      </c>
      <c r="AB214" s="30">
        <v>12.171665000000001</v>
      </c>
      <c r="AC214" s="30">
        <v>12.173888</v>
      </c>
      <c r="AD214" s="30">
        <v>12.174310999999999</v>
      </c>
      <c r="AE214" s="30">
        <v>12.1791</v>
      </c>
      <c r="AF214" s="30">
        <v>12.178512</v>
      </c>
      <c r="AG214" s="30">
        <v>12.181412999999999</v>
      </c>
      <c r="AH214" s="30">
        <v>12.172364</v>
      </c>
      <c r="AI214" s="30">
        <v>12.173093</v>
      </c>
      <c r="AJ214" s="30">
        <v>12.172453000000001</v>
      </c>
      <c r="AK214" s="30">
        <v>12.182112</v>
      </c>
      <c r="AL214" s="30">
        <v>12.185399</v>
      </c>
      <c r="AM214" s="30">
        <v>12.176958000000001</v>
      </c>
      <c r="AN214" s="30">
        <v>12.180878</v>
      </c>
      <c r="AO214" s="30">
        <v>12.181227</v>
      </c>
      <c r="AP214" s="30">
        <v>12.179091</v>
      </c>
      <c r="AQ214" s="30">
        <v>12.189847</v>
      </c>
      <c r="AR214" s="30">
        <v>12.176313</v>
      </c>
      <c r="AS214" s="30">
        <v>12.189166999999999</v>
      </c>
      <c r="AT214" s="30">
        <v>12.180992</v>
      </c>
      <c r="AU214" s="30">
        <v>12.182829999999999</v>
      </c>
      <c r="AV214" s="30">
        <v>12.183562</v>
      </c>
      <c r="AW214" s="30">
        <v>12.176017</v>
      </c>
    </row>
    <row r="215" spans="1:49" ht="18" customHeight="1">
      <c r="A215" s="23"/>
      <c r="B215" s="19"/>
      <c r="C215" s="79" t="s">
        <v>225</v>
      </c>
      <c r="D215" s="35" t="s">
        <v>252</v>
      </c>
      <c r="E215" s="35"/>
      <c r="F215" s="29" t="s">
        <v>253</v>
      </c>
      <c r="G215" s="38">
        <v>12.13</v>
      </c>
      <c r="H215" s="38">
        <v>0.06</v>
      </c>
      <c r="I215" s="38">
        <v>0.06</v>
      </c>
      <c r="J215" s="38">
        <v>0.08</v>
      </c>
      <c r="K215" s="38">
        <v>0.06</v>
      </c>
      <c r="L215" s="30">
        <f t="shared" si="12"/>
        <v>12.194725999999999</v>
      </c>
      <c r="M215" s="30">
        <f t="shared" si="13"/>
        <v>12.184843000000001</v>
      </c>
      <c r="N215" s="30">
        <f t="shared" si="14"/>
        <v>9.8829999999985318E-3</v>
      </c>
      <c r="O215" s="31">
        <f t="shared" si="15"/>
        <v>12.189509966666668</v>
      </c>
      <c r="P215" s="52"/>
      <c r="Q215" s="30">
        <v>12.18905</v>
      </c>
      <c r="R215" s="30">
        <v>12.192124</v>
      </c>
      <c r="S215" s="30">
        <v>12.187575000000001</v>
      </c>
      <c r="T215" s="30">
        <v>12.190167000000001</v>
      </c>
      <c r="U215" s="30">
        <v>12.188495</v>
      </c>
      <c r="V215" s="30">
        <v>12.189365</v>
      </c>
      <c r="W215" s="30">
        <v>12.186809</v>
      </c>
      <c r="X215" s="30">
        <v>12.186976</v>
      </c>
      <c r="Y215" s="30">
        <v>12.191402</v>
      </c>
      <c r="Z215" s="30">
        <v>12.187792999999999</v>
      </c>
      <c r="AA215" s="30">
        <v>12.186545000000001</v>
      </c>
      <c r="AB215" s="30">
        <v>12.184843000000001</v>
      </c>
      <c r="AC215" s="30">
        <v>12.187136000000001</v>
      </c>
      <c r="AD215" s="30">
        <v>12.187089</v>
      </c>
      <c r="AE215" s="30">
        <v>12.189427999999999</v>
      </c>
      <c r="AF215" s="30">
        <v>12.190465</v>
      </c>
      <c r="AG215" s="30">
        <v>12.192534999999999</v>
      </c>
      <c r="AH215" s="30">
        <v>12.187541</v>
      </c>
      <c r="AI215" s="30">
        <v>12.186572</v>
      </c>
      <c r="AJ215" s="30">
        <v>12.186723000000001</v>
      </c>
      <c r="AK215" s="30">
        <v>12.192404</v>
      </c>
      <c r="AL215" s="30">
        <v>12.194725999999999</v>
      </c>
      <c r="AM215" s="30">
        <v>12.190227999999999</v>
      </c>
      <c r="AN215" s="30">
        <v>12.19402</v>
      </c>
      <c r="AO215" s="30">
        <v>12.19209</v>
      </c>
      <c r="AP215" s="30">
        <v>12.189708</v>
      </c>
      <c r="AQ215" s="30">
        <v>12.192427</v>
      </c>
      <c r="AR215" s="30">
        <v>12.186432</v>
      </c>
      <c r="AS215" s="30">
        <v>12.193116</v>
      </c>
      <c r="AT215" s="30">
        <v>12.191515000000001</v>
      </c>
      <c r="AU215" s="30">
        <v>12.191349000000001</v>
      </c>
      <c r="AV215" s="30">
        <v>12.192913000000001</v>
      </c>
      <c r="AW215" s="30">
        <v>12.187962000000001</v>
      </c>
    </row>
    <row r="216" spans="1:49" ht="18" customHeight="1">
      <c r="A216" s="23"/>
      <c r="B216" s="19"/>
      <c r="C216" s="79" t="s">
        <v>225</v>
      </c>
      <c r="D216" s="35" t="s">
        <v>254</v>
      </c>
      <c r="E216" s="35"/>
      <c r="F216" s="29" t="s">
        <v>255</v>
      </c>
      <c r="G216" s="38">
        <v>12.13</v>
      </c>
      <c r="H216" s="38">
        <v>0.06</v>
      </c>
      <c r="I216" s="38">
        <v>0.06</v>
      </c>
      <c r="J216" s="38">
        <v>0.08</v>
      </c>
      <c r="K216" s="38">
        <v>0.06</v>
      </c>
      <c r="L216" s="30">
        <f t="shared" si="12"/>
        <v>12.186183</v>
      </c>
      <c r="M216" s="30">
        <f t="shared" si="13"/>
        <v>12.172029999999999</v>
      </c>
      <c r="N216" s="30">
        <f t="shared" si="14"/>
        <v>1.4153000000000304E-2</v>
      </c>
      <c r="O216" s="31">
        <f t="shared" si="15"/>
        <v>12.177928999999999</v>
      </c>
      <c r="P216" s="52"/>
      <c r="Q216" s="30">
        <v>12.176211</v>
      </c>
      <c r="R216" s="30">
        <v>12.175293</v>
      </c>
      <c r="S216" s="30">
        <v>12.172530999999999</v>
      </c>
      <c r="T216" s="30">
        <v>12.181103</v>
      </c>
      <c r="U216" s="30">
        <v>12.177536999999999</v>
      </c>
      <c r="V216" s="30">
        <v>12.178159000000001</v>
      </c>
      <c r="W216" s="30">
        <v>12.176223</v>
      </c>
      <c r="X216" s="30">
        <v>12.177239</v>
      </c>
      <c r="Y216" s="30">
        <v>12.180991000000001</v>
      </c>
      <c r="Z216" s="30">
        <v>12.177068999999999</v>
      </c>
      <c r="AA216" s="30">
        <v>12.172029999999999</v>
      </c>
      <c r="AB216" s="30">
        <v>12.174651000000001</v>
      </c>
      <c r="AC216" s="30">
        <v>12.174023</v>
      </c>
      <c r="AD216" s="30">
        <v>12.174414000000001</v>
      </c>
      <c r="AE216" s="30">
        <v>12.1729</v>
      </c>
      <c r="AF216" s="30">
        <v>12.178489000000001</v>
      </c>
      <c r="AG216" s="30">
        <v>12.182872</v>
      </c>
      <c r="AH216" s="30">
        <v>12.175739</v>
      </c>
      <c r="AI216" s="30">
        <v>12.177341999999999</v>
      </c>
      <c r="AJ216" s="30">
        <v>12.173607000000001</v>
      </c>
      <c r="AK216" s="30">
        <v>12.181626</v>
      </c>
      <c r="AL216" s="30">
        <v>12.185919999999999</v>
      </c>
      <c r="AM216" s="30">
        <v>12.180462</v>
      </c>
      <c r="AN216" s="30">
        <v>12.186183</v>
      </c>
      <c r="AO216" s="30">
        <v>12.18003</v>
      </c>
      <c r="AP216" s="30">
        <v>12.173252</v>
      </c>
      <c r="AQ216" s="30">
        <v>12.178538</v>
      </c>
      <c r="AR216" s="30">
        <v>12.177284</v>
      </c>
      <c r="AS216" s="30">
        <v>12.181743000000001</v>
      </c>
      <c r="AT216" s="30">
        <v>12.184409</v>
      </c>
      <c r="AU216" s="30">
        <v>12.181652</v>
      </c>
      <c r="AV216" s="30">
        <v>12.184998999999999</v>
      </c>
      <c r="AW216" s="30">
        <v>12.182359</v>
      </c>
    </row>
    <row r="217" spans="1:49" ht="18" customHeight="1">
      <c r="A217" s="23"/>
      <c r="B217" s="19"/>
      <c r="C217" s="79" t="s">
        <v>225</v>
      </c>
      <c r="D217" s="35" t="s">
        <v>256</v>
      </c>
      <c r="E217" s="35"/>
      <c r="F217" s="29" t="s">
        <v>257</v>
      </c>
      <c r="G217" s="38">
        <v>12.13</v>
      </c>
      <c r="H217" s="38">
        <v>0.06</v>
      </c>
      <c r="I217" s="38">
        <v>0.06</v>
      </c>
      <c r="J217" s="38">
        <v>0.08</v>
      </c>
      <c r="K217" s="38">
        <v>0.06</v>
      </c>
      <c r="L217" s="30">
        <f t="shared" si="12"/>
        <v>12.198402</v>
      </c>
      <c r="M217" s="30">
        <f t="shared" si="13"/>
        <v>12.182228</v>
      </c>
      <c r="N217" s="30">
        <f t="shared" si="14"/>
        <v>1.6173999999999467E-2</v>
      </c>
      <c r="O217" s="31">
        <f t="shared" si="15"/>
        <v>12.1898575</v>
      </c>
      <c r="P217" s="52"/>
      <c r="Q217" s="30">
        <v>12.189544</v>
      </c>
      <c r="R217" s="30">
        <v>12.186351999999999</v>
      </c>
      <c r="S217" s="30">
        <v>12.183748</v>
      </c>
      <c r="T217" s="30">
        <v>12.192221999999999</v>
      </c>
      <c r="U217" s="30">
        <v>12.191345999999999</v>
      </c>
      <c r="V217" s="30">
        <v>12.192779</v>
      </c>
      <c r="W217" s="30">
        <v>12.18981</v>
      </c>
      <c r="X217" s="30">
        <v>12.189546</v>
      </c>
      <c r="Y217" s="30">
        <v>12.193415</v>
      </c>
      <c r="Z217" s="30">
        <v>12.188624000000001</v>
      </c>
      <c r="AA217" s="30">
        <v>12.187021</v>
      </c>
      <c r="AB217" s="30">
        <v>12.188567000000001</v>
      </c>
      <c r="AC217" s="30">
        <v>12.188148</v>
      </c>
      <c r="AD217" s="30">
        <v>12.187306</v>
      </c>
      <c r="AE217" s="30">
        <v>12.185994000000001</v>
      </c>
      <c r="AF217" s="30">
        <v>12.192617</v>
      </c>
      <c r="AG217" s="30">
        <v>12.19411</v>
      </c>
      <c r="AH217" s="30">
        <v>12.191321</v>
      </c>
      <c r="AI217" s="30">
        <v>12.189374000000001</v>
      </c>
      <c r="AJ217" s="30">
        <v>12.186325999999999</v>
      </c>
      <c r="AK217" s="30">
        <v>12.192347</v>
      </c>
      <c r="AL217" s="30">
        <v>12.194887</v>
      </c>
      <c r="AM217" s="30">
        <v>12.194330000000001</v>
      </c>
      <c r="AN217" s="30">
        <v>12.198402</v>
      </c>
      <c r="AO217" s="30">
        <v>12.192193</v>
      </c>
      <c r="AP217" s="30">
        <v>12.183354</v>
      </c>
      <c r="AQ217" s="30">
        <v>12.182228</v>
      </c>
      <c r="AR217" s="30">
        <v>12.187002</v>
      </c>
      <c r="AS217" s="30">
        <v>12.18704</v>
      </c>
      <c r="AT217" s="30">
        <v>12.195772</v>
      </c>
      <c r="AU217" s="30">
        <v>12.188972</v>
      </c>
      <c r="AV217" s="30">
        <v>12.194966000000001</v>
      </c>
      <c r="AW217" s="30">
        <v>12.194656</v>
      </c>
    </row>
    <row r="218" spans="1:49" ht="18" customHeight="1">
      <c r="A218" s="23"/>
      <c r="B218" s="19"/>
      <c r="C218" s="79" t="s">
        <v>225</v>
      </c>
      <c r="D218" s="35" t="s">
        <v>258</v>
      </c>
      <c r="E218" s="35"/>
      <c r="F218" s="29" t="s">
        <v>259</v>
      </c>
      <c r="G218" s="38">
        <v>14.13</v>
      </c>
      <c r="H218" s="38">
        <v>0.05</v>
      </c>
      <c r="I218" s="38">
        <v>0.05</v>
      </c>
      <c r="J218" s="38">
        <v>0.08</v>
      </c>
      <c r="K218" s="38">
        <v>0.05</v>
      </c>
      <c r="L218" s="30">
        <f t="shared" si="12"/>
        <v>14.157042000000001</v>
      </c>
      <c r="M218" s="30">
        <f t="shared" si="13"/>
        <v>14.122878999999999</v>
      </c>
      <c r="N218" s="30">
        <f t="shared" si="14"/>
        <v>3.4163000000001276E-2</v>
      </c>
      <c r="O218" s="31">
        <f t="shared" si="15"/>
        <v>14.142218766666666</v>
      </c>
      <c r="P218" s="52"/>
      <c r="Q218" s="30">
        <v>14.122878999999999</v>
      </c>
      <c r="R218" s="30">
        <v>14.133696</v>
      </c>
      <c r="S218" s="30">
        <v>14.139047</v>
      </c>
      <c r="T218" s="30">
        <v>14.137888999999999</v>
      </c>
      <c r="U218" s="30">
        <v>14.141655</v>
      </c>
      <c r="V218" s="30">
        <v>14.140369</v>
      </c>
      <c r="W218" s="30">
        <v>14.14073</v>
      </c>
      <c r="X218" s="30">
        <v>14.145244</v>
      </c>
      <c r="Y218" s="30">
        <v>14.148547000000001</v>
      </c>
      <c r="Z218" s="30">
        <v>14.141005</v>
      </c>
      <c r="AA218" s="30">
        <v>14.134245999999999</v>
      </c>
      <c r="AB218" s="30">
        <v>14.146833000000001</v>
      </c>
      <c r="AC218" s="30">
        <v>14.141843</v>
      </c>
      <c r="AD218" s="30">
        <v>14.143522000000001</v>
      </c>
      <c r="AE218" s="30">
        <v>14.141081</v>
      </c>
      <c r="AF218" s="30">
        <v>14.151643</v>
      </c>
      <c r="AG218" s="30">
        <v>14.150535</v>
      </c>
      <c r="AH218" s="30">
        <v>14.128685000000001</v>
      </c>
      <c r="AI218" s="30">
        <v>14.137176</v>
      </c>
      <c r="AJ218" s="30">
        <v>14.126267</v>
      </c>
      <c r="AK218" s="30">
        <v>14.145431</v>
      </c>
      <c r="AL218" s="30">
        <v>14.150623</v>
      </c>
      <c r="AM218" s="30">
        <v>14.143551</v>
      </c>
      <c r="AN218" s="30">
        <v>14.148261</v>
      </c>
      <c r="AO218" s="30">
        <v>14.145991</v>
      </c>
      <c r="AP218" s="30">
        <v>14.136044999999999</v>
      </c>
      <c r="AQ218" s="30">
        <v>14.15071</v>
      </c>
      <c r="AR218" s="30">
        <v>14.151792</v>
      </c>
      <c r="AS218" s="30">
        <v>14.157042000000001</v>
      </c>
      <c r="AT218" s="30">
        <v>14.144225</v>
      </c>
      <c r="AU218" s="30">
        <v>14.144819</v>
      </c>
      <c r="AV218" s="30">
        <v>14.146029</v>
      </c>
      <c r="AW218" s="30">
        <v>14.148581</v>
      </c>
    </row>
    <row r="219" spans="1:49" ht="18" customHeight="1">
      <c r="A219" s="23"/>
      <c r="B219" s="19"/>
      <c r="C219" s="79" t="s">
        <v>225</v>
      </c>
      <c r="D219" s="35" t="s">
        <v>260</v>
      </c>
      <c r="E219" s="35"/>
      <c r="F219" s="29" t="s">
        <v>261</v>
      </c>
      <c r="G219" s="38">
        <v>14.13</v>
      </c>
      <c r="H219" s="38">
        <v>0.05</v>
      </c>
      <c r="I219" s="38">
        <v>0.05</v>
      </c>
      <c r="J219" s="38">
        <v>0.08</v>
      </c>
      <c r="K219" s="38">
        <v>0.05</v>
      </c>
      <c r="L219" s="30">
        <f t="shared" si="12"/>
        <v>14.144727</v>
      </c>
      <c r="M219" s="30">
        <f t="shared" si="13"/>
        <v>14.121943</v>
      </c>
      <c r="N219" s="30">
        <f t="shared" si="14"/>
        <v>2.2783999999999693E-2</v>
      </c>
      <c r="O219" s="31">
        <f t="shared" si="15"/>
        <v>14.135099499999999</v>
      </c>
      <c r="P219" s="52"/>
      <c r="Q219" s="30">
        <v>14.123536</v>
      </c>
      <c r="R219" s="30">
        <v>14.13599</v>
      </c>
      <c r="S219" s="30">
        <v>14.132876</v>
      </c>
      <c r="T219" s="30">
        <v>14.136824000000001</v>
      </c>
      <c r="U219" s="30">
        <v>14.13706</v>
      </c>
      <c r="V219" s="30">
        <v>14.135821999999999</v>
      </c>
      <c r="W219" s="30">
        <v>14.133155</v>
      </c>
      <c r="X219" s="30">
        <v>14.137532999999999</v>
      </c>
      <c r="Y219" s="30">
        <v>14.140558</v>
      </c>
      <c r="Z219" s="30">
        <v>14.134452</v>
      </c>
      <c r="AA219" s="30">
        <v>14.129253</v>
      </c>
      <c r="AB219" s="30">
        <v>14.135472999999999</v>
      </c>
      <c r="AC219" s="30">
        <v>14.13275</v>
      </c>
      <c r="AD219" s="30">
        <v>14.13374</v>
      </c>
      <c r="AE219" s="30">
        <v>14.132849</v>
      </c>
      <c r="AF219" s="30">
        <v>14.138282</v>
      </c>
      <c r="AG219" s="30">
        <v>14.141169</v>
      </c>
      <c r="AH219" s="30">
        <v>14.122629999999999</v>
      </c>
      <c r="AI219" s="30">
        <v>14.127373</v>
      </c>
      <c r="AJ219" s="30">
        <v>14.121943</v>
      </c>
      <c r="AK219" s="30">
        <v>14.138624</v>
      </c>
      <c r="AL219" s="30">
        <v>14.143458000000001</v>
      </c>
      <c r="AM219" s="30">
        <v>14.135256999999999</v>
      </c>
      <c r="AN219" s="30">
        <v>14.142116</v>
      </c>
      <c r="AO219" s="30">
        <v>14.140510000000001</v>
      </c>
      <c r="AP219" s="30">
        <v>14.132517999999999</v>
      </c>
      <c r="AQ219" s="30">
        <v>14.139182999999999</v>
      </c>
      <c r="AR219" s="30">
        <v>14.138583000000001</v>
      </c>
      <c r="AS219" s="30">
        <v>14.144727</v>
      </c>
      <c r="AT219" s="30">
        <v>14.134741</v>
      </c>
      <c r="AU219" s="30">
        <v>14.136642999999999</v>
      </c>
      <c r="AV219" s="30">
        <v>14.141140999999999</v>
      </c>
      <c r="AW219" s="30">
        <v>14.138513</v>
      </c>
    </row>
    <row r="220" spans="1:49" ht="18" customHeight="1">
      <c r="A220" s="23"/>
      <c r="B220" s="19"/>
      <c r="C220" s="79" t="s">
        <v>225</v>
      </c>
      <c r="D220" s="35" t="s">
        <v>262</v>
      </c>
      <c r="E220" s="35"/>
      <c r="F220" s="29" t="s">
        <v>263</v>
      </c>
      <c r="G220" s="38">
        <v>14.13</v>
      </c>
      <c r="H220" s="38">
        <v>0.05</v>
      </c>
      <c r="I220" s="38">
        <v>0.05</v>
      </c>
      <c r="J220" s="38">
        <v>0.08</v>
      </c>
      <c r="K220" s="38">
        <v>0.05</v>
      </c>
      <c r="L220" s="30">
        <f t="shared" si="12"/>
        <v>14.155507</v>
      </c>
      <c r="M220" s="30">
        <f t="shared" si="13"/>
        <v>14.139398999999999</v>
      </c>
      <c r="N220" s="30">
        <f t="shared" si="14"/>
        <v>1.6108000000000899E-2</v>
      </c>
      <c r="O220" s="31">
        <f t="shared" si="15"/>
        <v>14.149890133333335</v>
      </c>
      <c r="P220" s="52"/>
      <c r="Q220" s="30">
        <v>14.144721000000001</v>
      </c>
      <c r="R220" s="30">
        <v>14.155367</v>
      </c>
      <c r="S220" s="30">
        <v>14.146893</v>
      </c>
      <c r="T220" s="30">
        <v>14.153107</v>
      </c>
      <c r="U220" s="30">
        <v>14.150903</v>
      </c>
      <c r="V220" s="30">
        <v>14.150498000000001</v>
      </c>
      <c r="W220" s="30">
        <v>14.149805000000001</v>
      </c>
      <c r="X220" s="30">
        <v>14.152062000000001</v>
      </c>
      <c r="Y220" s="30">
        <v>14.154804</v>
      </c>
      <c r="Z220" s="30">
        <v>14.149856</v>
      </c>
      <c r="AA220" s="30">
        <v>14.14791</v>
      </c>
      <c r="AB220" s="30">
        <v>14.151114</v>
      </c>
      <c r="AC220" s="30">
        <v>14.149768999999999</v>
      </c>
      <c r="AD220" s="30">
        <v>14.15128</v>
      </c>
      <c r="AE220" s="30">
        <v>14.152278000000001</v>
      </c>
      <c r="AF220" s="30">
        <v>14.152105000000001</v>
      </c>
      <c r="AG220" s="30">
        <v>14.155507</v>
      </c>
      <c r="AH220" s="30">
        <v>14.140461999999999</v>
      </c>
      <c r="AI220" s="30">
        <v>14.140775</v>
      </c>
      <c r="AJ220" s="30">
        <v>14.139398999999999</v>
      </c>
      <c r="AK220" s="30">
        <v>14.150496</v>
      </c>
      <c r="AL220" s="30">
        <v>14.153442</v>
      </c>
      <c r="AM220" s="30">
        <v>14.148935</v>
      </c>
      <c r="AN220" s="30">
        <v>14.154735000000001</v>
      </c>
      <c r="AO220" s="30">
        <v>14.154930999999999</v>
      </c>
      <c r="AP220" s="30">
        <v>14.149227</v>
      </c>
      <c r="AQ220" s="30">
        <v>14.14744</v>
      </c>
      <c r="AR220" s="30">
        <v>14.148073999999999</v>
      </c>
      <c r="AS220" s="30">
        <v>14.154420999999999</v>
      </c>
      <c r="AT220" s="30">
        <v>14.146388</v>
      </c>
      <c r="AU220" s="30">
        <v>14.151256</v>
      </c>
      <c r="AV220" s="30">
        <v>14.15171</v>
      </c>
      <c r="AW220" s="30">
        <v>14.144774</v>
      </c>
    </row>
    <row r="221" spans="1:49" ht="18" customHeight="1">
      <c r="A221" s="23"/>
      <c r="B221" s="19"/>
      <c r="C221" s="79" t="s">
        <v>225</v>
      </c>
      <c r="D221" s="35" t="s">
        <v>264</v>
      </c>
      <c r="E221" s="35"/>
      <c r="F221" s="29" t="s">
        <v>265</v>
      </c>
      <c r="G221" s="38">
        <v>14.13</v>
      </c>
      <c r="H221" s="38">
        <v>0.05</v>
      </c>
      <c r="I221" s="38">
        <v>0.05</v>
      </c>
      <c r="J221" s="38">
        <v>0.08</v>
      </c>
      <c r="K221" s="38">
        <v>0.05</v>
      </c>
      <c r="L221" s="30">
        <f t="shared" si="12"/>
        <v>14.145991</v>
      </c>
      <c r="M221" s="30">
        <f t="shared" si="13"/>
        <v>14.130812000000001</v>
      </c>
      <c r="N221" s="30">
        <f t="shared" si="14"/>
        <v>1.5178999999999832E-2</v>
      </c>
      <c r="O221" s="31">
        <f t="shared" si="15"/>
        <v>14.139250400000002</v>
      </c>
      <c r="P221" s="52"/>
      <c r="Q221" s="30">
        <v>14.136502</v>
      </c>
      <c r="R221" s="30">
        <v>14.145614999999999</v>
      </c>
      <c r="S221" s="30">
        <v>14.136164000000001</v>
      </c>
      <c r="T221" s="30">
        <v>14.143053999999999</v>
      </c>
      <c r="U221" s="30">
        <v>14.139381</v>
      </c>
      <c r="V221" s="30">
        <v>14.140416999999999</v>
      </c>
      <c r="W221" s="30">
        <v>14.140447</v>
      </c>
      <c r="X221" s="30">
        <v>14.139613000000001</v>
      </c>
      <c r="Y221" s="30">
        <v>14.143229</v>
      </c>
      <c r="Z221" s="30">
        <v>14.139742</v>
      </c>
      <c r="AA221" s="30">
        <v>14.139859</v>
      </c>
      <c r="AB221" s="30">
        <v>14.135472</v>
      </c>
      <c r="AC221" s="30">
        <v>14.13978</v>
      </c>
      <c r="AD221" s="30">
        <v>14.140924</v>
      </c>
      <c r="AE221" s="30">
        <v>14.143796999999999</v>
      </c>
      <c r="AF221" s="30">
        <v>14.140890000000001</v>
      </c>
      <c r="AG221" s="30">
        <v>14.143647</v>
      </c>
      <c r="AH221" s="30">
        <v>14.134683000000001</v>
      </c>
      <c r="AI221" s="30">
        <v>14.130929</v>
      </c>
      <c r="AJ221" s="30">
        <v>14.133317999999999</v>
      </c>
      <c r="AK221" s="30">
        <v>14.140053</v>
      </c>
      <c r="AL221" s="30">
        <v>14.143364999999999</v>
      </c>
      <c r="AM221" s="30">
        <v>14.137563</v>
      </c>
      <c r="AN221" s="30">
        <v>14.144323</v>
      </c>
      <c r="AO221" s="30">
        <v>14.145991</v>
      </c>
      <c r="AP221" s="30">
        <v>14.14296</v>
      </c>
      <c r="AQ221" s="30">
        <v>14.130812000000001</v>
      </c>
      <c r="AR221" s="30">
        <v>14.132144</v>
      </c>
      <c r="AS221" s="30">
        <v>14.137216</v>
      </c>
      <c r="AT221" s="30">
        <v>14.135622</v>
      </c>
      <c r="AU221" s="30">
        <v>14.139986</v>
      </c>
      <c r="AV221" s="30">
        <v>14.140415000000001</v>
      </c>
      <c r="AW221" s="30">
        <v>14.129583999999999</v>
      </c>
    </row>
    <row r="222" spans="1:49" ht="18" customHeight="1">
      <c r="A222" s="23"/>
      <c r="B222" s="19"/>
      <c r="C222" s="79" t="s">
        <v>225</v>
      </c>
      <c r="D222" s="35" t="s">
        <v>266</v>
      </c>
      <c r="E222" s="35" t="s">
        <v>399</v>
      </c>
      <c r="F222" s="29" t="s">
        <v>268</v>
      </c>
      <c r="G222" s="38">
        <v>14.13</v>
      </c>
      <c r="H222" s="38">
        <v>0.05</v>
      </c>
      <c r="I222" s="38">
        <v>0.05</v>
      </c>
      <c r="J222" s="38">
        <v>0.08</v>
      </c>
      <c r="K222" s="38">
        <v>0.05</v>
      </c>
      <c r="L222" s="30">
        <f t="shared" si="12"/>
        <v>14.144641</v>
      </c>
      <c r="M222" s="30">
        <f t="shared" si="13"/>
        <v>14.129251</v>
      </c>
      <c r="N222" s="30">
        <f t="shared" si="14"/>
        <v>1.5390000000000015E-2</v>
      </c>
      <c r="O222" s="31">
        <f t="shared" si="15"/>
        <v>14.136952933333335</v>
      </c>
      <c r="P222" s="52"/>
      <c r="Q222" s="30">
        <v>14.133749</v>
      </c>
      <c r="R222" s="30">
        <v>14.142148000000001</v>
      </c>
      <c r="S222" s="30">
        <v>14.133366000000001</v>
      </c>
      <c r="T222" s="30">
        <v>14.140495</v>
      </c>
      <c r="U222" s="30">
        <v>14.135123</v>
      </c>
      <c r="V222" s="30">
        <v>14.137067</v>
      </c>
      <c r="W222" s="30">
        <v>14.138056000000001</v>
      </c>
      <c r="X222" s="30">
        <v>14.135882000000001</v>
      </c>
      <c r="Y222" s="30">
        <v>14.141500000000001</v>
      </c>
      <c r="Z222" s="30">
        <v>14.137079</v>
      </c>
      <c r="AA222" s="30">
        <v>14.135816</v>
      </c>
      <c r="AB222" s="30">
        <v>14.1341</v>
      </c>
      <c r="AC222" s="30">
        <v>14.136298999999999</v>
      </c>
      <c r="AD222" s="30">
        <v>14.138985</v>
      </c>
      <c r="AE222" s="30">
        <v>14.140003</v>
      </c>
      <c r="AF222" s="30">
        <v>14.138915000000001</v>
      </c>
      <c r="AG222" s="30">
        <v>14.140779999999999</v>
      </c>
      <c r="AH222" s="30">
        <v>14.134152</v>
      </c>
      <c r="AI222" s="30">
        <v>14.129251</v>
      </c>
      <c r="AJ222" s="30">
        <v>14.130922999999999</v>
      </c>
      <c r="AK222" s="30">
        <v>14.136945000000001</v>
      </c>
      <c r="AL222" s="30">
        <v>14.143701</v>
      </c>
      <c r="AM222" s="30">
        <v>14.137062</v>
      </c>
      <c r="AN222" s="30">
        <v>14.143293</v>
      </c>
      <c r="AO222" s="30">
        <v>14.144641</v>
      </c>
      <c r="AP222" s="30">
        <v>14.141374000000001</v>
      </c>
      <c r="AQ222" s="30">
        <v>14.129352000000001</v>
      </c>
      <c r="AR222" s="30">
        <v>14.130421</v>
      </c>
      <c r="AS222" s="30">
        <v>14.136336999999999</v>
      </c>
      <c r="AT222" s="30">
        <v>14.131773000000001</v>
      </c>
      <c r="AU222" s="30">
        <v>14.136037</v>
      </c>
      <c r="AV222" s="30">
        <v>14.138508</v>
      </c>
      <c r="AW222" s="30">
        <v>14.128318999999999</v>
      </c>
    </row>
    <row r="223" spans="1:49" ht="18" customHeight="1">
      <c r="A223" s="23"/>
      <c r="B223" s="19"/>
      <c r="C223" s="79" t="s">
        <v>225</v>
      </c>
      <c r="D223" s="35" t="s">
        <v>269</v>
      </c>
      <c r="E223" s="35"/>
      <c r="F223" s="29" t="s">
        <v>270</v>
      </c>
      <c r="G223" s="38">
        <v>14.13</v>
      </c>
      <c r="H223" s="38">
        <v>0.05</v>
      </c>
      <c r="I223" s="38">
        <v>0.05</v>
      </c>
      <c r="J223" s="38">
        <v>0.08</v>
      </c>
      <c r="K223" s="38">
        <v>0.05</v>
      </c>
      <c r="L223" s="30">
        <f t="shared" si="12"/>
        <v>14.138640000000001</v>
      </c>
      <c r="M223" s="30">
        <f t="shared" si="13"/>
        <v>14.123495</v>
      </c>
      <c r="N223" s="30">
        <f t="shared" si="14"/>
        <v>1.5145000000000408E-2</v>
      </c>
      <c r="O223" s="31">
        <f t="shared" si="15"/>
        <v>14.131346200000001</v>
      </c>
      <c r="P223" s="52"/>
      <c r="Q223" s="30">
        <v>14.127694</v>
      </c>
      <c r="R223" s="30">
        <v>14.135127000000001</v>
      </c>
      <c r="S223" s="30">
        <v>14.127476</v>
      </c>
      <c r="T223" s="30">
        <v>14.135153000000001</v>
      </c>
      <c r="U223" s="30">
        <v>14.128926999999999</v>
      </c>
      <c r="V223" s="30">
        <v>14.130672000000001</v>
      </c>
      <c r="W223" s="30">
        <v>14.132763000000001</v>
      </c>
      <c r="X223" s="30">
        <v>14.129657</v>
      </c>
      <c r="Y223" s="30">
        <v>14.136715000000001</v>
      </c>
      <c r="Z223" s="30">
        <v>14.131484</v>
      </c>
      <c r="AA223" s="30">
        <v>14.128961</v>
      </c>
      <c r="AB223" s="30">
        <v>14.131021</v>
      </c>
      <c r="AC223" s="30">
        <v>14.130240000000001</v>
      </c>
      <c r="AD223" s="30">
        <v>14.134722999999999</v>
      </c>
      <c r="AE223" s="30">
        <v>14.133584000000001</v>
      </c>
      <c r="AF223" s="30">
        <v>14.134399</v>
      </c>
      <c r="AG223" s="30">
        <v>14.13579</v>
      </c>
      <c r="AH223" s="30">
        <v>14.129218</v>
      </c>
      <c r="AI223" s="30">
        <v>14.124995</v>
      </c>
      <c r="AJ223" s="30">
        <v>14.124563</v>
      </c>
      <c r="AK223" s="30">
        <v>14.129702999999999</v>
      </c>
      <c r="AL223" s="30">
        <v>14.138515</v>
      </c>
      <c r="AM223" s="30">
        <v>14.132472</v>
      </c>
      <c r="AN223" s="30">
        <v>14.138354</v>
      </c>
      <c r="AO223" s="30">
        <v>14.138640000000001</v>
      </c>
      <c r="AP223" s="30">
        <v>14.134817</v>
      </c>
      <c r="AQ223" s="30">
        <v>14.123552999999999</v>
      </c>
      <c r="AR223" s="30">
        <v>14.125688</v>
      </c>
      <c r="AS223" s="30">
        <v>14.131987000000001</v>
      </c>
      <c r="AT223" s="30">
        <v>14.123495</v>
      </c>
      <c r="AU223" s="30">
        <v>14.128204</v>
      </c>
      <c r="AV223" s="30">
        <v>14.133876000000001</v>
      </c>
      <c r="AW223" s="30">
        <v>14.123915</v>
      </c>
    </row>
    <row r="224" spans="1:49" ht="18" customHeight="1">
      <c r="A224" s="23"/>
      <c r="B224" s="19"/>
      <c r="C224" s="79" t="s">
        <v>225</v>
      </c>
      <c r="D224" s="35" t="s">
        <v>271</v>
      </c>
      <c r="E224" s="35"/>
      <c r="F224" s="29" t="s">
        <v>272</v>
      </c>
      <c r="G224" s="38">
        <v>14.13</v>
      </c>
      <c r="H224" s="38">
        <v>0.05</v>
      </c>
      <c r="I224" s="38">
        <v>0.05</v>
      </c>
      <c r="J224" s="38">
        <v>0.08</v>
      </c>
      <c r="K224" s="38">
        <v>0.05</v>
      </c>
      <c r="L224" s="30">
        <f t="shared" si="12"/>
        <v>14.149641000000001</v>
      </c>
      <c r="M224" s="30">
        <f t="shared" si="13"/>
        <v>14.123158999999999</v>
      </c>
      <c r="N224" s="30">
        <f t="shared" si="14"/>
        <v>2.6482000000001449E-2</v>
      </c>
      <c r="O224" s="31">
        <f t="shared" si="15"/>
        <v>14.13668596666667</v>
      </c>
      <c r="P224" s="52"/>
      <c r="Q224" s="30">
        <v>14.130032</v>
      </c>
      <c r="R224" s="30">
        <v>14.133478999999999</v>
      </c>
      <c r="S224" s="30">
        <v>14.126756</v>
      </c>
      <c r="T224" s="30">
        <v>14.137620999999999</v>
      </c>
      <c r="U224" s="30">
        <v>14.130055</v>
      </c>
      <c r="V224" s="30">
        <v>14.131297</v>
      </c>
      <c r="W224" s="30">
        <v>14.136723</v>
      </c>
      <c r="X224" s="30">
        <v>14.133879</v>
      </c>
      <c r="Y224" s="30">
        <v>14.141423</v>
      </c>
      <c r="Z224" s="30">
        <v>14.136282</v>
      </c>
      <c r="AA224" s="30">
        <v>14.129204</v>
      </c>
      <c r="AB224" s="30">
        <v>14.149641000000001</v>
      </c>
      <c r="AC224" s="30">
        <v>14.137176999999999</v>
      </c>
      <c r="AD224" s="30">
        <v>14.146051999999999</v>
      </c>
      <c r="AE224" s="30">
        <v>14.135674</v>
      </c>
      <c r="AF224" s="30">
        <v>14.142956</v>
      </c>
      <c r="AG224" s="30">
        <v>14.143280000000001</v>
      </c>
      <c r="AH224" s="30">
        <v>14.135268999999999</v>
      </c>
      <c r="AI224" s="30">
        <v>14.137548000000001</v>
      </c>
      <c r="AJ224" s="30">
        <v>14.12875</v>
      </c>
      <c r="AK224" s="30">
        <v>14.129763000000001</v>
      </c>
      <c r="AL224" s="30">
        <v>14.142597</v>
      </c>
      <c r="AM224" s="30">
        <v>14.140573</v>
      </c>
      <c r="AN224" s="30">
        <v>14.145004</v>
      </c>
      <c r="AO224" s="30">
        <v>14.141748</v>
      </c>
      <c r="AP224" s="30">
        <v>14.135736</v>
      </c>
      <c r="AQ224" s="30">
        <v>14.129949</v>
      </c>
      <c r="AR224" s="30">
        <v>14.139635999999999</v>
      </c>
      <c r="AS224" s="30">
        <v>14.149316000000001</v>
      </c>
      <c r="AT224" s="30">
        <v>14.123158999999999</v>
      </c>
      <c r="AU224" s="30">
        <v>14.132225999999999</v>
      </c>
      <c r="AV224" s="30">
        <v>14.141959999999999</v>
      </c>
      <c r="AW224" s="30">
        <v>14.133751</v>
      </c>
    </row>
    <row r="225" spans="1:49" ht="18" customHeight="1">
      <c r="A225" s="23"/>
      <c r="B225" s="19"/>
      <c r="C225" s="79" t="s">
        <v>225</v>
      </c>
      <c r="D225" s="35" t="s">
        <v>273</v>
      </c>
      <c r="E225" s="35"/>
      <c r="F225" s="29" t="s">
        <v>274</v>
      </c>
      <c r="G225" s="38">
        <v>14.13</v>
      </c>
      <c r="H225" s="38">
        <v>0.05</v>
      </c>
      <c r="I225" s="38">
        <v>0.05</v>
      </c>
      <c r="J225" s="38">
        <v>0.08</v>
      </c>
      <c r="K225" s="38">
        <v>0.05</v>
      </c>
      <c r="L225" s="30">
        <f t="shared" si="12"/>
        <v>14.170667999999999</v>
      </c>
      <c r="M225" s="30">
        <f t="shared" si="13"/>
        <v>14.147595000000001</v>
      </c>
      <c r="N225" s="30">
        <f t="shared" si="14"/>
        <v>2.3072999999998345E-2</v>
      </c>
      <c r="O225" s="31">
        <f t="shared" si="15"/>
        <v>14.15698646666667</v>
      </c>
      <c r="P225" s="52"/>
      <c r="Q225" s="30">
        <v>14.148066</v>
      </c>
      <c r="R225" s="30">
        <v>14.152912000000001</v>
      </c>
      <c r="S225" s="30">
        <v>14.149003</v>
      </c>
      <c r="T225" s="30">
        <v>14.153219999999999</v>
      </c>
      <c r="U225" s="30">
        <v>14.154691</v>
      </c>
      <c r="V225" s="30">
        <v>14.152324</v>
      </c>
      <c r="W225" s="30">
        <v>14.157700999999999</v>
      </c>
      <c r="X225" s="30">
        <v>14.158021</v>
      </c>
      <c r="Y225" s="30">
        <v>14.159693000000001</v>
      </c>
      <c r="Z225" s="30">
        <v>14.155606000000001</v>
      </c>
      <c r="AA225" s="30">
        <v>14.150791999999999</v>
      </c>
      <c r="AB225" s="30">
        <v>14.170667999999999</v>
      </c>
      <c r="AC225" s="30">
        <v>14.159943999999999</v>
      </c>
      <c r="AD225" s="30">
        <v>14.164854999999999</v>
      </c>
      <c r="AE225" s="30">
        <v>14.15457</v>
      </c>
      <c r="AF225" s="30">
        <v>14.163935</v>
      </c>
      <c r="AG225" s="30">
        <v>14.162934</v>
      </c>
      <c r="AH225" s="30">
        <v>14.149948999999999</v>
      </c>
      <c r="AI225" s="30">
        <v>14.159751</v>
      </c>
      <c r="AJ225" s="30">
        <v>14.148885999999999</v>
      </c>
      <c r="AK225" s="30">
        <v>14.151963</v>
      </c>
      <c r="AL225" s="30">
        <v>14.159706999999999</v>
      </c>
      <c r="AM225" s="30">
        <v>14.160712999999999</v>
      </c>
      <c r="AN225" s="30">
        <v>14.163380999999999</v>
      </c>
      <c r="AO225" s="30">
        <v>14.159217</v>
      </c>
      <c r="AP225" s="30">
        <v>14.153805999999999</v>
      </c>
      <c r="AQ225" s="30">
        <v>14.153855999999999</v>
      </c>
      <c r="AR225" s="30">
        <v>14.163389</v>
      </c>
      <c r="AS225" s="30">
        <v>14.168445999999999</v>
      </c>
      <c r="AT225" s="30">
        <v>14.147595000000001</v>
      </c>
      <c r="AU225" s="30">
        <v>14.154839000000001</v>
      </c>
      <c r="AV225" s="30">
        <v>14.157385</v>
      </c>
      <c r="AW225" s="30">
        <v>14.156224</v>
      </c>
    </row>
    <row r="226" spans="1:49" ht="18" customHeight="1">
      <c r="A226" s="23"/>
      <c r="B226" s="19"/>
      <c r="C226" s="79" t="s">
        <v>225</v>
      </c>
      <c r="D226" s="35" t="s">
        <v>275</v>
      </c>
      <c r="E226" s="35"/>
      <c r="F226" s="29" t="s">
        <v>276</v>
      </c>
      <c r="G226" s="38">
        <v>14.13</v>
      </c>
      <c r="H226" s="38">
        <v>0.05</v>
      </c>
      <c r="I226" s="38">
        <v>0.05</v>
      </c>
      <c r="J226" s="38">
        <v>0.08</v>
      </c>
      <c r="K226" s="38">
        <v>0.05</v>
      </c>
      <c r="L226" s="30">
        <f t="shared" si="12"/>
        <v>14.171377</v>
      </c>
      <c r="M226" s="30">
        <f t="shared" si="13"/>
        <v>14.142018</v>
      </c>
      <c r="N226" s="30">
        <f t="shared" si="14"/>
        <v>2.9358999999999469E-2</v>
      </c>
      <c r="O226" s="31">
        <f t="shared" si="15"/>
        <v>14.154056633333335</v>
      </c>
      <c r="P226" s="52"/>
      <c r="Q226" s="30">
        <v>14.142018</v>
      </c>
      <c r="R226" s="30">
        <v>14.148289999999999</v>
      </c>
      <c r="S226" s="30">
        <v>14.145766999999999</v>
      </c>
      <c r="T226" s="30">
        <v>14.148683</v>
      </c>
      <c r="U226" s="30">
        <v>14.150757</v>
      </c>
      <c r="V226" s="30">
        <v>14.148146000000001</v>
      </c>
      <c r="W226" s="30">
        <v>14.153579000000001</v>
      </c>
      <c r="X226" s="30">
        <v>14.155347000000001</v>
      </c>
      <c r="Y226" s="30">
        <v>14.157226</v>
      </c>
      <c r="Z226" s="30">
        <v>14.151256</v>
      </c>
      <c r="AA226" s="30">
        <v>14.14615</v>
      </c>
      <c r="AB226" s="30">
        <v>14.171377</v>
      </c>
      <c r="AC226" s="30">
        <v>14.156972</v>
      </c>
      <c r="AD226" s="30">
        <v>14.162221000000001</v>
      </c>
      <c r="AE226" s="30">
        <v>14.151303</v>
      </c>
      <c r="AF226" s="30">
        <v>14.163263000000001</v>
      </c>
      <c r="AG226" s="30">
        <v>14.159921000000001</v>
      </c>
      <c r="AH226" s="30">
        <v>14.144435</v>
      </c>
      <c r="AI226" s="30">
        <v>14.156796</v>
      </c>
      <c r="AJ226" s="30">
        <v>14.143490999999999</v>
      </c>
      <c r="AK226" s="30">
        <v>14.150278</v>
      </c>
      <c r="AL226" s="30">
        <v>14.156863</v>
      </c>
      <c r="AM226" s="30">
        <v>14.158167000000001</v>
      </c>
      <c r="AN226" s="30">
        <v>14.159732</v>
      </c>
      <c r="AO226" s="30">
        <v>14.155879000000001</v>
      </c>
      <c r="AP226" s="30">
        <v>14.148073</v>
      </c>
      <c r="AQ226" s="30">
        <v>14.155243</v>
      </c>
      <c r="AR226" s="30">
        <v>14.164502000000001</v>
      </c>
      <c r="AS226" s="30">
        <v>14.169600000000001</v>
      </c>
      <c r="AT226" s="30">
        <v>14.146364</v>
      </c>
      <c r="AU226" s="30">
        <v>14.15254</v>
      </c>
      <c r="AV226" s="30">
        <v>14.152246</v>
      </c>
      <c r="AW226" s="30">
        <v>14.154951000000001</v>
      </c>
    </row>
    <row r="227" spans="1:49" ht="18" customHeight="1">
      <c r="A227" s="23"/>
      <c r="B227" s="19"/>
      <c r="C227" s="79" t="s">
        <v>225</v>
      </c>
      <c r="D227" s="35" t="s">
        <v>277</v>
      </c>
      <c r="E227" s="35"/>
      <c r="F227" s="29" t="s">
        <v>278</v>
      </c>
      <c r="G227" s="38">
        <v>14.13</v>
      </c>
      <c r="H227" s="38">
        <v>0.05</v>
      </c>
      <c r="I227" s="38">
        <v>0.05</v>
      </c>
      <c r="J227" s="38">
        <v>0.08</v>
      </c>
      <c r="K227" s="38">
        <v>0.05</v>
      </c>
      <c r="L227" s="30">
        <f t="shared" si="12"/>
        <v>14.138602000000001</v>
      </c>
      <c r="M227" s="30">
        <f t="shared" si="13"/>
        <v>14.101257</v>
      </c>
      <c r="N227" s="30">
        <f t="shared" si="14"/>
        <v>3.7345000000000184E-2</v>
      </c>
      <c r="O227" s="31">
        <f t="shared" si="15"/>
        <v>14.11669223333333</v>
      </c>
      <c r="P227" s="52"/>
      <c r="Q227" s="30">
        <v>14.101257</v>
      </c>
      <c r="R227" s="30">
        <v>14.111347</v>
      </c>
      <c r="S227" s="30">
        <v>14.110597</v>
      </c>
      <c r="T227" s="30">
        <v>14.112911</v>
      </c>
      <c r="U227" s="30">
        <v>14.113071</v>
      </c>
      <c r="V227" s="30">
        <v>14.109700999999999</v>
      </c>
      <c r="W227" s="30">
        <v>14.111599</v>
      </c>
      <c r="X227" s="30">
        <v>14.115361</v>
      </c>
      <c r="Y227" s="30">
        <v>14.120424999999999</v>
      </c>
      <c r="Z227" s="30">
        <v>14.113759</v>
      </c>
      <c r="AA227" s="30">
        <v>14.108594999999999</v>
      </c>
      <c r="AB227" s="30">
        <v>14.128126999999999</v>
      </c>
      <c r="AC227" s="30">
        <v>14.116778999999999</v>
      </c>
      <c r="AD227" s="30">
        <v>14.121632</v>
      </c>
      <c r="AE227" s="30">
        <v>14.113961</v>
      </c>
      <c r="AF227" s="30">
        <v>14.124777</v>
      </c>
      <c r="AG227" s="30">
        <v>14.125321</v>
      </c>
      <c r="AH227" s="30">
        <v>14.106407000000001</v>
      </c>
      <c r="AI227" s="30">
        <v>14.116891000000001</v>
      </c>
      <c r="AJ227" s="30">
        <v>14.104386</v>
      </c>
      <c r="AK227" s="30">
        <v>14.117483999999999</v>
      </c>
      <c r="AL227" s="30">
        <v>14.126422</v>
      </c>
      <c r="AM227" s="30">
        <v>14.121874999999999</v>
      </c>
      <c r="AN227" s="30">
        <v>14.124442999999999</v>
      </c>
      <c r="AO227" s="30">
        <v>14.117627000000001</v>
      </c>
      <c r="AP227" s="30">
        <v>14.108774</v>
      </c>
      <c r="AQ227" s="30">
        <v>14.122601</v>
      </c>
      <c r="AR227" s="30">
        <v>14.124083000000001</v>
      </c>
      <c r="AS227" s="30">
        <v>14.138602000000001</v>
      </c>
      <c r="AT227" s="30">
        <v>14.111952</v>
      </c>
      <c r="AU227" s="30">
        <v>14.117386</v>
      </c>
      <c r="AV227" s="30">
        <v>14.119299</v>
      </c>
      <c r="AW227" s="30">
        <v>14.115436000000001</v>
      </c>
    </row>
    <row r="228" spans="1:49" ht="18" customHeight="1">
      <c r="A228" s="23"/>
      <c r="B228" s="19"/>
      <c r="C228" s="79" t="s">
        <v>225</v>
      </c>
      <c r="D228" s="35" t="s">
        <v>279</v>
      </c>
      <c r="E228" s="35"/>
      <c r="F228" s="29" t="s">
        <v>280</v>
      </c>
      <c r="G228" s="38">
        <v>14.13</v>
      </c>
      <c r="H228" s="38">
        <v>0.05</v>
      </c>
      <c r="I228" s="38">
        <v>0.05</v>
      </c>
      <c r="J228" s="38">
        <v>0.08</v>
      </c>
      <c r="K228" s="38">
        <v>0.05</v>
      </c>
      <c r="L228" s="30">
        <f t="shared" si="12"/>
        <v>14.13866</v>
      </c>
      <c r="M228" s="30">
        <f t="shared" si="13"/>
        <v>14.117008</v>
      </c>
      <c r="N228" s="30">
        <f t="shared" si="14"/>
        <v>2.165199999999956E-2</v>
      </c>
      <c r="O228" s="31">
        <f t="shared" si="15"/>
        <v>14.126905633333333</v>
      </c>
      <c r="P228" s="52"/>
      <c r="Q228" s="30">
        <v>14.117008</v>
      </c>
      <c r="R228" s="30">
        <v>14.132145</v>
      </c>
      <c r="S228" s="30">
        <v>14.127844</v>
      </c>
      <c r="T228" s="30">
        <v>14.12738</v>
      </c>
      <c r="U228" s="30">
        <v>14.124641</v>
      </c>
      <c r="V228" s="30">
        <v>14.122679</v>
      </c>
      <c r="W228" s="30">
        <v>14.123669</v>
      </c>
      <c r="X228" s="30">
        <v>14.126177999999999</v>
      </c>
      <c r="Y228" s="30">
        <v>14.130474</v>
      </c>
      <c r="Z228" s="30">
        <v>14.126657</v>
      </c>
      <c r="AA228" s="30">
        <v>14.124041</v>
      </c>
      <c r="AB228" s="30">
        <v>14.124013</v>
      </c>
      <c r="AC228" s="30">
        <v>14.125629999999999</v>
      </c>
      <c r="AD228" s="30">
        <v>14.12679</v>
      </c>
      <c r="AE228" s="30">
        <v>14.132389999999999</v>
      </c>
      <c r="AF228" s="30">
        <v>14.129780999999999</v>
      </c>
      <c r="AG228" s="30">
        <v>14.133616</v>
      </c>
      <c r="AH228" s="30">
        <v>14.117467</v>
      </c>
      <c r="AI228" s="30">
        <v>14.118928</v>
      </c>
      <c r="AJ228" s="30">
        <v>14.117856</v>
      </c>
      <c r="AK228" s="30">
        <v>14.129479999999999</v>
      </c>
      <c r="AL228" s="30">
        <v>14.131410000000001</v>
      </c>
      <c r="AM228" s="30">
        <v>14.124471</v>
      </c>
      <c r="AN228" s="30">
        <v>14.129775</v>
      </c>
      <c r="AO228" s="30">
        <v>14.129956999999999</v>
      </c>
      <c r="AP228" s="30">
        <v>14.128598999999999</v>
      </c>
      <c r="AQ228" s="30">
        <v>14.135742</v>
      </c>
      <c r="AR228" s="30">
        <v>14.124749</v>
      </c>
      <c r="AS228" s="30">
        <v>14.13866</v>
      </c>
      <c r="AT228" s="30">
        <v>14.125139000000001</v>
      </c>
      <c r="AU228" s="30">
        <v>14.130153</v>
      </c>
      <c r="AV228" s="30">
        <v>14.12959</v>
      </c>
      <c r="AW228" s="30">
        <v>14.117965999999999</v>
      </c>
    </row>
    <row r="229" spans="1:49" ht="18" customHeight="1">
      <c r="A229" s="23"/>
      <c r="B229" s="19"/>
      <c r="C229" s="79" t="s">
        <v>225</v>
      </c>
      <c r="D229" s="35" t="s">
        <v>281</v>
      </c>
      <c r="E229" s="35"/>
      <c r="F229" s="29" t="s">
        <v>282</v>
      </c>
      <c r="G229" s="38">
        <v>14.13</v>
      </c>
      <c r="H229" s="38">
        <v>0.05</v>
      </c>
      <c r="I229" s="38">
        <v>0.05</v>
      </c>
      <c r="J229" s="38">
        <v>0.08</v>
      </c>
      <c r="K229" s="38">
        <v>0.05</v>
      </c>
      <c r="L229" s="30">
        <f t="shared" si="12"/>
        <v>14.145116</v>
      </c>
      <c r="M229" s="30">
        <f t="shared" si="13"/>
        <v>14.129956</v>
      </c>
      <c r="N229" s="30">
        <f t="shared" si="14"/>
        <v>1.515999999999984E-2</v>
      </c>
      <c r="O229" s="31">
        <f t="shared" si="15"/>
        <v>14.138033566666667</v>
      </c>
      <c r="P229" s="52"/>
      <c r="Q229" s="30">
        <v>14.130186999999999</v>
      </c>
      <c r="R229" s="30">
        <v>14.142787999999999</v>
      </c>
      <c r="S229" s="30">
        <v>14.136127</v>
      </c>
      <c r="T229" s="30">
        <v>14.137706</v>
      </c>
      <c r="U229" s="30">
        <v>14.134382</v>
      </c>
      <c r="V229" s="30">
        <v>14.136084</v>
      </c>
      <c r="W229" s="30">
        <v>14.136620000000001</v>
      </c>
      <c r="X229" s="30">
        <v>14.138455</v>
      </c>
      <c r="Y229" s="30">
        <v>14.142023999999999</v>
      </c>
      <c r="Z229" s="30">
        <v>14.136832</v>
      </c>
      <c r="AA229" s="30">
        <v>14.135192999999999</v>
      </c>
      <c r="AB229" s="30">
        <v>14.136704999999999</v>
      </c>
      <c r="AC229" s="30">
        <v>14.138605999999999</v>
      </c>
      <c r="AD229" s="30">
        <v>14.139400999999999</v>
      </c>
      <c r="AE229" s="30">
        <v>14.142462999999999</v>
      </c>
      <c r="AF229" s="30">
        <v>14.141925000000001</v>
      </c>
      <c r="AG229" s="30">
        <v>14.145116</v>
      </c>
      <c r="AH229" s="30">
        <v>14.131487999999999</v>
      </c>
      <c r="AI229" s="30">
        <v>14.129988000000001</v>
      </c>
      <c r="AJ229" s="30">
        <v>14.129956</v>
      </c>
      <c r="AK229" s="30">
        <v>14.140019000000001</v>
      </c>
      <c r="AL229" s="30">
        <v>14.142161</v>
      </c>
      <c r="AM229" s="30">
        <v>14.138797</v>
      </c>
      <c r="AN229" s="30">
        <v>14.144712999999999</v>
      </c>
      <c r="AO229" s="30">
        <v>14.141047</v>
      </c>
      <c r="AP229" s="30">
        <v>14.139162000000001</v>
      </c>
      <c r="AQ229" s="30">
        <v>14.139453</v>
      </c>
      <c r="AR229" s="30">
        <v>14.134808</v>
      </c>
      <c r="AS229" s="30">
        <v>14.143999000000001</v>
      </c>
      <c r="AT229" s="30">
        <v>14.134802000000001</v>
      </c>
      <c r="AU229" s="30">
        <v>14.139761</v>
      </c>
      <c r="AV229" s="30">
        <v>14.140404</v>
      </c>
      <c r="AW229" s="30">
        <v>14.129433000000001</v>
      </c>
    </row>
    <row r="230" spans="1:49" ht="18" customHeight="1">
      <c r="A230" s="23"/>
      <c r="B230" s="19"/>
      <c r="C230" s="79" t="s">
        <v>225</v>
      </c>
      <c r="D230" s="35" t="s">
        <v>283</v>
      </c>
      <c r="E230" s="35"/>
      <c r="F230" s="29" t="s">
        <v>284</v>
      </c>
      <c r="G230" s="38">
        <v>14.13</v>
      </c>
      <c r="H230" s="38">
        <v>0.05</v>
      </c>
      <c r="I230" s="38">
        <v>0.05</v>
      </c>
      <c r="J230" s="38">
        <v>0.08</v>
      </c>
      <c r="K230" s="38">
        <v>0.05</v>
      </c>
      <c r="L230" s="30">
        <f t="shared" si="12"/>
        <v>14.159651</v>
      </c>
      <c r="M230" s="30">
        <f t="shared" si="13"/>
        <v>14.141048</v>
      </c>
      <c r="N230" s="30">
        <f t="shared" si="14"/>
        <v>1.8603000000000591E-2</v>
      </c>
      <c r="O230" s="31">
        <f t="shared" si="15"/>
        <v>14.149161499999998</v>
      </c>
      <c r="P230" s="30">
        <f>MAX(U230:AX230)</f>
        <v>14.159651</v>
      </c>
      <c r="Q230" s="30">
        <v>14.143366</v>
      </c>
      <c r="R230" s="30">
        <v>14.153430999999999</v>
      </c>
      <c r="S230" s="30">
        <v>14.144410000000001</v>
      </c>
      <c r="T230" s="30">
        <v>14.148032000000001</v>
      </c>
      <c r="U230" s="30">
        <v>14.144123</v>
      </c>
      <c r="V230" s="30">
        <v>14.149489000000001</v>
      </c>
      <c r="W230" s="30">
        <v>14.149571</v>
      </c>
      <c r="X230" s="30">
        <v>14.150732</v>
      </c>
      <c r="Y230" s="30">
        <v>14.153574000000001</v>
      </c>
      <c r="Z230" s="30">
        <v>14.147007</v>
      </c>
      <c r="AA230" s="30">
        <v>14.146345</v>
      </c>
      <c r="AB230" s="30">
        <v>14.149397</v>
      </c>
      <c r="AC230" s="30">
        <v>14.151581999999999</v>
      </c>
      <c r="AD230" s="30">
        <v>14.152011999999999</v>
      </c>
      <c r="AE230" s="30">
        <v>14.152536</v>
      </c>
      <c r="AF230" s="30">
        <v>14.154069</v>
      </c>
      <c r="AG230" s="30">
        <v>14.156616</v>
      </c>
      <c r="AH230" s="30">
        <v>14.145509000000001</v>
      </c>
      <c r="AI230" s="30">
        <v>14.141048</v>
      </c>
      <c r="AJ230" s="30">
        <v>14.142056</v>
      </c>
      <c r="AK230" s="30">
        <v>14.150558</v>
      </c>
      <c r="AL230" s="30">
        <v>14.152912000000001</v>
      </c>
      <c r="AM230" s="30">
        <v>14.153123000000001</v>
      </c>
      <c r="AN230" s="30">
        <v>14.159651</v>
      </c>
      <c r="AO230" s="30">
        <v>14.152137</v>
      </c>
      <c r="AP230" s="30">
        <v>14.149725</v>
      </c>
      <c r="AQ230" s="30">
        <v>14.143164000000001</v>
      </c>
      <c r="AR230" s="30">
        <v>14.144867</v>
      </c>
      <c r="AS230" s="30">
        <v>14.149338</v>
      </c>
      <c r="AT230" s="30">
        <v>14.144465</v>
      </c>
      <c r="AU230" s="30">
        <v>14.149369</v>
      </c>
      <c r="AV230" s="30">
        <v>14.151218</v>
      </c>
      <c r="AW230" s="30">
        <v>14.1409</v>
      </c>
    </row>
    <row r="231" spans="1:49" ht="18" customHeight="1">
      <c r="A231" s="23"/>
      <c r="B231" s="19"/>
      <c r="C231" s="79" t="s">
        <v>225</v>
      </c>
      <c r="D231" s="35" t="s">
        <v>285</v>
      </c>
      <c r="E231" s="35"/>
      <c r="F231" s="29" t="s">
        <v>286</v>
      </c>
      <c r="G231" s="38">
        <v>14.13</v>
      </c>
      <c r="H231" s="38">
        <v>0.05</v>
      </c>
      <c r="I231" s="38">
        <v>0.05</v>
      </c>
      <c r="J231" s="38">
        <v>0.08</v>
      </c>
      <c r="K231" s="38">
        <v>0.05</v>
      </c>
      <c r="L231" s="30">
        <f t="shared" si="12"/>
        <v>14.174588999999999</v>
      </c>
      <c r="M231" s="30">
        <f t="shared" si="13"/>
        <v>14.146875</v>
      </c>
      <c r="N231" s="30">
        <f t="shared" si="14"/>
        <v>2.7713999999999572E-2</v>
      </c>
      <c r="O231" s="31">
        <f t="shared" si="15"/>
        <v>14.160289433333332</v>
      </c>
      <c r="P231" s="30">
        <f>MAX(U231:AX231)</f>
        <v>14.174588999999999</v>
      </c>
      <c r="Q231" s="30">
        <v>14.156544999999999</v>
      </c>
      <c r="R231" s="30">
        <v>14.164073999999999</v>
      </c>
      <c r="S231" s="30">
        <v>14.152692999999999</v>
      </c>
      <c r="T231" s="30">
        <v>14.158358</v>
      </c>
      <c r="U231" s="30">
        <v>14.153864</v>
      </c>
      <c r="V231" s="30">
        <v>14.162894</v>
      </c>
      <c r="W231" s="30">
        <v>14.162521999999999</v>
      </c>
      <c r="X231" s="30">
        <v>14.163009000000001</v>
      </c>
      <c r="Y231" s="30">
        <v>14.165124</v>
      </c>
      <c r="Z231" s="30">
        <v>14.157182000000001</v>
      </c>
      <c r="AA231" s="30">
        <v>14.157496999999999</v>
      </c>
      <c r="AB231" s="30">
        <v>14.162089</v>
      </c>
      <c r="AC231" s="30">
        <v>14.164558</v>
      </c>
      <c r="AD231" s="30">
        <v>14.164623000000001</v>
      </c>
      <c r="AE231" s="30">
        <v>14.162609</v>
      </c>
      <c r="AF231" s="30">
        <v>14.166213000000001</v>
      </c>
      <c r="AG231" s="30">
        <v>14.168115999999999</v>
      </c>
      <c r="AH231" s="30">
        <v>14.15953</v>
      </c>
      <c r="AI231" s="30">
        <v>14.152108</v>
      </c>
      <c r="AJ231" s="30">
        <v>14.154156</v>
      </c>
      <c r="AK231" s="30">
        <v>14.161097</v>
      </c>
      <c r="AL231" s="30">
        <v>14.163663</v>
      </c>
      <c r="AM231" s="30">
        <v>14.167449</v>
      </c>
      <c r="AN231" s="30">
        <v>14.174588999999999</v>
      </c>
      <c r="AO231" s="30">
        <v>14.163226999999999</v>
      </c>
      <c r="AP231" s="30">
        <v>14.160288</v>
      </c>
      <c r="AQ231" s="30">
        <v>14.146875</v>
      </c>
      <c r="AR231" s="30">
        <v>14.154926</v>
      </c>
      <c r="AS231" s="30">
        <v>14.154677</v>
      </c>
      <c r="AT231" s="30">
        <v>14.154128</v>
      </c>
      <c r="AU231" s="30">
        <v>14.158977</v>
      </c>
      <c r="AV231" s="30">
        <v>14.162032</v>
      </c>
      <c r="AW231" s="30">
        <v>14.152594000000001</v>
      </c>
    </row>
    <row r="232" spans="1:49" ht="18" customHeight="1">
      <c r="A232" s="23"/>
      <c r="B232" s="19"/>
      <c r="C232" s="79" t="s">
        <v>225</v>
      </c>
      <c r="D232" s="35" t="s">
        <v>287</v>
      </c>
      <c r="E232" s="35"/>
      <c r="F232" s="29" t="s">
        <v>400</v>
      </c>
      <c r="G232" s="38">
        <v>0.15</v>
      </c>
      <c r="H232" s="38"/>
      <c r="I232" s="38"/>
      <c r="J232" s="38"/>
      <c r="K232" s="38"/>
      <c r="L232" s="30">
        <f t="shared" si="12"/>
        <v>0</v>
      </c>
      <c r="M232" s="30">
        <f t="shared" si="13"/>
        <v>0</v>
      </c>
      <c r="N232" s="30">
        <f t="shared" si="14"/>
        <v>0</v>
      </c>
      <c r="O232" s="31" t="e">
        <f t="shared" si="15"/>
        <v>#DIV/0!</v>
      </c>
      <c r="P232" s="52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</row>
    <row r="233" spans="1:49" ht="18" customHeight="1">
      <c r="A233" s="23"/>
      <c r="B233" s="19"/>
      <c r="C233" s="79" t="s">
        <v>225</v>
      </c>
      <c r="D233" s="35" t="s">
        <v>287</v>
      </c>
      <c r="E233" s="35"/>
      <c r="F233" s="29" t="s">
        <v>401</v>
      </c>
      <c r="G233" s="38">
        <v>0.15</v>
      </c>
      <c r="H233" s="38"/>
      <c r="I233" s="38"/>
      <c r="J233" s="38"/>
      <c r="K233" s="38"/>
      <c r="L233" s="30">
        <f t="shared" si="12"/>
        <v>0</v>
      </c>
      <c r="M233" s="30">
        <f t="shared" si="13"/>
        <v>0</v>
      </c>
      <c r="N233" s="30">
        <f t="shared" si="14"/>
        <v>0</v>
      </c>
      <c r="O233" s="31" t="e">
        <f t="shared" si="15"/>
        <v>#DIV/0!</v>
      </c>
      <c r="P233" s="52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</row>
    <row r="234" spans="1:49" ht="18" customHeight="1">
      <c r="A234" s="23"/>
      <c r="B234" s="19"/>
      <c r="C234" s="79" t="s">
        <v>225</v>
      </c>
      <c r="D234" s="35" t="s">
        <v>287</v>
      </c>
      <c r="E234" s="35"/>
      <c r="F234" s="29" t="s">
        <v>402</v>
      </c>
      <c r="G234" s="38">
        <v>0</v>
      </c>
      <c r="H234" s="38">
        <v>0.15</v>
      </c>
      <c r="I234" s="38">
        <v>0</v>
      </c>
      <c r="J234" s="38">
        <v>0.15</v>
      </c>
      <c r="K234" s="38">
        <v>0</v>
      </c>
      <c r="L234" s="30">
        <f t="shared" si="12"/>
        <v>0.14979500000000001</v>
      </c>
      <c r="M234" s="30">
        <f t="shared" si="13"/>
        <v>0.100636</v>
      </c>
      <c r="N234" s="30">
        <f t="shared" si="14"/>
        <v>4.9159000000000008E-2</v>
      </c>
      <c r="O234" s="31">
        <f t="shared" si="15"/>
        <v>0.12347006666666666</v>
      </c>
      <c r="P234" s="52"/>
      <c r="Q234" s="30">
        <v>0.11633599999999999</v>
      </c>
      <c r="R234" s="30">
        <v>0.113355</v>
      </c>
      <c r="S234" s="30">
        <v>0.109255</v>
      </c>
      <c r="T234" s="30">
        <v>0.12911400000000001</v>
      </c>
      <c r="U234" s="30">
        <v>0.122889</v>
      </c>
      <c r="V234" s="30">
        <v>0.12518799999999999</v>
      </c>
      <c r="W234" s="30">
        <v>0.12221799999999999</v>
      </c>
      <c r="X234" s="30">
        <v>0.114276</v>
      </c>
      <c r="Y234" s="30">
        <v>0.134218</v>
      </c>
      <c r="Z234" s="30">
        <v>0.122311</v>
      </c>
      <c r="AA234" s="30">
        <v>0.11458400000000001</v>
      </c>
      <c r="AB234" s="30">
        <v>0.13916100000000001</v>
      </c>
      <c r="AC234" s="30">
        <v>0.123899</v>
      </c>
      <c r="AD234" s="30">
        <v>0.13607</v>
      </c>
      <c r="AE234" s="30">
        <v>0.11810900000000001</v>
      </c>
      <c r="AF234" s="30">
        <v>0.13502</v>
      </c>
      <c r="AG234" s="30">
        <v>0.130971</v>
      </c>
      <c r="AH234" s="30">
        <v>0.14086499999999999</v>
      </c>
      <c r="AI234" s="30">
        <v>0.14979500000000001</v>
      </c>
      <c r="AJ234" s="30">
        <v>0.133883</v>
      </c>
      <c r="AK234" s="30">
        <v>0.120463</v>
      </c>
      <c r="AL234" s="30">
        <v>0.100636</v>
      </c>
      <c r="AM234" s="30">
        <v>0.126114</v>
      </c>
      <c r="AN234" s="30">
        <v>0.13378399999999999</v>
      </c>
      <c r="AO234" s="30">
        <v>0.117908</v>
      </c>
      <c r="AP234" s="30">
        <v>0.10567500000000001</v>
      </c>
      <c r="AQ234" s="30">
        <v>0.108456</v>
      </c>
      <c r="AR234" s="30">
        <v>0.112362</v>
      </c>
      <c r="AS234" s="30">
        <v>0.12464699999999999</v>
      </c>
      <c r="AT234" s="30">
        <v>0.12254</v>
      </c>
      <c r="AU234" s="30">
        <v>0.119148</v>
      </c>
      <c r="AV234" s="30">
        <v>0.13828099999999999</v>
      </c>
      <c r="AW234" s="30">
        <v>0.12753400000000001</v>
      </c>
    </row>
    <row r="235" spans="1:49" ht="18" customHeight="1">
      <c r="A235" s="23"/>
      <c r="B235" s="19"/>
      <c r="C235" s="79" t="s">
        <v>225</v>
      </c>
      <c r="D235" s="35" t="s">
        <v>291</v>
      </c>
      <c r="E235" s="35"/>
      <c r="F235" s="29" t="s">
        <v>292</v>
      </c>
      <c r="G235" s="38">
        <v>0</v>
      </c>
      <c r="H235" s="38">
        <v>0.15</v>
      </c>
      <c r="I235" s="38">
        <v>0</v>
      </c>
      <c r="J235" s="38">
        <v>0.15</v>
      </c>
      <c r="K235" s="38">
        <v>0</v>
      </c>
      <c r="L235" s="30">
        <f t="shared" si="12"/>
        <v>0.11354300000000001</v>
      </c>
      <c r="M235" s="30">
        <f t="shared" si="13"/>
        <v>7.0080000000000003E-2</v>
      </c>
      <c r="N235" s="30">
        <f t="shared" si="14"/>
        <v>4.3463000000000002E-2</v>
      </c>
      <c r="O235" s="31">
        <f t="shared" si="15"/>
        <v>8.8997800000000002E-2</v>
      </c>
      <c r="P235" s="52"/>
      <c r="Q235" s="30">
        <v>8.1814999999999999E-2</v>
      </c>
      <c r="R235" s="30">
        <v>7.9943E-2</v>
      </c>
      <c r="S235" s="30">
        <v>8.3724000000000007E-2</v>
      </c>
      <c r="T235" s="30">
        <v>9.5326999999999995E-2</v>
      </c>
      <c r="U235" s="30">
        <v>9.6729999999999997E-2</v>
      </c>
      <c r="V235" s="30">
        <v>8.7831999999999993E-2</v>
      </c>
      <c r="W235" s="30">
        <v>8.6800000000000002E-2</v>
      </c>
      <c r="X235" s="30">
        <v>8.9583999999999997E-2</v>
      </c>
      <c r="Y235" s="30">
        <v>9.1845999999999997E-2</v>
      </c>
      <c r="Z235" s="30">
        <v>8.9767E-2</v>
      </c>
      <c r="AA235" s="30">
        <v>8.3275000000000002E-2</v>
      </c>
      <c r="AB235" s="30">
        <v>0.100818</v>
      </c>
      <c r="AC235" s="30">
        <v>8.3975999999999995E-2</v>
      </c>
      <c r="AD235" s="30">
        <v>9.1327000000000005E-2</v>
      </c>
      <c r="AE235" s="30">
        <v>8.0085000000000003E-2</v>
      </c>
      <c r="AF235" s="30">
        <v>9.2268000000000003E-2</v>
      </c>
      <c r="AG235" s="30">
        <v>8.8259000000000004E-2</v>
      </c>
      <c r="AH235" s="30">
        <v>0.100936</v>
      </c>
      <c r="AI235" s="30">
        <v>0.11354300000000001</v>
      </c>
      <c r="AJ235" s="30">
        <v>9.9643999999999996E-2</v>
      </c>
      <c r="AK235" s="30">
        <v>8.6277999999999994E-2</v>
      </c>
      <c r="AL235" s="30">
        <v>7.0080000000000003E-2</v>
      </c>
      <c r="AM235" s="30">
        <v>9.1175999999999993E-2</v>
      </c>
      <c r="AN235" s="30">
        <v>9.2520000000000005E-2</v>
      </c>
      <c r="AO235" s="30">
        <v>8.1604999999999997E-2</v>
      </c>
      <c r="AP235" s="30">
        <v>8.0005999999999994E-2</v>
      </c>
      <c r="AQ235" s="30">
        <v>7.7229000000000006E-2</v>
      </c>
      <c r="AR235" s="30">
        <v>9.2491000000000004E-2</v>
      </c>
      <c r="AS235" s="30">
        <v>8.5525000000000004E-2</v>
      </c>
      <c r="AT235" s="30">
        <v>9.5524999999999999E-2</v>
      </c>
      <c r="AU235" s="30">
        <v>8.3309999999999995E-2</v>
      </c>
      <c r="AV235" s="30">
        <v>9.5035999999999995E-2</v>
      </c>
      <c r="AW235" s="30">
        <v>0.108718</v>
      </c>
    </row>
    <row r="236" spans="1:49" ht="18" customHeight="1">
      <c r="A236" s="23"/>
      <c r="B236" s="19"/>
      <c r="C236" s="79" t="s">
        <v>225</v>
      </c>
      <c r="D236" s="35" t="s">
        <v>293</v>
      </c>
      <c r="E236" s="35"/>
      <c r="F236" s="29" t="s">
        <v>294</v>
      </c>
      <c r="G236" s="38">
        <v>0</v>
      </c>
      <c r="H236" s="38">
        <v>0.14000000000000001</v>
      </c>
      <c r="I236" s="38">
        <v>0</v>
      </c>
      <c r="J236" s="38">
        <v>0.15</v>
      </c>
      <c r="K236" s="38">
        <v>0</v>
      </c>
      <c r="L236" s="30">
        <f t="shared" si="12"/>
        <v>0.12615199999999999</v>
      </c>
      <c r="M236" s="30">
        <f t="shared" si="13"/>
        <v>9.6851000000000007E-2</v>
      </c>
      <c r="N236" s="30">
        <f t="shared" si="14"/>
        <v>2.930099999999998E-2</v>
      </c>
      <c r="O236" s="31">
        <f t="shared" si="15"/>
        <v>0.11118496666666666</v>
      </c>
      <c r="P236" s="52"/>
      <c r="Q236" s="30">
        <v>0.111816</v>
      </c>
      <c r="R236" s="30">
        <v>0.10972999999999999</v>
      </c>
      <c r="S236" s="30">
        <v>0.114942</v>
      </c>
      <c r="T236" s="30">
        <v>0.11228100000000001</v>
      </c>
      <c r="U236" s="30">
        <v>0.11712599999999999</v>
      </c>
      <c r="V236" s="30">
        <v>0.12615199999999999</v>
      </c>
      <c r="W236" s="30">
        <v>0.112374</v>
      </c>
      <c r="X236" s="30">
        <v>0.121366</v>
      </c>
      <c r="Y236" s="30">
        <v>0.108325</v>
      </c>
      <c r="Z236" s="30">
        <v>0.109265</v>
      </c>
      <c r="AA236" s="30">
        <v>0.119847</v>
      </c>
      <c r="AB236" s="30">
        <v>0.10864699999999999</v>
      </c>
      <c r="AC236" s="30">
        <v>0.108242</v>
      </c>
      <c r="AD236" s="30">
        <v>0.103045</v>
      </c>
      <c r="AE236" s="30">
        <v>0.109443</v>
      </c>
      <c r="AF236" s="30">
        <v>0.108361</v>
      </c>
      <c r="AG236" s="30">
        <v>0.11348</v>
      </c>
      <c r="AH236" s="30">
        <v>0.10902000000000001</v>
      </c>
      <c r="AI236" s="30">
        <v>0.10729</v>
      </c>
      <c r="AJ236" s="30">
        <v>0.103626</v>
      </c>
      <c r="AK236" s="30">
        <v>0.116059</v>
      </c>
      <c r="AL236" s="30">
        <v>0.109961</v>
      </c>
      <c r="AM236" s="30">
        <v>0.10287</v>
      </c>
      <c r="AN236" s="30">
        <v>0.113804</v>
      </c>
      <c r="AO236" s="30">
        <v>0.101581</v>
      </c>
      <c r="AP236" s="30">
        <v>9.6851000000000007E-2</v>
      </c>
      <c r="AQ236" s="30">
        <v>0.117127</v>
      </c>
      <c r="AR236" s="30">
        <v>0.11498700000000001</v>
      </c>
      <c r="AS236" s="30">
        <v>0.108836</v>
      </c>
      <c r="AT236" s="30">
        <v>0.11909500000000001</v>
      </c>
      <c r="AU236" s="30">
        <v>0.112912</v>
      </c>
      <c r="AV236" s="30">
        <v>0.111251</v>
      </c>
      <c r="AW236" s="30">
        <v>0.116796</v>
      </c>
    </row>
    <row r="237" spans="1:49" ht="18" customHeight="1">
      <c r="A237" s="23"/>
      <c r="B237" s="19"/>
      <c r="C237" s="79" t="s">
        <v>225</v>
      </c>
      <c r="D237" s="35" t="s">
        <v>295</v>
      </c>
      <c r="E237" s="35"/>
      <c r="F237" s="29" t="s">
        <v>296</v>
      </c>
      <c r="G237" s="38">
        <v>0</v>
      </c>
      <c r="H237" s="38">
        <v>0.15</v>
      </c>
      <c r="I237" s="38">
        <v>0</v>
      </c>
      <c r="J237" s="38">
        <v>0.15</v>
      </c>
      <c r="K237" s="38">
        <v>0</v>
      </c>
      <c r="L237" s="30">
        <f t="shared" si="12"/>
        <v>0.103626</v>
      </c>
      <c r="M237" s="30">
        <f t="shared" si="13"/>
        <v>7.6720999999999998E-2</v>
      </c>
      <c r="N237" s="30">
        <f t="shared" si="14"/>
        <v>2.6904999999999998E-2</v>
      </c>
      <c r="O237" s="31">
        <f t="shared" si="15"/>
        <v>9.1335066666666645E-2</v>
      </c>
      <c r="P237" s="52"/>
      <c r="Q237" s="30">
        <v>9.2507000000000006E-2</v>
      </c>
      <c r="R237" s="30">
        <v>9.3183000000000002E-2</v>
      </c>
      <c r="S237" s="30">
        <v>9.4407000000000005E-2</v>
      </c>
      <c r="T237" s="30">
        <v>9.1166999999999998E-2</v>
      </c>
      <c r="U237" s="30">
        <v>9.8626000000000005E-2</v>
      </c>
      <c r="V237" s="30">
        <v>8.9545E-2</v>
      </c>
      <c r="W237" s="30">
        <v>8.9624999999999996E-2</v>
      </c>
      <c r="X237" s="30">
        <v>0.101525</v>
      </c>
      <c r="Y237" s="30">
        <v>9.3159000000000006E-2</v>
      </c>
      <c r="Z237" s="30">
        <v>8.9935000000000001E-2</v>
      </c>
      <c r="AA237" s="30">
        <v>9.6860000000000002E-2</v>
      </c>
      <c r="AB237" s="30">
        <v>8.3012000000000002E-2</v>
      </c>
      <c r="AC237" s="30">
        <v>8.8297E-2</v>
      </c>
      <c r="AD237" s="30">
        <v>7.8506999999999993E-2</v>
      </c>
      <c r="AE237" s="30">
        <v>9.0195999999999998E-2</v>
      </c>
      <c r="AF237" s="30">
        <v>8.9957999999999996E-2</v>
      </c>
      <c r="AG237" s="30">
        <v>9.7461999999999993E-2</v>
      </c>
      <c r="AH237" s="30">
        <v>8.7892999999999999E-2</v>
      </c>
      <c r="AI237" s="30">
        <v>8.3141000000000007E-2</v>
      </c>
      <c r="AJ237" s="30">
        <v>8.3110000000000003E-2</v>
      </c>
      <c r="AK237" s="30">
        <v>0.10247299999999999</v>
      </c>
      <c r="AL237" s="30">
        <v>9.2366000000000004E-2</v>
      </c>
      <c r="AM237" s="30">
        <v>8.8000999999999996E-2</v>
      </c>
      <c r="AN237" s="30">
        <v>9.6047999999999994E-2</v>
      </c>
      <c r="AO237" s="30">
        <v>8.5625999999999994E-2</v>
      </c>
      <c r="AP237" s="30">
        <v>7.6720999999999998E-2</v>
      </c>
      <c r="AQ237" s="30">
        <v>9.6567E-2</v>
      </c>
      <c r="AR237" s="30">
        <v>9.5721000000000001E-2</v>
      </c>
      <c r="AS237" s="30">
        <v>9.0787999999999994E-2</v>
      </c>
      <c r="AT237" s="30">
        <v>0.103626</v>
      </c>
      <c r="AU237" s="30">
        <v>9.2040999999999998E-2</v>
      </c>
      <c r="AV237" s="30">
        <v>9.3914999999999998E-2</v>
      </c>
      <c r="AW237" s="30">
        <v>9.7368999999999997E-2</v>
      </c>
    </row>
    <row r="238" spans="1:49" ht="18" customHeight="1">
      <c r="A238" s="23"/>
      <c r="B238" s="19"/>
      <c r="C238" s="79" t="s">
        <v>225</v>
      </c>
      <c r="D238" s="35" t="s">
        <v>297</v>
      </c>
      <c r="E238" s="35"/>
      <c r="F238" s="29" t="s">
        <v>298</v>
      </c>
      <c r="G238" s="38">
        <v>11.05</v>
      </c>
      <c r="H238" s="38">
        <v>0.05</v>
      </c>
      <c r="I238" s="38">
        <v>0.05</v>
      </c>
      <c r="J238" s="38">
        <v>0.05</v>
      </c>
      <c r="K238" s="38">
        <v>0.05</v>
      </c>
      <c r="L238" s="30">
        <f t="shared" si="12"/>
        <v>11.06498</v>
      </c>
      <c r="M238" s="30">
        <f t="shared" si="13"/>
        <v>11.047416999999999</v>
      </c>
      <c r="N238" s="30">
        <f t="shared" si="14"/>
        <v>1.7563000000000883E-2</v>
      </c>
      <c r="O238" s="31">
        <f t="shared" si="15"/>
        <v>11.058620433333335</v>
      </c>
      <c r="P238" s="52"/>
      <c r="Q238" s="30">
        <v>11.059153999999999</v>
      </c>
      <c r="R238" s="30">
        <v>11.06184</v>
      </c>
      <c r="S238" s="30">
        <v>11.060608999999999</v>
      </c>
      <c r="T238" s="30">
        <v>11.058432</v>
      </c>
      <c r="U238" s="30">
        <v>11.057359999999999</v>
      </c>
      <c r="V238" s="30">
        <v>11.061467</v>
      </c>
      <c r="W238" s="30">
        <v>11.058217000000001</v>
      </c>
      <c r="X238" s="30">
        <v>11.059108999999999</v>
      </c>
      <c r="Y238" s="30">
        <v>11.058611000000001</v>
      </c>
      <c r="Z238" s="30">
        <v>11.059144</v>
      </c>
      <c r="AA238" s="30">
        <v>11.061348000000001</v>
      </c>
      <c r="AB238" s="30">
        <v>11.048406</v>
      </c>
      <c r="AC238" s="30">
        <v>11.058332999999999</v>
      </c>
      <c r="AD238" s="30">
        <v>11.055845</v>
      </c>
      <c r="AE238" s="30">
        <v>11.063314</v>
      </c>
      <c r="AF238" s="30">
        <v>11.056101</v>
      </c>
      <c r="AG238" s="30">
        <v>11.058177000000001</v>
      </c>
      <c r="AH238" s="30">
        <v>11.055377999999999</v>
      </c>
      <c r="AI238" s="30">
        <v>11.047416999999999</v>
      </c>
      <c r="AJ238" s="30">
        <v>11.055630000000001</v>
      </c>
      <c r="AK238" s="30">
        <v>11.062345000000001</v>
      </c>
      <c r="AL238" s="30">
        <v>11.06326</v>
      </c>
      <c r="AM238" s="30">
        <v>11.054746</v>
      </c>
      <c r="AN238" s="30">
        <v>11.057459</v>
      </c>
      <c r="AO238" s="30">
        <v>11.063385</v>
      </c>
      <c r="AP238" s="30">
        <v>11.06498</v>
      </c>
      <c r="AQ238" s="30">
        <v>11.063031000000001</v>
      </c>
      <c r="AR238" s="30">
        <v>11.057288</v>
      </c>
      <c r="AS238" s="30">
        <v>11.054952999999999</v>
      </c>
      <c r="AT238" s="30">
        <v>11.063274</v>
      </c>
      <c r="AU238" s="30">
        <v>11.063324</v>
      </c>
      <c r="AV238" s="30">
        <v>11.060309999999999</v>
      </c>
      <c r="AW238" s="30">
        <v>11.056035</v>
      </c>
    </row>
    <row r="239" spans="1:49" ht="18" customHeight="1">
      <c r="A239" s="23"/>
      <c r="B239" s="19"/>
      <c r="C239" s="79" t="s">
        <v>225</v>
      </c>
      <c r="D239" s="35" t="s">
        <v>299</v>
      </c>
      <c r="E239" s="35"/>
      <c r="F239" s="29" t="s">
        <v>300</v>
      </c>
      <c r="G239" s="38">
        <v>11.05</v>
      </c>
      <c r="H239" s="38">
        <v>0.05</v>
      </c>
      <c r="I239" s="38">
        <v>0.05</v>
      </c>
      <c r="J239" s="38">
        <v>0.05</v>
      </c>
      <c r="K239" s="38">
        <v>0.05</v>
      </c>
      <c r="L239" s="30">
        <f t="shared" si="12"/>
        <v>11.032346</v>
      </c>
      <c r="M239" s="30">
        <f t="shared" si="13"/>
        <v>11.005003</v>
      </c>
      <c r="N239" s="30">
        <f t="shared" si="14"/>
        <v>2.7343000000000117E-2</v>
      </c>
      <c r="O239" s="31">
        <f t="shared" si="15"/>
        <v>11.021713500000002</v>
      </c>
      <c r="P239" s="52"/>
      <c r="Q239" s="30">
        <v>11.022109</v>
      </c>
      <c r="R239" s="30">
        <v>11.029362000000001</v>
      </c>
      <c r="S239" s="30">
        <v>11.027412999999999</v>
      </c>
      <c r="T239" s="30">
        <v>11.021699</v>
      </c>
      <c r="U239" s="30">
        <v>11.020386999999999</v>
      </c>
      <c r="V239" s="30">
        <v>11.024784</v>
      </c>
      <c r="W239" s="30">
        <v>11.019761000000001</v>
      </c>
      <c r="X239" s="30">
        <v>11.020054999999999</v>
      </c>
      <c r="Y239" s="30">
        <v>11.020924000000001</v>
      </c>
      <c r="Z239" s="30">
        <v>11.022869999999999</v>
      </c>
      <c r="AA239" s="30">
        <v>11.024768999999999</v>
      </c>
      <c r="AB239" s="30">
        <v>11.005003</v>
      </c>
      <c r="AC239" s="30">
        <v>11.020548</v>
      </c>
      <c r="AD239" s="30">
        <v>11.017908</v>
      </c>
      <c r="AE239" s="30">
        <v>11.031171000000001</v>
      </c>
      <c r="AF239" s="30">
        <v>11.018189</v>
      </c>
      <c r="AG239" s="30">
        <v>11.022238</v>
      </c>
      <c r="AH239" s="30">
        <v>11.017110000000001</v>
      </c>
      <c r="AI239" s="30">
        <v>11.006290999999999</v>
      </c>
      <c r="AJ239" s="30">
        <v>11.019626000000001</v>
      </c>
      <c r="AK239" s="30">
        <v>11.02788</v>
      </c>
      <c r="AL239" s="30">
        <v>11.025653999999999</v>
      </c>
      <c r="AM239" s="30">
        <v>11.014753000000001</v>
      </c>
      <c r="AN239" s="30">
        <v>11.017315</v>
      </c>
      <c r="AO239" s="30">
        <v>11.029304</v>
      </c>
      <c r="AP239" s="30">
        <v>11.032346</v>
      </c>
      <c r="AQ239" s="30">
        <v>11.02988</v>
      </c>
      <c r="AR239" s="30">
        <v>11.017395</v>
      </c>
      <c r="AS239" s="30">
        <v>11.017939999999999</v>
      </c>
      <c r="AT239" s="30">
        <v>11.026721</v>
      </c>
      <c r="AU239" s="30">
        <v>11.029202</v>
      </c>
      <c r="AV239" s="30">
        <v>11.021981</v>
      </c>
      <c r="AW239" s="30">
        <v>11.013725000000001</v>
      </c>
    </row>
    <row r="240" spans="1:49" ht="18" customHeight="1">
      <c r="A240" s="23"/>
      <c r="B240" s="19"/>
      <c r="C240" s="79" t="s">
        <v>225</v>
      </c>
      <c r="D240" s="35" t="s">
        <v>301</v>
      </c>
      <c r="E240" s="35"/>
      <c r="F240" s="29" t="s">
        <v>302</v>
      </c>
      <c r="G240" s="38">
        <v>11.05</v>
      </c>
      <c r="H240" s="38">
        <v>0.05</v>
      </c>
      <c r="I240" s="38">
        <v>0.05</v>
      </c>
      <c r="J240" s="38">
        <v>0.05</v>
      </c>
      <c r="K240" s="38">
        <v>0.05</v>
      </c>
      <c r="L240" s="30">
        <f t="shared" si="12"/>
        <v>11.034635</v>
      </c>
      <c r="M240" s="30">
        <f t="shared" si="13"/>
        <v>11.005891999999999</v>
      </c>
      <c r="N240" s="30">
        <f t="shared" si="14"/>
        <v>2.8743000000000407E-2</v>
      </c>
      <c r="O240" s="31">
        <f t="shared" si="15"/>
        <v>11.023755333333332</v>
      </c>
      <c r="P240" s="52"/>
      <c r="Q240" s="30">
        <v>11.024297000000001</v>
      </c>
      <c r="R240" s="30">
        <v>11.031822</v>
      </c>
      <c r="S240" s="30">
        <v>11.030061</v>
      </c>
      <c r="T240" s="30">
        <v>11.023739000000001</v>
      </c>
      <c r="U240" s="30">
        <v>11.022372000000001</v>
      </c>
      <c r="V240" s="30">
        <v>11.027143000000001</v>
      </c>
      <c r="W240" s="30">
        <v>11.021786000000001</v>
      </c>
      <c r="X240" s="30">
        <v>11.021963</v>
      </c>
      <c r="Y240" s="30">
        <v>11.022914999999999</v>
      </c>
      <c r="Z240" s="30">
        <v>11.0251</v>
      </c>
      <c r="AA240" s="30">
        <v>11.026982</v>
      </c>
      <c r="AB240" s="30">
        <v>11.005891999999999</v>
      </c>
      <c r="AC240" s="30">
        <v>11.022397</v>
      </c>
      <c r="AD240" s="30">
        <v>11.019802</v>
      </c>
      <c r="AE240" s="30">
        <v>11.033896</v>
      </c>
      <c r="AF240" s="30">
        <v>11.01984</v>
      </c>
      <c r="AG240" s="30">
        <v>11.024604999999999</v>
      </c>
      <c r="AH240" s="30">
        <v>11.019221</v>
      </c>
      <c r="AI240" s="30">
        <v>11.007698</v>
      </c>
      <c r="AJ240" s="30">
        <v>11.021979999999999</v>
      </c>
      <c r="AK240" s="30">
        <v>11.030208999999999</v>
      </c>
      <c r="AL240" s="30">
        <v>11.027336999999999</v>
      </c>
      <c r="AM240" s="30">
        <v>11.016292999999999</v>
      </c>
      <c r="AN240" s="30">
        <v>11.018800000000001</v>
      </c>
      <c r="AO240" s="30">
        <v>11.031214</v>
      </c>
      <c r="AP240" s="30">
        <v>11.034635</v>
      </c>
      <c r="AQ240" s="30">
        <v>11.032738</v>
      </c>
      <c r="AR240" s="30">
        <v>11.018889</v>
      </c>
      <c r="AS240" s="30">
        <v>11.019864</v>
      </c>
      <c r="AT240" s="30">
        <v>11.029170000000001</v>
      </c>
      <c r="AU240" s="30">
        <v>11.031444</v>
      </c>
      <c r="AV240" s="30">
        <v>11.023918</v>
      </c>
      <c r="AW240" s="30">
        <v>11.014953999999999</v>
      </c>
    </row>
    <row r="241" spans="1:49" ht="18" customHeight="1">
      <c r="A241" s="23"/>
      <c r="B241" s="19"/>
      <c r="C241" s="79" t="s">
        <v>225</v>
      </c>
      <c r="D241" s="35" t="s">
        <v>303</v>
      </c>
      <c r="E241" s="35"/>
      <c r="F241" s="29" t="s">
        <v>304</v>
      </c>
      <c r="G241" s="38">
        <v>21.59</v>
      </c>
      <c r="H241" s="38">
        <v>0.08</v>
      </c>
      <c r="I241" s="38">
        <v>0.05</v>
      </c>
      <c r="J241" s="38">
        <v>0.08</v>
      </c>
      <c r="K241" s="38">
        <v>0.05</v>
      </c>
      <c r="L241" s="30">
        <f t="shared" si="12"/>
        <v>21.574596</v>
      </c>
      <c r="M241" s="30">
        <f t="shared" si="13"/>
        <v>21.552864</v>
      </c>
      <c r="N241" s="30">
        <f t="shared" si="14"/>
        <v>2.1732000000000085E-2</v>
      </c>
      <c r="O241" s="31">
        <f t="shared" si="15"/>
        <v>21.564465300000002</v>
      </c>
      <c r="P241" s="52"/>
      <c r="Q241" s="30">
        <v>21.574596</v>
      </c>
      <c r="R241" s="30">
        <v>21.571141999999998</v>
      </c>
      <c r="S241" s="30">
        <v>21.566181</v>
      </c>
      <c r="T241" s="30">
        <v>21.565867000000001</v>
      </c>
      <c r="U241" s="30">
        <v>21.571248000000001</v>
      </c>
      <c r="V241" s="30">
        <v>21.566293999999999</v>
      </c>
      <c r="W241" s="30">
        <v>21.561446</v>
      </c>
      <c r="X241" s="30">
        <v>21.56729</v>
      </c>
      <c r="Y241" s="30">
        <v>21.564675000000001</v>
      </c>
      <c r="Z241" s="30">
        <v>21.563797000000001</v>
      </c>
      <c r="AA241" s="30">
        <v>21.566662000000001</v>
      </c>
      <c r="AB241" s="30">
        <v>21.561163000000001</v>
      </c>
      <c r="AC241" s="30">
        <v>21.564588000000001</v>
      </c>
      <c r="AD241" s="30">
        <v>21.560517999999998</v>
      </c>
      <c r="AE241" s="30">
        <v>21.569258999999999</v>
      </c>
      <c r="AF241" s="30">
        <v>21.564613000000001</v>
      </c>
      <c r="AG241" s="30">
        <v>21.570808</v>
      </c>
      <c r="AH241" s="30">
        <v>21.565145999999999</v>
      </c>
      <c r="AI241" s="30">
        <v>21.562801</v>
      </c>
      <c r="AJ241" s="30">
        <v>21.565359999999998</v>
      </c>
      <c r="AK241" s="30">
        <v>21.567827999999999</v>
      </c>
      <c r="AL241" s="30">
        <v>21.557537</v>
      </c>
      <c r="AM241" s="30">
        <v>21.561371000000001</v>
      </c>
      <c r="AN241" s="30">
        <v>21.565985000000001</v>
      </c>
      <c r="AO241" s="30">
        <v>21.565099</v>
      </c>
      <c r="AP241" s="30">
        <v>21.560388</v>
      </c>
      <c r="AQ241" s="30">
        <v>21.552864</v>
      </c>
      <c r="AR241" s="30">
        <v>21.558889000000001</v>
      </c>
      <c r="AS241" s="30">
        <v>21.555282999999999</v>
      </c>
      <c r="AT241" s="30">
        <v>21.565261</v>
      </c>
      <c r="AU241" s="30">
        <v>21.559491999999999</v>
      </c>
      <c r="AV241" s="30">
        <v>21.563051000000002</v>
      </c>
      <c r="AW241" s="30">
        <v>21.559097000000001</v>
      </c>
    </row>
    <row r="242" spans="1:49" ht="18" customHeight="1">
      <c r="A242" s="23"/>
      <c r="B242" s="19"/>
      <c r="C242" s="79" t="s">
        <v>225</v>
      </c>
      <c r="D242" s="35" t="s">
        <v>305</v>
      </c>
      <c r="E242" s="35"/>
      <c r="F242" s="29" t="s">
        <v>306</v>
      </c>
      <c r="G242" s="38">
        <v>21.59</v>
      </c>
      <c r="H242" s="38">
        <v>0.08</v>
      </c>
      <c r="I242" s="38">
        <v>0.05</v>
      </c>
      <c r="J242" s="38">
        <v>0.08</v>
      </c>
      <c r="K242" s="38">
        <v>0.05</v>
      </c>
      <c r="L242" s="30">
        <f t="shared" si="12"/>
        <v>21.569766000000001</v>
      </c>
      <c r="M242" s="30">
        <f t="shared" si="13"/>
        <v>21.552978</v>
      </c>
      <c r="N242" s="30">
        <f t="shared" si="14"/>
        <v>1.6788000000001801E-2</v>
      </c>
      <c r="O242" s="31">
        <f t="shared" si="15"/>
        <v>21.562453733333331</v>
      </c>
      <c r="P242" s="52"/>
      <c r="Q242" s="30">
        <v>21.569766000000001</v>
      </c>
      <c r="R242" s="30">
        <v>21.565816000000002</v>
      </c>
      <c r="S242" s="30">
        <v>21.562422999999999</v>
      </c>
      <c r="T242" s="30">
        <v>21.561966999999999</v>
      </c>
      <c r="U242" s="30">
        <v>21.567879999999999</v>
      </c>
      <c r="V242" s="30">
        <v>21.562933000000001</v>
      </c>
      <c r="W242" s="30">
        <v>21.559111000000001</v>
      </c>
      <c r="X242" s="30">
        <v>21.565083000000001</v>
      </c>
      <c r="Y242" s="30">
        <v>21.562906000000002</v>
      </c>
      <c r="Z242" s="30">
        <v>21.561775000000001</v>
      </c>
      <c r="AA242" s="30">
        <v>21.563518999999999</v>
      </c>
      <c r="AB242" s="30">
        <v>21.561543</v>
      </c>
      <c r="AC242" s="30">
        <v>21.562973</v>
      </c>
      <c r="AD242" s="30">
        <v>21.559387999999998</v>
      </c>
      <c r="AE242" s="30">
        <v>21.566344000000001</v>
      </c>
      <c r="AF242" s="30">
        <v>21.564471999999999</v>
      </c>
      <c r="AG242" s="30">
        <v>21.568930999999999</v>
      </c>
      <c r="AH242" s="30">
        <v>21.562826000000001</v>
      </c>
      <c r="AI242" s="30">
        <v>21.563027000000002</v>
      </c>
      <c r="AJ242" s="30">
        <v>21.562659</v>
      </c>
      <c r="AK242" s="30">
        <v>21.565277999999999</v>
      </c>
      <c r="AL242" s="30">
        <v>21.556609999999999</v>
      </c>
      <c r="AM242" s="30">
        <v>21.560535000000002</v>
      </c>
      <c r="AN242" s="30">
        <v>21.564321</v>
      </c>
      <c r="AO242" s="30">
        <v>21.563396000000001</v>
      </c>
      <c r="AP242" s="30">
        <v>21.557680000000001</v>
      </c>
      <c r="AQ242" s="30">
        <v>21.552978</v>
      </c>
      <c r="AR242" s="30">
        <v>21.559232999999999</v>
      </c>
      <c r="AS242" s="30">
        <v>21.555465000000002</v>
      </c>
      <c r="AT242" s="30">
        <v>21.562774000000001</v>
      </c>
      <c r="AU242" s="30">
        <v>21.557089000000001</v>
      </c>
      <c r="AV242" s="30">
        <v>21.560950999999999</v>
      </c>
      <c r="AW242" s="30">
        <v>21.559635</v>
      </c>
    </row>
    <row r="243" spans="1:49" ht="18" customHeight="1">
      <c r="A243" s="22"/>
      <c r="B243" s="18"/>
      <c r="C243" s="80" t="s">
        <v>225</v>
      </c>
      <c r="D243" s="56" t="s">
        <v>307</v>
      </c>
      <c r="E243" s="56"/>
      <c r="F243" s="57" t="s">
        <v>308</v>
      </c>
      <c r="G243" s="58">
        <v>21.59</v>
      </c>
      <c r="H243" s="58">
        <v>0.08</v>
      </c>
      <c r="I243" s="58">
        <v>0.05</v>
      </c>
      <c r="J243" s="58">
        <v>0.08</v>
      </c>
      <c r="K243" s="58">
        <v>0.05</v>
      </c>
      <c r="L243" s="30">
        <f t="shared" si="12"/>
        <v>21.619174999999998</v>
      </c>
      <c r="M243" s="30">
        <f t="shared" si="13"/>
        <v>21.606764999999999</v>
      </c>
      <c r="N243" s="30">
        <f t="shared" si="14"/>
        <v>1.2409999999999144E-2</v>
      </c>
      <c r="O243" s="31">
        <f t="shared" si="15"/>
        <v>21.613505933333329</v>
      </c>
      <c r="P243" s="62"/>
      <c r="Q243" s="30">
        <v>21.619174999999998</v>
      </c>
      <c r="R243" s="30">
        <v>21.615850999999999</v>
      </c>
      <c r="S243" s="30">
        <v>21.614276</v>
      </c>
      <c r="T243" s="30">
        <v>21.612558</v>
      </c>
      <c r="U243" s="30">
        <v>21.618364</v>
      </c>
      <c r="V243" s="30">
        <v>21.613970999999999</v>
      </c>
      <c r="W243" s="30">
        <v>21.612009</v>
      </c>
      <c r="X243" s="30">
        <v>21.617940000000001</v>
      </c>
      <c r="Y243" s="30">
        <v>21.614730999999999</v>
      </c>
      <c r="Z243" s="30">
        <v>21.612447</v>
      </c>
      <c r="AA243" s="30">
        <v>21.613904000000002</v>
      </c>
      <c r="AB243" s="30">
        <v>21.613356</v>
      </c>
      <c r="AC243" s="30">
        <v>21.613116000000002</v>
      </c>
      <c r="AD243" s="30">
        <v>21.609970000000001</v>
      </c>
      <c r="AE243" s="30">
        <v>21.614260000000002</v>
      </c>
      <c r="AF243" s="30">
        <v>21.615815999999999</v>
      </c>
      <c r="AG243" s="30">
        <v>21.616865000000001</v>
      </c>
      <c r="AH243" s="30">
        <v>21.611435</v>
      </c>
      <c r="AI243" s="30">
        <v>21.612490999999999</v>
      </c>
      <c r="AJ243" s="30">
        <v>21.610811999999999</v>
      </c>
      <c r="AK243" s="30">
        <v>21.615241000000001</v>
      </c>
      <c r="AL243" s="30">
        <v>21.610128</v>
      </c>
      <c r="AM243" s="30">
        <v>21.610600000000002</v>
      </c>
      <c r="AN243" s="30">
        <v>21.613665000000001</v>
      </c>
      <c r="AO243" s="30">
        <v>21.612679</v>
      </c>
      <c r="AP243" s="30">
        <v>21.606764999999999</v>
      </c>
      <c r="AQ243" s="30">
        <v>21.610534999999999</v>
      </c>
      <c r="AR243" s="30">
        <v>21.614939</v>
      </c>
      <c r="AS243" s="30">
        <v>21.611287000000001</v>
      </c>
      <c r="AT243" s="30">
        <v>21.615991999999999</v>
      </c>
      <c r="AU243" s="30">
        <v>21.610472000000001</v>
      </c>
      <c r="AV243" s="30">
        <v>21.612532999999999</v>
      </c>
      <c r="AW243" s="30">
        <v>21.614968000000001</v>
      </c>
    </row>
    <row r="244" spans="1:49" ht="18" customHeight="1" thickBot="1">
      <c r="A244" s="21"/>
      <c r="B244" s="17"/>
      <c r="C244" s="82" t="s">
        <v>115</v>
      </c>
      <c r="D244" s="36" t="s">
        <v>309</v>
      </c>
      <c r="E244" s="36"/>
      <c r="F244" s="25"/>
      <c r="G244" s="54">
        <v>0</v>
      </c>
      <c r="H244" s="54">
        <v>0</v>
      </c>
      <c r="I244" s="54">
        <v>0.1</v>
      </c>
      <c r="J244" s="54">
        <v>0</v>
      </c>
      <c r="K244" s="54">
        <v>0.1</v>
      </c>
      <c r="L244" s="32">
        <f t="shared" si="12"/>
        <v>-3.0000000000000001E-3</v>
      </c>
      <c r="M244" s="32">
        <f t="shared" si="13"/>
        <v>-5.6000000000000001E-2</v>
      </c>
      <c r="N244" s="32">
        <f t="shared" si="14"/>
        <v>5.2999999999999999E-2</v>
      </c>
      <c r="O244" s="33">
        <f t="shared" si="15"/>
        <v>-2.7900000000000019E-2</v>
      </c>
      <c r="P244" s="53"/>
      <c r="Q244" s="30">
        <v>-2.5000000000000001E-2</v>
      </c>
      <c r="R244" s="30">
        <v>-3.3000000000000002E-2</v>
      </c>
      <c r="S244" s="30">
        <v>-3.2000000000000001E-2</v>
      </c>
      <c r="T244" s="30">
        <v>-3.5000000000000003E-2</v>
      </c>
      <c r="U244" s="30">
        <v>-3.2000000000000001E-2</v>
      </c>
      <c r="V244" s="30">
        <v>-2.7E-2</v>
      </c>
      <c r="W244" s="30">
        <v>-3.3000000000000002E-2</v>
      </c>
      <c r="X244" s="30">
        <v>-3.6999999999999998E-2</v>
      </c>
      <c r="Y244" s="30">
        <v>-3.2000000000000001E-2</v>
      </c>
      <c r="Z244" s="30">
        <v>-3.5000000000000003E-2</v>
      </c>
      <c r="AA244" s="30">
        <v>-2.1000000000000001E-2</v>
      </c>
      <c r="AB244" s="30">
        <v>-0.03</v>
      </c>
      <c r="AC244" s="30">
        <v>-0.01</v>
      </c>
      <c r="AD244" s="30">
        <v>-1.9E-2</v>
      </c>
      <c r="AE244" s="30">
        <v>-3.2000000000000001E-2</v>
      </c>
      <c r="AF244" s="30">
        <v>-2.4E-2</v>
      </c>
      <c r="AG244" s="30">
        <v>-2.5999999999999999E-2</v>
      </c>
      <c r="AH244" s="30">
        <v>-2.7E-2</v>
      </c>
      <c r="AI244" s="30">
        <v>-3.2000000000000001E-2</v>
      </c>
      <c r="AJ244" s="30">
        <v>-4.0000000000000001E-3</v>
      </c>
      <c r="AK244" s="30">
        <v>-3.0000000000000001E-3</v>
      </c>
      <c r="AL244" s="30">
        <v>-1.4E-2</v>
      </c>
      <c r="AM244" s="30">
        <v>-5.0999999999999997E-2</v>
      </c>
      <c r="AN244" s="30">
        <v>-1.2E-2</v>
      </c>
      <c r="AO244" s="30">
        <v>-7.0000000000000001E-3</v>
      </c>
      <c r="AP244" s="30">
        <v>-3.3000000000000002E-2</v>
      </c>
      <c r="AQ244" s="30">
        <v>-5.6000000000000001E-2</v>
      </c>
      <c r="AR244" s="30">
        <v>-5.3999999999999999E-2</v>
      </c>
      <c r="AS244" s="30">
        <v>-1.9E-2</v>
      </c>
      <c r="AT244" s="30">
        <v>-4.2000000000000003E-2</v>
      </c>
      <c r="AU244" s="30">
        <v>5.0000000000000001E-3</v>
      </c>
      <c r="AV244" s="30">
        <v>-1.7000000000000001E-2</v>
      </c>
      <c r="AW244" s="30">
        <v>-1.4999999999999999E-2</v>
      </c>
    </row>
    <row r="245" spans="1:49" ht="18" customHeight="1"/>
    <row r="246" spans="1:49" ht="18" customHeight="1"/>
    <row r="247" spans="1:49" ht="18" customHeight="1"/>
    <row r="248" spans="1:49" ht="18" customHeight="1">
      <c r="O248" s="83"/>
      <c r="Q248" s="84">
        <f t="shared" ref="Q248:AW248" si="16">Q8</f>
        <v>80.037999999999997</v>
      </c>
      <c r="R248" s="84">
        <f t="shared" si="16"/>
        <v>80.046999999999997</v>
      </c>
      <c r="S248" s="84">
        <f t="shared" si="16"/>
        <v>80.027000000000001</v>
      </c>
      <c r="T248" s="84">
        <f t="shared" si="16"/>
        <v>80.004000000000005</v>
      </c>
      <c r="U248" s="84">
        <f t="shared" si="16"/>
        <v>80.007999999999996</v>
      </c>
      <c r="V248" s="84">
        <f t="shared" si="16"/>
        <v>80.024000000000001</v>
      </c>
      <c r="W248" s="84">
        <f t="shared" si="16"/>
        <v>80.033000000000001</v>
      </c>
      <c r="X248" s="84">
        <f t="shared" si="16"/>
        <v>80.036000000000001</v>
      </c>
      <c r="Y248" s="84">
        <f t="shared" si="16"/>
        <v>80.022999999999996</v>
      </c>
      <c r="Z248" s="84">
        <f t="shared" si="16"/>
        <v>80.031999999999996</v>
      </c>
      <c r="AA248" s="84">
        <f t="shared" si="16"/>
        <v>80.016999999999996</v>
      </c>
      <c r="AB248" s="84">
        <f t="shared" si="16"/>
        <v>80.034999999999997</v>
      </c>
      <c r="AC248" s="84">
        <f t="shared" si="16"/>
        <v>80.033000000000001</v>
      </c>
      <c r="AD248" s="84">
        <f t="shared" si="16"/>
        <v>80.046000000000006</v>
      </c>
      <c r="AE248" s="84">
        <f t="shared" si="16"/>
        <v>80.043000000000006</v>
      </c>
      <c r="AF248" s="84">
        <f t="shared" si="16"/>
        <v>80.022000000000006</v>
      </c>
      <c r="AG248" s="84">
        <f t="shared" si="16"/>
        <v>80.031999999999996</v>
      </c>
      <c r="AH248" s="84">
        <f t="shared" si="16"/>
        <v>80.03</v>
      </c>
      <c r="AI248" s="84">
        <f t="shared" si="16"/>
        <v>79.997</v>
      </c>
      <c r="AJ248" s="84">
        <f t="shared" si="16"/>
        <v>80.031000000000006</v>
      </c>
      <c r="AK248" s="84">
        <f t="shared" si="16"/>
        <v>79.997</v>
      </c>
      <c r="AL248" s="84">
        <f t="shared" si="16"/>
        <v>80.027000000000001</v>
      </c>
      <c r="AM248" s="84">
        <f t="shared" si="16"/>
        <v>80.006</v>
      </c>
      <c r="AN248" s="84">
        <f t="shared" si="16"/>
        <v>80.009</v>
      </c>
      <c r="AO248" s="84">
        <f t="shared" si="16"/>
        <v>80.004999999999995</v>
      </c>
      <c r="AP248" s="84">
        <f t="shared" si="16"/>
        <v>80.022999999999996</v>
      </c>
      <c r="AQ248" s="84">
        <f t="shared" si="16"/>
        <v>80.018000000000001</v>
      </c>
      <c r="AR248" s="84">
        <f t="shared" si="16"/>
        <v>80.022000000000006</v>
      </c>
      <c r="AS248" s="84">
        <f t="shared" si="16"/>
        <v>80.025999999999996</v>
      </c>
      <c r="AT248" s="84">
        <f t="shared" si="16"/>
        <v>80.006</v>
      </c>
      <c r="AU248" s="84">
        <f t="shared" si="16"/>
        <v>80.042000000000002</v>
      </c>
      <c r="AV248" s="84">
        <f t="shared" si="16"/>
        <v>80.028999999999996</v>
      </c>
      <c r="AW248" s="84">
        <f t="shared" si="16"/>
        <v>80.016000000000005</v>
      </c>
    </row>
    <row r="249" spans="1:49" ht="18" customHeight="1">
      <c r="O249" s="83"/>
      <c r="Q249" s="84">
        <f t="shared" ref="Q249:AW249" si="17">Q18</f>
        <v>1.5649999999999999</v>
      </c>
      <c r="R249" s="84">
        <f t="shared" si="17"/>
        <v>1.57</v>
      </c>
      <c r="S249" s="84">
        <f t="shared" si="17"/>
        <v>1.5629999999999999</v>
      </c>
      <c r="T249" s="84">
        <f t="shared" si="17"/>
        <v>1.5629999999999999</v>
      </c>
      <c r="U249" s="84">
        <f t="shared" si="17"/>
        <v>1.5669999999999999</v>
      </c>
      <c r="V249" s="84">
        <f t="shared" si="17"/>
        <v>1.569</v>
      </c>
      <c r="W249" s="84">
        <f t="shared" si="17"/>
        <v>1.5640000000000001</v>
      </c>
      <c r="X249" s="84">
        <f t="shared" si="17"/>
        <v>1.552</v>
      </c>
      <c r="Y249" s="84">
        <f t="shared" si="17"/>
        <v>1.5669999999999999</v>
      </c>
      <c r="Z249" s="84">
        <f t="shared" si="17"/>
        <v>1.5640000000000001</v>
      </c>
      <c r="AA249" s="84">
        <f t="shared" si="17"/>
        <v>1.571</v>
      </c>
      <c r="AB249" s="84">
        <f t="shared" si="17"/>
        <v>1.573</v>
      </c>
      <c r="AC249" s="84">
        <f t="shared" si="17"/>
        <v>1.5740000000000001</v>
      </c>
      <c r="AD249" s="84">
        <f t="shared" si="17"/>
        <v>1.5720000000000001</v>
      </c>
      <c r="AE249" s="84">
        <f t="shared" si="17"/>
        <v>1.5680000000000001</v>
      </c>
      <c r="AF249" s="84">
        <f t="shared" si="17"/>
        <v>1.575</v>
      </c>
      <c r="AG249" s="84">
        <f t="shared" si="17"/>
        <v>1.5580000000000001</v>
      </c>
      <c r="AH249" s="84">
        <f t="shared" si="17"/>
        <v>1.5680000000000001</v>
      </c>
      <c r="AI249" s="84">
        <f t="shared" si="17"/>
        <v>1.5629999999999999</v>
      </c>
      <c r="AJ249" s="84">
        <f t="shared" si="17"/>
        <v>1.5669999999999999</v>
      </c>
      <c r="AK249" s="84">
        <f t="shared" si="17"/>
        <v>1.571</v>
      </c>
      <c r="AL249" s="84">
        <f t="shared" si="17"/>
        <v>1.57</v>
      </c>
      <c r="AM249" s="84">
        <f t="shared" si="17"/>
        <v>1.5640000000000001</v>
      </c>
      <c r="AN249" s="84">
        <f t="shared" si="17"/>
        <v>1.569</v>
      </c>
      <c r="AO249" s="84">
        <f t="shared" si="17"/>
        <v>1.57</v>
      </c>
      <c r="AP249" s="84">
        <f t="shared" si="17"/>
        <v>1.571</v>
      </c>
      <c r="AQ249" s="84">
        <f t="shared" si="17"/>
        <v>1.573</v>
      </c>
      <c r="AR249" s="84">
        <f t="shared" si="17"/>
        <v>1.571</v>
      </c>
      <c r="AS249" s="84">
        <f t="shared" si="17"/>
        <v>1.5669999999999999</v>
      </c>
      <c r="AT249" s="84">
        <f t="shared" si="17"/>
        <v>1.5620000000000001</v>
      </c>
      <c r="AU249" s="84">
        <f t="shared" si="17"/>
        <v>1.571</v>
      </c>
      <c r="AV249" s="84">
        <f t="shared" si="17"/>
        <v>1.57</v>
      </c>
      <c r="AW249" s="84">
        <f t="shared" si="17"/>
        <v>1.5669999999999999</v>
      </c>
    </row>
    <row r="250" spans="1:49" ht="18" customHeight="1">
      <c r="O250" s="83" t="s">
        <v>403</v>
      </c>
      <c r="Q250" s="84">
        <f t="shared" ref="Q250:AW250" si="18">Q28</f>
        <v>4.1239999999999997</v>
      </c>
      <c r="R250" s="84">
        <f t="shared" si="18"/>
        <v>4.1269999999999998</v>
      </c>
      <c r="S250" s="84">
        <f t="shared" si="18"/>
        <v>4.1280000000000001</v>
      </c>
      <c r="T250" s="84">
        <f t="shared" si="18"/>
        <v>4.1260000000000003</v>
      </c>
      <c r="U250" s="84">
        <f t="shared" si="18"/>
        <v>4.1280000000000001</v>
      </c>
      <c r="V250" s="84">
        <f t="shared" si="18"/>
        <v>4.1280000000000001</v>
      </c>
      <c r="W250" s="84">
        <f t="shared" si="18"/>
        <v>4.1260000000000003</v>
      </c>
      <c r="X250" s="84">
        <f t="shared" si="18"/>
        <v>4.1239999999999997</v>
      </c>
      <c r="Y250" s="84">
        <f t="shared" si="18"/>
        <v>4.1260000000000003</v>
      </c>
      <c r="Z250" s="84">
        <f t="shared" si="18"/>
        <v>4.1280000000000001</v>
      </c>
      <c r="AA250" s="84">
        <f t="shared" si="18"/>
        <v>4.1219999999999999</v>
      </c>
      <c r="AB250" s="84">
        <f t="shared" si="18"/>
        <v>4.1289999999999996</v>
      </c>
      <c r="AC250" s="84">
        <f t="shared" si="18"/>
        <v>4.1269999999999998</v>
      </c>
      <c r="AD250" s="84">
        <f t="shared" si="18"/>
        <v>4.125</v>
      </c>
      <c r="AE250" s="84">
        <f t="shared" si="18"/>
        <v>4.1280000000000001</v>
      </c>
      <c r="AF250" s="84">
        <f t="shared" si="18"/>
        <v>4.1289999999999996</v>
      </c>
      <c r="AG250" s="84">
        <f t="shared" si="18"/>
        <v>4.1239999999999997</v>
      </c>
      <c r="AH250" s="84">
        <f t="shared" si="18"/>
        <v>4.125</v>
      </c>
      <c r="AI250" s="84">
        <f t="shared" si="18"/>
        <v>4.1289999999999996</v>
      </c>
      <c r="AJ250" s="84">
        <f t="shared" si="18"/>
        <v>4.125</v>
      </c>
      <c r="AK250" s="84">
        <f t="shared" si="18"/>
        <v>4.1319999999999997</v>
      </c>
      <c r="AL250" s="84">
        <f t="shared" si="18"/>
        <v>4.1280000000000001</v>
      </c>
      <c r="AM250" s="84">
        <f t="shared" si="18"/>
        <v>4.1219999999999999</v>
      </c>
      <c r="AN250" s="84">
        <f t="shared" si="18"/>
        <v>4.1230000000000002</v>
      </c>
      <c r="AO250" s="84">
        <f t="shared" si="18"/>
        <v>4.1239999999999997</v>
      </c>
      <c r="AP250" s="84">
        <f t="shared" si="18"/>
        <v>4.125</v>
      </c>
      <c r="AQ250" s="84">
        <f t="shared" si="18"/>
        <v>4.12</v>
      </c>
      <c r="AR250" s="84">
        <f t="shared" si="18"/>
        <v>4.1239999999999997</v>
      </c>
      <c r="AS250" s="84">
        <f t="shared" si="18"/>
        <v>4.125</v>
      </c>
      <c r="AT250" s="84">
        <f t="shared" si="18"/>
        <v>4.125</v>
      </c>
      <c r="AU250" s="84">
        <f t="shared" si="18"/>
        <v>4.1239999999999997</v>
      </c>
      <c r="AV250" s="84">
        <f t="shared" si="18"/>
        <v>4.1230000000000002</v>
      </c>
      <c r="AW250" s="84">
        <f t="shared" si="18"/>
        <v>4.1239999999999997</v>
      </c>
    </row>
    <row r="251" spans="1:49" ht="18" customHeight="1">
      <c r="O251" s="83" t="s">
        <v>404</v>
      </c>
      <c r="Q251" s="84">
        <f t="shared" ref="Q251:AW251" si="19">Q40</f>
        <v>7.1999999999999995E-2</v>
      </c>
      <c r="R251" s="84">
        <f t="shared" si="19"/>
        <v>5.7000000000000002E-2</v>
      </c>
      <c r="S251" s="84">
        <f t="shared" si="19"/>
        <v>6.6000000000000003E-2</v>
      </c>
      <c r="T251" s="84">
        <f t="shared" si="19"/>
        <v>5.2999999999999999E-2</v>
      </c>
      <c r="U251" s="84">
        <f t="shared" si="19"/>
        <v>5.3999999999999999E-2</v>
      </c>
      <c r="V251" s="84">
        <f t="shared" si="19"/>
        <v>5.5E-2</v>
      </c>
      <c r="W251" s="84">
        <f t="shared" si="19"/>
        <v>5.5E-2</v>
      </c>
      <c r="X251" s="84">
        <f t="shared" si="19"/>
        <v>5.1999999999999998E-2</v>
      </c>
      <c r="Y251" s="84">
        <f t="shared" si="19"/>
        <v>6.0999999999999999E-2</v>
      </c>
      <c r="Z251" s="84">
        <f t="shared" si="19"/>
        <v>5.5E-2</v>
      </c>
      <c r="AA251" s="84">
        <f t="shared" si="19"/>
        <v>5.1999999999999998E-2</v>
      </c>
      <c r="AB251" s="84">
        <f t="shared" si="19"/>
        <v>5.2999999999999999E-2</v>
      </c>
      <c r="AC251" s="84">
        <f t="shared" si="19"/>
        <v>4.9000000000000002E-2</v>
      </c>
      <c r="AD251" s="84">
        <f t="shared" si="19"/>
        <v>5.1999999999999998E-2</v>
      </c>
      <c r="AE251" s="84">
        <f t="shared" si="19"/>
        <v>5.1999999999999998E-2</v>
      </c>
      <c r="AF251" s="84">
        <f t="shared" si="19"/>
        <v>0.05</v>
      </c>
      <c r="AG251" s="84">
        <f t="shared" si="19"/>
        <v>5.5E-2</v>
      </c>
      <c r="AH251" s="84">
        <f t="shared" si="19"/>
        <v>6.3E-2</v>
      </c>
      <c r="AI251" s="84">
        <f t="shared" si="19"/>
        <v>5.6000000000000001E-2</v>
      </c>
      <c r="AJ251" s="84">
        <f t="shared" si="19"/>
        <v>6.4000000000000001E-2</v>
      </c>
      <c r="AK251" s="84">
        <f t="shared" si="19"/>
        <v>0.05</v>
      </c>
      <c r="AL251" s="84">
        <f t="shared" si="19"/>
        <v>6.2E-2</v>
      </c>
      <c r="AM251" s="84">
        <f t="shared" si="19"/>
        <v>6.0999999999999999E-2</v>
      </c>
      <c r="AN251" s="84">
        <f t="shared" si="19"/>
        <v>5.2999999999999999E-2</v>
      </c>
      <c r="AO251" s="84">
        <f t="shared" si="19"/>
        <v>5.1999999999999998E-2</v>
      </c>
      <c r="AP251" s="84">
        <f t="shared" si="19"/>
        <v>6.5000000000000002E-2</v>
      </c>
      <c r="AQ251" s="84">
        <f t="shared" si="19"/>
        <v>5.7000000000000002E-2</v>
      </c>
      <c r="AR251" s="84">
        <f t="shared" si="19"/>
        <v>5.7000000000000002E-2</v>
      </c>
      <c r="AS251" s="84">
        <f t="shared" si="19"/>
        <v>5.1999999999999998E-2</v>
      </c>
      <c r="AT251" s="84">
        <f t="shared" si="19"/>
        <v>5.6000000000000001E-2</v>
      </c>
      <c r="AU251" s="84">
        <f t="shared" si="19"/>
        <v>5.7000000000000002E-2</v>
      </c>
      <c r="AV251" s="84">
        <f t="shared" si="19"/>
        <v>5.8000000000000003E-2</v>
      </c>
      <c r="AW251" s="84">
        <f t="shared" si="19"/>
        <v>5.6000000000000001E-2</v>
      </c>
    </row>
    <row r="252" spans="1:49" ht="18" customHeight="1">
      <c r="O252" s="83" t="s">
        <v>405</v>
      </c>
      <c r="Q252" s="84">
        <f t="shared" ref="Q252:AW252" si="20">Q102</f>
        <v>14.142217</v>
      </c>
      <c r="R252" s="84">
        <f t="shared" si="20"/>
        <v>14.14404</v>
      </c>
      <c r="S252" s="84">
        <f t="shared" si="20"/>
        <v>14.141156000000001</v>
      </c>
      <c r="T252" s="84">
        <f t="shared" si="20"/>
        <v>14.137074999999999</v>
      </c>
      <c r="U252" s="84">
        <f t="shared" si="20"/>
        <v>14.14315</v>
      </c>
      <c r="V252" s="84">
        <f t="shared" si="20"/>
        <v>14.14296</v>
      </c>
      <c r="W252" s="84">
        <f t="shared" si="20"/>
        <v>14.139809</v>
      </c>
      <c r="X252" s="84">
        <f t="shared" si="20"/>
        <v>14.143827999999999</v>
      </c>
      <c r="Y252" s="84">
        <f t="shared" si="20"/>
        <v>14.148851000000001</v>
      </c>
      <c r="Z252" s="84">
        <f t="shared" si="20"/>
        <v>14.141595000000001</v>
      </c>
      <c r="AA252" s="84">
        <f t="shared" si="20"/>
        <v>14.142144999999999</v>
      </c>
      <c r="AB252" s="84">
        <f t="shared" si="20"/>
        <v>14.127841</v>
      </c>
      <c r="AC252" s="84">
        <f t="shared" si="20"/>
        <v>14.139321000000001</v>
      </c>
      <c r="AD252" s="84">
        <f t="shared" si="20"/>
        <v>14.143584000000001</v>
      </c>
      <c r="AE252" s="84">
        <f t="shared" si="20"/>
        <v>14.147167</v>
      </c>
      <c r="AF252" s="84">
        <f t="shared" si="20"/>
        <v>14.151759999999999</v>
      </c>
      <c r="AG252" s="84">
        <f t="shared" si="20"/>
        <v>14.148443</v>
      </c>
      <c r="AH252" s="84">
        <f t="shared" si="20"/>
        <v>14.139112000000001</v>
      </c>
      <c r="AI252" s="84">
        <f t="shared" si="20"/>
        <v>14.128895</v>
      </c>
      <c r="AJ252" s="84">
        <f t="shared" si="20"/>
        <v>14.136051</v>
      </c>
      <c r="AK252" s="84">
        <f t="shared" si="20"/>
        <v>14.141572</v>
      </c>
      <c r="AL252" s="84">
        <f t="shared" si="20"/>
        <v>14.142538999999999</v>
      </c>
      <c r="AM252" s="84">
        <f t="shared" si="20"/>
        <v>14.141829</v>
      </c>
      <c r="AN252" s="84">
        <f t="shared" si="20"/>
        <v>14.14447</v>
      </c>
      <c r="AO252" s="84">
        <f t="shared" si="20"/>
        <v>14.137466999999999</v>
      </c>
      <c r="AP252" s="84">
        <f t="shared" si="20"/>
        <v>14.133877999999999</v>
      </c>
      <c r="AQ252" s="84">
        <f t="shared" si="20"/>
        <v>14.142668</v>
      </c>
      <c r="AR252" s="84">
        <f t="shared" si="20"/>
        <v>14.138052999999999</v>
      </c>
      <c r="AS252" s="84">
        <f t="shared" si="20"/>
        <v>14.145968999999999</v>
      </c>
      <c r="AT252" s="84">
        <f t="shared" si="20"/>
        <v>14.139424999999999</v>
      </c>
      <c r="AU252" s="84">
        <f t="shared" si="20"/>
        <v>14.140342</v>
      </c>
      <c r="AV252" s="84">
        <f t="shared" si="20"/>
        <v>14.147114999999999</v>
      </c>
      <c r="AW252" s="84">
        <f t="shared" si="20"/>
        <v>14.141997</v>
      </c>
    </row>
    <row r="253" spans="1:49" ht="18" customHeight="1">
      <c r="O253" s="83"/>
      <c r="Q253" s="84">
        <f t="shared" ref="Q253:AW253" si="21">Q128</f>
        <v>80.031000000000006</v>
      </c>
      <c r="R253" s="84">
        <f t="shared" si="21"/>
        <v>80.03</v>
      </c>
      <c r="S253" s="84">
        <f t="shared" si="21"/>
        <v>80.021000000000001</v>
      </c>
      <c r="T253" s="84">
        <f t="shared" si="21"/>
        <v>80.003</v>
      </c>
      <c r="U253" s="84">
        <f t="shared" si="21"/>
        <v>80.004999999999995</v>
      </c>
      <c r="V253" s="84">
        <f t="shared" si="21"/>
        <v>80.016999999999996</v>
      </c>
      <c r="W253" s="84">
        <f t="shared" si="21"/>
        <v>80.022999999999996</v>
      </c>
      <c r="X253" s="84">
        <f t="shared" si="21"/>
        <v>80.025000000000006</v>
      </c>
      <c r="Y253" s="84">
        <f t="shared" si="21"/>
        <v>80.018000000000001</v>
      </c>
      <c r="Z253" s="84">
        <f t="shared" si="21"/>
        <v>80.02</v>
      </c>
      <c r="AA253" s="84">
        <f t="shared" si="21"/>
        <v>80.025999999999996</v>
      </c>
      <c r="AB253" s="84">
        <f t="shared" si="21"/>
        <v>80.031000000000006</v>
      </c>
      <c r="AC253" s="84">
        <f t="shared" si="21"/>
        <v>80.028000000000006</v>
      </c>
      <c r="AD253" s="84">
        <f t="shared" si="21"/>
        <v>80.027000000000001</v>
      </c>
      <c r="AE253" s="84">
        <f t="shared" si="21"/>
        <v>80.025999999999996</v>
      </c>
      <c r="AF253" s="84">
        <f t="shared" si="21"/>
        <v>80.013000000000005</v>
      </c>
      <c r="AG253" s="84">
        <f t="shared" si="21"/>
        <v>80.016000000000005</v>
      </c>
      <c r="AH253" s="84">
        <f t="shared" si="21"/>
        <v>80.004999999999995</v>
      </c>
      <c r="AI253" s="84">
        <f t="shared" si="21"/>
        <v>79.995999999999995</v>
      </c>
      <c r="AJ253" s="84">
        <f t="shared" si="21"/>
        <v>80.006</v>
      </c>
      <c r="AK253" s="84">
        <f t="shared" si="21"/>
        <v>79.994</v>
      </c>
      <c r="AL253" s="84">
        <f t="shared" si="21"/>
        <v>80.016000000000005</v>
      </c>
      <c r="AM253" s="84">
        <f t="shared" si="21"/>
        <v>80</v>
      </c>
      <c r="AN253" s="84">
        <f t="shared" si="21"/>
        <v>79.978999999999999</v>
      </c>
      <c r="AO253" s="84">
        <f t="shared" si="21"/>
        <v>80.004999999999995</v>
      </c>
      <c r="AP253" s="84">
        <f t="shared" si="21"/>
        <v>80.004999999999995</v>
      </c>
      <c r="AQ253" s="84">
        <f t="shared" si="21"/>
        <v>80.001999999999995</v>
      </c>
      <c r="AR253" s="84">
        <f t="shared" si="21"/>
        <v>79.997</v>
      </c>
      <c r="AS253" s="84">
        <f t="shared" si="21"/>
        <v>80.007999999999996</v>
      </c>
      <c r="AT253" s="84">
        <f t="shared" si="21"/>
        <v>79.984999999999999</v>
      </c>
      <c r="AU253" s="84">
        <f t="shared" si="21"/>
        <v>80.031000000000006</v>
      </c>
      <c r="AV253" s="84">
        <f t="shared" si="21"/>
        <v>80.013999999999996</v>
      </c>
      <c r="AW253" s="84">
        <f t="shared" si="21"/>
        <v>79.995999999999995</v>
      </c>
    </row>
    <row r="254" spans="1:49" ht="18" customHeight="1">
      <c r="O254" s="83"/>
      <c r="Q254" s="84">
        <f t="shared" ref="Q254:AW254" si="22">Q138</f>
        <v>1.5609999999999999</v>
      </c>
      <c r="R254" s="84">
        <f t="shared" si="22"/>
        <v>1.5640000000000001</v>
      </c>
      <c r="S254" s="84">
        <f t="shared" si="22"/>
        <v>1.5529999999999999</v>
      </c>
      <c r="T254" s="84">
        <f t="shared" si="22"/>
        <v>1.56</v>
      </c>
      <c r="U254" s="84">
        <f t="shared" si="22"/>
        <v>1.5649999999999999</v>
      </c>
      <c r="V254" s="84">
        <f t="shared" si="22"/>
        <v>1.5620000000000001</v>
      </c>
      <c r="W254" s="84">
        <f t="shared" si="22"/>
        <v>1.56</v>
      </c>
      <c r="X254" s="84">
        <f t="shared" si="22"/>
        <v>1.56</v>
      </c>
      <c r="Y254" s="84">
        <f t="shared" si="22"/>
        <v>1.5569999999999999</v>
      </c>
      <c r="Z254" s="84">
        <f t="shared" si="22"/>
        <v>1.56</v>
      </c>
      <c r="AA254" s="84">
        <f t="shared" si="22"/>
        <v>1.5629999999999999</v>
      </c>
      <c r="AB254" s="84">
        <f t="shared" si="22"/>
        <v>1.5549999999999999</v>
      </c>
      <c r="AC254" s="84">
        <f t="shared" si="22"/>
        <v>1.5629999999999999</v>
      </c>
      <c r="AD254" s="84">
        <f t="shared" si="22"/>
        <v>1.5609999999999999</v>
      </c>
      <c r="AE254" s="84">
        <f t="shared" si="22"/>
        <v>1.556</v>
      </c>
      <c r="AF254" s="84">
        <f t="shared" si="22"/>
        <v>1.5589999999999999</v>
      </c>
      <c r="AG254" s="84">
        <f t="shared" si="22"/>
        <v>1.5720000000000001</v>
      </c>
      <c r="AH254" s="84">
        <f t="shared" si="22"/>
        <v>1.5609999999999999</v>
      </c>
      <c r="AI254" s="84">
        <f t="shared" si="22"/>
        <v>1.5649999999999999</v>
      </c>
      <c r="AJ254" s="84">
        <f t="shared" si="22"/>
        <v>1.5660000000000001</v>
      </c>
      <c r="AK254" s="84">
        <f t="shared" si="22"/>
        <v>1.5649999999999999</v>
      </c>
      <c r="AL254" s="84">
        <f t="shared" si="22"/>
        <v>1.5589999999999999</v>
      </c>
      <c r="AM254" s="84">
        <f t="shared" si="22"/>
        <v>1.5609999999999999</v>
      </c>
      <c r="AN254" s="84">
        <f t="shared" si="22"/>
        <v>1.5629999999999999</v>
      </c>
      <c r="AO254" s="84">
        <f t="shared" si="22"/>
        <v>1.5649999999999999</v>
      </c>
      <c r="AP254" s="84">
        <f t="shared" si="22"/>
        <v>1.5569999999999999</v>
      </c>
      <c r="AQ254" s="84">
        <f t="shared" si="22"/>
        <v>1.56</v>
      </c>
      <c r="AR254" s="84">
        <f t="shared" si="22"/>
        <v>1.556</v>
      </c>
      <c r="AS254" s="84">
        <f t="shared" si="22"/>
        <v>1.5569999999999999</v>
      </c>
      <c r="AT254" s="84">
        <f t="shared" si="22"/>
        <v>1.5589999999999999</v>
      </c>
      <c r="AU254" s="84">
        <f t="shared" si="22"/>
        <v>1.556</v>
      </c>
      <c r="AV254" s="84">
        <f t="shared" si="22"/>
        <v>1.556</v>
      </c>
      <c r="AW254" s="84">
        <f t="shared" si="22"/>
        <v>1.5640000000000001</v>
      </c>
    </row>
    <row r="255" spans="1:49" ht="18" customHeight="1">
      <c r="O255" s="83"/>
      <c r="Q255" s="84">
        <f t="shared" ref="Q255:AW255" si="23">Q148</f>
        <v>4.1360000000000001</v>
      </c>
      <c r="R255" s="84">
        <f t="shared" si="23"/>
        <v>4.16</v>
      </c>
      <c r="S255" s="84">
        <f t="shared" si="23"/>
        <v>4.1589999999999998</v>
      </c>
      <c r="T255" s="84">
        <f t="shared" si="23"/>
        <v>4.1589999999999998</v>
      </c>
      <c r="U255" s="84">
        <f t="shared" si="23"/>
        <v>4.1639999999999997</v>
      </c>
      <c r="V255" s="84">
        <f t="shared" si="23"/>
        <v>4.1630000000000003</v>
      </c>
      <c r="W255" s="84">
        <f t="shared" si="23"/>
        <v>4.1630000000000003</v>
      </c>
      <c r="X255" s="84">
        <f t="shared" si="23"/>
        <v>4.1500000000000004</v>
      </c>
      <c r="Y255" s="84">
        <f t="shared" si="23"/>
        <v>4.1550000000000002</v>
      </c>
      <c r="Z255" s="84">
        <f t="shared" si="23"/>
        <v>4.16</v>
      </c>
      <c r="AA255" s="84">
        <f t="shared" si="23"/>
        <v>4.1479999999999997</v>
      </c>
      <c r="AB255" s="84">
        <f t="shared" si="23"/>
        <v>4.1580000000000004</v>
      </c>
      <c r="AC255" s="84">
        <f t="shared" si="23"/>
        <v>4.1539999999999999</v>
      </c>
      <c r="AD255" s="84">
        <f t="shared" si="23"/>
        <v>4.1500000000000004</v>
      </c>
      <c r="AE255" s="84">
        <f t="shared" si="23"/>
        <v>4.1559999999999997</v>
      </c>
      <c r="AF255" s="84">
        <f t="shared" si="23"/>
        <v>4.16</v>
      </c>
      <c r="AG255" s="84">
        <f t="shared" si="23"/>
        <v>4.1479999999999997</v>
      </c>
      <c r="AH255" s="84">
        <f t="shared" si="23"/>
        <v>4.1520000000000001</v>
      </c>
      <c r="AI255" s="84">
        <f t="shared" si="23"/>
        <v>4.1500000000000004</v>
      </c>
      <c r="AJ255" s="84">
        <f t="shared" si="23"/>
        <v>4.1529999999999996</v>
      </c>
      <c r="AK255" s="84">
        <f t="shared" si="23"/>
        <v>4.1529999999999996</v>
      </c>
      <c r="AL255" s="84">
        <f t="shared" si="23"/>
        <v>4.1399999999999997</v>
      </c>
      <c r="AM255" s="84">
        <f t="shared" si="23"/>
        <v>4.1349999999999998</v>
      </c>
      <c r="AN255" s="84">
        <f t="shared" si="23"/>
        <v>4.1509999999999998</v>
      </c>
      <c r="AO255" s="84">
        <f t="shared" si="23"/>
        <v>4.1539999999999999</v>
      </c>
      <c r="AP255" s="84">
        <f t="shared" si="23"/>
        <v>4.1509999999999998</v>
      </c>
      <c r="AQ255" s="84">
        <f t="shared" si="23"/>
        <v>4.133</v>
      </c>
      <c r="AR255" s="84">
        <f t="shared" si="23"/>
        <v>4.1340000000000003</v>
      </c>
      <c r="AS255" s="84">
        <f t="shared" si="23"/>
        <v>4.1399999999999997</v>
      </c>
      <c r="AT255" s="84">
        <f t="shared" si="23"/>
        <v>4.1420000000000003</v>
      </c>
      <c r="AU255" s="84">
        <f t="shared" si="23"/>
        <v>4.1340000000000003</v>
      </c>
      <c r="AV255" s="84">
        <f t="shared" si="23"/>
        <v>4.1390000000000002</v>
      </c>
      <c r="AW255" s="84">
        <f t="shared" si="23"/>
        <v>4.1399999999999997</v>
      </c>
    </row>
    <row r="256" spans="1:49" ht="18" customHeight="1">
      <c r="O256" s="83"/>
      <c r="Q256" s="84">
        <f t="shared" ref="Q256:AW256" si="24">Q160</f>
        <v>6.0999999999999999E-2</v>
      </c>
      <c r="R256" s="84">
        <f t="shared" si="24"/>
        <v>6.2E-2</v>
      </c>
      <c r="S256" s="84">
        <f t="shared" si="24"/>
        <v>5.8999999999999997E-2</v>
      </c>
      <c r="T256" s="84">
        <f t="shared" si="24"/>
        <v>5.0999999999999997E-2</v>
      </c>
      <c r="U256" s="84">
        <f t="shared" si="24"/>
        <v>5.8000000000000003E-2</v>
      </c>
      <c r="V256" s="84">
        <f t="shared" si="24"/>
        <v>6.2E-2</v>
      </c>
      <c r="W256" s="84">
        <f t="shared" si="24"/>
        <v>5.8000000000000003E-2</v>
      </c>
      <c r="X256" s="84">
        <f t="shared" si="24"/>
        <v>5.6000000000000001E-2</v>
      </c>
      <c r="Y256" s="84">
        <f t="shared" si="24"/>
        <v>5.0999999999999997E-2</v>
      </c>
      <c r="Z256" s="84">
        <f t="shared" si="24"/>
        <v>5.8000000000000003E-2</v>
      </c>
      <c r="AA256" s="84">
        <f t="shared" si="24"/>
        <v>5.7000000000000002E-2</v>
      </c>
      <c r="AB256" s="84">
        <f t="shared" si="24"/>
        <v>5.0999999999999997E-2</v>
      </c>
      <c r="AC256" s="84">
        <f t="shared" si="24"/>
        <v>5.5E-2</v>
      </c>
      <c r="AD256" s="84">
        <f t="shared" si="24"/>
        <v>5.2999999999999999E-2</v>
      </c>
      <c r="AE256" s="84">
        <f t="shared" si="24"/>
        <v>5.6000000000000001E-2</v>
      </c>
      <c r="AF256" s="84">
        <f t="shared" si="24"/>
        <v>5.2999999999999999E-2</v>
      </c>
      <c r="AG256" s="84">
        <f t="shared" si="24"/>
        <v>5.1999999999999998E-2</v>
      </c>
      <c r="AH256" s="84">
        <f t="shared" si="24"/>
        <v>6.2E-2</v>
      </c>
      <c r="AI256" s="84">
        <f t="shared" si="24"/>
        <v>5.8000000000000003E-2</v>
      </c>
      <c r="AJ256" s="84">
        <f t="shared" si="24"/>
        <v>5.5E-2</v>
      </c>
      <c r="AK256" s="84">
        <f t="shared" si="24"/>
        <v>0.05</v>
      </c>
      <c r="AL256" s="84">
        <f t="shared" si="24"/>
        <v>5.1999999999999998E-2</v>
      </c>
      <c r="AM256" s="84">
        <f t="shared" si="24"/>
        <v>5.3999999999999999E-2</v>
      </c>
      <c r="AN256" s="84">
        <f t="shared" si="24"/>
        <v>5.6000000000000001E-2</v>
      </c>
      <c r="AO256" s="84">
        <f t="shared" si="24"/>
        <v>5.2999999999999999E-2</v>
      </c>
      <c r="AP256" s="84">
        <f t="shared" si="24"/>
        <v>5.6000000000000001E-2</v>
      </c>
      <c r="AQ256" s="84">
        <f t="shared" si="24"/>
        <v>5.2999999999999999E-2</v>
      </c>
      <c r="AR256" s="84">
        <f t="shared" si="24"/>
        <v>5.2999999999999999E-2</v>
      </c>
      <c r="AS256" s="84">
        <f t="shared" si="24"/>
        <v>5.6000000000000001E-2</v>
      </c>
      <c r="AT256" s="84">
        <f t="shared" si="24"/>
        <v>0.06</v>
      </c>
      <c r="AU256" s="84">
        <f t="shared" si="24"/>
        <v>5.2999999999999999E-2</v>
      </c>
      <c r="AV256" s="84">
        <f t="shared" si="24"/>
        <v>4.8000000000000001E-2</v>
      </c>
      <c r="AW256" s="84">
        <f t="shared" si="24"/>
        <v>5.6000000000000001E-2</v>
      </c>
    </row>
    <row r="257" spans="15:49" ht="18" customHeight="1">
      <c r="O257" s="83"/>
      <c r="Q257" s="84">
        <f t="shared" ref="Q257:AW257" si="25">Q222</f>
        <v>14.133749</v>
      </c>
      <c r="R257" s="84">
        <f t="shared" si="25"/>
        <v>14.142148000000001</v>
      </c>
      <c r="S257" s="84">
        <f t="shared" si="25"/>
        <v>14.133366000000001</v>
      </c>
      <c r="T257" s="84">
        <f t="shared" si="25"/>
        <v>14.140495</v>
      </c>
      <c r="U257" s="84">
        <f t="shared" si="25"/>
        <v>14.135123</v>
      </c>
      <c r="V257" s="84">
        <f t="shared" si="25"/>
        <v>14.137067</v>
      </c>
      <c r="W257" s="84">
        <f t="shared" si="25"/>
        <v>14.138056000000001</v>
      </c>
      <c r="X257" s="84">
        <f t="shared" si="25"/>
        <v>14.135882000000001</v>
      </c>
      <c r="Y257" s="84">
        <f t="shared" si="25"/>
        <v>14.141500000000001</v>
      </c>
      <c r="Z257" s="84">
        <f t="shared" si="25"/>
        <v>14.137079</v>
      </c>
      <c r="AA257" s="84">
        <f t="shared" si="25"/>
        <v>14.135816</v>
      </c>
      <c r="AB257" s="84">
        <f t="shared" si="25"/>
        <v>14.1341</v>
      </c>
      <c r="AC257" s="84">
        <f t="shared" si="25"/>
        <v>14.136298999999999</v>
      </c>
      <c r="AD257" s="84">
        <f t="shared" si="25"/>
        <v>14.138985</v>
      </c>
      <c r="AE257" s="84">
        <f t="shared" si="25"/>
        <v>14.140003</v>
      </c>
      <c r="AF257" s="84">
        <f t="shared" si="25"/>
        <v>14.138915000000001</v>
      </c>
      <c r="AG257" s="84">
        <f t="shared" si="25"/>
        <v>14.140779999999999</v>
      </c>
      <c r="AH257" s="84">
        <f t="shared" si="25"/>
        <v>14.134152</v>
      </c>
      <c r="AI257" s="84">
        <f t="shared" si="25"/>
        <v>14.129251</v>
      </c>
      <c r="AJ257" s="84">
        <f t="shared" si="25"/>
        <v>14.130922999999999</v>
      </c>
      <c r="AK257" s="84">
        <f t="shared" si="25"/>
        <v>14.136945000000001</v>
      </c>
      <c r="AL257" s="84">
        <f t="shared" si="25"/>
        <v>14.143701</v>
      </c>
      <c r="AM257" s="84">
        <f t="shared" si="25"/>
        <v>14.137062</v>
      </c>
      <c r="AN257" s="84">
        <f t="shared" si="25"/>
        <v>14.143293</v>
      </c>
      <c r="AO257" s="84">
        <f t="shared" si="25"/>
        <v>14.144641</v>
      </c>
      <c r="AP257" s="84">
        <f t="shared" si="25"/>
        <v>14.141374000000001</v>
      </c>
      <c r="AQ257" s="84">
        <f t="shared" si="25"/>
        <v>14.129352000000001</v>
      </c>
      <c r="AR257" s="84">
        <f t="shared" si="25"/>
        <v>14.130421</v>
      </c>
      <c r="AS257" s="84">
        <f t="shared" si="25"/>
        <v>14.136336999999999</v>
      </c>
      <c r="AT257" s="84">
        <f t="shared" si="25"/>
        <v>14.131773000000001</v>
      </c>
      <c r="AU257" s="84">
        <f t="shared" si="25"/>
        <v>14.136037</v>
      </c>
      <c r="AV257" s="84">
        <f t="shared" si="25"/>
        <v>14.138508</v>
      </c>
      <c r="AW257" s="84">
        <f t="shared" si="25"/>
        <v>14.128318999999999</v>
      </c>
    </row>
    <row r="258" spans="15:49" ht="18" customHeight="1"/>
    <row r="259" spans="15:49" ht="18" customHeight="1"/>
    <row r="260" spans="15:49" ht="18" customHeight="1"/>
    <row r="261" spans="15:49" ht="18" customHeight="1"/>
    <row r="262" spans="15:49" ht="18" customHeight="1"/>
    <row r="263" spans="15:49" ht="18" customHeight="1"/>
    <row r="264" spans="15:49" ht="18" customHeight="1"/>
    <row r="265" spans="15:49" ht="18" customHeight="1"/>
    <row r="266" spans="15:49" ht="18" customHeight="1"/>
  </sheetData>
  <autoFilter ref="C1:C266" xr:uid="{00000000-0009-0000-0000-000001000000}"/>
  <mergeCells count="16">
    <mergeCell ref="AU2:AW2"/>
    <mergeCell ref="AO2:AQ2"/>
    <mergeCell ref="AR2:AT2"/>
    <mergeCell ref="A5:A124"/>
    <mergeCell ref="B5:B124"/>
    <mergeCell ref="A1:O2"/>
    <mergeCell ref="Q2:S2"/>
    <mergeCell ref="T2:V2"/>
    <mergeCell ref="W2:Y2"/>
    <mergeCell ref="Z2:AB2"/>
    <mergeCell ref="AC2:AE2"/>
    <mergeCell ref="A125:A244"/>
    <mergeCell ref="B125:B244"/>
    <mergeCell ref="AF2:AH2"/>
    <mergeCell ref="AI2:AK2"/>
    <mergeCell ref="AL2:AN2"/>
  </mergeCells>
  <phoneticPr fontId="1" type="noConversion"/>
  <conditionalFormatting sqref="Q5:AW244">
    <cfRule type="containsBlanks" priority="1">
      <formula>LEN(TRIM(Q5))=0</formula>
    </cfRule>
    <cfRule type="cellIs" dxfId="10" priority="2" operator="notBetween">
      <formula>$G5+$J5</formula>
      <formula>$G5-$K5</formula>
    </cfRule>
    <cfRule type="cellIs" dxfId="9" priority="3" operator="notBetween">
      <formula>$G5+$H5</formula>
      <formula>$G5-$I5</formula>
    </cfRule>
    <cfRule type="expression" priority="4">
      <formula>Q5-P5=Q5</formula>
    </cfRule>
    <cfRule type="expression" dxfId="8" priority="5">
      <formula>ABS(Q5-P5)&gt;=($H5+$I5)*0.2999999</formula>
    </cfRule>
  </conditionalFormatting>
  <conditionalFormatting sqref="N5:N244">
    <cfRule type="cellIs" dxfId="7" priority="6" operator="greaterThan">
      <formula>0.05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C000"/>
  </sheetPr>
  <dimension ref="A1:AZ266"/>
  <sheetViews>
    <sheetView showGridLines="0" tabSelected="1" zoomScale="70" zoomScaleNormal="70" workbookViewId="0">
      <pane xSplit="15" ySplit="4" topLeftCell="P112" activePane="bottomRight" state="frozenSplit"/>
      <selection activeCell="AP112" sqref="AP112"/>
      <selection pane="topRight"/>
      <selection pane="bottomLeft"/>
      <selection pane="bottomRight" activeCell="AP112" sqref="AP112"/>
    </sheetView>
  </sheetViews>
  <sheetFormatPr defaultColWidth="9" defaultRowHeight="14.4"/>
  <cols>
    <col min="1" max="1" width="9.6640625" hidden="1" customWidth="1"/>
    <col min="2" max="2" width="7.109375" customWidth="1"/>
    <col min="3" max="3" width="8.21875" customWidth="1"/>
    <col min="4" max="4" width="8.77734375" customWidth="1"/>
    <col min="5" max="5" width="9.6640625" customWidth="1"/>
    <col min="6" max="15" width="7.88671875" customWidth="1"/>
    <col min="16" max="16" width="0.44140625" customWidth="1"/>
    <col min="17" max="45" width="8.77734375" customWidth="1"/>
    <col min="46" max="46" width="9.6640625" customWidth="1"/>
    <col min="47" max="48" width="8.77734375" customWidth="1"/>
    <col min="49" max="49" width="9.6640625" customWidth="1"/>
    <col min="50" max="51" width="8.77734375" customWidth="1"/>
    <col min="52" max="52" width="9.6640625" customWidth="1"/>
    <col min="53" max="53" width="9" customWidth="1"/>
  </cols>
  <sheetData>
    <row r="1" spans="1:52" ht="18" customHeight="1" thickBot="1">
      <c r="A1" s="10" t="s">
        <v>406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8"/>
      <c r="P1" s="64"/>
    </row>
    <row r="2" spans="1:52" ht="50.1" customHeight="1" thickBot="1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5"/>
      <c r="P2" s="48"/>
      <c r="Q2" s="3" t="s">
        <v>407</v>
      </c>
      <c r="R2" s="2"/>
      <c r="S2" s="1"/>
      <c r="T2" s="16" t="s">
        <v>2</v>
      </c>
      <c r="U2" s="15"/>
      <c r="V2" s="14"/>
      <c r="W2" s="16" t="s">
        <v>3</v>
      </c>
      <c r="X2" s="15"/>
      <c r="Y2" s="14"/>
      <c r="Z2" s="16" t="s">
        <v>4</v>
      </c>
      <c r="AA2" s="15"/>
      <c r="AB2" s="14"/>
      <c r="AC2" s="16" t="s">
        <v>5</v>
      </c>
      <c r="AD2" s="15"/>
      <c r="AE2" s="14"/>
      <c r="AF2" s="16" t="s">
        <v>6</v>
      </c>
      <c r="AG2" s="15"/>
      <c r="AH2" s="14"/>
      <c r="AI2" s="16" t="s">
        <v>7</v>
      </c>
      <c r="AJ2" s="15"/>
      <c r="AK2" s="14"/>
      <c r="AL2" s="16" t="s">
        <v>8</v>
      </c>
      <c r="AM2" s="15"/>
      <c r="AN2" s="14"/>
      <c r="AO2" s="16" t="s">
        <v>9</v>
      </c>
      <c r="AP2" s="15"/>
      <c r="AQ2" s="14"/>
      <c r="AR2" s="16" t="s">
        <v>10</v>
      </c>
      <c r="AS2" s="15"/>
      <c r="AT2" s="14"/>
      <c r="AU2" s="16" t="s">
        <v>11</v>
      </c>
      <c r="AV2" s="15"/>
      <c r="AW2" s="14"/>
      <c r="AX2" s="16" t="s">
        <v>408</v>
      </c>
      <c r="AY2" s="15"/>
      <c r="AZ2" s="14"/>
    </row>
    <row r="3" spans="1:52" ht="20.100000000000001" customHeight="1">
      <c r="A3" s="39"/>
      <c r="B3" s="39"/>
      <c r="C3" s="65"/>
      <c r="D3" s="40" t="s">
        <v>409</v>
      </c>
      <c r="E3" s="40"/>
      <c r="F3" s="41"/>
      <c r="G3" s="42"/>
      <c r="H3" s="66"/>
      <c r="I3" s="40" t="s">
        <v>410</v>
      </c>
      <c r="J3" s="42"/>
      <c r="K3" s="42"/>
      <c r="M3" s="63" t="s">
        <v>411</v>
      </c>
      <c r="N3" s="40"/>
      <c r="O3" s="43"/>
      <c r="P3" s="49"/>
      <c r="Q3" s="85" t="s">
        <v>412</v>
      </c>
      <c r="R3" s="86" t="s">
        <v>413</v>
      </c>
      <c r="S3" s="87" t="s">
        <v>414</v>
      </c>
      <c r="T3" s="67" t="s">
        <v>415</v>
      </c>
      <c r="U3" s="68" t="s">
        <v>416</v>
      </c>
      <c r="V3" s="69" t="s">
        <v>417</v>
      </c>
      <c r="W3" s="67" t="s">
        <v>418</v>
      </c>
      <c r="X3" s="68" t="s">
        <v>419</v>
      </c>
      <c r="Y3" s="69" t="s">
        <v>420</v>
      </c>
      <c r="Z3" s="67" t="s">
        <v>421</v>
      </c>
      <c r="AA3" s="68" t="s">
        <v>422</v>
      </c>
      <c r="AB3" s="69" t="s">
        <v>423</v>
      </c>
      <c r="AC3" s="67" t="s">
        <v>424</v>
      </c>
      <c r="AD3" s="68" t="s">
        <v>425</v>
      </c>
      <c r="AE3" s="69" t="s">
        <v>426</v>
      </c>
      <c r="AF3" s="67" t="s">
        <v>427</v>
      </c>
      <c r="AG3" s="68" t="s">
        <v>428</v>
      </c>
      <c r="AH3" s="69" t="s">
        <v>429</v>
      </c>
      <c r="AI3" s="67" t="s">
        <v>430</v>
      </c>
      <c r="AJ3" s="68" t="s">
        <v>431</v>
      </c>
      <c r="AK3" s="69" t="s">
        <v>432</v>
      </c>
      <c r="AL3" s="67" t="s">
        <v>433</v>
      </c>
      <c r="AM3" s="68" t="s">
        <v>434</v>
      </c>
      <c r="AN3" s="69" t="s">
        <v>435</v>
      </c>
      <c r="AO3" s="67" t="s">
        <v>436</v>
      </c>
      <c r="AP3" s="68" t="s">
        <v>437</v>
      </c>
      <c r="AQ3" s="69" t="s">
        <v>438</v>
      </c>
      <c r="AR3" s="67" t="s">
        <v>439</v>
      </c>
      <c r="AS3" s="68" t="s">
        <v>440</v>
      </c>
      <c r="AT3" s="69" t="s">
        <v>441</v>
      </c>
      <c r="AU3" s="67" t="s">
        <v>442</v>
      </c>
      <c r="AV3" s="68" t="s">
        <v>443</v>
      </c>
      <c r="AW3" s="69" t="s">
        <v>444</v>
      </c>
      <c r="AX3" s="67" t="s">
        <v>445</v>
      </c>
      <c r="AY3" s="68" t="s">
        <v>446</v>
      </c>
      <c r="AZ3" s="69" t="s">
        <v>447</v>
      </c>
    </row>
    <row r="4" spans="1:52" ht="20.100000000000001" customHeight="1" thickBot="1">
      <c r="A4" s="55" t="s">
        <v>48</v>
      </c>
      <c r="B4" s="44" t="s">
        <v>49</v>
      </c>
      <c r="C4" s="45" t="s">
        <v>50</v>
      </c>
      <c r="D4" s="45" t="s">
        <v>51</v>
      </c>
      <c r="E4" s="45" t="s">
        <v>52</v>
      </c>
      <c r="F4" s="88" t="s">
        <v>53</v>
      </c>
      <c r="G4" s="45" t="s">
        <v>54</v>
      </c>
      <c r="H4" s="45" t="s">
        <v>55</v>
      </c>
      <c r="I4" s="45" t="s">
        <v>56</v>
      </c>
      <c r="J4" s="89" t="s">
        <v>448</v>
      </c>
      <c r="K4" s="89" t="s">
        <v>449</v>
      </c>
      <c r="L4" s="45" t="s">
        <v>59</v>
      </c>
      <c r="M4" s="45" t="s">
        <v>60</v>
      </c>
      <c r="N4" s="45" t="s">
        <v>61</v>
      </c>
      <c r="O4" s="47" t="s">
        <v>62</v>
      </c>
      <c r="P4" s="50"/>
      <c r="Q4" s="71" t="s">
        <v>63</v>
      </c>
      <c r="R4" s="72" t="s">
        <v>63</v>
      </c>
      <c r="S4" s="73" t="s">
        <v>63</v>
      </c>
      <c r="T4" s="71" t="s">
        <v>63</v>
      </c>
      <c r="U4" s="72" t="s">
        <v>63</v>
      </c>
      <c r="V4" s="73" t="s">
        <v>63</v>
      </c>
      <c r="W4" s="71" t="s">
        <v>63</v>
      </c>
      <c r="X4" s="72" t="s">
        <v>63</v>
      </c>
      <c r="Y4" s="73" t="s">
        <v>63</v>
      </c>
      <c r="Z4" s="71" t="s">
        <v>63</v>
      </c>
      <c r="AA4" s="72" t="s">
        <v>63</v>
      </c>
      <c r="AB4" s="73" t="s">
        <v>63</v>
      </c>
      <c r="AC4" s="71" t="s">
        <v>63</v>
      </c>
      <c r="AD4" s="72" t="s">
        <v>63</v>
      </c>
      <c r="AE4" s="73" t="s">
        <v>63</v>
      </c>
      <c r="AF4" s="71" t="s">
        <v>63</v>
      </c>
      <c r="AG4" s="72" t="s">
        <v>63</v>
      </c>
      <c r="AH4" s="73" t="s">
        <v>63</v>
      </c>
      <c r="AI4" s="71" t="s">
        <v>63</v>
      </c>
      <c r="AJ4" s="72" t="s">
        <v>63</v>
      </c>
      <c r="AK4" s="73" t="s">
        <v>63</v>
      </c>
      <c r="AL4" s="71" t="s">
        <v>63</v>
      </c>
      <c r="AM4" s="72" t="s">
        <v>63</v>
      </c>
      <c r="AN4" s="73" t="s">
        <v>63</v>
      </c>
      <c r="AO4" s="71" t="s">
        <v>63</v>
      </c>
      <c r="AP4" s="72" t="s">
        <v>63</v>
      </c>
      <c r="AQ4" s="73" t="s">
        <v>63</v>
      </c>
      <c r="AR4" s="71" t="s">
        <v>63</v>
      </c>
      <c r="AS4" s="72" t="s">
        <v>63</v>
      </c>
      <c r="AT4" s="73" t="s">
        <v>63</v>
      </c>
      <c r="AU4" s="71" t="s">
        <v>63</v>
      </c>
      <c r="AV4" s="72" t="s">
        <v>63</v>
      </c>
      <c r="AW4" s="73" t="s">
        <v>63</v>
      </c>
      <c r="AX4" s="71" t="s">
        <v>63</v>
      </c>
      <c r="AY4" s="72" t="s">
        <v>63</v>
      </c>
      <c r="AZ4" s="73" t="s">
        <v>63</v>
      </c>
    </row>
    <row r="5" spans="1:52" ht="18" customHeight="1">
      <c r="A5" s="24"/>
      <c r="B5" s="13" t="s">
        <v>450</v>
      </c>
      <c r="C5" s="74" t="s">
        <v>65</v>
      </c>
      <c r="D5" s="34" t="s">
        <v>451</v>
      </c>
      <c r="E5" s="34"/>
      <c r="F5" s="26" t="s">
        <v>67</v>
      </c>
      <c r="G5" s="37">
        <v>80</v>
      </c>
      <c r="H5" s="37">
        <v>0.1</v>
      </c>
      <c r="I5" s="37">
        <v>0.1</v>
      </c>
      <c r="J5" s="37">
        <v>0.2</v>
      </c>
      <c r="K5" s="37">
        <v>0.1</v>
      </c>
      <c r="L5" s="27">
        <f t="shared" ref="L5:L68" si="0">MAX(Q5:AT5)</f>
        <v>80.013999999999996</v>
      </c>
      <c r="M5" s="27">
        <f t="shared" ref="M5:M68" si="1">MIN(Q5:AT5)</f>
        <v>79.974999999999994</v>
      </c>
      <c r="N5" s="27">
        <f t="shared" ref="N5:N68" si="2">L5-M5</f>
        <v>3.9000000000001478E-2</v>
      </c>
      <c r="O5" s="28">
        <f t="shared" ref="O5:O68" si="3">AVERAGE(Q5:AT5)</f>
        <v>79.990724137931039</v>
      </c>
      <c r="P5" s="51"/>
      <c r="Q5" s="30">
        <v>79.983000000000004</v>
      </c>
      <c r="R5" s="30">
        <v>79.983999999999995</v>
      </c>
      <c r="S5" s="30">
        <v>79.983000000000004</v>
      </c>
      <c r="T5" s="30">
        <v>79.98</v>
      </c>
      <c r="U5" s="30">
        <v>79.983999999999995</v>
      </c>
      <c r="V5" s="30">
        <v>79.994</v>
      </c>
      <c r="W5" s="30">
        <v>79.989999999999995</v>
      </c>
      <c r="X5" s="30">
        <v>79.994</v>
      </c>
      <c r="Y5" s="30">
        <v>79.998999999999995</v>
      </c>
      <c r="Z5" s="30">
        <v>79.989000000000004</v>
      </c>
      <c r="AA5" s="30">
        <v>79.995999999999995</v>
      </c>
      <c r="AB5" s="30">
        <v>79.998999999999995</v>
      </c>
      <c r="AC5" s="30">
        <v>79.998000000000005</v>
      </c>
      <c r="AD5" s="30">
        <v>80.004000000000005</v>
      </c>
      <c r="AE5" s="30">
        <v>80.001000000000005</v>
      </c>
      <c r="AF5" s="30">
        <v>80.001000000000005</v>
      </c>
      <c r="AG5" s="30">
        <v>79.998000000000005</v>
      </c>
      <c r="AH5" s="30">
        <v>79.978999999999999</v>
      </c>
      <c r="AI5" s="30">
        <v>79.974999999999994</v>
      </c>
      <c r="AJ5" s="30">
        <v>79.978999999999999</v>
      </c>
      <c r="AK5" s="30">
        <v>79.977999999999994</v>
      </c>
      <c r="AL5" s="30">
        <v>79.975999999999999</v>
      </c>
      <c r="AM5" s="30">
        <v>79.978999999999999</v>
      </c>
      <c r="AN5" s="30">
        <v>80.004999999999995</v>
      </c>
      <c r="AO5" s="30"/>
      <c r="AP5" s="30">
        <v>79.998999999999995</v>
      </c>
      <c r="AQ5" s="30">
        <v>79.986000000000004</v>
      </c>
      <c r="AR5" s="30">
        <v>79.998999999999995</v>
      </c>
      <c r="AS5" s="30">
        <v>80.013999999999996</v>
      </c>
      <c r="AT5" s="30">
        <v>79.984999999999999</v>
      </c>
      <c r="AU5" s="30">
        <v>80.016000000000005</v>
      </c>
      <c r="AV5" s="30">
        <v>80.013000000000005</v>
      </c>
      <c r="AW5" s="30">
        <v>80</v>
      </c>
      <c r="AX5" s="30"/>
      <c r="AY5" s="30"/>
      <c r="AZ5" s="30"/>
    </row>
    <row r="6" spans="1:52" ht="18" customHeight="1">
      <c r="A6" s="23"/>
      <c r="B6" s="12"/>
      <c r="C6" s="75" t="s">
        <v>65</v>
      </c>
      <c r="D6" s="35" t="s">
        <v>68</v>
      </c>
      <c r="E6" s="35"/>
      <c r="F6" s="29" t="s">
        <v>69</v>
      </c>
      <c r="G6" s="38">
        <v>73.31</v>
      </c>
      <c r="H6" s="38">
        <v>0.09</v>
      </c>
      <c r="I6" s="38">
        <v>0.06</v>
      </c>
      <c r="J6" s="38">
        <v>0.09</v>
      </c>
      <c r="K6" s="38">
        <v>0.06</v>
      </c>
      <c r="L6" s="30">
        <f t="shared" si="0"/>
        <v>73.361000000000004</v>
      </c>
      <c r="M6" s="30">
        <f t="shared" si="1"/>
        <v>73.33</v>
      </c>
      <c r="N6" s="30">
        <f t="shared" si="2"/>
        <v>3.1000000000005912E-2</v>
      </c>
      <c r="O6" s="31">
        <f t="shared" si="3"/>
        <v>73.345482758620705</v>
      </c>
      <c r="P6" s="52"/>
      <c r="Q6" s="30">
        <v>73.341999999999999</v>
      </c>
      <c r="R6" s="30">
        <v>73.337999999999994</v>
      </c>
      <c r="S6" s="30">
        <v>73.343999999999994</v>
      </c>
      <c r="T6" s="30">
        <v>73.340999999999994</v>
      </c>
      <c r="U6" s="30">
        <v>73.341999999999999</v>
      </c>
      <c r="V6" s="30">
        <v>73.349000000000004</v>
      </c>
      <c r="W6" s="30">
        <v>73.346000000000004</v>
      </c>
      <c r="X6" s="30">
        <v>73.347999999999999</v>
      </c>
      <c r="Y6" s="30">
        <v>73.349000000000004</v>
      </c>
      <c r="Z6" s="30">
        <v>73.349999999999994</v>
      </c>
      <c r="AA6" s="30">
        <v>73.349999999999994</v>
      </c>
      <c r="AB6" s="30">
        <v>73.346999999999994</v>
      </c>
      <c r="AC6" s="30">
        <v>73.352000000000004</v>
      </c>
      <c r="AD6" s="30">
        <v>73.355000000000004</v>
      </c>
      <c r="AE6" s="30">
        <v>73.358000000000004</v>
      </c>
      <c r="AF6" s="30">
        <v>73.352999999999994</v>
      </c>
      <c r="AG6" s="30">
        <v>73.358000000000004</v>
      </c>
      <c r="AH6" s="30">
        <v>73.335999999999999</v>
      </c>
      <c r="AI6" s="30">
        <v>73.33</v>
      </c>
      <c r="AJ6" s="30">
        <v>73.337000000000003</v>
      </c>
      <c r="AK6" s="30">
        <v>73.331999999999994</v>
      </c>
      <c r="AL6" s="30">
        <v>73.334999999999994</v>
      </c>
      <c r="AM6" s="30">
        <v>73.335999999999999</v>
      </c>
      <c r="AN6" s="30">
        <v>73.352999999999994</v>
      </c>
      <c r="AO6" s="30"/>
      <c r="AP6" s="30">
        <v>73.349999999999994</v>
      </c>
      <c r="AQ6" s="30">
        <v>73.337999999999994</v>
      </c>
      <c r="AR6" s="30">
        <v>73.344999999999999</v>
      </c>
      <c r="AS6" s="30">
        <v>73.361000000000004</v>
      </c>
      <c r="AT6" s="30">
        <v>73.343999999999994</v>
      </c>
      <c r="AU6" s="30">
        <v>73.363</v>
      </c>
      <c r="AV6" s="30">
        <v>73.358999999999995</v>
      </c>
      <c r="AW6" s="30">
        <v>73.350999999999999</v>
      </c>
      <c r="AX6" s="30"/>
      <c r="AY6" s="30"/>
      <c r="AZ6" s="30"/>
    </row>
    <row r="7" spans="1:52" ht="18" customHeight="1">
      <c r="A7" s="23"/>
      <c r="B7" s="12"/>
      <c r="C7" s="75" t="s">
        <v>65</v>
      </c>
      <c r="D7" s="35" t="s">
        <v>70</v>
      </c>
      <c r="E7" s="35"/>
      <c r="F7" s="29" t="s">
        <v>71</v>
      </c>
      <c r="G7" s="38"/>
      <c r="H7" s="38">
        <v>0.08</v>
      </c>
      <c r="I7" s="38"/>
      <c r="J7" s="38">
        <v>0.08</v>
      </c>
      <c r="K7" s="38"/>
      <c r="L7" s="30">
        <f t="shared" si="0"/>
        <v>8.5999999999999993E-2</v>
      </c>
      <c r="M7" s="30">
        <f t="shared" si="1"/>
        <v>5.7000000000000002E-2</v>
      </c>
      <c r="N7" s="30">
        <f t="shared" si="2"/>
        <v>2.8999999999999991E-2</v>
      </c>
      <c r="O7" s="31">
        <f t="shared" si="3"/>
        <v>6.4068965517241366E-2</v>
      </c>
      <c r="P7" s="52"/>
      <c r="Q7" s="30">
        <v>5.8999999999999997E-2</v>
      </c>
      <c r="R7" s="30">
        <v>6.3E-2</v>
      </c>
      <c r="S7" s="30">
        <v>6.3E-2</v>
      </c>
      <c r="T7" s="30">
        <v>6.2E-2</v>
      </c>
      <c r="U7" s="30">
        <v>6.5000000000000002E-2</v>
      </c>
      <c r="V7" s="30">
        <v>5.8000000000000003E-2</v>
      </c>
      <c r="W7" s="30">
        <v>6.8000000000000005E-2</v>
      </c>
      <c r="X7" s="30">
        <v>6.8000000000000005E-2</v>
      </c>
      <c r="Y7" s="30">
        <v>6.3E-2</v>
      </c>
      <c r="Z7" s="30">
        <v>6.5000000000000002E-2</v>
      </c>
      <c r="AA7" s="30">
        <v>6.7000000000000004E-2</v>
      </c>
      <c r="AB7" s="30">
        <v>5.8999999999999997E-2</v>
      </c>
      <c r="AC7" s="30">
        <v>5.8999999999999997E-2</v>
      </c>
      <c r="AD7" s="30">
        <v>5.8999999999999997E-2</v>
      </c>
      <c r="AE7" s="30">
        <v>6.2E-2</v>
      </c>
      <c r="AF7" s="30">
        <v>6.4000000000000001E-2</v>
      </c>
      <c r="AG7" s="30">
        <v>6.5000000000000002E-2</v>
      </c>
      <c r="AH7" s="30">
        <v>6.3E-2</v>
      </c>
      <c r="AI7" s="30">
        <v>5.7000000000000002E-2</v>
      </c>
      <c r="AJ7" s="30">
        <v>5.7000000000000002E-2</v>
      </c>
      <c r="AK7" s="30">
        <v>5.7000000000000002E-2</v>
      </c>
      <c r="AL7" s="30">
        <v>0.06</v>
      </c>
      <c r="AM7" s="30">
        <v>6.5000000000000002E-2</v>
      </c>
      <c r="AN7" s="30">
        <v>6.0999999999999999E-2</v>
      </c>
      <c r="AO7" s="30"/>
      <c r="AP7" s="30">
        <v>8.5999999999999993E-2</v>
      </c>
      <c r="AQ7" s="30">
        <v>7.5999999999999998E-2</v>
      </c>
      <c r="AR7" s="30">
        <v>7.0999999999999994E-2</v>
      </c>
      <c r="AS7" s="30">
        <v>6.9000000000000006E-2</v>
      </c>
      <c r="AT7" s="30">
        <v>6.7000000000000004E-2</v>
      </c>
      <c r="AU7" s="30">
        <v>6.6000000000000003E-2</v>
      </c>
      <c r="AV7" s="30">
        <v>5.7000000000000002E-2</v>
      </c>
      <c r="AW7" s="30">
        <v>6.0999999999999999E-2</v>
      </c>
      <c r="AX7" s="30"/>
      <c r="AY7" s="30"/>
      <c r="AZ7" s="30"/>
    </row>
    <row r="8" spans="1:52" ht="18" customHeight="1">
      <c r="A8" s="23"/>
      <c r="B8" s="12"/>
      <c r="C8" s="75" t="s">
        <v>65</v>
      </c>
      <c r="D8" s="35" t="s">
        <v>72</v>
      </c>
      <c r="E8" s="35" t="s">
        <v>452</v>
      </c>
      <c r="F8" s="29" t="s">
        <v>74</v>
      </c>
      <c r="G8" s="38">
        <v>80</v>
      </c>
      <c r="H8" s="38">
        <v>0.1</v>
      </c>
      <c r="I8" s="38">
        <v>0.1</v>
      </c>
      <c r="J8" s="38">
        <v>0.1</v>
      </c>
      <c r="K8" s="38">
        <v>0.1</v>
      </c>
      <c r="L8" s="30">
        <f t="shared" si="0"/>
        <v>80.052999999999997</v>
      </c>
      <c r="M8" s="30">
        <f t="shared" si="1"/>
        <v>79.986000000000004</v>
      </c>
      <c r="N8" s="30">
        <f t="shared" si="2"/>
        <v>6.6999999999993065E-2</v>
      </c>
      <c r="O8" s="31">
        <f t="shared" si="3"/>
        <v>80.013000000000019</v>
      </c>
      <c r="P8" s="52"/>
      <c r="Q8" s="30">
        <v>80.001999999999995</v>
      </c>
      <c r="R8" s="30">
        <v>80.003</v>
      </c>
      <c r="S8" s="30">
        <v>79.997</v>
      </c>
      <c r="T8" s="30">
        <v>79.998999999999995</v>
      </c>
      <c r="U8" s="30">
        <v>80</v>
      </c>
      <c r="V8" s="30">
        <v>80.012</v>
      </c>
      <c r="W8" s="30">
        <v>80.007999999999996</v>
      </c>
      <c r="X8" s="30">
        <v>80.010999999999996</v>
      </c>
      <c r="Y8" s="30">
        <v>80.016000000000005</v>
      </c>
      <c r="Z8" s="30">
        <v>80.010999999999996</v>
      </c>
      <c r="AA8" s="30">
        <v>80.016000000000005</v>
      </c>
      <c r="AB8" s="30">
        <v>80.010000000000005</v>
      </c>
      <c r="AC8" s="30">
        <v>80.015000000000001</v>
      </c>
      <c r="AD8" s="30">
        <v>80.027000000000001</v>
      </c>
      <c r="AE8" s="30">
        <v>80.016999999999996</v>
      </c>
      <c r="AF8" s="30">
        <v>80.021000000000001</v>
      </c>
      <c r="AG8" s="30">
        <v>80.016999999999996</v>
      </c>
      <c r="AH8" s="30">
        <v>79.998999999999995</v>
      </c>
      <c r="AI8" s="30">
        <v>79.986000000000004</v>
      </c>
      <c r="AJ8" s="30">
        <v>79.997</v>
      </c>
      <c r="AK8" s="30">
        <v>80</v>
      </c>
      <c r="AL8" s="30">
        <v>80.001000000000005</v>
      </c>
      <c r="AM8" s="30">
        <v>79.998000000000005</v>
      </c>
      <c r="AN8" s="30">
        <v>80.048000000000002</v>
      </c>
      <c r="AO8" s="30"/>
      <c r="AP8" s="30">
        <v>80.028000000000006</v>
      </c>
      <c r="AQ8" s="30">
        <v>80.025000000000006</v>
      </c>
      <c r="AR8" s="30">
        <v>80.040999999999997</v>
      </c>
      <c r="AS8" s="30">
        <v>80.052999999999997</v>
      </c>
      <c r="AT8" s="30">
        <v>80.019000000000005</v>
      </c>
      <c r="AU8" s="30">
        <v>80.058000000000007</v>
      </c>
      <c r="AV8" s="30">
        <v>80.054000000000002</v>
      </c>
      <c r="AW8" s="30">
        <v>80.040000000000006</v>
      </c>
      <c r="AX8" s="30"/>
      <c r="AY8" s="30"/>
      <c r="AZ8" s="30"/>
    </row>
    <row r="9" spans="1:52" ht="18" customHeight="1">
      <c r="A9" s="23"/>
      <c r="B9" s="12"/>
      <c r="C9" s="75" t="s">
        <v>65</v>
      </c>
      <c r="D9" s="35" t="s">
        <v>75</v>
      </c>
      <c r="E9" s="35"/>
      <c r="F9" s="29" t="s">
        <v>76</v>
      </c>
      <c r="G9" s="38">
        <v>80</v>
      </c>
      <c r="H9" s="38">
        <v>0.1</v>
      </c>
      <c r="I9" s="38">
        <v>0.1</v>
      </c>
      <c r="J9" s="38">
        <v>0.1</v>
      </c>
      <c r="K9" s="38">
        <v>0.1</v>
      </c>
      <c r="L9" s="30">
        <f t="shared" si="0"/>
        <v>80.094999999999999</v>
      </c>
      <c r="M9" s="30">
        <f t="shared" si="1"/>
        <v>80.031999999999996</v>
      </c>
      <c r="N9" s="30">
        <f t="shared" si="2"/>
        <v>6.3000000000002387E-2</v>
      </c>
      <c r="O9" s="31">
        <f t="shared" si="3"/>
        <v>80.056827586206879</v>
      </c>
      <c r="P9" s="52"/>
      <c r="Q9" s="30">
        <v>80.045000000000002</v>
      </c>
      <c r="R9" s="30">
        <v>80.049000000000007</v>
      </c>
      <c r="S9" s="30">
        <v>80.052999999999997</v>
      </c>
      <c r="T9" s="30">
        <v>80.042000000000002</v>
      </c>
      <c r="U9" s="30">
        <v>80.048000000000002</v>
      </c>
      <c r="V9" s="30">
        <v>80.058000000000007</v>
      </c>
      <c r="W9" s="30">
        <v>80.046999999999997</v>
      </c>
      <c r="X9" s="30">
        <v>80.058999999999997</v>
      </c>
      <c r="Y9" s="30">
        <v>80.061000000000007</v>
      </c>
      <c r="Z9" s="30">
        <v>80.061000000000007</v>
      </c>
      <c r="AA9" s="30">
        <v>80.063999999999993</v>
      </c>
      <c r="AB9" s="30">
        <v>80.06</v>
      </c>
      <c r="AC9" s="30">
        <v>80.063999999999993</v>
      </c>
      <c r="AD9" s="30">
        <v>80.061999999999998</v>
      </c>
      <c r="AE9" s="30">
        <v>80.057000000000002</v>
      </c>
      <c r="AF9" s="30">
        <v>80.06</v>
      </c>
      <c r="AG9" s="30">
        <v>80.066999999999993</v>
      </c>
      <c r="AH9" s="30">
        <v>80.042000000000002</v>
      </c>
      <c r="AI9" s="30">
        <v>80.031999999999996</v>
      </c>
      <c r="AJ9" s="30">
        <v>80.048000000000002</v>
      </c>
      <c r="AK9" s="30">
        <v>80.037999999999997</v>
      </c>
      <c r="AL9" s="30">
        <v>80.039000000000001</v>
      </c>
      <c r="AM9" s="30">
        <v>80.045000000000002</v>
      </c>
      <c r="AN9" s="30">
        <v>80.094999999999999</v>
      </c>
      <c r="AO9" s="30"/>
      <c r="AP9" s="30">
        <v>80.069999999999993</v>
      </c>
      <c r="AQ9" s="30">
        <v>80.063000000000002</v>
      </c>
      <c r="AR9" s="30">
        <v>80.066999999999993</v>
      </c>
      <c r="AS9" s="30">
        <v>80.082999999999998</v>
      </c>
      <c r="AT9" s="30">
        <v>80.069000000000003</v>
      </c>
      <c r="AU9" s="30">
        <v>80.099000000000004</v>
      </c>
      <c r="AV9" s="30">
        <v>80.078999999999994</v>
      </c>
      <c r="AW9" s="30">
        <v>80.081999999999994</v>
      </c>
      <c r="AX9" s="30"/>
      <c r="AY9" s="30"/>
      <c r="AZ9" s="30"/>
    </row>
    <row r="10" spans="1:52" ht="18" customHeight="1">
      <c r="A10" s="23"/>
      <c r="B10" s="12"/>
      <c r="C10" s="76" t="s">
        <v>77</v>
      </c>
      <c r="D10" s="35" t="s">
        <v>78</v>
      </c>
      <c r="E10" s="35"/>
      <c r="F10" s="29" t="s">
        <v>79</v>
      </c>
      <c r="G10" s="38">
        <v>3.75</v>
      </c>
      <c r="H10" s="38">
        <v>0.08</v>
      </c>
      <c r="I10" s="38">
        <v>0.05</v>
      </c>
      <c r="J10" s="38">
        <v>0.08</v>
      </c>
      <c r="K10" s="38">
        <v>0.05</v>
      </c>
      <c r="L10" s="30">
        <f t="shared" si="0"/>
        <v>3.7949999999999999</v>
      </c>
      <c r="M10" s="30">
        <f t="shared" si="1"/>
        <v>3.7530000000000001</v>
      </c>
      <c r="N10" s="30">
        <f t="shared" si="2"/>
        <v>4.1999999999999815E-2</v>
      </c>
      <c r="O10" s="31">
        <f t="shared" si="3"/>
        <v>3.7683793103448275</v>
      </c>
      <c r="P10" s="52"/>
      <c r="Q10" s="30">
        <v>3.78</v>
      </c>
      <c r="R10" s="30">
        <v>3.766</v>
      </c>
      <c r="S10" s="30">
        <v>3.7770000000000001</v>
      </c>
      <c r="T10" s="30">
        <v>3.7810000000000001</v>
      </c>
      <c r="U10" s="30">
        <v>3.7730000000000001</v>
      </c>
      <c r="V10" s="30">
        <v>3.7610000000000001</v>
      </c>
      <c r="W10" s="30">
        <v>3.7669999999999999</v>
      </c>
      <c r="X10" s="30">
        <v>3.7949999999999999</v>
      </c>
      <c r="Y10" s="30">
        <v>3.7639999999999998</v>
      </c>
      <c r="Z10" s="30">
        <v>3.78</v>
      </c>
      <c r="AA10" s="30">
        <v>3.7530000000000001</v>
      </c>
      <c r="AB10" s="30">
        <v>3.7530000000000001</v>
      </c>
      <c r="AC10" s="30">
        <v>3.7719999999999998</v>
      </c>
      <c r="AD10" s="30">
        <v>3.7629999999999999</v>
      </c>
      <c r="AE10" s="30">
        <v>3.7610000000000001</v>
      </c>
      <c r="AF10" s="30">
        <v>3.7629999999999999</v>
      </c>
      <c r="AG10" s="30">
        <v>3.7610000000000001</v>
      </c>
      <c r="AH10" s="30">
        <v>3.7759999999999998</v>
      </c>
      <c r="AI10" s="30">
        <v>3.774</v>
      </c>
      <c r="AJ10" s="30">
        <v>3.7639999999999998</v>
      </c>
      <c r="AK10" s="30">
        <v>3.78</v>
      </c>
      <c r="AL10" s="30">
        <v>3.7639999999999998</v>
      </c>
      <c r="AM10" s="30">
        <v>3.7749999999999999</v>
      </c>
      <c r="AN10" s="30">
        <v>3.7650000000000001</v>
      </c>
      <c r="AO10" s="30"/>
      <c r="AP10" s="30">
        <v>3.76</v>
      </c>
      <c r="AQ10" s="30">
        <v>3.7639999999999998</v>
      </c>
      <c r="AR10" s="30">
        <v>3.76</v>
      </c>
      <c r="AS10" s="30">
        <v>3.7610000000000001</v>
      </c>
      <c r="AT10" s="30">
        <v>3.77</v>
      </c>
      <c r="AU10" s="30">
        <v>3.7589999999999999</v>
      </c>
      <c r="AV10" s="30">
        <v>3.7570000000000001</v>
      </c>
      <c r="AW10" s="30">
        <v>3.7559999999999998</v>
      </c>
      <c r="AX10" s="30"/>
      <c r="AY10" s="30"/>
      <c r="AZ10" s="30"/>
    </row>
    <row r="11" spans="1:52" ht="18" customHeight="1">
      <c r="A11" s="23"/>
      <c r="B11" s="12"/>
      <c r="C11" s="76" t="s">
        <v>77</v>
      </c>
      <c r="D11" s="35" t="s">
        <v>80</v>
      </c>
      <c r="E11" s="35"/>
      <c r="F11" s="29" t="s">
        <v>81</v>
      </c>
      <c r="G11" s="38">
        <v>3.75</v>
      </c>
      <c r="H11" s="38">
        <v>0.08</v>
      </c>
      <c r="I11" s="38">
        <v>0.05</v>
      </c>
      <c r="J11" s="38">
        <v>0.08</v>
      </c>
      <c r="K11" s="38">
        <v>0.05</v>
      </c>
      <c r="L11" s="30">
        <f t="shared" si="0"/>
        <v>3.7650000000000001</v>
      </c>
      <c r="M11" s="30">
        <f t="shared" si="1"/>
        <v>3.7269999999999999</v>
      </c>
      <c r="N11" s="30">
        <f t="shared" si="2"/>
        <v>3.8000000000000256E-2</v>
      </c>
      <c r="O11" s="31">
        <f t="shared" si="3"/>
        <v>3.7480689655172408</v>
      </c>
      <c r="P11" s="52"/>
      <c r="Q11" s="30">
        <v>3.7410000000000001</v>
      </c>
      <c r="R11" s="30">
        <v>3.7549999999999999</v>
      </c>
      <c r="S11" s="30">
        <v>3.746</v>
      </c>
      <c r="T11" s="30">
        <v>3.7490000000000001</v>
      </c>
      <c r="U11" s="30">
        <v>3.762</v>
      </c>
      <c r="V11" s="30">
        <v>3.7549999999999999</v>
      </c>
      <c r="W11" s="30">
        <v>3.7490000000000001</v>
      </c>
      <c r="X11" s="30">
        <v>3.7559999999999998</v>
      </c>
      <c r="Y11" s="30">
        <v>3.7570000000000001</v>
      </c>
      <c r="Z11" s="30">
        <v>3.7490000000000001</v>
      </c>
      <c r="AA11" s="30">
        <v>3.742</v>
      </c>
      <c r="AB11" s="30">
        <v>3.7269999999999999</v>
      </c>
      <c r="AC11" s="30">
        <v>3.7450000000000001</v>
      </c>
      <c r="AD11" s="30">
        <v>3.7490000000000001</v>
      </c>
      <c r="AE11" s="30">
        <v>3.7519999999999998</v>
      </c>
      <c r="AF11" s="30">
        <v>3.7530000000000001</v>
      </c>
      <c r="AG11" s="30">
        <v>3.7570000000000001</v>
      </c>
      <c r="AH11" s="30">
        <v>3.758</v>
      </c>
      <c r="AI11" s="30">
        <v>3.7650000000000001</v>
      </c>
      <c r="AJ11" s="30">
        <v>3.742</v>
      </c>
      <c r="AK11" s="30">
        <v>3.7469999999999999</v>
      </c>
      <c r="AL11" s="30">
        <v>3.738</v>
      </c>
      <c r="AM11" s="30">
        <v>3.7509999999999999</v>
      </c>
      <c r="AN11" s="30">
        <v>3.7320000000000002</v>
      </c>
      <c r="AO11" s="30"/>
      <c r="AP11" s="30">
        <v>3.7469999999999999</v>
      </c>
      <c r="AQ11" s="30">
        <v>3.7469999999999999</v>
      </c>
      <c r="AR11" s="30">
        <v>3.7519999999999998</v>
      </c>
      <c r="AS11" s="30">
        <v>3.7370000000000001</v>
      </c>
      <c r="AT11" s="30">
        <v>3.734</v>
      </c>
      <c r="AU11" s="30">
        <v>3.7429999999999999</v>
      </c>
      <c r="AV11" s="30">
        <v>3.742</v>
      </c>
      <c r="AW11" s="30">
        <v>3.746</v>
      </c>
      <c r="AX11" s="30"/>
      <c r="AY11" s="30"/>
      <c r="AZ11" s="30"/>
    </row>
    <row r="12" spans="1:52" ht="18" customHeight="1">
      <c r="A12" s="23"/>
      <c r="B12" s="12"/>
      <c r="C12" s="76" t="s">
        <v>77</v>
      </c>
      <c r="D12" s="35" t="s">
        <v>82</v>
      </c>
      <c r="E12" s="35"/>
      <c r="F12" s="29" t="s">
        <v>83</v>
      </c>
      <c r="G12" s="38">
        <v>3.75</v>
      </c>
      <c r="H12" s="38">
        <v>0.08</v>
      </c>
      <c r="I12" s="38">
        <v>0.05</v>
      </c>
      <c r="J12" s="38">
        <v>0.08</v>
      </c>
      <c r="K12" s="38">
        <v>0.05</v>
      </c>
      <c r="L12" s="30">
        <f t="shared" si="0"/>
        <v>3.7610000000000001</v>
      </c>
      <c r="M12" s="30">
        <f t="shared" si="1"/>
        <v>3.7349999999999999</v>
      </c>
      <c r="N12" s="30">
        <f t="shared" si="2"/>
        <v>2.6000000000000245E-2</v>
      </c>
      <c r="O12" s="31">
        <f t="shared" si="3"/>
        <v>3.7469310344827575</v>
      </c>
      <c r="P12" s="52"/>
      <c r="Q12" s="30">
        <v>3.7610000000000001</v>
      </c>
      <c r="R12" s="30">
        <v>3.7469999999999999</v>
      </c>
      <c r="S12" s="30">
        <v>3.7469999999999999</v>
      </c>
      <c r="T12" s="30">
        <v>3.7480000000000002</v>
      </c>
      <c r="U12" s="30">
        <v>3.7440000000000002</v>
      </c>
      <c r="V12" s="30">
        <v>3.7480000000000002</v>
      </c>
      <c r="W12" s="30">
        <v>3.742</v>
      </c>
      <c r="X12" s="30">
        <v>3.7549999999999999</v>
      </c>
      <c r="Y12" s="30">
        <v>3.7490000000000001</v>
      </c>
      <c r="Z12" s="30">
        <v>3.7490000000000001</v>
      </c>
      <c r="AA12" s="30">
        <v>3.7429999999999999</v>
      </c>
      <c r="AB12" s="30">
        <v>3.7469999999999999</v>
      </c>
      <c r="AC12" s="30">
        <v>3.754</v>
      </c>
      <c r="AD12" s="30">
        <v>3.746</v>
      </c>
      <c r="AE12" s="30">
        <v>3.746</v>
      </c>
      <c r="AF12" s="30">
        <v>3.7509999999999999</v>
      </c>
      <c r="AG12" s="30">
        <v>3.754</v>
      </c>
      <c r="AH12" s="30">
        <v>3.754</v>
      </c>
      <c r="AI12" s="30">
        <v>3.7610000000000001</v>
      </c>
      <c r="AJ12" s="30">
        <v>3.7360000000000002</v>
      </c>
      <c r="AK12" s="30">
        <v>3.7429999999999999</v>
      </c>
      <c r="AL12" s="30">
        <v>3.74</v>
      </c>
      <c r="AM12" s="30">
        <v>3.7490000000000001</v>
      </c>
      <c r="AN12" s="30">
        <v>3.7450000000000001</v>
      </c>
      <c r="AO12" s="30"/>
      <c r="AP12" s="30">
        <v>3.7429999999999999</v>
      </c>
      <c r="AQ12" s="30">
        <v>3.7429999999999999</v>
      </c>
      <c r="AR12" s="30">
        <v>3.7349999999999999</v>
      </c>
      <c r="AS12" s="30">
        <v>3.7370000000000001</v>
      </c>
      <c r="AT12" s="30">
        <v>3.7440000000000002</v>
      </c>
      <c r="AU12" s="30">
        <v>3.7360000000000002</v>
      </c>
      <c r="AV12" s="30">
        <v>3.7440000000000002</v>
      </c>
      <c r="AW12" s="30">
        <v>3.742</v>
      </c>
      <c r="AX12" s="30"/>
      <c r="AY12" s="30"/>
      <c r="AZ12" s="30"/>
    </row>
    <row r="13" spans="1:52" ht="18" customHeight="1">
      <c r="A13" s="23"/>
      <c r="B13" s="12"/>
      <c r="C13" s="75" t="s">
        <v>65</v>
      </c>
      <c r="D13" s="35" t="s">
        <v>84</v>
      </c>
      <c r="E13" s="35"/>
      <c r="F13" s="29" t="s">
        <v>85</v>
      </c>
      <c r="G13" s="38">
        <v>80</v>
      </c>
      <c r="H13" s="38">
        <v>0.1</v>
      </c>
      <c r="I13" s="38">
        <v>0.1</v>
      </c>
      <c r="J13" s="38">
        <v>0.1</v>
      </c>
      <c r="K13" s="38">
        <v>0.1</v>
      </c>
      <c r="L13" s="30">
        <f t="shared" si="0"/>
        <v>79.984999999999999</v>
      </c>
      <c r="M13" s="30">
        <f t="shared" si="1"/>
        <v>79.941000000000003</v>
      </c>
      <c r="N13" s="30">
        <f t="shared" si="2"/>
        <v>4.399999999999693E-2</v>
      </c>
      <c r="O13" s="31">
        <f t="shared" si="3"/>
        <v>79.962586206896546</v>
      </c>
      <c r="P13" s="52"/>
      <c r="Q13" s="30">
        <v>79.954999999999998</v>
      </c>
      <c r="R13" s="30">
        <v>79.956000000000003</v>
      </c>
      <c r="S13" s="30">
        <v>79.960999999999999</v>
      </c>
      <c r="T13" s="30">
        <v>79.953999999999994</v>
      </c>
      <c r="U13" s="30">
        <v>79.959999999999994</v>
      </c>
      <c r="V13" s="30">
        <v>79.965000000000003</v>
      </c>
      <c r="W13" s="30">
        <v>79.959000000000003</v>
      </c>
      <c r="X13" s="30">
        <v>79.963999999999999</v>
      </c>
      <c r="Y13" s="30">
        <v>79.968999999999994</v>
      </c>
      <c r="Z13" s="30">
        <v>79.965999999999994</v>
      </c>
      <c r="AA13" s="30">
        <v>79.968000000000004</v>
      </c>
      <c r="AB13" s="30">
        <v>79.971999999999994</v>
      </c>
      <c r="AC13" s="30">
        <v>79.971000000000004</v>
      </c>
      <c r="AD13" s="30">
        <v>79.97</v>
      </c>
      <c r="AE13" s="30">
        <v>79.971999999999994</v>
      </c>
      <c r="AF13" s="30">
        <v>79.972999999999999</v>
      </c>
      <c r="AG13" s="30">
        <v>79.968000000000004</v>
      </c>
      <c r="AH13" s="30">
        <v>79.947000000000003</v>
      </c>
      <c r="AI13" s="30">
        <v>79.941000000000003</v>
      </c>
      <c r="AJ13" s="30">
        <v>79.950999999999993</v>
      </c>
      <c r="AK13" s="30">
        <v>79.950999999999993</v>
      </c>
      <c r="AL13" s="30">
        <v>79.941999999999993</v>
      </c>
      <c r="AM13" s="30">
        <v>79.95</v>
      </c>
      <c r="AN13" s="30">
        <v>79.974000000000004</v>
      </c>
      <c r="AO13" s="30"/>
      <c r="AP13" s="30">
        <v>79.975999999999999</v>
      </c>
      <c r="AQ13" s="30">
        <v>79.959000000000003</v>
      </c>
      <c r="AR13" s="30">
        <v>79.971000000000004</v>
      </c>
      <c r="AS13" s="30">
        <v>79.984999999999999</v>
      </c>
      <c r="AT13" s="30">
        <v>79.965000000000003</v>
      </c>
      <c r="AU13" s="30">
        <v>79.984999999999999</v>
      </c>
      <c r="AV13" s="30">
        <v>79.986999999999995</v>
      </c>
      <c r="AW13" s="30">
        <v>79.971000000000004</v>
      </c>
      <c r="AX13" s="30"/>
      <c r="AY13" s="30"/>
      <c r="AZ13" s="30"/>
    </row>
    <row r="14" spans="1:52" ht="18" customHeight="1">
      <c r="A14" s="23"/>
      <c r="B14" s="12"/>
      <c r="C14" s="76" t="s">
        <v>77</v>
      </c>
      <c r="D14" s="35" t="s">
        <v>86</v>
      </c>
      <c r="E14" s="35"/>
      <c r="F14" s="29" t="s">
        <v>87</v>
      </c>
      <c r="G14" s="38">
        <v>1.55</v>
      </c>
      <c r="H14" s="38">
        <v>0.03</v>
      </c>
      <c r="I14" s="38">
        <v>0.03</v>
      </c>
      <c r="J14" s="38">
        <v>0.03</v>
      </c>
      <c r="K14" s="38">
        <v>0.03</v>
      </c>
      <c r="L14" s="30">
        <f t="shared" si="0"/>
        <v>1.5629999999999999</v>
      </c>
      <c r="M14" s="30">
        <f t="shared" si="1"/>
        <v>1.5409999999999999</v>
      </c>
      <c r="N14" s="30">
        <f t="shared" si="2"/>
        <v>2.200000000000002E-2</v>
      </c>
      <c r="O14" s="31">
        <f t="shared" si="3"/>
        <v>1.5549655172413794</v>
      </c>
      <c r="P14" s="52"/>
      <c r="Q14" s="30">
        <v>1.556</v>
      </c>
      <c r="R14" s="30">
        <v>1.55</v>
      </c>
      <c r="S14" s="30">
        <v>1.5589999999999999</v>
      </c>
      <c r="T14" s="30">
        <v>1.5489999999999999</v>
      </c>
      <c r="U14" s="30">
        <v>1.5580000000000001</v>
      </c>
      <c r="V14" s="30">
        <v>1.556</v>
      </c>
      <c r="W14" s="30">
        <v>1.556</v>
      </c>
      <c r="X14" s="30">
        <v>1.5509999999999999</v>
      </c>
      <c r="Y14" s="30">
        <v>1.5589999999999999</v>
      </c>
      <c r="Z14" s="30">
        <v>1.5569999999999999</v>
      </c>
      <c r="AA14" s="30">
        <v>1.5409999999999999</v>
      </c>
      <c r="AB14" s="30">
        <v>1.5569999999999999</v>
      </c>
      <c r="AC14" s="30">
        <v>1.556</v>
      </c>
      <c r="AD14" s="30">
        <v>1.5529999999999999</v>
      </c>
      <c r="AE14" s="30">
        <v>1.5569999999999999</v>
      </c>
      <c r="AF14" s="30">
        <v>1.556</v>
      </c>
      <c r="AG14" s="30">
        <v>1.5580000000000001</v>
      </c>
      <c r="AH14" s="30">
        <v>1.5629999999999999</v>
      </c>
      <c r="AI14" s="30">
        <v>1.5589999999999999</v>
      </c>
      <c r="AJ14" s="30">
        <v>1.5589999999999999</v>
      </c>
      <c r="AK14" s="30">
        <v>1.5449999999999999</v>
      </c>
      <c r="AL14" s="30">
        <v>1.5509999999999999</v>
      </c>
      <c r="AM14" s="30">
        <v>1.56</v>
      </c>
      <c r="AN14" s="30">
        <v>1.5629999999999999</v>
      </c>
      <c r="AO14" s="30"/>
      <c r="AP14" s="30">
        <v>1.55</v>
      </c>
      <c r="AQ14" s="30">
        <v>1.5529999999999999</v>
      </c>
      <c r="AR14" s="30">
        <v>1.5489999999999999</v>
      </c>
      <c r="AS14" s="30">
        <v>1.5580000000000001</v>
      </c>
      <c r="AT14" s="30">
        <v>1.5549999999999999</v>
      </c>
      <c r="AU14" s="30">
        <v>1.554</v>
      </c>
      <c r="AV14" s="30">
        <v>1.5580000000000001</v>
      </c>
      <c r="AW14" s="30">
        <v>1.54</v>
      </c>
      <c r="AX14" s="30"/>
      <c r="AY14" s="30"/>
      <c r="AZ14" s="30"/>
    </row>
    <row r="15" spans="1:52" ht="18" customHeight="1">
      <c r="A15" s="23"/>
      <c r="B15" s="12"/>
      <c r="C15" s="76" t="s">
        <v>77</v>
      </c>
      <c r="D15" s="35" t="s">
        <v>88</v>
      </c>
      <c r="E15" s="35"/>
      <c r="F15" s="29" t="s">
        <v>89</v>
      </c>
      <c r="G15" s="38">
        <v>1.55</v>
      </c>
      <c r="H15" s="38">
        <v>0.03</v>
      </c>
      <c r="I15" s="38">
        <v>0.03</v>
      </c>
      <c r="J15" s="38">
        <v>0.03</v>
      </c>
      <c r="K15" s="38">
        <v>0.03</v>
      </c>
      <c r="L15" s="30">
        <f t="shared" si="0"/>
        <v>1.5720000000000001</v>
      </c>
      <c r="M15" s="30">
        <f t="shared" si="1"/>
        <v>1.5569999999999999</v>
      </c>
      <c r="N15" s="30">
        <f t="shared" si="2"/>
        <v>1.5000000000000124E-2</v>
      </c>
      <c r="O15" s="31">
        <f t="shared" si="3"/>
        <v>1.5657931034482759</v>
      </c>
      <c r="P15" s="52"/>
      <c r="Q15" s="30">
        <v>1.5660000000000001</v>
      </c>
      <c r="R15" s="30">
        <v>1.5649999999999999</v>
      </c>
      <c r="S15" s="30">
        <v>1.5580000000000001</v>
      </c>
      <c r="T15" s="30">
        <v>1.5660000000000001</v>
      </c>
      <c r="U15" s="30">
        <v>1.57</v>
      </c>
      <c r="V15" s="30">
        <v>1.5660000000000001</v>
      </c>
      <c r="W15" s="30">
        <v>1.571</v>
      </c>
      <c r="X15" s="30">
        <v>1.5649999999999999</v>
      </c>
      <c r="Y15" s="30">
        <v>1.5680000000000001</v>
      </c>
      <c r="Z15" s="30">
        <v>1.5569999999999999</v>
      </c>
      <c r="AA15" s="30">
        <v>1.5640000000000001</v>
      </c>
      <c r="AB15" s="30">
        <v>1.5660000000000001</v>
      </c>
      <c r="AC15" s="30">
        <v>1.57</v>
      </c>
      <c r="AD15" s="30">
        <v>1.571</v>
      </c>
      <c r="AE15" s="30">
        <v>1.5669999999999999</v>
      </c>
      <c r="AF15" s="30">
        <v>1.5629999999999999</v>
      </c>
      <c r="AG15" s="30">
        <v>1.5649999999999999</v>
      </c>
      <c r="AH15" s="30">
        <v>1.5660000000000001</v>
      </c>
      <c r="AI15" s="30">
        <v>1.57</v>
      </c>
      <c r="AJ15" s="30">
        <v>1.5720000000000001</v>
      </c>
      <c r="AK15" s="30">
        <v>1.571</v>
      </c>
      <c r="AL15" s="30">
        <v>1.5620000000000001</v>
      </c>
      <c r="AM15" s="30">
        <v>1.5649999999999999</v>
      </c>
      <c r="AN15" s="30">
        <v>1.56</v>
      </c>
      <c r="AO15" s="30"/>
      <c r="AP15" s="30">
        <v>1.56</v>
      </c>
      <c r="AQ15" s="30">
        <v>1.5649999999999999</v>
      </c>
      <c r="AR15" s="30">
        <v>1.57</v>
      </c>
      <c r="AS15" s="30">
        <v>1.5660000000000001</v>
      </c>
      <c r="AT15" s="30">
        <v>1.5629999999999999</v>
      </c>
      <c r="AU15" s="30">
        <v>1.5629999999999999</v>
      </c>
      <c r="AV15" s="30">
        <v>1.5629999999999999</v>
      </c>
      <c r="AW15" s="30">
        <v>1.57</v>
      </c>
      <c r="AX15" s="30"/>
      <c r="AY15" s="30"/>
      <c r="AZ15" s="30"/>
    </row>
    <row r="16" spans="1:52" ht="18" customHeight="1">
      <c r="A16" s="23"/>
      <c r="B16" s="12"/>
      <c r="C16" s="76" t="s">
        <v>77</v>
      </c>
      <c r="D16" s="35" t="s">
        <v>90</v>
      </c>
      <c r="E16" s="35"/>
      <c r="F16" s="29" t="s">
        <v>91</v>
      </c>
      <c r="G16" s="38">
        <v>1.55</v>
      </c>
      <c r="H16" s="38">
        <v>0.03</v>
      </c>
      <c r="I16" s="38">
        <v>0.03</v>
      </c>
      <c r="J16" s="38">
        <v>0.03</v>
      </c>
      <c r="K16" s="38">
        <v>0.03</v>
      </c>
      <c r="L16" s="30">
        <f t="shared" si="0"/>
        <v>1.569</v>
      </c>
      <c r="M16" s="30">
        <f t="shared" si="1"/>
        <v>1.556</v>
      </c>
      <c r="N16" s="30">
        <f t="shared" si="2"/>
        <v>1.2999999999999901E-2</v>
      </c>
      <c r="O16" s="31">
        <f t="shared" si="3"/>
        <v>1.5631034482758626</v>
      </c>
      <c r="P16" s="52"/>
      <c r="Q16" s="30">
        <v>1.5620000000000001</v>
      </c>
      <c r="R16" s="30">
        <v>1.5640000000000001</v>
      </c>
      <c r="S16" s="30">
        <v>1.5620000000000001</v>
      </c>
      <c r="T16" s="30">
        <v>1.5620000000000001</v>
      </c>
      <c r="U16" s="30">
        <v>1.5609999999999999</v>
      </c>
      <c r="V16" s="30">
        <v>1.5680000000000001</v>
      </c>
      <c r="W16" s="30">
        <v>1.56</v>
      </c>
      <c r="X16" s="30">
        <v>1.5629999999999999</v>
      </c>
      <c r="Y16" s="30">
        <v>1.5649999999999999</v>
      </c>
      <c r="Z16" s="30">
        <v>1.5640000000000001</v>
      </c>
      <c r="AA16" s="30">
        <v>1.5620000000000001</v>
      </c>
      <c r="AB16" s="30">
        <v>1.56</v>
      </c>
      <c r="AC16" s="30">
        <v>1.5680000000000001</v>
      </c>
      <c r="AD16" s="30">
        <v>1.5649999999999999</v>
      </c>
      <c r="AE16" s="30">
        <v>1.5620000000000001</v>
      </c>
      <c r="AF16" s="30">
        <v>1.5640000000000001</v>
      </c>
      <c r="AG16" s="30">
        <v>1.5620000000000001</v>
      </c>
      <c r="AH16" s="30">
        <v>1.5649999999999999</v>
      </c>
      <c r="AI16" s="30">
        <v>1.5629999999999999</v>
      </c>
      <c r="AJ16" s="30">
        <v>1.5660000000000001</v>
      </c>
      <c r="AK16" s="30">
        <v>1.5649999999999999</v>
      </c>
      <c r="AL16" s="30">
        <v>1.5629999999999999</v>
      </c>
      <c r="AM16" s="30">
        <v>1.5660000000000001</v>
      </c>
      <c r="AN16" s="30">
        <v>1.5580000000000001</v>
      </c>
      <c r="AO16" s="30"/>
      <c r="AP16" s="30">
        <v>1.5580000000000001</v>
      </c>
      <c r="AQ16" s="30">
        <v>1.569</v>
      </c>
      <c r="AR16" s="30">
        <v>1.5640000000000001</v>
      </c>
      <c r="AS16" s="30">
        <v>1.556</v>
      </c>
      <c r="AT16" s="30">
        <v>1.5629999999999999</v>
      </c>
      <c r="AU16" s="30">
        <v>1.5629999999999999</v>
      </c>
      <c r="AV16" s="30">
        <v>1.5660000000000001</v>
      </c>
      <c r="AW16" s="30">
        <v>1.5660000000000001</v>
      </c>
      <c r="AX16" s="30"/>
      <c r="AY16" s="30"/>
      <c r="AZ16" s="30"/>
    </row>
    <row r="17" spans="1:52" ht="18" customHeight="1">
      <c r="A17" s="23"/>
      <c r="B17" s="12"/>
      <c r="C17" s="76" t="s">
        <v>77</v>
      </c>
      <c r="D17" s="35" t="s">
        <v>92</v>
      </c>
      <c r="E17" s="35"/>
      <c r="F17" s="29" t="s">
        <v>93</v>
      </c>
      <c r="G17" s="38">
        <v>1.55</v>
      </c>
      <c r="H17" s="38">
        <v>0.03</v>
      </c>
      <c r="I17" s="38">
        <v>0.03</v>
      </c>
      <c r="J17" s="38">
        <v>0.03</v>
      </c>
      <c r="K17" s="38">
        <v>0.03</v>
      </c>
      <c r="L17" s="30">
        <f t="shared" si="0"/>
        <v>1.5589999999999999</v>
      </c>
      <c r="M17" s="30">
        <f t="shared" si="1"/>
        <v>1.542</v>
      </c>
      <c r="N17" s="30">
        <f t="shared" si="2"/>
        <v>1.6999999999999904E-2</v>
      </c>
      <c r="O17" s="31">
        <f t="shared" si="3"/>
        <v>1.5542413793103449</v>
      </c>
      <c r="P17" s="52"/>
      <c r="Q17" s="30">
        <v>1.5529999999999999</v>
      </c>
      <c r="R17" s="30">
        <v>1.5569999999999999</v>
      </c>
      <c r="S17" s="30">
        <v>1.5549999999999999</v>
      </c>
      <c r="T17" s="30">
        <v>1.5589999999999999</v>
      </c>
      <c r="U17" s="30">
        <v>1.556</v>
      </c>
      <c r="V17" s="30">
        <v>1.552</v>
      </c>
      <c r="W17" s="30">
        <v>1.554</v>
      </c>
      <c r="X17" s="30">
        <v>1.5509999999999999</v>
      </c>
      <c r="Y17" s="30">
        <v>1.5469999999999999</v>
      </c>
      <c r="Z17" s="30">
        <v>1.5549999999999999</v>
      </c>
      <c r="AA17" s="30">
        <v>1.554</v>
      </c>
      <c r="AB17" s="30">
        <v>1.5489999999999999</v>
      </c>
      <c r="AC17" s="30">
        <v>1.556</v>
      </c>
      <c r="AD17" s="30">
        <v>1.5509999999999999</v>
      </c>
      <c r="AE17" s="30">
        <v>1.542</v>
      </c>
      <c r="AF17" s="30">
        <v>1.5569999999999999</v>
      </c>
      <c r="AG17" s="30">
        <v>1.552</v>
      </c>
      <c r="AH17" s="30">
        <v>1.5589999999999999</v>
      </c>
      <c r="AI17" s="30">
        <v>1.5580000000000001</v>
      </c>
      <c r="AJ17" s="30">
        <v>1.5580000000000001</v>
      </c>
      <c r="AK17" s="30">
        <v>1.552</v>
      </c>
      <c r="AL17" s="30">
        <v>1.5580000000000001</v>
      </c>
      <c r="AM17" s="30">
        <v>1.5580000000000001</v>
      </c>
      <c r="AN17" s="30">
        <v>1.5580000000000001</v>
      </c>
      <c r="AO17" s="30"/>
      <c r="AP17" s="30">
        <v>1.5469999999999999</v>
      </c>
      <c r="AQ17" s="30">
        <v>1.5569999999999999</v>
      </c>
      <c r="AR17" s="30">
        <v>1.5589999999999999</v>
      </c>
      <c r="AS17" s="30">
        <v>1.554</v>
      </c>
      <c r="AT17" s="30">
        <v>1.5549999999999999</v>
      </c>
      <c r="AU17" s="30">
        <v>1.5649999999999999</v>
      </c>
      <c r="AV17" s="30">
        <v>1.556</v>
      </c>
      <c r="AW17" s="30">
        <v>1.5549999999999999</v>
      </c>
      <c r="AX17" s="30"/>
      <c r="AY17" s="30"/>
      <c r="AZ17" s="30"/>
    </row>
    <row r="18" spans="1:52" ht="18" customHeight="1">
      <c r="A18" s="23"/>
      <c r="B18" s="12"/>
      <c r="C18" s="76" t="s">
        <v>77</v>
      </c>
      <c r="D18" s="35" t="s">
        <v>94</v>
      </c>
      <c r="E18" s="35" t="s">
        <v>453</v>
      </c>
      <c r="F18" s="29" t="s">
        <v>96</v>
      </c>
      <c r="G18" s="38">
        <v>1.55</v>
      </c>
      <c r="H18" s="38">
        <v>0.03</v>
      </c>
      <c r="I18" s="38">
        <v>0.03</v>
      </c>
      <c r="J18" s="38">
        <v>0.03</v>
      </c>
      <c r="K18" s="38">
        <v>0.03</v>
      </c>
      <c r="L18" s="30">
        <f t="shared" si="0"/>
        <v>1.5740000000000001</v>
      </c>
      <c r="M18" s="30">
        <f t="shared" si="1"/>
        <v>1.554</v>
      </c>
      <c r="N18" s="30">
        <f t="shared" si="2"/>
        <v>2.0000000000000018E-2</v>
      </c>
      <c r="O18" s="31">
        <f t="shared" si="3"/>
        <v>1.5655172413793108</v>
      </c>
      <c r="P18" s="52"/>
      <c r="Q18" s="30">
        <v>1.5580000000000001</v>
      </c>
      <c r="R18" s="30">
        <v>1.5649999999999999</v>
      </c>
      <c r="S18" s="30">
        <v>1.5649999999999999</v>
      </c>
      <c r="T18" s="30">
        <v>1.571</v>
      </c>
      <c r="U18" s="30">
        <v>1.5680000000000001</v>
      </c>
      <c r="V18" s="30">
        <v>1.5669999999999999</v>
      </c>
      <c r="W18" s="30">
        <v>1.5660000000000001</v>
      </c>
      <c r="X18" s="30">
        <v>1.5660000000000001</v>
      </c>
      <c r="Y18" s="30">
        <v>1.5669999999999999</v>
      </c>
      <c r="Z18" s="30">
        <v>1.5720000000000001</v>
      </c>
      <c r="AA18" s="30">
        <v>1.5589999999999999</v>
      </c>
      <c r="AB18" s="30">
        <v>1.5680000000000001</v>
      </c>
      <c r="AC18" s="30">
        <v>1.56</v>
      </c>
      <c r="AD18" s="30">
        <v>1.5660000000000001</v>
      </c>
      <c r="AE18" s="30">
        <v>1.5589999999999999</v>
      </c>
      <c r="AF18" s="30">
        <v>1.5669999999999999</v>
      </c>
      <c r="AG18" s="30">
        <v>1.5609999999999999</v>
      </c>
      <c r="AH18" s="30">
        <v>1.569</v>
      </c>
      <c r="AI18" s="30">
        <v>1.5629999999999999</v>
      </c>
      <c r="AJ18" s="30">
        <v>1.5669999999999999</v>
      </c>
      <c r="AK18" s="30">
        <v>1.5629999999999999</v>
      </c>
      <c r="AL18" s="30">
        <v>1.5740000000000001</v>
      </c>
      <c r="AM18" s="30">
        <v>1.5660000000000001</v>
      </c>
      <c r="AN18" s="30">
        <v>1.5580000000000001</v>
      </c>
      <c r="AO18" s="30"/>
      <c r="AP18" s="30">
        <v>1.5720000000000001</v>
      </c>
      <c r="AQ18" s="30">
        <v>1.569</v>
      </c>
      <c r="AR18" s="30">
        <v>1.554</v>
      </c>
      <c r="AS18" s="30">
        <v>1.57</v>
      </c>
      <c r="AT18" s="30">
        <v>1.57</v>
      </c>
      <c r="AU18" s="30">
        <v>1.5580000000000001</v>
      </c>
      <c r="AV18" s="30">
        <v>1.5760000000000001</v>
      </c>
      <c r="AW18" s="30">
        <v>1.5629999999999999</v>
      </c>
      <c r="AX18" s="30"/>
      <c r="AY18" s="30"/>
      <c r="AZ18" s="30"/>
    </row>
    <row r="19" spans="1:52" ht="18" customHeight="1">
      <c r="A19" s="23"/>
      <c r="B19" s="12"/>
      <c r="C19" s="76" t="s">
        <v>77</v>
      </c>
      <c r="D19" s="35" t="s">
        <v>97</v>
      </c>
      <c r="E19" s="35"/>
      <c r="F19" s="29" t="s">
        <v>98</v>
      </c>
      <c r="G19" s="38">
        <v>1.55</v>
      </c>
      <c r="H19" s="38">
        <v>0.03</v>
      </c>
      <c r="I19" s="38">
        <v>0.03</v>
      </c>
      <c r="J19" s="38">
        <v>0.03</v>
      </c>
      <c r="K19" s="38">
        <v>0.03</v>
      </c>
      <c r="L19" s="30">
        <f t="shared" si="0"/>
        <v>1.58</v>
      </c>
      <c r="M19" s="30">
        <f t="shared" si="1"/>
        <v>1.5660000000000001</v>
      </c>
      <c r="N19" s="30">
        <f t="shared" si="2"/>
        <v>1.4000000000000012E-2</v>
      </c>
      <c r="O19" s="31">
        <f t="shared" si="3"/>
        <v>1.5713103448275867</v>
      </c>
      <c r="P19" s="52"/>
      <c r="Q19" s="30">
        <v>1.5740000000000001</v>
      </c>
      <c r="R19" s="30">
        <v>1.5669999999999999</v>
      </c>
      <c r="S19" s="30">
        <v>1.5740000000000001</v>
      </c>
      <c r="T19" s="30">
        <v>1.5660000000000001</v>
      </c>
      <c r="U19" s="30">
        <v>1.569</v>
      </c>
      <c r="V19" s="30">
        <v>1.5720000000000001</v>
      </c>
      <c r="W19" s="30">
        <v>1.57</v>
      </c>
      <c r="X19" s="30">
        <v>1.57</v>
      </c>
      <c r="Y19" s="30">
        <v>1.5720000000000001</v>
      </c>
      <c r="Z19" s="30">
        <v>1.569</v>
      </c>
      <c r="AA19" s="30">
        <v>1.5720000000000001</v>
      </c>
      <c r="AB19" s="30">
        <v>1.5760000000000001</v>
      </c>
      <c r="AC19" s="30">
        <v>1.57</v>
      </c>
      <c r="AD19" s="30">
        <v>1.58</v>
      </c>
      <c r="AE19" s="30">
        <v>1.5740000000000001</v>
      </c>
      <c r="AF19" s="30">
        <v>1.57</v>
      </c>
      <c r="AG19" s="30">
        <v>1.5720000000000001</v>
      </c>
      <c r="AH19" s="30">
        <v>1.5669999999999999</v>
      </c>
      <c r="AI19" s="30">
        <v>1.5669999999999999</v>
      </c>
      <c r="AJ19" s="30">
        <v>1.569</v>
      </c>
      <c r="AK19" s="30">
        <v>1.571</v>
      </c>
      <c r="AL19" s="30">
        <v>1.5660000000000001</v>
      </c>
      <c r="AM19" s="30">
        <v>1.58</v>
      </c>
      <c r="AN19" s="30">
        <v>1.5660000000000001</v>
      </c>
      <c r="AO19" s="30"/>
      <c r="AP19" s="30">
        <v>1.573</v>
      </c>
      <c r="AQ19" s="30">
        <v>1.5720000000000001</v>
      </c>
      <c r="AR19" s="30">
        <v>1.575</v>
      </c>
      <c r="AS19" s="30">
        <v>1.5669999999999999</v>
      </c>
      <c r="AT19" s="30">
        <v>1.5780000000000001</v>
      </c>
      <c r="AU19" s="30">
        <v>1.57</v>
      </c>
      <c r="AV19" s="30">
        <v>1.57</v>
      </c>
      <c r="AW19" s="30">
        <v>1.5740000000000001</v>
      </c>
      <c r="AX19" s="30"/>
      <c r="AY19" s="30"/>
      <c r="AZ19" s="30"/>
    </row>
    <row r="20" spans="1:52" ht="18" customHeight="1">
      <c r="A20" s="23"/>
      <c r="B20" s="12"/>
      <c r="C20" s="76" t="s">
        <v>77</v>
      </c>
      <c r="D20" s="35" t="s">
        <v>99</v>
      </c>
      <c r="E20" s="35"/>
      <c r="F20" s="29" t="s">
        <v>100</v>
      </c>
      <c r="G20" s="38">
        <v>1.55</v>
      </c>
      <c r="H20" s="38">
        <v>0.03</v>
      </c>
      <c r="I20" s="38">
        <v>0.03</v>
      </c>
      <c r="J20" s="38">
        <v>0.03</v>
      </c>
      <c r="K20" s="38">
        <v>0.03</v>
      </c>
      <c r="L20" s="30">
        <f t="shared" si="0"/>
        <v>1.575</v>
      </c>
      <c r="M20" s="30">
        <f t="shared" si="1"/>
        <v>1.5569999999999999</v>
      </c>
      <c r="N20" s="30">
        <f t="shared" si="2"/>
        <v>1.8000000000000016E-2</v>
      </c>
      <c r="O20" s="31">
        <f t="shared" si="3"/>
        <v>1.5650344827586211</v>
      </c>
      <c r="P20" s="52"/>
      <c r="Q20" s="30">
        <v>1.573</v>
      </c>
      <c r="R20" s="30">
        <v>1.5640000000000001</v>
      </c>
      <c r="S20" s="30">
        <v>1.5740000000000001</v>
      </c>
      <c r="T20" s="30">
        <v>1.5629999999999999</v>
      </c>
      <c r="U20" s="30">
        <v>1.5680000000000001</v>
      </c>
      <c r="V20" s="30">
        <v>1.5629999999999999</v>
      </c>
      <c r="W20" s="30">
        <v>1.5640000000000001</v>
      </c>
      <c r="X20" s="30">
        <v>1.56</v>
      </c>
      <c r="Y20" s="30">
        <v>1.5649999999999999</v>
      </c>
      <c r="Z20" s="30">
        <v>1.5680000000000001</v>
      </c>
      <c r="AA20" s="30">
        <v>1.5640000000000001</v>
      </c>
      <c r="AB20" s="30">
        <v>1.5640000000000001</v>
      </c>
      <c r="AC20" s="30">
        <v>1.5649999999999999</v>
      </c>
      <c r="AD20" s="30">
        <v>1.575</v>
      </c>
      <c r="AE20" s="30">
        <v>1.571</v>
      </c>
      <c r="AF20" s="30">
        <v>1.5669999999999999</v>
      </c>
      <c r="AG20" s="30">
        <v>1.5629999999999999</v>
      </c>
      <c r="AH20" s="30">
        <v>1.5629999999999999</v>
      </c>
      <c r="AI20" s="30">
        <v>1.5569999999999999</v>
      </c>
      <c r="AJ20" s="30">
        <v>1.5569999999999999</v>
      </c>
      <c r="AK20" s="30">
        <v>1.5609999999999999</v>
      </c>
      <c r="AL20" s="30">
        <v>1.5629999999999999</v>
      </c>
      <c r="AM20" s="30">
        <v>1.5660000000000001</v>
      </c>
      <c r="AN20" s="30">
        <v>1.56</v>
      </c>
      <c r="AO20" s="30"/>
      <c r="AP20" s="30">
        <v>1.5669999999999999</v>
      </c>
      <c r="AQ20" s="30">
        <v>1.5660000000000001</v>
      </c>
      <c r="AR20" s="30">
        <v>1.5640000000000001</v>
      </c>
      <c r="AS20" s="30">
        <v>1.5660000000000001</v>
      </c>
      <c r="AT20" s="30">
        <v>1.5649999999999999</v>
      </c>
      <c r="AU20" s="30">
        <v>1.5580000000000001</v>
      </c>
      <c r="AV20" s="30">
        <v>1.571</v>
      </c>
      <c r="AW20" s="30">
        <v>1.5660000000000001</v>
      </c>
      <c r="AX20" s="30"/>
      <c r="AY20" s="30"/>
      <c r="AZ20" s="30"/>
    </row>
    <row r="21" spans="1:52" ht="18" customHeight="1">
      <c r="A21" s="23"/>
      <c r="B21" s="12"/>
      <c r="C21" s="76" t="s">
        <v>77</v>
      </c>
      <c r="D21" s="35" t="s">
        <v>101</v>
      </c>
      <c r="E21" s="35"/>
      <c r="F21" s="29" t="s">
        <v>102</v>
      </c>
      <c r="G21" s="38">
        <v>1.55</v>
      </c>
      <c r="H21" s="38">
        <v>0.03</v>
      </c>
      <c r="I21" s="38">
        <v>0.03</v>
      </c>
      <c r="J21" s="38">
        <v>0.03</v>
      </c>
      <c r="K21" s="38">
        <v>0.03</v>
      </c>
      <c r="L21" s="30">
        <f t="shared" si="0"/>
        <v>1.5720000000000001</v>
      </c>
      <c r="M21" s="30">
        <f t="shared" si="1"/>
        <v>1.546</v>
      </c>
      <c r="N21" s="30">
        <f t="shared" si="2"/>
        <v>2.6000000000000023E-2</v>
      </c>
      <c r="O21" s="31">
        <f t="shared" si="3"/>
        <v>1.5626896551724136</v>
      </c>
      <c r="P21" s="52"/>
      <c r="Q21" s="30">
        <v>1.5569999999999999</v>
      </c>
      <c r="R21" s="30">
        <v>1.569</v>
      </c>
      <c r="S21" s="30">
        <v>1.5569999999999999</v>
      </c>
      <c r="T21" s="30">
        <v>1.56</v>
      </c>
      <c r="U21" s="30">
        <v>1.5609999999999999</v>
      </c>
      <c r="V21" s="30">
        <v>1.5649999999999999</v>
      </c>
      <c r="W21" s="30">
        <v>1.571</v>
      </c>
      <c r="X21" s="30">
        <v>1.5649999999999999</v>
      </c>
      <c r="Y21" s="30">
        <v>1.571</v>
      </c>
      <c r="Z21" s="30">
        <v>1.5620000000000001</v>
      </c>
      <c r="AA21" s="30">
        <v>1.5649999999999999</v>
      </c>
      <c r="AB21" s="30">
        <v>1.5669999999999999</v>
      </c>
      <c r="AC21" s="30">
        <v>1.5669999999999999</v>
      </c>
      <c r="AD21" s="30">
        <v>1.5649999999999999</v>
      </c>
      <c r="AE21" s="30">
        <v>1.5609999999999999</v>
      </c>
      <c r="AF21" s="30">
        <v>1.56</v>
      </c>
      <c r="AG21" s="30">
        <v>1.571</v>
      </c>
      <c r="AH21" s="30">
        <v>1.554</v>
      </c>
      <c r="AI21" s="30">
        <v>1.5580000000000001</v>
      </c>
      <c r="AJ21" s="30">
        <v>1.56</v>
      </c>
      <c r="AK21" s="30">
        <v>1.5649999999999999</v>
      </c>
      <c r="AL21" s="30">
        <v>1.5720000000000001</v>
      </c>
      <c r="AM21" s="30">
        <v>1.5529999999999999</v>
      </c>
      <c r="AN21" s="30">
        <v>1.5549999999999999</v>
      </c>
      <c r="AO21" s="30"/>
      <c r="AP21" s="30">
        <v>1.556</v>
      </c>
      <c r="AQ21" s="30">
        <v>1.5660000000000001</v>
      </c>
      <c r="AR21" s="30">
        <v>1.5720000000000001</v>
      </c>
      <c r="AS21" s="30">
        <v>1.546</v>
      </c>
      <c r="AT21" s="30">
        <v>1.5669999999999999</v>
      </c>
      <c r="AU21" s="30">
        <v>1.5740000000000001</v>
      </c>
      <c r="AV21" s="30">
        <v>1.5609999999999999</v>
      </c>
      <c r="AW21" s="30">
        <v>1.5469999999999999</v>
      </c>
      <c r="AX21" s="30"/>
      <c r="AY21" s="30"/>
      <c r="AZ21" s="30"/>
    </row>
    <row r="22" spans="1:52" ht="18" customHeight="1">
      <c r="A22" s="23"/>
      <c r="B22" s="12"/>
      <c r="C22" s="76" t="s">
        <v>77</v>
      </c>
      <c r="D22" s="35" t="s">
        <v>103</v>
      </c>
      <c r="E22" s="35"/>
      <c r="F22" s="29" t="s">
        <v>104</v>
      </c>
      <c r="G22" s="38">
        <v>1.55</v>
      </c>
      <c r="H22" s="38">
        <v>0.03</v>
      </c>
      <c r="I22" s="38">
        <v>0.03</v>
      </c>
      <c r="J22" s="38">
        <v>0.03</v>
      </c>
      <c r="K22" s="38">
        <v>0.03</v>
      </c>
      <c r="L22" s="30">
        <f t="shared" si="0"/>
        <v>1.571</v>
      </c>
      <c r="M22" s="30">
        <f t="shared" si="1"/>
        <v>1.552</v>
      </c>
      <c r="N22" s="30">
        <f t="shared" si="2"/>
        <v>1.8999999999999906E-2</v>
      </c>
      <c r="O22" s="31">
        <f t="shared" si="3"/>
        <v>1.5635862068965518</v>
      </c>
      <c r="P22" s="52"/>
      <c r="Q22" s="30">
        <v>1.5580000000000001</v>
      </c>
      <c r="R22" s="30">
        <v>1.5669999999999999</v>
      </c>
      <c r="S22" s="30">
        <v>1.5680000000000001</v>
      </c>
      <c r="T22" s="30">
        <v>1.5649999999999999</v>
      </c>
      <c r="U22" s="30">
        <v>1.571</v>
      </c>
      <c r="V22" s="30">
        <v>1.569</v>
      </c>
      <c r="W22" s="30">
        <v>1.57</v>
      </c>
      <c r="X22" s="30">
        <v>1.5620000000000001</v>
      </c>
      <c r="Y22" s="30">
        <v>1.5649999999999999</v>
      </c>
      <c r="Z22" s="30">
        <v>1.5660000000000001</v>
      </c>
      <c r="AA22" s="30">
        <v>1.5609999999999999</v>
      </c>
      <c r="AB22" s="30">
        <v>1.5640000000000001</v>
      </c>
      <c r="AC22" s="30">
        <v>1.5569999999999999</v>
      </c>
      <c r="AD22" s="30">
        <v>1.5629999999999999</v>
      </c>
      <c r="AE22" s="30">
        <v>1.5549999999999999</v>
      </c>
      <c r="AF22" s="30">
        <v>1.5649999999999999</v>
      </c>
      <c r="AG22" s="30">
        <v>1.56</v>
      </c>
      <c r="AH22" s="30">
        <v>1.5669999999999999</v>
      </c>
      <c r="AI22" s="30">
        <v>1.552</v>
      </c>
      <c r="AJ22" s="30">
        <v>1.5680000000000001</v>
      </c>
      <c r="AK22" s="30">
        <v>1.5640000000000001</v>
      </c>
      <c r="AL22" s="30">
        <v>1.57</v>
      </c>
      <c r="AM22" s="30">
        <v>1.5680000000000001</v>
      </c>
      <c r="AN22" s="30">
        <v>1.5580000000000001</v>
      </c>
      <c r="AO22" s="30"/>
      <c r="AP22" s="30">
        <v>1.5549999999999999</v>
      </c>
      <c r="AQ22" s="30">
        <v>1.5620000000000001</v>
      </c>
      <c r="AR22" s="30">
        <v>1.5660000000000001</v>
      </c>
      <c r="AS22" s="30">
        <v>1.5660000000000001</v>
      </c>
      <c r="AT22" s="30">
        <v>1.5620000000000001</v>
      </c>
      <c r="AU22" s="30">
        <v>1.5660000000000001</v>
      </c>
      <c r="AV22" s="30">
        <v>1.5629999999999999</v>
      </c>
      <c r="AW22" s="30">
        <v>1.5629999999999999</v>
      </c>
      <c r="AX22" s="30"/>
      <c r="AY22" s="30"/>
      <c r="AZ22" s="30"/>
    </row>
    <row r="23" spans="1:52" ht="18" customHeight="1">
      <c r="A23" s="23"/>
      <c r="B23" s="12"/>
      <c r="C23" s="76" t="s">
        <v>77</v>
      </c>
      <c r="D23" s="35" t="s">
        <v>105</v>
      </c>
      <c r="E23" s="35"/>
      <c r="F23" s="29" t="s">
        <v>106</v>
      </c>
      <c r="G23" s="38">
        <v>1.55</v>
      </c>
      <c r="H23" s="38">
        <v>0.03</v>
      </c>
      <c r="I23" s="38">
        <v>0.03</v>
      </c>
      <c r="J23" s="38">
        <v>0.03</v>
      </c>
      <c r="K23" s="38">
        <v>0.03</v>
      </c>
      <c r="L23" s="30">
        <f t="shared" si="0"/>
        <v>1.5669999999999999</v>
      </c>
      <c r="M23" s="30">
        <f t="shared" si="1"/>
        <v>1.544</v>
      </c>
      <c r="N23" s="30">
        <f t="shared" si="2"/>
        <v>2.2999999999999909E-2</v>
      </c>
      <c r="O23" s="31">
        <f t="shared" si="3"/>
        <v>1.5569655172413797</v>
      </c>
      <c r="P23" s="52"/>
      <c r="Q23" s="30">
        <v>1.5609999999999999</v>
      </c>
      <c r="R23" s="30">
        <v>1.544</v>
      </c>
      <c r="S23" s="30">
        <v>1.552</v>
      </c>
      <c r="T23" s="30">
        <v>1.5660000000000001</v>
      </c>
      <c r="U23" s="30">
        <v>1.5640000000000001</v>
      </c>
      <c r="V23" s="30">
        <v>1.5569999999999999</v>
      </c>
      <c r="W23" s="30">
        <v>1.552</v>
      </c>
      <c r="X23" s="30">
        <v>1.5660000000000001</v>
      </c>
      <c r="Y23" s="30">
        <v>1.556</v>
      </c>
      <c r="Z23" s="30">
        <v>1.554</v>
      </c>
      <c r="AA23" s="30">
        <v>1.552</v>
      </c>
      <c r="AB23" s="30">
        <v>1.5649999999999999</v>
      </c>
      <c r="AC23" s="30">
        <v>1.56</v>
      </c>
      <c r="AD23" s="30">
        <v>1.5649999999999999</v>
      </c>
      <c r="AE23" s="30">
        <v>1.5649999999999999</v>
      </c>
      <c r="AF23" s="30">
        <v>1.5620000000000001</v>
      </c>
      <c r="AG23" s="30">
        <v>1.5669999999999999</v>
      </c>
      <c r="AH23" s="30">
        <v>1.546</v>
      </c>
      <c r="AI23" s="30">
        <v>1.544</v>
      </c>
      <c r="AJ23" s="30">
        <v>1.5580000000000001</v>
      </c>
      <c r="AK23" s="30">
        <v>1.5549999999999999</v>
      </c>
      <c r="AL23" s="30">
        <v>1.5629999999999999</v>
      </c>
      <c r="AM23" s="30">
        <v>1.5449999999999999</v>
      </c>
      <c r="AN23" s="30">
        <v>1.5509999999999999</v>
      </c>
      <c r="AO23" s="30"/>
      <c r="AP23" s="30">
        <v>1.5660000000000001</v>
      </c>
      <c r="AQ23" s="30">
        <v>1.556</v>
      </c>
      <c r="AR23" s="30">
        <v>1.556</v>
      </c>
      <c r="AS23" s="30">
        <v>1.5509999999999999</v>
      </c>
      <c r="AT23" s="30">
        <v>1.5529999999999999</v>
      </c>
      <c r="AU23" s="30">
        <v>1.5609999999999999</v>
      </c>
      <c r="AV23" s="30">
        <v>1.569</v>
      </c>
      <c r="AW23" s="30">
        <v>1.5529999999999999</v>
      </c>
      <c r="AX23" s="30"/>
      <c r="AY23" s="30"/>
      <c r="AZ23" s="30"/>
    </row>
    <row r="24" spans="1:52" ht="18" customHeight="1">
      <c r="A24" s="23"/>
      <c r="B24" s="12"/>
      <c r="C24" s="76" t="s">
        <v>77</v>
      </c>
      <c r="D24" s="35" t="s">
        <v>107</v>
      </c>
      <c r="E24" s="35"/>
      <c r="F24" s="29" t="s">
        <v>108</v>
      </c>
      <c r="G24" s="38">
        <v>1.55</v>
      </c>
      <c r="H24" s="38">
        <v>0.03</v>
      </c>
      <c r="I24" s="38">
        <v>0.03</v>
      </c>
      <c r="J24" s="38">
        <v>0.03</v>
      </c>
      <c r="K24" s="38">
        <v>0.03</v>
      </c>
      <c r="L24" s="30">
        <f t="shared" si="0"/>
        <v>1.5680000000000001</v>
      </c>
      <c r="M24" s="30">
        <f t="shared" si="1"/>
        <v>1.552</v>
      </c>
      <c r="N24" s="30">
        <f t="shared" si="2"/>
        <v>1.6000000000000014E-2</v>
      </c>
      <c r="O24" s="31">
        <f t="shared" si="3"/>
        <v>1.5575862068965516</v>
      </c>
      <c r="P24" s="52"/>
      <c r="Q24" s="30">
        <v>1.5680000000000001</v>
      </c>
      <c r="R24" s="30">
        <v>1.5529999999999999</v>
      </c>
      <c r="S24" s="30">
        <v>1.5669999999999999</v>
      </c>
      <c r="T24" s="30">
        <v>1.5580000000000001</v>
      </c>
      <c r="U24" s="30">
        <v>1.5569999999999999</v>
      </c>
      <c r="V24" s="30">
        <v>1.5609999999999999</v>
      </c>
      <c r="W24" s="30">
        <v>1.56</v>
      </c>
      <c r="X24" s="30">
        <v>1.556</v>
      </c>
      <c r="Y24" s="30">
        <v>1.56</v>
      </c>
      <c r="Z24" s="30">
        <v>1.552</v>
      </c>
      <c r="AA24" s="30">
        <v>1.56</v>
      </c>
      <c r="AB24" s="30">
        <v>1.5580000000000001</v>
      </c>
      <c r="AC24" s="30">
        <v>1.554</v>
      </c>
      <c r="AD24" s="30">
        <v>1.5569999999999999</v>
      </c>
      <c r="AE24" s="30">
        <v>1.5529999999999999</v>
      </c>
      <c r="AF24" s="30">
        <v>1.556</v>
      </c>
      <c r="AG24" s="30">
        <v>1.5580000000000001</v>
      </c>
      <c r="AH24" s="30">
        <v>1.5589999999999999</v>
      </c>
      <c r="AI24" s="30">
        <v>1.5569999999999999</v>
      </c>
      <c r="AJ24" s="30">
        <v>1.5680000000000001</v>
      </c>
      <c r="AK24" s="30">
        <v>1.56</v>
      </c>
      <c r="AL24" s="30">
        <v>1.5549999999999999</v>
      </c>
      <c r="AM24" s="30">
        <v>1.5529999999999999</v>
      </c>
      <c r="AN24" s="30">
        <v>1.5569999999999999</v>
      </c>
      <c r="AO24" s="30"/>
      <c r="AP24" s="30">
        <v>1.554</v>
      </c>
      <c r="AQ24" s="30">
        <v>1.552</v>
      </c>
      <c r="AR24" s="30">
        <v>1.556</v>
      </c>
      <c r="AS24" s="30">
        <v>1.5529999999999999</v>
      </c>
      <c r="AT24" s="30">
        <v>1.5580000000000001</v>
      </c>
      <c r="AU24" s="30">
        <v>1.552</v>
      </c>
      <c r="AV24" s="30">
        <v>1.5640000000000001</v>
      </c>
      <c r="AW24" s="30">
        <v>1.556</v>
      </c>
      <c r="AX24" s="30"/>
      <c r="AY24" s="30"/>
      <c r="AZ24" s="30"/>
    </row>
    <row r="25" spans="1:52" ht="18" customHeight="1">
      <c r="A25" s="23"/>
      <c r="B25" s="12"/>
      <c r="C25" s="76" t="s">
        <v>77</v>
      </c>
      <c r="D25" s="35" t="s">
        <v>109</v>
      </c>
      <c r="E25" s="35"/>
      <c r="F25" s="29" t="s">
        <v>110</v>
      </c>
      <c r="G25" s="38">
        <v>1.55</v>
      </c>
      <c r="H25" s="38">
        <v>0.03</v>
      </c>
      <c r="I25" s="38">
        <v>0.03</v>
      </c>
      <c r="J25" s="38">
        <v>0.03</v>
      </c>
      <c r="K25" s="38">
        <v>0.03</v>
      </c>
      <c r="L25" s="30">
        <f t="shared" si="0"/>
        <v>1.5680000000000001</v>
      </c>
      <c r="M25" s="30">
        <f t="shared" si="1"/>
        <v>1.5569999999999999</v>
      </c>
      <c r="N25" s="30">
        <f t="shared" si="2"/>
        <v>1.1000000000000121E-2</v>
      </c>
      <c r="O25" s="31">
        <f t="shared" si="3"/>
        <v>1.5625862068965521</v>
      </c>
      <c r="P25" s="52"/>
      <c r="Q25" s="30">
        <v>1.5629999999999999</v>
      </c>
      <c r="R25" s="30">
        <v>1.5669999999999999</v>
      </c>
      <c r="S25" s="30">
        <v>1.5629999999999999</v>
      </c>
      <c r="T25" s="30">
        <v>1.5620000000000001</v>
      </c>
      <c r="U25" s="30">
        <v>1.5660000000000001</v>
      </c>
      <c r="V25" s="30">
        <v>1.56</v>
      </c>
      <c r="W25" s="30">
        <v>1.5620000000000001</v>
      </c>
      <c r="X25" s="30">
        <v>1.5649999999999999</v>
      </c>
      <c r="Y25" s="30">
        <v>1.5580000000000001</v>
      </c>
      <c r="Z25" s="30">
        <v>1.5620000000000001</v>
      </c>
      <c r="AA25" s="30">
        <v>1.5620000000000001</v>
      </c>
      <c r="AB25" s="30">
        <v>1.5629999999999999</v>
      </c>
      <c r="AC25" s="30">
        <v>1.5629999999999999</v>
      </c>
      <c r="AD25" s="30">
        <v>1.5580000000000001</v>
      </c>
      <c r="AE25" s="30">
        <v>1.5580000000000001</v>
      </c>
      <c r="AF25" s="30">
        <v>1.5620000000000001</v>
      </c>
      <c r="AG25" s="30">
        <v>1.5669999999999999</v>
      </c>
      <c r="AH25" s="30">
        <v>1.5669999999999999</v>
      </c>
      <c r="AI25" s="30">
        <v>1.5620000000000001</v>
      </c>
      <c r="AJ25" s="30">
        <v>1.5620000000000001</v>
      </c>
      <c r="AK25" s="30">
        <v>1.5680000000000001</v>
      </c>
      <c r="AL25" s="30">
        <v>1.56</v>
      </c>
      <c r="AM25" s="30">
        <v>1.5629999999999999</v>
      </c>
      <c r="AN25" s="30">
        <v>1.5660000000000001</v>
      </c>
      <c r="AO25" s="30"/>
      <c r="AP25" s="30">
        <v>1.5640000000000001</v>
      </c>
      <c r="AQ25" s="30">
        <v>1.5580000000000001</v>
      </c>
      <c r="AR25" s="30">
        <v>1.5629999999999999</v>
      </c>
      <c r="AS25" s="30">
        <v>1.5640000000000001</v>
      </c>
      <c r="AT25" s="30">
        <v>1.5569999999999999</v>
      </c>
      <c r="AU25" s="30">
        <v>1.556</v>
      </c>
      <c r="AV25" s="30">
        <v>1.569</v>
      </c>
      <c r="AW25" s="30">
        <v>1.571</v>
      </c>
      <c r="AX25" s="30"/>
      <c r="AY25" s="30"/>
      <c r="AZ25" s="30"/>
    </row>
    <row r="26" spans="1:52" ht="18" customHeight="1">
      <c r="A26" s="23"/>
      <c r="B26" s="12"/>
      <c r="C26" s="76" t="s">
        <v>77</v>
      </c>
      <c r="D26" s="35" t="s">
        <v>111</v>
      </c>
      <c r="E26" s="35"/>
      <c r="F26" s="29" t="s">
        <v>112</v>
      </c>
      <c r="G26" s="38">
        <v>1.55</v>
      </c>
      <c r="H26" s="38">
        <v>0.03</v>
      </c>
      <c r="I26" s="38">
        <v>0.03</v>
      </c>
      <c r="J26" s="38">
        <v>0.03</v>
      </c>
      <c r="K26" s="38">
        <v>0.03</v>
      </c>
      <c r="L26" s="30">
        <f t="shared" si="0"/>
        <v>1.573</v>
      </c>
      <c r="M26" s="30">
        <f t="shared" si="1"/>
        <v>1.55</v>
      </c>
      <c r="N26" s="30">
        <f t="shared" si="2"/>
        <v>2.2999999999999909E-2</v>
      </c>
      <c r="O26" s="31">
        <f t="shared" si="3"/>
        <v>1.5607241379310339</v>
      </c>
      <c r="P26" s="52"/>
      <c r="Q26" s="30">
        <v>1.5620000000000001</v>
      </c>
      <c r="R26" s="30">
        <v>1.552</v>
      </c>
      <c r="S26" s="30">
        <v>1.5680000000000001</v>
      </c>
      <c r="T26" s="30">
        <v>1.5589999999999999</v>
      </c>
      <c r="U26" s="30">
        <v>1.554</v>
      </c>
      <c r="V26" s="30">
        <v>1.5509999999999999</v>
      </c>
      <c r="W26" s="30">
        <v>1.554</v>
      </c>
      <c r="X26" s="30">
        <v>1.5549999999999999</v>
      </c>
      <c r="Y26" s="30">
        <v>1.5680000000000001</v>
      </c>
      <c r="Z26" s="30">
        <v>1.55</v>
      </c>
      <c r="AA26" s="30">
        <v>1.5660000000000001</v>
      </c>
      <c r="AB26" s="30">
        <v>1.5569999999999999</v>
      </c>
      <c r="AC26" s="30">
        <v>1.5640000000000001</v>
      </c>
      <c r="AD26" s="30">
        <v>1.5620000000000001</v>
      </c>
      <c r="AE26" s="30">
        <v>1.56</v>
      </c>
      <c r="AF26" s="30">
        <v>1.5640000000000001</v>
      </c>
      <c r="AG26" s="30">
        <v>1.5580000000000001</v>
      </c>
      <c r="AH26" s="30">
        <v>1.5569999999999999</v>
      </c>
      <c r="AI26" s="30">
        <v>1.57</v>
      </c>
      <c r="AJ26" s="30">
        <v>1.5569999999999999</v>
      </c>
      <c r="AK26" s="30">
        <v>1.571</v>
      </c>
      <c r="AL26" s="30">
        <v>1.5549999999999999</v>
      </c>
      <c r="AM26" s="30">
        <v>1.5620000000000001</v>
      </c>
      <c r="AN26" s="30">
        <v>1.5649999999999999</v>
      </c>
      <c r="AO26" s="30"/>
      <c r="AP26" s="30">
        <v>1.5649999999999999</v>
      </c>
      <c r="AQ26" s="30">
        <v>1.5529999999999999</v>
      </c>
      <c r="AR26" s="30">
        <v>1.5640000000000001</v>
      </c>
      <c r="AS26" s="30">
        <v>1.5649999999999999</v>
      </c>
      <c r="AT26" s="30">
        <v>1.573</v>
      </c>
      <c r="AU26" s="30">
        <v>1.573</v>
      </c>
      <c r="AV26" s="30">
        <v>1.5509999999999999</v>
      </c>
      <c r="AW26" s="30">
        <v>1.5509999999999999</v>
      </c>
      <c r="AX26" s="30"/>
      <c r="AY26" s="30"/>
      <c r="AZ26" s="30"/>
    </row>
    <row r="27" spans="1:52" ht="18" customHeight="1">
      <c r="A27" s="23"/>
      <c r="B27" s="12"/>
      <c r="C27" s="77" t="s">
        <v>77</v>
      </c>
      <c r="D27" s="35" t="s">
        <v>113</v>
      </c>
      <c r="E27" s="35"/>
      <c r="F27" s="29" t="s">
        <v>114</v>
      </c>
      <c r="G27" s="38">
        <v>1.55</v>
      </c>
      <c r="H27" s="38">
        <v>0.03</v>
      </c>
      <c r="I27" s="38">
        <v>0.03</v>
      </c>
      <c r="J27" s="38">
        <v>0.03</v>
      </c>
      <c r="K27" s="38">
        <v>0.03</v>
      </c>
      <c r="L27" s="30">
        <f t="shared" si="0"/>
        <v>1.569</v>
      </c>
      <c r="M27" s="30">
        <f t="shared" si="1"/>
        <v>1.5489999999999999</v>
      </c>
      <c r="N27" s="30">
        <f t="shared" si="2"/>
        <v>2.0000000000000018E-2</v>
      </c>
      <c r="O27" s="31">
        <f t="shared" si="3"/>
        <v>1.5615517241379309</v>
      </c>
      <c r="P27" s="52"/>
      <c r="Q27" s="30">
        <v>1.5589999999999999</v>
      </c>
      <c r="R27" s="30">
        <v>1.5580000000000001</v>
      </c>
      <c r="S27" s="30">
        <v>1.5629999999999999</v>
      </c>
      <c r="T27" s="30">
        <v>1.5660000000000001</v>
      </c>
      <c r="U27" s="30">
        <v>1.5680000000000001</v>
      </c>
      <c r="V27" s="30">
        <v>1.5640000000000001</v>
      </c>
      <c r="W27" s="30">
        <v>1.5649999999999999</v>
      </c>
      <c r="X27" s="30">
        <v>1.5649999999999999</v>
      </c>
      <c r="Y27" s="30">
        <v>1.569</v>
      </c>
      <c r="Z27" s="30">
        <v>1.5580000000000001</v>
      </c>
      <c r="AA27" s="30">
        <v>1.5680000000000001</v>
      </c>
      <c r="AB27" s="30">
        <v>1.5580000000000001</v>
      </c>
      <c r="AC27" s="30">
        <v>1.5569999999999999</v>
      </c>
      <c r="AD27" s="30">
        <v>1.5660000000000001</v>
      </c>
      <c r="AE27" s="30">
        <v>1.5629999999999999</v>
      </c>
      <c r="AF27" s="30">
        <v>1.5669999999999999</v>
      </c>
      <c r="AG27" s="30">
        <v>1.5660000000000001</v>
      </c>
      <c r="AH27" s="30">
        <v>1.5629999999999999</v>
      </c>
      <c r="AI27" s="30">
        <v>1.5489999999999999</v>
      </c>
      <c r="AJ27" s="30">
        <v>1.5629999999999999</v>
      </c>
      <c r="AK27" s="30">
        <v>1.5509999999999999</v>
      </c>
      <c r="AL27" s="30">
        <v>1.5660000000000001</v>
      </c>
      <c r="AM27" s="30">
        <v>1.5629999999999999</v>
      </c>
      <c r="AN27" s="30">
        <v>1.56</v>
      </c>
      <c r="AO27" s="30"/>
      <c r="AP27" s="30">
        <v>1.5580000000000001</v>
      </c>
      <c r="AQ27" s="30">
        <v>1.5629999999999999</v>
      </c>
      <c r="AR27" s="30">
        <v>1.5620000000000001</v>
      </c>
      <c r="AS27" s="30">
        <v>1.554</v>
      </c>
      <c r="AT27" s="30">
        <v>1.5529999999999999</v>
      </c>
      <c r="AU27" s="30">
        <v>1.5589999999999999</v>
      </c>
      <c r="AV27" s="30">
        <v>1.5620000000000001</v>
      </c>
      <c r="AW27" s="30">
        <v>1.5569999999999999</v>
      </c>
      <c r="AX27" s="30"/>
      <c r="AY27" s="30"/>
      <c r="AZ27" s="30"/>
    </row>
    <row r="28" spans="1:52" ht="18" customHeight="1">
      <c r="A28" s="23"/>
      <c r="B28" s="12"/>
      <c r="C28" s="78" t="s">
        <v>115</v>
      </c>
      <c r="D28" s="35" t="s">
        <v>116</v>
      </c>
      <c r="E28" s="35" t="s">
        <v>454</v>
      </c>
      <c r="F28" s="29" t="s">
        <v>118</v>
      </c>
      <c r="G28" s="38">
        <v>4.1399999999999997</v>
      </c>
      <c r="H28" s="38">
        <v>0.03</v>
      </c>
      <c r="I28" s="38">
        <v>0.03</v>
      </c>
      <c r="J28" s="38">
        <v>0.03</v>
      </c>
      <c r="K28" s="38">
        <v>0.03</v>
      </c>
      <c r="L28" s="30">
        <f t="shared" si="0"/>
        <v>4.1390000000000002</v>
      </c>
      <c r="M28" s="30">
        <f t="shared" si="1"/>
        <v>4.1230000000000002</v>
      </c>
      <c r="N28" s="30">
        <f t="shared" si="2"/>
        <v>1.6000000000000014E-2</v>
      </c>
      <c r="O28" s="31">
        <f t="shared" si="3"/>
        <v>4.1277586206896553</v>
      </c>
      <c r="P28" s="52"/>
      <c r="Q28" s="30">
        <v>4.1390000000000002</v>
      </c>
      <c r="R28" s="30">
        <v>4.1289999999999996</v>
      </c>
      <c r="S28" s="30">
        <v>4.1280000000000001</v>
      </c>
      <c r="T28" s="30">
        <v>4.1280000000000001</v>
      </c>
      <c r="U28" s="30">
        <v>4.1319999999999997</v>
      </c>
      <c r="V28" s="30">
        <v>4.1319999999999997</v>
      </c>
      <c r="W28" s="30">
        <v>4.13</v>
      </c>
      <c r="X28" s="30">
        <v>4.1269999999999998</v>
      </c>
      <c r="Y28" s="30">
        <v>4.1260000000000003</v>
      </c>
      <c r="Z28" s="30">
        <v>4.125</v>
      </c>
      <c r="AA28" s="30">
        <v>4.1260000000000003</v>
      </c>
      <c r="AB28" s="30">
        <v>4.1289999999999996</v>
      </c>
      <c r="AC28" s="30">
        <v>4.1289999999999996</v>
      </c>
      <c r="AD28" s="30">
        <v>4.1280000000000001</v>
      </c>
      <c r="AE28" s="30">
        <v>4.1280000000000001</v>
      </c>
      <c r="AF28" s="30">
        <v>4.1319999999999997</v>
      </c>
      <c r="AG28" s="30">
        <v>4.1269999999999998</v>
      </c>
      <c r="AH28" s="30">
        <v>4.1269999999999998</v>
      </c>
      <c r="AI28" s="30">
        <v>4.1260000000000003</v>
      </c>
      <c r="AJ28" s="30">
        <v>4.1260000000000003</v>
      </c>
      <c r="AK28" s="30">
        <v>4.1280000000000001</v>
      </c>
      <c r="AL28" s="30">
        <v>4.1319999999999997</v>
      </c>
      <c r="AM28" s="30">
        <v>4.125</v>
      </c>
      <c r="AN28" s="30">
        <v>4.1239999999999997</v>
      </c>
      <c r="AO28" s="30"/>
      <c r="AP28" s="30">
        <v>4.1230000000000002</v>
      </c>
      <c r="AQ28" s="30">
        <v>4.1230000000000002</v>
      </c>
      <c r="AR28" s="30">
        <v>4.1269999999999998</v>
      </c>
      <c r="AS28" s="30">
        <v>4.1230000000000002</v>
      </c>
      <c r="AT28" s="30">
        <v>4.1260000000000003</v>
      </c>
      <c r="AU28" s="30">
        <v>4.1260000000000003</v>
      </c>
      <c r="AV28" s="30">
        <v>4.1219999999999999</v>
      </c>
      <c r="AW28" s="30">
        <v>4.125</v>
      </c>
      <c r="AX28" s="30"/>
      <c r="AY28" s="30"/>
      <c r="AZ28" s="30"/>
    </row>
    <row r="29" spans="1:52" ht="18" customHeight="1">
      <c r="A29" s="23"/>
      <c r="B29" s="12"/>
      <c r="C29" s="78" t="s">
        <v>115</v>
      </c>
      <c r="D29" s="35" t="s">
        <v>119</v>
      </c>
      <c r="E29" s="35"/>
      <c r="F29" s="29" t="s">
        <v>120</v>
      </c>
      <c r="G29" s="38">
        <v>4.1399999999999997</v>
      </c>
      <c r="H29" s="38">
        <v>0.03</v>
      </c>
      <c r="I29" s="38">
        <v>0.03</v>
      </c>
      <c r="J29" s="38">
        <v>0.03</v>
      </c>
      <c r="K29" s="38">
        <v>0.03</v>
      </c>
      <c r="L29" s="30">
        <f t="shared" si="0"/>
        <v>4.1580000000000004</v>
      </c>
      <c r="M29" s="30">
        <f t="shared" si="1"/>
        <v>4.1319999999999997</v>
      </c>
      <c r="N29" s="30">
        <f t="shared" si="2"/>
        <v>2.6000000000000689E-2</v>
      </c>
      <c r="O29" s="31">
        <f t="shared" si="3"/>
        <v>4.141</v>
      </c>
      <c r="P29" s="52"/>
      <c r="Q29" s="30">
        <v>4.1580000000000004</v>
      </c>
      <c r="R29" s="30">
        <v>4.1429999999999998</v>
      </c>
      <c r="S29" s="30">
        <v>4.1449999999999996</v>
      </c>
      <c r="T29" s="30">
        <v>4.1420000000000003</v>
      </c>
      <c r="U29" s="30">
        <v>4.1509999999999998</v>
      </c>
      <c r="V29" s="30">
        <v>4.1550000000000002</v>
      </c>
      <c r="W29" s="30">
        <v>4.149</v>
      </c>
      <c r="X29" s="30">
        <v>4.1390000000000002</v>
      </c>
      <c r="Y29" s="30">
        <v>4.1399999999999997</v>
      </c>
      <c r="Z29" s="30">
        <v>4.141</v>
      </c>
      <c r="AA29" s="30">
        <v>4.1369999999999996</v>
      </c>
      <c r="AB29" s="30">
        <v>4.1429999999999998</v>
      </c>
      <c r="AC29" s="30">
        <v>4.1379999999999999</v>
      </c>
      <c r="AD29" s="30">
        <v>4.1390000000000002</v>
      </c>
      <c r="AE29" s="30">
        <v>4.1420000000000003</v>
      </c>
      <c r="AF29" s="30">
        <v>4.1420000000000003</v>
      </c>
      <c r="AG29" s="30">
        <v>4.1369999999999996</v>
      </c>
      <c r="AH29" s="30">
        <v>4.1360000000000001</v>
      </c>
      <c r="AI29" s="30">
        <v>4.1399999999999997</v>
      </c>
      <c r="AJ29" s="30">
        <v>4.1390000000000002</v>
      </c>
      <c r="AK29" s="30">
        <v>4.1420000000000003</v>
      </c>
      <c r="AL29" s="30">
        <v>4.1429999999999998</v>
      </c>
      <c r="AM29" s="30">
        <v>4.133</v>
      </c>
      <c r="AN29" s="30">
        <v>4.1369999999999996</v>
      </c>
      <c r="AO29" s="30"/>
      <c r="AP29" s="30">
        <v>4.141</v>
      </c>
      <c r="AQ29" s="30">
        <v>4.1319999999999997</v>
      </c>
      <c r="AR29" s="30">
        <v>4.1349999999999998</v>
      </c>
      <c r="AS29" s="30">
        <v>4.1340000000000003</v>
      </c>
      <c r="AT29" s="30">
        <v>4.1360000000000001</v>
      </c>
      <c r="AU29" s="30">
        <v>4.1399999999999997</v>
      </c>
      <c r="AV29" s="30">
        <v>4.1319999999999997</v>
      </c>
      <c r="AW29" s="30">
        <v>4.1340000000000003</v>
      </c>
      <c r="AX29" s="30"/>
      <c r="AY29" s="30"/>
      <c r="AZ29" s="30"/>
    </row>
    <row r="30" spans="1:52" ht="18" customHeight="1">
      <c r="A30" s="23"/>
      <c r="B30" s="12"/>
      <c r="C30" s="78" t="s">
        <v>115</v>
      </c>
      <c r="D30" s="35" t="s">
        <v>121</v>
      </c>
      <c r="E30" s="35"/>
      <c r="F30" s="29" t="s">
        <v>122</v>
      </c>
      <c r="G30" s="38">
        <v>4.1399999999999997</v>
      </c>
      <c r="H30" s="38">
        <v>0.03</v>
      </c>
      <c r="I30" s="38">
        <v>0.03</v>
      </c>
      <c r="J30" s="38">
        <v>0.03</v>
      </c>
      <c r="K30" s="38">
        <v>0.03</v>
      </c>
      <c r="L30" s="30">
        <f t="shared" si="0"/>
        <v>4.1559999999999997</v>
      </c>
      <c r="M30" s="30">
        <f t="shared" si="1"/>
        <v>4.1390000000000002</v>
      </c>
      <c r="N30" s="30">
        <f t="shared" si="2"/>
        <v>1.699999999999946E-2</v>
      </c>
      <c r="O30" s="31">
        <f t="shared" si="3"/>
        <v>4.1456896551724132</v>
      </c>
      <c r="P30" s="52"/>
      <c r="Q30" s="30">
        <v>4.1559999999999997</v>
      </c>
      <c r="R30" s="30">
        <v>4.1429999999999998</v>
      </c>
      <c r="S30" s="30">
        <v>4.1459999999999999</v>
      </c>
      <c r="T30" s="30">
        <v>4.1420000000000003</v>
      </c>
      <c r="U30" s="30">
        <v>4.1520000000000001</v>
      </c>
      <c r="V30" s="30">
        <v>4.1559999999999997</v>
      </c>
      <c r="W30" s="30">
        <v>4.1500000000000004</v>
      </c>
      <c r="X30" s="30">
        <v>4.1420000000000003</v>
      </c>
      <c r="Y30" s="30">
        <v>4.1459999999999999</v>
      </c>
      <c r="Z30" s="30">
        <v>4.1500000000000004</v>
      </c>
      <c r="AA30" s="30">
        <v>4.1399999999999997</v>
      </c>
      <c r="AB30" s="30">
        <v>4.149</v>
      </c>
      <c r="AC30" s="30">
        <v>4.1449999999999996</v>
      </c>
      <c r="AD30" s="30">
        <v>4.1429999999999998</v>
      </c>
      <c r="AE30" s="30">
        <v>4.1479999999999997</v>
      </c>
      <c r="AF30" s="30">
        <v>4.1520000000000001</v>
      </c>
      <c r="AG30" s="30">
        <v>4.141</v>
      </c>
      <c r="AH30" s="30">
        <v>4.1429999999999998</v>
      </c>
      <c r="AI30" s="30">
        <v>4.1459999999999999</v>
      </c>
      <c r="AJ30" s="30">
        <v>4.1459999999999999</v>
      </c>
      <c r="AK30" s="30">
        <v>4.1479999999999997</v>
      </c>
      <c r="AL30" s="30">
        <v>4.1420000000000003</v>
      </c>
      <c r="AM30" s="30">
        <v>4.1399999999999997</v>
      </c>
      <c r="AN30" s="30">
        <v>4.1440000000000001</v>
      </c>
      <c r="AO30" s="30"/>
      <c r="AP30" s="30">
        <v>4.1479999999999997</v>
      </c>
      <c r="AQ30" s="30">
        <v>4.1390000000000002</v>
      </c>
      <c r="AR30" s="30">
        <v>4.141</v>
      </c>
      <c r="AS30" s="30">
        <v>4.1420000000000003</v>
      </c>
      <c r="AT30" s="30">
        <v>4.1449999999999996</v>
      </c>
      <c r="AU30" s="30">
        <v>4.1429999999999998</v>
      </c>
      <c r="AV30" s="30">
        <v>4.1399999999999997</v>
      </c>
      <c r="AW30" s="30">
        <v>4.1429999999999998</v>
      </c>
      <c r="AX30" s="30"/>
      <c r="AY30" s="30"/>
      <c r="AZ30" s="30"/>
    </row>
    <row r="31" spans="1:52" ht="18" customHeight="1">
      <c r="A31" s="23"/>
      <c r="B31" s="12"/>
      <c r="C31" s="78" t="s">
        <v>115</v>
      </c>
      <c r="D31" s="35" t="s">
        <v>123</v>
      </c>
      <c r="E31" s="35"/>
      <c r="F31" s="29" t="s">
        <v>124</v>
      </c>
      <c r="G31" s="38">
        <v>4.1399999999999997</v>
      </c>
      <c r="H31" s="38">
        <v>0.03</v>
      </c>
      <c r="I31" s="38">
        <v>0.03</v>
      </c>
      <c r="J31" s="38">
        <v>0.03</v>
      </c>
      <c r="K31" s="38">
        <v>0.03</v>
      </c>
      <c r="L31" s="30">
        <f t="shared" si="0"/>
        <v>4.1639999999999997</v>
      </c>
      <c r="M31" s="30">
        <f t="shared" si="1"/>
        <v>4.133</v>
      </c>
      <c r="N31" s="30">
        <f t="shared" si="2"/>
        <v>3.0999999999999694E-2</v>
      </c>
      <c r="O31" s="31">
        <f t="shared" si="3"/>
        <v>4.147448275862069</v>
      </c>
      <c r="P31" s="52"/>
      <c r="Q31" s="30">
        <v>4.1639999999999997</v>
      </c>
      <c r="R31" s="30">
        <v>4.149</v>
      </c>
      <c r="S31" s="30">
        <v>4.1520000000000001</v>
      </c>
      <c r="T31" s="30">
        <v>4.1479999999999997</v>
      </c>
      <c r="U31" s="30">
        <v>4.1559999999999997</v>
      </c>
      <c r="V31" s="30">
        <v>4.1550000000000002</v>
      </c>
      <c r="W31" s="30">
        <v>4.1550000000000002</v>
      </c>
      <c r="X31" s="30">
        <v>4.141</v>
      </c>
      <c r="Y31" s="30">
        <v>4.1449999999999996</v>
      </c>
      <c r="Z31" s="30">
        <v>4.149</v>
      </c>
      <c r="AA31" s="30">
        <v>4.1390000000000002</v>
      </c>
      <c r="AB31" s="30">
        <v>4.1479999999999997</v>
      </c>
      <c r="AC31" s="30">
        <v>4.1470000000000002</v>
      </c>
      <c r="AD31" s="30">
        <v>4.1420000000000003</v>
      </c>
      <c r="AE31" s="30">
        <v>4.1459999999999999</v>
      </c>
      <c r="AF31" s="30">
        <v>4.1559999999999997</v>
      </c>
      <c r="AG31" s="30">
        <v>4.141</v>
      </c>
      <c r="AH31" s="30">
        <v>4.1459999999999999</v>
      </c>
      <c r="AI31" s="30">
        <v>4.1500000000000004</v>
      </c>
      <c r="AJ31" s="30">
        <v>4.1420000000000003</v>
      </c>
      <c r="AK31" s="30">
        <v>4.1529999999999996</v>
      </c>
      <c r="AL31" s="30">
        <v>4.1509999999999998</v>
      </c>
      <c r="AM31" s="30">
        <v>4.1470000000000002</v>
      </c>
      <c r="AN31" s="30">
        <v>4.1399999999999997</v>
      </c>
      <c r="AO31" s="30"/>
      <c r="AP31" s="30">
        <v>4.133</v>
      </c>
      <c r="AQ31" s="30">
        <v>4.1449999999999996</v>
      </c>
      <c r="AR31" s="30">
        <v>4.1509999999999998</v>
      </c>
      <c r="AS31" s="30">
        <v>4.1429999999999998</v>
      </c>
      <c r="AT31" s="30">
        <v>4.1420000000000003</v>
      </c>
      <c r="AU31" s="30">
        <v>4.1440000000000001</v>
      </c>
      <c r="AV31" s="30">
        <v>4.1420000000000003</v>
      </c>
      <c r="AW31" s="30">
        <v>4.1399999999999997</v>
      </c>
      <c r="AX31" s="30"/>
      <c r="AY31" s="30"/>
      <c r="AZ31" s="30"/>
    </row>
    <row r="32" spans="1:52" ht="18" customHeight="1">
      <c r="A32" s="23"/>
      <c r="B32" s="12"/>
      <c r="C32" s="76" t="s">
        <v>77</v>
      </c>
      <c r="D32" s="35" t="s">
        <v>125</v>
      </c>
      <c r="E32" s="35"/>
      <c r="F32" s="29" t="s">
        <v>126</v>
      </c>
      <c r="G32" s="38">
        <v>3.75</v>
      </c>
      <c r="H32" s="38">
        <v>0.08</v>
      </c>
      <c r="I32" s="38">
        <v>0.05</v>
      </c>
      <c r="J32" s="38">
        <v>0.08</v>
      </c>
      <c r="K32" s="38">
        <v>0.05</v>
      </c>
      <c r="L32" s="30">
        <f t="shared" si="0"/>
        <v>3.7370000000000001</v>
      </c>
      <c r="M32" s="30">
        <f t="shared" si="1"/>
        <v>3.7090000000000001</v>
      </c>
      <c r="N32" s="30">
        <f t="shared" si="2"/>
        <v>2.8000000000000025E-2</v>
      </c>
      <c r="O32" s="31">
        <f t="shared" si="3"/>
        <v>3.7230344827586204</v>
      </c>
      <c r="P32" s="52"/>
      <c r="Q32" s="30">
        <v>3.7189999999999999</v>
      </c>
      <c r="R32" s="30">
        <v>3.7240000000000002</v>
      </c>
      <c r="S32" s="30">
        <v>3.7309999999999999</v>
      </c>
      <c r="T32" s="30">
        <v>3.7240000000000002</v>
      </c>
      <c r="U32" s="30">
        <v>3.73</v>
      </c>
      <c r="V32" s="30">
        <v>3.7229999999999999</v>
      </c>
      <c r="W32" s="30">
        <v>3.726</v>
      </c>
      <c r="X32" s="30">
        <v>3.7269999999999999</v>
      </c>
      <c r="Y32" s="30">
        <v>3.7229999999999999</v>
      </c>
      <c r="Z32" s="30">
        <v>3.7250000000000001</v>
      </c>
      <c r="AA32" s="30">
        <v>3.7229999999999999</v>
      </c>
      <c r="AB32" s="30">
        <v>3.72</v>
      </c>
      <c r="AC32" s="30">
        <v>3.7240000000000002</v>
      </c>
      <c r="AD32" s="30">
        <v>3.7280000000000002</v>
      </c>
      <c r="AE32" s="30">
        <v>3.7269999999999999</v>
      </c>
      <c r="AF32" s="30">
        <v>3.714</v>
      </c>
      <c r="AG32" s="30">
        <v>3.7269999999999999</v>
      </c>
      <c r="AH32" s="30">
        <v>3.726</v>
      </c>
      <c r="AI32" s="30">
        <v>3.7370000000000001</v>
      </c>
      <c r="AJ32" s="30">
        <v>3.7170000000000001</v>
      </c>
      <c r="AK32" s="30">
        <v>3.722</v>
      </c>
      <c r="AL32" s="30">
        <v>3.722</v>
      </c>
      <c r="AM32" s="30">
        <v>3.7120000000000002</v>
      </c>
      <c r="AN32" s="30">
        <v>3.7269999999999999</v>
      </c>
      <c r="AO32" s="30"/>
      <c r="AP32" s="30">
        <v>3.7210000000000001</v>
      </c>
      <c r="AQ32" s="30">
        <v>3.718</v>
      </c>
      <c r="AR32" s="30">
        <v>3.7090000000000001</v>
      </c>
      <c r="AS32" s="30">
        <v>3.7170000000000001</v>
      </c>
      <c r="AT32" s="30">
        <v>3.7250000000000001</v>
      </c>
      <c r="AU32" s="30">
        <v>3.7160000000000002</v>
      </c>
      <c r="AV32" s="30">
        <v>3.7210000000000001</v>
      </c>
      <c r="AW32" s="30">
        <v>3.7349999999999999</v>
      </c>
      <c r="AX32" s="30"/>
      <c r="AY32" s="30"/>
      <c r="AZ32" s="30"/>
    </row>
    <row r="33" spans="1:52" ht="18" customHeight="1">
      <c r="A33" s="23"/>
      <c r="B33" s="12"/>
      <c r="C33" s="76" t="s">
        <v>77</v>
      </c>
      <c r="D33" s="35" t="s">
        <v>127</v>
      </c>
      <c r="E33" s="35"/>
      <c r="F33" s="29" t="s">
        <v>128</v>
      </c>
      <c r="G33" s="38">
        <v>3.75</v>
      </c>
      <c r="H33" s="38">
        <v>0.08</v>
      </c>
      <c r="I33" s="38">
        <v>0.05</v>
      </c>
      <c r="J33" s="38">
        <v>0.08</v>
      </c>
      <c r="K33" s="38">
        <v>0.05</v>
      </c>
      <c r="L33" s="30">
        <f t="shared" si="0"/>
        <v>3.7469999999999999</v>
      </c>
      <c r="M33" s="30">
        <f t="shared" si="1"/>
        <v>3.7109999999999999</v>
      </c>
      <c r="N33" s="61">
        <f t="shared" si="2"/>
        <v>3.6000000000000032E-2</v>
      </c>
      <c r="O33" s="31">
        <f t="shared" si="3"/>
        <v>3.7277586206896554</v>
      </c>
      <c r="P33" s="52"/>
      <c r="Q33" s="30">
        <v>3.7280000000000002</v>
      </c>
      <c r="R33" s="30">
        <v>3.7349999999999999</v>
      </c>
      <c r="S33" s="30">
        <v>3.7320000000000002</v>
      </c>
      <c r="T33" s="30">
        <v>3.7330000000000001</v>
      </c>
      <c r="U33" s="30">
        <v>3.7410000000000001</v>
      </c>
      <c r="V33" s="30">
        <v>3.7229999999999999</v>
      </c>
      <c r="W33" s="30">
        <v>3.7290000000000001</v>
      </c>
      <c r="X33" s="30">
        <v>3.7189999999999999</v>
      </c>
      <c r="Y33" s="30">
        <v>3.7210000000000001</v>
      </c>
      <c r="Z33" s="30">
        <v>3.73</v>
      </c>
      <c r="AA33" s="30">
        <v>3.718</v>
      </c>
      <c r="AB33" s="30">
        <v>3.726</v>
      </c>
      <c r="AC33" s="30">
        <v>3.7290000000000001</v>
      </c>
      <c r="AD33" s="30">
        <v>3.7250000000000001</v>
      </c>
      <c r="AE33" s="30">
        <v>3.726</v>
      </c>
      <c r="AF33" s="30">
        <v>3.7320000000000002</v>
      </c>
      <c r="AG33" s="30">
        <v>3.7280000000000002</v>
      </c>
      <c r="AH33" s="30">
        <v>3.7410000000000001</v>
      </c>
      <c r="AI33" s="30">
        <v>3.7469999999999999</v>
      </c>
      <c r="AJ33" s="30">
        <v>3.7370000000000001</v>
      </c>
      <c r="AK33" s="30">
        <v>3.7250000000000001</v>
      </c>
      <c r="AL33" s="30">
        <v>3.7389999999999999</v>
      </c>
      <c r="AM33" s="30">
        <v>3.718</v>
      </c>
      <c r="AN33" s="30">
        <v>3.7109999999999999</v>
      </c>
      <c r="AO33" s="30"/>
      <c r="AP33" s="30">
        <v>3.7210000000000001</v>
      </c>
      <c r="AQ33" s="30">
        <v>3.718</v>
      </c>
      <c r="AR33" s="30">
        <v>3.7240000000000002</v>
      </c>
      <c r="AS33" s="30">
        <v>3.72</v>
      </c>
      <c r="AT33" s="30">
        <v>3.7290000000000001</v>
      </c>
      <c r="AU33" s="30">
        <v>3.7229999999999999</v>
      </c>
      <c r="AV33" s="30">
        <v>3.718</v>
      </c>
      <c r="AW33" s="30">
        <v>3.7240000000000002</v>
      </c>
      <c r="AX33" s="30"/>
      <c r="AY33" s="30"/>
      <c r="AZ33" s="30"/>
    </row>
    <row r="34" spans="1:52" ht="18" customHeight="1">
      <c r="A34" s="23"/>
      <c r="B34" s="12"/>
      <c r="C34" s="76" t="s">
        <v>77</v>
      </c>
      <c r="D34" s="35" t="s">
        <v>129</v>
      </c>
      <c r="E34" s="35"/>
      <c r="F34" s="29" t="s">
        <v>130</v>
      </c>
      <c r="G34" s="38">
        <v>3.75</v>
      </c>
      <c r="H34" s="38">
        <v>0.05</v>
      </c>
      <c r="I34" s="38">
        <v>0.05</v>
      </c>
      <c r="J34" s="38">
        <v>0.05</v>
      </c>
      <c r="K34" s="38">
        <v>0.05</v>
      </c>
      <c r="L34" s="30">
        <f t="shared" si="0"/>
        <v>3.7549999999999999</v>
      </c>
      <c r="M34" s="30">
        <f t="shared" si="1"/>
        <v>3.726</v>
      </c>
      <c r="N34" s="30">
        <f t="shared" si="2"/>
        <v>2.8999999999999915E-2</v>
      </c>
      <c r="O34" s="31">
        <f t="shared" si="3"/>
        <v>3.7452758620689655</v>
      </c>
      <c r="P34" s="52"/>
      <c r="Q34" s="30">
        <v>3.726</v>
      </c>
      <c r="R34" s="30">
        <v>3.74</v>
      </c>
      <c r="S34" s="30">
        <v>3.7509999999999999</v>
      </c>
      <c r="T34" s="30">
        <v>3.7440000000000002</v>
      </c>
      <c r="U34" s="30">
        <v>3.746</v>
      </c>
      <c r="V34" s="30">
        <v>3.742</v>
      </c>
      <c r="W34" s="30">
        <v>3.7509999999999999</v>
      </c>
      <c r="X34" s="30">
        <v>3.7549999999999999</v>
      </c>
      <c r="Y34" s="30">
        <v>3.7490000000000001</v>
      </c>
      <c r="Z34" s="30">
        <v>3.75</v>
      </c>
      <c r="AA34" s="30">
        <v>3.7530000000000001</v>
      </c>
      <c r="AB34" s="30">
        <v>3.7469999999999999</v>
      </c>
      <c r="AC34" s="30">
        <v>3.742</v>
      </c>
      <c r="AD34" s="30">
        <v>3.75</v>
      </c>
      <c r="AE34" s="30">
        <v>3.7549999999999999</v>
      </c>
      <c r="AF34" s="30">
        <v>3.7450000000000001</v>
      </c>
      <c r="AG34" s="30">
        <v>3.7490000000000001</v>
      </c>
      <c r="AH34" s="30">
        <v>3.7429999999999999</v>
      </c>
      <c r="AI34" s="30">
        <v>3.7519999999999998</v>
      </c>
      <c r="AJ34" s="30">
        <v>3.7440000000000002</v>
      </c>
      <c r="AK34" s="30">
        <v>3.742</v>
      </c>
      <c r="AL34" s="30">
        <v>3.742</v>
      </c>
      <c r="AM34" s="30">
        <v>3.74</v>
      </c>
      <c r="AN34" s="30">
        <v>3.7370000000000001</v>
      </c>
      <c r="AO34" s="30"/>
      <c r="AP34" s="30">
        <v>3.7429999999999999</v>
      </c>
      <c r="AQ34" s="30">
        <v>3.742</v>
      </c>
      <c r="AR34" s="30">
        <v>3.742</v>
      </c>
      <c r="AS34" s="30">
        <v>3.7530000000000001</v>
      </c>
      <c r="AT34" s="30">
        <v>3.738</v>
      </c>
      <c r="AU34" s="30">
        <v>3.7429999999999999</v>
      </c>
      <c r="AV34" s="30">
        <v>3.7480000000000002</v>
      </c>
      <c r="AW34" s="30">
        <v>3.75</v>
      </c>
      <c r="AX34" s="30"/>
      <c r="AY34" s="30"/>
      <c r="AZ34" s="30"/>
    </row>
    <row r="35" spans="1:52" ht="18" customHeight="1">
      <c r="A35" s="23"/>
      <c r="B35" s="12"/>
      <c r="C35" s="76" t="s">
        <v>77</v>
      </c>
      <c r="D35" s="35" t="s">
        <v>131</v>
      </c>
      <c r="E35" s="35"/>
      <c r="F35" s="29" t="s">
        <v>132</v>
      </c>
      <c r="G35" s="38">
        <v>3.75</v>
      </c>
      <c r="H35" s="38">
        <v>0.05</v>
      </c>
      <c r="I35" s="38">
        <v>0.05</v>
      </c>
      <c r="J35" s="38">
        <v>0.05</v>
      </c>
      <c r="K35" s="38">
        <v>0.05</v>
      </c>
      <c r="L35" s="30">
        <f t="shared" si="0"/>
        <v>3.758</v>
      </c>
      <c r="M35" s="30">
        <f t="shared" si="1"/>
        <v>3.7250000000000001</v>
      </c>
      <c r="N35" s="30">
        <f t="shared" si="2"/>
        <v>3.2999999999999918E-2</v>
      </c>
      <c r="O35" s="31">
        <f t="shared" si="3"/>
        <v>3.7468965517241379</v>
      </c>
      <c r="P35" s="52"/>
      <c r="Q35" s="30">
        <v>3.7440000000000002</v>
      </c>
      <c r="R35" s="30">
        <v>3.742</v>
      </c>
      <c r="S35" s="30">
        <v>3.7450000000000001</v>
      </c>
      <c r="T35" s="30">
        <v>3.7410000000000001</v>
      </c>
      <c r="U35" s="30">
        <v>3.7530000000000001</v>
      </c>
      <c r="V35" s="30">
        <v>3.7440000000000002</v>
      </c>
      <c r="W35" s="30">
        <v>3.7509999999999999</v>
      </c>
      <c r="X35" s="30">
        <v>3.7559999999999998</v>
      </c>
      <c r="Y35" s="30">
        <v>3.7559999999999998</v>
      </c>
      <c r="Z35" s="30">
        <v>3.758</v>
      </c>
      <c r="AA35" s="30">
        <v>3.746</v>
      </c>
      <c r="AB35" s="30">
        <v>3.7429999999999999</v>
      </c>
      <c r="AC35" s="30">
        <v>3.7429999999999999</v>
      </c>
      <c r="AD35" s="30">
        <v>3.7519999999999998</v>
      </c>
      <c r="AE35" s="30">
        <v>3.7559999999999998</v>
      </c>
      <c r="AF35" s="30">
        <v>3.7519999999999998</v>
      </c>
      <c r="AG35" s="30">
        <v>3.7440000000000002</v>
      </c>
      <c r="AH35" s="30">
        <v>3.75</v>
      </c>
      <c r="AI35" s="30">
        <v>3.746</v>
      </c>
      <c r="AJ35" s="30">
        <v>3.7250000000000001</v>
      </c>
      <c r="AK35" s="30">
        <v>3.7490000000000001</v>
      </c>
      <c r="AL35" s="30">
        <v>3.7559999999999998</v>
      </c>
      <c r="AM35" s="30">
        <v>3.7480000000000002</v>
      </c>
      <c r="AN35" s="30">
        <v>3.7469999999999999</v>
      </c>
      <c r="AO35" s="30"/>
      <c r="AP35" s="30">
        <v>3.7509999999999999</v>
      </c>
      <c r="AQ35" s="30">
        <v>3.746</v>
      </c>
      <c r="AR35" s="30">
        <v>3.7330000000000001</v>
      </c>
      <c r="AS35" s="30">
        <v>3.7370000000000001</v>
      </c>
      <c r="AT35" s="30">
        <v>3.746</v>
      </c>
      <c r="AU35" s="30">
        <v>3.7349999999999999</v>
      </c>
      <c r="AV35" s="30">
        <v>3.7559999999999998</v>
      </c>
      <c r="AW35" s="30">
        <v>3.75</v>
      </c>
      <c r="AX35" s="30"/>
      <c r="AY35" s="30"/>
      <c r="AZ35" s="30"/>
    </row>
    <row r="36" spans="1:52" ht="18" customHeight="1">
      <c r="A36" s="23"/>
      <c r="B36" s="12"/>
      <c r="C36" s="78" t="s">
        <v>115</v>
      </c>
      <c r="D36" s="35" t="s">
        <v>133</v>
      </c>
      <c r="E36" s="35"/>
      <c r="F36" s="29" t="s">
        <v>134</v>
      </c>
      <c r="G36" s="38">
        <v>0.95</v>
      </c>
      <c r="H36" s="38">
        <v>0.04</v>
      </c>
      <c r="I36" s="38">
        <v>0.04</v>
      </c>
      <c r="J36" s="38">
        <v>0.04</v>
      </c>
      <c r="K36" s="38">
        <v>0.04</v>
      </c>
      <c r="L36" s="30">
        <f t="shared" si="0"/>
        <v>0.93600000000000005</v>
      </c>
      <c r="M36" s="30">
        <f t="shared" si="1"/>
        <v>0.92100000000000004</v>
      </c>
      <c r="N36" s="30">
        <f t="shared" si="2"/>
        <v>1.5000000000000013E-2</v>
      </c>
      <c r="O36" s="31">
        <f t="shared" si="3"/>
        <v>0.9292758620689654</v>
      </c>
      <c r="P36" s="52"/>
      <c r="Q36" s="30">
        <v>0.92900000000000005</v>
      </c>
      <c r="R36" s="30">
        <v>0.92700000000000005</v>
      </c>
      <c r="S36" s="30">
        <v>0.93100000000000005</v>
      </c>
      <c r="T36" s="30">
        <v>0.92600000000000005</v>
      </c>
      <c r="U36" s="30">
        <v>0.93400000000000005</v>
      </c>
      <c r="V36" s="30">
        <v>0.93600000000000005</v>
      </c>
      <c r="W36" s="30">
        <v>0.93300000000000005</v>
      </c>
      <c r="X36" s="30">
        <v>0.92700000000000005</v>
      </c>
      <c r="Y36" s="30">
        <v>0.93100000000000005</v>
      </c>
      <c r="Z36" s="30">
        <v>0.93500000000000005</v>
      </c>
      <c r="AA36" s="30">
        <v>0.92600000000000005</v>
      </c>
      <c r="AB36" s="30">
        <v>0.93300000000000005</v>
      </c>
      <c r="AC36" s="30">
        <v>0.93300000000000005</v>
      </c>
      <c r="AD36" s="30">
        <v>0.92900000000000005</v>
      </c>
      <c r="AE36" s="30">
        <v>0.93100000000000005</v>
      </c>
      <c r="AF36" s="30">
        <v>0.93600000000000005</v>
      </c>
      <c r="AG36" s="30">
        <v>0.92700000000000005</v>
      </c>
      <c r="AH36" s="30">
        <v>0.93100000000000005</v>
      </c>
      <c r="AI36" s="30">
        <v>0.93</v>
      </c>
      <c r="AJ36" s="30">
        <v>0.92800000000000005</v>
      </c>
      <c r="AK36" s="30">
        <v>0.93200000000000005</v>
      </c>
      <c r="AL36" s="30">
        <v>0.92800000000000005</v>
      </c>
      <c r="AM36" s="30">
        <v>0.93</v>
      </c>
      <c r="AN36" s="30">
        <v>0.92700000000000005</v>
      </c>
      <c r="AO36" s="30"/>
      <c r="AP36" s="30">
        <v>0.92100000000000004</v>
      </c>
      <c r="AQ36" s="30">
        <v>0.92800000000000005</v>
      </c>
      <c r="AR36" s="30">
        <v>0.92600000000000005</v>
      </c>
      <c r="AS36" s="30">
        <v>0.92200000000000004</v>
      </c>
      <c r="AT36" s="30">
        <v>0.92200000000000004</v>
      </c>
      <c r="AU36" s="30">
        <v>0.92600000000000005</v>
      </c>
      <c r="AV36" s="30">
        <v>0.92</v>
      </c>
      <c r="AW36" s="30">
        <v>0.92100000000000004</v>
      </c>
      <c r="AX36" s="30"/>
      <c r="AY36" s="30"/>
      <c r="AZ36" s="30"/>
    </row>
    <row r="37" spans="1:52" ht="18" customHeight="1">
      <c r="A37" s="23"/>
      <c r="B37" s="12"/>
      <c r="C37" s="78" t="s">
        <v>115</v>
      </c>
      <c r="D37" s="35" t="s">
        <v>135</v>
      </c>
      <c r="E37" s="35"/>
      <c r="F37" s="29" t="s">
        <v>136</v>
      </c>
      <c r="G37" s="38">
        <v>1.85</v>
      </c>
      <c r="H37" s="38">
        <v>0.05</v>
      </c>
      <c r="I37" s="38">
        <v>0.09</v>
      </c>
      <c r="J37" s="38">
        <v>0.05</v>
      </c>
      <c r="K37" s="38">
        <v>0.09</v>
      </c>
      <c r="L37" s="30">
        <f t="shared" si="0"/>
        <v>1.8140000000000001</v>
      </c>
      <c r="M37" s="30">
        <f t="shared" si="1"/>
        <v>1.802</v>
      </c>
      <c r="N37" s="30">
        <f t="shared" si="2"/>
        <v>1.2000000000000011E-2</v>
      </c>
      <c r="O37" s="31">
        <f t="shared" si="3"/>
        <v>1.8066551724137929</v>
      </c>
      <c r="P37" s="52"/>
      <c r="Q37" s="30">
        <v>1.8049999999999999</v>
      </c>
      <c r="R37" s="30">
        <v>1.8049999999999999</v>
      </c>
      <c r="S37" s="30">
        <v>1.8089999999999999</v>
      </c>
      <c r="T37" s="30">
        <v>1.8029999999999999</v>
      </c>
      <c r="U37" s="30">
        <v>1.8120000000000001</v>
      </c>
      <c r="V37" s="30">
        <v>1.8140000000000001</v>
      </c>
      <c r="W37" s="30">
        <v>1.81</v>
      </c>
      <c r="X37" s="30">
        <v>1.8069999999999999</v>
      </c>
      <c r="Y37" s="30">
        <v>1.806</v>
      </c>
      <c r="Z37" s="30">
        <v>1.8049999999999999</v>
      </c>
      <c r="AA37" s="30">
        <v>1.8049999999999999</v>
      </c>
      <c r="AB37" s="30">
        <v>1.8089999999999999</v>
      </c>
      <c r="AC37" s="30">
        <v>1.804</v>
      </c>
      <c r="AD37" s="30">
        <v>1.8080000000000001</v>
      </c>
      <c r="AE37" s="30">
        <v>1.8069999999999999</v>
      </c>
      <c r="AF37" s="30">
        <v>1.8140000000000001</v>
      </c>
      <c r="AG37" s="30">
        <v>1.8069999999999999</v>
      </c>
      <c r="AH37" s="30">
        <v>1.8029999999999999</v>
      </c>
      <c r="AI37" s="30">
        <v>1.806</v>
      </c>
      <c r="AJ37" s="30">
        <v>1.8049999999999999</v>
      </c>
      <c r="AK37" s="30">
        <v>1.8080000000000001</v>
      </c>
      <c r="AL37" s="30">
        <v>1.804</v>
      </c>
      <c r="AM37" s="30">
        <v>1.806</v>
      </c>
      <c r="AN37" s="30">
        <v>1.804</v>
      </c>
      <c r="AO37" s="30"/>
      <c r="AP37" s="30">
        <v>1.802</v>
      </c>
      <c r="AQ37" s="30">
        <v>1.8049999999999999</v>
      </c>
      <c r="AR37" s="30">
        <v>1.8080000000000001</v>
      </c>
      <c r="AS37" s="30">
        <v>1.8049999999999999</v>
      </c>
      <c r="AT37" s="30">
        <v>1.8069999999999999</v>
      </c>
      <c r="AU37" s="30">
        <v>1.8069999999999999</v>
      </c>
      <c r="AV37" s="30">
        <v>1.8029999999999999</v>
      </c>
      <c r="AW37" s="30">
        <v>1.806</v>
      </c>
      <c r="AX37" s="30"/>
      <c r="AY37" s="30"/>
      <c r="AZ37" s="30"/>
    </row>
    <row r="38" spans="1:52" ht="18" customHeight="1">
      <c r="A38" s="23"/>
      <c r="B38" s="12"/>
      <c r="C38" s="75" t="s">
        <v>65</v>
      </c>
      <c r="D38" s="35" t="s">
        <v>137</v>
      </c>
      <c r="E38" s="35"/>
      <c r="F38" s="29" t="s">
        <v>138</v>
      </c>
      <c r="G38" s="38">
        <v>2.5299999999999998</v>
      </c>
      <c r="H38" s="38">
        <v>0.08</v>
      </c>
      <c r="I38" s="38">
        <v>0.03</v>
      </c>
      <c r="J38" s="38">
        <v>0.08</v>
      </c>
      <c r="K38" s="38">
        <v>0.03</v>
      </c>
      <c r="L38" s="30">
        <f t="shared" si="0"/>
        <v>2.6320000000000001</v>
      </c>
      <c r="M38" s="30">
        <f t="shared" si="1"/>
        <v>2.6070000000000002</v>
      </c>
      <c r="N38" s="30">
        <f t="shared" si="2"/>
        <v>2.4999999999999911E-2</v>
      </c>
      <c r="O38" s="31">
        <f t="shared" si="3"/>
        <v>2.6174482758620696</v>
      </c>
      <c r="P38" s="52"/>
      <c r="Q38" s="30">
        <v>2.6120000000000001</v>
      </c>
      <c r="R38" s="30">
        <v>2.617</v>
      </c>
      <c r="S38" s="30">
        <v>2.6179999999999999</v>
      </c>
      <c r="T38" s="30">
        <v>2.6160000000000001</v>
      </c>
      <c r="U38" s="30">
        <v>2.6160000000000001</v>
      </c>
      <c r="V38" s="30">
        <v>2.6150000000000002</v>
      </c>
      <c r="W38" s="30">
        <v>2.6190000000000002</v>
      </c>
      <c r="X38" s="30">
        <v>2.62</v>
      </c>
      <c r="Y38" s="30">
        <v>2.6190000000000002</v>
      </c>
      <c r="Z38" s="30">
        <v>2.6179999999999999</v>
      </c>
      <c r="AA38" s="30">
        <v>2.62</v>
      </c>
      <c r="AB38" s="30">
        <v>2.6190000000000002</v>
      </c>
      <c r="AC38" s="30">
        <v>2.621</v>
      </c>
      <c r="AD38" s="30">
        <v>2.6179999999999999</v>
      </c>
      <c r="AE38" s="30">
        <v>2.6150000000000002</v>
      </c>
      <c r="AF38" s="30">
        <v>2.6160000000000001</v>
      </c>
      <c r="AG38" s="30">
        <v>2.621</v>
      </c>
      <c r="AH38" s="30">
        <v>2.6160000000000001</v>
      </c>
      <c r="AI38" s="30">
        <v>2.6190000000000002</v>
      </c>
      <c r="AJ38" s="30">
        <v>2.6190000000000002</v>
      </c>
      <c r="AK38" s="30">
        <v>2.6179999999999999</v>
      </c>
      <c r="AL38" s="30">
        <v>2.6150000000000002</v>
      </c>
      <c r="AM38" s="30">
        <v>2.6190000000000002</v>
      </c>
      <c r="AN38" s="30">
        <v>2.62</v>
      </c>
      <c r="AO38" s="30"/>
      <c r="AP38" s="30">
        <v>2.6320000000000001</v>
      </c>
      <c r="AQ38" s="30">
        <v>2.6070000000000002</v>
      </c>
      <c r="AR38" s="30">
        <v>2.6160000000000001</v>
      </c>
      <c r="AS38" s="30">
        <v>2.6110000000000002</v>
      </c>
      <c r="AT38" s="30">
        <v>2.6139999999999999</v>
      </c>
      <c r="AU38" s="30">
        <v>2.625</v>
      </c>
      <c r="AV38" s="30">
        <v>2.605</v>
      </c>
      <c r="AW38" s="30">
        <v>2.6259999999999999</v>
      </c>
      <c r="AX38" s="30"/>
      <c r="AY38" s="30"/>
      <c r="AZ38" s="30"/>
    </row>
    <row r="39" spans="1:52" ht="18" customHeight="1">
      <c r="A39" s="23"/>
      <c r="B39" s="12"/>
      <c r="C39" s="75" t="s">
        <v>65</v>
      </c>
      <c r="D39" s="35" t="s">
        <v>139</v>
      </c>
      <c r="E39" s="35"/>
      <c r="F39" s="29" t="s">
        <v>140</v>
      </c>
      <c r="G39" s="38">
        <v>2.5299999999999998</v>
      </c>
      <c r="H39" s="38">
        <v>0.08</v>
      </c>
      <c r="I39" s="38">
        <v>0.03</v>
      </c>
      <c r="J39" s="38">
        <v>0.08</v>
      </c>
      <c r="K39" s="38">
        <v>0.03</v>
      </c>
      <c r="L39" s="30">
        <f t="shared" si="0"/>
        <v>2.6349999999999998</v>
      </c>
      <c r="M39" s="30">
        <f t="shared" si="1"/>
        <v>2.605</v>
      </c>
      <c r="N39" s="30">
        <f t="shared" si="2"/>
        <v>2.9999999999999805E-2</v>
      </c>
      <c r="O39" s="31">
        <f t="shared" si="3"/>
        <v>2.6233103448275861</v>
      </c>
      <c r="P39" s="52"/>
      <c r="Q39" s="30">
        <v>2.617</v>
      </c>
      <c r="R39" s="30">
        <v>2.6349999999999998</v>
      </c>
      <c r="S39" s="30">
        <v>2.6309999999999998</v>
      </c>
      <c r="T39" s="30">
        <v>2.625</v>
      </c>
      <c r="U39" s="30">
        <v>2.6320000000000001</v>
      </c>
      <c r="V39" s="30">
        <v>2.62</v>
      </c>
      <c r="W39" s="30">
        <v>2.6240000000000001</v>
      </c>
      <c r="X39" s="30">
        <v>2.6219999999999999</v>
      </c>
      <c r="Y39" s="30">
        <v>2.6240000000000001</v>
      </c>
      <c r="Z39" s="30">
        <v>2.629</v>
      </c>
      <c r="AA39" s="30">
        <v>2.6240000000000001</v>
      </c>
      <c r="AB39" s="30">
        <v>2.625</v>
      </c>
      <c r="AC39" s="30">
        <v>2.6280000000000001</v>
      </c>
      <c r="AD39" s="30">
        <v>2.6230000000000002</v>
      </c>
      <c r="AE39" s="30">
        <v>2.6240000000000001</v>
      </c>
      <c r="AF39" s="30">
        <v>2.6219999999999999</v>
      </c>
      <c r="AG39" s="30">
        <v>2.625</v>
      </c>
      <c r="AH39" s="30">
        <v>2.625</v>
      </c>
      <c r="AI39" s="30">
        <v>2.6309999999999998</v>
      </c>
      <c r="AJ39" s="30">
        <v>2.633</v>
      </c>
      <c r="AK39" s="30">
        <v>2.621</v>
      </c>
      <c r="AL39" s="30">
        <v>2.617</v>
      </c>
      <c r="AM39" s="30">
        <v>2.6240000000000001</v>
      </c>
      <c r="AN39" s="30">
        <v>2.62</v>
      </c>
      <c r="AO39" s="30"/>
      <c r="AP39" s="30">
        <v>2.633</v>
      </c>
      <c r="AQ39" s="30">
        <v>2.605</v>
      </c>
      <c r="AR39" s="30">
        <v>2.613</v>
      </c>
      <c r="AS39" s="30">
        <v>2.609</v>
      </c>
      <c r="AT39" s="30">
        <v>2.6150000000000002</v>
      </c>
      <c r="AU39" s="30">
        <v>2.6190000000000002</v>
      </c>
      <c r="AV39" s="30">
        <v>2.5990000000000002</v>
      </c>
      <c r="AW39" s="30">
        <v>2.6219999999999999</v>
      </c>
      <c r="AX39" s="30"/>
      <c r="AY39" s="30"/>
      <c r="AZ39" s="30"/>
    </row>
    <row r="40" spans="1:52" ht="18" customHeight="1">
      <c r="A40" s="23"/>
      <c r="B40" s="12"/>
      <c r="C40" s="76" t="s">
        <v>77</v>
      </c>
      <c r="D40" s="35" t="s">
        <v>141</v>
      </c>
      <c r="E40" s="35" t="s">
        <v>455</v>
      </c>
      <c r="F40" s="29" t="s">
        <v>143</v>
      </c>
      <c r="G40" s="38"/>
      <c r="H40" s="38">
        <v>0.1</v>
      </c>
      <c r="I40" s="38"/>
      <c r="J40" s="38">
        <v>0.1</v>
      </c>
      <c r="K40" s="38"/>
      <c r="L40" s="30">
        <f t="shared" si="0"/>
        <v>7.5999999999999998E-2</v>
      </c>
      <c r="M40" s="30">
        <f t="shared" si="1"/>
        <v>5.3999999999999999E-2</v>
      </c>
      <c r="N40" s="30">
        <f t="shared" si="2"/>
        <v>2.1999999999999999E-2</v>
      </c>
      <c r="O40" s="31">
        <f t="shared" si="3"/>
        <v>6.2275862068965529E-2</v>
      </c>
      <c r="P40" s="52"/>
      <c r="Q40" s="30">
        <v>5.7000000000000002E-2</v>
      </c>
      <c r="R40" s="30">
        <v>7.5999999999999998E-2</v>
      </c>
      <c r="S40" s="30">
        <v>6.2E-2</v>
      </c>
      <c r="T40" s="30">
        <v>5.6000000000000001E-2</v>
      </c>
      <c r="U40" s="30">
        <v>6.0999999999999999E-2</v>
      </c>
      <c r="V40" s="30">
        <v>5.8000000000000003E-2</v>
      </c>
      <c r="W40" s="30">
        <v>7.0999999999999994E-2</v>
      </c>
      <c r="X40" s="30">
        <v>5.8999999999999997E-2</v>
      </c>
      <c r="Y40" s="30">
        <v>6.5000000000000002E-2</v>
      </c>
      <c r="Z40" s="30">
        <v>5.8999999999999997E-2</v>
      </c>
      <c r="AA40" s="30">
        <v>7.0999999999999994E-2</v>
      </c>
      <c r="AB40" s="30">
        <v>6.0999999999999999E-2</v>
      </c>
      <c r="AC40" s="30">
        <v>7.0000000000000007E-2</v>
      </c>
      <c r="AD40" s="30">
        <v>6.0999999999999999E-2</v>
      </c>
      <c r="AE40" s="30">
        <v>5.5E-2</v>
      </c>
      <c r="AF40" s="30">
        <v>6.0999999999999999E-2</v>
      </c>
      <c r="AG40" s="30">
        <v>6.4000000000000001E-2</v>
      </c>
      <c r="AH40" s="30">
        <v>6.6000000000000003E-2</v>
      </c>
      <c r="AI40" s="30">
        <v>5.6000000000000001E-2</v>
      </c>
      <c r="AJ40" s="30">
        <v>6.8000000000000005E-2</v>
      </c>
      <c r="AK40" s="30">
        <v>6.2E-2</v>
      </c>
      <c r="AL40" s="30">
        <v>6.6000000000000003E-2</v>
      </c>
      <c r="AM40" s="30">
        <v>6.4000000000000001E-2</v>
      </c>
      <c r="AN40" s="30">
        <v>6.3E-2</v>
      </c>
      <c r="AO40" s="30"/>
      <c r="AP40" s="30">
        <v>5.3999999999999999E-2</v>
      </c>
      <c r="AQ40" s="30">
        <v>5.8000000000000003E-2</v>
      </c>
      <c r="AR40" s="30">
        <v>6.6000000000000003E-2</v>
      </c>
      <c r="AS40" s="30">
        <v>5.8999999999999997E-2</v>
      </c>
      <c r="AT40" s="30">
        <v>5.7000000000000002E-2</v>
      </c>
      <c r="AU40" s="30">
        <v>0.06</v>
      </c>
      <c r="AV40" s="30">
        <v>5.7000000000000002E-2</v>
      </c>
      <c r="AW40" s="30">
        <v>0.05</v>
      </c>
      <c r="AX40" s="30"/>
      <c r="AY40" s="30"/>
      <c r="AZ40" s="30"/>
    </row>
    <row r="41" spans="1:52" ht="18" customHeight="1">
      <c r="A41" s="23"/>
      <c r="B41" s="12"/>
      <c r="C41" s="75" t="s">
        <v>65</v>
      </c>
      <c r="D41" s="35" t="s">
        <v>144</v>
      </c>
      <c r="E41" s="35"/>
      <c r="F41" s="29" t="s">
        <v>145</v>
      </c>
      <c r="G41" s="38">
        <v>2.48</v>
      </c>
      <c r="H41" s="38">
        <v>0.08</v>
      </c>
      <c r="I41" s="38">
        <v>0.03</v>
      </c>
      <c r="J41" s="38">
        <v>0.08</v>
      </c>
      <c r="K41" s="38">
        <v>0.03</v>
      </c>
      <c r="L41" s="30">
        <f t="shared" si="0"/>
        <v>2.5910000000000002</v>
      </c>
      <c r="M41" s="30">
        <f t="shared" si="1"/>
        <v>2.5630000000000002</v>
      </c>
      <c r="N41" s="30">
        <f t="shared" si="2"/>
        <v>2.8000000000000025E-2</v>
      </c>
      <c r="O41" s="31">
        <f t="shared" si="3"/>
        <v>2.5705862068965519</v>
      </c>
      <c r="P41" s="52"/>
      <c r="Q41" s="30">
        <v>2.5630000000000002</v>
      </c>
      <c r="R41" s="30">
        <v>2.569</v>
      </c>
      <c r="S41" s="30">
        <v>2.569</v>
      </c>
      <c r="T41" s="30">
        <v>2.5649999999999999</v>
      </c>
      <c r="U41" s="30">
        <v>2.5680000000000001</v>
      </c>
      <c r="V41" s="30">
        <v>2.5680000000000001</v>
      </c>
      <c r="W41" s="30">
        <v>2.5710000000000002</v>
      </c>
      <c r="X41" s="30">
        <v>2.5750000000000002</v>
      </c>
      <c r="Y41" s="30">
        <v>2.5720000000000001</v>
      </c>
      <c r="Z41" s="30">
        <v>2.57</v>
      </c>
      <c r="AA41" s="30">
        <v>2.573</v>
      </c>
      <c r="AB41" s="30">
        <v>2.5720000000000001</v>
      </c>
      <c r="AC41" s="30">
        <v>2.573</v>
      </c>
      <c r="AD41" s="30">
        <v>2.57</v>
      </c>
      <c r="AE41" s="30">
        <v>2.5670000000000002</v>
      </c>
      <c r="AF41" s="30">
        <v>2.5680000000000001</v>
      </c>
      <c r="AG41" s="30">
        <v>2.5720000000000001</v>
      </c>
      <c r="AH41" s="30">
        <v>2.5670000000000002</v>
      </c>
      <c r="AI41" s="30">
        <v>2.57</v>
      </c>
      <c r="AJ41" s="30">
        <v>2.5720000000000001</v>
      </c>
      <c r="AK41" s="30">
        <v>2.569</v>
      </c>
      <c r="AL41" s="30">
        <v>2.5659999999999998</v>
      </c>
      <c r="AM41" s="30">
        <v>2.5710000000000002</v>
      </c>
      <c r="AN41" s="30">
        <v>2.58</v>
      </c>
      <c r="AO41" s="30"/>
      <c r="AP41" s="30">
        <v>2.5910000000000002</v>
      </c>
      <c r="AQ41" s="30">
        <v>2.5640000000000001</v>
      </c>
      <c r="AR41" s="30">
        <v>2.5710000000000002</v>
      </c>
      <c r="AS41" s="30">
        <v>2.569</v>
      </c>
      <c r="AT41" s="30">
        <v>2.5720000000000001</v>
      </c>
      <c r="AU41" s="30">
        <v>2.5790000000000002</v>
      </c>
      <c r="AV41" s="30">
        <v>2.5609999999999999</v>
      </c>
      <c r="AW41" s="30">
        <v>2.58</v>
      </c>
      <c r="AX41" s="30"/>
      <c r="AY41" s="30"/>
      <c r="AZ41" s="30"/>
    </row>
    <row r="42" spans="1:52" ht="18" customHeight="1">
      <c r="A42" s="23"/>
      <c r="B42" s="12"/>
      <c r="C42" s="75" t="s">
        <v>65</v>
      </c>
      <c r="D42" s="35" t="s">
        <v>146</v>
      </c>
      <c r="E42" s="35"/>
      <c r="F42" s="29" t="s">
        <v>147</v>
      </c>
      <c r="G42" s="38">
        <v>2.48</v>
      </c>
      <c r="H42" s="38">
        <v>0.08</v>
      </c>
      <c r="I42" s="38">
        <v>0.03</v>
      </c>
      <c r="J42" s="38">
        <v>0.08</v>
      </c>
      <c r="K42" s="38">
        <v>0.03</v>
      </c>
      <c r="L42" s="30">
        <f t="shared" si="0"/>
        <v>2.5910000000000002</v>
      </c>
      <c r="M42" s="30">
        <f t="shared" si="1"/>
        <v>2.5630000000000002</v>
      </c>
      <c r="N42" s="30">
        <f t="shared" si="2"/>
        <v>2.8000000000000025E-2</v>
      </c>
      <c r="O42" s="31">
        <f t="shared" si="3"/>
        <v>2.572206896551724</v>
      </c>
      <c r="P42" s="52"/>
      <c r="Q42" s="30">
        <v>2.5649999999999999</v>
      </c>
      <c r="R42" s="30">
        <v>2.5720000000000001</v>
      </c>
      <c r="S42" s="30">
        <v>2.5710000000000002</v>
      </c>
      <c r="T42" s="30">
        <v>2.5680000000000001</v>
      </c>
      <c r="U42" s="30">
        <v>2.57</v>
      </c>
      <c r="V42" s="30">
        <v>2.57</v>
      </c>
      <c r="W42" s="30">
        <v>2.573</v>
      </c>
      <c r="X42" s="30">
        <v>2.5760000000000001</v>
      </c>
      <c r="Y42" s="30">
        <v>2.5739999999999998</v>
      </c>
      <c r="Z42" s="30">
        <v>2.5720000000000001</v>
      </c>
      <c r="AA42" s="30">
        <v>2.5750000000000002</v>
      </c>
      <c r="AB42" s="30">
        <v>2.5739999999999998</v>
      </c>
      <c r="AC42" s="30">
        <v>2.5750000000000002</v>
      </c>
      <c r="AD42" s="30">
        <v>2.573</v>
      </c>
      <c r="AE42" s="30">
        <v>2.569</v>
      </c>
      <c r="AF42" s="30">
        <v>2.57</v>
      </c>
      <c r="AG42" s="30">
        <v>2.5739999999999998</v>
      </c>
      <c r="AH42" s="30">
        <v>2.5680000000000001</v>
      </c>
      <c r="AI42" s="30">
        <v>2.5720000000000001</v>
      </c>
      <c r="AJ42" s="30">
        <v>2.573</v>
      </c>
      <c r="AK42" s="30">
        <v>2.5710000000000002</v>
      </c>
      <c r="AL42" s="30">
        <v>2.5680000000000001</v>
      </c>
      <c r="AM42" s="30">
        <v>2.5720000000000001</v>
      </c>
      <c r="AN42" s="30">
        <v>2.5790000000000002</v>
      </c>
      <c r="AO42" s="30"/>
      <c r="AP42" s="30">
        <v>2.5910000000000002</v>
      </c>
      <c r="AQ42" s="30">
        <v>2.5630000000000002</v>
      </c>
      <c r="AR42" s="30">
        <v>2.5720000000000001</v>
      </c>
      <c r="AS42" s="30">
        <v>2.57</v>
      </c>
      <c r="AT42" s="30">
        <v>2.5739999999999998</v>
      </c>
      <c r="AU42" s="30">
        <v>2.5790000000000002</v>
      </c>
      <c r="AV42" s="30">
        <v>2.5609999999999999</v>
      </c>
      <c r="AW42" s="30">
        <v>2.58</v>
      </c>
      <c r="AX42" s="30"/>
      <c r="AY42" s="30"/>
      <c r="AZ42" s="30"/>
    </row>
    <row r="43" spans="1:52" ht="18" customHeight="1">
      <c r="A43" s="23"/>
      <c r="B43" s="12"/>
      <c r="C43" s="75" t="s">
        <v>65</v>
      </c>
      <c r="D43" s="35" t="s">
        <v>456</v>
      </c>
      <c r="E43" s="35"/>
      <c r="F43" s="29" t="s">
        <v>149</v>
      </c>
      <c r="G43" s="38">
        <v>1.17</v>
      </c>
      <c r="H43" s="38">
        <v>0.05</v>
      </c>
      <c r="I43" s="38">
        <v>7.0000000000000007E-2</v>
      </c>
      <c r="J43" s="38">
        <v>0.05</v>
      </c>
      <c r="K43" s="38">
        <v>7.0000000000000007E-2</v>
      </c>
      <c r="L43" s="30">
        <f t="shared" si="0"/>
        <v>1.1539999999999999</v>
      </c>
      <c r="M43" s="30">
        <f t="shared" si="1"/>
        <v>1.1459999999999999</v>
      </c>
      <c r="N43" s="30">
        <f t="shared" si="2"/>
        <v>8.0000000000000071E-3</v>
      </c>
      <c r="O43" s="31">
        <f t="shared" si="3"/>
        <v>1.1499310344827587</v>
      </c>
      <c r="P43" s="52"/>
      <c r="Q43" s="30">
        <v>1.1499999999999999</v>
      </c>
      <c r="R43" s="30">
        <v>1.149</v>
      </c>
      <c r="S43" s="30">
        <v>1.151</v>
      </c>
      <c r="T43" s="30">
        <v>1.151</v>
      </c>
      <c r="U43" s="30">
        <v>1.151</v>
      </c>
      <c r="V43" s="30">
        <v>1.1479999999999999</v>
      </c>
      <c r="W43" s="30">
        <v>1.149</v>
      </c>
      <c r="X43" s="30">
        <v>1.1499999999999999</v>
      </c>
      <c r="Y43" s="30">
        <v>1.149</v>
      </c>
      <c r="Z43" s="30">
        <v>1.151</v>
      </c>
      <c r="AA43" s="30">
        <v>1.149</v>
      </c>
      <c r="AB43" s="30">
        <v>1.1499999999999999</v>
      </c>
      <c r="AC43" s="30">
        <v>1.1499999999999999</v>
      </c>
      <c r="AD43" s="30">
        <v>1.1499999999999999</v>
      </c>
      <c r="AE43" s="30">
        <v>1.1499999999999999</v>
      </c>
      <c r="AF43" s="30">
        <v>1.151</v>
      </c>
      <c r="AG43" s="30">
        <v>1.149</v>
      </c>
      <c r="AH43" s="30">
        <v>1.1479999999999999</v>
      </c>
      <c r="AI43" s="30">
        <v>1.1499999999999999</v>
      </c>
      <c r="AJ43" s="30">
        <v>1.1499999999999999</v>
      </c>
      <c r="AK43" s="30">
        <v>1.149</v>
      </c>
      <c r="AL43" s="30">
        <v>1.1459999999999999</v>
      </c>
      <c r="AM43" s="30">
        <v>1.147</v>
      </c>
      <c r="AN43" s="30">
        <v>1.1539999999999999</v>
      </c>
      <c r="AO43" s="30"/>
      <c r="AP43" s="30">
        <v>1.149</v>
      </c>
      <c r="AQ43" s="30">
        <v>1.153</v>
      </c>
      <c r="AR43" s="30">
        <v>1.151</v>
      </c>
      <c r="AS43" s="30">
        <v>1.149</v>
      </c>
      <c r="AT43" s="30">
        <v>1.1539999999999999</v>
      </c>
      <c r="AU43" s="30">
        <v>1.153</v>
      </c>
      <c r="AV43" s="30">
        <v>1.149</v>
      </c>
      <c r="AW43" s="30">
        <v>1.1499999999999999</v>
      </c>
      <c r="AX43" s="30"/>
      <c r="AY43" s="30"/>
      <c r="AZ43" s="30"/>
    </row>
    <row r="44" spans="1:52" ht="18" customHeight="1">
      <c r="A44" s="23"/>
      <c r="B44" s="12"/>
      <c r="C44" s="75" t="s">
        <v>65</v>
      </c>
      <c r="D44" s="35" t="s">
        <v>457</v>
      </c>
      <c r="E44" s="35"/>
      <c r="F44" s="29" t="s">
        <v>151</v>
      </c>
      <c r="G44" s="38">
        <v>1.17</v>
      </c>
      <c r="H44" s="38">
        <v>0.05</v>
      </c>
      <c r="I44" s="38">
        <v>7.0000000000000007E-2</v>
      </c>
      <c r="J44" s="38">
        <v>0.05</v>
      </c>
      <c r="K44" s="38">
        <v>7.0000000000000007E-2</v>
      </c>
      <c r="L44" s="30">
        <f t="shared" si="0"/>
        <v>1.155</v>
      </c>
      <c r="M44" s="30">
        <f t="shared" si="1"/>
        <v>1.147</v>
      </c>
      <c r="N44" s="30">
        <f t="shared" si="2"/>
        <v>8.0000000000000071E-3</v>
      </c>
      <c r="O44" s="31">
        <f t="shared" si="3"/>
        <v>1.1497586206896551</v>
      </c>
      <c r="P44" s="52"/>
      <c r="Q44" s="30">
        <v>1.1499999999999999</v>
      </c>
      <c r="R44" s="30">
        <v>1.151</v>
      </c>
      <c r="S44" s="30">
        <v>1.1479999999999999</v>
      </c>
      <c r="T44" s="30">
        <v>1.1479999999999999</v>
      </c>
      <c r="U44" s="30">
        <v>1.149</v>
      </c>
      <c r="V44" s="30">
        <v>1.1499999999999999</v>
      </c>
      <c r="W44" s="30">
        <v>1.1499999999999999</v>
      </c>
      <c r="X44" s="30">
        <v>1.1499999999999999</v>
      </c>
      <c r="Y44" s="30">
        <v>1.149</v>
      </c>
      <c r="Z44" s="30">
        <v>1.1499999999999999</v>
      </c>
      <c r="AA44" s="30">
        <v>1.149</v>
      </c>
      <c r="AB44" s="30">
        <v>1.149</v>
      </c>
      <c r="AC44" s="30">
        <v>1.149</v>
      </c>
      <c r="AD44" s="30">
        <v>1.1499999999999999</v>
      </c>
      <c r="AE44" s="30">
        <v>1.149</v>
      </c>
      <c r="AF44" s="30">
        <v>1.149</v>
      </c>
      <c r="AG44" s="30">
        <v>1.149</v>
      </c>
      <c r="AH44" s="30">
        <v>1.1479999999999999</v>
      </c>
      <c r="AI44" s="30">
        <v>1.1479999999999999</v>
      </c>
      <c r="AJ44" s="30">
        <v>1.1499999999999999</v>
      </c>
      <c r="AK44" s="30">
        <v>1.1479999999999999</v>
      </c>
      <c r="AL44" s="30">
        <v>1.147</v>
      </c>
      <c r="AM44" s="30">
        <v>1.1499999999999999</v>
      </c>
      <c r="AN44" s="30">
        <v>1.153</v>
      </c>
      <c r="AO44" s="30"/>
      <c r="AP44" s="30">
        <v>1.1519999999999999</v>
      </c>
      <c r="AQ44" s="30">
        <v>1.153</v>
      </c>
      <c r="AR44" s="30">
        <v>1.151</v>
      </c>
      <c r="AS44" s="30">
        <v>1.149</v>
      </c>
      <c r="AT44" s="30">
        <v>1.155</v>
      </c>
      <c r="AU44" s="30">
        <v>1.153</v>
      </c>
      <c r="AV44" s="30">
        <v>1.1499999999999999</v>
      </c>
      <c r="AW44" s="30">
        <v>1.149</v>
      </c>
      <c r="AX44" s="30"/>
      <c r="AY44" s="30"/>
      <c r="AZ44" s="30"/>
    </row>
    <row r="45" spans="1:52" ht="18" customHeight="1">
      <c r="A45" s="23"/>
      <c r="B45" s="12"/>
      <c r="C45" s="75" t="s">
        <v>65</v>
      </c>
      <c r="D45" s="35" t="s">
        <v>458</v>
      </c>
      <c r="E45" s="35"/>
      <c r="F45" s="29" t="s">
        <v>153</v>
      </c>
      <c r="G45" s="38">
        <v>1.17</v>
      </c>
      <c r="H45" s="38">
        <v>0.05</v>
      </c>
      <c r="I45" s="38">
        <v>7.0000000000000007E-2</v>
      </c>
      <c r="J45" s="38">
        <v>0.05</v>
      </c>
      <c r="K45" s="38">
        <v>7.0000000000000007E-2</v>
      </c>
      <c r="L45" s="30">
        <f t="shared" si="0"/>
        <v>1.151</v>
      </c>
      <c r="M45" s="30">
        <f t="shared" si="1"/>
        <v>1.1419999999999999</v>
      </c>
      <c r="N45" s="30">
        <f t="shared" si="2"/>
        <v>9.000000000000119E-3</v>
      </c>
      <c r="O45" s="31">
        <f t="shared" si="3"/>
        <v>1.1456551724137927</v>
      </c>
      <c r="P45" s="52"/>
      <c r="Q45" s="30">
        <v>1.1459999999999999</v>
      </c>
      <c r="R45" s="30">
        <v>1.1459999999999999</v>
      </c>
      <c r="S45" s="30">
        <v>1.145</v>
      </c>
      <c r="T45" s="30">
        <v>1.1439999999999999</v>
      </c>
      <c r="U45" s="30">
        <v>1.1459999999999999</v>
      </c>
      <c r="V45" s="30">
        <v>1.1459999999999999</v>
      </c>
      <c r="W45" s="30">
        <v>1.145</v>
      </c>
      <c r="X45" s="30">
        <v>1.145</v>
      </c>
      <c r="Y45" s="30">
        <v>1.1459999999999999</v>
      </c>
      <c r="Z45" s="30">
        <v>1.147</v>
      </c>
      <c r="AA45" s="30">
        <v>1.145</v>
      </c>
      <c r="AB45" s="30">
        <v>1.145</v>
      </c>
      <c r="AC45" s="30">
        <v>1.1459999999999999</v>
      </c>
      <c r="AD45" s="30">
        <v>1.145</v>
      </c>
      <c r="AE45" s="30">
        <v>1.1459999999999999</v>
      </c>
      <c r="AF45" s="30">
        <v>1.145</v>
      </c>
      <c r="AG45" s="30">
        <v>1.1439999999999999</v>
      </c>
      <c r="AH45" s="30">
        <v>1.1439999999999999</v>
      </c>
      <c r="AI45" s="30">
        <v>1.1419999999999999</v>
      </c>
      <c r="AJ45" s="30">
        <v>1.145</v>
      </c>
      <c r="AK45" s="30">
        <v>1.145</v>
      </c>
      <c r="AL45" s="30">
        <v>1.1439999999999999</v>
      </c>
      <c r="AM45" s="30">
        <v>1.1439999999999999</v>
      </c>
      <c r="AN45" s="30">
        <v>1.147</v>
      </c>
      <c r="AO45" s="30"/>
      <c r="AP45" s="30">
        <v>1.147</v>
      </c>
      <c r="AQ45" s="30">
        <v>1.1479999999999999</v>
      </c>
      <c r="AR45" s="30">
        <v>1.149</v>
      </c>
      <c r="AS45" s="30">
        <v>1.1459999999999999</v>
      </c>
      <c r="AT45" s="30">
        <v>1.151</v>
      </c>
      <c r="AU45" s="30">
        <v>1.147</v>
      </c>
      <c r="AV45" s="30">
        <v>1.147</v>
      </c>
      <c r="AW45" s="30">
        <v>1.147</v>
      </c>
      <c r="AX45" s="30"/>
      <c r="AY45" s="30"/>
      <c r="AZ45" s="30"/>
    </row>
    <row r="46" spans="1:52" ht="18" customHeight="1">
      <c r="A46" s="23"/>
      <c r="B46" s="12"/>
      <c r="C46" s="75" t="s">
        <v>65</v>
      </c>
      <c r="D46" s="35" t="s">
        <v>459</v>
      </c>
      <c r="E46" s="35"/>
      <c r="F46" s="29" t="s">
        <v>155</v>
      </c>
      <c r="G46" s="38">
        <v>1.17</v>
      </c>
      <c r="H46" s="38">
        <v>0.05</v>
      </c>
      <c r="I46" s="38">
        <v>7.0000000000000007E-2</v>
      </c>
      <c r="J46" s="38">
        <v>0.05</v>
      </c>
      <c r="K46" s="38">
        <v>7.0000000000000007E-2</v>
      </c>
      <c r="L46" s="30">
        <f t="shared" si="0"/>
        <v>1.1279999999999999</v>
      </c>
      <c r="M46" s="30">
        <f t="shared" si="1"/>
        <v>1.123</v>
      </c>
      <c r="N46" s="30">
        <f t="shared" si="2"/>
        <v>4.9999999999998934E-3</v>
      </c>
      <c r="O46" s="31">
        <f t="shared" si="3"/>
        <v>1.1255517241379311</v>
      </c>
      <c r="P46" s="52"/>
      <c r="Q46" s="30">
        <v>1.1259999999999999</v>
      </c>
      <c r="R46" s="30">
        <v>1.127</v>
      </c>
      <c r="S46" s="30">
        <v>1.1259999999999999</v>
      </c>
      <c r="T46" s="30">
        <v>1.127</v>
      </c>
      <c r="U46" s="30">
        <v>1.125</v>
      </c>
      <c r="V46" s="30">
        <v>1.125</v>
      </c>
      <c r="W46" s="30">
        <v>1.125</v>
      </c>
      <c r="X46" s="30">
        <v>1.125</v>
      </c>
      <c r="Y46" s="30">
        <v>1.125</v>
      </c>
      <c r="Z46" s="30">
        <v>1.1259999999999999</v>
      </c>
      <c r="AA46" s="30">
        <v>1.1240000000000001</v>
      </c>
      <c r="AB46" s="30">
        <v>1.125</v>
      </c>
      <c r="AC46" s="30">
        <v>1.125</v>
      </c>
      <c r="AD46" s="30">
        <v>1.125</v>
      </c>
      <c r="AE46" s="30">
        <v>1.125</v>
      </c>
      <c r="AF46" s="30">
        <v>1.1259999999999999</v>
      </c>
      <c r="AG46" s="30">
        <v>1.1259999999999999</v>
      </c>
      <c r="AH46" s="30">
        <v>1.1240000000000001</v>
      </c>
      <c r="AI46" s="30">
        <v>1.123</v>
      </c>
      <c r="AJ46" s="30">
        <v>1.127</v>
      </c>
      <c r="AK46" s="30">
        <v>1.1259999999999999</v>
      </c>
      <c r="AL46" s="30">
        <v>1.123</v>
      </c>
      <c r="AM46" s="30">
        <v>1.127</v>
      </c>
      <c r="AN46" s="30">
        <v>1.1259999999999999</v>
      </c>
      <c r="AO46" s="30"/>
      <c r="AP46" s="30">
        <v>1.1279999999999999</v>
      </c>
      <c r="AQ46" s="30">
        <v>1.125</v>
      </c>
      <c r="AR46" s="30">
        <v>1.1279999999999999</v>
      </c>
      <c r="AS46" s="30">
        <v>1.127</v>
      </c>
      <c r="AT46" s="30">
        <v>1.1240000000000001</v>
      </c>
      <c r="AU46" s="30">
        <v>1.125</v>
      </c>
      <c r="AV46" s="30">
        <v>1.127</v>
      </c>
      <c r="AW46" s="30">
        <v>1.1279999999999999</v>
      </c>
      <c r="AX46" s="30"/>
      <c r="AY46" s="30"/>
      <c r="AZ46" s="30"/>
    </row>
    <row r="47" spans="1:52" ht="18" customHeight="1">
      <c r="A47" s="23"/>
      <c r="B47" s="12"/>
      <c r="C47" s="75" t="s">
        <v>65</v>
      </c>
      <c r="D47" s="35" t="s">
        <v>460</v>
      </c>
      <c r="E47" s="35"/>
      <c r="F47" s="29" t="s">
        <v>157</v>
      </c>
      <c r="G47" s="38">
        <v>1.17</v>
      </c>
      <c r="H47" s="38">
        <v>0.05</v>
      </c>
      <c r="I47" s="38">
        <v>7.0000000000000007E-2</v>
      </c>
      <c r="J47" s="38">
        <v>0.05</v>
      </c>
      <c r="K47" s="38">
        <v>7.0000000000000007E-2</v>
      </c>
      <c r="L47" s="30">
        <f t="shared" si="0"/>
        <v>1.149</v>
      </c>
      <c r="M47" s="30">
        <f t="shared" si="1"/>
        <v>1.141</v>
      </c>
      <c r="N47" s="30">
        <f t="shared" si="2"/>
        <v>8.0000000000000071E-3</v>
      </c>
      <c r="O47" s="31">
        <f t="shared" si="3"/>
        <v>1.143896551724138</v>
      </c>
      <c r="P47" s="52"/>
      <c r="Q47" s="30">
        <v>1.143</v>
      </c>
      <c r="R47" s="30">
        <v>1.145</v>
      </c>
      <c r="S47" s="30">
        <v>1.145</v>
      </c>
      <c r="T47" s="30">
        <v>1.145</v>
      </c>
      <c r="U47" s="30">
        <v>1.1419999999999999</v>
      </c>
      <c r="V47" s="30">
        <v>1.141</v>
      </c>
      <c r="W47" s="30">
        <v>1.143</v>
      </c>
      <c r="X47" s="30">
        <v>1.1439999999999999</v>
      </c>
      <c r="Y47" s="30">
        <v>1.143</v>
      </c>
      <c r="Z47" s="30">
        <v>1.143</v>
      </c>
      <c r="AA47" s="30">
        <v>1.143</v>
      </c>
      <c r="AB47" s="30">
        <v>1.1439999999999999</v>
      </c>
      <c r="AC47" s="30">
        <v>1.1439999999999999</v>
      </c>
      <c r="AD47" s="30">
        <v>1.143</v>
      </c>
      <c r="AE47" s="30">
        <v>1.141</v>
      </c>
      <c r="AF47" s="30">
        <v>1.1419999999999999</v>
      </c>
      <c r="AG47" s="30">
        <v>1.143</v>
      </c>
      <c r="AH47" s="30">
        <v>1.143</v>
      </c>
      <c r="AI47" s="30">
        <v>1.141</v>
      </c>
      <c r="AJ47" s="30">
        <v>1.147</v>
      </c>
      <c r="AK47" s="30">
        <v>1.1439999999999999</v>
      </c>
      <c r="AL47" s="30">
        <v>1.143</v>
      </c>
      <c r="AM47" s="30">
        <v>1.143</v>
      </c>
      <c r="AN47" s="30">
        <v>1.1459999999999999</v>
      </c>
      <c r="AO47" s="30"/>
      <c r="AP47" s="30">
        <v>1.147</v>
      </c>
      <c r="AQ47" s="30">
        <v>1.147</v>
      </c>
      <c r="AR47" s="30">
        <v>1.143</v>
      </c>
      <c r="AS47" s="30">
        <v>1.149</v>
      </c>
      <c r="AT47" s="30">
        <v>1.1459999999999999</v>
      </c>
      <c r="AU47" s="30">
        <v>1.1479999999999999</v>
      </c>
      <c r="AV47" s="30">
        <v>1.1479999999999999</v>
      </c>
      <c r="AW47" s="30">
        <v>1.147</v>
      </c>
      <c r="AX47" s="30"/>
      <c r="AY47" s="30"/>
      <c r="AZ47" s="30"/>
    </row>
    <row r="48" spans="1:52" ht="18" customHeight="1">
      <c r="A48" s="23"/>
      <c r="B48" s="12"/>
      <c r="C48" s="75" t="s">
        <v>65</v>
      </c>
      <c r="D48" s="35" t="s">
        <v>461</v>
      </c>
      <c r="E48" s="35"/>
      <c r="F48" s="29" t="s">
        <v>159</v>
      </c>
      <c r="G48" s="38">
        <v>1.17</v>
      </c>
      <c r="H48" s="38">
        <v>0.05</v>
      </c>
      <c r="I48" s="38">
        <v>7.0000000000000007E-2</v>
      </c>
      <c r="J48" s="38">
        <v>0.05</v>
      </c>
      <c r="K48" s="38">
        <v>7.0000000000000007E-2</v>
      </c>
      <c r="L48" s="30">
        <f t="shared" si="0"/>
        <v>1.143</v>
      </c>
      <c r="M48" s="30">
        <f t="shared" si="1"/>
        <v>1.1359999999999999</v>
      </c>
      <c r="N48" s="30">
        <f t="shared" si="2"/>
        <v>7.0000000000001172E-3</v>
      </c>
      <c r="O48" s="31">
        <f t="shared" si="3"/>
        <v>1.1395517241379309</v>
      </c>
      <c r="P48" s="52"/>
      <c r="Q48" s="30">
        <v>1.1399999999999999</v>
      </c>
      <c r="R48" s="30">
        <v>1.1399999999999999</v>
      </c>
      <c r="S48" s="30">
        <v>1.1399999999999999</v>
      </c>
      <c r="T48" s="30">
        <v>1.141</v>
      </c>
      <c r="U48" s="30">
        <v>1.139</v>
      </c>
      <c r="V48" s="30">
        <v>1.1379999999999999</v>
      </c>
      <c r="W48" s="30">
        <v>1.1399999999999999</v>
      </c>
      <c r="X48" s="30">
        <v>1.1399999999999999</v>
      </c>
      <c r="Y48" s="30">
        <v>1.139</v>
      </c>
      <c r="Z48" s="30">
        <v>1.1379999999999999</v>
      </c>
      <c r="AA48" s="30">
        <v>1.1379999999999999</v>
      </c>
      <c r="AB48" s="30">
        <v>1.1399999999999999</v>
      </c>
      <c r="AC48" s="30">
        <v>1.1399999999999999</v>
      </c>
      <c r="AD48" s="30">
        <v>1.1399999999999999</v>
      </c>
      <c r="AE48" s="30">
        <v>1.139</v>
      </c>
      <c r="AF48" s="30">
        <v>1.1399999999999999</v>
      </c>
      <c r="AG48" s="30">
        <v>1.1419999999999999</v>
      </c>
      <c r="AH48" s="30">
        <v>1.137</v>
      </c>
      <c r="AI48" s="30">
        <v>1.1399999999999999</v>
      </c>
      <c r="AJ48" s="30">
        <v>1.143</v>
      </c>
      <c r="AK48" s="30">
        <v>1.1399999999999999</v>
      </c>
      <c r="AL48" s="30">
        <v>1.1359999999999999</v>
      </c>
      <c r="AM48" s="30">
        <v>1.139</v>
      </c>
      <c r="AN48" s="30">
        <v>1.141</v>
      </c>
      <c r="AO48" s="30"/>
      <c r="AP48" s="30">
        <v>1.1399999999999999</v>
      </c>
      <c r="AQ48" s="30">
        <v>1.1359999999999999</v>
      </c>
      <c r="AR48" s="30">
        <v>1.1419999999999999</v>
      </c>
      <c r="AS48" s="30">
        <v>1.141</v>
      </c>
      <c r="AT48" s="30">
        <v>1.1379999999999999</v>
      </c>
      <c r="AU48" s="30">
        <v>1.1399999999999999</v>
      </c>
      <c r="AV48" s="30">
        <v>1.141</v>
      </c>
      <c r="AW48" s="30">
        <v>1.141</v>
      </c>
      <c r="AX48" s="30"/>
      <c r="AY48" s="30"/>
      <c r="AZ48" s="30"/>
    </row>
    <row r="49" spans="1:52" ht="18" customHeight="1">
      <c r="A49" s="23"/>
      <c r="B49" s="12"/>
      <c r="C49" s="75" t="s">
        <v>65</v>
      </c>
      <c r="D49" s="35" t="s">
        <v>462</v>
      </c>
      <c r="E49" s="35"/>
      <c r="F49" s="29" t="s">
        <v>161</v>
      </c>
      <c r="G49" s="38">
        <v>1.17</v>
      </c>
      <c r="H49" s="38">
        <v>0.05</v>
      </c>
      <c r="I49" s="38">
        <v>7.0000000000000007E-2</v>
      </c>
      <c r="J49" s="38">
        <v>0.05</v>
      </c>
      <c r="K49" s="38">
        <v>7.0000000000000007E-2</v>
      </c>
      <c r="L49" s="30">
        <f t="shared" si="0"/>
        <v>1.1579999999999999</v>
      </c>
      <c r="M49" s="30">
        <f t="shared" si="1"/>
        <v>1.149</v>
      </c>
      <c r="N49" s="30">
        <f t="shared" si="2"/>
        <v>8.999999999999897E-3</v>
      </c>
      <c r="O49" s="31">
        <f t="shared" si="3"/>
        <v>1.1534137931034483</v>
      </c>
      <c r="P49" s="52"/>
      <c r="Q49" s="30">
        <v>1.155</v>
      </c>
      <c r="R49" s="30">
        <v>1.157</v>
      </c>
      <c r="S49" s="30">
        <v>1.153</v>
      </c>
      <c r="T49" s="30">
        <v>1.1539999999999999</v>
      </c>
      <c r="U49" s="30">
        <v>1.1519999999999999</v>
      </c>
      <c r="V49" s="30">
        <v>1.1519999999999999</v>
      </c>
      <c r="W49" s="30">
        <v>1.151</v>
      </c>
      <c r="X49" s="30">
        <v>1.1519999999999999</v>
      </c>
      <c r="Y49" s="30">
        <v>1.151</v>
      </c>
      <c r="Z49" s="30">
        <v>1.149</v>
      </c>
      <c r="AA49" s="30">
        <v>1.1519999999999999</v>
      </c>
      <c r="AB49" s="30">
        <v>1.153</v>
      </c>
      <c r="AC49" s="30">
        <v>1.151</v>
      </c>
      <c r="AD49" s="30">
        <v>1.153</v>
      </c>
      <c r="AE49" s="30">
        <v>1.155</v>
      </c>
      <c r="AF49" s="30">
        <v>1.153</v>
      </c>
      <c r="AG49" s="30">
        <v>1.157</v>
      </c>
      <c r="AH49" s="30">
        <v>1.1539999999999999</v>
      </c>
      <c r="AI49" s="30">
        <v>1.153</v>
      </c>
      <c r="AJ49" s="30">
        <v>1.157</v>
      </c>
      <c r="AK49" s="30">
        <v>1.1559999999999999</v>
      </c>
      <c r="AL49" s="30">
        <v>1.153</v>
      </c>
      <c r="AM49" s="30">
        <v>1.157</v>
      </c>
      <c r="AN49" s="30">
        <v>1.1579999999999999</v>
      </c>
      <c r="AO49" s="30"/>
      <c r="AP49" s="30">
        <v>1.151</v>
      </c>
      <c r="AQ49" s="30">
        <v>1.1499999999999999</v>
      </c>
      <c r="AR49" s="30">
        <v>1.1519999999999999</v>
      </c>
      <c r="AS49" s="30">
        <v>1.1539999999999999</v>
      </c>
      <c r="AT49" s="30">
        <v>1.1539999999999999</v>
      </c>
      <c r="AU49" s="30">
        <v>1.1519999999999999</v>
      </c>
      <c r="AV49" s="30">
        <v>1.153</v>
      </c>
      <c r="AW49" s="30">
        <v>1.153</v>
      </c>
      <c r="AX49" s="30"/>
      <c r="AY49" s="30"/>
      <c r="AZ49" s="30"/>
    </row>
    <row r="50" spans="1:52" ht="18" customHeight="1">
      <c r="A50" s="23"/>
      <c r="B50" s="12"/>
      <c r="C50" s="75" t="s">
        <v>65</v>
      </c>
      <c r="D50" s="35" t="s">
        <v>463</v>
      </c>
      <c r="E50" s="35"/>
      <c r="F50" s="29" t="s">
        <v>163</v>
      </c>
      <c r="G50" s="38">
        <v>1.17</v>
      </c>
      <c r="H50" s="38">
        <v>0.05</v>
      </c>
      <c r="I50" s="38">
        <v>7.0000000000000007E-2</v>
      </c>
      <c r="J50" s="38">
        <v>0.05</v>
      </c>
      <c r="K50" s="38">
        <v>7.0000000000000007E-2</v>
      </c>
      <c r="L50" s="30">
        <f t="shared" si="0"/>
        <v>1.1519999999999999</v>
      </c>
      <c r="M50" s="30">
        <f t="shared" si="1"/>
        <v>1.143</v>
      </c>
      <c r="N50" s="30">
        <f t="shared" si="2"/>
        <v>8.999999999999897E-3</v>
      </c>
      <c r="O50" s="31">
        <f t="shared" si="3"/>
        <v>1.1496551724137929</v>
      </c>
      <c r="P50" s="52"/>
      <c r="Q50" s="30">
        <v>1.151</v>
      </c>
      <c r="R50" s="30">
        <v>1.151</v>
      </c>
      <c r="S50" s="30">
        <v>1.151</v>
      </c>
      <c r="T50" s="30">
        <v>1.1519999999999999</v>
      </c>
      <c r="U50" s="30">
        <v>1.151</v>
      </c>
      <c r="V50" s="30">
        <v>1.151</v>
      </c>
      <c r="W50" s="30">
        <v>1.1479999999999999</v>
      </c>
      <c r="X50" s="30">
        <v>1.1499999999999999</v>
      </c>
      <c r="Y50" s="30">
        <v>1.149</v>
      </c>
      <c r="Z50" s="30">
        <v>1.1479999999999999</v>
      </c>
      <c r="AA50" s="30">
        <v>1.151</v>
      </c>
      <c r="AB50" s="30">
        <v>1.1499999999999999</v>
      </c>
      <c r="AC50" s="30">
        <v>1.149</v>
      </c>
      <c r="AD50" s="30">
        <v>1.151</v>
      </c>
      <c r="AE50" s="30">
        <v>1.1499999999999999</v>
      </c>
      <c r="AF50" s="30">
        <v>1.149</v>
      </c>
      <c r="AG50" s="30">
        <v>1.151</v>
      </c>
      <c r="AH50" s="30">
        <v>1.143</v>
      </c>
      <c r="AI50" s="30">
        <v>1.147</v>
      </c>
      <c r="AJ50" s="30">
        <v>1.1519999999999999</v>
      </c>
      <c r="AK50" s="30">
        <v>1.151</v>
      </c>
      <c r="AL50" s="30">
        <v>1.1459999999999999</v>
      </c>
      <c r="AM50" s="30">
        <v>1.1499999999999999</v>
      </c>
      <c r="AN50" s="30">
        <v>1.149</v>
      </c>
      <c r="AO50" s="30"/>
      <c r="AP50" s="30">
        <v>1.149</v>
      </c>
      <c r="AQ50" s="30">
        <v>1.1499999999999999</v>
      </c>
      <c r="AR50" s="30">
        <v>1.151</v>
      </c>
      <c r="AS50" s="30">
        <v>1.1499999999999999</v>
      </c>
      <c r="AT50" s="30">
        <v>1.149</v>
      </c>
      <c r="AU50" s="30">
        <v>1.151</v>
      </c>
      <c r="AV50" s="30">
        <v>1.153</v>
      </c>
      <c r="AW50" s="30">
        <v>1.1519999999999999</v>
      </c>
      <c r="AX50" s="30"/>
      <c r="AY50" s="30"/>
      <c r="AZ50" s="30"/>
    </row>
    <row r="51" spans="1:52" ht="18" customHeight="1">
      <c r="A51" s="23"/>
      <c r="B51" s="12"/>
      <c r="C51" s="75" t="s">
        <v>65</v>
      </c>
      <c r="D51" s="35" t="s">
        <v>464</v>
      </c>
      <c r="E51" s="35"/>
      <c r="F51" s="29" t="s">
        <v>165</v>
      </c>
      <c r="G51" s="38">
        <v>1.17</v>
      </c>
      <c r="H51" s="38">
        <v>0.05</v>
      </c>
      <c r="I51" s="38">
        <v>7.0000000000000007E-2</v>
      </c>
      <c r="J51" s="38">
        <v>0.05</v>
      </c>
      <c r="K51" s="38">
        <v>7.0000000000000007E-2</v>
      </c>
      <c r="L51" s="30">
        <f t="shared" si="0"/>
        <v>1.1870000000000001</v>
      </c>
      <c r="M51" s="30">
        <f t="shared" si="1"/>
        <v>1.1160000000000001</v>
      </c>
      <c r="N51" s="30">
        <f t="shared" si="2"/>
        <v>7.0999999999999952E-2</v>
      </c>
      <c r="O51" s="31">
        <f t="shared" si="3"/>
        <v>1.1514137931034483</v>
      </c>
      <c r="P51" s="52"/>
      <c r="Q51" s="30">
        <v>1.1339999999999999</v>
      </c>
      <c r="R51" s="30">
        <v>1.133</v>
      </c>
      <c r="S51" s="30">
        <v>1.135</v>
      </c>
      <c r="T51" s="30">
        <v>1.1779999999999999</v>
      </c>
      <c r="U51" s="30">
        <v>1.1339999999999999</v>
      </c>
      <c r="V51" s="30">
        <v>1.117</v>
      </c>
      <c r="W51" s="30">
        <v>1.1779999999999999</v>
      </c>
      <c r="X51" s="30">
        <v>1.1339999999999999</v>
      </c>
      <c r="Y51" s="30">
        <v>1.135</v>
      </c>
      <c r="Z51" s="30">
        <v>1.1299999999999999</v>
      </c>
      <c r="AA51" s="30">
        <v>1.18</v>
      </c>
      <c r="AB51" s="30">
        <v>1.18</v>
      </c>
      <c r="AC51" s="30">
        <v>1.179</v>
      </c>
      <c r="AD51" s="30">
        <v>1.135</v>
      </c>
      <c r="AE51" s="30">
        <v>1.179</v>
      </c>
      <c r="AF51" s="30">
        <v>1.1240000000000001</v>
      </c>
      <c r="AG51" s="30">
        <v>1.18</v>
      </c>
      <c r="AH51" s="30">
        <v>1.1779999999999999</v>
      </c>
      <c r="AI51" s="30">
        <v>1.1870000000000001</v>
      </c>
      <c r="AJ51" s="30">
        <v>1.18</v>
      </c>
      <c r="AK51" s="30">
        <v>1.18</v>
      </c>
      <c r="AL51" s="30">
        <v>1.1160000000000001</v>
      </c>
      <c r="AM51" s="30">
        <v>1.1339999999999999</v>
      </c>
      <c r="AN51" s="30">
        <v>1.133</v>
      </c>
      <c r="AO51" s="30"/>
      <c r="AP51" s="30">
        <v>1.133</v>
      </c>
      <c r="AQ51" s="30">
        <v>1.1830000000000001</v>
      </c>
      <c r="AR51" s="30">
        <v>1.1259999999999999</v>
      </c>
      <c r="AS51" s="30">
        <v>1.1519999999999999</v>
      </c>
      <c r="AT51" s="30">
        <v>1.1240000000000001</v>
      </c>
      <c r="AU51" s="30">
        <v>1.123</v>
      </c>
      <c r="AV51" s="30">
        <v>1.1830000000000001</v>
      </c>
      <c r="AW51" s="30">
        <v>1.177</v>
      </c>
      <c r="AX51" s="30"/>
      <c r="AY51" s="30"/>
      <c r="AZ51" s="30"/>
    </row>
    <row r="52" spans="1:52" ht="18" customHeight="1">
      <c r="A52" s="23"/>
      <c r="B52" s="12"/>
      <c r="C52" s="75" t="s">
        <v>65</v>
      </c>
      <c r="D52" s="35" t="s">
        <v>166</v>
      </c>
      <c r="E52" s="35"/>
      <c r="F52" s="29" t="s">
        <v>167</v>
      </c>
      <c r="G52" s="38">
        <v>1.17</v>
      </c>
      <c r="H52" s="38">
        <v>0.05</v>
      </c>
      <c r="I52" s="38">
        <v>7.0000000000000007E-2</v>
      </c>
      <c r="J52" s="38">
        <v>0.05</v>
      </c>
      <c r="K52" s="38">
        <v>7.0000000000000007E-2</v>
      </c>
      <c r="L52" s="30">
        <f t="shared" si="0"/>
        <v>1.1879999999999999</v>
      </c>
      <c r="M52" s="30">
        <f t="shared" si="1"/>
        <v>1.1359999999999999</v>
      </c>
      <c r="N52" s="30">
        <f t="shared" si="2"/>
        <v>5.2000000000000046E-2</v>
      </c>
      <c r="O52" s="31">
        <f t="shared" si="3"/>
        <v>1.1403448275862067</v>
      </c>
      <c r="P52" s="52"/>
      <c r="Q52" s="30">
        <v>1.1399999999999999</v>
      </c>
      <c r="R52" s="30">
        <v>1.1379999999999999</v>
      </c>
      <c r="S52" s="30">
        <v>1.139</v>
      </c>
      <c r="T52" s="30">
        <v>1.1379999999999999</v>
      </c>
      <c r="U52" s="30">
        <v>1.139</v>
      </c>
      <c r="V52" s="30">
        <v>1.139</v>
      </c>
      <c r="W52" s="30">
        <v>1.137</v>
      </c>
      <c r="X52" s="30">
        <v>1.1379999999999999</v>
      </c>
      <c r="Y52" s="30">
        <v>1.141</v>
      </c>
      <c r="Z52" s="30">
        <v>1.1379999999999999</v>
      </c>
      <c r="AA52" s="30">
        <v>1.139</v>
      </c>
      <c r="AB52" s="30">
        <v>1.1379999999999999</v>
      </c>
      <c r="AC52" s="30">
        <v>1.1399999999999999</v>
      </c>
      <c r="AD52" s="30">
        <v>1.139</v>
      </c>
      <c r="AE52" s="30">
        <v>1.1399999999999999</v>
      </c>
      <c r="AF52" s="30">
        <v>1.1379999999999999</v>
      </c>
      <c r="AG52" s="30">
        <v>1.141</v>
      </c>
      <c r="AH52" s="30">
        <v>1.139</v>
      </c>
      <c r="AI52" s="30">
        <v>1.1879999999999999</v>
      </c>
      <c r="AJ52" s="30">
        <v>1.139</v>
      </c>
      <c r="AK52" s="30">
        <v>1.1379999999999999</v>
      </c>
      <c r="AL52" s="30">
        <v>1.1379999999999999</v>
      </c>
      <c r="AM52" s="30">
        <v>1.137</v>
      </c>
      <c r="AN52" s="30">
        <v>1.1419999999999999</v>
      </c>
      <c r="AO52" s="30"/>
      <c r="AP52" s="30">
        <v>1.1359999999999999</v>
      </c>
      <c r="AQ52" s="30">
        <v>1.1359999999999999</v>
      </c>
      <c r="AR52" s="30">
        <v>1.141</v>
      </c>
      <c r="AS52" s="30">
        <v>1.1379999999999999</v>
      </c>
      <c r="AT52" s="30">
        <v>1.1359999999999999</v>
      </c>
      <c r="AU52" s="30">
        <v>1.143</v>
      </c>
      <c r="AV52" s="30">
        <v>1.141</v>
      </c>
      <c r="AW52" s="30">
        <v>1.139</v>
      </c>
      <c r="AX52" s="30"/>
      <c r="AY52" s="30"/>
      <c r="AZ52" s="30"/>
    </row>
    <row r="53" spans="1:52" ht="18" customHeight="1">
      <c r="A53" s="23"/>
      <c r="B53" s="12"/>
      <c r="C53" s="75" t="s">
        <v>65</v>
      </c>
      <c r="D53" s="35" t="s">
        <v>168</v>
      </c>
      <c r="E53" s="35"/>
      <c r="F53" s="29" t="s">
        <v>169</v>
      </c>
      <c r="G53" s="38">
        <v>1.17</v>
      </c>
      <c r="H53" s="38">
        <v>0.05</v>
      </c>
      <c r="I53" s="38">
        <v>7.0000000000000007E-2</v>
      </c>
      <c r="J53" s="38">
        <v>0.05</v>
      </c>
      <c r="K53" s="38">
        <v>7.0000000000000007E-2</v>
      </c>
      <c r="L53" s="30">
        <f t="shared" si="0"/>
        <v>1.147</v>
      </c>
      <c r="M53" s="30">
        <f t="shared" si="1"/>
        <v>1.135</v>
      </c>
      <c r="N53" s="30">
        <f t="shared" si="2"/>
        <v>1.2000000000000011E-2</v>
      </c>
      <c r="O53" s="31">
        <f t="shared" si="3"/>
        <v>1.1375862068965519</v>
      </c>
      <c r="P53" s="52"/>
      <c r="Q53" s="30">
        <v>1.137</v>
      </c>
      <c r="R53" s="30">
        <v>1.1359999999999999</v>
      </c>
      <c r="S53" s="30">
        <v>1.1359999999999999</v>
      </c>
      <c r="T53" s="30">
        <v>1.1359999999999999</v>
      </c>
      <c r="U53" s="30">
        <v>1.1359999999999999</v>
      </c>
      <c r="V53" s="30">
        <v>1.1379999999999999</v>
      </c>
      <c r="W53" s="30">
        <v>1.1359999999999999</v>
      </c>
      <c r="X53" s="30">
        <v>1.135</v>
      </c>
      <c r="Y53" s="30">
        <v>1.137</v>
      </c>
      <c r="Z53" s="30">
        <v>1.1359999999999999</v>
      </c>
      <c r="AA53" s="30">
        <v>1.1359999999999999</v>
      </c>
      <c r="AB53" s="30">
        <v>1.1359999999999999</v>
      </c>
      <c r="AC53" s="30">
        <v>1.1399999999999999</v>
      </c>
      <c r="AD53" s="30">
        <v>1.1379999999999999</v>
      </c>
      <c r="AE53" s="30">
        <v>1.1359999999999999</v>
      </c>
      <c r="AF53" s="30">
        <v>1.137</v>
      </c>
      <c r="AG53" s="30">
        <v>1.137</v>
      </c>
      <c r="AH53" s="30">
        <v>1.135</v>
      </c>
      <c r="AI53" s="30">
        <v>1.1359999999999999</v>
      </c>
      <c r="AJ53" s="30">
        <v>1.137</v>
      </c>
      <c r="AK53" s="30">
        <v>1.137</v>
      </c>
      <c r="AL53" s="30">
        <v>1.1359999999999999</v>
      </c>
      <c r="AM53" s="30">
        <v>1.135</v>
      </c>
      <c r="AN53" s="30">
        <v>1.1399999999999999</v>
      </c>
      <c r="AO53" s="30"/>
      <c r="AP53" s="30">
        <v>1.1459999999999999</v>
      </c>
      <c r="AQ53" s="30">
        <v>1.139</v>
      </c>
      <c r="AR53" s="30">
        <v>1.1439999999999999</v>
      </c>
      <c r="AS53" s="30">
        <v>1.147</v>
      </c>
      <c r="AT53" s="30">
        <v>1.135</v>
      </c>
      <c r="AU53" s="30">
        <v>1.137</v>
      </c>
      <c r="AV53" s="30">
        <v>1.1439999999999999</v>
      </c>
      <c r="AW53" s="30">
        <v>1.1419999999999999</v>
      </c>
      <c r="AX53" s="30"/>
      <c r="AY53" s="30"/>
      <c r="AZ53" s="30"/>
    </row>
    <row r="54" spans="1:52" ht="18" customHeight="1">
      <c r="A54" s="23"/>
      <c r="B54" s="12"/>
      <c r="C54" s="75" t="s">
        <v>65</v>
      </c>
      <c r="D54" s="35" t="s">
        <v>170</v>
      </c>
      <c r="E54" s="35"/>
      <c r="F54" s="29" t="s">
        <v>171</v>
      </c>
      <c r="G54" s="38">
        <v>1.17</v>
      </c>
      <c r="H54" s="38">
        <v>0.05</v>
      </c>
      <c r="I54" s="38">
        <v>7.0000000000000007E-2</v>
      </c>
      <c r="J54" s="38">
        <v>0.05</v>
      </c>
      <c r="K54" s="38">
        <v>7.0000000000000007E-2</v>
      </c>
      <c r="L54" s="30">
        <f t="shared" si="0"/>
        <v>1.1399999999999999</v>
      </c>
      <c r="M54" s="30">
        <f t="shared" si="1"/>
        <v>1.129</v>
      </c>
      <c r="N54" s="30">
        <f t="shared" si="2"/>
        <v>1.0999999999999899E-2</v>
      </c>
      <c r="O54" s="31">
        <f t="shared" si="3"/>
        <v>1.1343793103448276</v>
      </c>
      <c r="P54" s="52"/>
      <c r="Q54" s="30">
        <v>1.133</v>
      </c>
      <c r="R54" s="30">
        <v>1.133</v>
      </c>
      <c r="S54" s="30">
        <v>1.1339999999999999</v>
      </c>
      <c r="T54" s="30">
        <v>1.1319999999999999</v>
      </c>
      <c r="U54" s="30">
        <v>1.135</v>
      </c>
      <c r="V54" s="30">
        <v>1.135</v>
      </c>
      <c r="W54" s="30">
        <v>1.1339999999999999</v>
      </c>
      <c r="X54" s="30">
        <v>1.133</v>
      </c>
      <c r="Y54" s="30">
        <v>1.1359999999999999</v>
      </c>
      <c r="Z54" s="30">
        <v>1.131</v>
      </c>
      <c r="AA54" s="30">
        <v>1.1319999999999999</v>
      </c>
      <c r="AB54" s="30">
        <v>1.135</v>
      </c>
      <c r="AC54" s="30">
        <v>1.1359999999999999</v>
      </c>
      <c r="AD54" s="30">
        <v>1.1359999999999999</v>
      </c>
      <c r="AE54" s="30">
        <v>1.135</v>
      </c>
      <c r="AF54" s="30">
        <v>1.1359999999999999</v>
      </c>
      <c r="AG54" s="30">
        <v>1.133</v>
      </c>
      <c r="AH54" s="30">
        <v>1.1319999999999999</v>
      </c>
      <c r="AI54" s="30">
        <v>1.133</v>
      </c>
      <c r="AJ54" s="30">
        <v>1.135</v>
      </c>
      <c r="AK54" s="30">
        <v>1.1339999999999999</v>
      </c>
      <c r="AL54" s="30">
        <v>1.1319999999999999</v>
      </c>
      <c r="AM54" s="30">
        <v>1.1339999999999999</v>
      </c>
      <c r="AN54" s="30">
        <v>1.1379999999999999</v>
      </c>
      <c r="AO54" s="30"/>
      <c r="AP54" s="30">
        <v>1.1359999999999999</v>
      </c>
      <c r="AQ54" s="30">
        <v>1.137</v>
      </c>
      <c r="AR54" s="30">
        <v>1.1379999999999999</v>
      </c>
      <c r="AS54" s="30">
        <v>1.1399999999999999</v>
      </c>
      <c r="AT54" s="30">
        <v>1.129</v>
      </c>
      <c r="AU54" s="30">
        <v>1.135</v>
      </c>
      <c r="AV54" s="30">
        <v>1.137</v>
      </c>
      <c r="AW54" s="30">
        <v>1.139</v>
      </c>
      <c r="AX54" s="30"/>
      <c r="AY54" s="30"/>
      <c r="AZ54" s="30"/>
    </row>
    <row r="55" spans="1:52" ht="18" customHeight="1">
      <c r="A55" s="23"/>
      <c r="B55" s="12"/>
      <c r="C55" s="75" t="s">
        <v>65</v>
      </c>
      <c r="D55" s="35" t="s">
        <v>172</v>
      </c>
      <c r="E55" s="35"/>
      <c r="F55" s="29" t="s">
        <v>173</v>
      </c>
      <c r="G55" s="38">
        <v>1.17</v>
      </c>
      <c r="H55" s="38">
        <v>0.05</v>
      </c>
      <c r="I55" s="38">
        <v>7.0000000000000007E-2</v>
      </c>
      <c r="J55" s="38">
        <v>0.05</v>
      </c>
      <c r="K55" s="38">
        <v>7.0000000000000007E-2</v>
      </c>
      <c r="L55" s="30">
        <f t="shared" si="0"/>
        <v>1.147</v>
      </c>
      <c r="M55" s="30">
        <f t="shared" si="1"/>
        <v>1.139</v>
      </c>
      <c r="N55" s="30">
        <f t="shared" si="2"/>
        <v>8.0000000000000071E-3</v>
      </c>
      <c r="O55" s="31">
        <f t="shared" si="3"/>
        <v>1.1425862068965513</v>
      </c>
      <c r="P55" s="52"/>
      <c r="Q55" s="30">
        <v>1.139</v>
      </c>
      <c r="R55" s="30">
        <v>1.1419999999999999</v>
      </c>
      <c r="S55" s="30">
        <v>1.143</v>
      </c>
      <c r="T55" s="30">
        <v>1.143</v>
      </c>
      <c r="U55" s="30">
        <v>1.1419999999999999</v>
      </c>
      <c r="V55" s="30">
        <v>1.143</v>
      </c>
      <c r="W55" s="30">
        <v>1.1419999999999999</v>
      </c>
      <c r="X55" s="30">
        <v>1.143</v>
      </c>
      <c r="Y55" s="30">
        <v>1.1439999999999999</v>
      </c>
      <c r="Z55" s="30">
        <v>1.1399999999999999</v>
      </c>
      <c r="AA55" s="30">
        <v>1.1399999999999999</v>
      </c>
      <c r="AB55" s="30">
        <v>1.1439999999999999</v>
      </c>
      <c r="AC55" s="30">
        <v>1.143</v>
      </c>
      <c r="AD55" s="30">
        <v>1.143</v>
      </c>
      <c r="AE55" s="30">
        <v>1.143</v>
      </c>
      <c r="AF55" s="30">
        <v>1.143</v>
      </c>
      <c r="AG55" s="30">
        <v>1.1419999999999999</v>
      </c>
      <c r="AH55" s="30">
        <v>1.141</v>
      </c>
      <c r="AI55" s="30">
        <v>1.141</v>
      </c>
      <c r="AJ55" s="30">
        <v>1.143</v>
      </c>
      <c r="AK55" s="30">
        <v>1.141</v>
      </c>
      <c r="AL55" s="30">
        <v>1.1399999999999999</v>
      </c>
      <c r="AM55" s="30">
        <v>1.141</v>
      </c>
      <c r="AN55" s="30">
        <v>1.1459999999999999</v>
      </c>
      <c r="AO55" s="30"/>
      <c r="AP55" s="30">
        <v>1.1439999999999999</v>
      </c>
      <c r="AQ55" s="30">
        <v>1.1439999999999999</v>
      </c>
      <c r="AR55" s="30">
        <v>1.145</v>
      </c>
      <c r="AS55" s="30">
        <v>1.147</v>
      </c>
      <c r="AT55" s="30">
        <v>1.143</v>
      </c>
      <c r="AU55" s="30">
        <v>1.145</v>
      </c>
      <c r="AV55" s="30">
        <v>1.1459999999999999</v>
      </c>
      <c r="AW55" s="30">
        <v>1.147</v>
      </c>
      <c r="AX55" s="30"/>
      <c r="AY55" s="30"/>
      <c r="AZ55" s="30"/>
    </row>
    <row r="56" spans="1:52" ht="18" customHeight="1">
      <c r="A56" s="23"/>
      <c r="B56" s="12"/>
      <c r="C56" s="75" t="s">
        <v>65</v>
      </c>
      <c r="D56" s="35" t="s">
        <v>174</v>
      </c>
      <c r="E56" s="35"/>
      <c r="F56" s="29" t="s">
        <v>175</v>
      </c>
      <c r="G56" s="38">
        <v>1.17</v>
      </c>
      <c r="H56" s="38">
        <v>0.05</v>
      </c>
      <c r="I56" s="38">
        <v>7.0000000000000007E-2</v>
      </c>
      <c r="J56" s="38">
        <v>0.05</v>
      </c>
      <c r="K56" s="38">
        <v>7.0000000000000007E-2</v>
      </c>
      <c r="L56" s="30">
        <f t="shared" si="0"/>
        <v>1.1599999999999999</v>
      </c>
      <c r="M56" s="30">
        <f t="shared" si="1"/>
        <v>1.1519999999999999</v>
      </c>
      <c r="N56" s="30">
        <f t="shared" si="2"/>
        <v>8.0000000000000071E-3</v>
      </c>
      <c r="O56" s="31">
        <f t="shared" si="3"/>
        <v>1.155103448275862</v>
      </c>
      <c r="P56" s="52"/>
      <c r="Q56" s="30">
        <v>1.1519999999999999</v>
      </c>
      <c r="R56" s="30">
        <v>1.1539999999999999</v>
      </c>
      <c r="S56" s="30">
        <v>1.1539999999999999</v>
      </c>
      <c r="T56" s="30">
        <v>1.1539999999999999</v>
      </c>
      <c r="U56" s="30">
        <v>1.155</v>
      </c>
      <c r="V56" s="30">
        <v>1.1559999999999999</v>
      </c>
      <c r="W56" s="30">
        <v>1.153</v>
      </c>
      <c r="X56" s="30">
        <v>1.1539999999999999</v>
      </c>
      <c r="Y56" s="30">
        <v>1.157</v>
      </c>
      <c r="Z56" s="30">
        <v>1.1539999999999999</v>
      </c>
      <c r="AA56" s="30">
        <v>1.1539999999999999</v>
      </c>
      <c r="AB56" s="30">
        <v>1.157</v>
      </c>
      <c r="AC56" s="30">
        <v>1.1559999999999999</v>
      </c>
      <c r="AD56" s="30">
        <v>1.155</v>
      </c>
      <c r="AE56" s="30">
        <v>1.1539999999999999</v>
      </c>
      <c r="AF56" s="30">
        <v>1.1539999999999999</v>
      </c>
      <c r="AG56" s="30">
        <v>1.155</v>
      </c>
      <c r="AH56" s="30">
        <v>1.155</v>
      </c>
      <c r="AI56" s="30">
        <v>1.1539999999999999</v>
      </c>
      <c r="AJ56" s="30">
        <v>1.157</v>
      </c>
      <c r="AK56" s="30">
        <v>1.1539999999999999</v>
      </c>
      <c r="AL56" s="30">
        <v>1.1539999999999999</v>
      </c>
      <c r="AM56" s="30">
        <v>1.1559999999999999</v>
      </c>
      <c r="AN56" s="30">
        <v>1.159</v>
      </c>
      <c r="AO56" s="30"/>
      <c r="AP56" s="30">
        <v>1.157</v>
      </c>
      <c r="AQ56" s="30">
        <v>1.155</v>
      </c>
      <c r="AR56" s="30">
        <v>1.157</v>
      </c>
      <c r="AS56" s="30">
        <v>1.1599999999999999</v>
      </c>
      <c r="AT56" s="30">
        <v>1.1519999999999999</v>
      </c>
      <c r="AU56" s="30">
        <v>1.1579999999999999</v>
      </c>
      <c r="AV56" s="30">
        <v>1.157</v>
      </c>
      <c r="AW56" s="30">
        <v>1.1559999999999999</v>
      </c>
      <c r="AX56" s="30"/>
      <c r="AY56" s="30"/>
      <c r="AZ56" s="30"/>
    </row>
    <row r="57" spans="1:52" ht="18" customHeight="1">
      <c r="A57" s="23"/>
      <c r="B57" s="12"/>
      <c r="C57" s="75" t="s">
        <v>65</v>
      </c>
      <c r="D57" s="35" t="s">
        <v>176</v>
      </c>
      <c r="E57" s="35"/>
      <c r="F57" s="29" t="s">
        <v>177</v>
      </c>
      <c r="G57" s="38">
        <v>0.84</v>
      </c>
      <c r="H57" s="38">
        <v>0.05</v>
      </c>
      <c r="I57" s="38">
        <v>0.05</v>
      </c>
      <c r="J57" s="38">
        <v>0.05</v>
      </c>
      <c r="K57" s="38">
        <v>0.05</v>
      </c>
      <c r="L57" s="30">
        <f t="shared" si="0"/>
        <v>0.82699999999999996</v>
      </c>
      <c r="M57" s="30">
        <f t="shared" si="1"/>
        <v>0.82399999999999995</v>
      </c>
      <c r="N57" s="30">
        <f t="shared" si="2"/>
        <v>3.0000000000000027E-3</v>
      </c>
      <c r="O57" s="31">
        <f t="shared" si="3"/>
        <v>0.82596551724137957</v>
      </c>
      <c r="P57" s="52"/>
      <c r="Q57" s="30">
        <v>0.82599999999999996</v>
      </c>
      <c r="R57" s="30">
        <v>0.82599999999999996</v>
      </c>
      <c r="S57" s="30">
        <v>0.82699999999999996</v>
      </c>
      <c r="T57" s="30">
        <v>0.82599999999999996</v>
      </c>
      <c r="U57" s="30">
        <v>0.82599999999999996</v>
      </c>
      <c r="V57" s="30">
        <v>0.82699999999999996</v>
      </c>
      <c r="W57" s="30">
        <v>0.82599999999999996</v>
      </c>
      <c r="X57" s="30">
        <v>0.82599999999999996</v>
      </c>
      <c r="Y57" s="30">
        <v>0.82599999999999996</v>
      </c>
      <c r="Z57" s="30">
        <v>0.82599999999999996</v>
      </c>
      <c r="AA57" s="30">
        <v>0.82599999999999996</v>
      </c>
      <c r="AB57" s="30">
        <v>0.82599999999999996</v>
      </c>
      <c r="AC57" s="30">
        <v>0.82599999999999996</v>
      </c>
      <c r="AD57" s="30">
        <v>0.82599999999999996</v>
      </c>
      <c r="AE57" s="30">
        <v>0.82599999999999996</v>
      </c>
      <c r="AF57" s="30">
        <v>0.82599999999999996</v>
      </c>
      <c r="AG57" s="30">
        <v>0.82599999999999996</v>
      </c>
      <c r="AH57" s="30">
        <v>0.82599999999999996</v>
      </c>
      <c r="AI57" s="30">
        <v>0.82699999999999996</v>
      </c>
      <c r="AJ57" s="30">
        <v>0.82699999999999996</v>
      </c>
      <c r="AK57" s="30">
        <v>0.82599999999999996</v>
      </c>
      <c r="AL57" s="30">
        <v>0.82599999999999996</v>
      </c>
      <c r="AM57" s="30">
        <v>0.82599999999999996</v>
      </c>
      <c r="AN57" s="30">
        <v>0.82599999999999996</v>
      </c>
      <c r="AO57" s="30"/>
      <c r="AP57" s="30">
        <v>0.82399999999999995</v>
      </c>
      <c r="AQ57" s="30">
        <v>0.82399999999999995</v>
      </c>
      <c r="AR57" s="30">
        <v>0.82599999999999996</v>
      </c>
      <c r="AS57" s="30">
        <v>0.82599999999999996</v>
      </c>
      <c r="AT57" s="30">
        <v>0.82499999999999996</v>
      </c>
      <c r="AU57" s="30">
        <v>0.82499999999999996</v>
      </c>
      <c r="AV57" s="30">
        <v>0.82399999999999995</v>
      </c>
      <c r="AW57" s="30">
        <v>0.82499999999999996</v>
      </c>
      <c r="AX57" s="30"/>
      <c r="AY57" s="30"/>
      <c r="AZ57" s="30"/>
    </row>
    <row r="58" spans="1:52" ht="18" customHeight="1">
      <c r="A58" s="23"/>
      <c r="B58" s="12"/>
      <c r="C58" s="75" t="s">
        <v>65</v>
      </c>
      <c r="D58" s="35" t="s">
        <v>178</v>
      </c>
      <c r="E58" s="35"/>
      <c r="F58" s="29" t="s">
        <v>179</v>
      </c>
      <c r="G58" s="38">
        <v>0.84</v>
      </c>
      <c r="H58" s="38">
        <v>0.05</v>
      </c>
      <c r="I58" s="38">
        <v>0.05</v>
      </c>
      <c r="J58" s="38">
        <v>0.05</v>
      </c>
      <c r="K58" s="38">
        <v>0.05</v>
      </c>
      <c r="L58" s="30">
        <f t="shared" si="0"/>
        <v>0.86199999999999999</v>
      </c>
      <c r="M58" s="30">
        <f t="shared" si="1"/>
        <v>0.85899999999999999</v>
      </c>
      <c r="N58" s="30">
        <f t="shared" si="2"/>
        <v>3.0000000000000027E-3</v>
      </c>
      <c r="O58" s="31">
        <f t="shared" si="3"/>
        <v>0.86089655172413782</v>
      </c>
      <c r="P58" s="52"/>
      <c r="Q58" s="30">
        <v>0.86099999999999999</v>
      </c>
      <c r="R58" s="30">
        <v>0.86</v>
      </c>
      <c r="S58" s="30">
        <v>0.85899999999999999</v>
      </c>
      <c r="T58" s="30">
        <v>0.86099999999999999</v>
      </c>
      <c r="U58" s="30">
        <v>0.86</v>
      </c>
      <c r="V58" s="30">
        <v>0.86099999999999999</v>
      </c>
      <c r="W58" s="30">
        <v>0.86099999999999999</v>
      </c>
      <c r="X58" s="30">
        <v>0.86099999999999999</v>
      </c>
      <c r="Y58" s="30">
        <v>0.86099999999999999</v>
      </c>
      <c r="Z58" s="30">
        <v>0.86199999999999999</v>
      </c>
      <c r="AA58" s="30">
        <v>0.86099999999999999</v>
      </c>
      <c r="AB58" s="30">
        <v>0.86099999999999999</v>
      </c>
      <c r="AC58" s="30">
        <v>0.86</v>
      </c>
      <c r="AD58" s="30">
        <v>0.86199999999999999</v>
      </c>
      <c r="AE58" s="30">
        <v>0.86199999999999999</v>
      </c>
      <c r="AF58" s="30">
        <v>0.86099999999999999</v>
      </c>
      <c r="AG58" s="30">
        <v>0.86199999999999999</v>
      </c>
      <c r="AH58" s="30">
        <v>0.86099999999999999</v>
      </c>
      <c r="AI58" s="30">
        <v>0.85899999999999999</v>
      </c>
      <c r="AJ58" s="30">
        <v>0.86</v>
      </c>
      <c r="AK58" s="30">
        <v>0.86199999999999999</v>
      </c>
      <c r="AL58" s="30">
        <v>0.86099999999999999</v>
      </c>
      <c r="AM58" s="30">
        <v>0.86099999999999999</v>
      </c>
      <c r="AN58" s="30">
        <v>0.86</v>
      </c>
      <c r="AO58" s="30"/>
      <c r="AP58" s="30">
        <v>0.86199999999999999</v>
      </c>
      <c r="AQ58" s="30">
        <v>0.86099999999999999</v>
      </c>
      <c r="AR58" s="30">
        <v>0.86199999999999999</v>
      </c>
      <c r="AS58" s="30">
        <v>0.86099999999999999</v>
      </c>
      <c r="AT58" s="30">
        <v>0.86</v>
      </c>
      <c r="AU58" s="30">
        <v>0.86099999999999999</v>
      </c>
      <c r="AV58" s="30">
        <v>0.86099999999999999</v>
      </c>
      <c r="AW58" s="30">
        <v>0.86</v>
      </c>
      <c r="AX58" s="30"/>
      <c r="AY58" s="30"/>
      <c r="AZ58" s="30"/>
    </row>
    <row r="59" spans="1:52" ht="18" customHeight="1">
      <c r="A59" s="23"/>
      <c r="B59" s="12"/>
      <c r="C59" s="75" t="s">
        <v>65</v>
      </c>
      <c r="D59" s="35" t="s">
        <v>180</v>
      </c>
      <c r="E59" s="35"/>
      <c r="F59" s="29" t="s">
        <v>181</v>
      </c>
      <c r="G59" s="38">
        <v>0.84</v>
      </c>
      <c r="H59" s="38">
        <v>0.05</v>
      </c>
      <c r="I59" s="38">
        <v>0.05</v>
      </c>
      <c r="J59" s="38">
        <v>0.05</v>
      </c>
      <c r="K59" s="38">
        <v>0.05</v>
      </c>
      <c r="L59" s="30">
        <f t="shared" si="0"/>
        <v>0.85899999999999999</v>
      </c>
      <c r="M59" s="30">
        <f t="shared" si="1"/>
        <v>0.85499999999999998</v>
      </c>
      <c r="N59" s="30">
        <f t="shared" si="2"/>
        <v>4.0000000000000036E-3</v>
      </c>
      <c r="O59" s="31">
        <f t="shared" si="3"/>
        <v>0.85672413793103463</v>
      </c>
      <c r="P59" s="52"/>
      <c r="Q59" s="30">
        <v>0.85699999999999998</v>
      </c>
      <c r="R59" s="30">
        <v>0.85699999999999998</v>
      </c>
      <c r="S59" s="30">
        <v>0.85599999999999998</v>
      </c>
      <c r="T59" s="30">
        <v>0.85599999999999998</v>
      </c>
      <c r="U59" s="30">
        <v>0.85599999999999998</v>
      </c>
      <c r="V59" s="30">
        <v>0.85599999999999998</v>
      </c>
      <c r="W59" s="30">
        <v>0.85599999999999998</v>
      </c>
      <c r="X59" s="30">
        <v>0.85699999999999998</v>
      </c>
      <c r="Y59" s="30">
        <v>0.85599999999999998</v>
      </c>
      <c r="Z59" s="30">
        <v>0.85799999999999998</v>
      </c>
      <c r="AA59" s="30">
        <v>0.85799999999999998</v>
      </c>
      <c r="AB59" s="30">
        <v>0.85699999999999998</v>
      </c>
      <c r="AC59" s="30">
        <v>0.85599999999999998</v>
      </c>
      <c r="AD59" s="30">
        <v>0.85699999999999998</v>
      </c>
      <c r="AE59" s="30">
        <v>0.85799999999999998</v>
      </c>
      <c r="AF59" s="30">
        <v>0.85699999999999998</v>
      </c>
      <c r="AG59" s="30">
        <v>0.85699999999999998</v>
      </c>
      <c r="AH59" s="30">
        <v>0.85799999999999998</v>
      </c>
      <c r="AI59" s="30">
        <v>0.85699999999999998</v>
      </c>
      <c r="AJ59" s="30">
        <v>0.85599999999999998</v>
      </c>
      <c r="AK59" s="30">
        <v>0.85599999999999998</v>
      </c>
      <c r="AL59" s="30">
        <v>0.85899999999999999</v>
      </c>
      <c r="AM59" s="30">
        <v>0.85799999999999998</v>
      </c>
      <c r="AN59" s="30">
        <v>0.85799999999999998</v>
      </c>
      <c r="AO59" s="30"/>
      <c r="AP59" s="30">
        <v>0.85499999999999998</v>
      </c>
      <c r="AQ59" s="30">
        <v>0.85599999999999998</v>
      </c>
      <c r="AR59" s="30">
        <v>0.85599999999999998</v>
      </c>
      <c r="AS59" s="30">
        <v>0.85499999999999998</v>
      </c>
      <c r="AT59" s="30">
        <v>0.85599999999999998</v>
      </c>
      <c r="AU59" s="30">
        <v>0.85499999999999998</v>
      </c>
      <c r="AV59" s="30">
        <v>0.85599999999999998</v>
      </c>
      <c r="AW59" s="30">
        <v>0.85499999999999998</v>
      </c>
      <c r="AX59" s="30"/>
      <c r="AY59" s="30"/>
      <c r="AZ59" s="30"/>
    </row>
    <row r="60" spans="1:52" ht="18" customHeight="1">
      <c r="A60" s="23"/>
      <c r="B60" s="12"/>
      <c r="C60" s="75" t="s">
        <v>65</v>
      </c>
      <c r="D60" s="35" t="s">
        <v>182</v>
      </c>
      <c r="E60" s="35"/>
      <c r="F60" s="29" t="s">
        <v>183</v>
      </c>
      <c r="G60" s="38">
        <v>0.84</v>
      </c>
      <c r="H60" s="38">
        <v>0.05</v>
      </c>
      <c r="I60" s="38">
        <v>0.05</v>
      </c>
      <c r="J60" s="38">
        <v>0.05</v>
      </c>
      <c r="K60" s="38">
        <v>0.05</v>
      </c>
      <c r="L60" s="30">
        <f t="shared" si="0"/>
        <v>0.84899999999999998</v>
      </c>
      <c r="M60" s="30">
        <f t="shared" si="1"/>
        <v>0.84499999999999997</v>
      </c>
      <c r="N60" s="30">
        <f t="shared" si="2"/>
        <v>4.0000000000000036E-3</v>
      </c>
      <c r="O60" s="31">
        <f t="shared" si="3"/>
        <v>0.84793103448275875</v>
      </c>
      <c r="P60" s="52"/>
      <c r="Q60" s="30">
        <v>0.84799999999999998</v>
      </c>
      <c r="R60" s="30">
        <v>0.84799999999999998</v>
      </c>
      <c r="S60" s="30">
        <v>0.84499999999999997</v>
      </c>
      <c r="T60" s="30">
        <v>0.84799999999999998</v>
      </c>
      <c r="U60" s="30">
        <v>0.84699999999999998</v>
      </c>
      <c r="V60" s="30">
        <v>0.84699999999999998</v>
      </c>
      <c r="W60" s="30">
        <v>0.84799999999999998</v>
      </c>
      <c r="X60" s="30">
        <v>0.84699999999999998</v>
      </c>
      <c r="Y60" s="30">
        <v>0.84699999999999998</v>
      </c>
      <c r="Z60" s="30">
        <v>0.84899999999999998</v>
      </c>
      <c r="AA60" s="30">
        <v>0.84799999999999998</v>
      </c>
      <c r="AB60" s="30">
        <v>0.84899999999999998</v>
      </c>
      <c r="AC60" s="30">
        <v>0.84799999999999998</v>
      </c>
      <c r="AD60" s="30">
        <v>0.84899999999999998</v>
      </c>
      <c r="AE60" s="30">
        <v>0.84799999999999998</v>
      </c>
      <c r="AF60" s="30">
        <v>0.84799999999999998</v>
      </c>
      <c r="AG60" s="30">
        <v>0.84799999999999998</v>
      </c>
      <c r="AH60" s="30">
        <v>0.84899999999999998</v>
      </c>
      <c r="AI60" s="30">
        <v>0.84899999999999998</v>
      </c>
      <c r="AJ60" s="30">
        <v>0.84699999999999998</v>
      </c>
      <c r="AK60" s="30">
        <v>0.84899999999999998</v>
      </c>
      <c r="AL60" s="30">
        <v>0.84899999999999998</v>
      </c>
      <c r="AM60" s="30">
        <v>0.84899999999999998</v>
      </c>
      <c r="AN60" s="30">
        <v>0.84799999999999998</v>
      </c>
      <c r="AO60" s="30"/>
      <c r="AP60" s="30">
        <v>0.84699999999999998</v>
      </c>
      <c r="AQ60" s="30">
        <v>0.84799999999999998</v>
      </c>
      <c r="AR60" s="30">
        <v>0.84799999999999998</v>
      </c>
      <c r="AS60" s="30">
        <v>0.84699999999999998</v>
      </c>
      <c r="AT60" s="30">
        <v>0.84799999999999998</v>
      </c>
      <c r="AU60" s="30">
        <v>0.84799999999999998</v>
      </c>
      <c r="AV60" s="30">
        <v>0.84699999999999998</v>
      </c>
      <c r="AW60" s="30">
        <v>0.84599999999999997</v>
      </c>
      <c r="AX60" s="30"/>
      <c r="AY60" s="30"/>
      <c r="AZ60" s="30"/>
    </row>
    <row r="61" spans="1:52" ht="18" customHeight="1">
      <c r="A61" s="23"/>
      <c r="B61" s="12"/>
      <c r="C61" s="78" t="s">
        <v>115</v>
      </c>
      <c r="D61" s="35" t="s">
        <v>184</v>
      </c>
      <c r="E61" s="35"/>
      <c r="F61" s="29" t="s">
        <v>185</v>
      </c>
      <c r="G61" s="38">
        <v>2.14</v>
      </c>
      <c r="H61" s="38">
        <v>0.03</v>
      </c>
      <c r="I61" s="38">
        <v>0.03</v>
      </c>
      <c r="J61" s="38">
        <v>0.03</v>
      </c>
      <c r="K61" s="38">
        <v>0.03</v>
      </c>
      <c r="L61" s="30">
        <f t="shared" si="0"/>
        <v>2.1379999999999999</v>
      </c>
      <c r="M61" s="30">
        <f t="shared" si="1"/>
        <v>2.12</v>
      </c>
      <c r="N61" s="30">
        <f t="shared" si="2"/>
        <v>1.7999999999999794E-2</v>
      </c>
      <c r="O61" s="31">
        <f t="shared" si="3"/>
        <v>2.1308620689655173</v>
      </c>
      <c r="P61" s="52"/>
      <c r="Q61" s="30">
        <v>2.1339999999999999</v>
      </c>
      <c r="R61" s="30">
        <v>2.1320000000000001</v>
      </c>
      <c r="S61" s="30">
        <v>2.1309999999999998</v>
      </c>
      <c r="T61" s="30">
        <v>2.13</v>
      </c>
      <c r="U61" s="30">
        <v>2.1349999999999998</v>
      </c>
      <c r="V61" s="30">
        <v>2.1379999999999999</v>
      </c>
      <c r="W61" s="30">
        <v>2.1339999999999999</v>
      </c>
      <c r="X61" s="30">
        <v>2.129</v>
      </c>
      <c r="Y61" s="30">
        <v>2.129</v>
      </c>
      <c r="Z61" s="30">
        <v>2.129</v>
      </c>
      <c r="AA61" s="30">
        <v>2.1269999999999998</v>
      </c>
      <c r="AB61" s="30">
        <v>2.1320000000000001</v>
      </c>
      <c r="AC61" s="30">
        <v>2.1320000000000001</v>
      </c>
      <c r="AD61" s="30">
        <v>2.13</v>
      </c>
      <c r="AE61" s="30">
        <v>2.13</v>
      </c>
      <c r="AF61" s="30">
        <v>2.1280000000000001</v>
      </c>
      <c r="AG61" s="30">
        <v>2.1280000000000001</v>
      </c>
      <c r="AH61" s="30">
        <v>2.1309999999999998</v>
      </c>
      <c r="AI61" s="30">
        <v>2.1339999999999999</v>
      </c>
      <c r="AJ61" s="30">
        <v>2.1280000000000001</v>
      </c>
      <c r="AK61" s="30">
        <v>2.1360000000000001</v>
      </c>
      <c r="AL61" s="30">
        <v>2.1320000000000001</v>
      </c>
      <c r="AM61" s="30">
        <v>2.1339999999999999</v>
      </c>
      <c r="AN61" s="30">
        <v>2.1269999999999998</v>
      </c>
      <c r="AO61" s="30"/>
      <c r="AP61" s="30">
        <v>2.12</v>
      </c>
      <c r="AQ61" s="30">
        <v>2.1320000000000001</v>
      </c>
      <c r="AR61" s="30">
        <v>2.1339999999999999</v>
      </c>
      <c r="AS61" s="30">
        <v>2.129</v>
      </c>
      <c r="AT61" s="30">
        <v>2.13</v>
      </c>
      <c r="AU61" s="30">
        <v>2.1259999999999999</v>
      </c>
      <c r="AV61" s="30">
        <v>2.1269999999999998</v>
      </c>
      <c r="AW61" s="30">
        <v>2.1280000000000001</v>
      </c>
      <c r="AX61" s="30"/>
      <c r="AY61" s="30"/>
      <c r="AZ61" s="30"/>
    </row>
    <row r="62" spans="1:52" ht="18" customHeight="1">
      <c r="A62" s="23"/>
      <c r="B62" s="12"/>
      <c r="C62" s="78" t="s">
        <v>115</v>
      </c>
      <c r="D62" s="35" t="s">
        <v>186</v>
      </c>
      <c r="E62" s="35"/>
      <c r="F62" s="29" t="s">
        <v>187</v>
      </c>
      <c r="G62" s="38">
        <v>2.14</v>
      </c>
      <c r="H62" s="38">
        <v>0.03</v>
      </c>
      <c r="I62" s="38">
        <v>0.03</v>
      </c>
      <c r="J62" s="38">
        <v>0.03</v>
      </c>
      <c r="K62" s="38">
        <v>0.03</v>
      </c>
      <c r="L62" s="30">
        <f t="shared" si="0"/>
        <v>2.15</v>
      </c>
      <c r="M62" s="30">
        <f t="shared" si="1"/>
        <v>2.1139999999999999</v>
      </c>
      <c r="N62" s="30">
        <f t="shared" si="2"/>
        <v>3.6000000000000032E-2</v>
      </c>
      <c r="O62" s="31">
        <f t="shared" si="3"/>
        <v>2.1340689655172418</v>
      </c>
      <c r="P62" s="52"/>
      <c r="Q62" s="30">
        <v>2.1459999999999999</v>
      </c>
      <c r="R62" s="30">
        <v>2.1389999999999998</v>
      </c>
      <c r="S62" s="30">
        <v>2.14</v>
      </c>
      <c r="T62" s="30">
        <v>2.1379999999999999</v>
      </c>
      <c r="U62" s="30">
        <v>2.1389999999999998</v>
      </c>
      <c r="V62" s="30">
        <v>2.1419999999999999</v>
      </c>
      <c r="W62" s="30">
        <v>2.137</v>
      </c>
      <c r="X62" s="30">
        <v>2.1280000000000001</v>
      </c>
      <c r="Y62" s="30">
        <v>2.1309999999999998</v>
      </c>
      <c r="Z62" s="30">
        <v>2.1339999999999999</v>
      </c>
      <c r="AA62" s="30">
        <v>2.1269999999999998</v>
      </c>
      <c r="AB62" s="30">
        <v>2.1339999999999999</v>
      </c>
      <c r="AC62" s="30">
        <v>2.13</v>
      </c>
      <c r="AD62" s="30">
        <v>2.129</v>
      </c>
      <c r="AE62" s="30">
        <v>2.1320000000000001</v>
      </c>
      <c r="AF62" s="30">
        <v>2.1339999999999999</v>
      </c>
      <c r="AG62" s="30">
        <v>2.1280000000000001</v>
      </c>
      <c r="AH62" s="30">
        <v>2.1280000000000001</v>
      </c>
      <c r="AI62" s="30">
        <v>2.13</v>
      </c>
      <c r="AJ62" s="30">
        <v>2.13</v>
      </c>
      <c r="AK62" s="30">
        <v>2.133</v>
      </c>
      <c r="AL62" s="30">
        <v>2.15</v>
      </c>
      <c r="AM62" s="30">
        <v>2.1419999999999999</v>
      </c>
      <c r="AN62" s="30">
        <v>2.1280000000000001</v>
      </c>
      <c r="AO62" s="30"/>
      <c r="AP62" s="30">
        <v>2.1139999999999999</v>
      </c>
      <c r="AQ62" s="30">
        <v>2.14</v>
      </c>
      <c r="AR62" s="30">
        <v>2.1389999999999998</v>
      </c>
      <c r="AS62" s="30">
        <v>2.1320000000000001</v>
      </c>
      <c r="AT62" s="30">
        <v>2.1339999999999999</v>
      </c>
      <c r="AU62" s="30">
        <v>2.1179999999999999</v>
      </c>
      <c r="AV62" s="30">
        <v>2.1309999999999998</v>
      </c>
      <c r="AW62" s="30">
        <v>2.1320000000000001</v>
      </c>
      <c r="AX62" s="30"/>
      <c r="AY62" s="30"/>
      <c r="AZ62" s="30"/>
    </row>
    <row r="63" spans="1:52" ht="18" customHeight="1">
      <c r="A63" s="23"/>
      <c r="B63" s="12"/>
      <c r="C63" s="78" t="s">
        <v>115</v>
      </c>
      <c r="D63" s="35" t="s">
        <v>188</v>
      </c>
      <c r="E63" s="35"/>
      <c r="F63" s="29" t="s">
        <v>189</v>
      </c>
      <c r="G63" s="38">
        <v>2.14</v>
      </c>
      <c r="H63" s="38">
        <v>0.03</v>
      </c>
      <c r="I63" s="38">
        <v>0.03</v>
      </c>
      <c r="J63" s="38">
        <v>0.03</v>
      </c>
      <c r="K63" s="38">
        <v>0.03</v>
      </c>
      <c r="L63" s="30">
        <f t="shared" si="0"/>
        <v>2.1629999999999998</v>
      </c>
      <c r="M63" s="30">
        <f t="shared" si="1"/>
        <v>2.1520000000000001</v>
      </c>
      <c r="N63" s="30">
        <f t="shared" si="2"/>
        <v>1.0999999999999677E-2</v>
      </c>
      <c r="O63" s="31">
        <f t="shared" si="3"/>
        <v>2.1573448275862068</v>
      </c>
      <c r="P63" s="52"/>
      <c r="Q63" s="30">
        <v>2.161</v>
      </c>
      <c r="R63" s="30">
        <v>2.1549999999999998</v>
      </c>
      <c r="S63" s="30">
        <v>2.1589999999999998</v>
      </c>
      <c r="T63" s="30">
        <v>2.1539999999999999</v>
      </c>
      <c r="U63" s="30">
        <v>2.1619999999999999</v>
      </c>
      <c r="V63" s="30">
        <v>2.1629999999999998</v>
      </c>
      <c r="W63" s="30">
        <v>2.161</v>
      </c>
      <c r="X63" s="30">
        <v>2.1560000000000001</v>
      </c>
      <c r="Y63" s="30">
        <v>2.1579999999999999</v>
      </c>
      <c r="Z63" s="30">
        <v>2.16</v>
      </c>
      <c r="AA63" s="30">
        <v>2.1549999999999998</v>
      </c>
      <c r="AB63" s="30">
        <v>2.161</v>
      </c>
      <c r="AC63" s="30">
        <v>2.157</v>
      </c>
      <c r="AD63" s="30">
        <v>2.1579999999999999</v>
      </c>
      <c r="AE63" s="30">
        <v>2.1589999999999998</v>
      </c>
      <c r="AF63" s="30">
        <v>2.1629999999999998</v>
      </c>
      <c r="AG63" s="30">
        <v>2.157</v>
      </c>
      <c r="AH63" s="30">
        <v>2.1560000000000001</v>
      </c>
      <c r="AI63" s="30">
        <v>2.1579999999999999</v>
      </c>
      <c r="AJ63" s="30">
        <v>2.1560000000000001</v>
      </c>
      <c r="AK63" s="30">
        <v>2.161</v>
      </c>
      <c r="AL63" s="30">
        <v>2.1549999999999998</v>
      </c>
      <c r="AM63" s="30">
        <v>2.153</v>
      </c>
      <c r="AN63" s="30">
        <v>2.1549999999999998</v>
      </c>
      <c r="AO63" s="30"/>
      <c r="AP63" s="30">
        <v>2.157</v>
      </c>
      <c r="AQ63" s="30">
        <v>2.1520000000000001</v>
      </c>
      <c r="AR63" s="30">
        <v>2.153</v>
      </c>
      <c r="AS63" s="30">
        <v>2.1560000000000001</v>
      </c>
      <c r="AT63" s="30">
        <v>2.1520000000000001</v>
      </c>
      <c r="AU63" s="30">
        <v>2.125</v>
      </c>
      <c r="AV63" s="30">
        <v>2.1539999999999999</v>
      </c>
      <c r="AW63" s="30">
        <v>2.1509999999999998</v>
      </c>
      <c r="AX63" s="30"/>
      <c r="AY63" s="30"/>
      <c r="AZ63" s="30"/>
    </row>
    <row r="64" spans="1:52" ht="18" customHeight="1">
      <c r="A64" s="23"/>
      <c r="B64" s="12"/>
      <c r="C64" s="78" t="s">
        <v>115</v>
      </c>
      <c r="D64" s="35" t="s">
        <v>190</v>
      </c>
      <c r="E64" s="35"/>
      <c r="F64" s="29" t="s">
        <v>191</v>
      </c>
      <c r="G64" s="38">
        <v>2.14</v>
      </c>
      <c r="H64" s="38">
        <v>0.03</v>
      </c>
      <c r="I64" s="38">
        <v>0.03</v>
      </c>
      <c r="J64" s="38">
        <v>0.03</v>
      </c>
      <c r="K64" s="38">
        <v>0.03</v>
      </c>
      <c r="L64" s="30">
        <f t="shared" si="0"/>
        <v>2.1619999999999999</v>
      </c>
      <c r="M64" s="30">
        <f t="shared" si="1"/>
        <v>2.1480000000000001</v>
      </c>
      <c r="N64" s="30">
        <f t="shared" si="2"/>
        <v>1.399999999999979E-2</v>
      </c>
      <c r="O64" s="31">
        <f t="shared" si="3"/>
        <v>2.1553793103448271</v>
      </c>
      <c r="P64" s="52"/>
      <c r="Q64" s="30">
        <v>2.1619999999999999</v>
      </c>
      <c r="R64" s="30">
        <v>2.157</v>
      </c>
      <c r="S64" s="30">
        <v>2.1589999999999998</v>
      </c>
      <c r="T64" s="30">
        <v>2.1560000000000001</v>
      </c>
      <c r="U64" s="30">
        <v>2.1589999999999998</v>
      </c>
      <c r="V64" s="30">
        <v>2.16</v>
      </c>
      <c r="W64" s="30">
        <v>2.157</v>
      </c>
      <c r="X64" s="30">
        <v>2.1549999999999998</v>
      </c>
      <c r="Y64" s="30">
        <v>2.1539999999999999</v>
      </c>
      <c r="Z64" s="30">
        <v>2.153</v>
      </c>
      <c r="AA64" s="30">
        <v>2.153</v>
      </c>
      <c r="AB64" s="30">
        <v>2.157</v>
      </c>
      <c r="AC64" s="30">
        <v>2.1560000000000001</v>
      </c>
      <c r="AD64" s="30">
        <v>2.1560000000000001</v>
      </c>
      <c r="AE64" s="30">
        <v>2.1560000000000001</v>
      </c>
      <c r="AF64" s="30">
        <v>2.1579999999999999</v>
      </c>
      <c r="AG64" s="30">
        <v>2.1539999999999999</v>
      </c>
      <c r="AH64" s="30">
        <v>2.1539999999999999</v>
      </c>
      <c r="AI64" s="30">
        <v>2.1560000000000001</v>
      </c>
      <c r="AJ64" s="30">
        <v>2.153</v>
      </c>
      <c r="AK64" s="30">
        <v>2.1579999999999999</v>
      </c>
      <c r="AL64" s="30">
        <v>2.1560000000000001</v>
      </c>
      <c r="AM64" s="30">
        <v>2.1539999999999999</v>
      </c>
      <c r="AN64" s="30">
        <v>2.1509999999999998</v>
      </c>
      <c r="AO64" s="30"/>
      <c r="AP64" s="30">
        <v>2.1480000000000001</v>
      </c>
      <c r="AQ64" s="30">
        <v>2.153</v>
      </c>
      <c r="AR64" s="30">
        <v>2.1549999999999998</v>
      </c>
      <c r="AS64" s="30">
        <v>2.1539999999999999</v>
      </c>
      <c r="AT64" s="30">
        <v>2.1520000000000001</v>
      </c>
      <c r="AU64" s="30">
        <v>2.15</v>
      </c>
      <c r="AV64" s="30">
        <v>2.153</v>
      </c>
      <c r="AW64" s="30">
        <v>2.15</v>
      </c>
      <c r="AX64" s="30"/>
      <c r="AY64" s="30"/>
      <c r="AZ64" s="30"/>
    </row>
    <row r="65" spans="1:52" ht="18" customHeight="1">
      <c r="A65" s="23"/>
      <c r="B65" s="12"/>
      <c r="C65" s="75" t="s">
        <v>65</v>
      </c>
      <c r="D65" s="35" t="s">
        <v>192</v>
      </c>
      <c r="E65" s="35"/>
      <c r="F65" s="29" t="s">
        <v>193</v>
      </c>
      <c r="G65" s="38">
        <v>78.16</v>
      </c>
      <c r="H65" s="38">
        <v>0.1</v>
      </c>
      <c r="I65" s="38">
        <v>0.1</v>
      </c>
      <c r="J65" s="38">
        <v>0.1</v>
      </c>
      <c r="K65" s="38">
        <v>0.1</v>
      </c>
      <c r="L65" s="30">
        <f t="shared" si="0"/>
        <v>78.180000000000007</v>
      </c>
      <c r="M65" s="30">
        <f t="shared" si="1"/>
        <v>78.123000000000005</v>
      </c>
      <c r="N65" s="30">
        <f t="shared" si="2"/>
        <v>5.700000000000216E-2</v>
      </c>
      <c r="O65" s="31">
        <f t="shared" si="3"/>
        <v>78.144379310344846</v>
      </c>
      <c r="P65" s="52"/>
      <c r="Q65" s="30">
        <v>78.134</v>
      </c>
      <c r="R65" s="30">
        <v>78.135999999999996</v>
      </c>
      <c r="S65" s="30">
        <v>78.141000000000005</v>
      </c>
      <c r="T65" s="30">
        <v>78.13</v>
      </c>
      <c r="U65" s="30">
        <v>78.131</v>
      </c>
      <c r="V65" s="30">
        <v>78.147000000000006</v>
      </c>
      <c r="W65" s="30">
        <v>78.135000000000005</v>
      </c>
      <c r="X65" s="30">
        <v>78.144999999999996</v>
      </c>
      <c r="Y65" s="30">
        <v>78.146000000000001</v>
      </c>
      <c r="Z65" s="30">
        <v>78.147000000000006</v>
      </c>
      <c r="AA65" s="30">
        <v>78.153000000000006</v>
      </c>
      <c r="AB65" s="30">
        <v>78.147000000000006</v>
      </c>
      <c r="AC65" s="30">
        <v>78.150999999999996</v>
      </c>
      <c r="AD65" s="30">
        <v>78.150000000000006</v>
      </c>
      <c r="AE65" s="30">
        <v>78.146000000000001</v>
      </c>
      <c r="AF65" s="30">
        <v>78.147000000000006</v>
      </c>
      <c r="AG65" s="30">
        <v>78.152000000000001</v>
      </c>
      <c r="AH65" s="30">
        <v>78.128</v>
      </c>
      <c r="AI65" s="30">
        <v>78.123000000000005</v>
      </c>
      <c r="AJ65" s="30">
        <v>78.134</v>
      </c>
      <c r="AK65" s="30">
        <v>78.125</v>
      </c>
      <c r="AL65" s="30">
        <v>78.129000000000005</v>
      </c>
      <c r="AM65" s="30">
        <v>78.132999999999996</v>
      </c>
      <c r="AN65" s="30">
        <v>78.180000000000007</v>
      </c>
      <c r="AO65" s="30"/>
      <c r="AP65" s="30">
        <v>78.16</v>
      </c>
      <c r="AQ65" s="30">
        <v>78.146000000000001</v>
      </c>
      <c r="AR65" s="30">
        <v>78.156999999999996</v>
      </c>
      <c r="AS65" s="30">
        <v>78.177000000000007</v>
      </c>
      <c r="AT65" s="30">
        <v>78.156999999999996</v>
      </c>
      <c r="AU65" s="30">
        <v>78.180000000000007</v>
      </c>
      <c r="AV65" s="30">
        <v>78.180999999999997</v>
      </c>
      <c r="AW65" s="30">
        <v>78.164000000000001</v>
      </c>
      <c r="AX65" s="30"/>
      <c r="AY65" s="30"/>
      <c r="AZ65" s="30"/>
    </row>
    <row r="66" spans="1:52" ht="18" customHeight="1">
      <c r="A66" s="23"/>
      <c r="B66" s="12"/>
      <c r="C66" s="75" t="s">
        <v>65</v>
      </c>
      <c r="D66" s="35" t="s">
        <v>194</v>
      </c>
      <c r="E66" s="35"/>
      <c r="F66" s="29" t="s">
        <v>195</v>
      </c>
      <c r="G66" s="38">
        <v>78.16</v>
      </c>
      <c r="H66" s="38">
        <v>0.1</v>
      </c>
      <c r="I66" s="38">
        <v>0.1</v>
      </c>
      <c r="J66" s="38">
        <v>0.1</v>
      </c>
      <c r="K66" s="38">
        <v>0.1</v>
      </c>
      <c r="L66" s="30">
        <f t="shared" si="0"/>
        <v>78.126999999999995</v>
      </c>
      <c r="M66" s="30">
        <f t="shared" si="1"/>
        <v>78.087000000000003</v>
      </c>
      <c r="N66" s="30">
        <f t="shared" si="2"/>
        <v>3.9999999999992042E-2</v>
      </c>
      <c r="O66" s="31">
        <f t="shared" si="3"/>
        <v>78.106586206896566</v>
      </c>
      <c r="P66" s="52"/>
      <c r="Q66" s="30">
        <v>78.099000000000004</v>
      </c>
      <c r="R66" s="30">
        <v>78.099999999999994</v>
      </c>
      <c r="S66" s="30">
        <v>78.108000000000004</v>
      </c>
      <c r="T66" s="30">
        <v>78.099999999999994</v>
      </c>
      <c r="U66" s="30">
        <v>78.102000000000004</v>
      </c>
      <c r="V66" s="30">
        <v>78.108000000000004</v>
      </c>
      <c r="W66" s="30">
        <v>78.105999999999995</v>
      </c>
      <c r="X66" s="30">
        <v>78.108000000000004</v>
      </c>
      <c r="Y66" s="30">
        <v>78.113</v>
      </c>
      <c r="Z66" s="30">
        <v>78.108999999999995</v>
      </c>
      <c r="AA66" s="30">
        <v>78.114000000000004</v>
      </c>
      <c r="AB66" s="30">
        <v>78.114000000000004</v>
      </c>
      <c r="AC66" s="30">
        <v>78.114000000000004</v>
      </c>
      <c r="AD66" s="30">
        <v>78.116</v>
      </c>
      <c r="AE66" s="30">
        <v>78.117999999999995</v>
      </c>
      <c r="AF66" s="30">
        <v>78.117999999999995</v>
      </c>
      <c r="AG66" s="30">
        <v>78.111999999999995</v>
      </c>
      <c r="AH66" s="30">
        <v>78.091999999999999</v>
      </c>
      <c r="AI66" s="30">
        <v>78.087000000000003</v>
      </c>
      <c r="AJ66" s="30">
        <v>78.096999999999994</v>
      </c>
      <c r="AK66" s="30">
        <v>78.093000000000004</v>
      </c>
      <c r="AL66" s="30">
        <v>78.088999999999999</v>
      </c>
      <c r="AM66" s="30">
        <v>78.093999999999994</v>
      </c>
      <c r="AN66" s="30">
        <v>78.113</v>
      </c>
      <c r="AO66" s="30"/>
      <c r="AP66" s="30">
        <v>78.119</v>
      </c>
      <c r="AQ66" s="30">
        <v>78.102999999999994</v>
      </c>
      <c r="AR66" s="30">
        <v>78.111999999999995</v>
      </c>
      <c r="AS66" s="30">
        <v>78.126999999999995</v>
      </c>
      <c r="AT66" s="30">
        <v>78.105999999999995</v>
      </c>
      <c r="AU66" s="30">
        <v>78.128</v>
      </c>
      <c r="AV66" s="30">
        <v>78.128</v>
      </c>
      <c r="AW66" s="30">
        <v>78.111000000000004</v>
      </c>
      <c r="AX66" s="30"/>
      <c r="AY66" s="30"/>
      <c r="AZ66" s="30"/>
    </row>
    <row r="67" spans="1:52" ht="18" customHeight="1">
      <c r="A67" s="23"/>
      <c r="B67" s="12"/>
      <c r="C67" s="75" t="s">
        <v>65</v>
      </c>
      <c r="D67" s="35" t="s">
        <v>196</v>
      </c>
      <c r="E67" s="35"/>
      <c r="F67" s="29" t="s">
        <v>197</v>
      </c>
      <c r="G67" s="38">
        <v>78.16</v>
      </c>
      <c r="H67" s="38">
        <v>0.1</v>
      </c>
      <c r="I67" s="38">
        <v>0.1</v>
      </c>
      <c r="J67" s="38">
        <v>0.1</v>
      </c>
      <c r="K67" s="38">
        <v>0.1</v>
      </c>
      <c r="L67" s="30">
        <f t="shared" si="0"/>
        <v>78.13</v>
      </c>
      <c r="M67" s="30">
        <f t="shared" si="1"/>
        <v>78.09</v>
      </c>
      <c r="N67" s="30">
        <f t="shared" si="2"/>
        <v>3.9999999999992042E-2</v>
      </c>
      <c r="O67" s="31">
        <f t="shared" si="3"/>
        <v>78.10682758620689</v>
      </c>
      <c r="P67" s="52"/>
      <c r="Q67" s="30">
        <v>78.099999999999994</v>
      </c>
      <c r="R67" s="30">
        <v>78.097999999999999</v>
      </c>
      <c r="S67" s="30">
        <v>78.096999999999994</v>
      </c>
      <c r="T67" s="30">
        <v>78.096000000000004</v>
      </c>
      <c r="U67" s="30">
        <v>78.099000000000004</v>
      </c>
      <c r="V67" s="30">
        <v>78.11</v>
      </c>
      <c r="W67" s="30">
        <v>78.108000000000004</v>
      </c>
      <c r="X67" s="30">
        <v>78.11</v>
      </c>
      <c r="Y67" s="30">
        <v>78.111000000000004</v>
      </c>
      <c r="Z67" s="30">
        <v>78.102000000000004</v>
      </c>
      <c r="AA67" s="30">
        <v>78.111000000000004</v>
      </c>
      <c r="AB67" s="30">
        <v>78.111999999999995</v>
      </c>
      <c r="AC67" s="30">
        <v>78.113</v>
      </c>
      <c r="AD67" s="30">
        <v>78.12</v>
      </c>
      <c r="AE67" s="30">
        <v>78.119</v>
      </c>
      <c r="AF67" s="30">
        <v>78.117000000000004</v>
      </c>
      <c r="AG67" s="30">
        <v>78.111000000000004</v>
      </c>
      <c r="AH67" s="30">
        <v>78.093000000000004</v>
      </c>
      <c r="AI67" s="30">
        <v>78.09</v>
      </c>
      <c r="AJ67" s="30">
        <v>78.097999999999999</v>
      </c>
      <c r="AK67" s="30">
        <v>78.093999999999994</v>
      </c>
      <c r="AL67" s="30">
        <v>78.097999999999999</v>
      </c>
      <c r="AM67" s="30">
        <v>78.097999999999999</v>
      </c>
      <c r="AN67" s="30">
        <v>78.122</v>
      </c>
      <c r="AO67" s="30"/>
      <c r="AP67" s="30">
        <v>78.114999999999995</v>
      </c>
      <c r="AQ67" s="30">
        <v>78.100999999999999</v>
      </c>
      <c r="AR67" s="30">
        <v>78.117999999999995</v>
      </c>
      <c r="AS67" s="30">
        <v>78.13</v>
      </c>
      <c r="AT67" s="30">
        <v>78.106999999999999</v>
      </c>
      <c r="AU67" s="30">
        <v>78.132999999999996</v>
      </c>
      <c r="AV67" s="30">
        <v>78.129000000000005</v>
      </c>
      <c r="AW67" s="30">
        <v>78.117999999999995</v>
      </c>
      <c r="AX67" s="30"/>
      <c r="AY67" s="30"/>
      <c r="AZ67" s="30"/>
    </row>
    <row r="68" spans="1:52" ht="18" customHeight="1">
      <c r="A68" s="23"/>
      <c r="B68" s="12"/>
      <c r="C68" s="75" t="s">
        <v>65</v>
      </c>
      <c r="D68" s="35" t="s">
        <v>198</v>
      </c>
      <c r="E68" s="35"/>
      <c r="F68" s="29" t="s">
        <v>199</v>
      </c>
      <c r="G68" s="38">
        <v>78.16</v>
      </c>
      <c r="H68" s="38">
        <v>0.1</v>
      </c>
      <c r="I68" s="38">
        <v>0.1</v>
      </c>
      <c r="J68" s="38">
        <v>0.1</v>
      </c>
      <c r="K68" s="38">
        <v>0.1</v>
      </c>
      <c r="L68" s="30">
        <f t="shared" si="0"/>
        <v>78.186000000000007</v>
      </c>
      <c r="M68" s="30">
        <f t="shared" si="1"/>
        <v>78.123000000000005</v>
      </c>
      <c r="N68" s="30">
        <f t="shared" si="2"/>
        <v>6.3000000000002387E-2</v>
      </c>
      <c r="O68" s="31">
        <f t="shared" si="3"/>
        <v>78.150517241379319</v>
      </c>
      <c r="P68" s="52"/>
      <c r="Q68" s="30">
        <v>78.138999999999996</v>
      </c>
      <c r="R68" s="30">
        <v>78.14</v>
      </c>
      <c r="S68" s="30">
        <v>78.135000000000005</v>
      </c>
      <c r="T68" s="30">
        <v>78.137</v>
      </c>
      <c r="U68" s="30">
        <v>78.141000000000005</v>
      </c>
      <c r="V68" s="30">
        <v>78.149000000000001</v>
      </c>
      <c r="W68" s="30">
        <v>78.147999999999996</v>
      </c>
      <c r="X68" s="30">
        <v>78.149000000000001</v>
      </c>
      <c r="Y68" s="30">
        <v>78.153999999999996</v>
      </c>
      <c r="Z68" s="30">
        <v>78.149000000000001</v>
      </c>
      <c r="AA68" s="30">
        <v>78.155000000000001</v>
      </c>
      <c r="AB68" s="30">
        <v>78.147999999999996</v>
      </c>
      <c r="AC68" s="30">
        <v>78.153000000000006</v>
      </c>
      <c r="AD68" s="30">
        <v>78.164000000000001</v>
      </c>
      <c r="AE68" s="30">
        <v>78.156000000000006</v>
      </c>
      <c r="AF68" s="30">
        <v>78.156999999999996</v>
      </c>
      <c r="AG68" s="30">
        <v>78.153000000000006</v>
      </c>
      <c r="AH68" s="30">
        <v>78.135999999999996</v>
      </c>
      <c r="AI68" s="30">
        <v>78.123000000000005</v>
      </c>
      <c r="AJ68" s="30">
        <v>78.138000000000005</v>
      </c>
      <c r="AK68" s="30">
        <v>78.138999999999996</v>
      </c>
      <c r="AL68" s="30">
        <v>78.141000000000005</v>
      </c>
      <c r="AM68" s="30">
        <v>78.141000000000005</v>
      </c>
      <c r="AN68" s="30">
        <v>78.186000000000007</v>
      </c>
      <c r="AO68" s="30"/>
      <c r="AP68" s="30">
        <v>78.161000000000001</v>
      </c>
      <c r="AQ68" s="30">
        <v>78.159000000000006</v>
      </c>
      <c r="AR68" s="30">
        <v>78.174000000000007</v>
      </c>
      <c r="AS68" s="30">
        <v>78.186000000000007</v>
      </c>
      <c r="AT68" s="30">
        <v>78.153999999999996</v>
      </c>
      <c r="AU68" s="30">
        <v>78.19</v>
      </c>
      <c r="AV68" s="30">
        <v>78.186999999999998</v>
      </c>
      <c r="AW68" s="30">
        <v>78.174999999999997</v>
      </c>
      <c r="AX68" s="30"/>
      <c r="AY68" s="30"/>
      <c r="AZ68" s="30"/>
    </row>
    <row r="69" spans="1:52" ht="18" customHeight="1">
      <c r="A69" s="23"/>
      <c r="B69" s="12"/>
      <c r="C69" s="75" t="s">
        <v>65</v>
      </c>
      <c r="D69" s="35" t="s">
        <v>200</v>
      </c>
      <c r="E69" s="35"/>
      <c r="F69" s="29" t="s">
        <v>201</v>
      </c>
      <c r="G69" s="38">
        <v>4.03</v>
      </c>
      <c r="H69" s="38">
        <v>0.03</v>
      </c>
      <c r="I69" s="38">
        <v>0.03</v>
      </c>
      <c r="J69" s="38">
        <v>0.03</v>
      </c>
      <c r="K69" s="38">
        <v>0.03</v>
      </c>
      <c r="L69" s="30">
        <f t="shared" ref="L69:L132" si="4">MAX(Q69:AT69)</f>
        <v>4.0439999999999996</v>
      </c>
      <c r="M69" s="30">
        <f t="shared" ref="M69:M132" si="5">MIN(Q69:AT69)</f>
        <v>3.9969999999999999</v>
      </c>
      <c r="N69" s="30">
        <f t="shared" ref="N69:N132" si="6">L69-M69</f>
        <v>4.6999999999999709E-2</v>
      </c>
      <c r="O69" s="31">
        <f t="shared" ref="O69:O132" si="7">AVERAGE(Q69:AT69)</f>
        <v>4.0086551724137935</v>
      </c>
      <c r="P69" s="52"/>
      <c r="Q69" s="30">
        <v>4</v>
      </c>
      <c r="R69" s="30">
        <v>4.0039999999999996</v>
      </c>
      <c r="S69" s="30">
        <v>4</v>
      </c>
      <c r="T69" s="30">
        <v>4.0019999999999998</v>
      </c>
      <c r="U69" s="30">
        <v>4.0190000000000001</v>
      </c>
      <c r="V69" s="30">
        <v>4</v>
      </c>
      <c r="W69" s="30">
        <v>4</v>
      </c>
      <c r="X69" s="30">
        <v>4.0010000000000003</v>
      </c>
      <c r="Y69" s="30">
        <v>4.0049999999999999</v>
      </c>
      <c r="Z69" s="30">
        <v>4.01</v>
      </c>
      <c r="AA69" s="30">
        <v>4.0010000000000003</v>
      </c>
      <c r="AB69" s="30">
        <v>4</v>
      </c>
      <c r="AC69" s="30">
        <v>4</v>
      </c>
      <c r="AD69" s="30">
        <v>4</v>
      </c>
      <c r="AE69" s="30">
        <v>4.0010000000000003</v>
      </c>
      <c r="AF69" s="30">
        <v>3.9969999999999999</v>
      </c>
      <c r="AG69" s="30">
        <v>4.0380000000000003</v>
      </c>
      <c r="AH69" s="30">
        <v>4.0330000000000004</v>
      </c>
      <c r="AI69" s="30">
        <v>4.0019999999999998</v>
      </c>
      <c r="AJ69" s="30">
        <v>4.01</v>
      </c>
      <c r="AK69" s="30">
        <v>4.0039999999999996</v>
      </c>
      <c r="AL69" s="30">
        <v>4.0010000000000003</v>
      </c>
      <c r="AM69" s="30">
        <v>4.0439999999999996</v>
      </c>
      <c r="AN69" s="30">
        <v>4.0010000000000003</v>
      </c>
      <c r="AO69" s="30"/>
      <c r="AP69" s="30">
        <v>4.0199999999999996</v>
      </c>
      <c r="AQ69" s="30">
        <v>4.0069999999999997</v>
      </c>
      <c r="AR69" s="30">
        <v>4.0289999999999999</v>
      </c>
      <c r="AS69" s="30">
        <v>4.0179999999999998</v>
      </c>
      <c r="AT69" s="30">
        <v>4.0039999999999996</v>
      </c>
      <c r="AU69" s="30">
        <v>4.0010000000000003</v>
      </c>
      <c r="AV69" s="30">
        <v>4.016</v>
      </c>
      <c r="AW69" s="30">
        <v>4</v>
      </c>
      <c r="AX69" s="30"/>
      <c r="AY69" s="30"/>
      <c r="AZ69" s="30"/>
    </row>
    <row r="70" spans="1:52" ht="18" customHeight="1">
      <c r="A70" s="23"/>
      <c r="B70" s="12"/>
      <c r="C70" s="75" t="s">
        <v>65</v>
      </c>
      <c r="D70" s="35" t="s">
        <v>202</v>
      </c>
      <c r="E70" s="35"/>
      <c r="F70" s="29" t="s">
        <v>203</v>
      </c>
      <c r="G70" s="38">
        <v>1.08</v>
      </c>
      <c r="H70" s="38">
        <v>0.08</v>
      </c>
      <c r="I70" s="38">
        <v>0.08</v>
      </c>
      <c r="J70" s="38">
        <v>0.08</v>
      </c>
      <c r="K70" s="38">
        <v>0.08</v>
      </c>
      <c r="L70" s="30">
        <f t="shared" si="4"/>
        <v>1.159</v>
      </c>
      <c r="M70" s="30">
        <f t="shared" si="5"/>
        <v>1.1459999999999999</v>
      </c>
      <c r="N70" s="30">
        <f t="shared" si="6"/>
        <v>1.3000000000000123E-2</v>
      </c>
      <c r="O70" s="31">
        <f t="shared" si="7"/>
        <v>1.153</v>
      </c>
      <c r="P70" s="52"/>
      <c r="Q70" s="30">
        <v>1.1539999999999999</v>
      </c>
      <c r="R70" s="30">
        <v>1.153</v>
      </c>
      <c r="S70" s="30">
        <v>1.153</v>
      </c>
      <c r="T70" s="30">
        <v>1.151</v>
      </c>
      <c r="U70" s="30">
        <v>1.153</v>
      </c>
      <c r="V70" s="30">
        <v>1.151</v>
      </c>
      <c r="W70" s="30">
        <v>1.1519999999999999</v>
      </c>
      <c r="X70" s="30">
        <v>1.151</v>
      </c>
      <c r="Y70" s="30">
        <v>1.155</v>
      </c>
      <c r="Z70" s="30">
        <v>1.159</v>
      </c>
      <c r="AA70" s="30">
        <v>1.149</v>
      </c>
      <c r="AB70" s="30">
        <v>1.157</v>
      </c>
      <c r="AC70" s="30">
        <v>1.1579999999999999</v>
      </c>
      <c r="AD70" s="30">
        <v>1.151</v>
      </c>
      <c r="AE70" s="30">
        <v>1.1559999999999999</v>
      </c>
      <c r="AF70" s="30">
        <v>1.153</v>
      </c>
      <c r="AG70" s="30">
        <v>1.1499999999999999</v>
      </c>
      <c r="AH70" s="30">
        <v>1.1559999999999999</v>
      </c>
      <c r="AI70" s="30">
        <v>1.159</v>
      </c>
      <c r="AJ70" s="30">
        <v>1.153</v>
      </c>
      <c r="AK70" s="30">
        <v>1.147</v>
      </c>
      <c r="AL70" s="30">
        <v>1.149</v>
      </c>
      <c r="AM70" s="30">
        <v>1.1559999999999999</v>
      </c>
      <c r="AN70" s="30">
        <v>1.151</v>
      </c>
      <c r="AO70" s="30"/>
      <c r="AP70" s="30">
        <v>1.1459999999999999</v>
      </c>
      <c r="AQ70" s="30">
        <v>1.155</v>
      </c>
      <c r="AR70" s="30">
        <v>1.157</v>
      </c>
      <c r="AS70" s="30">
        <v>1.151</v>
      </c>
      <c r="AT70" s="30">
        <v>1.151</v>
      </c>
      <c r="AU70" s="30">
        <v>1.1519999999999999</v>
      </c>
      <c r="AV70" s="30">
        <v>1.149</v>
      </c>
      <c r="AW70" s="30">
        <v>1.149</v>
      </c>
      <c r="AX70" s="30"/>
      <c r="AY70" s="30"/>
      <c r="AZ70" s="30"/>
    </row>
    <row r="71" spans="1:52" ht="18" customHeight="1">
      <c r="A71" s="23"/>
      <c r="B71" s="12"/>
      <c r="C71" s="75" t="s">
        <v>65</v>
      </c>
      <c r="D71" s="35" t="s">
        <v>204</v>
      </c>
      <c r="E71" s="35"/>
      <c r="F71" s="29" t="s">
        <v>205</v>
      </c>
      <c r="G71" s="38">
        <v>1.08</v>
      </c>
      <c r="H71" s="38">
        <v>0.08</v>
      </c>
      <c r="I71" s="38">
        <v>0.08</v>
      </c>
      <c r="J71" s="38">
        <v>0.08</v>
      </c>
      <c r="K71" s="38">
        <v>0.08</v>
      </c>
      <c r="L71" s="30">
        <f t="shared" si="4"/>
        <v>1.1599999999999999</v>
      </c>
      <c r="M71" s="30">
        <f t="shared" si="5"/>
        <v>1.143</v>
      </c>
      <c r="N71" s="30">
        <f t="shared" si="6"/>
        <v>1.6999999999999904E-2</v>
      </c>
      <c r="O71" s="31">
        <f t="shared" si="7"/>
        <v>1.1536551724137931</v>
      </c>
      <c r="P71" s="52"/>
      <c r="Q71" s="30">
        <v>1.151</v>
      </c>
      <c r="R71" s="30">
        <v>1.1539999999999999</v>
      </c>
      <c r="S71" s="30">
        <v>1.1539999999999999</v>
      </c>
      <c r="T71" s="30">
        <v>1.1519999999999999</v>
      </c>
      <c r="U71" s="30">
        <v>1.1559999999999999</v>
      </c>
      <c r="V71" s="30">
        <v>1.159</v>
      </c>
      <c r="W71" s="30">
        <v>1.155</v>
      </c>
      <c r="X71" s="30">
        <v>1.1599999999999999</v>
      </c>
      <c r="Y71" s="30">
        <v>1.1539999999999999</v>
      </c>
      <c r="Z71" s="30">
        <v>1.1479999999999999</v>
      </c>
      <c r="AA71" s="30">
        <v>1.159</v>
      </c>
      <c r="AB71" s="30">
        <v>1.1559999999999999</v>
      </c>
      <c r="AC71" s="30">
        <v>1.157</v>
      </c>
      <c r="AD71" s="30">
        <v>1.151</v>
      </c>
      <c r="AE71" s="30">
        <v>1.1539999999999999</v>
      </c>
      <c r="AF71" s="30">
        <v>1.1559999999999999</v>
      </c>
      <c r="AG71" s="30">
        <v>1.1499999999999999</v>
      </c>
      <c r="AH71" s="30">
        <v>1.155</v>
      </c>
      <c r="AI71" s="30">
        <v>1.1579999999999999</v>
      </c>
      <c r="AJ71" s="30">
        <v>1.151</v>
      </c>
      <c r="AK71" s="30">
        <v>1.1539999999999999</v>
      </c>
      <c r="AL71" s="30">
        <v>1.157</v>
      </c>
      <c r="AM71" s="30">
        <v>1.155</v>
      </c>
      <c r="AN71" s="30">
        <v>1.149</v>
      </c>
      <c r="AO71" s="30"/>
      <c r="AP71" s="30">
        <v>1.143</v>
      </c>
      <c r="AQ71" s="30">
        <v>1.1539999999999999</v>
      </c>
      <c r="AR71" s="30">
        <v>1.1559999999999999</v>
      </c>
      <c r="AS71" s="30">
        <v>1.1479999999999999</v>
      </c>
      <c r="AT71" s="30">
        <v>1.1499999999999999</v>
      </c>
      <c r="AU71" s="30">
        <v>1.1479999999999999</v>
      </c>
      <c r="AV71" s="30">
        <v>1.1459999999999999</v>
      </c>
      <c r="AW71" s="30">
        <v>1.149</v>
      </c>
      <c r="AX71" s="30"/>
      <c r="AY71" s="30"/>
      <c r="AZ71" s="30"/>
    </row>
    <row r="72" spans="1:52" ht="18" customHeight="1">
      <c r="A72" s="23"/>
      <c r="B72" s="12"/>
      <c r="C72" s="75" t="s">
        <v>65</v>
      </c>
      <c r="D72" s="35" t="s">
        <v>206</v>
      </c>
      <c r="E72" s="35"/>
      <c r="F72" s="29" t="s">
        <v>207</v>
      </c>
      <c r="G72" s="38">
        <v>1.08</v>
      </c>
      <c r="H72" s="38">
        <v>0.08</v>
      </c>
      <c r="I72" s="38">
        <v>0.08</v>
      </c>
      <c r="J72" s="38">
        <v>0.08</v>
      </c>
      <c r="K72" s="38">
        <v>0.08</v>
      </c>
      <c r="L72" s="30">
        <f t="shared" si="4"/>
        <v>1.159</v>
      </c>
      <c r="M72" s="30">
        <f t="shared" si="5"/>
        <v>1.139</v>
      </c>
      <c r="N72" s="30">
        <f t="shared" si="6"/>
        <v>2.0000000000000018E-2</v>
      </c>
      <c r="O72" s="31">
        <f t="shared" si="7"/>
        <v>1.1488620689655173</v>
      </c>
      <c r="P72" s="52"/>
      <c r="Q72" s="30">
        <v>1.145</v>
      </c>
      <c r="R72" s="30">
        <v>1.1459999999999999</v>
      </c>
      <c r="S72" s="30">
        <v>1.1479999999999999</v>
      </c>
      <c r="T72" s="30">
        <v>1.1439999999999999</v>
      </c>
      <c r="U72" s="30">
        <v>1.149</v>
      </c>
      <c r="V72" s="30">
        <v>1.151</v>
      </c>
      <c r="W72" s="30">
        <v>1.1479999999999999</v>
      </c>
      <c r="X72" s="30">
        <v>1.1479999999999999</v>
      </c>
      <c r="Y72" s="30">
        <v>1.1519999999999999</v>
      </c>
      <c r="Z72" s="30">
        <v>1.1559999999999999</v>
      </c>
      <c r="AA72" s="30">
        <v>1.1459999999999999</v>
      </c>
      <c r="AB72" s="30">
        <v>1.1539999999999999</v>
      </c>
      <c r="AC72" s="30">
        <v>1.1539999999999999</v>
      </c>
      <c r="AD72" s="30">
        <v>1.1479999999999999</v>
      </c>
      <c r="AE72" s="30">
        <v>1.1519999999999999</v>
      </c>
      <c r="AF72" s="30">
        <v>1.149</v>
      </c>
      <c r="AG72" s="30">
        <v>1.147</v>
      </c>
      <c r="AH72" s="30">
        <v>1.153</v>
      </c>
      <c r="AI72" s="30">
        <v>1.159</v>
      </c>
      <c r="AJ72" s="30">
        <v>1.149</v>
      </c>
      <c r="AK72" s="30">
        <v>1.139</v>
      </c>
      <c r="AL72" s="30">
        <v>1.141</v>
      </c>
      <c r="AM72" s="30">
        <v>1.1519999999999999</v>
      </c>
      <c r="AN72" s="30">
        <v>1.1479999999999999</v>
      </c>
      <c r="AO72" s="30"/>
      <c r="AP72" s="30">
        <v>1.1439999999999999</v>
      </c>
      <c r="AQ72" s="30">
        <v>1.151</v>
      </c>
      <c r="AR72" s="30">
        <v>1.151</v>
      </c>
      <c r="AS72" s="30">
        <v>1.147</v>
      </c>
      <c r="AT72" s="30">
        <v>1.1459999999999999</v>
      </c>
      <c r="AU72" s="30">
        <v>1.1439999999999999</v>
      </c>
      <c r="AV72" s="30">
        <v>1.145</v>
      </c>
      <c r="AW72" s="30">
        <v>1.145</v>
      </c>
      <c r="AX72" s="30"/>
      <c r="AY72" s="30"/>
      <c r="AZ72" s="30"/>
    </row>
    <row r="73" spans="1:52" ht="18" customHeight="1">
      <c r="A73" s="23"/>
      <c r="B73" s="12"/>
      <c r="C73" s="75" t="s">
        <v>65</v>
      </c>
      <c r="D73" s="35" t="s">
        <v>208</v>
      </c>
      <c r="E73" s="35"/>
      <c r="F73" s="29" t="s">
        <v>209</v>
      </c>
      <c r="G73" s="38">
        <v>1.08</v>
      </c>
      <c r="H73" s="38">
        <v>0.08</v>
      </c>
      <c r="I73" s="38">
        <v>0.08</v>
      </c>
      <c r="J73" s="38">
        <v>0.08</v>
      </c>
      <c r="K73" s="38">
        <v>0.08</v>
      </c>
      <c r="L73" s="30">
        <f t="shared" si="4"/>
        <v>1.1599999999999999</v>
      </c>
      <c r="M73" s="30">
        <f t="shared" si="5"/>
        <v>1.1459999999999999</v>
      </c>
      <c r="N73" s="30">
        <f t="shared" si="6"/>
        <v>1.4000000000000012E-2</v>
      </c>
      <c r="O73" s="31">
        <f t="shared" si="7"/>
        <v>1.1530344827586207</v>
      </c>
      <c r="P73" s="52"/>
      <c r="Q73" s="30">
        <v>1.1479999999999999</v>
      </c>
      <c r="R73" s="30">
        <v>1.147</v>
      </c>
      <c r="S73" s="30">
        <v>1.151</v>
      </c>
      <c r="T73" s="30">
        <v>1.1459999999999999</v>
      </c>
      <c r="U73" s="30">
        <v>1.1499999999999999</v>
      </c>
      <c r="V73" s="30">
        <v>1.1519999999999999</v>
      </c>
      <c r="W73" s="30">
        <v>1.149</v>
      </c>
      <c r="X73" s="30">
        <v>1.1519999999999999</v>
      </c>
      <c r="Y73" s="30">
        <v>1.157</v>
      </c>
      <c r="Z73" s="30">
        <v>1.159</v>
      </c>
      <c r="AA73" s="30">
        <v>1.151</v>
      </c>
      <c r="AB73" s="30">
        <v>1.159</v>
      </c>
      <c r="AC73" s="30">
        <v>1.157</v>
      </c>
      <c r="AD73" s="30">
        <v>1.1539999999999999</v>
      </c>
      <c r="AE73" s="30">
        <v>1.157</v>
      </c>
      <c r="AF73" s="30">
        <v>1.1499999999999999</v>
      </c>
      <c r="AG73" s="30">
        <v>1.1519999999999999</v>
      </c>
      <c r="AH73" s="30">
        <v>1.155</v>
      </c>
      <c r="AI73" s="30">
        <v>1.1599999999999999</v>
      </c>
      <c r="AJ73" s="30">
        <v>1.155</v>
      </c>
      <c r="AK73" s="30">
        <v>1.1499999999999999</v>
      </c>
      <c r="AL73" s="30">
        <v>1.1519999999999999</v>
      </c>
      <c r="AM73" s="30">
        <v>1.157</v>
      </c>
      <c r="AN73" s="30">
        <v>1.153</v>
      </c>
      <c r="AO73" s="30"/>
      <c r="AP73" s="30">
        <v>1.149</v>
      </c>
      <c r="AQ73" s="30">
        <v>1.1559999999999999</v>
      </c>
      <c r="AR73" s="30">
        <v>1.155</v>
      </c>
      <c r="AS73" s="30">
        <v>1.151</v>
      </c>
      <c r="AT73" s="30">
        <v>1.1539999999999999</v>
      </c>
      <c r="AU73" s="30">
        <v>1.155</v>
      </c>
      <c r="AV73" s="30">
        <v>1.149</v>
      </c>
      <c r="AW73" s="30">
        <v>1.153</v>
      </c>
      <c r="AX73" s="30"/>
      <c r="AY73" s="30"/>
      <c r="AZ73" s="30"/>
    </row>
    <row r="74" spans="1:52" ht="18" customHeight="1">
      <c r="A74" s="23"/>
      <c r="B74" s="12"/>
      <c r="C74" s="75" t="s">
        <v>65</v>
      </c>
      <c r="D74" s="35" t="s">
        <v>210</v>
      </c>
      <c r="E74" s="35"/>
      <c r="F74" s="29" t="s">
        <v>211</v>
      </c>
      <c r="G74" s="38">
        <v>1.08</v>
      </c>
      <c r="H74" s="38">
        <v>0.08</v>
      </c>
      <c r="I74" s="38">
        <v>0.08</v>
      </c>
      <c r="J74" s="38">
        <v>0.08</v>
      </c>
      <c r="K74" s="38">
        <v>0.08</v>
      </c>
      <c r="L74" s="30">
        <f t="shared" si="4"/>
        <v>1.1599999999999999</v>
      </c>
      <c r="M74" s="30">
        <f t="shared" si="5"/>
        <v>1.1479999999999999</v>
      </c>
      <c r="N74" s="30">
        <f t="shared" si="6"/>
        <v>1.2000000000000011E-2</v>
      </c>
      <c r="O74" s="31">
        <f t="shared" si="7"/>
        <v>1.1543103448275862</v>
      </c>
      <c r="P74" s="52"/>
      <c r="Q74" s="30">
        <v>1.1579999999999999</v>
      </c>
      <c r="R74" s="30">
        <v>1.151</v>
      </c>
      <c r="S74" s="30">
        <v>1.157</v>
      </c>
      <c r="T74" s="30">
        <v>1.1499999999999999</v>
      </c>
      <c r="U74" s="30">
        <v>1.151</v>
      </c>
      <c r="V74" s="30">
        <v>1.155</v>
      </c>
      <c r="W74" s="30">
        <v>1.1499999999999999</v>
      </c>
      <c r="X74" s="30">
        <v>1.155</v>
      </c>
      <c r="Y74" s="30">
        <v>1.155</v>
      </c>
      <c r="Z74" s="30">
        <v>1.155</v>
      </c>
      <c r="AA74" s="30">
        <v>1.1539999999999999</v>
      </c>
      <c r="AB74" s="30">
        <v>1.1579999999999999</v>
      </c>
      <c r="AC74" s="30">
        <v>1.159</v>
      </c>
      <c r="AD74" s="30">
        <v>1.1559999999999999</v>
      </c>
      <c r="AE74" s="30">
        <v>1.157</v>
      </c>
      <c r="AF74" s="30">
        <v>1.151</v>
      </c>
      <c r="AG74" s="30">
        <v>1.1539999999999999</v>
      </c>
      <c r="AH74" s="30">
        <v>1.157</v>
      </c>
      <c r="AI74" s="30">
        <v>1.1599999999999999</v>
      </c>
      <c r="AJ74" s="30">
        <v>1.155</v>
      </c>
      <c r="AK74" s="30">
        <v>1.1499999999999999</v>
      </c>
      <c r="AL74" s="30">
        <v>1.1479999999999999</v>
      </c>
      <c r="AM74" s="30">
        <v>1.157</v>
      </c>
      <c r="AN74" s="30">
        <v>1.1539999999999999</v>
      </c>
      <c r="AO74" s="30"/>
      <c r="AP74" s="30">
        <v>1.151</v>
      </c>
      <c r="AQ74" s="30">
        <v>1.155</v>
      </c>
      <c r="AR74" s="30">
        <v>1.1579999999999999</v>
      </c>
      <c r="AS74" s="30">
        <v>1.1519999999999999</v>
      </c>
      <c r="AT74" s="30">
        <v>1.1519999999999999</v>
      </c>
      <c r="AU74" s="30">
        <v>1.151</v>
      </c>
      <c r="AV74" s="30">
        <v>1.1499999999999999</v>
      </c>
      <c r="AW74" s="30">
        <v>1.1499999999999999</v>
      </c>
      <c r="AX74" s="30"/>
      <c r="AY74" s="30"/>
      <c r="AZ74" s="30"/>
    </row>
    <row r="75" spans="1:52" ht="18" customHeight="1">
      <c r="A75" s="23"/>
      <c r="B75" s="12"/>
      <c r="C75" s="75" t="s">
        <v>65</v>
      </c>
      <c r="D75" s="35" t="s">
        <v>465</v>
      </c>
      <c r="E75" s="35"/>
      <c r="F75" s="29" t="s">
        <v>213</v>
      </c>
      <c r="G75" s="38">
        <v>0.28000000000000003</v>
      </c>
      <c r="H75" s="38">
        <v>0.05</v>
      </c>
      <c r="I75" s="38">
        <v>0.05</v>
      </c>
      <c r="J75" s="38">
        <v>0.05</v>
      </c>
      <c r="K75" s="38">
        <v>0.05</v>
      </c>
      <c r="L75" s="30">
        <f t="shared" si="4"/>
        <v>0.32100000000000001</v>
      </c>
      <c r="M75" s="30">
        <f t="shared" si="5"/>
        <v>0.30099999999999999</v>
      </c>
      <c r="N75" s="30">
        <f t="shared" si="6"/>
        <v>2.0000000000000018E-2</v>
      </c>
      <c r="O75" s="31">
        <f t="shared" si="7"/>
        <v>0.30896551724137933</v>
      </c>
      <c r="P75" s="52"/>
      <c r="Q75" s="30">
        <v>0.30299999999999999</v>
      </c>
      <c r="R75" s="30">
        <v>0.30299999999999999</v>
      </c>
      <c r="S75" s="30">
        <v>0.307</v>
      </c>
      <c r="T75" s="30">
        <v>0.30199999999999999</v>
      </c>
      <c r="U75" s="30">
        <v>0.30599999999999999</v>
      </c>
      <c r="V75" s="30">
        <v>0.31</v>
      </c>
      <c r="W75" s="30">
        <v>0.30499999999999999</v>
      </c>
      <c r="X75" s="30">
        <v>0.30599999999999999</v>
      </c>
      <c r="Y75" s="30">
        <v>0.311</v>
      </c>
      <c r="Z75" s="30">
        <v>0.316</v>
      </c>
      <c r="AA75" s="30">
        <v>0.30499999999999999</v>
      </c>
      <c r="AB75" s="30">
        <v>0.314</v>
      </c>
      <c r="AC75" s="30">
        <v>0.31</v>
      </c>
      <c r="AD75" s="30">
        <v>0.307</v>
      </c>
      <c r="AE75" s="30">
        <v>0.312</v>
      </c>
      <c r="AF75" s="30">
        <v>0.30499999999999999</v>
      </c>
      <c r="AG75" s="30">
        <v>0.30499999999999999</v>
      </c>
      <c r="AH75" s="30">
        <v>0.309</v>
      </c>
      <c r="AI75" s="30">
        <v>0.313</v>
      </c>
      <c r="AJ75" s="30">
        <v>0.309</v>
      </c>
      <c r="AK75" s="30">
        <v>0.316</v>
      </c>
      <c r="AL75" s="30">
        <v>0.32100000000000001</v>
      </c>
      <c r="AM75" s="30">
        <v>0.313</v>
      </c>
      <c r="AN75" s="30">
        <v>0.307</v>
      </c>
      <c r="AO75" s="30"/>
      <c r="AP75" s="30">
        <v>0.30099999999999999</v>
      </c>
      <c r="AQ75" s="30">
        <v>0.312</v>
      </c>
      <c r="AR75" s="30">
        <v>0.313</v>
      </c>
      <c r="AS75" s="30">
        <v>0.308</v>
      </c>
      <c r="AT75" s="30">
        <v>0.311</v>
      </c>
      <c r="AU75" s="30">
        <v>0.317</v>
      </c>
      <c r="AV75" s="30">
        <v>0.307</v>
      </c>
      <c r="AW75" s="30">
        <v>0.309</v>
      </c>
      <c r="AX75" s="30"/>
      <c r="AY75" s="30"/>
      <c r="AZ75" s="30"/>
    </row>
    <row r="76" spans="1:52" ht="18" customHeight="1">
      <c r="A76" s="23"/>
      <c r="B76" s="12"/>
      <c r="C76" s="75" t="s">
        <v>65</v>
      </c>
      <c r="D76" s="35" t="s">
        <v>214</v>
      </c>
      <c r="E76" s="35"/>
      <c r="F76" s="29" t="s">
        <v>215</v>
      </c>
      <c r="G76" s="38">
        <v>0.56999999999999995</v>
      </c>
      <c r="H76" s="38">
        <v>0.08</v>
      </c>
      <c r="I76" s="38">
        <v>0.08</v>
      </c>
      <c r="J76" s="38">
        <v>0.08</v>
      </c>
      <c r="K76" s="38">
        <v>0.08</v>
      </c>
      <c r="L76" s="30">
        <f t="shared" si="4"/>
        <v>0.59</v>
      </c>
      <c r="M76" s="30">
        <f t="shared" si="5"/>
        <v>0.57799999999999996</v>
      </c>
      <c r="N76" s="30">
        <f t="shared" si="6"/>
        <v>1.2000000000000011E-2</v>
      </c>
      <c r="O76" s="31">
        <f t="shared" si="7"/>
        <v>0.58324137931034492</v>
      </c>
      <c r="P76" s="52"/>
      <c r="Q76" s="30">
        <v>0.58199999999999996</v>
      </c>
      <c r="R76" s="30">
        <v>0.58599999999999997</v>
      </c>
      <c r="S76" s="30">
        <v>0.59</v>
      </c>
      <c r="T76" s="30">
        <v>0.58499999999999996</v>
      </c>
      <c r="U76" s="30">
        <v>0.58799999999999997</v>
      </c>
      <c r="V76" s="30">
        <v>0.59</v>
      </c>
      <c r="W76" s="30">
        <v>0.58599999999999997</v>
      </c>
      <c r="X76" s="30">
        <v>0.58399999999999996</v>
      </c>
      <c r="Y76" s="30">
        <v>0.58299999999999996</v>
      </c>
      <c r="Z76" s="30">
        <v>0.58199999999999996</v>
      </c>
      <c r="AA76" s="30">
        <v>0.58299999999999996</v>
      </c>
      <c r="AB76" s="30">
        <v>0.58499999999999996</v>
      </c>
      <c r="AC76" s="30">
        <v>0.58099999999999996</v>
      </c>
      <c r="AD76" s="30">
        <v>0.58499999999999996</v>
      </c>
      <c r="AE76" s="30">
        <v>0.58399999999999996</v>
      </c>
      <c r="AF76" s="30">
        <v>0.58599999999999997</v>
      </c>
      <c r="AG76" s="30">
        <v>0.58399999999999996</v>
      </c>
      <c r="AH76" s="30">
        <v>0.57899999999999996</v>
      </c>
      <c r="AI76" s="30">
        <v>0.58099999999999996</v>
      </c>
      <c r="AJ76" s="30">
        <v>0.58199999999999996</v>
      </c>
      <c r="AK76" s="30">
        <v>0.58299999999999996</v>
      </c>
      <c r="AL76" s="30">
        <v>0.58099999999999996</v>
      </c>
      <c r="AM76" s="30">
        <v>0.58399999999999996</v>
      </c>
      <c r="AN76" s="30">
        <v>0.58099999999999996</v>
      </c>
      <c r="AO76" s="30"/>
      <c r="AP76" s="30">
        <v>0.57799999999999996</v>
      </c>
      <c r="AQ76" s="30">
        <v>0.58199999999999996</v>
      </c>
      <c r="AR76" s="30">
        <v>0.57999999999999996</v>
      </c>
      <c r="AS76" s="30">
        <v>0.57999999999999996</v>
      </c>
      <c r="AT76" s="30">
        <v>0.57899999999999996</v>
      </c>
      <c r="AU76" s="30">
        <v>0.58499999999999996</v>
      </c>
      <c r="AV76" s="30">
        <v>0.57899999999999996</v>
      </c>
      <c r="AW76" s="30">
        <v>0.57799999999999996</v>
      </c>
      <c r="AX76" s="30"/>
      <c r="AY76" s="30"/>
      <c r="AZ76" s="30"/>
    </row>
    <row r="77" spans="1:52" ht="18" customHeight="1">
      <c r="A77" s="23"/>
      <c r="B77" s="12"/>
      <c r="C77" s="75" t="s">
        <v>65</v>
      </c>
      <c r="D77" s="35" t="s">
        <v>216</v>
      </c>
      <c r="E77" s="35"/>
      <c r="F77" s="29" t="s">
        <v>217</v>
      </c>
      <c r="G77" s="38">
        <v>35.479999999999997</v>
      </c>
      <c r="H77" s="38">
        <v>0.06</v>
      </c>
      <c r="I77" s="38">
        <v>0.06</v>
      </c>
      <c r="J77" s="38">
        <v>0.06</v>
      </c>
      <c r="K77" s="38">
        <v>0.06</v>
      </c>
      <c r="L77" s="30">
        <f t="shared" si="4"/>
        <v>35.503</v>
      </c>
      <c r="M77" s="30">
        <f t="shared" si="5"/>
        <v>35.487000000000002</v>
      </c>
      <c r="N77" s="30">
        <f t="shared" si="6"/>
        <v>1.5999999999998238E-2</v>
      </c>
      <c r="O77" s="31">
        <f t="shared" si="7"/>
        <v>35.495206896551736</v>
      </c>
      <c r="P77" s="52"/>
      <c r="Q77" s="30">
        <v>35.488999999999997</v>
      </c>
      <c r="R77" s="30">
        <v>35.488999999999997</v>
      </c>
      <c r="S77" s="30">
        <v>35.491</v>
      </c>
      <c r="T77" s="30">
        <v>35.487000000000002</v>
      </c>
      <c r="U77" s="30">
        <v>35.494</v>
      </c>
      <c r="V77" s="30">
        <v>35.494999999999997</v>
      </c>
      <c r="W77" s="30">
        <v>35.493000000000002</v>
      </c>
      <c r="X77" s="30">
        <v>35.494</v>
      </c>
      <c r="Y77" s="30">
        <v>35.497999999999998</v>
      </c>
      <c r="Z77" s="30">
        <v>35.502000000000002</v>
      </c>
      <c r="AA77" s="30">
        <v>35.491999999999997</v>
      </c>
      <c r="AB77" s="30">
        <v>35.5</v>
      </c>
      <c r="AC77" s="30">
        <v>35.5</v>
      </c>
      <c r="AD77" s="30">
        <v>35.494999999999997</v>
      </c>
      <c r="AE77" s="30">
        <v>35.497999999999998</v>
      </c>
      <c r="AF77" s="30">
        <v>35.493000000000002</v>
      </c>
      <c r="AG77" s="30">
        <v>35.493000000000002</v>
      </c>
      <c r="AH77" s="30">
        <v>35.497999999999998</v>
      </c>
      <c r="AI77" s="30">
        <v>35.499000000000002</v>
      </c>
      <c r="AJ77" s="30">
        <v>35.494999999999997</v>
      </c>
      <c r="AK77" s="30">
        <v>35.500999999999998</v>
      </c>
      <c r="AL77" s="30">
        <v>35.503</v>
      </c>
      <c r="AM77" s="30">
        <v>35.499000000000002</v>
      </c>
      <c r="AN77" s="30">
        <v>35.493000000000002</v>
      </c>
      <c r="AO77" s="30"/>
      <c r="AP77" s="30">
        <v>35.487000000000002</v>
      </c>
      <c r="AQ77" s="30">
        <v>35.497999999999998</v>
      </c>
      <c r="AR77" s="30">
        <v>35.497999999999998</v>
      </c>
      <c r="AS77" s="30">
        <v>35.491999999999997</v>
      </c>
      <c r="AT77" s="30">
        <v>35.494999999999997</v>
      </c>
      <c r="AU77" s="30">
        <v>35.497</v>
      </c>
      <c r="AV77" s="30">
        <v>35.491</v>
      </c>
      <c r="AW77" s="30">
        <v>35.494</v>
      </c>
      <c r="AX77" s="30"/>
      <c r="AY77" s="30"/>
      <c r="AZ77" s="30"/>
    </row>
    <row r="78" spans="1:52" ht="18" customHeight="1">
      <c r="A78" s="23"/>
      <c r="B78" s="12"/>
      <c r="C78" s="75" t="s">
        <v>65</v>
      </c>
      <c r="D78" s="35" t="s">
        <v>218</v>
      </c>
      <c r="E78" s="35"/>
      <c r="F78" s="29" t="s">
        <v>219</v>
      </c>
      <c r="G78" s="38"/>
      <c r="H78" s="38">
        <v>0.08</v>
      </c>
      <c r="I78" s="38"/>
      <c r="J78" s="38">
        <v>0.08</v>
      </c>
      <c r="K78" s="38"/>
      <c r="L78" s="30">
        <f t="shared" si="4"/>
        <v>7.6999999999999999E-2</v>
      </c>
      <c r="M78" s="30">
        <f t="shared" si="5"/>
        <v>0.06</v>
      </c>
      <c r="N78" s="30">
        <f t="shared" si="6"/>
        <v>1.7000000000000001E-2</v>
      </c>
      <c r="O78" s="31">
        <f t="shared" si="7"/>
        <v>7.0551724137931038E-2</v>
      </c>
      <c r="P78" s="52"/>
      <c r="Q78" s="30">
        <v>0.06</v>
      </c>
      <c r="R78" s="30">
        <v>6.5000000000000002E-2</v>
      </c>
      <c r="S78" s="30">
        <v>6.6000000000000003E-2</v>
      </c>
      <c r="T78" s="30">
        <v>6.3E-2</v>
      </c>
      <c r="U78" s="30">
        <v>6.7000000000000004E-2</v>
      </c>
      <c r="V78" s="30">
        <v>6.8000000000000005E-2</v>
      </c>
      <c r="W78" s="30">
        <v>6.6000000000000003E-2</v>
      </c>
      <c r="X78" s="30">
        <v>7.0999999999999994E-2</v>
      </c>
      <c r="Y78" s="30">
        <v>7.2999999999999995E-2</v>
      </c>
      <c r="Z78" s="30">
        <v>7.4999999999999997E-2</v>
      </c>
      <c r="AA78" s="30">
        <v>7.0000000000000007E-2</v>
      </c>
      <c r="AB78" s="30">
        <v>7.5999999999999998E-2</v>
      </c>
      <c r="AC78" s="30">
        <v>7.1999999999999995E-2</v>
      </c>
      <c r="AD78" s="30">
        <v>7.2999999999999995E-2</v>
      </c>
      <c r="AE78" s="30">
        <v>7.4999999999999997E-2</v>
      </c>
      <c r="AF78" s="30">
        <v>6.6000000000000003E-2</v>
      </c>
      <c r="AG78" s="30">
        <v>7.0999999999999994E-2</v>
      </c>
      <c r="AH78" s="30">
        <v>7.0999999999999994E-2</v>
      </c>
      <c r="AI78" s="30">
        <v>7.0000000000000007E-2</v>
      </c>
      <c r="AJ78" s="30">
        <v>7.1999999999999995E-2</v>
      </c>
      <c r="AK78" s="30">
        <v>7.1999999999999995E-2</v>
      </c>
      <c r="AL78" s="30">
        <v>7.6999999999999999E-2</v>
      </c>
      <c r="AM78" s="30">
        <v>7.3999999999999996E-2</v>
      </c>
      <c r="AN78" s="30">
        <v>7.0000000000000007E-2</v>
      </c>
      <c r="AO78" s="30"/>
      <c r="AP78" s="30">
        <v>6.6000000000000003E-2</v>
      </c>
      <c r="AQ78" s="30">
        <v>7.2999999999999995E-2</v>
      </c>
      <c r="AR78" s="30">
        <v>7.5999999999999998E-2</v>
      </c>
      <c r="AS78" s="30">
        <v>7.2999999999999995E-2</v>
      </c>
      <c r="AT78" s="30">
        <v>7.4999999999999997E-2</v>
      </c>
      <c r="AU78" s="30">
        <v>7.8E-2</v>
      </c>
      <c r="AV78" s="30">
        <v>7.0999999999999994E-2</v>
      </c>
      <c r="AW78" s="30">
        <v>7.2999999999999995E-2</v>
      </c>
      <c r="AX78" s="30"/>
      <c r="AY78" s="30"/>
      <c r="AZ78" s="30"/>
    </row>
    <row r="79" spans="1:52" ht="18" customHeight="1">
      <c r="A79" s="23"/>
      <c r="B79" s="12"/>
      <c r="C79" s="75" t="s">
        <v>65</v>
      </c>
      <c r="D79" s="35" t="s">
        <v>220</v>
      </c>
      <c r="E79" s="35"/>
      <c r="F79" s="29"/>
      <c r="G79" s="38"/>
      <c r="H79" s="38">
        <v>0.05</v>
      </c>
      <c r="I79" s="38"/>
      <c r="J79" s="38">
        <v>0.05</v>
      </c>
      <c r="K79" s="38"/>
      <c r="L79" s="30">
        <f t="shared" si="4"/>
        <v>0.05</v>
      </c>
      <c r="M79" s="30">
        <f t="shared" si="5"/>
        <v>0.04</v>
      </c>
      <c r="N79" s="30">
        <f t="shared" si="6"/>
        <v>1.0000000000000002E-2</v>
      </c>
      <c r="O79" s="31">
        <f t="shared" si="7"/>
        <v>4.5689655172413801E-2</v>
      </c>
      <c r="P79" s="52"/>
      <c r="Q79" s="30">
        <v>4.7E-2</v>
      </c>
      <c r="R79" s="30">
        <v>4.1000000000000002E-2</v>
      </c>
      <c r="S79" s="30">
        <v>4.4999999999999998E-2</v>
      </c>
      <c r="T79" s="30">
        <v>0.04</v>
      </c>
      <c r="U79" s="30">
        <v>4.4999999999999998E-2</v>
      </c>
      <c r="V79" s="30">
        <v>4.7E-2</v>
      </c>
      <c r="W79" s="30">
        <v>4.3999999999999997E-2</v>
      </c>
      <c r="X79" s="30">
        <v>4.3999999999999997E-2</v>
      </c>
      <c r="Y79" s="30">
        <v>4.7E-2</v>
      </c>
      <c r="Z79" s="30">
        <v>0.05</v>
      </c>
      <c r="AA79" s="30">
        <v>4.2000000000000003E-2</v>
      </c>
      <c r="AB79" s="30">
        <v>0.05</v>
      </c>
      <c r="AC79" s="30">
        <v>4.5999999999999999E-2</v>
      </c>
      <c r="AD79" s="30">
        <v>4.4999999999999998E-2</v>
      </c>
      <c r="AE79" s="30">
        <v>4.8000000000000001E-2</v>
      </c>
      <c r="AF79" s="30">
        <v>4.3999999999999997E-2</v>
      </c>
      <c r="AG79" s="30">
        <v>4.3999999999999997E-2</v>
      </c>
      <c r="AH79" s="30">
        <v>4.3999999999999997E-2</v>
      </c>
      <c r="AI79" s="30">
        <v>4.7E-2</v>
      </c>
      <c r="AJ79" s="30">
        <v>4.5999999999999999E-2</v>
      </c>
      <c r="AK79" s="30">
        <v>0.05</v>
      </c>
      <c r="AL79" s="30">
        <v>4.8000000000000001E-2</v>
      </c>
      <c r="AM79" s="30">
        <v>4.8000000000000001E-2</v>
      </c>
      <c r="AN79" s="30">
        <v>4.3999999999999997E-2</v>
      </c>
      <c r="AO79" s="30"/>
      <c r="AP79" s="30">
        <v>0.04</v>
      </c>
      <c r="AQ79" s="30">
        <v>4.7E-2</v>
      </c>
      <c r="AR79" s="30">
        <v>4.7E-2</v>
      </c>
      <c r="AS79" s="30">
        <v>4.8000000000000001E-2</v>
      </c>
      <c r="AT79" s="30">
        <v>4.7E-2</v>
      </c>
      <c r="AU79" s="30">
        <v>4.3999999999999997E-2</v>
      </c>
      <c r="AV79" s="30">
        <v>4.7E-2</v>
      </c>
      <c r="AW79" s="30">
        <v>4.4999999999999998E-2</v>
      </c>
      <c r="AX79" s="30"/>
      <c r="AY79" s="30"/>
      <c r="AZ79" s="30"/>
    </row>
    <row r="80" spans="1:52" ht="18" customHeight="1">
      <c r="A80" s="23"/>
      <c r="B80" s="12"/>
      <c r="C80" s="75" t="s">
        <v>65</v>
      </c>
      <c r="D80" s="35" t="s">
        <v>221</v>
      </c>
      <c r="E80" s="35"/>
      <c r="F80" s="29" t="s">
        <v>222</v>
      </c>
      <c r="G80" s="38">
        <v>0.52</v>
      </c>
      <c r="H80" s="38">
        <v>0.05</v>
      </c>
      <c r="I80" s="38">
        <v>0.05</v>
      </c>
      <c r="J80" s="38">
        <v>0.05</v>
      </c>
      <c r="K80" s="38">
        <v>0.05</v>
      </c>
      <c r="L80" s="30">
        <f t="shared" si="4"/>
        <v>0.56599999999999995</v>
      </c>
      <c r="M80" s="30">
        <f t="shared" si="5"/>
        <v>0.55500000000000005</v>
      </c>
      <c r="N80" s="30">
        <f t="shared" si="6"/>
        <v>1.0999999999999899E-2</v>
      </c>
      <c r="O80" s="31">
        <f t="shared" si="7"/>
        <v>0.56065517241379326</v>
      </c>
      <c r="P80" s="52"/>
      <c r="Q80" s="30">
        <v>0.55600000000000005</v>
      </c>
      <c r="R80" s="30">
        <v>0.55700000000000005</v>
      </c>
      <c r="S80" s="30">
        <v>0.55700000000000005</v>
      </c>
      <c r="T80" s="30">
        <v>0.55500000000000005</v>
      </c>
      <c r="U80" s="30">
        <v>0.55900000000000005</v>
      </c>
      <c r="V80" s="30">
        <v>0.55800000000000005</v>
      </c>
      <c r="W80" s="30">
        <v>0.55800000000000005</v>
      </c>
      <c r="X80" s="30">
        <v>0.56100000000000005</v>
      </c>
      <c r="Y80" s="30">
        <v>0.56200000000000006</v>
      </c>
      <c r="Z80" s="30">
        <v>0.56299999999999994</v>
      </c>
      <c r="AA80" s="30">
        <v>0.55900000000000005</v>
      </c>
      <c r="AB80" s="30">
        <v>0.56499999999999995</v>
      </c>
      <c r="AC80" s="30">
        <v>0.56200000000000006</v>
      </c>
      <c r="AD80" s="30">
        <v>0.56100000000000005</v>
      </c>
      <c r="AE80" s="30">
        <v>0.56399999999999995</v>
      </c>
      <c r="AF80" s="30">
        <v>0.56200000000000006</v>
      </c>
      <c r="AG80" s="30">
        <v>0.56000000000000005</v>
      </c>
      <c r="AH80" s="30">
        <v>0.56000000000000005</v>
      </c>
      <c r="AI80" s="30">
        <v>0.56299999999999994</v>
      </c>
      <c r="AJ80" s="30">
        <v>0.56200000000000006</v>
      </c>
      <c r="AK80" s="30">
        <v>0.56599999999999995</v>
      </c>
      <c r="AL80" s="30">
        <v>0.56499999999999995</v>
      </c>
      <c r="AM80" s="30">
        <v>0.56299999999999994</v>
      </c>
      <c r="AN80" s="30">
        <v>0.56000000000000005</v>
      </c>
      <c r="AO80" s="30"/>
      <c r="AP80" s="30">
        <v>0.55700000000000005</v>
      </c>
      <c r="AQ80" s="30">
        <v>0.56100000000000005</v>
      </c>
      <c r="AR80" s="30">
        <v>0.56399999999999995</v>
      </c>
      <c r="AS80" s="30">
        <v>0.56100000000000005</v>
      </c>
      <c r="AT80" s="30">
        <v>0.55800000000000005</v>
      </c>
      <c r="AU80" s="30">
        <v>0.55700000000000005</v>
      </c>
      <c r="AV80" s="30">
        <v>0.55900000000000005</v>
      </c>
      <c r="AW80" s="30">
        <v>0.55600000000000005</v>
      </c>
      <c r="AX80" s="30"/>
      <c r="AY80" s="30"/>
      <c r="AZ80" s="30"/>
    </row>
    <row r="81" spans="1:52" ht="18" customHeight="1">
      <c r="A81" s="23"/>
      <c r="B81" s="12"/>
      <c r="C81" s="75" t="s">
        <v>65</v>
      </c>
      <c r="D81" s="35" t="s">
        <v>223</v>
      </c>
      <c r="E81" s="35"/>
      <c r="F81" s="29" t="s">
        <v>224</v>
      </c>
      <c r="G81" s="38">
        <v>0.49</v>
      </c>
      <c r="H81" s="38">
        <v>0.06</v>
      </c>
      <c r="I81" s="38">
        <v>0.06</v>
      </c>
      <c r="J81" s="38">
        <v>0.06</v>
      </c>
      <c r="K81" s="38">
        <v>0.06</v>
      </c>
      <c r="L81" s="30">
        <f t="shared" si="4"/>
        <v>0.54600000000000004</v>
      </c>
      <c r="M81" s="30">
        <f t="shared" si="5"/>
        <v>0.52700000000000002</v>
      </c>
      <c r="N81" s="30">
        <f t="shared" si="6"/>
        <v>1.9000000000000017E-2</v>
      </c>
      <c r="O81" s="31">
        <f t="shared" si="7"/>
        <v>0.5391034482758621</v>
      </c>
      <c r="P81" s="52"/>
      <c r="Q81" s="30">
        <v>0.52700000000000002</v>
      </c>
      <c r="R81" s="30">
        <v>0.53</v>
      </c>
      <c r="S81" s="30">
        <v>0.53500000000000003</v>
      </c>
      <c r="T81" s="30">
        <v>0.52900000000000003</v>
      </c>
      <c r="U81" s="30">
        <v>0.53800000000000003</v>
      </c>
      <c r="V81" s="30">
        <v>0.54</v>
      </c>
      <c r="W81" s="30">
        <v>0.53600000000000003</v>
      </c>
      <c r="X81" s="30">
        <v>0.54</v>
      </c>
      <c r="Y81" s="30">
        <v>0.54100000000000004</v>
      </c>
      <c r="Z81" s="30">
        <v>0.54200000000000004</v>
      </c>
      <c r="AA81" s="30">
        <v>0.53800000000000003</v>
      </c>
      <c r="AB81" s="30">
        <v>0.54300000000000004</v>
      </c>
      <c r="AC81" s="30">
        <v>0.54300000000000004</v>
      </c>
      <c r="AD81" s="30">
        <v>0.54100000000000004</v>
      </c>
      <c r="AE81" s="30">
        <v>0.54200000000000004</v>
      </c>
      <c r="AF81" s="30">
        <v>0.54100000000000004</v>
      </c>
      <c r="AG81" s="30">
        <v>0.54</v>
      </c>
      <c r="AH81" s="30">
        <v>0.54200000000000004</v>
      </c>
      <c r="AI81" s="30">
        <v>0.54300000000000004</v>
      </c>
      <c r="AJ81" s="30">
        <v>0.53900000000000003</v>
      </c>
      <c r="AK81" s="30">
        <v>0.54500000000000004</v>
      </c>
      <c r="AL81" s="30">
        <v>0.54600000000000004</v>
      </c>
      <c r="AM81" s="30">
        <v>0.54100000000000004</v>
      </c>
      <c r="AN81" s="30">
        <v>0.53700000000000003</v>
      </c>
      <c r="AO81" s="30"/>
      <c r="AP81" s="30">
        <v>0.53300000000000003</v>
      </c>
      <c r="AQ81" s="30">
        <v>0.54</v>
      </c>
      <c r="AR81" s="30">
        <v>0.54</v>
      </c>
      <c r="AS81" s="30">
        <v>0.54100000000000004</v>
      </c>
      <c r="AT81" s="30">
        <v>0.54100000000000004</v>
      </c>
      <c r="AU81" s="30">
        <v>0.54600000000000004</v>
      </c>
      <c r="AV81" s="30">
        <v>0.53900000000000003</v>
      </c>
      <c r="AW81" s="30">
        <v>0.53900000000000003</v>
      </c>
      <c r="AX81" s="30"/>
      <c r="AY81" s="30"/>
      <c r="AZ81" s="30"/>
    </row>
    <row r="82" spans="1:52" ht="18" customHeight="1">
      <c r="A82" s="23"/>
      <c r="B82" s="12"/>
      <c r="C82" s="79" t="s">
        <v>225</v>
      </c>
      <c r="D82" s="35" t="s">
        <v>226</v>
      </c>
      <c r="E82" s="35"/>
      <c r="F82" s="29" t="s">
        <v>227</v>
      </c>
      <c r="G82" s="38">
        <v>4.78</v>
      </c>
      <c r="H82" s="38">
        <v>0.03</v>
      </c>
      <c r="I82" s="38">
        <v>0.03</v>
      </c>
      <c r="J82" s="38">
        <v>0.03</v>
      </c>
      <c r="K82" s="38">
        <v>0.03</v>
      </c>
      <c r="L82" s="30">
        <f t="shared" si="4"/>
        <v>4.7844090000000001</v>
      </c>
      <c r="M82" s="30">
        <f t="shared" si="5"/>
        <v>4.7800399999999996</v>
      </c>
      <c r="N82" s="30">
        <f t="shared" si="6"/>
        <v>4.3690000000005114E-3</v>
      </c>
      <c r="O82" s="31">
        <f t="shared" si="7"/>
        <v>4.7828363793103454</v>
      </c>
      <c r="P82" s="52"/>
      <c r="Q82" s="30">
        <v>4.7825319999999998</v>
      </c>
      <c r="R82" s="30">
        <v>4.7829920000000001</v>
      </c>
      <c r="S82" s="30">
        <v>4.7826490000000002</v>
      </c>
      <c r="T82" s="30">
        <v>4.7821090000000002</v>
      </c>
      <c r="U82" s="30">
        <v>4.7831530000000004</v>
      </c>
      <c r="V82" s="30">
        <v>4.7827219999999997</v>
      </c>
      <c r="W82" s="30">
        <v>4.7825680000000004</v>
      </c>
      <c r="X82" s="30">
        <v>4.7830009999999996</v>
      </c>
      <c r="Y82" s="30">
        <v>4.7825579999999999</v>
      </c>
      <c r="Z82" s="30">
        <v>4.7828160000000004</v>
      </c>
      <c r="AA82" s="30">
        <v>4.7833350000000001</v>
      </c>
      <c r="AB82" s="30">
        <v>4.7828860000000004</v>
      </c>
      <c r="AC82" s="30">
        <v>4.7843429999999998</v>
      </c>
      <c r="AD82" s="30">
        <v>4.7844090000000001</v>
      </c>
      <c r="AE82" s="30">
        <v>4.7831830000000002</v>
      </c>
      <c r="AF82" s="30">
        <v>4.7840410000000002</v>
      </c>
      <c r="AG82" s="30">
        <v>4.7843340000000003</v>
      </c>
      <c r="AH82" s="30">
        <v>4.7836150000000002</v>
      </c>
      <c r="AI82" s="30">
        <v>4.7830589999999997</v>
      </c>
      <c r="AJ82" s="30">
        <v>4.7830620000000001</v>
      </c>
      <c r="AK82" s="30">
        <v>4.7827500000000001</v>
      </c>
      <c r="AL82" s="30">
        <v>4.7832059999999998</v>
      </c>
      <c r="AM82" s="30">
        <v>4.7834149999999998</v>
      </c>
      <c r="AN82" s="30">
        <v>4.7824350000000004</v>
      </c>
      <c r="AO82" s="30"/>
      <c r="AP82" s="30">
        <v>4.7800399999999996</v>
      </c>
      <c r="AQ82" s="30">
        <v>4.7811890000000004</v>
      </c>
      <c r="AR82" s="30">
        <v>4.7814639999999997</v>
      </c>
      <c r="AS82" s="30">
        <v>4.7825009999999999</v>
      </c>
      <c r="AT82" s="30">
        <v>4.7818880000000004</v>
      </c>
      <c r="AU82" s="30">
        <v>4.7815009999999996</v>
      </c>
      <c r="AV82" s="30">
        <v>4.7821699999999998</v>
      </c>
      <c r="AW82" s="30">
        <v>4.7820780000000003</v>
      </c>
      <c r="AX82" s="30"/>
      <c r="AY82" s="30"/>
      <c r="AZ82" s="30"/>
    </row>
    <row r="83" spans="1:52" ht="18" customHeight="1">
      <c r="A83" s="23"/>
      <c r="B83" s="12"/>
      <c r="C83" s="79" t="s">
        <v>225</v>
      </c>
      <c r="D83" s="35" t="s">
        <v>228</v>
      </c>
      <c r="E83" s="35"/>
      <c r="F83" s="29" t="s">
        <v>229</v>
      </c>
      <c r="G83" s="38">
        <v>0</v>
      </c>
      <c r="H83" s="38">
        <v>0.12</v>
      </c>
      <c r="I83" s="38">
        <v>0</v>
      </c>
      <c r="J83" s="38">
        <v>0.12</v>
      </c>
      <c r="K83" s="38">
        <v>0</v>
      </c>
      <c r="L83" s="30">
        <f t="shared" si="4"/>
        <v>6.5204999999999999E-2</v>
      </c>
      <c r="M83" s="30">
        <f t="shared" si="5"/>
        <v>3.8374999999999999E-2</v>
      </c>
      <c r="N83" s="30">
        <f t="shared" si="6"/>
        <v>2.683E-2</v>
      </c>
      <c r="O83" s="31">
        <f t="shared" si="7"/>
        <v>4.8299965517241375E-2</v>
      </c>
      <c r="P83" s="52"/>
      <c r="Q83" s="30">
        <v>5.7812000000000002E-2</v>
      </c>
      <c r="R83" s="30">
        <v>4.1953999999999998E-2</v>
      </c>
      <c r="S83" s="30">
        <v>4.7615999999999999E-2</v>
      </c>
      <c r="T83" s="30">
        <v>6.5204999999999999E-2</v>
      </c>
      <c r="U83" s="30">
        <v>4.6232000000000002E-2</v>
      </c>
      <c r="V83" s="30">
        <v>4.6891000000000002E-2</v>
      </c>
      <c r="W83" s="30">
        <v>4.7079999999999997E-2</v>
      </c>
      <c r="X83" s="30">
        <v>5.4103999999999999E-2</v>
      </c>
      <c r="Y83" s="30">
        <v>4.8897999999999997E-2</v>
      </c>
      <c r="Z83" s="30">
        <v>4.3922000000000003E-2</v>
      </c>
      <c r="AA83" s="30">
        <v>5.2303000000000002E-2</v>
      </c>
      <c r="AB83" s="30">
        <v>5.3358999999999997E-2</v>
      </c>
      <c r="AC83" s="30">
        <v>5.5978E-2</v>
      </c>
      <c r="AD83" s="30">
        <v>5.1081000000000001E-2</v>
      </c>
      <c r="AE83" s="30">
        <v>3.8374999999999999E-2</v>
      </c>
      <c r="AF83" s="30">
        <v>4.7238000000000002E-2</v>
      </c>
      <c r="AG83" s="30">
        <v>5.6931000000000002E-2</v>
      </c>
      <c r="AH83" s="30">
        <v>4.6266000000000002E-2</v>
      </c>
      <c r="AI83" s="30">
        <v>5.3380999999999998E-2</v>
      </c>
      <c r="AJ83" s="30">
        <v>5.3217E-2</v>
      </c>
      <c r="AK83" s="30">
        <v>4.4006000000000003E-2</v>
      </c>
      <c r="AL83" s="30">
        <v>4.7509000000000003E-2</v>
      </c>
      <c r="AM83" s="30">
        <v>4.4814E-2</v>
      </c>
      <c r="AN83" s="30">
        <v>4.8064999999999997E-2</v>
      </c>
      <c r="AO83" s="30"/>
      <c r="AP83" s="30">
        <v>3.9912000000000003E-2</v>
      </c>
      <c r="AQ83" s="30">
        <v>4.3969000000000001E-2</v>
      </c>
      <c r="AR83" s="30">
        <v>4.1829999999999999E-2</v>
      </c>
      <c r="AS83" s="30">
        <v>4.4028999999999999E-2</v>
      </c>
      <c r="AT83" s="30">
        <v>3.8721999999999999E-2</v>
      </c>
      <c r="AU83" s="30">
        <v>4.8978000000000001E-2</v>
      </c>
      <c r="AV83" s="30">
        <v>3.8557000000000001E-2</v>
      </c>
      <c r="AW83" s="30">
        <v>3.7192999999999997E-2</v>
      </c>
      <c r="AX83" s="30"/>
      <c r="AY83" s="30"/>
      <c r="AZ83" s="30"/>
    </row>
    <row r="84" spans="1:52" ht="18" customHeight="1">
      <c r="A84" s="23"/>
      <c r="B84" s="12"/>
      <c r="C84" s="79" t="s">
        <v>225</v>
      </c>
      <c r="D84" s="35" t="s">
        <v>230</v>
      </c>
      <c r="E84" s="35"/>
      <c r="F84" s="29" t="s">
        <v>231</v>
      </c>
      <c r="G84" s="38">
        <v>12.13</v>
      </c>
      <c r="H84" s="38">
        <v>0.06</v>
      </c>
      <c r="I84" s="38">
        <v>0.06</v>
      </c>
      <c r="J84" s="38">
        <v>0.08</v>
      </c>
      <c r="K84" s="38">
        <v>0.06</v>
      </c>
      <c r="L84" s="30">
        <f t="shared" si="4"/>
        <v>12.207652</v>
      </c>
      <c r="M84" s="30">
        <f t="shared" si="5"/>
        <v>12.172131</v>
      </c>
      <c r="N84" s="30">
        <f t="shared" si="6"/>
        <v>3.5520999999999248E-2</v>
      </c>
      <c r="O84" s="31">
        <f t="shared" si="7"/>
        <v>12.193450862068968</v>
      </c>
      <c r="P84" s="52"/>
      <c r="Q84" s="30">
        <v>12.203881000000001</v>
      </c>
      <c r="R84" s="30">
        <v>12.192216999999999</v>
      </c>
      <c r="S84" s="30">
        <v>12.202170000000001</v>
      </c>
      <c r="T84" s="30">
        <v>12.207652</v>
      </c>
      <c r="U84" s="30">
        <v>12.200305999999999</v>
      </c>
      <c r="V84" s="30">
        <v>12.196864</v>
      </c>
      <c r="W84" s="30">
        <v>12.19384</v>
      </c>
      <c r="X84" s="30">
        <v>12.197850000000001</v>
      </c>
      <c r="Y84" s="30">
        <v>12.195570999999999</v>
      </c>
      <c r="Z84" s="30">
        <v>12.196275999999999</v>
      </c>
      <c r="AA84" s="30">
        <v>12.195258000000001</v>
      </c>
      <c r="AB84" s="30">
        <v>12.192753</v>
      </c>
      <c r="AC84" s="30">
        <v>12.201279</v>
      </c>
      <c r="AD84" s="30">
        <v>12.196921</v>
      </c>
      <c r="AE84" s="30">
        <v>12.194758</v>
      </c>
      <c r="AF84" s="30">
        <v>12.197013</v>
      </c>
      <c r="AG84" s="30">
        <v>12.198547</v>
      </c>
      <c r="AH84" s="30">
        <v>12.192488000000001</v>
      </c>
      <c r="AI84" s="30">
        <v>12.196031</v>
      </c>
      <c r="AJ84" s="30">
        <v>12.198027</v>
      </c>
      <c r="AK84" s="30">
        <v>12.190151999999999</v>
      </c>
      <c r="AL84" s="30">
        <v>12.190417999999999</v>
      </c>
      <c r="AM84" s="30">
        <v>12.192095999999999</v>
      </c>
      <c r="AN84" s="30">
        <v>12.183398</v>
      </c>
      <c r="AO84" s="30"/>
      <c r="AP84" s="30">
        <v>12.186864999999999</v>
      </c>
      <c r="AQ84" s="30">
        <v>12.181468000000001</v>
      </c>
      <c r="AR84" s="30">
        <v>12.172131</v>
      </c>
      <c r="AS84" s="30">
        <v>12.183242</v>
      </c>
      <c r="AT84" s="30">
        <v>12.180603</v>
      </c>
      <c r="AU84" s="30">
        <v>12.17938</v>
      </c>
      <c r="AV84" s="30">
        <v>12.176942</v>
      </c>
      <c r="AW84" s="30">
        <v>12.178292000000001</v>
      </c>
      <c r="AX84" s="30"/>
      <c r="AY84" s="30"/>
      <c r="AZ84" s="30"/>
    </row>
    <row r="85" spans="1:52" ht="18" customHeight="1">
      <c r="A85" s="23"/>
      <c r="B85" s="12"/>
      <c r="C85" s="79" t="s">
        <v>225</v>
      </c>
      <c r="D85" s="35" t="s">
        <v>232</v>
      </c>
      <c r="E85" s="35"/>
      <c r="F85" s="29" t="s">
        <v>233</v>
      </c>
      <c r="G85" s="38">
        <v>12.13</v>
      </c>
      <c r="H85" s="38">
        <v>0.06</v>
      </c>
      <c r="I85" s="38">
        <v>0.06</v>
      </c>
      <c r="J85" s="38">
        <v>0.08</v>
      </c>
      <c r="K85" s="38">
        <v>0.06</v>
      </c>
      <c r="L85" s="30">
        <f t="shared" si="4"/>
        <v>12.174531</v>
      </c>
      <c r="M85" s="30">
        <f t="shared" si="5"/>
        <v>12.151305000000001</v>
      </c>
      <c r="N85" s="30">
        <f t="shared" si="6"/>
        <v>2.3225999999999303E-2</v>
      </c>
      <c r="O85" s="31">
        <f t="shared" si="7"/>
        <v>12.166487724137927</v>
      </c>
      <c r="P85" s="52"/>
      <c r="Q85" s="30">
        <v>12.171849999999999</v>
      </c>
      <c r="R85" s="30">
        <v>12.167764999999999</v>
      </c>
      <c r="S85" s="30">
        <v>12.174531</v>
      </c>
      <c r="T85" s="30">
        <v>12.173275</v>
      </c>
      <c r="U85" s="30">
        <v>12.172136</v>
      </c>
      <c r="V85" s="30">
        <v>12.171491</v>
      </c>
      <c r="W85" s="30">
        <v>12.166418</v>
      </c>
      <c r="X85" s="30">
        <v>12.17083</v>
      </c>
      <c r="Y85" s="30">
        <v>12.169733000000001</v>
      </c>
      <c r="Z85" s="30">
        <v>12.169388</v>
      </c>
      <c r="AA85" s="30">
        <v>12.166623</v>
      </c>
      <c r="AB85" s="30">
        <v>12.163244000000001</v>
      </c>
      <c r="AC85" s="30">
        <v>12.171348</v>
      </c>
      <c r="AD85" s="30">
        <v>12.169154000000001</v>
      </c>
      <c r="AE85" s="30">
        <v>12.170275999999999</v>
      </c>
      <c r="AF85" s="30">
        <v>12.170745999999999</v>
      </c>
      <c r="AG85" s="30">
        <v>12.169513999999999</v>
      </c>
      <c r="AH85" s="30">
        <v>12.166242</v>
      </c>
      <c r="AI85" s="30">
        <v>12.167508</v>
      </c>
      <c r="AJ85" s="30">
        <v>12.168457</v>
      </c>
      <c r="AK85" s="30">
        <v>12.166086999999999</v>
      </c>
      <c r="AL85" s="30">
        <v>12.163918000000001</v>
      </c>
      <c r="AM85" s="30">
        <v>12.163957999999999</v>
      </c>
      <c r="AN85" s="30">
        <v>12.152893000000001</v>
      </c>
      <c r="AO85" s="30"/>
      <c r="AP85" s="30">
        <v>12.164793</v>
      </c>
      <c r="AQ85" s="30">
        <v>12.157045</v>
      </c>
      <c r="AR85" s="30">
        <v>12.151305000000001</v>
      </c>
      <c r="AS85" s="30">
        <v>12.156167</v>
      </c>
      <c r="AT85" s="30">
        <v>12.161448999999999</v>
      </c>
      <c r="AU85" s="30">
        <v>12.152946</v>
      </c>
      <c r="AV85" s="30">
        <v>12.157821999999999</v>
      </c>
      <c r="AW85" s="30">
        <v>12.160242</v>
      </c>
      <c r="AX85" s="30"/>
      <c r="AY85" s="30"/>
      <c r="AZ85" s="30"/>
    </row>
    <row r="86" spans="1:52" ht="18" customHeight="1">
      <c r="A86" s="23"/>
      <c r="B86" s="12"/>
      <c r="C86" s="79" t="s">
        <v>225</v>
      </c>
      <c r="D86" s="35" t="s">
        <v>234</v>
      </c>
      <c r="E86" s="35"/>
      <c r="F86" s="29" t="s">
        <v>235</v>
      </c>
      <c r="G86" s="38">
        <v>12.13</v>
      </c>
      <c r="H86" s="38">
        <v>0.06</v>
      </c>
      <c r="I86" s="38">
        <v>0.06</v>
      </c>
      <c r="J86" s="38">
        <v>0.08</v>
      </c>
      <c r="K86" s="38">
        <v>0.06</v>
      </c>
      <c r="L86" s="30">
        <f t="shared" si="4"/>
        <v>12.182518</v>
      </c>
      <c r="M86" s="30">
        <f t="shared" si="5"/>
        <v>12.158612</v>
      </c>
      <c r="N86" s="30">
        <f t="shared" si="6"/>
        <v>2.3906000000000205E-2</v>
      </c>
      <c r="O86" s="31">
        <f t="shared" si="7"/>
        <v>12.174809068965519</v>
      </c>
      <c r="P86" s="52"/>
      <c r="Q86" s="30">
        <v>12.174863</v>
      </c>
      <c r="R86" s="30">
        <v>12.177944999999999</v>
      </c>
      <c r="S86" s="30">
        <v>12.179802</v>
      </c>
      <c r="T86" s="30">
        <v>12.174257000000001</v>
      </c>
      <c r="U86" s="30">
        <v>12.179819999999999</v>
      </c>
      <c r="V86" s="30">
        <v>12.180932</v>
      </c>
      <c r="W86" s="30">
        <v>12.176557000000001</v>
      </c>
      <c r="X86" s="30">
        <v>12.177426000000001</v>
      </c>
      <c r="Y86" s="30">
        <v>12.179376</v>
      </c>
      <c r="Z86" s="30">
        <v>12.177727000000001</v>
      </c>
      <c r="AA86" s="30">
        <v>12.175205</v>
      </c>
      <c r="AB86" s="30">
        <v>12.172572000000001</v>
      </c>
      <c r="AC86" s="30">
        <v>12.182518</v>
      </c>
      <c r="AD86" s="30">
        <v>12.181315</v>
      </c>
      <c r="AE86" s="30">
        <v>12.182295999999999</v>
      </c>
      <c r="AF86" s="30">
        <v>12.180102</v>
      </c>
      <c r="AG86" s="30">
        <v>12.177432</v>
      </c>
      <c r="AH86" s="30">
        <v>12.177508</v>
      </c>
      <c r="AI86" s="30">
        <v>12.179019</v>
      </c>
      <c r="AJ86" s="30">
        <v>12.177035</v>
      </c>
      <c r="AK86" s="30">
        <v>12.178272</v>
      </c>
      <c r="AL86" s="30">
        <v>12.173667999999999</v>
      </c>
      <c r="AM86" s="30">
        <v>12.17592</v>
      </c>
      <c r="AN86" s="30">
        <v>12.161466000000001</v>
      </c>
      <c r="AO86" s="30"/>
      <c r="AP86" s="30">
        <v>12.169497</v>
      </c>
      <c r="AQ86" s="30">
        <v>12.159336</v>
      </c>
      <c r="AR86" s="30">
        <v>12.158612</v>
      </c>
      <c r="AS86" s="30">
        <v>12.162288999999999</v>
      </c>
      <c r="AT86" s="30">
        <v>12.166696</v>
      </c>
      <c r="AU86" s="30">
        <v>12.155768999999999</v>
      </c>
      <c r="AV86" s="30">
        <v>12.163185</v>
      </c>
      <c r="AW86" s="30">
        <v>12.169803999999999</v>
      </c>
      <c r="AX86" s="30"/>
      <c r="AY86" s="30"/>
      <c r="AZ86" s="30"/>
    </row>
    <row r="87" spans="1:52" ht="18" customHeight="1">
      <c r="A87" s="23"/>
      <c r="B87" s="12"/>
      <c r="C87" s="79" t="s">
        <v>225</v>
      </c>
      <c r="D87" s="35" t="s">
        <v>236</v>
      </c>
      <c r="E87" s="35"/>
      <c r="F87" s="29" t="s">
        <v>237</v>
      </c>
      <c r="G87" s="38">
        <v>12.13</v>
      </c>
      <c r="H87" s="38">
        <v>0.06</v>
      </c>
      <c r="I87" s="38">
        <v>0.06</v>
      </c>
      <c r="J87" s="38">
        <v>0.08</v>
      </c>
      <c r="K87" s="38">
        <v>0.06</v>
      </c>
      <c r="L87" s="30">
        <f t="shared" si="4"/>
        <v>12.172885000000001</v>
      </c>
      <c r="M87" s="30">
        <f t="shared" si="5"/>
        <v>12.150185</v>
      </c>
      <c r="N87" s="30">
        <f t="shared" si="6"/>
        <v>2.2700000000000387E-2</v>
      </c>
      <c r="O87" s="31">
        <f t="shared" si="7"/>
        <v>12.164095206896549</v>
      </c>
      <c r="P87" s="52"/>
      <c r="Q87" s="30">
        <v>12.16038</v>
      </c>
      <c r="R87" s="30">
        <v>12.169718</v>
      </c>
      <c r="S87" s="30">
        <v>12.167134000000001</v>
      </c>
      <c r="T87" s="30">
        <v>12.157074</v>
      </c>
      <c r="U87" s="30">
        <v>12.169401000000001</v>
      </c>
      <c r="V87" s="30">
        <v>12.170500000000001</v>
      </c>
      <c r="W87" s="30">
        <v>12.167014</v>
      </c>
      <c r="X87" s="30">
        <v>12.165436</v>
      </c>
      <c r="Y87" s="30">
        <v>12.168722000000001</v>
      </c>
      <c r="Z87" s="30">
        <v>12.167182</v>
      </c>
      <c r="AA87" s="30">
        <v>12.163802</v>
      </c>
      <c r="AB87" s="30">
        <v>12.164405</v>
      </c>
      <c r="AC87" s="30">
        <v>12.169328</v>
      </c>
      <c r="AD87" s="30">
        <v>12.170811</v>
      </c>
      <c r="AE87" s="30">
        <v>12.172885000000001</v>
      </c>
      <c r="AF87" s="30">
        <v>12.168913</v>
      </c>
      <c r="AG87" s="30">
        <v>12.16503</v>
      </c>
      <c r="AH87" s="30">
        <v>12.167411</v>
      </c>
      <c r="AI87" s="30">
        <v>12.165372</v>
      </c>
      <c r="AJ87" s="30">
        <v>12.163501</v>
      </c>
      <c r="AK87" s="30">
        <v>12.168564</v>
      </c>
      <c r="AL87" s="30">
        <v>12.164517999999999</v>
      </c>
      <c r="AM87" s="30">
        <v>12.166320000000001</v>
      </c>
      <c r="AN87" s="30">
        <v>12.152614</v>
      </c>
      <c r="AO87" s="30"/>
      <c r="AP87" s="30">
        <v>12.158198000000001</v>
      </c>
      <c r="AQ87" s="30">
        <v>12.150185</v>
      </c>
      <c r="AR87" s="30">
        <v>12.153739</v>
      </c>
      <c r="AS87" s="30">
        <v>12.152174</v>
      </c>
      <c r="AT87" s="30">
        <v>12.158429999999999</v>
      </c>
      <c r="AU87" s="30">
        <v>12.147175000000001</v>
      </c>
      <c r="AV87" s="30">
        <v>12.156082</v>
      </c>
      <c r="AW87" s="30">
        <v>12.162044</v>
      </c>
      <c r="AX87" s="30"/>
      <c r="AY87" s="30"/>
      <c r="AZ87" s="30"/>
    </row>
    <row r="88" spans="1:52" ht="18" customHeight="1">
      <c r="A88" s="23"/>
      <c r="B88" s="12"/>
      <c r="C88" s="79" t="s">
        <v>225</v>
      </c>
      <c r="D88" s="35" t="s">
        <v>238</v>
      </c>
      <c r="E88" s="35"/>
      <c r="F88" s="29" t="s">
        <v>239</v>
      </c>
      <c r="G88" s="38">
        <v>12.13</v>
      </c>
      <c r="H88" s="38">
        <v>0.06</v>
      </c>
      <c r="I88" s="38">
        <v>0.06</v>
      </c>
      <c r="J88" s="38">
        <v>0.08</v>
      </c>
      <c r="K88" s="38">
        <v>0.06</v>
      </c>
      <c r="L88" s="30">
        <f t="shared" si="4"/>
        <v>12.167081</v>
      </c>
      <c r="M88" s="30">
        <f t="shared" si="5"/>
        <v>12.142860000000001</v>
      </c>
      <c r="N88" s="30">
        <f t="shared" si="6"/>
        <v>2.4220999999998938E-2</v>
      </c>
      <c r="O88" s="31">
        <f t="shared" si="7"/>
        <v>12.158404931034481</v>
      </c>
      <c r="P88" s="52"/>
      <c r="Q88" s="30">
        <v>12.154451999999999</v>
      </c>
      <c r="R88" s="30">
        <v>12.164756000000001</v>
      </c>
      <c r="S88" s="30">
        <v>12.160029</v>
      </c>
      <c r="T88" s="30">
        <v>12.150295</v>
      </c>
      <c r="U88" s="30">
        <v>12.162628</v>
      </c>
      <c r="V88" s="30">
        <v>12.165393</v>
      </c>
      <c r="W88" s="30">
        <v>12.160674999999999</v>
      </c>
      <c r="X88" s="30">
        <v>12.159883000000001</v>
      </c>
      <c r="Y88" s="30">
        <v>12.164842999999999</v>
      </c>
      <c r="Z88" s="30">
        <v>12.160097</v>
      </c>
      <c r="AA88" s="30">
        <v>12.157299999999999</v>
      </c>
      <c r="AB88" s="30">
        <v>12.158963999999999</v>
      </c>
      <c r="AC88" s="30">
        <v>12.165190000000001</v>
      </c>
      <c r="AD88" s="30">
        <v>12.166309999999999</v>
      </c>
      <c r="AE88" s="30">
        <v>12.167081</v>
      </c>
      <c r="AF88" s="30">
        <v>12.165647</v>
      </c>
      <c r="AG88" s="30">
        <v>12.159466</v>
      </c>
      <c r="AH88" s="30">
        <v>12.162431</v>
      </c>
      <c r="AI88" s="30">
        <v>12.161246</v>
      </c>
      <c r="AJ88" s="30">
        <v>12.157769</v>
      </c>
      <c r="AK88" s="30">
        <v>12.165141999999999</v>
      </c>
      <c r="AL88" s="30">
        <v>12.158951999999999</v>
      </c>
      <c r="AM88" s="30">
        <v>12.160386000000001</v>
      </c>
      <c r="AN88" s="30">
        <v>12.14443</v>
      </c>
      <c r="AO88" s="30"/>
      <c r="AP88" s="30">
        <v>12.150506999999999</v>
      </c>
      <c r="AQ88" s="30">
        <v>12.142860000000001</v>
      </c>
      <c r="AR88" s="30">
        <v>12.147366999999999</v>
      </c>
      <c r="AS88" s="30">
        <v>12.144739</v>
      </c>
      <c r="AT88" s="30">
        <v>12.154904999999999</v>
      </c>
      <c r="AU88" s="30">
        <v>12.139184999999999</v>
      </c>
      <c r="AV88" s="30">
        <v>12.151498</v>
      </c>
      <c r="AW88" s="30">
        <v>12.159948999999999</v>
      </c>
      <c r="AX88" s="30"/>
      <c r="AY88" s="30"/>
      <c r="AZ88" s="30"/>
    </row>
    <row r="89" spans="1:52" ht="18" customHeight="1">
      <c r="A89" s="23"/>
      <c r="B89" s="12"/>
      <c r="C89" s="79" t="s">
        <v>225</v>
      </c>
      <c r="D89" s="35" t="s">
        <v>240</v>
      </c>
      <c r="E89" s="35"/>
      <c r="F89" s="29" t="s">
        <v>241</v>
      </c>
      <c r="G89" s="38">
        <v>12.13</v>
      </c>
      <c r="H89" s="38">
        <v>0.06</v>
      </c>
      <c r="I89" s="38">
        <v>0.06</v>
      </c>
      <c r="J89" s="38">
        <v>0.08</v>
      </c>
      <c r="K89" s="38">
        <v>0.06</v>
      </c>
      <c r="L89" s="30">
        <f t="shared" si="4"/>
        <v>12.164070000000001</v>
      </c>
      <c r="M89" s="30">
        <f t="shared" si="5"/>
        <v>12.136342000000001</v>
      </c>
      <c r="N89" s="30">
        <f t="shared" si="6"/>
        <v>2.7727999999999753E-2</v>
      </c>
      <c r="O89" s="31">
        <f t="shared" si="7"/>
        <v>12.154793551724138</v>
      </c>
      <c r="P89" s="52"/>
      <c r="Q89" s="30">
        <v>12.14978</v>
      </c>
      <c r="R89" s="30">
        <v>12.162139</v>
      </c>
      <c r="S89" s="30">
        <v>12.156829999999999</v>
      </c>
      <c r="T89" s="30">
        <v>12.145269000000001</v>
      </c>
      <c r="U89" s="30">
        <v>12.158639000000001</v>
      </c>
      <c r="V89" s="30">
        <v>12.162504</v>
      </c>
      <c r="W89" s="30">
        <v>12.158365</v>
      </c>
      <c r="X89" s="30">
        <v>12.15681</v>
      </c>
      <c r="Y89" s="30">
        <v>12.164070000000001</v>
      </c>
      <c r="Z89" s="30">
        <v>12.15616</v>
      </c>
      <c r="AA89" s="30">
        <v>12.153544999999999</v>
      </c>
      <c r="AB89" s="30">
        <v>12.157830000000001</v>
      </c>
      <c r="AC89" s="30">
        <v>12.16334</v>
      </c>
      <c r="AD89" s="30">
        <v>12.163220000000001</v>
      </c>
      <c r="AE89" s="30">
        <v>12.161731</v>
      </c>
      <c r="AF89" s="30">
        <v>12.162909000000001</v>
      </c>
      <c r="AG89" s="30">
        <v>12.155659</v>
      </c>
      <c r="AH89" s="30">
        <v>12.158507999999999</v>
      </c>
      <c r="AI89" s="30">
        <v>12.157897</v>
      </c>
      <c r="AJ89" s="30">
        <v>12.154014</v>
      </c>
      <c r="AK89" s="30">
        <v>12.162964000000001</v>
      </c>
      <c r="AL89" s="30">
        <v>12.154641</v>
      </c>
      <c r="AM89" s="30">
        <v>12.155799</v>
      </c>
      <c r="AN89" s="30">
        <v>12.136342000000001</v>
      </c>
      <c r="AO89" s="30"/>
      <c r="AP89" s="30">
        <v>12.146252</v>
      </c>
      <c r="AQ89" s="30">
        <v>12.138172000000001</v>
      </c>
      <c r="AR89" s="30">
        <v>12.145443</v>
      </c>
      <c r="AS89" s="30">
        <v>12.138676</v>
      </c>
      <c r="AT89" s="30">
        <v>12.151505</v>
      </c>
      <c r="AU89" s="30">
        <v>12.132892</v>
      </c>
      <c r="AV89" s="30">
        <v>12.148275999999999</v>
      </c>
      <c r="AW89" s="30">
        <v>12.157204999999999</v>
      </c>
      <c r="AX89" s="30"/>
      <c r="AY89" s="30"/>
      <c r="AZ89" s="30"/>
    </row>
    <row r="90" spans="1:52" ht="18" customHeight="1">
      <c r="A90" s="23"/>
      <c r="B90" s="12"/>
      <c r="C90" s="79" t="s">
        <v>225</v>
      </c>
      <c r="D90" s="35" t="s">
        <v>242</v>
      </c>
      <c r="E90" s="35"/>
      <c r="F90" s="29" t="s">
        <v>243</v>
      </c>
      <c r="G90" s="38">
        <v>12.13</v>
      </c>
      <c r="H90" s="38">
        <v>0.06</v>
      </c>
      <c r="I90" s="38">
        <v>0.06</v>
      </c>
      <c r="J90" s="38">
        <v>0.08</v>
      </c>
      <c r="K90" s="38">
        <v>0.06</v>
      </c>
      <c r="L90" s="30">
        <f t="shared" si="4"/>
        <v>12.176449</v>
      </c>
      <c r="M90" s="30">
        <f t="shared" si="5"/>
        <v>12.139742999999999</v>
      </c>
      <c r="N90" s="30">
        <f t="shared" si="6"/>
        <v>3.6706000000000572E-2</v>
      </c>
      <c r="O90" s="31">
        <f t="shared" si="7"/>
        <v>12.16243393103448</v>
      </c>
      <c r="P90" s="52"/>
      <c r="Q90" s="30">
        <v>12.159924</v>
      </c>
      <c r="R90" s="30">
        <v>12.169767</v>
      </c>
      <c r="S90" s="30">
        <v>12.157370999999999</v>
      </c>
      <c r="T90" s="30">
        <v>12.158810000000001</v>
      </c>
      <c r="U90" s="30">
        <v>12.159416999999999</v>
      </c>
      <c r="V90" s="30">
        <v>12.166554</v>
      </c>
      <c r="W90" s="30">
        <v>12.169180000000001</v>
      </c>
      <c r="X90" s="30">
        <v>12.161663000000001</v>
      </c>
      <c r="Y90" s="30">
        <v>12.176449</v>
      </c>
      <c r="Z90" s="30">
        <v>12.157363</v>
      </c>
      <c r="AA90" s="30">
        <v>12.166135000000001</v>
      </c>
      <c r="AB90" s="30">
        <v>12.174137999999999</v>
      </c>
      <c r="AC90" s="30">
        <v>12.176323999999999</v>
      </c>
      <c r="AD90" s="30">
        <v>12.169112999999999</v>
      </c>
      <c r="AE90" s="30">
        <v>12.161350000000001</v>
      </c>
      <c r="AF90" s="30">
        <v>12.170576000000001</v>
      </c>
      <c r="AG90" s="30">
        <v>12.168093000000001</v>
      </c>
      <c r="AH90" s="30">
        <v>12.165575</v>
      </c>
      <c r="AI90" s="30">
        <v>12.168364</v>
      </c>
      <c r="AJ90" s="30">
        <v>12.163983</v>
      </c>
      <c r="AK90" s="30">
        <v>12.173422</v>
      </c>
      <c r="AL90" s="30">
        <v>12.163157</v>
      </c>
      <c r="AM90" s="30">
        <v>12.161021</v>
      </c>
      <c r="AN90" s="30">
        <v>12.144209</v>
      </c>
      <c r="AO90" s="30"/>
      <c r="AP90" s="30">
        <v>12.149024000000001</v>
      </c>
      <c r="AQ90" s="30">
        <v>12.142818</v>
      </c>
      <c r="AR90" s="30">
        <v>12.160333</v>
      </c>
      <c r="AS90" s="30">
        <v>12.139742999999999</v>
      </c>
      <c r="AT90" s="30">
        <v>12.156708</v>
      </c>
      <c r="AU90" s="30">
        <v>12.144190999999999</v>
      </c>
      <c r="AV90" s="30">
        <v>12.157018000000001</v>
      </c>
      <c r="AW90" s="30">
        <v>12.165267999999999</v>
      </c>
      <c r="AX90" s="30"/>
      <c r="AY90" s="30"/>
      <c r="AZ90" s="30"/>
    </row>
    <row r="91" spans="1:52" ht="18" customHeight="1">
      <c r="A91" s="23"/>
      <c r="B91" s="12"/>
      <c r="C91" s="79" t="s">
        <v>225</v>
      </c>
      <c r="D91" s="35" t="s">
        <v>244</v>
      </c>
      <c r="E91" s="35"/>
      <c r="F91" s="29" t="s">
        <v>245</v>
      </c>
      <c r="G91" s="38">
        <v>12.13</v>
      </c>
      <c r="H91" s="38">
        <v>0.06</v>
      </c>
      <c r="I91" s="38">
        <v>0.06</v>
      </c>
      <c r="J91" s="38">
        <v>0.08</v>
      </c>
      <c r="K91" s="38">
        <v>0.06</v>
      </c>
      <c r="L91" s="30">
        <f t="shared" si="4"/>
        <v>12.202309</v>
      </c>
      <c r="M91" s="30">
        <f t="shared" si="5"/>
        <v>12.175818</v>
      </c>
      <c r="N91" s="30">
        <f t="shared" si="6"/>
        <v>2.6491000000000042E-2</v>
      </c>
      <c r="O91" s="31">
        <f t="shared" si="7"/>
        <v>12.190781551724138</v>
      </c>
      <c r="P91" s="52"/>
      <c r="Q91" s="30">
        <v>12.192396</v>
      </c>
      <c r="R91" s="30">
        <v>12.191326</v>
      </c>
      <c r="S91" s="30">
        <v>12.186185</v>
      </c>
      <c r="T91" s="30">
        <v>12.194221000000001</v>
      </c>
      <c r="U91" s="30">
        <v>12.189627</v>
      </c>
      <c r="V91" s="30">
        <v>12.193412</v>
      </c>
      <c r="W91" s="30">
        <v>12.196545</v>
      </c>
      <c r="X91" s="30">
        <v>12.190151999999999</v>
      </c>
      <c r="Y91" s="30">
        <v>12.198579000000001</v>
      </c>
      <c r="Z91" s="30">
        <v>12.185993</v>
      </c>
      <c r="AA91" s="30">
        <v>12.196757</v>
      </c>
      <c r="AB91" s="30">
        <v>12.200961</v>
      </c>
      <c r="AC91" s="30">
        <v>12.202309</v>
      </c>
      <c r="AD91" s="30">
        <v>12.195884</v>
      </c>
      <c r="AE91" s="30">
        <v>12.187735</v>
      </c>
      <c r="AF91" s="30">
        <v>12.19455</v>
      </c>
      <c r="AG91" s="30">
        <v>12.199221</v>
      </c>
      <c r="AH91" s="30">
        <v>12.192335</v>
      </c>
      <c r="AI91" s="30">
        <v>12.196794000000001</v>
      </c>
      <c r="AJ91" s="30">
        <v>12.194165</v>
      </c>
      <c r="AK91" s="30">
        <v>12.195869999999999</v>
      </c>
      <c r="AL91" s="30">
        <v>12.191261000000001</v>
      </c>
      <c r="AM91" s="30">
        <v>12.190557999999999</v>
      </c>
      <c r="AN91" s="30">
        <v>12.178869000000001</v>
      </c>
      <c r="AO91" s="30"/>
      <c r="AP91" s="30">
        <v>12.176227000000001</v>
      </c>
      <c r="AQ91" s="30">
        <v>12.175818</v>
      </c>
      <c r="AR91" s="30">
        <v>12.185942000000001</v>
      </c>
      <c r="AS91" s="30">
        <v>12.176912</v>
      </c>
      <c r="AT91" s="30">
        <v>12.182060999999999</v>
      </c>
      <c r="AU91" s="30">
        <v>12.181910999999999</v>
      </c>
      <c r="AV91" s="30">
        <v>12.183702</v>
      </c>
      <c r="AW91" s="30">
        <v>12.186476000000001</v>
      </c>
      <c r="AX91" s="30"/>
      <c r="AY91" s="30"/>
      <c r="AZ91" s="30"/>
    </row>
    <row r="92" spans="1:52" ht="18" customHeight="1">
      <c r="A92" s="23"/>
      <c r="B92" s="12"/>
      <c r="C92" s="79" t="s">
        <v>225</v>
      </c>
      <c r="D92" s="35" t="s">
        <v>246</v>
      </c>
      <c r="E92" s="35"/>
      <c r="F92" s="29" t="s">
        <v>247</v>
      </c>
      <c r="G92" s="38">
        <v>12.13</v>
      </c>
      <c r="H92" s="38">
        <v>0.06</v>
      </c>
      <c r="I92" s="38">
        <v>0.06</v>
      </c>
      <c r="J92" s="38">
        <v>0.08</v>
      </c>
      <c r="K92" s="38">
        <v>0.06</v>
      </c>
      <c r="L92" s="30">
        <f t="shared" si="4"/>
        <v>12.201172</v>
      </c>
      <c r="M92" s="30">
        <f t="shared" si="5"/>
        <v>12.170336000000001</v>
      </c>
      <c r="N92" s="30">
        <f t="shared" si="6"/>
        <v>3.0835999999998975E-2</v>
      </c>
      <c r="O92" s="31">
        <f t="shared" si="7"/>
        <v>12.185463344827589</v>
      </c>
      <c r="P92" s="52"/>
      <c r="Q92" s="30">
        <v>12.193669</v>
      </c>
      <c r="R92" s="30">
        <v>12.183666000000001</v>
      </c>
      <c r="S92" s="30">
        <v>12.1837</v>
      </c>
      <c r="T92" s="30">
        <v>12.201172</v>
      </c>
      <c r="U92" s="30">
        <v>12.184093000000001</v>
      </c>
      <c r="V92" s="30">
        <v>12.185473999999999</v>
      </c>
      <c r="W92" s="30">
        <v>12.189577999999999</v>
      </c>
      <c r="X92" s="30">
        <v>12.182287000000001</v>
      </c>
      <c r="Y92" s="30">
        <v>12.190531</v>
      </c>
      <c r="Z92" s="30">
        <v>12.180695</v>
      </c>
      <c r="AA92" s="30">
        <v>12.193828</v>
      </c>
      <c r="AB92" s="30">
        <v>12.193595</v>
      </c>
      <c r="AC92" s="30">
        <v>12.198159</v>
      </c>
      <c r="AD92" s="30">
        <v>12.186895</v>
      </c>
      <c r="AE92" s="30">
        <v>12.180080999999999</v>
      </c>
      <c r="AF92" s="30">
        <v>12.187906999999999</v>
      </c>
      <c r="AG92" s="30">
        <v>12.195731</v>
      </c>
      <c r="AH92" s="30">
        <v>12.183897</v>
      </c>
      <c r="AI92" s="30">
        <v>12.192761000000001</v>
      </c>
      <c r="AJ92" s="30">
        <v>12.188666</v>
      </c>
      <c r="AK92" s="30">
        <v>12.190218</v>
      </c>
      <c r="AL92" s="30">
        <v>12.186196000000001</v>
      </c>
      <c r="AM92" s="30">
        <v>12.183382999999999</v>
      </c>
      <c r="AN92" s="30">
        <v>12.175357</v>
      </c>
      <c r="AO92" s="30"/>
      <c r="AP92" s="30">
        <v>12.170336000000001</v>
      </c>
      <c r="AQ92" s="30">
        <v>12.171383000000001</v>
      </c>
      <c r="AR92" s="30">
        <v>12.178986</v>
      </c>
      <c r="AS92" s="30">
        <v>12.170453999999999</v>
      </c>
      <c r="AT92" s="30">
        <v>12.175739</v>
      </c>
      <c r="AU92" s="30">
        <v>12.181327</v>
      </c>
      <c r="AV92" s="30">
        <v>12.177689000000001</v>
      </c>
      <c r="AW92" s="30">
        <v>12.178305</v>
      </c>
      <c r="AX92" s="30"/>
      <c r="AY92" s="30"/>
      <c r="AZ92" s="30"/>
    </row>
    <row r="93" spans="1:52" ht="18" customHeight="1">
      <c r="A93" s="23"/>
      <c r="B93" s="12"/>
      <c r="C93" s="79" t="s">
        <v>225</v>
      </c>
      <c r="D93" s="35" t="s">
        <v>248</v>
      </c>
      <c r="E93" s="35"/>
      <c r="F93" s="29" t="s">
        <v>249</v>
      </c>
      <c r="G93" s="38">
        <v>12.13</v>
      </c>
      <c r="H93" s="38">
        <v>0.06</v>
      </c>
      <c r="I93" s="38">
        <v>0.06</v>
      </c>
      <c r="J93" s="38">
        <v>0.08</v>
      </c>
      <c r="K93" s="38">
        <v>0.06</v>
      </c>
      <c r="L93" s="30">
        <f t="shared" si="4"/>
        <v>12.16967</v>
      </c>
      <c r="M93" s="30">
        <f t="shared" si="5"/>
        <v>12.141845</v>
      </c>
      <c r="N93" s="30">
        <f t="shared" si="6"/>
        <v>2.7824999999999989E-2</v>
      </c>
      <c r="O93" s="31">
        <f t="shared" si="7"/>
        <v>12.152667310344825</v>
      </c>
      <c r="P93" s="52"/>
      <c r="Q93" s="30">
        <v>12.165227</v>
      </c>
      <c r="R93" s="30">
        <v>12.150542</v>
      </c>
      <c r="S93" s="30">
        <v>12.157524</v>
      </c>
      <c r="T93" s="30">
        <v>12.16967</v>
      </c>
      <c r="U93" s="30">
        <v>12.153460000000001</v>
      </c>
      <c r="V93" s="30">
        <v>12.150539</v>
      </c>
      <c r="W93" s="30">
        <v>12.15335</v>
      </c>
      <c r="X93" s="30">
        <v>12.150943</v>
      </c>
      <c r="Y93" s="30">
        <v>12.153197</v>
      </c>
      <c r="Z93" s="30">
        <v>12.151337</v>
      </c>
      <c r="AA93" s="30">
        <v>12.157332</v>
      </c>
      <c r="AB93" s="30">
        <v>12.153631000000001</v>
      </c>
      <c r="AC93" s="30">
        <v>12.160451</v>
      </c>
      <c r="AD93" s="30">
        <v>12.151629</v>
      </c>
      <c r="AE93" s="30">
        <v>12.150010999999999</v>
      </c>
      <c r="AF93" s="30">
        <v>12.155631</v>
      </c>
      <c r="AG93" s="30">
        <v>12.160159999999999</v>
      </c>
      <c r="AH93" s="30">
        <v>12.148675000000001</v>
      </c>
      <c r="AI93" s="30">
        <v>12.156362</v>
      </c>
      <c r="AJ93" s="30">
        <v>12.152684000000001</v>
      </c>
      <c r="AK93" s="30">
        <v>12.154642000000001</v>
      </c>
      <c r="AL93" s="30">
        <v>12.152597</v>
      </c>
      <c r="AM93" s="30">
        <v>12.151141000000001</v>
      </c>
      <c r="AN93" s="30">
        <v>12.144024999999999</v>
      </c>
      <c r="AO93" s="30"/>
      <c r="AP93" s="30">
        <v>12.147449999999999</v>
      </c>
      <c r="AQ93" s="30">
        <v>12.143366</v>
      </c>
      <c r="AR93" s="30">
        <v>12.143946</v>
      </c>
      <c r="AS93" s="30">
        <v>12.141845</v>
      </c>
      <c r="AT93" s="30">
        <v>12.145985</v>
      </c>
      <c r="AU93" s="30">
        <v>12.147462000000001</v>
      </c>
      <c r="AV93" s="30">
        <v>12.145200000000001</v>
      </c>
      <c r="AW93" s="30">
        <v>12.144658</v>
      </c>
      <c r="AX93" s="30"/>
      <c r="AY93" s="30"/>
      <c r="AZ93" s="30"/>
    </row>
    <row r="94" spans="1:52" ht="18" customHeight="1">
      <c r="A94" s="23"/>
      <c r="B94" s="12"/>
      <c r="C94" s="79" t="s">
        <v>225</v>
      </c>
      <c r="D94" s="35" t="s">
        <v>250</v>
      </c>
      <c r="E94" s="35"/>
      <c r="F94" s="29" t="s">
        <v>251</v>
      </c>
      <c r="G94" s="38">
        <v>12.13</v>
      </c>
      <c r="H94" s="38">
        <v>0.06</v>
      </c>
      <c r="I94" s="38">
        <v>0.06</v>
      </c>
      <c r="J94" s="38">
        <v>0.08</v>
      </c>
      <c r="K94" s="38">
        <v>0.06</v>
      </c>
      <c r="L94" s="30">
        <f t="shared" si="4"/>
        <v>12.176895999999999</v>
      </c>
      <c r="M94" s="30">
        <f t="shared" si="5"/>
        <v>12.14411</v>
      </c>
      <c r="N94" s="30">
        <f t="shared" si="6"/>
        <v>3.278599999999976E-2</v>
      </c>
      <c r="O94" s="31">
        <f t="shared" si="7"/>
        <v>12.163562241379312</v>
      </c>
      <c r="P94" s="52"/>
      <c r="Q94" s="30">
        <v>12.175815</v>
      </c>
      <c r="R94" s="30">
        <v>12.162534000000001</v>
      </c>
      <c r="S94" s="30">
        <v>12.170870000000001</v>
      </c>
      <c r="T94" s="30">
        <v>12.176895999999999</v>
      </c>
      <c r="U94" s="30">
        <v>12.165462</v>
      </c>
      <c r="V94" s="30">
        <v>12.162393</v>
      </c>
      <c r="W94" s="30">
        <v>12.163456999999999</v>
      </c>
      <c r="X94" s="30">
        <v>12.161826</v>
      </c>
      <c r="Y94" s="30">
        <v>12.161528000000001</v>
      </c>
      <c r="Z94" s="30">
        <v>12.166092000000001</v>
      </c>
      <c r="AA94" s="30">
        <v>12.165490999999999</v>
      </c>
      <c r="AB94" s="30">
        <v>12.157192</v>
      </c>
      <c r="AC94" s="30">
        <v>12.169845</v>
      </c>
      <c r="AD94" s="30">
        <v>12.165608000000001</v>
      </c>
      <c r="AE94" s="30">
        <v>12.167028999999999</v>
      </c>
      <c r="AF94" s="30">
        <v>12.166402</v>
      </c>
      <c r="AG94" s="30">
        <v>12.168253</v>
      </c>
      <c r="AH94" s="30">
        <v>12.163716000000001</v>
      </c>
      <c r="AI94" s="30">
        <v>12.165507</v>
      </c>
      <c r="AJ94" s="30">
        <v>12.165118</v>
      </c>
      <c r="AK94" s="30">
        <v>12.159578</v>
      </c>
      <c r="AL94" s="30">
        <v>12.162008</v>
      </c>
      <c r="AM94" s="30">
        <v>12.162800000000001</v>
      </c>
      <c r="AN94" s="30">
        <v>12.157413</v>
      </c>
      <c r="AO94" s="30"/>
      <c r="AP94" s="30">
        <v>12.164647</v>
      </c>
      <c r="AQ94" s="30">
        <v>12.155151999999999</v>
      </c>
      <c r="AR94" s="30">
        <v>12.14411</v>
      </c>
      <c r="AS94" s="30">
        <v>12.162445999999999</v>
      </c>
      <c r="AT94" s="30">
        <v>12.154116999999999</v>
      </c>
      <c r="AU94" s="30">
        <v>12.154517999999999</v>
      </c>
      <c r="AV94" s="30">
        <v>12.150846</v>
      </c>
      <c r="AW94" s="30">
        <v>12.151937999999999</v>
      </c>
      <c r="AX94" s="30"/>
      <c r="AY94" s="30"/>
      <c r="AZ94" s="30"/>
    </row>
    <row r="95" spans="1:52" ht="18" customHeight="1">
      <c r="A95" s="23"/>
      <c r="B95" s="12"/>
      <c r="C95" s="79" t="s">
        <v>225</v>
      </c>
      <c r="D95" s="35" t="s">
        <v>252</v>
      </c>
      <c r="E95" s="35"/>
      <c r="F95" s="29" t="s">
        <v>253</v>
      </c>
      <c r="G95" s="38">
        <v>12.13</v>
      </c>
      <c r="H95" s="38">
        <v>0.06</v>
      </c>
      <c r="I95" s="38">
        <v>0.06</v>
      </c>
      <c r="J95" s="38">
        <v>0.08</v>
      </c>
      <c r="K95" s="38">
        <v>0.06</v>
      </c>
      <c r="L95" s="30">
        <f t="shared" si="4"/>
        <v>12.182197</v>
      </c>
      <c r="M95" s="30">
        <f t="shared" si="5"/>
        <v>12.165155</v>
      </c>
      <c r="N95" s="30">
        <f t="shared" si="6"/>
        <v>1.7042000000000002E-2</v>
      </c>
      <c r="O95" s="31">
        <f t="shared" si="7"/>
        <v>12.176720344827586</v>
      </c>
      <c r="P95" s="52"/>
      <c r="Q95" s="30">
        <v>12.179669000000001</v>
      </c>
      <c r="R95" s="30">
        <v>12.178286999999999</v>
      </c>
      <c r="S95" s="30">
        <v>12.179002000000001</v>
      </c>
      <c r="T95" s="30">
        <v>12.180645</v>
      </c>
      <c r="U95" s="30">
        <v>12.179202</v>
      </c>
      <c r="V95" s="30">
        <v>12.178286999999999</v>
      </c>
      <c r="W95" s="30">
        <v>12.17853</v>
      </c>
      <c r="X95" s="30">
        <v>12.175716</v>
      </c>
      <c r="Y95" s="30">
        <v>12.17821</v>
      </c>
      <c r="Z95" s="30">
        <v>12.17685</v>
      </c>
      <c r="AA95" s="30">
        <v>12.178241999999999</v>
      </c>
      <c r="AB95" s="30">
        <v>12.175494</v>
      </c>
      <c r="AC95" s="30">
        <v>12.182176</v>
      </c>
      <c r="AD95" s="30">
        <v>12.181012000000001</v>
      </c>
      <c r="AE95" s="30">
        <v>12.182197</v>
      </c>
      <c r="AF95" s="30">
        <v>12.180142</v>
      </c>
      <c r="AG95" s="30">
        <v>12.180576</v>
      </c>
      <c r="AH95" s="30">
        <v>12.179326</v>
      </c>
      <c r="AI95" s="30">
        <v>12.179137000000001</v>
      </c>
      <c r="AJ95" s="30">
        <v>12.178587</v>
      </c>
      <c r="AK95" s="30">
        <v>12.176819</v>
      </c>
      <c r="AL95" s="30">
        <v>12.176142</v>
      </c>
      <c r="AM95" s="30">
        <v>12.178457</v>
      </c>
      <c r="AN95" s="30">
        <v>12.168082999999999</v>
      </c>
      <c r="AO95" s="30"/>
      <c r="AP95" s="30">
        <v>12.172434000000001</v>
      </c>
      <c r="AQ95" s="30">
        <v>12.165386</v>
      </c>
      <c r="AR95" s="30">
        <v>12.165155</v>
      </c>
      <c r="AS95" s="30">
        <v>12.170615</v>
      </c>
      <c r="AT95" s="30">
        <v>12.170512</v>
      </c>
      <c r="AU95" s="30">
        <v>12.166351000000001</v>
      </c>
      <c r="AV95" s="30">
        <v>12.168295000000001</v>
      </c>
      <c r="AW95" s="30">
        <v>12.170756000000001</v>
      </c>
      <c r="AX95" s="30"/>
      <c r="AY95" s="30"/>
      <c r="AZ95" s="30"/>
    </row>
    <row r="96" spans="1:52" ht="18" customHeight="1">
      <c r="A96" s="23"/>
      <c r="B96" s="12"/>
      <c r="C96" s="79" t="s">
        <v>225</v>
      </c>
      <c r="D96" s="35" t="s">
        <v>254</v>
      </c>
      <c r="E96" s="35"/>
      <c r="F96" s="29" t="s">
        <v>255</v>
      </c>
      <c r="G96" s="38">
        <v>12.13</v>
      </c>
      <c r="H96" s="38">
        <v>0.06</v>
      </c>
      <c r="I96" s="38">
        <v>0.06</v>
      </c>
      <c r="J96" s="38">
        <v>0.08</v>
      </c>
      <c r="K96" s="38">
        <v>0.06</v>
      </c>
      <c r="L96" s="30">
        <f t="shared" si="4"/>
        <v>12.167389</v>
      </c>
      <c r="M96" s="30">
        <f t="shared" si="5"/>
        <v>12.150451</v>
      </c>
      <c r="N96" s="30">
        <f t="shared" si="6"/>
        <v>1.6937999999999676E-2</v>
      </c>
      <c r="O96" s="31">
        <f t="shared" si="7"/>
        <v>12.161779896551725</v>
      </c>
      <c r="P96" s="52"/>
      <c r="Q96" s="30">
        <v>12.164194</v>
      </c>
      <c r="R96" s="30">
        <v>12.164101</v>
      </c>
      <c r="S96" s="30">
        <v>12.166410000000001</v>
      </c>
      <c r="T96" s="30">
        <v>12.165877</v>
      </c>
      <c r="U96" s="30">
        <v>12.164916</v>
      </c>
      <c r="V96" s="30">
        <v>12.163263000000001</v>
      </c>
      <c r="W96" s="30">
        <v>12.164204</v>
      </c>
      <c r="X96" s="30">
        <v>12.162031000000001</v>
      </c>
      <c r="Y96" s="30">
        <v>12.165105000000001</v>
      </c>
      <c r="Z96" s="30">
        <v>12.162414</v>
      </c>
      <c r="AA96" s="30">
        <v>12.160140999999999</v>
      </c>
      <c r="AB96" s="30">
        <v>12.159762000000001</v>
      </c>
      <c r="AC96" s="30">
        <v>12.164896000000001</v>
      </c>
      <c r="AD96" s="30">
        <v>12.167389</v>
      </c>
      <c r="AE96" s="30">
        <v>12.165891</v>
      </c>
      <c r="AF96" s="30">
        <v>12.167247</v>
      </c>
      <c r="AG96" s="30">
        <v>12.165858</v>
      </c>
      <c r="AH96" s="30">
        <v>12.163320000000001</v>
      </c>
      <c r="AI96" s="30">
        <v>12.162367</v>
      </c>
      <c r="AJ96" s="30">
        <v>12.163148</v>
      </c>
      <c r="AK96" s="30">
        <v>12.164451</v>
      </c>
      <c r="AL96" s="30">
        <v>12.163774</v>
      </c>
      <c r="AM96" s="30">
        <v>12.163675</v>
      </c>
      <c r="AN96" s="30">
        <v>12.150451</v>
      </c>
      <c r="AO96" s="30"/>
      <c r="AP96" s="30">
        <v>12.157009</v>
      </c>
      <c r="AQ96" s="30">
        <v>12.152395</v>
      </c>
      <c r="AR96" s="30">
        <v>12.150484000000001</v>
      </c>
      <c r="AS96" s="30">
        <v>12.151265</v>
      </c>
      <c r="AT96" s="30">
        <v>12.155578999999999</v>
      </c>
      <c r="AU96" s="30">
        <v>12.148966</v>
      </c>
      <c r="AV96" s="30">
        <v>12.152335000000001</v>
      </c>
      <c r="AW96" s="30">
        <v>12.157279000000001</v>
      </c>
      <c r="AX96" s="30"/>
      <c r="AY96" s="30"/>
      <c r="AZ96" s="30"/>
    </row>
    <row r="97" spans="1:52" ht="18" customHeight="1">
      <c r="A97" s="23"/>
      <c r="B97" s="12"/>
      <c r="C97" s="79" t="s">
        <v>225</v>
      </c>
      <c r="D97" s="35" t="s">
        <v>256</v>
      </c>
      <c r="E97" s="35"/>
      <c r="F97" s="29" t="s">
        <v>257</v>
      </c>
      <c r="G97" s="38">
        <v>12.13</v>
      </c>
      <c r="H97" s="38">
        <v>0.06</v>
      </c>
      <c r="I97" s="38">
        <v>0.06</v>
      </c>
      <c r="J97" s="38">
        <v>0.08</v>
      </c>
      <c r="K97" s="38">
        <v>0.06</v>
      </c>
      <c r="L97" s="30">
        <f t="shared" si="4"/>
        <v>12.181334</v>
      </c>
      <c r="M97" s="30">
        <f t="shared" si="5"/>
        <v>12.156101</v>
      </c>
      <c r="N97" s="30">
        <f t="shared" si="6"/>
        <v>2.5233000000000061E-2</v>
      </c>
      <c r="O97" s="31">
        <f t="shared" si="7"/>
        <v>12.172995344827585</v>
      </c>
      <c r="P97" s="52"/>
      <c r="Q97" s="30">
        <v>12.167752999999999</v>
      </c>
      <c r="R97" s="30">
        <v>12.179048</v>
      </c>
      <c r="S97" s="30">
        <v>12.176577</v>
      </c>
      <c r="T97" s="30">
        <v>12.167230999999999</v>
      </c>
      <c r="U97" s="30">
        <v>12.180002999999999</v>
      </c>
      <c r="V97" s="30">
        <v>12.177911999999999</v>
      </c>
      <c r="W97" s="30">
        <v>12.176080000000001</v>
      </c>
      <c r="X97" s="30">
        <v>12.17719</v>
      </c>
      <c r="Y97" s="30">
        <v>12.179071</v>
      </c>
      <c r="Z97" s="30">
        <v>12.175034</v>
      </c>
      <c r="AA97" s="30">
        <v>12.171381999999999</v>
      </c>
      <c r="AB97" s="30">
        <v>12.175829999999999</v>
      </c>
      <c r="AC97" s="30">
        <v>12.175411</v>
      </c>
      <c r="AD97" s="30">
        <v>12.181334</v>
      </c>
      <c r="AE97" s="30">
        <v>12.180617</v>
      </c>
      <c r="AF97" s="30">
        <v>12.178850000000001</v>
      </c>
      <c r="AG97" s="30">
        <v>12.173774</v>
      </c>
      <c r="AH97" s="30">
        <v>12.175781000000001</v>
      </c>
      <c r="AI97" s="30">
        <v>12.173558</v>
      </c>
      <c r="AJ97" s="30">
        <v>12.173843</v>
      </c>
      <c r="AK97" s="30">
        <v>12.179176999999999</v>
      </c>
      <c r="AL97" s="30">
        <v>12.173550000000001</v>
      </c>
      <c r="AM97" s="30">
        <v>12.176435</v>
      </c>
      <c r="AN97" s="30">
        <v>12.157059</v>
      </c>
      <c r="AO97" s="30"/>
      <c r="AP97" s="30">
        <v>12.165126000000001</v>
      </c>
      <c r="AQ97" s="30">
        <v>12.160468</v>
      </c>
      <c r="AR97" s="30">
        <v>12.166461</v>
      </c>
      <c r="AS97" s="30">
        <v>12.156101</v>
      </c>
      <c r="AT97" s="30">
        <v>12.166209</v>
      </c>
      <c r="AU97" s="30">
        <v>12.155455999999999</v>
      </c>
      <c r="AV97" s="30">
        <v>12.164858000000001</v>
      </c>
      <c r="AW97" s="30">
        <v>12.167942</v>
      </c>
      <c r="AX97" s="30"/>
      <c r="AY97" s="30"/>
      <c r="AZ97" s="30"/>
    </row>
    <row r="98" spans="1:52" ht="18" customHeight="1">
      <c r="A98" s="23"/>
      <c r="B98" s="12"/>
      <c r="C98" s="79" t="s">
        <v>225</v>
      </c>
      <c r="D98" s="35" t="s">
        <v>258</v>
      </c>
      <c r="E98" s="35"/>
      <c r="F98" s="29" t="s">
        <v>259</v>
      </c>
      <c r="G98" s="38">
        <v>14.13</v>
      </c>
      <c r="H98" s="38">
        <v>0.05</v>
      </c>
      <c r="I98" s="38">
        <v>0.05</v>
      </c>
      <c r="J98" s="38">
        <v>0.08</v>
      </c>
      <c r="K98" s="38">
        <v>0.05</v>
      </c>
      <c r="L98" s="30">
        <f t="shared" si="4"/>
        <v>14.179029999999999</v>
      </c>
      <c r="M98" s="30">
        <f t="shared" si="5"/>
        <v>14.140318000000001</v>
      </c>
      <c r="N98" s="30">
        <f t="shared" si="6"/>
        <v>3.8711999999998525E-2</v>
      </c>
      <c r="O98" s="31">
        <f t="shared" si="7"/>
        <v>14.165585103448278</v>
      </c>
      <c r="P98" s="52"/>
      <c r="Q98" s="30">
        <v>14.169091</v>
      </c>
      <c r="R98" s="30">
        <v>14.163674</v>
      </c>
      <c r="S98" s="30">
        <v>14.175121000000001</v>
      </c>
      <c r="T98" s="30">
        <v>14.179029999999999</v>
      </c>
      <c r="U98" s="30">
        <v>14.172382000000001</v>
      </c>
      <c r="V98" s="30">
        <v>14.16924</v>
      </c>
      <c r="W98" s="30">
        <v>14.166954</v>
      </c>
      <c r="X98" s="30">
        <v>14.173161</v>
      </c>
      <c r="Y98" s="30">
        <v>14.168953</v>
      </c>
      <c r="Z98" s="30">
        <v>14.168039</v>
      </c>
      <c r="AA98" s="30">
        <v>14.170992</v>
      </c>
      <c r="AB98" s="30">
        <v>14.168297000000001</v>
      </c>
      <c r="AC98" s="30">
        <v>14.178433</v>
      </c>
      <c r="AD98" s="30">
        <v>14.173183999999999</v>
      </c>
      <c r="AE98" s="30">
        <v>14.169229</v>
      </c>
      <c r="AF98" s="30">
        <v>14.171004999999999</v>
      </c>
      <c r="AG98" s="30">
        <v>14.176254999999999</v>
      </c>
      <c r="AH98" s="30">
        <v>14.159281999999999</v>
      </c>
      <c r="AI98" s="30">
        <v>14.163690000000001</v>
      </c>
      <c r="AJ98" s="30">
        <v>14.165926000000001</v>
      </c>
      <c r="AK98" s="30">
        <v>14.163403000000001</v>
      </c>
      <c r="AL98" s="30">
        <v>14.164542000000001</v>
      </c>
      <c r="AM98" s="30">
        <v>14.164398</v>
      </c>
      <c r="AN98" s="30">
        <v>14.157265000000001</v>
      </c>
      <c r="AO98" s="30"/>
      <c r="AP98" s="30">
        <v>14.151411</v>
      </c>
      <c r="AQ98" s="30">
        <v>14.148547000000001</v>
      </c>
      <c r="AR98" s="30">
        <v>14.140318000000001</v>
      </c>
      <c r="AS98" s="30">
        <v>14.16099</v>
      </c>
      <c r="AT98" s="30">
        <v>14.149156</v>
      </c>
      <c r="AU98" s="30">
        <v>14.150233999999999</v>
      </c>
      <c r="AV98" s="30">
        <v>14.146895000000001</v>
      </c>
      <c r="AW98" s="30">
        <v>14.144857999999999</v>
      </c>
      <c r="AX98" s="30"/>
      <c r="AY98" s="30"/>
      <c r="AZ98" s="30"/>
    </row>
    <row r="99" spans="1:52" ht="18" customHeight="1">
      <c r="A99" s="23"/>
      <c r="B99" s="12"/>
      <c r="C99" s="79" t="s">
        <v>225</v>
      </c>
      <c r="D99" s="35" t="s">
        <v>260</v>
      </c>
      <c r="E99" s="35"/>
      <c r="F99" s="29" t="s">
        <v>261</v>
      </c>
      <c r="G99" s="38">
        <v>14.13</v>
      </c>
      <c r="H99" s="38">
        <v>0.05</v>
      </c>
      <c r="I99" s="38">
        <v>0.05</v>
      </c>
      <c r="J99" s="38">
        <v>0.08</v>
      </c>
      <c r="K99" s="38">
        <v>0.05</v>
      </c>
      <c r="L99" s="30">
        <f t="shared" si="4"/>
        <v>14.159502</v>
      </c>
      <c r="M99" s="30">
        <f t="shared" si="5"/>
        <v>14.128182000000001</v>
      </c>
      <c r="N99" s="30">
        <f t="shared" si="6"/>
        <v>3.1319999999999126E-2</v>
      </c>
      <c r="O99" s="31">
        <f t="shared" si="7"/>
        <v>14.148163655172418</v>
      </c>
      <c r="P99" s="52"/>
      <c r="Q99" s="30">
        <v>14.147622</v>
      </c>
      <c r="R99" s="30">
        <v>14.151551</v>
      </c>
      <c r="S99" s="30">
        <v>14.159502</v>
      </c>
      <c r="T99" s="30">
        <v>14.155317999999999</v>
      </c>
      <c r="U99" s="30">
        <v>14.157036</v>
      </c>
      <c r="V99" s="30">
        <v>14.154688999999999</v>
      </c>
      <c r="W99" s="30">
        <v>14.149467</v>
      </c>
      <c r="X99" s="30">
        <v>14.157432999999999</v>
      </c>
      <c r="Y99" s="30">
        <v>14.153162999999999</v>
      </c>
      <c r="Z99" s="30">
        <v>14.151382999999999</v>
      </c>
      <c r="AA99" s="30">
        <v>14.151752</v>
      </c>
      <c r="AB99" s="30">
        <v>14.147285999999999</v>
      </c>
      <c r="AC99" s="30">
        <v>14.157775000000001</v>
      </c>
      <c r="AD99" s="30">
        <v>14.156551</v>
      </c>
      <c r="AE99" s="30">
        <v>14.153091999999999</v>
      </c>
      <c r="AF99" s="30">
        <v>14.153491000000001</v>
      </c>
      <c r="AG99" s="30">
        <v>14.156765999999999</v>
      </c>
      <c r="AH99" s="30">
        <v>14.142455999999999</v>
      </c>
      <c r="AI99" s="30">
        <v>14.144536</v>
      </c>
      <c r="AJ99" s="30">
        <v>14.145951</v>
      </c>
      <c r="AK99" s="30">
        <v>14.146675</v>
      </c>
      <c r="AL99" s="30">
        <v>14.145834000000001</v>
      </c>
      <c r="AM99" s="30">
        <v>14.145242</v>
      </c>
      <c r="AN99" s="30">
        <v>14.133573</v>
      </c>
      <c r="AO99" s="30"/>
      <c r="AP99" s="30">
        <v>14.137568999999999</v>
      </c>
      <c r="AQ99" s="30">
        <v>14.132443</v>
      </c>
      <c r="AR99" s="30">
        <v>14.128182000000001</v>
      </c>
      <c r="AS99" s="30">
        <v>14.141902999999999</v>
      </c>
      <c r="AT99" s="30">
        <v>14.138505</v>
      </c>
      <c r="AU99" s="30">
        <v>14.132764</v>
      </c>
      <c r="AV99" s="30">
        <v>14.137599</v>
      </c>
      <c r="AW99" s="30">
        <v>14.136462999999999</v>
      </c>
      <c r="AX99" s="30"/>
      <c r="AY99" s="30"/>
      <c r="AZ99" s="30"/>
    </row>
    <row r="100" spans="1:52" ht="18" customHeight="1">
      <c r="A100" s="23"/>
      <c r="B100" s="12"/>
      <c r="C100" s="79" t="s">
        <v>225</v>
      </c>
      <c r="D100" s="35" t="s">
        <v>262</v>
      </c>
      <c r="E100" s="35"/>
      <c r="F100" s="29" t="s">
        <v>263</v>
      </c>
      <c r="G100" s="38">
        <v>14.13</v>
      </c>
      <c r="H100" s="38">
        <v>0.05</v>
      </c>
      <c r="I100" s="38">
        <v>0.05</v>
      </c>
      <c r="J100" s="38">
        <v>0.08</v>
      </c>
      <c r="K100" s="38">
        <v>0.05</v>
      </c>
      <c r="L100" s="30">
        <f t="shared" si="4"/>
        <v>14.173237</v>
      </c>
      <c r="M100" s="30">
        <f t="shared" si="5"/>
        <v>14.14423</v>
      </c>
      <c r="N100" s="30">
        <f t="shared" si="6"/>
        <v>2.9007000000000005E-2</v>
      </c>
      <c r="O100" s="31">
        <f t="shared" si="7"/>
        <v>14.161691344827585</v>
      </c>
      <c r="P100" s="52"/>
      <c r="Q100" s="30">
        <v>14.15582</v>
      </c>
      <c r="R100" s="30">
        <v>14.165151</v>
      </c>
      <c r="S100" s="30">
        <v>14.16718</v>
      </c>
      <c r="T100" s="30">
        <v>14.162331999999999</v>
      </c>
      <c r="U100" s="30">
        <v>14.168096</v>
      </c>
      <c r="V100" s="30">
        <v>14.167349</v>
      </c>
      <c r="W100" s="30">
        <v>14.164823999999999</v>
      </c>
      <c r="X100" s="30">
        <v>14.16858</v>
      </c>
      <c r="Y100" s="30">
        <v>14.16737</v>
      </c>
      <c r="Z100" s="30">
        <v>14.164033</v>
      </c>
      <c r="AA100" s="30">
        <v>14.166956000000001</v>
      </c>
      <c r="AB100" s="30">
        <v>14.162718999999999</v>
      </c>
      <c r="AC100" s="30">
        <v>14.173237</v>
      </c>
      <c r="AD100" s="30">
        <v>14.171585</v>
      </c>
      <c r="AE100" s="30">
        <v>14.168545</v>
      </c>
      <c r="AF100" s="30">
        <v>14.166653</v>
      </c>
      <c r="AG100" s="30">
        <v>14.170002999999999</v>
      </c>
      <c r="AH100" s="30">
        <v>14.157738999999999</v>
      </c>
      <c r="AI100" s="30">
        <v>14.16109</v>
      </c>
      <c r="AJ100" s="30">
        <v>14.159431</v>
      </c>
      <c r="AK100" s="30">
        <v>14.162751999999999</v>
      </c>
      <c r="AL100" s="30">
        <v>14.161360999999999</v>
      </c>
      <c r="AM100" s="30">
        <v>14.162442</v>
      </c>
      <c r="AN100" s="30">
        <v>14.149825</v>
      </c>
      <c r="AO100" s="30"/>
      <c r="AP100" s="30">
        <v>14.149839</v>
      </c>
      <c r="AQ100" s="30">
        <v>14.14423</v>
      </c>
      <c r="AR100" s="30">
        <v>14.144501</v>
      </c>
      <c r="AS100" s="30">
        <v>14.156287000000001</v>
      </c>
      <c r="AT100" s="30">
        <v>14.149119000000001</v>
      </c>
      <c r="AU100" s="30">
        <v>14.144252</v>
      </c>
      <c r="AV100" s="30">
        <v>14.149932</v>
      </c>
      <c r="AW100" s="30">
        <v>14.14974</v>
      </c>
      <c r="AX100" s="30"/>
      <c r="AY100" s="30"/>
      <c r="AZ100" s="30"/>
    </row>
    <row r="101" spans="1:52" ht="18" customHeight="1">
      <c r="A101" s="23"/>
      <c r="B101" s="12"/>
      <c r="C101" s="79" t="s">
        <v>225</v>
      </c>
      <c r="D101" s="35" t="s">
        <v>264</v>
      </c>
      <c r="E101" s="35"/>
      <c r="F101" s="29" t="s">
        <v>265</v>
      </c>
      <c r="G101" s="38">
        <v>14.13</v>
      </c>
      <c r="H101" s="38">
        <v>0.05</v>
      </c>
      <c r="I101" s="38">
        <v>0.05</v>
      </c>
      <c r="J101" s="38">
        <v>0.08</v>
      </c>
      <c r="K101" s="38">
        <v>0.05</v>
      </c>
      <c r="L101" s="30">
        <f t="shared" si="4"/>
        <v>14.159439000000001</v>
      </c>
      <c r="M101" s="30">
        <f t="shared" si="5"/>
        <v>14.12928</v>
      </c>
      <c r="N101" s="30">
        <f t="shared" si="6"/>
        <v>3.0159000000001157E-2</v>
      </c>
      <c r="O101" s="31">
        <f t="shared" si="7"/>
        <v>14.148279172413792</v>
      </c>
      <c r="P101" s="52"/>
      <c r="Q101" s="30">
        <v>14.138557</v>
      </c>
      <c r="R101" s="30">
        <v>14.154761000000001</v>
      </c>
      <c r="S101" s="30">
        <v>14.151930999999999</v>
      </c>
      <c r="T101" s="30">
        <v>14.140938</v>
      </c>
      <c r="U101" s="30">
        <v>14.155530000000001</v>
      </c>
      <c r="V101" s="30">
        <v>14.153594999999999</v>
      </c>
      <c r="W101" s="30">
        <v>14.152505</v>
      </c>
      <c r="X101" s="30">
        <v>14.153796</v>
      </c>
      <c r="Y101" s="30">
        <v>14.154425</v>
      </c>
      <c r="Z101" s="30">
        <v>14.151236000000001</v>
      </c>
      <c r="AA101" s="30">
        <v>14.151282999999999</v>
      </c>
      <c r="AB101" s="30">
        <v>14.15058</v>
      </c>
      <c r="AC101" s="30">
        <v>14.157766000000001</v>
      </c>
      <c r="AD101" s="30">
        <v>14.159439000000001</v>
      </c>
      <c r="AE101" s="30">
        <v>14.158811</v>
      </c>
      <c r="AF101" s="30">
        <v>14.154418</v>
      </c>
      <c r="AG101" s="30">
        <v>14.153959</v>
      </c>
      <c r="AH101" s="30">
        <v>14.148331000000001</v>
      </c>
      <c r="AI101" s="30">
        <v>14.148072000000001</v>
      </c>
      <c r="AJ101" s="30">
        <v>14.145860000000001</v>
      </c>
      <c r="AK101" s="30">
        <v>14.152103</v>
      </c>
      <c r="AL101" s="30">
        <v>14.149528</v>
      </c>
      <c r="AM101" s="30">
        <v>14.15043</v>
      </c>
      <c r="AN101" s="30">
        <v>14.135916999999999</v>
      </c>
      <c r="AO101" s="30"/>
      <c r="AP101" s="30">
        <v>14.134333</v>
      </c>
      <c r="AQ101" s="30">
        <v>14.12928</v>
      </c>
      <c r="AR101" s="30">
        <v>14.134109</v>
      </c>
      <c r="AS101" s="30">
        <v>14.140703</v>
      </c>
      <c r="AT101" s="30">
        <v>14.1379</v>
      </c>
      <c r="AU101" s="30">
        <v>14.129294</v>
      </c>
      <c r="AV101" s="30">
        <v>14.138801000000001</v>
      </c>
      <c r="AW101" s="30">
        <v>14.141271</v>
      </c>
      <c r="AX101" s="30"/>
      <c r="AY101" s="30"/>
      <c r="AZ101" s="30"/>
    </row>
    <row r="102" spans="1:52" ht="18" customHeight="1">
      <c r="A102" s="23"/>
      <c r="B102" s="12"/>
      <c r="C102" s="79" t="s">
        <v>225</v>
      </c>
      <c r="D102" s="35" t="s">
        <v>266</v>
      </c>
      <c r="E102" s="35" t="s">
        <v>466</v>
      </c>
      <c r="F102" s="29" t="s">
        <v>268</v>
      </c>
      <c r="G102" s="38">
        <v>14.13</v>
      </c>
      <c r="H102" s="38">
        <v>0.05</v>
      </c>
      <c r="I102" s="38">
        <v>0.05</v>
      </c>
      <c r="J102" s="38">
        <v>0.08</v>
      </c>
      <c r="K102" s="38">
        <v>0.05</v>
      </c>
      <c r="L102" s="30">
        <f t="shared" si="4"/>
        <v>14.160215000000001</v>
      </c>
      <c r="M102" s="30">
        <f t="shared" si="5"/>
        <v>14.127971000000001</v>
      </c>
      <c r="N102" s="30">
        <f t="shared" si="6"/>
        <v>3.2244000000000383E-2</v>
      </c>
      <c r="O102" s="31">
        <f t="shared" si="7"/>
        <v>14.147840379310342</v>
      </c>
      <c r="P102" s="52"/>
      <c r="Q102" s="30">
        <v>14.137587</v>
      </c>
      <c r="R102" s="30">
        <v>14.155155000000001</v>
      </c>
      <c r="S102" s="30">
        <v>14.151203000000001</v>
      </c>
      <c r="T102" s="30">
        <v>14.139151</v>
      </c>
      <c r="U102" s="30">
        <v>14.154513</v>
      </c>
      <c r="V102" s="30">
        <v>14.154019999999999</v>
      </c>
      <c r="W102" s="30">
        <v>14.151332999999999</v>
      </c>
      <c r="X102" s="30">
        <v>14.15423</v>
      </c>
      <c r="Y102" s="30">
        <v>14.155535</v>
      </c>
      <c r="Z102" s="30">
        <v>14.149433</v>
      </c>
      <c r="AA102" s="30">
        <v>14.149575</v>
      </c>
      <c r="AB102" s="30">
        <v>14.150328999999999</v>
      </c>
      <c r="AC102" s="30">
        <v>14.158764</v>
      </c>
      <c r="AD102" s="30">
        <v>14.160215000000001</v>
      </c>
      <c r="AE102" s="30">
        <v>14.157956</v>
      </c>
      <c r="AF102" s="30">
        <v>14.156029</v>
      </c>
      <c r="AG102" s="30">
        <v>14.153114</v>
      </c>
      <c r="AH102" s="30">
        <v>14.148483000000001</v>
      </c>
      <c r="AI102" s="30">
        <v>14.148603</v>
      </c>
      <c r="AJ102" s="30">
        <v>14.145192</v>
      </c>
      <c r="AK102" s="30">
        <v>14.153589</v>
      </c>
      <c r="AL102" s="30">
        <v>14.148465</v>
      </c>
      <c r="AM102" s="30">
        <v>14.14941</v>
      </c>
      <c r="AN102" s="30">
        <v>14.132706000000001</v>
      </c>
      <c r="AO102" s="30"/>
      <c r="AP102" s="30">
        <v>14.132682000000001</v>
      </c>
      <c r="AQ102" s="30">
        <v>14.127971000000001</v>
      </c>
      <c r="AR102" s="30">
        <v>14.133706</v>
      </c>
      <c r="AS102" s="30">
        <v>14.138961</v>
      </c>
      <c r="AT102" s="30">
        <v>14.139461000000001</v>
      </c>
      <c r="AU102" s="30">
        <v>14.127179999999999</v>
      </c>
      <c r="AV102" s="30">
        <v>14.139843000000001</v>
      </c>
      <c r="AW102" s="30">
        <v>14.144481000000001</v>
      </c>
      <c r="AX102" s="30"/>
      <c r="AY102" s="30"/>
      <c r="AZ102" s="30"/>
    </row>
    <row r="103" spans="1:52" ht="18" customHeight="1">
      <c r="A103" s="23"/>
      <c r="B103" s="12"/>
      <c r="C103" s="79" t="s">
        <v>225</v>
      </c>
      <c r="D103" s="35" t="s">
        <v>269</v>
      </c>
      <c r="E103" s="35"/>
      <c r="F103" s="29" t="s">
        <v>270</v>
      </c>
      <c r="G103" s="38">
        <v>14.13</v>
      </c>
      <c r="H103" s="38">
        <v>0.05</v>
      </c>
      <c r="I103" s="38">
        <v>0.05</v>
      </c>
      <c r="J103" s="38">
        <v>0.08</v>
      </c>
      <c r="K103" s="38">
        <v>0.05</v>
      </c>
      <c r="L103" s="30">
        <f t="shared" si="4"/>
        <v>14.155955000000001</v>
      </c>
      <c r="M103" s="30">
        <f t="shared" si="5"/>
        <v>14.123393999999999</v>
      </c>
      <c r="N103" s="30">
        <f t="shared" si="6"/>
        <v>3.2561000000001172E-2</v>
      </c>
      <c r="O103" s="31">
        <f t="shared" si="7"/>
        <v>14.143441241379314</v>
      </c>
      <c r="P103" s="52"/>
      <c r="Q103" s="30">
        <v>14.132540000000001</v>
      </c>
      <c r="R103" s="30">
        <v>14.151275</v>
      </c>
      <c r="S103" s="30">
        <v>14.146101</v>
      </c>
      <c r="T103" s="30">
        <v>14.133718</v>
      </c>
      <c r="U103" s="30">
        <v>14.149537</v>
      </c>
      <c r="V103" s="30">
        <v>14.150321999999999</v>
      </c>
      <c r="W103" s="30">
        <v>14.147660999999999</v>
      </c>
      <c r="X103" s="30">
        <v>14.150069999999999</v>
      </c>
      <c r="Y103" s="30">
        <v>14.153269999999999</v>
      </c>
      <c r="Z103" s="30">
        <v>14.144570999999999</v>
      </c>
      <c r="AA103" s="30">
        <v>14.145104</v>
      </c>
      <c r="AB103" s="30">
        <v>14.147994000000001</v>
      </c>
      <c r="AC103" s="30">
        <v>14.155778</v>
      </c>
      <c r="AD103" s="30">
        <v>14.155955000000001</v>
      </c>
      <c r="AE103" s="30">
        <v>14.151616000000001</v>
      </c>
      <c r="AF103" s="30">
        <v>14.15207</v>
      </c>
      <c r="AG103" s="30">
        <v>14.148534</v>
      </c>
      <c r="AH103" s="30">
        <v>14.143656</v>
      </c>
      <c r="AI103" s="30">
        <v>14.144223999999999</v>
      </c>
      <c r="AJ103" s="30">
        <v>14.140219999999999</v>
      </c>
      <c r="AK103" s="30">
        <v>14.150449</v>
      </c>
      <c r="AL103" s="30">
        <v>14.143484000000001</v>
      </c>
      <c r="AM103" s="30">
        <v>14.144069</v>
      </c>
      <c r="AN103" s="30">
        <v>14.125057999999999</v>
      </c>
      <c r="AO103" s="30"/>
      <c r="AP103" s="30">
        <v>14.127860999999999</v>
      </c>
      <c r="AQ103" s="30">
        <v>14.123393999999999</v>
      </c>
      <c r="AR103" s="30">
        <v>14.131380999999999</v>
      </c>
      <c r="AS103" s="30">
        <v>14.133635999999999</v>
      </c>
      <c r="AT103" s="30">
        <v>14.136248</v>
      </c>
      <c r="AU103" s="30">
        <v>14.121795000000001</v>
      </c>
      <c r="AV103" s="30">
        <v>14.136438</v>
      </c>
      <c r="AW103" s="30">
        <v>14.142099</v>
      </c>
      <c r="AX103" s="30"/>
      <c r="AY103" s="30"/>
      <c r="AZ103" s="30"/>
    </row>
    <row r="104" spans="1:52" ht="18" customHeight="1">
      <c r="A104" s="23"/>
      <c r="B104" s="12"/>
      <c r="C104" s="79" t="s">
        <v>225</v>
      </c>
      <c r="D104" s="35" t="s">
        <v>271</v>
      </c>
      <c r="E104" s="35"/>
      <c r="F104" s="29" t="s">
        <v>272</v>
      </c>
      <c r="G104" s="38">
        <v>14.13</v>
      </c>
      <c r="H104" s="38">
        <v>0.05</v>
      </c>
      <c r="I104" s="38">
        <v>0.05</v>
      </c>
      <c r="J104" s="38">
        <v>0.08</v>
      </c>
      <c r="K104" s="38">
        <v>0.05</v>
      </c>
      <c r="L104" s="30">
        <f t="shared" si="4"/>
        <v>14.173363</v>
      </c>
      <c r="M104" s="30">
        <f t="shared" si="5"/>
        <v>14.132002999999999</v>
      </c>
      <c r="N104" s="30">
        <f t="shared" si="6"/>
        <v>4.1360000000000952E-2</v>
      </c>
      <c r="O104" s="31">
        <f t="shared" si="7"/>
        <v>14.155531413793105</v>
      </c>
      <c r="P104" s="52"/>
      <c r="Q104" s="30">
        <v>14.146105</v>
      </c>
      <c r="R104" s="30">
        <v>14.163486000000001</v>
      </c>
      <c r="S104" s="30">
        <v>14.152782999999999</v>
      </c>
      <c r="T104" s="30">
        <v>14.150541</v>
      </c>
      <c r="U104" s="30">
        <v>14.155495999999999</v>
      </c>
      <c r="V104" s="30">
        <v>14.160759000000001</v>
      </c>
      <c r="W104" s="30">
        <v>14.162746</v>
      </c>
      <c r="X104" s="30">
        <v>14.160776</v>
      </c>
      <c r="Y104" s="30">
        <v>14.170786</v>
      </c>
      <c r="Z104" s="30">
        <v>14.151764999999999</v>
      </c>
      <c r="AA104" s="30">
        <v>14.161249</v>
      </c>
      <c r="AB104" s="30">
        <v>14.16808</v>
      </c>
      <c r="AC104" s="30">
        <v>14.173363</v>
      </c>
      <c r="AD104" s="30">
        <v>14.167313999999999</v>
      </c>
      <c r="AE104" s="30">
        <v>14.156700000000001</v>
      </c>
      <c r="AF104" s="30">
        <v>14.165319999999999</v>
      </c>
      <c r="AG104" s="30">
        <v>14.164868999999999</v>
      </c>
      <c r="AH104" s="30">
        <v>14.155215</v>
      </c>
      <c r="AI104" s="30">
        <v>14.159051</v>
      </c>
      <c r="AJ104" s="30">
        <v>14.154434</v>
      </c>
      <c r="AK104" s="30">
        <v>14.165466</v>
      </c>
      <c r="AL104" s="30">
        <v>14.15564</v>
      </c>
      <c r="AM104" s="30">
        <v>14.153364</v>
      </c>
      <c r="AN104" s="30">
        <v>14.13495</v>
      </c>
      <c r="AO104" s="30"/>
      <c r="AP104" s="30">
        <v>14.136232</v>
      </c>
      <c r="AQ104" s="30">
        <v>14.132002999999999</v>
      </c>
      <c r="AR104" s="30">
        <v>14.149037999999999</v>
      </c>
      <c r="AS104" s="30">
        <v>14.137357</v>
      </c>
      <c r="AT104" s="30">
        <v>14.145523000000001</v>
      </c>
      <c r="AU104" s="30">
        <v>14.134259</v>
      </c>
      <c r="AV104" s="30">
        <v>14.148591</v>
      </c>
      <c r="AW104" s="30">
        <v>14.155015000000001</v>
      </c>
      <c r="AX104" s="30"/>
      <c r="AY104" s="30"/>
      <c r="AZ104" s="30"/>
    </row>
    <row r="105" spans="1:52" ht="18" customHeight="1">
      <c r="A105" s="23"/>
      <c r="B105" s="12"/>
      <c r="C105" s="79" t="s">
        <v>225</v>
      </c>
      <c r="D105" s="35" t="s">
        <v>273</v>
      </c>
      <c r="E105" s="35"/>
      <c r="F105" s="29" t="s">
        <v>274</v>
      </c>
      <c r="G105" s="38">
        <v>14.13</v>
      </c>
      <c r="H105" s="38">
        <v>0.05</v>
      </c>
      <c r="I105" s="38">
        <v>0.05</v>
      </c>
      <c r="J105" s="38">
        <v>0.08</v>
      </c>
      <c r="K105" s="38">
        <v>0.05</v>
      </c>
      <c r="L105" s="30">
        <f t="shared" si="4"/>
        <v>14.200234999999999</v>
      </c>
      <c r="M105" s="30">
        <f t="shared" si="5"/>
        <v>14.163356</v>
      </c>
      <c r="N105" s="30">
        <f t="shared" si="6"/>
        <v>3.6878999999998996E-2</v>
      </c>
      <c r="O105" s="31">
        <f t="shared" si="7"/>
        <v>14.184383517241377</v>
      </c>
      <c r="P105" s="52"/>
      <c r="Q105" s="30">
        <v>14.179834</v>
      </c>
      <c r="R105" s="30">
        <v>14.185195</v>
      </c>
      <c r="S105" s="30">
        <v>14.180344</v>
      </c>
      <c r="T105" s="30">
        <v>14.187481999999999</v>
      </c>
      <c r="U105" s="30">
        <v>14.185029</v>
      </c>
      <c r="V105" s="30">
        <v>14.186809</v>
      </c>
      <c r="W105" s="30">
        <v>14.191322</v>
      </c>
      <c r="X105" s="30">
        <v>14.187991999999999</v>
      </c>
      <c r="Y105" s="30">
        <v>14.193488</v>
      </c>
      <c r="Z105" s="30">
        <v>14.179550000000001</v>
      </c>
      <c r="AA105" s="30">
        <v>14.193716999999999</v>
      </c>
      <c r="AB105" s="30">
        <v>14.196818</v>
      </c>
      <c r="AC105" s="30">
        <v>14.200234999999999</v>
      </c>
      <c r="AD105" s="30">
        <v>14.193189</v>
      </c>
      <c r="AE105" s="30">
        <v>14.182729999999999</v>
      </c>
      <c r="AF105" s="30">
        <v>14.188896</v>
      </c>
      <c r="AG105" s="30">
        <v>14.196852</v>
      </c>
      <c r="AH105" s="30">
        <v>14.182098999999999</v>
      </c>
      <c r="AI105" s="30">
        <v>14.188345</v>
      </c>
      <c r="AJ105" s="30">
        <v>14.185426</v>
      </c>
      <c r="AK105" s="30">
        <v>14.189102</v>
      </c>
      <c r="AL105" s="30">
        <v>14.185221</v>
      </c>
      <c r="AM105" s="30">
        <v>14.184056999999999</v>
      </c>
      <c r="AN105" s="30">
        <v>14.171638</v>
      </c>
      <c r="AO105" s="30"/>
      <c r="AP105" s="30">
        <v>14.163356</v>
      </c>
      <c r="AQ105" s="30">
        <v>14.165781000000001</v>
      </c>
      <c r="AR105" s="30">
        <v>14.176005</v>
      </c>
      <c r="AS105" s="30">
        <v>14.175546000000001</v>
      </c>
      <c r="AT105" s="30">
        <v>14.171063999999999</v>
      </c>
      <c r="AU105" s="30">
        <v>14.174204</v>
      </c>
      <c r="AV105" s="30">
        <v>14.176056000000001</v>
      </c>
      <c r="AW105" s="30">
        <v>14.175298</v>
      </c>
      <c r="AX105" s="30"/>
      <c r="AY105" s="30"/>
      <c r="AZ105" s="30"/>
    </row>
    <row r="106" spans="1:52" ht="18" customHeight="1">
      <c r="A106" s="23"/>
      <c r="B106" s="12"/>
      <c r="C106" s="79" t="s">
        <v>225</v>
      </c>
      <c r="D106" s="35" t="s">
        <v>275</v>
      </c>
      <c r="E106" s="35"/>
      <c r="F106" s="29" t="s">
        <v>276</v>
      </c>
      <c r="G106" s="38">
        <v>14.13</v>
      </c>
      <c r="H106" s="38">
        <v>0.05</v>
      </c>
      <c r="I106" s="38">
        <v>0.05</v>
      </c>
      <c r="J106" s="38">
        <v>0.08</v>
      </c>
      <c r="K106" s="38">
        <v>0.05</v>
      </c>
      <c r="L106" s="30">
        <f t="shared" si="4"/>
        <v>14.189356999999999</v>
      </c>
      <c r="M106" s="30">
        <f t="shared" si="5"/>
        <v>14.155780999999999</v>
      </c>
      <c r="N106" s="30">
        <f t="shared" si="6"/>
        <v>3.357600000000005E-2</v>
      </c>
      <c r="O106" s="31">
        <f t="shared" si="7"/>
        <v>14.174224172413794</v>
      </c>
      <c r="P106" s="52"/>
      <c r="Q106" s="30">
        <v>14.173807999999999</v>
      </c>
      <c r="R106" s="30">
        <v>14.171707</v>
      </c>
      <c r="S106" s="30">
        <v>14.172713</v>
      </c>
      <c r="T106" s="30">
        <v>14.185915</v>
      </c>
      <c r="U106" s="30">
        <v>14.173807999999999</v>
      </c>
      <c r="V106" s="30">
        <v>14.173567</v>
      </c>
      <c r="W106" s="30">
        <v>14.178724000000001</v>
      </c>
      <c r="X106" s="30">
        <v>14.175309</v>
      </c>
      <c r="Y106" s="30">
        <v>14.179916</v>
      </c>
      <c r="Z106" s="30">
        <v>14.170282</v>
      </c>
      <c r="AA106" s="30">
        <v>14.185122</v>
      </c>
      <c r="AB106" s="30">
        <v>14.183971</v>
      </c>
      <c r="AC106" s="30">
        <v>14.189356999999999</v>
      </c>
      <c r="AD106" s="30">
        <v>14.179466</v>
      </c>
      <c r="AE106" s="30">
        <v>14.172862</v>
      </c>
      <c r="AF106" s="30">
        <v>14.1782</v>
      </c>
      <c r="AG106" s="30">
        <v>14.187533</v>
      </c>
      <c r="AH106" s="30">
        <v>14.169387</v>
      </c>
      <c r="AI106" s="30">
        <v>14.178069000000001</v>
      </c>
      <c r="AJ106" s="30">
        <v>14.174253</v>
      </c>
      <c r="AK106" s="30">
        <v>14.178250999999999</v>
      </c>
      <c r="AL106" s="30">
        <v>14.175824</v>
      </c>
      <c r="AM106" s="30">
        <v>14.172788000000001</v>
      </c>
      <c r="AN106" s="30">
        <v>14.164994999999999</v>
      </c>
      <c r="AO106" s="30"/>
      <c r="AP106" s="30">
        <v>14.155780999999999</v>
      </c>
      <c r="AQ106" s="30">
        <v>14.15884</v>
      </c>
      <c r="AR106" s="30">
        <v>14.164624</v>
      </c>
      <c r="AS106" s="30">
        <v>14.166807</v>
      </c>
      <c r="AT106" s="30">
        <v>14.160622</v>
      </c>
      <c r="AU106" s="30">
        <v>14.167978</v>
      </c>
      <c r="AV106" s="30">
        <v>14.164690999999999</v>
      </c>
      <c r="AW106" s="30">
        <v>14.162996</v>
      </c>
      <c r="AX106" s="30"/>
      <c r="AY106" s="30"/>
      <c r="AZ106" s="30"/>
    </row>
    <row r="107" spans="1:52" ht="18" customHeight="1">
      <c r="A107" s="23"/>
      <c r="B107" s="12"/>
      <c r="C107" s="79" t="s">
        <v>225</v>
      </c>
      <c r="D107" s="35" t="s">
        <v>277</v>
      </c>
      <c r="E107" s="35"/>
      <c r="F107" s="29" t="s">
        <v>278</v>
      </c>
      <c r="G107" s="38">
        <v>14.13</v>
      </c>
      <c r="H107" s="38">
        <v>0.05</v>
      </c>
      <c r="I107" s="38">
        <v>0.05</v>
      </c>
      <c r="J107" s="38">
        <v>0.08</v>
      </c>
      <c r="K107" s="38">
        <v>0.05</v>
      </c>
      <c r="L107" s="30">
        <f t="shared" si="4"/>
        <v>14.153997</v>
      </c>
      <c r="M107" s="30">
        <f t="shared" si="5"/>
        <v>14.124252</v>
      </c>
      <c r="N107" s="30">
        <f t="shared" si="6"/>
        <v>2.9745000000000132E-2</v>
      </c>
      <c r="O107" s="31">
        <f t="shared" si="7"/>
        <v>14.138416344827586</v>
      </c>
      <c r="P107" s="52"/>
      <c r="Q107" s="30">
        <v>14.143843</v>
      </c>
      <c r="R107" s="30">
        <v>14.135476000000001</v>
      </c>
      <c r="S107" s="30">
        <v>14.143611</v>
      </c>
      <c r="T107" s="30">
        <v>14.153997</v>
      </c>
      <c r="U107" s="30">
        <v>14.140385</v>
      </c>
      <c r="V107" s="30">
        <v>14.136537000000001</v>
      </c>
      <c r="W107" s="30">
        <v>14.140069</v>
      </c>
      <c r="X107" s="30">
        <v>14.140561</v>
      </c>
      <c r="Y107" s="30">
        <v>14.140666</v>
      </c>
      <c r="Z107" s="30">
        <v>14.137212</v>
      </c>
      <c r="AA107" s="30">
        <v>14.146064000000001</v>
      </c>
      <c r="AB107" s="30">
        <v>14.142149</v>
      </c>
      <c r="AC107" s="30">
        <v>14.150676000000001</v>
      </c>
      <c r="AD107" s="30">
        <v>14.141978999999999</v>
      </c>
      <c r="AE107" s="30">
        <v>14.137895</v>
      </c>
      <c r="AF107" s="30">
        <v>14.143559</v>
      </c>
      <c r="AG107" s="30">
        <v>14.150648</v>
      </c>
      <c r="AH107" s="30">
        <v>14.131716000000001</v>
      </c>
      <c r="AI107" s="30">
        <v>14.139951</v>
      </c>
      <c r="AJ107" s="30">
        <v>14.136093000000001</v>
      </c>
      <c r="AK107" s="30">
        <v>14.140692</v>
      </c>
      <c r="AL107" s="30">
        <v>14.13883</v>
      </c>
      <c r="AM107" s="30">
        <v>14.136843000000001</v>
      </c>
      <c r="AN107" s="30">
        <v>14.129187</v>
      </c>
      <c r="AO107" s="30"/>
      <c r="AP107" s="30">
        <v>14.126099</v>
      </c>
      <c r="AQ107" s="30">
        <v>14.124252</v>
      </c>
      <c r="AR107" s="30">
        <v>14.125391</v>
      </c>
      <c r="AS107" s="30">
        <v>14.132241</v>
      </c>
      <c r="AT107" s="30">
        <v>14.127452</v>
      </c>
      <c r="AU107" s="30">
        <v>14.131347</v>
      </c>
      <c r="AV107" s="30">
        <v>14.128829</v>
      </c>
      <c r="AW107" s="30">
        <v>14.126779000000001</v>
      </c>
      <c r="AX107" s="30"/>
      <c r="AY107" s="30"/>
      <c r="AZ107" s="30"/>
    </row>
    <row r="108" spans="1:52" ht="18" customHeight="1">
      <c r="A108" s="23"/>
      <c r="B108" s="12"/>
      <c r="C108" s="79" t="s">
        <v>225</v>
      </c>
      <c r="D108" s="35" t="s">
        <v>279</v>
      </c>
      <c r="E108" s="35"/>
      <c r="F108" s="29" t="s">
        <v>280</v>
      </c>
      <c r="G108" s="38">
        <v>14.13</v>
      </c>
      <c r="H108" s="38">
        <v>0.05</v>
      </c>
      <c r="I108" s="38">
        <v>0.05</v>
      </c>
      <c r="J108" s="38">
        <v>0.08</v>
      </c>
      <c r="K108" s="38">
        <v>0.05</v>
      </c>
      <c r="L108" s="30">
        <f t="shared" si="4"/>
        <v>14.15856</v>
      </c>
      <c r="M108" s="30">
        <f t="shared" si="5"/>
        <v>14.127592</v>
      </c>
      <c r="N108" s="30">
        <f t="shared" si="6"/>
        <v>3.0967999999999662E-2</v>
      </c>
      <c r="O108" s="31">
        <f t="shared" si="7"/>
        <v>14.147389827586208</v>
      </c>
      <c r="P108" s="52"/>
      <c r="Q108" s="30">
        <v>14.152046</v>
      </c>
      <c r="R108" s="30">
        <v>14.145204</v>
      </c>
      <c r="S108" s="30">
        <v>14.152381</v>
      </c>
      <c r="T108" s="30">
        <v>14.15856</v>
      </c>
      <c r="U108" s="30">
        <v>14.148588</v>
      </c>
      <c r="V108" s="30">
        <v>14.145038</v>
      </c>
      <c r="W108" s="30">
        <v>14.148706000000001</v>
      </c>
      <c r="X108" s="30">
        <v>14.14747</v>
      </c>
      <c r="Y108" s="30">
        <v>14.148007</v>
      </c>
      <c r="Z108" s="30">
        <v>14.148586</v>
      </c>
      <c r="AA108" s="30">
        <v>14.152265</v>
      </c>
      <c r="AB108" s="30">
        <v>14.14568</v>
      </c>
      <c r="AC108" s="30">
        <v>14.155559999999999</v>
      </c>
      <c r="AD108" s="30">
        <v>14.152004</v>
      </c>
      <c r="AE108" s="30">
        <v>14.150707000000001</v>
      </c>
      <c r="AF108" s="30">
        <v>14.15043</v>
      </c>
      <c r="AG108" s="30">
        <v>14.156763</v>
      </c>
      <c r="AH108" s="30">
        <v>14.143874</v>
      </c>
      <c r="AI108" s="30">
        <v>14.145263</v>
      </c>
      <c r="AJ108" s="30">
        <v>14.146162</v>
      </c>
      <c r="AK108" s="30">
        <v>14.143268000000001</v>
      </c>
      <c r="AL108" s="30">
        <v>14.147125000000001</v>
      </c>
      <c r="AM108" s="30">
        <v>14.147247</v>
      </c>
      <c r="AN108" s="30">
        <v>14.143756</v>
      </c>
      <c r="AO108" s="30"/>
      <c r="AP108" s="30">
        <v>14.143969999999999</v>
      </c>
      <c r="AQ108" s="30">
        <v>14.138356</v>
      </c>
      <c r="AR108" s="30">
        <v>14.127592</v>
      </c>
      <c r="AS108" s="30">
        <v>14.154429</v>
      </c>
      <c r="AT108" s="30">
        <v>14.135268</v>
      </c>
      <c r="AU108" s="30">
        <v>14.138496</v>
      </c>
      <c r="AV108" s="30">
        <v>14.133823</v>
      </c>
      <c r="AW108" s="30">
        <v>14.130387000000001</v>
      </c>
      <c r="AX108" s="30"/>
      <c r="AY108" s="30"/>
      <c r="AZ108" s="30"/>
    </row>
    <row r="109" spans="1:52" ht="18" customHeight="1">
      <c r="A109" s="23"/>
      <c r="B109" s="12"/>
      <c r="C109" s="79" t="s">
        <v>225</v>
      </c>
      <c r="D109" s="35" t="s">
        <v>281</v>
      </c>
      <c r="E109" s="35"/>
      <c r="F109" s="29" t="s">
        <v>282</v>
      </c>
      <c r="G109" s="38">
        <v>14.13</v>
      </c>
      <c r="H109" s="38">
        <v>0.05</v>
      </c>
      <c r="I109" s="38">
        <v>0.05</v>
      </c>
      <c r="J109" s="38">
        <v>0.08</v>
      </c>
      <c r="K109" s="38">
        <v>0.05</v>
      </c>
      <c r="L109" s="30">
        <f t="shared" si="4"/>
        <v>14.169862</v>
      </c>
      <c r="M109" s="30">
        <f t="shared" si="5"/>
        <v>14.145580000000001</v>
      </c>
      <c r="N109" s="30">
        <f t="shared" si="6"/>
        <v>2.4281999999999471E-2</v>
      </c>
      <c r="O109" s="31">
        <f t="shared" si="7"/>
        <v>14.159785068965515</v>
      </c>
      <c r="P109" s="52"/>
      <c r="Q109" s="30">
        <v>14.155068999999999</v>
      </c>
      <c r="R109" s="30">
        <v>14.160169</v>
      </c>
      <c r="S109" s="30">
        <v>14.160693999999999</v>
      </c>
      <c r="T109" s="30">
        <v>14.162312</v>
      </c>
      <c r="U109" s="30">
        <v>14.161013000000001</v>
      </c>
      <c r="V109" s="30">
        <v>14.161547000000001</v>
      </c>
      <c r="W109" s="30">
        <v>14.163733000000001</v>
      </c>
      <c r="X109" s="30">
        <v>14.16099</v>
      </c>
      <c r="Y109" s="30">
        <v>14.164391999999999</v>
      </c>
      <c r="Z109" s="30">
        <v>14.159243999999999</v>
      </c>
      <c r="AA109" s="30">
        <v>14.164521000000001</v>
      </c>
      <c r="AB109" s="30">
        <v>14.163171</v>
      </c>
      <c r="AC109" s="30">
        <v>14.169862</v>
      </c>
      <c r="AD109" s="30">
        <v>14.167966</v>
      </c>
      <c r="AE109" s="30">
        <v>14.165179999999999</v>
      </c>
      <c r="AF109" s="30">
        <v>14.164350000000001</v>
      </c>
      <c r="AG109" s="30">
        <v>14.169600000000001</v>
      </c>
      <c r="AH109" s="30">
        <v>14.157494</v>
      </c>
      <c r="AI109" s="30">
        <v>14.156909000000001</v>
      </c>
      <c r="AJ109" s="30">
        <v>14.158098000000001</v>
      </c>
      <c r="AK109" s="30">
        <v>14.160512000000001</v>
      </c>
      <c r="AL109" s="30">
        <v>14.160921999999999</v>
      </c>
      <c r="AM109" s="30">
        <v>14.162457</v>
      </c>
      <c r="AN109" s="30">
        <v>14.1526</v>
      </c>
      <c r="AO109" s="30"/>
      <c r="AP109" s="30">
        <v>14.149642</v>
      </c>
      <c r="AQ109" s="30">
        <v>14.14564</v>
      </c>
      <c r="AR109" s="30">
        <v>14.145580000000001</v>
      </c>
      <c r="AS109" s="30">
        <v>14.160399</v>
      </c>
      <c r="AT109" s="30">
        <v>14.149701</v>
      </c>
      <c r="AU109" s="30">
        <v>14.147724</v>
      </c>
      <c r="AV109" s="30">
        <v>14.148768</v>
      </c>
      <c r="AW109" s="30">
        <v>14.147829</v>
      </c>
      <c r="AX109" s="30"/>
      <c r="AY109" s="30"/>
      <c r="AZ109" s="30"/>
    </row>
    <row r="110" spans="1:52" ht="18" customHeight="1">
      <c r="A110" s="23"/>
      <c r="B110" s="12"/>
      <c r="C110" s="79" t="s">
        <v>225</v>
      </c>
      <c r="D110" s="35" t="s">
        <v>283</v>
      </c>
      <c r="E110" s="35"/>
      <c r="F110" s="29" t="s">
        <v>284</v>
      </c>
      <c r="G110" s="38">
        <v>14.13</v>
      </c>
      <c r="H110" s="38">
        <v>0.05</v>
      </c>
      <c r="I110" s="38">
        <v>0.05</v>
      </c>
      <c r="J110" s="38">
        <v>0.08</v>
      </c>
      <c r="K110" s="38">
        <v>0.05</v>
      </c>
      <c r="L110" s="30">
        <f t="shared" si="4"/>
        <v>14.157503</v>
      </c>
      <c r="M110" s="30">
        <f t="shared" si="5"/>
        <v>14.132046000000001</v>
      </c>
      <c r="N110" s="30">
        <f t="shared" si="6"/>
        <v>2.5456999999999397E-2</v>
      </c>
      <c r="O110" s="31">
        <f t="shared" si="7"/>
        <v>14.147358827586208</v>
      </c>
      <c r="P110" s="52"/>
      <c r="Q110" s="30">
        <v>14.141982</v>
      </c>
      <c r="R110" s="30">
        <v>14.148971</v>
      </c>
      <c r="S110" s="30">
        <v>14.152321000000001</v>
      </c>
      <c r="T110" s="30">
        <v>14.150061000000001</v>
      </c>
      <c r="U110" s="30">
        <v>14.150453000000001</v>
      </c>
      <c r="V110" s="30">
        <v>14.149621</v>
      </c>
      <c r="W110" s="30">
        <v>14.150950999999999</v>
      </c>
      <c r="X110" s="30">
        <v>14.150848999999999</v>
      </c>
      <c r="Y110" s="30">
        <v>14.152711</v>
      </c>
      <c r="Z110" s="30">
        <v>14.147795</v>
      </c>
      <c r="AA110" s="30">
        <v>14.149433999999999</v>
      </c>
      <c r="AB110" s="30">
        <v>14.14897</v>
      </c>
      <c r="AC110" s="30">
        <v>14.1557</v>
      </c>
      <c r="AD110" s="30">
        <v>14.157503</v>
      </c>
      <c r="AE110" s="30">
        <v>14.153575</v>
      </c>
      <c r="AF110" s="30">
        <v>14.1547</v>
      </c>
      <c r="AG110" s="30">
        <v>14.157114999999999</v>
      </c>
      <c r="AH110" s="30">
        <v>14.143666</v>
      </c>
      <c r="AI110" s="30">
        <v>14.143145000000001</v>
      </c>
      <c r="AJ110" s="30">
        <v>14.144508</v>
      </c>
      <c r="AK110" s="30">
        <v>14.150665999999999</v>
      </c>
      <c r="AL110" s="30">
        <v>14.150639</v>
      </c>
      <c r="AM110" s="30">
        <v>14.149511</v>
      </c>
      <c r="AN110" s="30">
        <v>14.136816</v>
      </c>
      <c r="AO110" s="30"/>
      <c r="AP110" s="30">
        <v>14.135811</v>
      </c>
      <c r="AQ110" s="30">
        <v>14.133779000000001</v>
      </c>
      <c r="AR110" s="30">
        <v>14.132046000000001</v>
      </c>
      <c r="AS110" s="30">
        <v>14.142757</v>
      </c>
      <c r="AT110" s="30">
        <v>14.13735</v>
      </c>
      <c r="AU110" s="30">
        <v>14.13336</v>
      </c>
      <c r="AV110" s="30">
        <v>14.135795</v>
      </c>
      <c r="AW110" s="30">
        <v>14.137962999999999</v>
      </c>
      <c r="AX110" s="30"/>
      <c r="AY110" s="30"/>
      <c r="AZ110" s="30"/>
    </row>
    <row r="111" spans="1:52" ht="18" customHeight="1">
      <c r="A111" s="23"/>
      <c r="B111" s="12"/>
      <c r="C111" s="79" t="s">
        <v>225</v>
      </c>
      <c r="D111" s="35" t="s">
        <v>285</v>
      </c>
      <c r="E111" s="35"/>
      <c r="F111" s="29" t="s">
        <v>286</v>
      </c>
      <c r="G111" s="38">
        <v>14.13</v>
      </c>
      <c r="H111" s="38">
        <v>0.05</v>
      </c>
      <c r="I111" s="38">
        <v>0.05</v>
      </c>
      <c r="J111" s="38">
        <v>0.08</v>
      </c>
      <c r="K111" s="38">
        <v>0.05</v>
      </c>
      <c r="L111" s="30">
        <f t="shared" si="4"/>
        <v>14.147040000000001</v>
      </c>
      <c r="M111" s="30">
        <f t="shared" si="5"/>
        <v>14.118512000000001</v>
      </c>
      <c r="N111" s="30">
        <f t="shared" si="6"/>
        <v>2.8527999999999665E-2</v>
      </c>
      <c r="O111" s="31">
        <f t="shared" si="7"/>
        <v>14.134932586206899</v>
      </c>
      <c r="P111" s="52"/>
      <c r="Q111" s="30">
        <v>14.128895</v>
      </c>
      <c r="R111" s="30">
        <v>14.137772999999999</v>
      </c>
      <c r="S111" s="30">
        <v>14.143948</v>
      </c>
      <c r="T111" s="30">
        <v>14.13781</v>
      </c>
      <c r="U111" s="30">
        <v>14.139893000000001</v>
      </c>
      <c r="V111" s="30">
        <v>14.137695000000001</v>
      </c>
      <c r="W111" s="30">
        <v>14.138169</v>
      </c>
      <c r="X111" s="30">
        <v>14.140708</v>
      </c>
      <c r="Y111" s="30">
        <v>14.141030000000001</v>
      </c>
      <c r="Z111" s="30">
        <v>14.136346</v>
      </c>
      <c r="AA111" s="30">
        <v>14.134347</v>
      </c>
      <c r="AB111" s="30">
        <v>14.134769</v>
      </c>
      <c r="AC111" s="30">
        <v>14.141538000000001</v>
      </c>
      <c r="AD111" s="30">
        <v>14.147040000000001</v>
      </c>
      <c r="AE111" s="30">
        <v>14.141970000000001</v>
      </c>
      <c r="AF111" s="30">
        <v>14.145049999999999</v>
      </c>
      <c r="AG111" s="30">
        <v>14.144629999999999</v>
      </c>
      <c r="AH111" s="30">
        <v>14.129837999999999</v>
      </c>
      <c r="AI111" s="30">
        <v>14.129381</v>
      </c>
      <c r="AJ111" s="30">
        <v>14.130917999999999</v>
      </c>
      <c r="AK111" s="30">
        <v>14.14082</v>
      </c>
      <c r="AL111" s="30">
        <v>14.140356000000001</v>
      </c>
      <c r="AM111" s="30">
        <v>14.136564999999999</v>
      </c>
      <c r="AN111" s="30">
        <v>14.121032</v>
      </c>
      <c r="AO111" s="30"/>
      <c r="AP111" s="30">
        <v>14.121980000000001</v>
      </c>
      <c r="AQ111" s="30">
        <v>14.121918000000001</v>
      </c>
      <c r="AR111" s="30">
        <v>14.118512000000001</v>
      </c>
      <c r="AS111" s="30">
        <v>14.125114999999999</v>
      </c>
      <c r="AT111" s="30">
        <v>14.124999000000001</v>
      </c>
      <c r="AU111" s="30">
        <v>14.118995999999999</v>
      </c>
      <c r="AV111" s="30">
        <v>14.122821999999999</v>
      </c>
      <c r="AW111" s="30">
        <v>14.128097</v>
      </c>
      <c r="AX111" s="30"/>
      <c r="AY111" s="30"/>
      <c r="AZ111" s="30"/>
    </row>
    <row r="112" spans="1:52" ht="18" customHeight="1">
      <c r="A112" s="23"/>
      <c r="B112" s="12"/>
      <c r="C112" s="79" t="s">
        <v>225</v>
      </c>
      <c r="D112" s="35" t="s">
        <v>287</v>
      </c>
      <c r="E112" s="35"/>
      <c r="F112" s="29" t="s">
        <v>467</v>
      </c>
      <c r="G112" s="38">
        <v>0.15</v>
      </c>
      <c r="H112" s="38"/>
      <c r="I112" s="38"/>
      <c r="J112" s="38"/>
      <c r="K112" s="38"/>
      <c r="L112" s="30">
        <f t="shared" si="4"/>
        <v>0</v>
      </c>
      <c r="M112" s="30">
        <f t="shared" si="5"/>
        <v>0</v>
      </c>
      <c r="N112" s="30">
        <f t="shared" si="6"/>
        <v>0</v>
      </c>
      <c r="O112" s="31" t="e">
        <f t="shared" si="7"/>
        <v>#DIV/0!</v>
      </c>
      <c r="P112" s="52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  <c r="AP112" s="30"/>
      <c r="AQ112" s="30"/>
      <c r="AR112" s="30"/>
      <c r="AS112" s="30"/>
      <c r="AT112" s="30"/>
      <c r="AU112" s="30"/>
      <c r="AV112" s="30"/>
      <c r="AW112" s="30"/>
      <c r="AX112" s="30"/>
      <c r="AY112" s="30"/>
      <c r="AZ112" s="30"/>
    </row>
    <row r="113" spans="1:52" ht="18" customHeight="1">
      <c r="A113" s="23"/>
      <c r="B113" s="12"/>
      <c r="C113" s="79" t="s">
        <v>225</v>
      </c>
      <c r="D113" s="35" t="s">
        <v>287</v>
      </c>
      <c r="E113" s="35"/>
      <c r="F113" s="29" t="s">
        <v>468</v>
      </c>
      <c r="G113" s="38">
        <v>0.15</v>
      </c>
      <c r="H113" s="38"/>
      <c r="I113" s="38"/>
      <c r="J113" s="38"/>
      <c r="K113" s="38"/>
      <c r="L113" s="30">
        <f t="shared" si="4"/>
        <v>0</v>
      </c>
      <c r="M113" s="30">
        <f t="shared" si="5"/>
        <v>0</v>
      </c>
      <c r="N113" s="30">
        <f t="shared" si="6"/>
        <v>0</v>
      </c>
      <c r="O113" s="31" t="e">
        <f t="shared" si="7"/>
        <v>#DIV/0!</v>
      </c>
      <c r="P113" s="52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</row>
    <row r="114" spans="1:52" ht="18" customHeight="1">
      <c r="A114" s="23"/>
      <c r="B114" s="12"/>
      <c r="C114" s="79" t="s">
        <v>225</v>
      </c>
      <c r="D114" s="35" t="s">
        <v>287</v>
      </c>
      <c r="E114" s="35"/>
      <c r="F114" s="29" t="s">
        <v>469</v>
      </c>
      <c r="G114" s="38">
        <v>0</v>
      </c>
      <c r="H114" s="38">
        <v>0.15</v>
      </c>
      <c r="I114" s="38">
        <v>0</v>
      </c>
      <c r="J114" s="38">
        <v>0.15</v>
      </c>
      <c r="K114" s="38">
        <v>0</v>
      </c>
      <c r="L114" s="30">
        <f t="shared" si="4"/>
        <v>0.16737099999999999</v>
      </c>
      <c r="M114" s="30">
        <f t="shared" si="5"/>
        <v>0.110537</v>
      </c>
      <c r="N114" s="30">
        <f t="shared" si="6"/>
        <v>5.6833999999999996E-2</v>
      </c>
      <c r="O114" s="31">
        <f t="shared" si="7"/>
        <v>0.13212906896551724</v>
      </c>
      <c r="P114" s="52"/>
      <c r="Q114" s="30">
        <v>0.11441800000000001</v>
      </c>
      <c r="R114" s="30">
        <v>0.131665</v>
      </c>
      <c r="S114" s="30">
        <v>0.110537</v>
      </c>
      <c r="T114" s="30">
        <v>0.124684</v>
      </c>
      <c r="U114" s="30">
        <v>0.121055</v>
      </c>
      <c r="V114" s="30">
        <v>0.124366</v>
      </c>
      <c r="W114" s="30">
        <v>0.13644899999999999</v>
      </c>
      <c r="X114" s="30">
        <v>0.11150599999999999</v>
      </c>
      <c r="Y114" s="30">
        <v>0.14294899999999999</v>
      </c>
      <c r="Z114" s="30">
        <v>0.118219</v>
      </c>
      <c r="AA114" s="30">
        <v>0.120143</v>
      </c>
      <c r="AB114" s="30">
        <v>0.13855200000000001</v>
      </c>
      <c r="AC114" s="30">
        <v>0.13649800000000001</v>
      </c>
      <c r="AD114" s="30">
        <v>0.12102499999999999</v>
      </c>
      <c r="AE114" s="30">
        <v>0.127419</v>
      </c>
      <c r="AF114" s="30">
        <v>0.123318</v>
      </c>
      <c r="AG114" s="30">
        <v>0.12164800000000001</v>
      </c>
      <c r="AH114" s="30">
        <v>0.13499900000000001</v>
      </c>
      <c r="AI114" s="30">
        <v>0.13635</v>
      </c>
      <c r="AJ114" s="30">
        <v>0.132913</v>
      </c>
      <c r="AK114" s="30">
        <v>0.14072599999999999</v>
      </c>
      <c r="AL114" s="30">
        <v>0.119384</v>
      </c>
      <c r="AM114" s="30">
        <v>0.130798</v>
      </c>
      <c r="AN114" s="30">
        <v>0.133743</v>
      </c>
      <c r="AO114" s="30"/>
      <c r="AP114" s="30">
        <v>0.14804200000000001</v>
      </c>
      <c r="AQ114" s="30">
        <v>0.14908399999999999</v>
      </c>
      <c r="AR114" s="30">
        <v>0.16737099999999999</v>
      </c>
      <c r="AS114" s="30">
        <v>0.16297200000000001</v>
      </c>
      <c r="AT114" s="30">
        <v>0.15090999999999999</v>
      </c>
      <c r="AU114" s="30">
        <v>0.16120599999999999</v>
      </c>
      <c r="AV114" s="30">
        <v>0.15923399999999999</v>
      </c>
      <c r="AW114" s="30">
        <v>0.149011</v>
      </c>
      <c r="AX114" s="30"/>
      <c r="AY114" s="30"/>
      <c r="AZ114" s="30"/>
    </row>
    <row r="115" spans="1:52" ht="18" customHeight="1">
      <c r="A115" s="23"/>
      <c r="B115" s="12"/>
      <c r="C115" s="79" t="s">
        <v>225</v>
      </c>
      <c r="D115" s="35" t="s">
        <v>291</v>
      </c>
      <c r="E115" s="35"/>
      <c r="F115" s="29" t="s">
        <v>292</v>
      </c>
      <c r="G115" s="38">
        <v>0</v>
      </c>
      <c r="H115" s="38">
        <v>0.15</v>
      </c>
      <c r="I115" s="38">
        <v>0</v>
      </c>
      <c r="J115" s="38">
        <v>0.15</v>
      </c>
      <c r="K115" s="38">
        <v>0</v>
      </c>
      <c r="L115" s="30">
        <f t="shared" si="4"/>
        <v>0.13588500000000001</v>
      </c>
      <c r="M115" s="30">
        <f t="shared" si="5"/>
        <v>9.0315000000000006E-2</v>
      </c>
      <c r="N115" s="30">
        <f t="shared" si="6"/>
        <v>4.5569999999999999E-2</v>
      </c>
      <c r="O115" s="31">
        <f t="shared" si="7"/>
        <v>0.10453265517241379</v>
      </c>
      <c r="P115" s="52"/>
      <c r="Q115" s="30">
        <v>0.101295</v>
      </c>
      <c r="R115" s="30">
        <v>0.104403</v>
      </c>
      <c r="S115" s="30">
        <v>0.10625999999999999</v>
      </c>
      <c r="T115" s="30">
        <v>0.123429</v>
      </c>
      <c r="U115" s="30">
        <v>0.116772</v>
      </c>
      <c r="V115" s="30">
        <v>9.7996E-2</v>
      </c>
      <c r="W115" s="30">
        <v>9.7670000000000007E-2</v>
      </c>
      <c r="X115" s="30">
        <v>0.110376</v>
      </c>
      <c r="Y115" s="30">
        <v>0.100712</v>
      </c>
      <c r="Z115" s="30">
        <v>0.104967</v>
      </c>
      <c r="AA115" s="30">
        <v>9.2162999999999995E-2</v>
      </c>
      <c r="AB115" s="30">
        <v>9.6684999999999993E-2</v>
      </c>
      <c r="AC115" s="30">
        <v>9.2993999999999993E-2</v>
      </c>
      <c r="AD115" s="30">
        <v>9.8403000000000004E-2</v>
      </c>
      <c r="AE115" s="30">
        <v>9.4162999999999997E-2</v>
      </c>
      <c r="AF115" s="30">
        <v>9.3243000000000006E-2</v>
      </c>
      <c r="AG115" s="30">
        <v>9.0315000000000006E-2</v>
      </c>
      <c r="AH115" s="30">
        <v>0.115871</v>
      </c>
      <c r="AI115" s="30">
        <v>0.11135</v>
      </c>
      <c r="AJ115" s="30">
        <v>0.12565799999999999</v>
      </c>
      <c r="AK115" s="30">
        <v>9.1199000000000002E-2</v>
      </c>
      <c r="AL115" s="30">
        <v>9.5448000000000005E-2</v>
      </c>
      <c r="AM115" s="30">
        <v>0.100828</v>
      </c>
      <c r="AN115" s="30">
        <v>0.130805</v>
      </c>
      <c r="AO115" s="30"/>
      <c r="AP115" s="30">
        <v>0.104839</v>
      </c>
      <c r="AQ115" s="30">
        <v>0.105993</v>
      </c>
      <c r="AR115" s="30">
        <v>9.2333999999999999E-2</v>
      </c>
      <c r="AS115" s="30">
        <v>0.13588500000000001</v>
      </c>
      <c r="AT115" s="30">
        <v>9.9390999999999993E-2</v>
      </c>
      <c r="AU115" s="30">
        <v>0.13120000000000001</v>
      </c>
      <c r="AV115" s="30">
        <v>0.106131</v>
      </c>
      <c r="AW115" s="30">
        <v>9.6766000000000005E-2</v>
      </c>
      <c r="AX115" s="30"/>
      <c r="AY115" s="30"/>
      <c r="AZ115" s="30"/>
    </row>
    <row r="116" spans="1:52" ht="18" customHeight="1">
      <c r="A116" s="23"/>
      <c r="B116" s="12"/>
      <c r="C116" s="79" t="s">
        <v>225</v>
      </c>
      <c r="D116" s="35" t="s">
        <v>293</v>
      </c>
      <c r="E116" s="35"/>
      <c r="F116" s="29" t="s">
        <v>294</v>
      </c>
      <c r="G116" s="38">
        <v>0</v>
      </c>
      <c r="H116" s="38">
        <v>0.14000000000000001</v>
      </c>
      <c r="I116" s="38">
        <v>0</v>
      </c>
      <c r="J116" s="38">
        <v>0.15</v>
      </c>
      <c r="K116" s="38">
        <v>0</v>
      </c>
      <c r="L116" s="30">
        <f t="shared" si="4"/>
        <v>0.201679</v>
      </c>
      <c r="M116" s="30">
        <f t="shared" si="5"/>
        <v>0.13030900000000001</v>
      </c>
      <c r="N116" s="30">
        <f t="shared" si="6"/>
        <v>7.1369999999999989E-2</v>
      </c>
      <c r="O116" s="31">
        <f t="shared" si="7"/>
        <v>0.15104179310344829</v>
      </c>
      <c r="P116" s="52"/>
      <c r="Q116" s="30">
        <v>0.142266</v>
      </c>
      <c r="R116" s="30">
        <v>0.143315</v>
      </c>
      <c r="S116" s="30">
        <v>0.13253300000000001</v>
      </c>
      <c r="T116" s="30">
        <v>0.148422</v>
      </c>
      <c r="U116" s="30">
        <v>0.138797</v>
      </c>
      <c r="V116" s="30">
        <v>0.14205300000000001</v>
      </c>
      <c r="W116" s="30">
        <v>0.145396</v>
      </c>
      <c r="X116" s="30">
        <v>0.14774499999999999</v>
      </c>
      <c r="Y116" s="30">
        <v>0.155475</v>
      </c>
      <c r="Z116" s="30">
        <v>0.13491700000000001</v>
      </c>
      <c r="AA116" s="30">
        <v>0.14972299999999999</v>
      </c>
      <c r="AB116" s="30">
        <v>0.159444</v>
      </c>
      <c r="AC116" s="30">
        <v>0.14781</v>
      </c>
      <c r="AD116" s="30">
        <v>0.13749500000000001</v>
      </c>
      <c r="AE116" s="30">
        <v>0.13030900000000001</v>
      </c>
      <c r="AF116" s="30">
        <v>0.14860799999999999</v>
      </c>
      <c r="AG116" s="30">
        <v>0.15039</v>
      </c>
      <c r="AH116" s="30">
        <v>0.138378</v>
      </c>
      <c r="AI116" s="30">
        <v>0.14208000000000001</v>
      </c>
      <c r="AJ116" s="30">
        <v>0.145367</v>
      </c>
      <c r="AK116" s="30">
        <v>0.156748</v>
      </c>
      <c r="AL116" s="30">
        <v>0.147397</v>
      </c>
      <c r="AM116" s="30">
        <v>0.152306</v>
      </c>
      <c r="AN116" s="30">
        <v>0.14607800000000001</v>
      </c>
      <c r="AO116" s="30"/>
      <c r="AP116" s="30">
        <v>0.17043800000000001</v>
      </c>
      <c r="AQ116" s="30">
        <v>0.17975099999999999</v>
      </c>
      <c r="AR116" s="30">
        <v>0.201679</v>
      </c>
      <c r="AS116" s="30">
        <v>0.16711200000000001</v>
      </c>
      <c r="AT116" s="30">
        <v>0.17818000000000001</v>
      </c>
      <c r="AU116" s="30">
        <v>0.18846499999999999</v>
      </c>
      <c r="AV116" s="30">
        <v>0.18898100000000001</v>
      </c>
      <c r="AW116" s="30">
        <v>0.17257500000000001</v>
      </c>
      <c r="AX116" s="30"/>
      <c r="AY116" s="30"/>
      <c r="AZ116" s="30"/>
    </row>
    <row r="117" spans="1:52" ht="18" customHeight="1">
      <c r="A117" s="23"/>
      <c r="B117" s="12"/>
      <c r="C117" s="79" t="s">
        <v>225</v>
      </c>
      <c r="D117" s="35" t="s">
        <v>295</v>
      </c>
      <c r="E117" s="35"/>
      <c r="F117" s="29" t="s">
        <v>296</v>
      </c>
      <c r="G117" s="38">
        <v>0</v>
      </c>
      <c r="H117" s="38">
        <v>0.15</v>
      </c>
      <c r="I117" s="38">
        <v>0</v>
      </c>
      <c r="J117" s="38">
        <v>0.15</v>
      </c>
      <c r="K117" s="38">
        <v>0</v>
      </c>
      <c r="L117" s="30">
        <f t="shared" si="4"/>
        <v>0.134156</v>
      </c>
      <c r="M117" s="30">
        <f t="shared" si="5"/>
        <v>7.0218000000000003E-2</v>
      </c>
      <c r="N117" s="30">
        <f t="shared" si="6"/>
        <v>6.3937999999999995E-2</v>
      </c>
      <c r="O117" s="31">
        <f t="shared" si="7"/>
        <v>8.5466137931034497E-2</v>
      </c>
      <c r="P117" s="52"/>
      <c r="Q117" s="30">
        <v>7.6186000000000004E-2</v>
      </c>
      <c r="R117" s="30">
        <v>7.2864999999999999E-2</v>
      </c>
      <c r="S117" s="30">
        <v>8.5331000000000004E-2</v>
      </c>
      <c r="T117" s="30">
        <v>8.1500000000000003E-2</v>
      </c>
      <c r="U117" s="30">
        <v>8.6040000000000005E-2</v>
      </c>
      <c r="V117" s="30">
        <v>7.4596999999999997E-2</v>
      </c>
      <c r="W117" s="30">
        <v>7.7198000000000003E-2</v>
      </c>
      <c r="X117" s="30">
        <v>8.5735000000000006E-2</v>
      </c>
      <c r="Y117" s="30">
        <v>8.6332999999999993E-2</v>
      </c>
      <c r="Z117" s="30">
        <v>7.6071E-2</v>
      </c>
      <c r="AA117" s="30">
        <v>8.1342999999999999E-2</v>
      </c>
      <c r="AB117" s="30">
        <v>9.2473E-2</v>
      </c>
      <c r="AC117" s="30">
        <v>7.6643000000000003E-2</v>
      </c>
      <c r="AD117" s="30">
        <v>7.8123999999999999E-2</v>
      </c>
      <c r="AE117" s="30">
        <v>7.5426000000000007E-2</v>
      </c>
      <c r="AF117" s="30">
        <v>7.7548000000000006E-2</v>
      </c>
      <c r="AG117" s="30">
        <v>8.6004999999999998E-2</v>
      </c>
      <c r="AH117" s="30">
        <v>7.0218000000000003E-2</v>
      </c>
      <c r="AI117" s="30">
        <v>7.8469999999999998E-2</v>
      </c>
      <c r="AJ117" s="30">
        <v>7.6995999999999995E-2</v>
      </c>
      <c r="AK117" s="30">
        <v>8.8816999999999993E-2</v>
      </c>
      <c r="AL117" s="30">
        <v>7.9557000000000003E-2</v>
      </c>
      <c r="AM117" s="30">
        <v>8.1994999999999998E-2</v>
      </c>
      <c r="AN117" s="30">
        <v>7.7600000000000002E-2</v>
      </c>
      <c r="AO117" s="30"/>
      <c r="AP117" s="30">
        <v>0.10137400000000001</v>
      </c>
      <c r="AQ117" s="30">
        <v>0.11175300000000001</v>
      </c>
      <c r="AR117" s="30">
        <v>0.134156</v>
      </c>
      <c r="AS117" s="30">
        <v>9.9426E-2</v>
      </c>
      <c r="AT117" s="30">
        <v>0.108738</v>
      </c>
      <c r="AU117" s="30">
        <v>0.12259</v>
      </c>
      <c r="AV117" s="30">
        <v>0.118988</v>
      </c>
      <c r="AW117" s="30">
        <v>0.10578899999999999</v>
      </c>
      <c r="AX117" s="30"/>
      <c r="AY117" s="30"/>
      <c r="AZ117" s="30"/>
    </row>
    <row r="118" spans="1:52" ht="18" customHeight="1">
      <c r="A118" s="23"/>
      <c r="B118" s="12"/>
      <c r="C118" s="79" t="s">
        <v>225</v>
      </c>
      <c r="D118" s="35" t="s">
        <v>297</v>
      </c>
      <c r="E118" s="35"/>
      <c r="F118" s="29" t="s">
        <v>298</v>
      </c>
      <c r="G118" s="38">
        <v>11.05</v>
      </c>
      <c r="H118" s="38">
        <v>0.05</v>
      </c>
      <c r="I118" s="38">
        <v>0.05</v>
      </c>
      <c r="J118" s="38">
        <v>0.05</v>
      </c>
      <c r="K118" s="38">
        <v>0.05</v>
      </c>
      <c r="L118" s="30">
        <f t="shared" si="4"/>
        <v>11.046847</v>
      </c>
      <c r="M118" s="30">
        <f t="shared" si="5"/>
        <v>11.029228</v>
      </c>
      <c r="N118" s="30">
        <f t="shared" si="6"/>
        <v>1.7618999999999829E-2</v>
      </c>
      <c r="O118" s="31">
        <f t="shared" si="7"/>
        <v>11.037346896551721</v>
      </c>
      <c r="P118" s="52"/>
      <c r="Q118" s="30">
        <v>11.037330000000001</v>
      </c>
      <c r="R118" s="30">
        <v>11.037115</v>
      </c>
      <c r="S118" s="30">
        <v>11.042608</v>
      </c>
      <c r="T118" s="30">
        <v>11.033879000000001</v>
      </c>
      <c r="U118" s="30">
        <v>11.040132</v>
      </c>
      <c r="V118" s="30">
        <v>11.040494000000001</v>
      </c>
      <c r="W118" s="30">
        <v>11.035657</v>
      </c>
      <c r="X118" s="30">
        <v>11.039057</v>
      </c>
      <c r="Y118" s="30">
        <v>11.034905</v>
      </c>
      <c r="Z118" s="30">
        <v>11.040556</v>
      </c>
      <c r="AA118" s="30">
        <v>11.036160000000001</v>
      </c>
      <c r="AB118" s="30">
        <v>11.034058999999999</v>
      </c>
      <c r="AC118" s="30">
        <v>11.037751999999999</v>
      </c>
      <c r="AD118" s="30">
        <v>11.042477</v>
      </c>
      <c r="AE118" s="30">
        <v>11.04369</v>
      </c>
      <c r="AF118" s="30">
        <v>11.038224</v>
      </c>
      <c r="AG118" s="30">
        <v>11.038157</v>
      </c>
      <c r="AH118" s="30">
        <v>11.036484</v>
      </c>
      <c r="AI118" s="30">
        <v>11.033457</v>
      </c>
      <c r="AJ118" s="30">
        <v>11.03375</v>
      </c>
      <c r="AK118" s="30">
        <v>11.032189000000001</v>
      </c>
      <c r="AL118" s="30">
        <v>11.035318999999999</v>
      </c>
      <c r="AM118" s="30">
        <v>11.034307999999999</v>
      </c>
      <c r="AN118" s="30">
        <v>11.038758</v>
      </c>
      <c r="AO118" s="30"/>
      <c r="AP118" s="30">
        <v>11.033175</v>
      </c>
      <c r="AQ118" s="30">
        <v>11.036276000000001</v>
      </c>
      <c r="AR118" s="30">
        <v>11.029228</v>
      </c>
      <c r="AS118" s="30">
        <v>11.046847</v>
      </c>
      <c r="AT118" s="30">
        <v>11.041017</v>
      </c>
      <c r="AU118" s="30">
        <v>11.036479</v>
      </c>
      <c r="AV118" s="30">
        <v>11.037794999999999</v>
      </c>
      <c r="AW118" s="30">
        <v>11.040927</v>
      </c>
      <c r="AX118" s="30"/>
      <c r="AY118" s="30"/>
      <c r="AZ118" s="30"/>
    </row>
    <row r="119" spans="1:52" ht="18" customHeight="1">
      <c r="A119" s="23"/>
      <c r="B119" s="12"/>
      <c r="C119" s="79" t="s">
        <v>225</v>
      </c>
      <c r="D119" s="35" t="s">
        <v>299</v>
      </c>
      <c r="E119" s="35"/>
      <c r="F119" s="29" t="s">
        <v>300</v>
      </c>
      <c r="G119" s="38">
        <v>11.05</v>
      </c>
      <c r="H119" s="38">
        <v>0.05</v>
      </c>
      <c r="I119" s="38">
        <v>0.05</v>
      </c>
      <c r="J119" s="38">
        <v>0.05</v>
      </c>
      <c r="K119" s="38">
        <v>0.05</v>
      </c>
      <c r="L119" s="30">
        <f t="shared" si="4"/>
        <v>11.020668000000001</v>
      </c>
      <c r="M119" s="30">
        <f t="shared" si="5"/>
        <v>10.993237000000001</v>
      </c>
      <c r="N119" s="30">
        <f t="shared" si="6"/>
        <v>2.7430999999999983E-2</v>
      </c>
      <c r="O119" s="31">
        <f t="shared" si="7"/>
        <v>11.003862000000003</v>
      </c>
      <c r="P119" s="52"/>
      <c r="Q119" s="30">
        <v>11.005521999999999</v>
      </c>
      <c r="R119" s="30">
        <v>11.001605</v>
      </c>
      <c r="S119" s="30">
        <v>11.010980999999999</v>
      </c>
      <c r="T119" s="30">
        <v>11.00168</v>
      </c>
      <c r="U119" s="30">
        <v>11.006505000000001</v>
      </c>
      <c r="V119" s="30">
        <v>11.005948999999999</v>
      </c>
      <c r="W119" s="30">
        <v>11.000219</v>
      </c>
      <c r="X119" s="30">
        <v>11.003202</v>
      </c>
      <c r="Y119" s="30">
        <v>10.997731999999999</v>
      </c>
      <c r="Z119" s="30">
        <v>11.008694999999999</v>
      </c>
      <c r="AA119" s="30">
        <v>11.001671</v>
      </c>
      <c r="AB119" s="30">
        <v>10.995984</v>
      </c>
      <c r="AC119" s="30">
        <v>11.001526</v>
      </c>
      <c r="AD119" s="30">
        <v>11.005872</v>
      </c>
      <c r="AE119" s="30">
        <v>11.014068</v>
      </c>
      <c r="AF119" s="30">
        <v>11.004341999999999</v>
      </c>
      <c r="AG119" s="30">
        <v>11.002608</v>
      </c>
      <c r="AH119" s="30">
        <v>11.002323000000001</v>
      </c>
      <c r="AI119" s="30">
        <v>10.999131</v>
      </c>
      <c r="AJ119" s="30">
        <v>10.998103</v>
      </c>
      <c r="AK119" s="30">
        <v>10.995015</v>
      </c>
      <c r="AL119" s="30">
        <v>11.000451999999999</v>
      </c>
      <c r="AM119" s="30">
        <v>10.999822999999999</v>
      </c>
      <c r="AN119" s="30">
        <v>11.012048999999999</v>
      </c>
      <c r="AO119" s="30"/>
      <c r="AP119" s="30">
        <v>11.007186000000001</v>
      </c>
      <c r="AQ119" s="30">
        <v>11.008376</v>
      </c>
      <c r="AR119" s="30">
        <v>10.993237000000001</v>
      </c>
      <c r="AS119" s="30">
        <v>11.020668000000001</v>
      </c>
      <c r="AT119" s="30">
        <v>11.007474</v>
      </c>
      <c r="AU119" s="30">
        <v>11.004956999999999</v>
      </c>
      <c r="AV119" s="30">
        <v>11.003396</v>
      </c>
      <c r="AW119" s="30">
        <v>11.005013</v>
      </c>
      <c r="AX119" s="30"/>
      <c r="AY119" s="30"/>
      <c r="AZ119" s="30"/>
    </row>
    <row r="120" spans="1:52" ht="18" customHeight="1">
      <c r="A120" s="23"/>
      <c r="B120" s="12"/>
      <c r="C120" s="79" t="s">
        <v>225</v>
      </c>
      <c r="D120" s="35" t="s">
        <v>301</v>
      </c>
      <c r="E120" s="35"/>
      <c r="F120" s="29" t="s">
        <v>302</v>
      </c>
      <c r="G120" s="38">
        <v>11.05</v>
      </c>
      <c r="H120" s="38">
        <v>0.05</v>
      </c>
      <c r="I120" s="38">
        <v>0.05</v>
      </c>
      <c r="J120" s="38">
        <v>0.05</v>
      </c>
      <c r="K120" s="38">
        <v>0.05</v>
      </c>
      <c r="L120" s="30">
        <f t="shared" si="4"/>
        <v>11.025548000000001</v>
      </c>
      <c r="M120" s="30">
        <f t="shared" si="5"/>
        <v>10.996048999999999</v>
      </c>
      <c r="N120" s="30">
        <f t="shared" si="6"/>
        <v>2.9499000000001274E-2</v>
      </c>
      <c r="O120" s="31">
        <f t="shared" si="7"/>
        <v>11.007280344827585</v>
      </c>
      <c r="P120" s="52"/>
      <c r="Q120" s="30">
        <v>11.009693</v>
      </c>
      <c r="R120" s="30">
        <v>11.004944</v>
      </c>
      <c r="S120" s="30">
        <v>11.015275000000001</v>
      </c>
      <c r="T120" s="30">
        <v>11.005839</v>
      </c>
      <c r="U120" s="30">
        <v>11.010199</v>
      </c>
      <c r="V120" s="30">
        <v>11.009508</v>
      </c>
      <c r="W120" s="30">
        <v>11.003358</v>
      </c>
      <c r="X120" s="30">
        <v>11.006460000000001</v>
      </c>
      <c r="Y120" s="30">
        <v>11.000577</v>
      </c>
      <c r="Z120" s="30">
        <v>11.012518999999999</v>
      </c>
      <c r="AA120" s="30">
        <v>11.004982</v>
      </c>
      <c r="AB120" s="30">
        <v>10.996157999999999</v>
      </c>
      <c r="AC120" s="30">
        <v>11.004598</v>
      </c>
      <c r="AD120" s="30">
        <v>11.009119</v>
      </c>
      <c r="AE120" s="30">
        <v>11.018523</v>
      </c>
      <c r="AF120" s="30">
        <v>11.008107000000001</v>
      </c>
      <c r="AG120" s="30">
        <v>11.005979999999999</v>
      </c>
      <c r="AH120" s="30">
        <v>11.005773</v>
      </c>
      <c r="AI120" s="30">
        <v>11.002348</v>
      </c>
      <c r="AJ120" s="30">
        <v>11.001538</v>
      </c>
      <c r="AK120" s="30">
        <v>10.998008</v>
      </c>
      <c r="AL120" s="30">
        <v>11.003698999999999</v>
      </c>
      <c r="AM120" s="30">
        <v>11.003439999999999</v>
      </c>
      <c r="AN120" s="30">
        <v>11.01207</v>
      </c>
      <c r="AO120" s="30"/>
      <c r="AP120" s="30">
        <v>11.012401000000001</v>
      </c>
      <c r="AQ120" s="30">
        <v>11.012834</v>
      </c>
      <c r="AR120" s="30">
        <v>10.996048999999999</v>
      </c>
      <c r="AS120" s="30">
        <v>11.025548000000001</v>
      </c>
      <c r="AT120" s="30">
        <v>11.011583</v>
      </c>
      <c r="AU120" s="30">
        <v>11.008668</v>
      </c>
      <c r="AV120" s="30">
        <v>11.00624</v>
      </c>
      <c r="AW120" s="30">
        <v>11.007966</v>
      </c>
      <c r="AX120" s="30"/>
      <c r="AY120" s="30"/>
      <c r="AZ120" s="30"/>
    </row>
    <row r="121" spans="1:52" ht="18" customHeight="1">
      <c r="A121" s="23"/>
      <c r="B121" s="12"/>
      <c r="C121" s="79" t="s">
        <v>225</v>
      </c>
      <c r="D121" s="35" t="s">
        <v>303</v>
      </c>
      <c r="E121" s="35"/>
      <c r="F121" s="29" t="s">
        <v>304</v>
      </c>
      <c r="G121" s="38">
        <v>21.59</v>
      </c>
      <c r="H121" s="38">
        <v>0.08</v>
      </c>
      <c r="I121" s="38">
        <v>0.05</v>
      </c>
      <c r="J121" s="38">
        <v>0.08</v>
      </c>
      <c r="K121" s="38">
        <v>0.05</v>
      </c>
      <c r="L121" s="30">
        <f t="shared" si="4"/>
        <v>21.595872</v>
      </c>
      <c r="M121" s="30">
        <f t="shared" si="5"/>
        <v>21.575153</v>
      </c>
      <c r="N121" s="30">
        <f t="shared" si="6"/>
        <v>2.071899999999971E-2</v>
      </c>
      <c r="O121" s="31">
        <f t="shared" si="7"/>
        <v>21.586246275862067</v>
      </c>
      <c r="P121" s="52"/>
      <c r="Q121" s="30">
        <v>21.58314</v>
      </c>
      <c r="R121" s="30">
        <v>21.588179</v>
      </c>
      <c r="S121" s="30">
        <v>21.588508000000001</v>
      </c>
      <c r="T121" s="30">
        <v>21.575153</v>
      </c>
      <c r="U121" s="30">
        <v>21.592545000000001</v>
      </c>
      <c r="V121" s="30">
        <v>21.585241</v>
      </c>
      <c r="W121" s="30">
        <v>21.586926999999999</v>
      </c>
      <c r="X121" s="30">
        <v>21.594314000000001</v>
      </c>
      <c r="Y121" s="30">
        <v>21.586238000000002</v>
      </c>
      <c r="Z121" s="30">
        <v>21.586748</v>
      </c>
      <c r="AA121" s="30">
        <v>21.585986999999999</v>
      </c>
      <c r="AB121" s="30">
        <v>21.591059000000001</v>
      </c>
      <c r="AC121" s="30">
        <v>21.583029</v>
      </c>
      <c r="AD121" s="30">
        <v>21.589036</v>
      </c>
      <c r="AE121" s="30">
        <v>21.589182000000001</v>
      </c>
      <c r="AF121" s="30">
        <v>21.584879999999998</v>
      </c>
      <c r="AG121" s="30">
        <v>21.583648</v>
      </c>
      <c r="AH121" s="30">
        <v>21.582393</v>
      </c>
      <c r="AI121" s="30">
        <v>21.577904</v>
      </c>
      <c r="AJ121" s="30">
        <v>21.583919000000002</v>
      </c>
      <c r="AK121" s="30">
        <v>21.584855000000001</v>
      </c>
      <c r="AL121" s="30">
        <v>21.584385999999999</v>
      </c>
      <c r="AM121" s="30">
        <v>21.587007</v>
      </c>
      <c r="AN121" s="30">
        <v>21.578818999999999</v>
      </c>
      <c r="AO121" s="30"/>
      <c r="AP121" s="30">
        <v>21.591314000000001</v>
      </c>
      <c r="AQ121" s="30">
        <v>21.590468999999999</v>
      </c>
      <c r="AR121" s="30">
        <v>21.595872</v>
      </c>
      <c r="AS121" s="30">
        <v>21.588711</v>
      </c>
      <c r="AT121" s="30">
        <v>21.581679000000001</v>
      </c>
      <c r="AU121" s="30">
        <v>21.583251000000001</v>
      </c>
      <c r="AV121" s="30">
        <v>21.586656000000001</v>
      </c>
      <c r="AW121" s="30">
        <v>21.580774999999999</v>
      </c>
      <c r="AX121" s="30"/>
      <c r="AY121" s="30"/>
      <c r="AZ121" s="30"/>
    </row>
    <row r="122" spans="1:52" ht="18" customHeight="1">
      <c r="A122" s="23"/>
      <c r="B122" s="12"/>
      <c r="C122" s="79" t="s">
        <v>225</v>
      </c>
      <c r="D122" s="35" t="s">
        <v>305</v>
      </c>
      <c r="E122" s="35"/>
      <c r="F122" s="29" t="s">
        <v>306</v>
      </c>
      <c r="G122" s="38">
        <v>21.59</v>
      </c>
      <c r="H122" s="38">
        <v>0.08</v>
      </c>
      <c r="I122" s="38">
        <v>0.05</v>
      </c>
      <c r="J122" s="38">
        <v>0.08</v>
      </c>
      <c r="K122" s="38">
        <v>0.05</v>
      </c>
      <c r="L122" s="30">
        <f t="shared" si="4"/>
        <v>21.598056</v>
      </c>
      <c r="M122" s="30">
        <f t="shared" si="5"/>
        <v>21.580480999999999</v>
      </c>
      <c r="N122" s="30">
        <f t="shared" si="6"/>
        <v>1.7575000000000784E-2</v>
      </c>
      <c r="O122" s="31">
        <f t="shared" si="7"/>
        <v>21.58905517241379</v>
      </c>
      <c r="P122" s="52"/>
      <c r="Q122" s="30">
        <v>21.587153000000001</v>
      </c>
      <c r="R122" s="30">
        <v>21.590501</v>
      </c>
      <c r="S122" s="30">
        <v>21.591139999999999</v>
      </c>
      <c r="T122" s="30">
        <v>21.580480999999999</v>
      </c>
      <c r="U122" s="30">
        <v>21.595583000000001</v>
      </c>
      <c r="V122" s="30">
        <v>21.588303</v>
      </c>
      <c r="W122" s="30">
        <v>21.590312000000001</v>
      </c>
      <c r="X122" s="30">
        <v>21.598056</v>
      </c>
      <c r="Y122" s="30">
        <v>21.589583999999999</v>
      </c>
      <c r="Z122" s="30">
        <v>21.589479999999998</v>
      </c>
      <c r="AA122" s="30">
        <v>21.589769</v>
      </c>
      <c r="AB122" s="30">
        <v>21.594991</v>
      </c>
      <c r="AC122" s="30">
        <v>21.588146999999999</v>
      </c>
      <c r="AD122" s="30">
        <v>21.592701999999999</v>
      </c>
      <c r="AE122" s="30">
        <v>21.590917000000001</v>
      </c>
      <c r="AF122" s="30">
        <v>21.588132999999999</v>
      </c>
      <c r="AG122" s="30">
        <v>21.587986000000001</v>
      </c>
      <c r="AH122" s="30">
        <v>21.585637999999999</v>
      </c>
      <c r="AI122" s="30">
        <v>21.582345</v>
      </c>
      <c r="AJ122" s="30">
        <v>21.588068</v>
      </c>
      <c r="AK122" s="30">
        <v>21.587669999999999</v>
      </c>
      <c r="AL122" s="30">
        <v>21.587485999999998</v>
      </c>
      <c r="AM122" s="30">
        <v>21.589493000000001</v>
      </c>
      <c r="AN122" s="30">
        <v>21.580946000000001</v>
      </c>
      <c r="AO122" s="30"/>
      <c r="AP122" s="30">
        <v>21.590093</v>
      </c>
      <c r="AQ122" s="30">
        <v>21.590615</v>
      </c>
      <c r="AR122" s="30">
        <v>21.596145</v>
      </c>
      <c r="AS122" s="30">
        <v>21.588902000000001</v>
      </c>
      <c r="AT122" s="30">
        <v>21.581961</v>
      </c>
      <c r="AU122" s="30">
        <v>21.584396999999999</v>
      </c>
      <c r="AV122" s="30">
        <v>21.586680000000001</v>
      </c>
      <c r="AW122" s="30">
        <v>21.581416000000001</v>
      </c>
      <c r="AX122" s="30"/>
      <c r="AY122" s="30"/>
      <c r="AZ122" s="30"/>
    </row>
    <row r="123" spans="1:52" ht="18" customHeight="1">
      <c r="A123" s="22"/>
      <c r="B123" s="11"/>
      <c r="C123" s="80" t="s">
        <v>225</v>
      </c>
      <c r="D123" s="56" t="s">
        <v>307</v>
      </c>
      <c r="E123" s="35"/>
      <c r="F123" s="57" t="s">
        <v>308</v>
      </c>
      <c r="G123" s="58">
        <v>21.59</v>
      </c>
      <c r="H123" s="58">
        <v>0.08</v>
      </c>
      <c r="I123" s="58">
        <v>0.05</v>
      </c>
      <c r="J123" s="58">
        <v>0.08</v>
      </c>
      <c r="K123" s="58">
        <v>0.05</v>
      </c>
      <c r="L123" s="30">
        <f t="shared" si="4"/>
        <v>21.650789</v>
      </c>
      <c r="M123" s="30">
        <f t="shared" si="5"/>
        <v>21.636336</v>
      </c>
      <c r="N123" s="30">
        <f t="shared" si="6"/>
        <v>1.4452999999999605E-2</v>
      </c>
      <c r="O123" s="31">
        <f t="shared" si="7"/>
        <v>21.64238034482759</v>
      </c>
      <c r="P123" s="62"/>
      <c r="Q123" s="30">
        <v>21.645108</v>
      </c>
      <c r="R123" s="30">
        <v>21.642716</v>
      </c>
      <c r="S123" s="30">
        <v>21.646766</v>
      </c>
      <c r="T123" s="30">
        <v>21.641117000000001</v>
      </c>
      <c r="U123" s="30">
        <v>21.649909999999998</v>
      </c>
      <c r="V123" s="30">
        <v>21.641805000000002</v>
      </c>
      <c r="W123" s="30">
        <v>21.642223000000001</v>
      </c>
      <c r="X123" s="30">
        <v>21.650789</v>
      </c>
      <c r="Y123" s="30">
        <v>21.641095</v>
      </c>
      <c r="Z123" s="30">
        <v>21.642654</v>
      </c>
      <c r="AA123" s="30">
        <v>21.643516999999999</v>
      </c>
      <c r="AB123" s="30">
        <v>21.644463999999999</v>
      </c>
      <c r="AC123" s="30">
        <v>21.643411</v>
      </c>
      <c r="AD123" s="30">
        <v>21.646450000000002</v>
      </c>
      <c r="AE123" s="30">
        <v>21.642638000000002</v>
      </c>
      <c r="AF123" s="30">
        <v>21.640975000000001</v>
      </c>
      <c r="AG123" s="30">
        <v>21.643395999999999</v>
      </c>
      <c r="AH123" s="30">
        <v>21.638819999999999</v>
      </c>
      <c r="AI123" s="30">
        <v>21.637105999999999</v>
      </c>
      <c r="AJ123" s="30">
        <v>21.641874999999999</v>
      </c>
      <c r="AK123" s="30">
        <v>21.638066999999999</v>
      </c>
      <c r="AL123" s="30">
        <v>21.638756000000001</v>
      </c>
      <c r="AM123" s="30">
        <v>21.640875000000001</v>
      </c>
      <c r="AN123" s="30">
        <v>21.636336</v>
      </c>
      <c r="AO123" s="30"/>
      <c r="AP123" s="30">
        <v>21.640115000000002</v>
      </c>
      <c r="AQ123" s="30">
        <v>21.643025000000002</v>
      </c>
      <c r="AR123" s="30">
        <v>21.643170999999999</v>
      </c>
      <c r="AS123" s="30">
        <v>21.644598999999999</v>
      </c>
      <c r="AT123" s="30">
        <v>21.637250999999999</v>
      </c>
      <c r="AU123" s="30">
        <v>21.641110999999999</v>
      </c>
      <c r="AV123" s="30">
        <v>21.640301000000001</v>
      </c>
      <c r="AW123" s="30">
        <v>21.637478000000002</v>
      </c>
      <c r="AX123" s="30"/>
      <c r="AY123" s="30"/>
      <c r="AZ123" s="30"/>
    </row>
    <row r="124" spans="1:52" ht="18" customHeight="1" thickBot="1">
      <c r="A124" s="21"/>
      <c r="B124" s="11"/>
      <c r="C124" s="81" t="s">
        <v>115</v>
      </c>
      <c r="D124" s="56" t="s">
        <v>309</v>
      </c>
      <c r="E124" s="35"/>
      <c r="F124" s="57"/>
      <c r="G124" s="58">
        <v>0</v>
      </c>
      <c r="H124" s="58">
        <v>0</v>
      </c>
      <c r="I124" s="58">
        <v>0.1</v>
      </c>
      <c r="J124" s="58">
        <v>0</v>
      </c>
      <c r="K124" s="58">
        <v>0.1</v>
      </c>
      <c r="L124" s="59">
        <f t="shared" si="4"/>
        <v>-1.2999999999999999E-2</v>
      </c>
      <c r="M124" s="59">
        <f t="shared" si="5"/>
        <v>-6.8000000000000005E-2</v>
      </c>
      <c r="N124" s="59">
        <f t="shared" si="6"/>
        <v>5.5000000000000007E-2</v>
      </c>
      <c r="O124" s="60">
        <f t="shared" si="7"/>
        <v>-3.8034482758620702E-2</v>
      </c>
      <c r="P124" s="53"/>
      <c r="Q124" s="30">
        <v>-6.8000000000000005E-2</v>
      </c>
      <c r="R124" s="30">
        <v>-4.8000000000000001E-2</v>
      </c>
      <c r="S124" s="30">
        <v>-4.3999999999999997E-2</v>
      </c>
      <c r="T124" s="30">
        <v>-4.9000000000000002E-2</v>
      </c>
      <c r="U124" s="30">
        <v>-0.06</v>
      </c>
      <c r="V124" s="30">
        <v>-5.6000000000000001E-2</v>
      </c>
      <c r="W124" s="30">
        <v>-6.2E-2</v>
      </c>
      <c r="X124" s="30">
        <v>-3.9E-2</v>
      </c>
      <c r="Y124" s="30">
        <v>-3.6999999999999998E-2</v>
      </c>
      <c r="Z124" s="30">
        <v>-0.04</v>
      </c>
      <c r="AA124" s="30">
        <v>-2.4E-2</v>
      </c>
      <c r="AB124" s="30">
        <v>-3.4000000000000002E-2</v>
      </c>
      <c r="AC124" s="30">
        <v>-3.4000000000000002E-2</v>
      </c>
      <c r="AD124" s="30">
        <v>-2.1999999999999999E-2</v>
      </c>
      <c r="AE124" s="30">
        <v>-3.5999999999999997E-2</v>
      </c>
      <c r="AF124" s="30">
        <v>-4.1000000000000002E-2</v>
      </c>
      <c r="AG124" s="30">
        <v>-3.1E-2</v>
      </c>
      <c r="AH124" s="30">
        <v>-3.7999999999999999E-2</v>
      </c>
      <c r="AI124" s="30">
        <v>-3.6999999999999998E-2</v>
      </c>
      <c r="AJ124" s="30">
        <v>-3.5000000000000003E-2</v>
      </c>
      <c r="AK124" s="30">
        <v>-1.2999999999999999E-2</v>
      </c>
      <c r="AL124" s="30">
        <v>-4.1000000000000002E-2</v>
      </c>
      <c r="AM124" s="30">
        <v>-4.8000000000000001E-2</v>
      </c>
      <c r="AN124" s="30">
        <v>-2.1999999999999999E-2</v>
      </c>
      <c r="AO124" s="30"/>
      <c r="AP124" s="30">
        <v>-3.5000000000000003E-2</v>
      </c>
      <c r="AQ124" s="30">
        <v>-2.8000000000000001E-2</v>
      </c>
      <c r="AR124" s="30">
        <v>-2.5999999999999999E-2</v>
      </c>
      <c r="AS124" s="30">
        <v>-2.8000000000000001E-2</v>
      </c>
      <c r="AT124" s="30">
        <v>-2.7E-2</v>
      </c>
      <c r="AU124" s="30">
        <v>-2.3E-2</v>
      </c>
      <c r="AV124" s="30">
        <v>-4.8000000000000001E-2</v>
      </c>
      <c r="AW124" s="30">
        <v>-4.8000000000000001E-2</v>
      </c>
      <c r="AX124" s="30"/>
      <c r="AY124" s="30"/>
      <c r="AZ124" s="30"/>
    </row>
    <row r="125" spans="1:52" ht="18" customHeight="1">
      <c r="A125" s="24"/>
      <c r="B125" s="20" t="s">
        <v>470</v>
      </c>
      <c r="C125" s="74" t="s">
        <v>65</v>
      </c>
      <c r="D125" s="34" t="s">
        <v>311</v>
      </c>
      <c r="E125" s="34"/>
      <c r="F125" s="26" t="s">
        <v>67</v>
      </c>
      <c r="G125" s="37">
        <v>80</v>
      </c>
      <c r="H125" s="37">
        <v>0.1</v>
      </c>
      <c r="I125" s="37">
        <v>0.1</v>
      </c>
      <c r="J125" s="37">
        <v>0.2</v>
      </c>
      <c r="K125" s="37">
        <v>0.1</v>
      </c>
      <c r="L125" s="27">
        <f t="shared" si="4"/>
        <v>79.971000000000004</v>
      </c>
      <c r="M125" s="27">
        <f t="shared" si="5"/>
        <v>79.930000000000007</v>
      </c>
      <c r="N125" s="27">
        <f t="shared" si="6"/>
        <v>4.0999999999996817E-2</v>
      </c>
      <c r="O125" s="28">
        <f t="shared" si="7"/>
        <v>79.946137931034485</v>
      </c>
      <c r="P125" s="51"/>
      <c r="Q125" s="30">
        <v>79.935000000000002</v>
      </c>
      <c r="R125" s="30">
        <v>79.933000000000007</v>
      </c>
      <c r="S125" s="30">
        <v>79.938999999999993</v>
      </c>
      <c r="T125" s="30">
        <v>79.936000000000007</v>
      </c>
      <c r="U125" s="30">
        <v>79.938000000000002</v>
      </c>
      <c r="V125" s="30">
        <v>79.947000000000003</v>
      </c>
      <c r="W125" s="30">
        <v>79.942999999999998</v>
      </c>
      <c r="X125" s="30">
        <v>79.94</v>
      </c>
      <c r="Y125" s="30">
        <v>79.950999999999993</v>
      </c>
      <c r="Z125" s="30">
        <v>79.947000000000003</v>
      </c>
      <c r="AA125" s="30">
        <v>79.95</v>
      </c>
      <c r="AB125" s="30">
        <v>79.956000000000003</v>
      </c>
      <c r="AC125" s="30">
        <v>79.959000000000003</v>
      </c>
      <c r="AD125" s="30">
        <v>79.956000000000003</v>
      </c>
      <c r="AE125" s="30">
        <v>79.957999999999998</v>
      </c>
      <c r="AF125" s="30">
        <v>79.953999999999994</v>
      </c>
      <c r="AG125" s="30">
        <v>79.954999999999998</v>
      </c>
      <c r="AH125" s="30">
        <v>79.930000000000007</v>
      </c>
      <c r="AI125" s="30">
        <v>79.932000000000002</v>
      </c>
      <c r="AJ125" s="30">
        <v>79.933000000000007</v>
      </c>
      <c r="AK125" s="30">
        <v>79.933000000000007</v>
      </c>
      <c r="AL125" s="30">
        <v>79.942999999999998</v>
      </c>
      <c r="AM125" s="30">
        <v>79.933999999999997</v>
      </c>
      <c r="AN125" s="30">
        <v>79.957999999999998</v>
      </c>
      <c r="AO125" s="30"/>
      <c r="AP125" s="30">
        <v>79.953999999999994</v>
      </c>
      <c r="AQ125" s="30">
        <v>79.962000000000003</v>
      </c>
      <c r="AR125" s="30">
        <v>79.950999999999993</v>
      </c>
      <c r="AS125" s="30">
        <v>79.971000000000004</v>
      </c>
      <c r="AT125" s="30">
        <v>79.94</v>
      </c>
      <c r="AU125" s="30">
        <v>79.974999999999994</v>
      </c>
      <c r="AV125" s="30">
        <v>79.972999999999999</v>
      </c>
      <c r="AW125" s="30">
        <v>79.956999999999994</v>
      </c>
      <c r="AX125" s="30"/>
      <c r="AY125" s="30"/>
      <c r="AZ125" s="30"/>
    </row>
    <row r="126" spans="1:52" ht="18" customHeight="1">
      <c r="A126" s="23"/>
      <c r="B126" s="19"/>
      <c r="C126" s="75" t="s">
        <v>65</v>
      </c>
      <c r="D126" s="35" t="s">
        <v>68</v>
      </c>
      <c r="E126" s="35"/>
      <c r="F126" s="29" t="s">
        <v>69</v>
      </c>
      <c r="G126" s="38">
        <v>73.31</v>
      </c>
      <c r="H126" s="38">
        <v>0.09</v>
      </c>
      <c r="I126" s="38">
        <v>0.06</v>
      </c>
      <c r="J126" s="38">
        <v>0.09</v>
      </c>
      <c r="K126" s="38">
        <v>0.06</v>
      </c>
      <c r="L126" s="30">
        <f t="shared" si="4"/>
        <v>73.358999999999995</v>
      </c>
      <c r="M126" s="30">
        <f t="shared" si="5"/>
        <v>73.33</v>
      </c>
      <c r="N126" s="30">
        <f t="shared" si="6"/>
        <v>2.8999999999996362E-2</v>
      </c>
      <c r="O126" s="31">
        <f t="shared" si="7"/>
        <v>73.344655172413809</v>
      </c>
      <c r="P126" s="52"/>
      <c r="Q126" s="30">
        <v>73.343000000000004</v>
      </c>
      <c r="R126" s="30">
        <v>73.335999999999999</v>
      </c>
      <c r="S126" s="30">
        <v>73.344999999999999</v>
      </c>
      <c r="T126" s="30">
        <v>73.340999999999994</v>
      </c>
      <c r="U126" s="30">
        <v>73.341999999999999</v>
      </c>
      <c r="V126" s="30">
        <v>73.346999999999994</v>
      </c>
      <c r="W126" s="30">
        <v>73.344999999999999</v>
      </c>
      <c r="X126" s="30">
        <v>73.335999999999999</v>
      </c>
      <c r="Y126" s="30">
        <v>73.349000000000004</v>
      </c>
      <c r="Z126" s="30">
        <v>73.344999999999999</v>
      </c>
      <c r="AA126" s="30">
        <v>73.349000000000004</v>
      </c>
      <c r="AB126" s="30">
        <v>73.352000000000004</v>
      </c>
      <c r="AC126" s="30">
        <v>73.355999999999995</v>
      </c>
      <c r="AD126" s="30">
        <v>73.355000000000004</v>
      </c>
      <c r="AE126" s="30">
        <v>73.355999999999995</v>
      </c>
      <c r="AF126" s="30">
        <v>73.352000000000004</v>
      </c>
      <c r="AG126" s="30">
        <v>73.355000000000004</v>
      </c>
      <c r="AH126" s="30">
        <v>73.334000000000003</v>
      </c>
      <c r="AI126" s="30">
        <v>73.338999999999999</v>
      </c>
      <c r="AJ126" s="30">
        <v>73.337999999999994</v>
      </c>
      <c r="AK126" s="30">
        <v>73.33</v>
      </c>
      <c r="AL126" s="30">
        <v>73.337999999999994</v>
      </c>
      <c r="AM126" s="30">
        <v>73.334999999999994</v>
      </c>
      <c r="AN126" s="30">
        <v>73.347999999999999</v>
      </c>
      <c r="AO126" s="30"/>
      <c r="AP126" s="30">
        <v>73.341999999999999</v>
      </c>
      <c r="AQ126" s="30">
        <v>73.352000000000004</v>
      </c>
      <c r="AR126" s="30">
        <v>73.337000000000003</v>
      </c>
      <c r="AS126" s="30">
        <v>73.358999999999995</v>
      </c>
      <c r="AT126" s="30">
        <v>73.338999999999999</v>
      </c>
      <c r="AU126" s="30">
        <v>73.358999999999995</v>
      </c>
      <c r="AV126" s="30">
        <v>73.356999999999999</v>
      </c>
      <c r="AW126" s="30">
        <v>73.346999999999994</v>
      </c>
      <c r="AX126" s="30"/>
      <c r="AY126" s="30"/>
      <c r="AZ126" s="30"/>
    </row>
    <row r="127" spans="1:52" ht="18" customHeight="1">
      <c r="A127" s="23"/>
      <c r="B127" s="19"/>
      <c r="C127" s="75" t="s">
        <v>65</v>
      </c>
      <c r="D127" s="35" t="s">
        <v>70</v>
      </c>
      <c r="E127" s="35"/>
      <c r="F127" s="29" t="s">
        <v>71</v>
      </c>
      <c r="G127" s="38"/>
      <c r="H127" s="38">
        <v>0.08</v>
      </c>
      <c r="I127" s="38"/>
      <c r="J127" s="38">
        <v>0.08</v>
      </c>
      <c r="K127" s="38"/>
      <c r="L127" s="30">
        <f t="shared" si="4"/>
        <v>5.6000000000000001E-2</v>
      </c>
      <c r="M127" s="30">
        <f t="shared" si="5"/>
        <v>3.4000000000000002E-2</v>
      </c>
      <c r="N127" s="30">
        <f t="shared" si="6"/>
        <v>2.1999999999999999E-2</v>
      </c>
      <c r="O127" s="31">
        <f t="shared" si="7"/>
        <v>4.8448275862068971E-2</v>
      </c>
      <c r="P127" s="52"/>
      <c r="Q127" s="30">
        <v>5.2999999999999999E-2</v>
      </c>
      <c r="R127" s="30">
        <v>5.5E-2</v>
      </c>
      <c r="S127" s="30">
        <v>5.6000000000000001E-2</v>
      </c>
      <c r="T127" s="30">
        <v>5.2999999999999999E-2</v>
      </c>
      <c r="U127" s="30">
        <v>5.3999999999999999E-2</v>
      </c>
      <c r="V127" s="30">
        <v>5.0999999999999997E-2</v>
      </c>
      <c r="W127" s="30">
        <v>5.5E-2</v>
      </c>
      <c r="X127" s="30">
        <v>5.0999999999999997E-2</v>
      </c>
      <c r="Y127" s="30">
        <v>5.0999999999999997E-2</v>
      </c>
      <c r="Z127" s="30">
        <v>4.8000000000000001E-2</v>
      </c>
      <c r="AA127" s="30">
        <v>5.5E-2</v>
      </c>
      <c r="AB127" s="30">
        <v>5.5E-2</v>
      </c>
      <c r="AC127" s="30">
        <v>5.1999999999999998E-2</v>
      </c>
      <c r="AD127" s="30">
        <v>0.05</v>
      </c>
      <c r="AE127" s="30">
        <v>0.05</v>
      </c>
      <c r="AF127" s="30">
        <v>4.8000000000000001E-2</v>
      </c>
      <c r="AG127" s="30">
        <v>5.1999999999999998E-2</v>
      </c>
      <c r="AH127" s="30">
        <v>5.1999999999999998E-2</v>
      </c>
      <c r="AI127" s="30">
        <v>0.04</v>
      </c>
      <c r="AJ127" s="30">
        <v>0.05</v>
      </c>
      <c r="AK127" s="30">
        <v>4.8000000000000001E-2</v>
      </c>
      <c r="AL127" s="30">
        <v>4.7E-2</v>
      </c>
      <c r="AM127" s="30">
        <v>0.05</v>
      </c>
      <c r="AN127" s="30">
        <v>4.4999999999999998E-2</v>
      </c>
      <c r="AO127" s="30"/>
      <c r="AP127" s="30">
        <v>3.4000000000000002E-2</v>
      </c>
      <c r="AQ127" s="30">
        <v>3.5999999999999997E-2</v>
      </c>
      <c r="AR127" s="30">
        <v>3.9E-2</v>
      </c>
      <c r="AS127" s="30">
        <v>0.04</v>
      </c>
      <c r="AT127" s="30">
        <v>3.5000000000000003E-2</v>
      </c>
      <c r="AU127" s="30">
        <v>3.5000000000000003E-2</v>
      </c>
      <c r="AV127" s="30">
        <v>4.2000000000000003E-2</v>
      </c>
      <c r="AW127" s="30">
        <v>3.9E-2</v>
      </c>
      <c r="AX127" s="30"/>
      <c r="AY127" s="30"/>
      <c r="AZ127" s="30"/>
    </row>
    <row r="128" spans="1:52" ht="18" customHeight="1">
      <c r="A128" s="23"/>
      <c r="B128" s="19"/>
      <c r="C128" s="75" t="s">
        <v>65</v>
      </c>
      <c r="D128" s="35" t="s">
        <v>72</v>
      </c>
      <c r="E128" s="35" t="s">
        <v>471</v>
      </c>
      <c r="F128" s="29" t="s">
        <v>74</v>
      </c>
      <c r="G128" s="38">
        <v>80</v>
      </c>
      <c r="H128" s="38">
        <v>0.1</v>
      </c>
      <c r="I128" s="38">
        <v>0.1</v>
      </c>
      <c r="J128" s="38">
        <v>0.1</v>
      </c>
      <c r="K128" s="38">
        <v>0.1</v>
      </c>
      <c r="L128" s="30">
        <f t="shared" si="4"/>
        <v>80.043000000000006</v>
      </c>
      <c r="M128" s="30">
        <f t="shared" si="5"/>
        <v>79.986999999999995</v>
      </c>
      <c r="N128" s="30">
        <f t="shared" si="6"/>
        <v>5.6000000000011596E-2</v>
      </c>
      <c r="O128" s="31">
        <f t="shared" si="7"/>
        <v>80.007793103448279</v>
      </c>
      <c r="P128" s="52"/>
      <c r="Q128" s="30">
        <v>79.986999999999995</v>
      </c>
      <c r="R128" s="30">
        <v>79.988</v>
      </c>
      <c r="S128" s="30">
        <v>79.988</v>
      </c>
      <c r="T128" s="30">
        <v>79.986999999999995</v>
      </c>
      <c r="U128" s="30">
        <v>79.995000000000005</v>
      </c>
      <c r="V128" s="30">
        <v>80.006</v>
      </c>
      <c r="W128" s="30">
        <v>79.995999999999995</v>
      </c>
      <c r="X128" s="30">
        <v>80</v>
      </c>
      <c r="Y128" s="30">
        <v>80.010000000000005</v>
      </c>
      <c r="Z128" s="30">
        <v>80.027000000000001</v>
      </c>
      <c r="AA128" s="30">
        <v>80.007000000000005</v>
      </c>
      <c r="AB128" s="30">
        <v>80.012</v>
      </c>
      <c r="AC128" s="30">
        <v>80.015000000000001</v>
      </c>
      <c r="AD128" s="30">
        <v>80.02</v>
      </c>
      <c r="AE128" s="30">
        <v>80.013999999999996</v>
      </c>
      <c r="AF128" s="30">
        <v>80.012</v>
      </c>
      <c r="AG128" s="30">
        <v>80.010000000000005</v>
      </c>
      <c r="AH128" s="30">
        <v>79.986999999999995</v>
      </c>
      <c r="AI128" s="30">
        <v>80.003</v>
      </c>
      <c r="AJ128" s="30">
        <v>79.992000000000004</v>
      </c>
      <c r="AK128" s="30">
        <v>79.991</v>
      </c>
      <c r="AL128" s="30">
        <v>80.007000000000005</v>
      </c>
      <c r="AM128" s="30">
        <v>79.998999999999995</v>
      </c>
      <c r="AN128" s="30">
        <v>80.043000000000006</v>
      </c>
      <c r="AO128" s="30"/>
      <c r="AP128" s="30">
        <v>80.022000000000006</v>
      </c>
      <c r="AQ128" s="30">
        <v>80.034000000000006</v>
      </c>
      <c r="AR128" s="30">
        <v>80.025999999999996</v>
      </c>
      <c r="AS128" s="30">
        <v>80.037999999999997</v>
      </c>
      <c r="AT128" s="30">
        <v>80.010000000000005</v>
      </c>
      <c r="AU128" s="30">
        <v>80.052000000000007</v>
      </c>
      <c r="AV128" s="30">
        <v>80.046999999999997</v>
      </c>
      <c r="AW128" s="30">
        <v>80.033000000000001</v>
      </c>
      <c r="AX128" s="30"/>
      <c r="AY128" s="30"/>
      <c r="AZ128" s="30"/>
    </row>
    <row r="129" spans="1:52" ht="18" customHeight="1">
      <c r="A129" s="23"/>
      <c r="B129" s="19"/>
      <c r="C129" s="75" t="s">
        <v>65</v>
      </c>
      <c r="D129" s="35" t="s">
        <v>75</v>
      </c>
      <c r="E129" s="35"/>
      <c r="F129" s="29" t="s">
        <v>76</v>
      </c>
      <c r="G129" s="38">
        <v>80</v>
      </c>
      <c r="H129" s="38">
        <v>0.1</v>
      </c>
      <c r="I129" s="38">
        <v>0.1</v>
      </c>
      <c r="J129" s="38">
        <v>0.1</v>
      </c>
      <c r="K129" s="38">
        <v>0.1</v>
      </c>
      <c r="L129" s="30">
        <f t="shared" si="4"/>
        <v>80.052000000000007</v>
      </c>
      <c r="M129" s="30">
        <f t="shared" si="5"/>
        <v>79.963999999999999</v>
      </c>
      <c r="N129" s="30">
        <f t="shared" si="6"/>
        <v>8.8000000000008072E-2</v>
      </c>
      <c r="O129" s="31">
        <f t="shared" si="7"/>
        <v>79.994758620689652</v>
      </c>
      <c r="P129" s="52"/>
      <c r="Q129" s="30">
        <v>79.983000000000004</v>
      </c>
      <c r="R129" s="30">
        <v>79.972999999999999</v>
      </c>
      <c r="S129" s="30">
        <v>79.984999999999999</v>
      </c>
      <c r="T129" s="30">
        <v>79.981999999999999</v>
      </c>
      <c r="U129" s="30">
        <v>79.980999999999995</v>
      </c>
      <c r="V129" s="30">
        <v>79.988</v>
      </c>
      <c r="W129" s="30">
        <v>79.983000000000004</v>
      </c>
      <c r="X129" s="30">
        <v>79.977999999999994</v>
      </c>
      <c r="Y129" s="30">
        <v>79.988</v>
      </c>
      <c r="Z129" s="30">
        <v>79.989999999999995</v>
      </c>
      <c r="AA129" s="30">
        <v>79.998000000000005</v>
      </c>
      <c r="AB129" s="30">
        <v>80.001000000000005</v>
      </c>
      <c r="AC129" s="30">
        <v>80.004999999999995</v>
      </c>
      <c r="AD129" s="30">
        <v>79.998999999999995</v>
      </c>
      <c r="AE129" s="30">
        <v>79.998999999999995</v>
      </c>
      <c r="AF129" s="30">
        <v>79.991</v>
      </c>
      <c r="AG129" s="30">
        <v>79.997</v>
      </c>
      <c r="AH129" s="30">
        <v>79.963999999999999</v>
      </c>
      <c r="AI129" s="30">
        <v>79.984999999999999</v>
      </c>
      <c r="AJ129" s="30">
        <v>79.98</v>
      </c>
      <c r="AK129" s="30">
        <v>79.971000000000004</v>
      </c>
      <c r="AL129" s="30">
        <v>79.98</v>
      </c>
      <c r="AM129" s="30">
        <v>79.974999999999994</v>
      </c>
      <c r="AN129" s="30">
        <v>80.022000000000006</v>
      </c>
      <c r="AO129" s="30"/>
      <c r="AP129" s="30">
        <v>80.021000000000001</v>
      </c>
      <c r="AQ129" s="30">
        <v>80.034000000000006</v>
      </c>
      <c r="AR129" s="30">
        <v>80.022999999999996</v>
      </c>
      <c r="AS129" s="30">
        <v>80.052000000000007</v>
      </c>
      <c r="AT129" s="30">
        <v>80.02</v>
      </c>
      <c r="AU129" s="30">
        <v>80.054000000000002</v>
      </c>
      <c r="AV129" s="30">
        <v>80.043999999999997</v>
      </c>
      <c r="AW129" s="30">
        <v>80.028999999999996</v>
      </c>
      <c r="AX129" s="30"/>
      <c r="AY129" s="30"/>
      <c r="AZ129" s="30"/>
    </row>
    <row r="130" spans="1:52" ht="18" customHeight="1">
      <c r="A130" s="23"/>
      <c r="B130" s="19"/>
      <c r="C130" s="76" t="s">
        <v>77</v>
      </c>
      <c r="D130" s="35" t="s">
        <v>78</v>
      </c>
      <c r="E130" s="35"/>
      <c r="F130" s="29" t="s">
        <v>79</v>
      </c>
      <c r="G130" s="38">
        <v>3.75</v>
      </c>
      <c r="H130" s="38">
        <v>0.08</v>
      </c>
      <c r="I130" s="38">
        <v>0.05</v>
      </c>
      <c r="J130" s="38">
        <v>0.08</v>
      </c>
      <c r="K130" s="38">
        <v>0.05</v>
      </c>
      <c r="L130" s="30">
        <f t="shared" si="4"/>
        <v>3.7989999999999999</v>
      </c>
      <c r="M130" s="30">
        <f t="shared" si="5"/>
        <v>3.7709999999999999</v>
      </c>
      <c r="N130" s="30">
        <f t="shared" si="6"/>
        <v>2.8000000000000025E-2</v>
      </c>
      <c r="O130" s="31">
        <f t="shared" si="7"/>
        <v>3.7820344827586219</v>
      </c>
      <c r="P130" s="52"/>
      <c r="Q130" s="30">
        <v>3.7909999999999999</v>
      </c>
      <c r="R130" s="30">
        <v>3.7770000000000001</v>
      </c>
      <c r="S130" s="30">
        <v>3.7850000000000001</v>
      </c>
      <c r="T130" s="30">
        <v>3.7810000000000001</v>
      </c>
      <c r="U130" s="30">
        <v>3.782</v>
      </c>
      <c r="V130" s="30">
        <v>3.786</v>
      </c>
      <c r="W130" s="30">
        <v>3.7789999999999999</v>
      </c>
      <c r="X130" s="30">
        <v>3.7959999999999998</v>
      </c>
      <c r="Y130" s="30">
        <v>3.7789999999999999</v>
      </c>
      <c r="Z130" s="30">
        <v>3.7770000000000001</v>
      </c>
      <c r="AA130" s="30">
        <v>3.7829999999999999</v>
      </c>
      <c r="AB130" s="30">
        <v>3.7770000000000001</v>
      </c>
      <c r="AC130" s="30">
        <v>3.774</v>
      </c>
      <c r="AD130" s="30">
        <v>3.7839999999999998</v>
      </c>
      <c r="AE130" s="30">
        <v>3.7909999999999999</v>
      </c>
      <c r="AF130" s="30">
        <v>3.782</v>
      </c>
      <c r="AG130" s="30">
        <v>3.7879999999999998</v>
      </c>
      <c r="AH130" s="30">
        <v>3.7869999999999999</v>
      </c>
      <c r="AI130" s="30">
        <v>3.7730000000000001</v>
      </c>
      <c r="AJ130" s="30">
        <v>3.7989999999999999</v>
      </c>
      <c r="AK130" s="30">
        <v>3.782</v>
      </c>
      <c r="AL130" s="30">
        <v>3.778</v>
      </c>
      <c r="AM130" s="30">
        <v>3.7719999999999998</v>
      </c>
      <c r="AN130" s="30">
        <v>3.7719999999999998</v>
      </c>
      <c r="AO130" s="30"/>
      <c r="AP130" s="30">
        <v>3.78</v>
      </c>
      <c r="AQ130" s="30">
        <v>3.7810000000000001</v>
      </c>
      <c r="AR130" s="30">
        <v>3.7709999999999999</v>
      </c>
      <c r="AS130" s="30">
        <v>3.7850000000000001</v>
      </c>
      <c r="AT130" s="30">
        <v>3.7869999999999999</v>
      </c>
      <c r="AU130" s="30">
        <v>3.7789999999999999</v>
      </c>
      <c r="AV130" s="30">
        <v>3.7829999999999999</v>
      </c>
      <c r="AW130" s="30">
        <v>3.778</v>
      </c>
      <c r="AX130" s="30"/>
      <c r="AY130" s="30"/>
      <c r="AZ130" s="30"/>
    </row>
    <row r="131" spans="1:52" ht="18" customHeight="1">
      <c r="A131" s="23"/>
      <c r="B131" s="19"/>
      <c r="C131" s="76" t="s">
        <v>77</v>
      </c>
      <c r="D131" s="35" t="s">
        <v>80</v>
      </c>
      <c r="E131" s="35"/>
      <c r="F131" s="29" t="s">
        <v>81</v>
      </c>
      <c r="G131" s="38">
        <v>3.75</v>
      </c>
      <c r="H131" s="38">
        <v>0.08</v>
      </c>
      <c r="I131" s="38">
        <v>0.05</v>
      </c>
      <c r="J131" s="38">
        <v>0.08</v>
      </c>
      <c r="K131" s="38">
        <v>0.05</v>
      </c>
      <c r="L131" s="30">
        <f t="shared" si="4"/>
        <v>3.7810000000000001</v>
      </c>
      <c r="M131" s="30">
        <f t="shared" si="5"/>
        <v>3.7429999999999999</v>
      </c>
      <c r="N131" s="30">
        <f t="shared" si="6"/>
        <v>3.8000000000000256E-2</v>
      </c>
      <c r="O131" s="31">
        <f t="shared" si="7"/>
        <v>3.7657586206896556</v>
      </c>
      <c r="P131" s="52"/>
      <c r="Q131" s="30">
        <v>3.778</v>
      </c>
      <c r="R131" s="30">
        <v>3.7690000000000001</v>
      </c>
      <c r="S131" s="30">
        <v>3.7709999999999999</v>
      </c>
      <c r="T131" s="30">
        <v>3.7759999999999998</v>
      </c>
      <c r="U131" s="30">
        <v>3.7709999999999999</v>
      </c>
      <c r="V131" s="30">
        <v>3.7749999999999999</v>
      </c>
      <c r="W131" s="30">
        <v>3.774</v>
      </c>
      <c r="X131" s="30">
        <v>3.7639999999999998</v>
      </c>
      <c r="Y131" s="30">
        <v>3.7679999999999998</v>
      </c>
      <c r="Z131" s="30">
        <v>3.7730000000000001</v>
      </c>
      <c r="AA131" s="30">
        <v>3.7610000000000001</v>
      </c>
      <c r="AB131" s="30">
        <v>3.7650000000000001</v>
      </c>
      <c r="AC131" s="30">
        <v>3.7429999999999999</v>
      </c>
      <c r="AD131" s="30">
        <v>3.7730000000000001</v>
      </c>
      <c r="AE131" s="30">
        <v>3.7610000000000001</v>
      </c>
      <c r="AF131" s="30">
        <v>3.7589999999999999</v>
      </c>
      <c r="AG131" s="30">
        <v>3.7589999999999999</v>
      </c>
      <c r="AH131" s="30">
        <v>3.766</v>
      </c>
      <c r="AI131" s="30">
        <v>3.7490000000000001</v>
      </c>
      <c r="AJ131" s="30">
        <v>3.7639999999999998</v>
      </c>
      <c r="AK131" s="30">
        <v>3.7650000000000001</v>
      </c>
      <c r="AL131" s="30">
        <v>3.7610000000000001</v>
      </c>
      <c r="AM131" s="30">
        <v>3.7709999999999999</v>
      </c>
      <c r="AN131" s="30">
        <v>3.7559999999999998</v>
      </c>
      <c r="AO131" s="30"/>
      <c r="AP131" s="30">
        <v>3.7719999999999998</v>
      </c>
      <c r="AQ131" s="30">
        <v>3.7719999999999998</v>
      </c>
      <c r="AR131" s="30">
        <v>3.7519999999999998</v>
      </c>
      <c r="AS131" s="30">
        <v>3.7810000000000001</v>
      </c>
      <c r="AT131" s="30">
        <v>3.758</v>
      </c>
      <c r="AU131" s="30">
        <v>3.7650000000000001</v>
      </c>
      <c r="AV131" s="30">
        <v>3.7719999999999998</v>
      </c>
      <c r="AW131" s="30">
        <v>3.7570000000000001</v>
      </c>
      <c r="AX131" s="30"/>
      <c r="AY131" s="30"/>
      <c r="AZ131" s="30"/>
    </row>
    <row r="132" spans="1:52" ht="18" customHeight="1">
      <c r="A132" s="23"/>
      <c r="B132" s="19"/>
      <c r="C132" s="76" t="s">
        <v>77</v>
      </c>
      <c r="D132" s="35" t="s">
        <v>82</v>
      </c>
      <c r="E132" s="35"/>
      <c r="F132" s="29" t="s">
        <v>83</v>
      </c>
      <c r="G132" s="38">
        <v>3.75</v>
      </c>
      <c r="H132" s="38">
        <v>0.08</v>
      </c>
      <c r="I132" s="38">
        <v>0.05</v>
      </c>
      <c r="J132" s="38">
        <v>0.08</v>
      </c>
      <c r="K132" s="38">
        <v>0.05</v>
      </c>
      <c r="L132" s="30">
        <f t="shared" si="4"/>
        <v>3.7810000000000001</v>
      </c>
      <c r="M132" s="30">
        <f t="shared" si="5"/>
        <v>3.7320000000000002</v>
      </c>
      <c r="N132" s="30">
        <f t="shared" si="6"/>
        <v>4.8999999999999932E-2</v>
      </c>
      <c r="O132" s="31">
        <f t="shared" si="7"/>
        <v>3.7609655172413796</v>
      </c>
      <c r="P132" s="52"/>
      <c r="Q132" s="30">
        <v>3.7690000000000001</v>
      </c>
      <c r="R132" s="30">
        <v>3.7570000000000001</v>
      </c>
      <c r="S132" s="30">
        <v>3.774</v>
      </c>
      <c r="T132" s="30">
        <v>3.7669999999999999</v>
      </c>
      <c r="U132" s="30">
        <v>3.7709999999999999</v>
      </c>
      <c r="V132" s="30">
        <v>3.7810000000000001</v>
      </c>
      <c r="W132" s="30">
        <v>3.762</v>
      </c>
      <c r="X132" s="30">
        <v>3.758</v>
      </c>
      <c r="Y132" s="30">
        <v>3.7759999999999998</v>
      </c>
      <c r="Z132" s="30">
        <v>3.77</v>
      </c>
      <c r="AA132" s="30">
        <v>3.76</v>
      </c>
      <c r="AB132" s="30">
        <v>3.76</v>
      </c>
      <c r="AC132" s="30">
        <v>3.7719999999999998</v>
      </c>
      <c r="AD132" s="30">
        <v>3.7639999999999998</v>
      </c>
      <c r="AE132" s="30">
        <v>3.7709999999999999</v>
      </c>
      <c r="AF132" s="30">
        <v>3.7530000000000001</v>
      </c>
      <c r="AG132" s="30">
        <v>3.7530000000000001</v>
      </c>
      <c r="AH132" s="30">
        <v>3.762</v>
      </c>
      <c r="AI132" s="30">
        <v>3.7480000000000002</v>
      </c>
      <c r="AJ132" s="30">
        <v>3.7629999999999999</v>
      </c>
      <c r="AK132" s="30">
        <v>3.758</v>
      </c>
      <c r="AL132" s="30">
        <v>3.7530000000000001</v>
      </c>
      <c r="AM132" s="30">
        <v>3.7320000000000002</v>
      </c>
      <c r="AN132" s="30">
        <v>3.7570000000000001</v>
      </c>
      <c r="AO132" s="30"/>
      <c r="AP132" s="30">
        <v>3.76</v>
      </c>
      <c r="AQ132" s="30">
        <v>3.7610000000000001</v>
      </c>
      <c r="AR132" s="30">
        <v>3.7440000000000002</v>
      </c>
      <c r="AS132" s="30">
        <v>3.76</v>
      </c>
      <c r="AT132" s="30">
        <v>3.7519999999999998</v>
      </c>
      <c r="AU132" s="30">
        <v>3.76</v>
      </c>
      <c r="AV132" s="30">
        <v>3.7570000000000001</v>
      </c>
      <c r="AW132" s="30">
        <v>3.7690000000000001</v>
      </c>
      <c r="AX132" s="30"/>
      <c r="AY132" s="30"/>
      <c r="AZ132" s="30"/>
    </row>
    <row r="133" spans="1:52" ht="18" customHeight="1">
      <c r="A133" s="23"/>
      <c r="B133" s="19"/>
      <c r="C133" s="75" t="s">
        <v>65</v>
      </c>
      <c r="D133" s="35" t="s">
        <v>84</v>
      </c>
      <c r="E133" s="35"/>
      <c r="F133" s="29" t="s">
        <v>85</v>
      </c>
      <c r="G133" s="38">
        <v>80</v>
      </c>
      <c r="H133" s="38">
        <v>0.1</v>
      </c>
      <c r="I133" s="38">
        <v>0.1</v>
      </c>
      <c r="J133" s="38">
        <v>0.1</v>
      </c>
      <c r="K133" s="38">
        <v>0.1</v>
      </c>
      <c r="L133" s="30">
        <f t="shared" ref="L133:L196" si="8">MAX(Q133:AT133)</f>
        <v>79.983000000000004</v>
      </c>
      <c r="M133" s="30">
        <f t="shared" ref="M133:M196" si="9">MIN(Q133:AT133)</f>
        <v>79.936000000000007</v>
      </c>
      <c r="N133" s="30">
        <f t="shared" ref="N133:N196" si="10">L133-M133</f>
        <v>4.6999999999997044E-2</v>
      </c>
      <c r="O133" s="31">
        <f t="shared" ref="O133:O196" si="11">AVERAGE(Q133:AT133)</f>
        <v>79.955758620689664</v>
      </c>
      <c r="P133" s="52"/>
      <c r="Q133" s="30">
        <v>79.944999999999993</v>
      </c>
      <c r="R133" s="30">
        <v>79.942999999999998</v>
      </c>
      <c r="S133" s="30">
        <v>79.962000000000003</v>
      </c>
      <c r="T133" s="30">
        <v>79.945999999999998</v>
      </c>
      <c r="U133" s="30">
        <v>79.947999999999993</v>
      </c>
      <c r="V133" s="30">
        <v>79.953999999999994</v>
      </c>
      <c r="W133" s="30">
        <v>79.950999999999993</v>
      </c>
      <c r="X133" s="30">
        <v>79.947000000000003</v>
      </c>
      <c r="Y133" s="30">
        <v>79.957999999999998</v>
      </c>
      <c r="Z133" s="30">
        <v>79.953000000000003</v>
      </c>
      <c r="AA133" s="30">
        <v>79.962000000000003</v>
      </c>
      <c r="AB133" s="30">
        <v>79.966999999999999</v>
      </c>
      <c r="AC133" s="30">
        <v>79.974999999999994</v>
      </c>
      <c r="AD133" s="30">
        <v>79.962000000000003</v>
      </c>
      <c r="AE133" s="30">
        <v>79.966999999999999</v>
      </c>
      <c r="AF133" s="30">
        <v>79.962999999999994</v>
      </c>
      <c r="AG133" s="30">
        <v>79.965000000000003</v>
      </c>
      <c r="AH133" s="30">
        <v>79.936000000000007</v>
      </c>
      <c r="AI133" s="30">
        <v>79.94</v>
      </c>
      <c r="AJ133" s="30">
        <v>79.941000000000003</v>
      </c>
      <c r="AK133" s="30">
        <v>79.942999999999998</v>
      </c>
      <c r="AL133" s="30">
        <v>79.953000000000003</v>
      </c>
      <c r="AM133" s="30">
        <v>79.944000000000003</v>
      </c>
      <c r="AN133" s="30">
        <v>79.962000000000003</v>
      </c>
      <c r="AO133" s="30"/>
      <c r="AP133" s="30">
        <v>79.963999999999999</v>
      </c>
      <c r="AQ133" s="30">
        <v>79.971999999999994</v>
      </c>
      <c r="AR133" s="30">
        <v>79.957999999999998</v>
      </c>
      <c r="AS133" s="30">
        <v>79.983000000000004</v>
      </c>
      <c r="AT133" s="30">
        <v>79.953000000000003</v>
      </c>
      <c r="AU133" s="30">
        <v>79.983000000000004</v>
      </c>
      <c r="AV133" s="30">
        <v>79.978999999999999</v>
      </c>
      <c r="AW133" s="30">
        <v>79.965000000000003</v>
      </c>
      <c r="AX133" s="30"/>
      <c r="AY133" s="30"/>
      <c r="AZ133" s="30"/>
    </row>
    <row r="134" spans="1:52" ht="18" customHeight="1">
      <c r="A134" s="23"/>
      <c r="B134" s="19"/>
      <c r="C134" s="76" t="s">
        <v>77</v>
      </c>
      <c r="D134" s="35" t="s">
        <v>86</v>
      </c>
      <c r="E134" s="35"/>
      <c r="F134" s="29" t="s">
        <v>87</v>
      </c>
      <c r="G134" s="38">
        <v>1.55</v>
      </c>
      <c r="H134" s="38">
        <v>0.03</v>
      </c>
      <c r="I134" s="38">
        <v>0.03</v>
      </c>
      <c r="J134" s="38">
        <v>0.03</v>
      </c>
      <c r="K134" s="38">
        <v>0.03</v>
      </c>
      <c r="L134" s="30">
        <f t="shared" si="8"/>
        <v>1.5669999999999999</v>
      </c>
      <c r="M134" s="30">
        <f t="shared" si="9"/>
        <v>1.548</v>
      </c>
      <c r="N134" s="30">
        <f t="shared" si="10"/>
        <v>1.8999999999999906E-2</v>
      </c>
      <c r="O134" s="31">
        <f t="shared" si="11"/>
        <v>1.5598965517241383</v>
      </c>
      <c r="P134" s="52"/>
      <c r="Q134" s="30">
        <v>1.5629999999999999</v>
      </c>
      <c r="R134" s="30">
        <v>1.56</v>
      </c>
      <c r="S134" s="30">
        <v>1.5580000000000001</v>
      </c>
      <c r="T134" s="30">
        <v>1.5580000000000001</v>
      </c>
      <c r="U134" s="30">
        <v>1.56</v>
      </c>
      <c r="V134" s="30">
        <v>1.5609999999999999</v>
      </c>
      <c r="W134" s="30">
        <v>1.556</v>
      </c>
      <c r="X134" s="30">
        <v>1.56</v>
      </c>
      <c r="Y134" s="30">
        <v>1.5669999999999999</v>
      </c>
      <c r="Z134" s="30">
        <v>1.5589999999999999</v>
      </c>
      <c r="AA134" s="30">
        <v>1.5640000000000001</v>
      </c>
      <c r="AB134" s="30">
        <v>1.5620000000000001</v>
      </c>
      <c r="AC134" s="30">
        <v>1.5640000000000001</v>
      </c>
      <c r="AD134" s="30">
        <v>1.5620000000000001</v>
      </c>
      <c r="AE134" s="30">
        <v>1.5629999999999999</v>
      </c>
      <c r="AF134" s="30">
        <v>1.5660000000000001</v>
      </c>
      <c r="AG134" s="30">
        <v>1.5649999999999999</v>
      </c>
      <c r="AH134" s="30">
        <v>1.5620000000000001</v>
      </c>
      <c r="AI134" s="30">
        <v>1.5569999999999999</v>
      </c>
      <c r="AJ134" s="30">
        <v>1.5609999999999999</v>
      </c>
      <c r="AK134" s="30">
        <v>1.56</v>
      </c>
      <c r="AL134" s="30">
        <v>1.556</v>
      </c>
      <c r="AM134" s="30">
        <v>1.5589999999999999</v>
      </c>
      <c r="AN134" s="30">
        <v>1.554</v>
      </c>
      <c r="AO134" s="30"/>
      <c r="AP134" s="30">
        <v>1.56</v>
      </c>
      <c r="AQ134" s="30">
        <v>1.548</v>
      </c>
      <c r="AR134" s="30">
        <v>1.5569999999999999</v>
      </c>
      <c r="AS134" s="30">
        <v>1.5609999999999999</v>
      </c>
      <c r="AT134" s="30">
        <v>1.554</v>
      </c>
      <c r="AU134" s="30">
        <v>1.5469999999999999</v>
      </c>
      <c r="AV134" s="30">
        <v>1.554</v>
      </c>
      <c r="AW134" s="30">
        <v>1.5509999999999999</v>
      </c>
      <c r="AX134" s="30"/>
      <c r="AY134" s="30"/>
      <c r="AZ134" s="30"/>
    </row>
    <row r="135" spans="1:52" ht="18" customHeight="1">
      <c r="A135" s="23"/>
      <c r="B135" s="19"/>
      <c r="C135" s="76" t="s">
        <v>77</v>
      </c>
      <c r="D135" s="35" t="s">
        <v>88</v>
      </c>
      <c r="E135" s="35"/>
      <c r="F135" s="29" t="s">
        <v>89</v>
      </c>
      <c r="G135" s="38">
        <v>1.55</v>
      </c>
      <c r="H135" s="38">
        <v>0.03</v>
      </c>
      <c r="I135" s="38">
        <v>0.03</v>
      </c>
      <c r="J135" s="38">
        <v>0.03</v>
      </c>
      <c r="K135" s="38">
        <v>0.03</v>
      </c>
      <c r="L135" s="30">
        <f t="shared" si="8"/>
        <v>1.573</v>
      </c>
      <c r="M135" s="30">
        <f t="shared" si="9"/>
        <v>1.5569999999999999</v>
      </c>
      <c r="N135" s="30">
        <f t="shared" si="10"/>
        <v>1.6000000000000014E-2</v>
      </c>
      <c r="O135" s="31">
        <f t="shared" si="11"/>
        <v>1.5664482758620693</v>
      </c>
      <c r="P135" s="52"/>
      <c r="Q135" s="30">
        <v>1.573</v>
      </c>
      <c r="R135" s="30">
        <v>1.5620000000000001</v>
      </c>
      <c r="S135" s="30">
        <v>1.571</v>
      </c>
      <c r="T135" s="30">
        <v>1.5640000000000001</v>
      </c>
      <c r="U135" s="30">
        <v>1.57</v>
      </c>
      <c r="V135" s="30">
        <v>1.573</v>
      </c>
      <c r="W135" s="30">
        <v>1.573</v>
      </c>
      <c r="X135" s="30">
        <v>1.5660000000000001</v>
      </c>
      <c r="Y135" s="30">
        <v>1.5680000000000001</v>
      </c>
      <c r="Z135" s="30">
        <v>1.5629999999999999</v>
      </c>
      <c r="AA135" s="30">
        <v>1.56</v>
      </c>
      <c r="AB135" s="30">
        <v>1.5680000000000001</v>
      </c>
      <c r="AC135" s="30">
        <v>1.57</v>
      </c>
      <c r="AD135" s="30">
        <v>1.5640000000000001</v>
      </c>
      <c r="AE135" s="30">
        <v>1.5649999999999999</v>
      </c>
      <c r="AF135" s="30">
        <v>1.5649999999999999</v>
      </c>
      <c r="AG135" s="30">
        <v>1.569</v>
      </c>
      <c r="AH135" s="30">
        <v>1.5660000000000001</v>
      </c>
      <c r="AI135" s="30">
        <v>1.5629999999999999</v>
      </c>
      <c r="AJ135" s="30">
        <v>1.5649999999999999</v>
      </c>
      <c r="AK135" s="30">
        <v>1.5680000000000001</v>
      </c>
      <c r="AL135" s="30">
        <v>1.5569999999999999</v>
      </c>
      <c r="AM135" s="30">
        <v>1.5660000000000001</v>
      </c>
      <c r="AN135" s="30">
        <v>1.5589999999999999</v>
      </c>
      <c r="AO135" s="30"/>
      <c r="AP135" s="30">
        <v>1.5680000000000001</v>
      </c>
      <c r="AQ135" s="30">
        <v>1.5669999999999999</v>
      </c>
      <c r="AR135" s="30">
        <v>1.5660000000000001</v>
      </c>
      <c r="AS135" s="30">
        <v>1.571</v>
      </c>
      <c r="AT135" s="30">
        <v>1.5669999999999999</v>
      </c>
      <c r="AU135" s="30">
        <v>1.5640000000000001</v>
      </c>
      <c r="AV135" s="30">
        <v>1.5660000000000001</v>
      </c>
      <c r="AW135" s="30">
        <v>1.5740000000000001</v>
      </c>
      <c r="AX135" s="30"/>
      <c r="AY135" s="30"/>
      <c r="AZ135" s="30"/>
    </row>
    <row r="136" spans="1:52" ht="18" customHeight="1">
      <c r="A136" s="23"/>
      <c r="B136" s="19"/>
      <c r="C136" s="76" t="s">
        <v>77</v>
      </c>
      <c r="D136" s="35" t="s">
        <v>90</v>
      </c>
      <c r="E136" s="35"/>
      <c r="F136" s="29" t="s">
        <v>91</v>
      </c>
      <c r="G136" s="38">
        <v>1.55</v>
      </c>
      <c r="H136" s="38">
        <v>0.03</v>
      </c>
      <c r="I136" s="38">
        <v>0.03</v>
      </c>
      <c r="J136" s="38">
        <v>0.03</v>
      </c>
      <c r="K136" s="38">
        <v>0.03</v>
      </c>
      <c r="L136" s="30">
        <f t="shared" si="8"/>
        <v>1.5669999999999999</v>
      </c>
      <c r="M136" s="30">
        <f t="shared" si="9"/>
        <v>1.548</v>
      </c>
      <c r="N136" s="30">
        <f t="shared" si="10"/>
        <v>1.8999999999999906E-2</v>
      </c>
      <c r="O136" s="31">
        <f t="shared" si="11"/>
        <v>1.5604482758620688</v>
      </c>
      <c r="P136" s="52"/>
      <c r="Q136" s="30">
        <v>1.5669999999999999</v>
      </c>
      <c r="R136" s="30">
        <v>1.5660000000000001</v>
      </c>
      <c r="S136" s="30">
        <v>1.5640000000000001</v>
      </c>
      <c r="T136" s="30">
        <v>1.5620000000000001</v>
      </c>
      <c r="U136" s="30">
        <v>1.5629999999999999</v>
      </c>
      <c r="V136" s="30">
        <v>1.5620000000000001</v>
      </c>
      <c r="W136" s="30">
        <v>1.5669999999999999</v>
      </c>
      <c r="X136" s="30">
        <v>1.5620000000000001</v>
      </c>
      <c r="Y136" s="30">
        <v>1.5629999999999999</v>
      </c>
      <c r="Z136" s="30">
        <v>1.5640000000000001</v>
      </c>
      <c r="AA136" s="30">
        <v>1.548</v>
      </c>
      <c r="AB136" s="30">
        <v>1.56</v>
      </c>
      <c r="AC136" s="30">
        <v>1.5509999999999999</v>
      </c>
      <c r="AD136" s="30">
        <v>1.5580000000000001</v>
      </c>
      <c r="AE136" s="30">
        <v>1.5589999999999999</v>
      </c>
      <c r="AF136" s="30">
        <v>1.5529999999999999</v>
      </c>
      <c r="AG136" s="30">
        <v>1.5569999999999999</v>
      </c>
      <c r="AH136" s="30">
        <v>1.5629999999999999</v>
      </c>
      <c r="AI136" s="30">
        <v>1.5629999999999999</v>
      </c>
      <c r="AJ136" s="30">
        <v>1.5649999999999999</v>
      </c>
      <c r="AK136" s="30">
        <v>1.5660000000000001</v>
      </c>
      <c r="AL136" s="30">
        <v>1.5489999999999999</v>
      </c>
      <c r="AM136" s="30">
        <v>1.5620000000000001</v>
      </c>
      <c r="AN136" s="30">
        <v>1.5580000000000001</v>
      </c>
      <c r="AO136" s="30"/>
      <c r="AP136" s="30">
        <v>1.5589999999999999</v>
      </c>
      <c r="AQ136" s="30">
        <v>1.5549999999999999</v>
      </c>
      <c r="AR136" s="30">
        <v>1.5580000000000001</v>
      </c>
      <c r="AS136" s="30">
        <v>1.5669999999999999</v>
      </c>
      <c r="AT136" s="30">
        <v>1.5620000000000001</v>
      </c>
      <c r="AU136" s="30">
        <v>1.5580000000000001</v>
      </c>
      <c r="AV136" s="30">
        <v>1.5649999999999999</v>
      </c>
      <c r="AW136" s="30">
        <v>1.5649999999999999</v>
      </c>
      <c r="AX136" s="30"/>
      <c r="AY136" s="30"/>
      <c r="AZ136" s="30"/>
    </row>
    <row r="137" spans="1:52" ht="18" customHeight="1">
      <c r="A137" s="23"/>
      <c r="B137" s="19"/>
      <c r="C137" s="76" t="s">
        <v>77</v>
      </c>
      <c r="D137" s="35" t="s">
        <v>92</v>
      </c>
      <c r="E137" s="35"/>
      <c r="F137" s="29" t="s">
        <v>93</v>
      </c>
      <c r="G137" s="38">
        <v>1.55</v>
      </c>
      <c r="H137" s="38">
        <v>0.03</v>
      </c>
      <c r="I137" s="38">
        <v>0.03</v>
      </c>
      <c r="J137" s="38">
        <v>0.03</v>
      </c>
      <c r="K137" s="38">
        <v>0.03</v>
      </c>
      <c r="L137" s="30">
        <f t="shared" si="8"/>
        <v>1.5640000000000001</v>
      </c>
      <c r="M137" s="30">
        <f t="shared" si="9"/>
        <v>1.5429999999999999</v>
      </c>
      <c r="N137" s="30">
        <f t="shared" si="10"/>
        <v>2.100000000000013E-2</v>
      </c>
      <c r="O137" s="31">
        <f t="shared" si="11"/>
        <v>1.5543448275862066</v>
      </c>
      <c r="P137" s="52"/>
      <c r="Q137" s="30">
        <v>1.5580000000000001</v>
      </c>
      <c r="R137" s="30">
        <v>1.5449999999999999</v>
      </c>
      <c r="S137" s="30">
        <v>1.5589999999999999</v>
      </c>
      <c r="T137" s="30">
        <v>1.5609999999999999</v>
      </c>
      <c r="U137" s="30">
        <v>1.5580000000000001</v>
      </c>
      <c r="V137" s="30">
        <v>1.56</v>
      </c>
      <c r="W137" s="30">
        <v>1.5640000000000001</v>
      </c>
      <c r="X137" s="30">
        <v>1.5589999999999999</v>
      </c>
      <c r="Y137" s="30">
        <v>1.5609999999999999</v>
      </c>
      <c r="Z137" s="30">
        <v>1.5569999999999999</v>
      </c>
      <c r="AA137" s="30">
        <v>1.5509999999999999</v>
      </c>
      <c r="AB137" s="30">
        <v>1.5509999999999999</v>
      </c>
      <c r="AC137" s="30">
        <v>1.5609999999999999</v>
      </c>
      <c r="AD137" s="30">
        <v>1.5489999999999999</v>
      </c>
      <c r="AE137" s="30">
        <v>1.5549999999999999</v>
      </c>
      <c r="AF137" s="30">
        <v>1.548</v>
      </c>
      <c r="AG137" s="30">
        <v>1.5529999999999999</v>
      </c>
      <c r="AH137" s="30">
        <v>1.556</v>
      </c>
      <c r="AI137" s="30">
        <v>1.554</v>
      </c>
      <c r="AJ137" s="30">
        <v>1.552</v>
      </c>
      <c r="AK137" s="30">
        <v>1.5569999999999999</v>
      </c>
      <c r="AL137" s="30">
        <v>1.5509999999999999</v>
      </c>
      <c r="AM137" s="30">
        <v>1.5569999999999999</v>
      </c>
      <c r="AN137" s="30">
        <v>1.556</v>
      </c>
      <c r="AO137" s="30"/>
      <c r="AP137" s="30">
        <v>1.5509999999999999</v>
      </c>
      <c r="AQ137" s="30">
        <v>1.5580000000000001</v>
      </c>
      <c r="AR137" s="30">
        <v>1.544</v>
      </c>
      <c r="AS137" s="30">
        <v>1.5469999999999999</v>
      </c>
      <c r="AT137" s="30">
        <v>1.5429999999999999</v>
      </c>
      <c r="AU137" s="30">
        <v>1.5569999999999999</v>
      </c>
      <c r="AV137" s="30">
        <v>1.5509999999999999</v>
      </c>
      <c r="AW137" s="30">
        <v>1.5509999999999999</v>
      </c>
      <c r="AX137" s="30"/>
      <c r="AY137" s="30"/>
      <c r="AZ137" s="30"/>
    </row>
    <row r="138" spans="1:52" ht="18" customHeight="1">
      <c r="A138" s="23"/>
      <c r="B138" s="19"/>
      <c r="C138" s="76" t="s">
        <v>77</v>
      </c>
      <c r="D138" s="35" t="s">
        <v>94</v>
      </c>
      <c r="E138" s="35" t="s">
        <v>472</v>
      </c>
      <c r="F138" s="29" t="s">
        <v>96</v>
      </c>
      <c r="G138" s="38">
        <v>1.55</v>
      </c>
      <c r="H138" s="38">
        <v>0.03</v>
      </c>
      <c r="I138" s="38">
        <v>0.03</v>
      </c>
      <c r="J138" s="38">
        <v>0.03</v>
      </c>
      <c r="K138" s="38">
        <v>0.03</v>
      </c>
      <c r="L138" s="30">
        <f t="shared" si="8"/>
        <v>1.575</v>
      </c>
      <c r="M138" s="30">
        <f t="shared" si="9"/>
        <v>1.556</v>
      </c>
      <c r="N138" s="30">
        <f t="shared" si="10"/>
        <v>1.8999999999999906E-2</v>
      </c>
      <c r="O138" s="31">
        <f t="shared" si="11"/>
        <v>1.5642068965517242</v>
      </c>
      <c r="P138" s="52"/>
      <c r="Q138" s="30">
        <v>1.5720000000000001</v>
      </c>
      <c r="R138" s="30">
        <v>1.5640000000000001</v>
      </c>
      <c r="S138" s="30">
        <v>1.56</v>
      </c>
      <c r="T138" s="30">
        <v>1.5660000000000001</v>
      </c>
      <c r="U138" s="30">
        <v>1.5740000000000001</v>
      </c>
      <c r="V138" s="30">
        <v>1.5609999999999999</v>
      </c>
      <c r="W138" s="30">
        <v>1.5649999999999999</v>
      </c>
      <c r="X138" s="30">
        <v>1.556</v>
      </c>
      <c r="Y138" s="30">
        <v>1.5649999999999999</v>
      </c>
      <c r="Z138" s="30">
        <v>1.5669999999999999</v>
      </c>
      <c r="AA138" s="30">
        <v>1.5649999999999999</v>
      </c>
      <c r="AB138" s="30">
        <v>1.5589999999999999</v>
      </c>
      <c r="AC138" s="30">
        <v>1.5629999999999999</v>
      </c>
      <c r="AD138" s="30">
        <v>1.5609999999999999</v>
      </c>
      <c r="AE138" s="30">
        <v>1.5649999999999999</v>
      </c>
      <c r="AF138" s="30">
        <v>1.5649999999999999</v>
      </c>
      <c r="AG138" s="30">
        <v>1.5649999999999999</v>
      </c>
      <c r="AH138" s="30">
        <v>1.571</v>
      </c>
      <c r="AI138" s="30">
        <v>1.575</v>
      </c>
      <c r="AJ138" s="30">
        <v>1.5569999999999999</v>
      </c>
      <c r="AK138" s="30">
        <v>1.5649999999999999</v>
      </c>
      <c r="AL138" s="30">
        <v>1.5669999999999999</v>
      </c>
      <c r="AM138" s="30">
        <v>1.56</v>
      </c>
      <c r="AN138" s="30">
        <v>1.5680000000000001</v>
      </c>
      <c r="AO138" s="30"/>
      <c r="AP138" s="30">
        <v>1.5660000000000001</v>
      </c>
      <c r="AQ138" s="30">
        <v>1.5609999999999999</v>
      </c>
      <c r="AR138" s="30">
        <v>1.5569999999999999</v>
      </c>
      <c r="AS138" s="30">
        <v>1.5660000000000001</v>
      </c>
      <c r="AT138" s="30">
        <v>1.556</v>
      </c>
      <c r="AU138" s="30">
        <v>1.5669999999999999</v>
      </c>
      <c r="AV138" s="30">
        <v>1.5640000000000001</v>
      </c>
      <c r="AW138" s="30">
        <v>1.5589999999999999</v>
      </c>
      <c r="AX138" s="30"/>
      <c r="AY138" s="30"/>
      <c r="AZ138" s="30"/>
    </row>
    <row r="139" spans="1:52" ht="18" customHeight="1">
      <c r="A139" s="23"/>
      <c r="B139" s="19"/>
      <c r="C139" s="76" t="s">
        <v>77</v>
      </c>
      <c r="D139" s="35" t="s">
        <v>97</v>
      </c>
      <c r="E139" s="35"/>
      <c r="F139" s="29" t="s">
        <v>98</v>
      </c>
      <c r="G139" s="38">
        <v>1.55</v>
      </c>
      <c r="H139" s="38">
        <v>0.03</v>
      </c>
      <c r="I139" s="38">
        <v>0.03</v>
      </c>
      <c r="J139" s="38">
        <v>0.03</v>
      </c>
      <c r="K139" s="38">
        <v>0.03</v>
      </c>
      <c r="L139" s="30">
        <f t="shared" si="8"/>
        <v>1.5760000000000001</v>
      </c>
      <c r="M139" s="30">
        <f t="shared" si="9"/>
        <v>1.56</v>
      </c>
      <c r="N139" s="30">
        <f t="shared" si="10"/>
        <v>1.6000000000000014E-2</v>
      </c>
      <c r="O139" s="31">
        <f t="shared" si="11"/>
        <v>1.5685862068965519</v>
      </c>
      <c r="P139" s="52"/>
      <c r="Q139" s="30">
        <v>1.5660000000000001</v>
      </c>
      <c r="R139" s="30">
        <v>1.5680000000000001</v>
      </c>
      <c r="S139" s="30">
        <v>1.57</v>
      </c>
      <c r="T139" s="30">
        <v>1.5669999999999999</v>
      </c>
      <c r="U139" s="30">
        <v>1.5669999999999999</v>
      </c>
      <c r="V139" s="30">
        <v>1.575</v>
      </c>
      <c r="W139" s="30">
        <v>1.5760000000000001</v>
      </c>
      <c r="X139" s="30">
        <v>1.571</v>
      </c>
      <c r="Y139" s="30">
        <v>1.571</v>
      </c>
      <c r="Z139" s="30">
        <v>1.5660000000000001</v>
      </c>
      <c r="AA139" s="30">
        <v>1.5740000000000001</v>
      </c>
      <c r="AB139" s="30">
        <v>1.5680000000000001</v>
      </c>
      <c r="AC139" s="30">
        <v>1.5669999999999999</v>
      </c>
      <c r="AD139" s="30">
        <v>1.5720000000000001</v>
      </c>
      <c r="AE139" s="30">
        <v>1.5680000000000001</v>
      </c>
      <c r="AF139" s="30">
        <v>1.5640000000000001</v>
      </c>
      <c r="AG139" s="30">
        <v>1.569</v>
      </c>
      <c r="AH139" s="30">
        <v>1.569</v>
      </c>
      <c r="AI139" s="30">
        <v>1.5629999999999999</v>
      </c>
      <c r="AJ139" s="30">
        <v>1.5649999999999999</v>
      </c>
      <c r="AK139" s="30">
        <v>1.5660000000000001</v>
      </c>
      <c r="AL139" s="30">
        <v>1.573</v>
      </c>
      <c r="AM139" s="30">
        <v>1.5680000000000001</v>
      </c>
      <c r="AN139" s="30">
        <v>1.5629999999999999</v>
      </c>
      <c r="AO139" s="30"/>
      <c r="AP139" s="30">
        <v>1.569</v>
      </c>
      <c r="AQ139" s="30">
        <v>1.571</v>
      </c>
      <c r="AR139" s="30">
        <v>1.573</v>
      </c>
      <c r="AS139" s="30">
        <v>1.56</v>
      </c>
      <c r="AT139" s="30">
        <v>1.57</v>
      </c>
      <c r="AU139" s="30">
        <v>1.57</v>
      </c>
      <c r="AV139" s="30">
        <v>1.569</v>
      </c>
      <c r="AW139" s="30">
        <v>1.5740000000000001</v>
      </c>
      <c r="AX139" s="30"/>
      <c r="AY139" s="30"/>
      <c r="AZ139" s="30"/>
    </row>
    <row r="140" spans="1:52" ht="18" customHeight="1">
      <c r="A140" s="23"/>
      <c r="B140" s="19"/>
      <c r="C140" s="76" t="s">
        <v>77</v>
      </c>
      <c r="D140" s="35" t="s">
        <v>99</v>
      </c>
      <c r="E140" s="35"/>
      <c r="F140" s="29" t="s">
        <v>100</v>
      </c>
      <c r="G140" s="38">
        <v>1.55</v>
      </c>
      <c r="H140" s="38">
        <v>0.03</v>
      </c>
      <c r="I140" s="38">
        <v>0.03</v>
      </c>
      <c r="J140" s="38">
        <v>0.03</v>
      </c>
      <c r="K140" s="38">
        <v>0.03</v>
      </c>
      <c r="L140" s="30">
        <f t="shared" si="8"/>
        <v>1.5669999999999999</v>
      </c>
      <c r="M140" s="30">
        <f t="shared" si="9"/>
        <v>1.5509999999999999</v>
      </c>
      <c r="N140" s="30">
        <f t="shared" si="10"/>
        <v>1.6000000000000014E-2</v>
      </c>
      <c r="O140" s="31">
        <f t="shared" si="11"/>
        <v>1.5592758620689651</v>
      </c>
      <c r="P140" s="52"/>
      <c r="Q140" s="30">
        <v>1.5549999999999999</v>
      </c>
      <c r="R140" s="30">
        <v>1.5609999999999999</v>
      </c>
      <c r="S140" s="30">
        <v>1.556</v>
      </c>
      <c r="T140" s="30">
        <v>1.5569999999999999</v>
      </c>
      <c r="U140" s="30">
        <v>1.552</v>
      </c>
      <c r="V140" s="30">
        <v>1.554</v>
      </c>
      <c r="W140" s="30">
        <v>1.5620000000000001</v>
      </c>
      <c r="X140" s="30">
        <v>1.556</v>
      </c>
      <c r="Y140" s="30">
        <v>1.5569999999999999</v>
      </c>
      <c r="Z140" s="30">
        <v>1.554</v>
      </c>
      <c r="AA140" s="30">
        <v>1.5629999999999999</v>
      </c>
      <c r="AB140" s="30">
        <v>1.5629999999999999</v>
      </c>
      <c r="AC140" s="30">
        <v>1.5640000000000001</v>
      </c>
      <c r="AD140" s="30">
        <v>1.5609999999999999</v>
      </c>
      <c r="AE140" s="30">
        <v>1.554</v>
      </c>
      <c r="AF140" s="30">
        <v>1.5669999999999999</v>
      </c>
      <c r="AG140" s="30">
        <v>1.5629999999999999</v>
      </c>
      <c r="AH140" s="30">
        <v>1.5529999999999999</v>
      </c>
      <c r="AI140" s="30">
        <v>1.5629999999999999</v>
      </c>
      <c r="AJ140" s="30">
        <v>1.5580000000000001</v>
      </c>
      <c r="AK140" s="30">
        <v>1.5649999999999999</v>
      </c>
      <c r="AL140" s="30">
        <v>1.5609999999999999</v>
      </c>
      <c r="AM140" s="30">
        <v>1.5640000000000001</v>
      </c>
      <c r="AN140" s="30">
        <v>1.5609999999999999</v>
      </c>
      <c r="AO140" s="30"/>
      <c r="AP140" s="30">
        <v>1.5589999999999999</v>
      </c>
      <c r="AQ140" s="30">
        <v>1.5649999999999999</v>
      </c>
      <c r="AR140" s="30">
        <v>1.5580000000000001</v>
      </c>
      <c r="AS140" s="30">
        <v>1.5509999999999999</v>
      </c>
      <c r="AT140" s="30">
        <v>1.5620000000000001</v>
      </c>
      <c r="AU140" s="30">
        <v>1.5640000000000001</v>
      </c>
      <c r="AV140" s="30">
        <v>1.5549999999999999</v>
      </c>
      <c r="AW140" s="30">
        <v>1.5580000000000001</v>
      </c>
      <c r="AX140" s="30"/>
      <c r="AY140" s="30"/>
      <c r="AZ140" s="30"/>
    </row>
    <row r="141" spans="1:52" ht="18" customHeight="1">
      <c r="A141" s="23"/>
      <c r="B141" s="19"/>
      <c r="C141" s="76" t="s">
        <v>77</v>
      </c>
      <c r="D141" s="35" t="s">
        <v>101</v>
      </c>
      <c r="E141" s="35"/>
      <c r="F141" s="29" t="s">
        <v>102</v>
      </c>
      <c r="G141" s="38">
        <v>1.55</v>
      </c>
      <c r="H141" s="38">
        <v>0.03</v>
      </c>
      <c r="I141" s="38">
        <v>0.03</v>
      </c>
      <c r="J141" s="38">
        <v>0.03</v>
      </c>
      <c r="K141" s="38">
        <v>0.03</v>
      </c>
      <c r="L141" s="30">
        <f t="shared" si="8"/>
        <v>1.569</v>
      </c>
      <c r="M141" s="30">
        <f t="shared" si="9"/>
        <v>1.536</v>
      </c>
      <c r="N141" s="30">
        <f t="shared" si="10"/>
        <v>3.2999999999999918E-2</v>
      </c>
      <c r="O141" s="31">
        <f t="shared" si="11"/>
        <v>1.5569999999999997</v>
      </c>
      <c r="P141" s="52"/>
      <c r="Q141" s="30">
        <v>1.5580000000000001</v>
      </c>
      <c r="R141" s="30">
        <v>1.5569999999999999</v>
      </c>
      <c r="S141" s="30">
        <v>1.552</v>
      </c>
      <c r="T141" s="30">
        <v>1.5620000000000001</v>
      </c>
      <c r="U141" s="30">
        <v>1.5489999999999999</v>
      </c>
      <c r="V141" s="30">
        <v>1.5640000000000001</v>
      </c>
      <c r="W141" s="30">
        <v>1.556</v>
      </c>
      <c r="X141" s="30">
        <v>1.556</v>
      </c>
      <c r="Y141" s="30">
        <v>1.5620000000000001</v>
      </c>
      <c r="Z141" s="30">
        <v>1.5580000000000001</v>
      </c>
      <c r="AA141" s="30">
        <v>1.5589999999999999</v>
      </c>
      <c r="AB141" s="30">
        <v>1.5620000000000001</v>
      </c>
      <c r="AC141" s="30">
        <v>1.554</v>
      </c>
      <c r="AD141" s="30">
        <v>1.5609999999999999</v>
      </c>
      <c r="AE141" s="30">
        <v>1.536</v>
      </c>
      <c r="AF141" s="30">
        <v>1.5669999999999999</v>
      </c>
      <c r="AG141" s="30">
        <v>1.5660000000000001</v>
      </c>
      <c r="AH141" s="30">
        <v>1.5580000000000001</v>
      </c>
      <c r="AI141" s="30">
        <v>1.569</v>
      </c>
      <c r="AJ141" s="30">
        <v>1.556</v>
      </c>
      <c r="AK141" s="30">
        <v>1.55</v>
      </c>
      <c r="AL141" s="30">
        <v>1.5489999999999999</v>
      </c>
      <c r="AM141" s="30">
        <v>1.5609999999999999</v>
      </c>
      <c r="AN141" s="30">
        <v>1.554</v>
      </c>
      <c r="AO141" s="30"/>
      <c r="AP141" s="30">
        <v>1.556</v>
      </c>
      <c r="AQ141" s="30">
        <v>1.5549999999999999</v>
      </c>
      <c r="AR141" s="30">
        <v>1.5529999999999999</v>
      </c>
      <c r="AS141" s="30">
        <v>1.5549999999999999</v>
      </c>
      <c r="AT141" s="30">
        <v>1.5580000000000001</v>
      </c>
      <c r="AU141" s="30">
        <v>1.556</v>
      </c>
      <c r="AV141" s="30">
        <v>1.5549999999999999</v>
      </c>
      <c r="AW141" s="30">
        <v>1.5589999999999999</v>
      </c>
      <c r="AX141" s="30"/>
      <c r="AY141" s="30"/>
      <c r="AZ141" s="30"/>
    </row>
    <row r="142" spans="1:52" ht="18" customHeight="1">
      <c r="A142" s="23"/>
      <c r="B142" s="19"/>
      <c r="C142" s="76" t="s">
        <v>77</v>
      </c>
      <c r="D142" s="35" t="s">
        <v>103</v>
      </c>
      <c r="E142" s="35"/>
      <c r="F142" s="29" t="s">
        <v>104</v>
      </c>
      <c r="G142" s="38">
        <v>1.55</v>
      </c>
      <c r="H142" s="38">
        <v>0.03</v>
      </c>
      <c r="I142" s="38">
        <v>0.03</v>
      </c>
      <c r="J142" s="38">
        <v>0.03</v>
      </c>
      <c r="K142" s="38">
        <v>0.03</v>
      </c>
      <c r="L142" s="30">
        <f t="shared" si="8"/>
        <v>1.5620000000000001</v>
      </c>
      <c r="M142" s="30">
        <f t="shared" si="9"/>
        <v>1.5409999999999999</v>
      </c>
      <c r="N142" s="30">
        <f t="shared" si="10"/>
        <v>2.100000000000013E-2</v>
      </c>
      <c r="O142" s="31">
        <f t="shared" si="11"/>
        <v>1.5534137931034477</v>
      </c>
      <c r="P142" s="52"/>
      <c r="Q142" s="30">
        <v>1.5489999999999999</v>
      </c>
      <c r="R142" s="30">
        <v>1.548</v>
      </c>
      <c r="S142" s="30">
        <v>1.5529999999999999</v>
      </c>
      <c r="T142" s="30">
        <v>1.554</v>
      </c>
      <c r="U142" s="30">
        <v>1.552</v>
      </c>
      <c r="V142" s="30">
        <v>1.5549999999999999</v>
      </c>
      <c r="W142" s="30">
        <v>1.5509999999999999</v>
      </c>
      <c r="X142" s="30">
        <v>1.556</v>
      </c>
      <c r="Y142" s="30">
        <v>1.5620000000000001</v>
      </c>
      <c r="Z142" s="30">
        <v>1.5580000000000001</v>
      </c>
      <c r="AA142" s="30">
        <v>1.5569999999999999</v>
      </c>
      <c r="AB142" s="30">
        <v>1.5569999999999999</v>
      </c>
      <c r="AC142" s="30">
        <v>1.5569999999999999</v>
      </c>
      <c r="AD142" s="30">
        <v>1.5580000000000001</v>
      </c>
      <c r="AE142" s="30">
        <v>1.556</v>
      </c>
      <c r="AF142" s="30">
        <v>1.5549999999999999</v>
      </c>
      <c r="AG142" s="30">
        <v>1.56</v>
      </c>
      <c r="AH142" s="30">
        <v>1.5529999999999999</v>
      </c>
      <c r="AI142" s="30">
        <v>1.5580000000000001</v>
      </c>
      <c r="AJ142" s="30">
        <v>1.546</v>
      </c>
      <c r="AK142" s="30">
        <v>1.548</v>
      </c>
      <c r="AL142" s="30">
        <v>1.554</v>
      </c>
      <c r="AM142" s="30">
        <v>1.556</v>
      </c>
      <c r="AN142" s="30">
        <v>1.5409999999999999</v>
      </c>
      <c r="AO142" s="30"/>
      <c r="AP142" s="30">
        <v>1.5489999999999999</v>
      </c>
      <c r="AQ142" s="30">
        <v>1.554</v>
      </c>
      <c r="AR142" s="30">
        <v>1.55</v>
      </c>
      <c r="AS142" s="30">
        <v>1.5549999999999999</v>
      </c>
      <c r="AT142" s="30">
        <v>1.5469999999999999</v>
      </c>
      <c r="AU142" s="30">
        <v>1.5449999999999999</v>
      </c>
      <c r="AV142" s="30">
        <v>1.5549999999999999</v>
      </c>
      <c r="AW142" s="30">
        <v>1.554</v>
      </c>
      <c r="AX142" s="30"/>
      <c r="AY142" s="30"/>
      <c r="AZ142" s="30"/>
    </row>
    <row r="143" spans="1:52" ht="18" customHeight="1">
      <c r="A143" s="23"/>
      <c r="B143" s="19"/>
      <c r="C143" s="76" t="s">
        <v>77</v>
      </c>
      <c r="D143" s="35" t="s">
        <v>105</v>
      </c>
      <c r="E143" s="35"/>
      <c r="F143" s="29" t="s">
        <v>106</v>
      </c>
      <c r="G143" s="38">
        <v>1.55</v>
      </c>
      <c r="H143" s="38">
        <v>0.03</v>
      </c>
      <c r="I143" s="38">
        <v>0.03</v>
      </c>
      <c r="J143" s="38">
        <v>0.03</v>
      </c>
      <c r="K143" s="38">
        <v>0.03</v>
      </c>
      <c r="L143" s="30">
        <f t="shared" si="8"/>
        <v>1.5660000000000001</v>
      </c>
      <c r="M143" s="30">
        <f t="shared" si="9"/>
        <v>1.538</v>
      </c>
      <c r="N143" s="30">
        <f t="shared" si="10"/>
        <v>2.8000000000000025E-2</v>
      </c>
      <c r="O143" s="31">
        <f t="shared" si="11"/>
        <v>1.5505862068965517</v>
      </c>
      <c r="P143" s="52"/>
      <c r="Q143" s="30">
        <v>1.5449999999999999</v>
      </c>
      <c r="R143" s="30">
        <v>1.548</v>
      </c>
      <c r="S143" s="30">
        <v>1.55</v>
      </c>
      <c r="T143" s="30">
        <v>1.5449999999999999</v>
      </c>
      <c r="U143" s="30">
        <v>1.546</v>
      </c>
      <c r="V143" s="30">
        <v>1.5469999999999999</v>
      </c>
      <c r="W143" s="30">
        <v>1.554</v>
      </c>
      <c r="X143" s="30">
        <v>1.548</v>
      </c>
      <c r="Y143" s="30">
        <v>1.5469999999999999</v>
      </c>
      <c r="Z143" s="30">
        <v>1.5449999999999999</v>
      </c>
      <c r="AA143" s="30">
        <v>1.5549999999999999</v>
      </c>
      <c r="AB143" s="30">
        <v>1.5549999999999999</v>
      </c>
      <c r="AC143" s="30">
        <v>1.554</v>
      </c>
      <c r="AD143" s="30">
        <v>1.5580000000000001</v>
      </c>
      <c r="AE143" s="30">
        <v>1.5620000000000001</v>
      </c>
      <c r="AF143" s="30">
        <v>1.546</v>
      </c>
      <c r="AG143" s="30">
        <v>1.5509999999999999</v>
      </c>
      <c r="AH143" s="30">
        <v>1.538</v>
      </c>
      <c r="AI143" s="30">
        <v>1.5660000000000001</v>
      </c>
      <c r="AJ143" s="30">
        <v>1.5469999999999999</v>
      </c>
      <c r="AK143" s="30">
        <v>1.548</v>
      </c>
      <c r="AL143" s="30">
        <v>1.55</v>
      </c>
      <c r="AM143" s="30">
        <v>1.5509999999999999</v>
      </c>
      <c r="AN143" s="30">
        <v>1.5569999999999999</v>
      </c>
      <c r="AO143" s="30"/>
      <c r="AP143" s="30">
        <v>1.552</v>
      </c>
      <c r="AQ143" s="30">
        <v>1.5569999999999999</v>
      </c>
      <c r="AR143" s="30">
        <v>1.5429999999999999</v>
      </c>
      <c r="AS143" s="30">
        <v>1.5529999999999999</v>
      </c>
      <c r="AT143" s="30">
        <v>1.5489999999999999</v>
      </c>
      <c r="AU143" s="30">
        <v>1.546</v>
      </c>
      <c r="AV143" s="30">
        <v>1.5449999999999999</v>
      </c>
      <c r="AW143" s="30">
        <v>1.5509999999999999</v>
      </c>
      <c r="AX143" s="30"/>
      <c r="AY143" s="30"/>
      <c r="AZ143" s="30"/>
    </row>
    <row r="144" spans="1:52" ht="18" customHeight="1">
      <c r="A144" s="23"/>
      <c r="B144" s="19"/>
      <c r="C144" s="76" t="s">
        <v>77</v>
      </c>
      <c r="D144" s="35" t="s">
        <v>107</v>
      </c>
      <c r="E144" s="35"/>
      <c r="F144" s="29" t="s">
        <v>108</v>
      </c>
      <c r="G144" s="38">
        <v>1.55</v>
      </c>
      <c r="H144" s="38">
        <v>0.03</v>
      </c>
      <c r="I144" s="38">
        <v>0.03</v>
      </c>
      <c r="J144" s="38">
        <v>0.03</v>
      </c>
      <c r="K144" s="38">
        <v>0.03</v>
      </c>
      <c r="L144" s="30">
        <f t="shared" si="8"/>
        <v>1.569</v>
      </c>
      <c r="M144" s="30">
        <f t="shared" si="9"/>
        <v>1.5509999999999999</v>
      </c>
      <c r="N144" s="30">
        <f t="shared" si="10"/>
        <v>1.8000000000000016E-2</v>
      </c>
      <c r="O144" s="31">
        <f t="shared" si="11"/>
        <v>1.5616551724137928</v>
      </c>
      <c r="P144" s="52"/>
      <c r="Q144" s="30">
        <v>1.56</v>
      </c>
      <c r="R144" s="30">
        <v>1.5649999999999999</v>
      </c>
      <c r="S144" s="30">
        <v>1.5589999999999999</v>
      </c>
      <c r="T144" s="30">
        <v>1.5629999999999999</v>
      </c>
      <c r="U144" s="30">
        <v>1.5620000000000001</v>
      </c>
      <c r="V144" s="30">
        <v>1.5629999999999999</v>
      </c>
      <c r="W144" s="30">
        <v>1.5609999999999999</v>
      </c>
      <c r="X144" s="30">
        <v>1.5660000000000001</v>
      </c>
      <c r="Y144" s="30">
        <v>1.5669999999999999</v>
      </c>
      <c r="Z144" s="30">
        <v>1.5640000000000001</v>
      </c>
      <c r="AA144" s="30">
        <v>1.569</v>
      </c>
      <c r="AB144" s="30">
        <v>1.5660000000000001</v>
      </c>
      <c r="AC144" s="30">
        <v>1.5549999999999999</v>
      </c>
      <c r="AD144" s="30">
        <v>1.5660000000000001</v>
      </c>
      <c r="AE144" s="30">
        <v>1.5580000000000001</v>
      </c>
      <c r="AF144" s="30">
        <v>1.5620000000000001</v>
      </c>
      <c r="AG144" s="30">
        <v>1.569</v>
      </c>
      <c r="AH144" s="30">
        <v>1.554</v>
      </c>
      <c r="AI144" s="30">
        <v>1.5580000000000001</v>
      </c>
      <c r="AJ144" s="30">
        <v>1.56</v>
      </c>
      <c r="AK144" s="30">
        <v>1.5609999999999999</v>
      </c>
      <c r="AL144" s="30">
        <v>1.5649999999999999</v>
      </c>
      <c r="AM144" s="30">
        <v>1.5569999999999999</v>
      </c>
      <c r="AN144" s="30">
        <v>1.5580000000000001</v>
      </c>
      <c r="AO144" s="30"/>
      <c r="AP144" s="30">
        <v>1.5680000000000001</v>
      </c>
      <c r="AQ144" s="30">
        <v>1.5629999999999999</v>
      </c>
      <c r="AR144" s="30">
        <v>1.5509999999999999</v>
      </c>
      <c r="AS144" s="30">
        <v>1.5620000000000001</v>
      </c>
      <c r="AT144" s="30">
        <v>1.556</v>
      </c>
      <c r="AU144" s="30">
        <v>1.5569999999999999</v>
      </c>
      <c r="AV144" s="30">
        <v>1.5589999999999999</v>
      </c>
      <c r="AW144" s="30">
        <v>1.5509999999999999</v>
      </c>
      <c r="AX144" s="30"/>
      <c r="AY144" s="30"/>
      <c r="AZ144" s="30"/>
    </row>
    <row r="145" spans="1:52" ht="18" customHeight="1">
      <c r="A145" s="23"/>
      <c r="B145" s="19"/>
      <c r="C145" s="76" t="s">
        <v>77</v>
      </c>
      <c r="D145" s="35" t="s">
        <v>109</v>
      </c>
      <c r="E145" s="35"/>
      <c r="F145" s="29" t="s">
        <v>110</v>
      </c>
      <c r="G145" s="38">
        <v>1.55</v>
      </c>
      <c r="H145" s="38">
        <v>0.03</v>
      </c>
      <c r="I145" s="38">
        <v>0.03</v>
      </c>
      <c r="J145" s="38">
        <v>0.03</v>
      </c>
      <c r="K145" s="38">
        <v>0.03</v>
      </c>
      <c r="L145" s="30">
        <f t="shared" si="8"/>
        <v>1.5720000000000001</v>
      </c>
      <c r="M145" s="30">
        <f t="shared" si="9"/>
        <v>1.5580000000000001</v>
      </c>
      <c r="N145" s="30">
        <f t="shared" si="10"/>
        <v>1.4000000000000012E-2</v>
      </c>
      <c r="O145" s="31">
        <f t="shared" si="11"/>
        <v>1.5662758620689656</v>
      </c>
      <c r="P145" s="52"/>
      <c r="Q145" s="30">
        <v>1.5580000000000001</v>
      </c>
      <c r="R145" s="30">
        <v>1.5680000000000001</v>
      </c>
      <c r="S145" s="30">
        <v>1.5620000000000001</v>
      </c>
      <c r="T145" s="30">
        <v>1.56</v>
      </c>
      <c r="U145" s="30">
        <v>1.571</v>
      </c>
      <c r="V145" s="30">
        <v>1.57</v>
      </c>
      <c r="W145" s="30">
        <v>1.5680000000000001</v>
      </c>
      <c r="X145" s="30">
        <v>1.57</v>
      </c>
      <c r="Y145" s="30">
        <v>1.5669999999999999</v>
      </c>
      <c r="Z145" s="30">
        <v>1.571</v>
      </c>
      <c r="AA145" s="30">
        <v>1.5720000000000001</v>
      </c>
      <c r="AB145" s="30">
        <v>1.57</v>
      </c>
      <c r="AC145" s="30">
        <v>1.5680000000000001</v>
      </c>
      <c r="AD145" s="30">
        <v>1.5640000000000001</v>
      </c>
      <c r="AE145" s="30">
        <v>1.5640000000000001</v>
      </c>
      <c r="AF145" s="30">
        <v>1.5669999999999999</v>
      </c>
      <c r="AG145" s="30">
        <v>1.571</v>
      </c>
      <c r="AH145" s="30">
        <v>1.571</v>
      </c>
      <c r="AI145" s="30">
        <v>1.5640000000000001</v>
      </c>
      <c r="AJ145" s="30">
        <v>1.569</v>
      </c>
      <c r="AK145" s="30">
        <v>1.5660000000000001</v>
      </c>
      <c r="AL145" s="30">
        <v>1.5669999999999999</v>
      </c>
      <c r="AM145" s="30">
        <v>1.5640000000000001</v>
      </c>
      <c r="AN145" s="30">
        <v>1.5580000000000001</v>
      </c>
      <c r="AO145" s="30"/>
      <c r="AP145" s="30">
        <v>1.5609999999999999</v>
      </c>
      <c r="AQ145" s="30">
        <v>1.5680000000000001</v>
      </c>
      <c r="AR145" s="30">
        <v>1.5640000000000001</v>
      </c>
      <c r="AS145" s="30">
        <v>1.5649999999999999</v>
      </c>
      <c r="AT145" s="30">
        <v>1.5640000000000001</v>
      </c>
      <c r="AU145" s="30">
        <v>1.5680000000000001</v>
      </c>
      <c r="AV145" s="30">
        <v>1.5589999999999999</v>
      </c>
      <c r="AW145" s="30">
        <v>1.5660000000000001</v>
      </c>
      <c r="AX145" s="30"/>
      <c r="AY145" s="30"/>
      <c r="AZ145" s="30"/>
    </row>
    <row r="146" spans="1:52" ht="18" customHeight="1">
      <c r="A146" s="23"/>
      <c r="B146" s="19"/>
      <c r="C146" s="76" t="s">
        <v>77</v>
      </c>
      <c r="D146" s="35" t="s">
        <v>111</v>
      </c>
      <c r="E146" s="35"/>
      <c r="F146" s="29" t="s">
        <v>112</v>
      </c>
      <c r="G146" s="38">
        <v>1.55</v>
      </c>
      <c r="H146" s="38">
        <v>0.03</v>
      </c>
      <c r="I146" s="38">
        <v>0.03</v>
      </c>
      <c r="J146" s="38">
        <v>0.03</v>
      </c>
      <c r="K146" s="38">
        <v>0.03</v>
      </c>
      <c r="L146" s="30">
        <f t="shared" si="8"/>
        <v>1.571</v>
      </c>
      <c r="M146" s="30">
        <f t="shared" si="9"/>
        <v>1.556</v>
      </c>
      <c r="N146" s="30">
        <f t="shared" si="10"/>
        <v>1.4999999999999902E-2</v>
      </c>
      <c r="O146" s="31">
        <f t="shared" si="11"/>
        <v>1.5630344827586209</v>
      </c>
      <c r="P146" s="52"/>
      <c r="Q146" s="30">
        <v>1.56</v>
      </c>
      <c r="R146" s="30">
        <v>1.5629999999999999</v>
      </c>
      <c r="S146" s="30">
        <v>1.5609999999999999</v>
      </c>
      <c r="T146" s="30">
        <v>1.5660000000000001</v>
      </c>
      <c r="U146" s="30">
        <v>1.5580000000000001</v>
      </c>
      <c r="V146" s="30">
        <v>1.5609999999999999</v>
      </c>
      <c r="W146" s="30">
        <v>1.571</v>
      </c>
      <c r="X146" s="30">
        <v>1.5640000000000001</v>
      </c>
      <c r="Y146" s="30">
        <v>1.571</v>
      </c>
      <c r="Z146" s="30">
        <v>1.5620000000000001</v>
      </c>
      <c r="AA146" s="30">
        <v>1.569</v>
      </c>
      <c r="AB146" s="30">
        <v>1.5649999999999999</v>
      </c>
      <c r="AC146" s="30">
        <v>1.5569999999999999</v>
      </c>
      <c r="AD146" s="30">
        <v>1.5680000000000001</v>
      </c>
      <c r="AE146" s="30">
        <v>1.5660000000000001</v>
      </c>
      <c r="AF146" s="30">
        <v>1.57</v>
      </c>
      <c r="AG146" s="30">
        <v>1.5660000000000001</v>
      </c>
      <c r="AH146" s="30">
        <v>1.5649999999999999</v>
      </c>
      <c r="AI146" s="30">
        <v>1.556</v>
      </c>
      <c r="AJ146" s="30">
        <v>1.5580000000000001</v>
      </c>
      <c r="AK146" s="30">
        <v>1.569</v>
      </c>
      <c r="AL146" s="30">
        <v>1.5649999999999999</v>
      </c>
      <c r="AM146" s="30">
        <v>1.5629999999999999</v>
      </c>
      <c r="AN146" s="30">
        <v>1.56</v>
      </c>
      <c r="AO146" s="30"/>
      <c r="AP146" s="30">
        <v>1.5580000000000001</v>
      </c>
      <c r="AQ146" s="30">
        <v>1.5629999999999999</v>
      </c>
      <c r="AR146" s="30">
        <v>1.556</v>
      </c>
      <c r="AS146" s="30">
        <v>1.5589999999999999</v>
      </c>
      <c r="AT146" s="30">
        <v>1.5580000000000001</v>
      </c>
      <c r="AU146" s="30">
        <v>1.5649999999999999</v>
      </c>
      <c r="AV146" s="30">
        <v>1.5620000000000001</v>
      </c>
      <c r="AW146" s="30">
        <v>1.552</v>
      </c>
      <c r="AX146" s="30"/>
      <c r="AY146" s="30"/>
      <c r="AZ146" s="30"/>
    </row>
    <row r="147" spans="1:52" ht="18" customHeight="1">
      <c r="A147" s="23"/>
      <c r="B147" s="19"/>
      <c r="C147" s="77" t="s">
        <v>77</v>
      </c>
      <c r="D147" s="35" t="s">
        <v>113</v>
      </c>
      <c r="E147" s="35"/>
      <c r="F147" s="29" t="s">
        <v>114</v>
      </c>
      <c r="G147" s="38">
        <v>1.55</v>
      </c>
      <c r="H147" s="38">
        <v>0.03</v>
      </c>
      <c r="I147" s="38">
        <v>0.03</v>
      </c>
      <c r="J147" s="38">
        <v>0.03</v>
      </c>
      <c r="K147" s="38">
        <v>0.03</v>
      </c>
      <c r="L147" s="30">
        <f t="shared" si="8"/>
        <v>1.57</v>
      </c>
      <c r="M147" s="30">
        <f t="shared" si="9"/>
        <v>1.54</v>
      </c>
      <c r="N147" s="30">
        <f t="shared" si="10"/>
        <v>3.0000000000000027E-2</v>
      </c>
      <c r="O147" s="31">
        <f t="shared" si="11"/>
        <v>1.5541724137931034</v>
      </c>
      <c r="P147" s="52"/>
      <c r="Q147" s="30">
        <v>1.5529999999999999</v>
      </c>
      <c r="R147" s="30">
        <v>1.5549999999999999</v>
      </c>
      <c r="S147" s="30">
        <v>1.55</v>
      </c>
      <c r="T147" s="30">
        <v>1.56</v>
      </c>
      <c r="U147" s="30">
        <v>1.5589999999999999</v>
      </c>
      <c r="V147" s="30">
        <v>1.54</v>
      </c>
      <c r="W147" s="30">
        <v>1.5640000000000001</v>
      </c>
      <c r="X147" s="30">
        <v>1.55</v>
      </c>
      <c r="Y147" s="30">
        <v>1.554</v>
      </c>
      <c r="Z147" s="30">
        <v>1.5549999999999999</v>
      </c>
      <c r="AA147" s="30">
        <v>1.5509999999999999</v>
      </c>
      <c r="AB147" s="30">
        <v>1.5589999999999999</v>
      </c>
      <c r="AC147" s="30">
        <v>1.56</v>
      </c>
      <c r="AD147" s="30">
        <v>1.54</v>
      </c>
      <c r="AE147" s="30">
        <v>1.55</v>
      </c>
      <c r="AF147" s="30">
        <v>1.548</v>
      </c>
      <c r="AG147" s="30">
        <v>1.5449999999999999</v>
      </c>
      <c r="AH147" s="30">
        <v>1.5629999999999999</v>
      </c>
      <c r="AI147" s="30">
        <v>1.57</v>
      </c>
      <c r="AJ147" s="30">
        <v>1.554</v>
      </c>
      <c r="AK147" s="30">
        <v>1.5620000000000001</v>
      </c>
      <c r="AL147" s="30">
        <v>1.5580000000000001</v>
      </c>
      <c r="AM147" s="30">
        <v>1.552</v>
      </c>
      <c r="AN147" s="30">
        <v>1.5569999999999999</v>
      </c>
      <c r="AO147" s="30"/>
      <c r="AP147" s="30">
        <v>1.5549999999999999</v>
      </c>
      <c r="AQ147" s="30">
        <v>1.554</v>
      </c>
      <c r="AR147" s="30">
        <v>1.5469999999999999</v>
      </c>
      <c r="AS147" s="30">
        <v>1.5569999999999999</v>
      </c>
      <c r="AT147" s="30">
        <v>1.5489999999999999</v>
      </c>
      <c r="AU147" s="30">
        <v>1.5580000000000001</v>
      </c>
      <c r="AV147" s="30">
        <v>1.554</v>
      </c>
      <c r="AW147" s="30">
        <v>1.5569999999999999</v>
      </c>
      <c r="AX147" s="30"/>
      <c r="AY147" s="30"/>
      <c r="AZ147" s="30"/>
    </row>
    <row r="148" spans="1:52" ht="18" customHeight="1">
      <c r="A148" s="23"/>
      <c r="B148" s="19"/>
      <c r="C148" s="78" t="s">
        <v>115</v>
      </c>
      <c r="D148" s="35" t="s">
        <v>116</v>
      </c>
      <c r="E148" s="35" t="s">
        <v>473</v>
      </c>
      <c r="F148" s="29" t="s">
        <v>118</v>
      </c>
      <c r="G148" s="38">
        <v>4.1399999999999997</v>
      </c>
      <c r="H148" s="38">
        <v>0.03</v>
      </c>
      <c r="I148" s="38">
        <v>0.03</v>
      </c>
      <c r="J148" s="38">
        <v>0.03</v>
      </c>
      <c r="K148" s="38">
        <v>0.03</v>
      </c>
      <c r="L148" s="30">
        <f t="shared" si="8"/>
        <v>4.1609999999999996</v>
      </c>
      <c r="M148" s="30">
        <f t="shared" si="9"/>
        <v>4.1420000000000003</v>
      </c>
      <c r="N148" s="30">
        <f t="shared" si="10"/>
        <v>1.899999999999924E-2</v>
      </c>
      <c r="O148" s="31">
        <f t="shared" si="11"/>
        <v>4.1499310344827585</v>
      </c>
      <c r="P148" s="52"/>
      <c r="Q148" s="30">
        <v>4.1609999999999996</v>
      </c>
      <c r="R148" s="30">
        <v>4.149</v>
      </c>
      <c r="S148" s="30">
        <v>4.1520000000000001</v>
      </c>
      <c r="T148" s="30">
        <v>4.1479999999999997</v>
      </c>
      <c r="U148" s="30">
        <v>4.1509999999999998</v>
      </c>
      <c r="V148" s="30">
        <v>4.1520000000000001</v>
      </c>
      <c r="W148" s="30">
        <v>4.1500000000000004</v>
      </c>
      <c r="X148" s="30">
        <v>4.1500000000000004</v>
      </c>
      <c r="Y148" s="30">
        <v>4.1520000000000001</v>
      </c>
      <c r="Z148" s="30">
        <v>4.1539999999999999</v>
      </c>
      <c r="AA148" s="30">
        <v>4.1479999999999997</v>
      </c>
      <c r="AB148" s="30">
        <v>4.1550000000000002</v>
      </c>
      <c r="AC148" s="30">
        <v>4.1500000000000004</v>
      </c>
      <c r="AD148" s="30">
        <v>4.1500000000000004</v>
      </c>
      <c r="AE148" s="30">
        <v>4.1529999999999996</v>
      </c>
      <c r="AF148" s="30">
        <v>4.1500000000000004</v>
      </c>
      <c r="AG148" s="30">
        <v>4.1479999999999997</v>
      </c>
      <c r="AH148" s="30">
        <v>4.1479999999999997</v>
      </c>
      <c r="AI148" s="30">
        <v>4.1420000000000003</v>
      </c>
      <c r="AJ148" s="30">
        <v>4.1500000000000004</v>
      </c>
      <c r="AK148" s="30">
        <v>4.1449999999999996</v>
      </c>
      <c r="AL148" s="30">
        <v>4.1520000000000001</v>
      </c>
      <c r="AM148" s="30">
        <v>4.1500000000000004</v>
      </c>
      <c r="AN148" s="30">
        <v>4.1479999999999997</v>
      </c>
      <c r="AO148" s="30"/>
      <c r="AP148" s="30">
        <v>4.1459999999999999</v>
      </c>
      <c r="AQ148" s="30">
        <v>4.1479999999999997</v>
      </c>
      <c r="AR148" s="30">
        <v>4.1509999999999998</v>
      </c>
      <c r="AS148" s="30">
        <v>4.1479999999999997</v>
      </c>
      <c r="AT148" s="30">
        <v>4.1470000000000002</v>
      </c>
      <c r="AU148" s="30">
        <v>4.149</v>
      </c>
      <c r="AV148" s="30">
        <v>4.1459999999999999</v>
      </c>
      <c r="AW148" s="30">
        <v>4.1459999999999999</v>
      </c>
      <c r="AX148" s="30"/>
      <c r="AY148" s="30"/>
      <c r="AZ148" s="30"/>
    </row>
    <row r="149" spans="1:52" ht="18" customHeight="1">
      <c r="A149" s="23"/>
      <c r="B149" s="19"/>
      <c r="C149" s="78" t="s">
        <v>115</v>
      </c>
      <c r="D149" s="35" t="s">
        <v>119</v>
      </c>
      <c r="E149" s="35"/>
      <c r="F149" s="29" t="s">
        <v>120</v>
      </c>
      <c r="G149" s="38">
        <v>4.1399999999999997</v>
      </c>
      <c r="H149" s="38">
        <v>0.03</v>
      </c>
      <c r="I149" s="38">
        <v>0.03</v>
      </c>
      <c r="J149" s="38">
        <v>0.03</v>
      </c>
      <c r="K149" s="38">
        <v>0.03</v>
      </c>
      <c r="L149" s="30">
        <f t="shared" si="8"/>
        <v>4.1639999999999997</v>
      </c>
      <c r="M149" s="30">
        <f t="shared" si="9"/>
        <v>4.1429999999999998</v>
      </c>
      <c r="N149" s="30">
        <f t="shared" si="10"/>
        <v>2.0999999999999908E-2</v>
      </c>
      <c r="O149" s="31">
        <f t="shared" si="11"/>
        <v>4.1524137931034479</v>
      </c>
      <c r="P149" s="52"/>
      <c r="Q149" s="30">
        <v>4.1639999999999997</v>
      </c>
      <c r="R149" s="30">
        <v>4.1500000000000004</v>
      </c>
      <c r="S149" s="30">
        <v>4.1559999999999997</v>
      </c>
      <c r="T149" s="30">
        <v>4.1479999999999997</v>
      </c>
      <c r="U149" s="30">
        <v>4.1580000000000004</v>
      </c>
      <c r="V149" s="30">
        <v>4.1639999999999997</v>
      </c>
      <c r="W149" s="30">
        <v>4.1559999999999997</v>
      </c>
      <c r="X149" s="30">
        <v>4.149</v>
      </c>
      <c r="Y149" s="30">
        <v>4.1529999999999996</v>
      </c>
      <c r="Z149" s="30">
        <v>4.157</v>
      </c>
      <c r="AA149" s="30">
        <v>4.1479999999999997</v>
      </c>
      <c r="AB149" s="30">
        <v>4.1559999999999997</v>
      </c>
      <c r="AC149" s="30">
        <v>4.1559999999999997</v>
      </c>
      <c r="AD149" s="30">
        <v>4.1509999999999998</v>
      </c>
      <c r="AE149" s="30">
        <v>4.1539999999999999</v>
      </c>
      <c r="AF149" s="30">
        <v>4.1559999999999997</v>
      </c>
      <c r="AG149" s="30">
        <v>4.1500000000000004</v>
      </c>
      <c r="AH149" s="30">
        <v>4.1539999999999999</v>
      </c>
      <c r="AI149" s="30">
        <v>4.1429999999999998</v>
      </c>
      <c r="AJ149" s="30">
        <v>4.1520000000000001</v>
      </c>
      <c r="AK149" s="30">
        <v>4.1449999999999996</v>
      </c>
      <c r="AL149" s="30">
        <v>4.1509999999999998</v>
      </c>
      <c r="AM149" s="30">
        <v>4.1520000000000001</v>
      </c>
      <c r="AN149" s="30">
        <v>4.1500000000000004</v>
      </c>
      <c r="AO149" s="30"/>
      <c r="AP149" s="30">
        <v>4.1479999999999997</v>
      </c>
      <c r="AQ149" s="30">
        <v>4.1500000000000004</v>
      </c>
      <c r="AR149" s="30">
        <v>4.1509999999999998</v>
      </c>
      <c r="AS149" s="30">
        <v>4.1479999999999997</v>
      </c>
      <c r="AT149" s="30">
        <v>4.1500000000000004</v>
      </c>
      <c r="AU149" s="30">
        <v>4.1539999999999999</v>
      </c>
      <c r="AV149" s="30">
        <v>4.1470000000000002</v>
      </c>
      <c r="AW149" s="30">
        <v>4.1479999999999997</v>
      </c>
      <c r="AX149" s="30"/>
      <c r="AY149" s="30"/>
      <c r="AZ149" s="30"/>
    </row>
    <row r="150" spans="1:52" ht="18" customHeight="1">
      <c r="A150" s="23"/>
      <c r="B150" s="19"/>
      <c r="C150" s="78" t="s">
        <v>115</v>
      </c>
      <c r="D150" s="35" t="s">
        <v>121</v>
      </c>
      <c r="E150" s="35"/>
      <c r="F150" s="29" t="s">
        <v>122</v>
      </c>
      <c r="G150" s="38">
        <v>4.1399999999999997</v>
      </c>
      <c r="H150" s="38">
        <v>0.03</v>
      </c>
      <c r="I150" s="38">
        <v>0.03</v>
      </c>
      <c r="J150" s="38">
        <v>0.03</v>
      </c>
      <c r="K150" s="38">
        <v>0.03</v>
      </c>
      <c r="L150" s="30">
        <f t="shared" si="8"/>
        <v>4.1559999999999997</v>
      </c>
      <c r="M150" s="30">
        <f t="shared" si="9"/>
        <v>4.1349999999999998</v>
      </c>
      <c r="N150" s="30">
        <f t="shared" si="10"/>
        <v>2.0999999999999908E-2</v>
      </c>
      <c r="O150" s="31">
        <f t="shared" si="11"/>
        <v>4.1443448275862069</v>
      </c>
      <c r="P150" s="52"/>
      <c r="Q150" s="30">
        <v>4.1529999999999996</v>
      </c>
      <c r="R150" s="30">
        <v>4.149</v>
      </c>
      <c r="S150" s="30">
        <v>4.1550000000000002</v>
      </c>
      <c r="T150" s="30">
        <v>4.1470000000000002</v>
      </c>
      <c r="U150" s="30">
        <v>4.1559999999999997</v>
      </c>
      <c r="V150" s="30">
        <v>4.1559999999999997</v>
      </c>
      <c r="W150" s="30">
        <v>4.1539999999999999</v>
      </c>
      <c r="X150" s="30">
        <v>4.1429999999999998</v>
      </c>
      <c r="Y150" s="30">
        <v>4.1420000000000003</v>
      </c>
      <c r="Z150" s="30">
        <v>4.141</v>
      </c>
      <c r="AA150" s="30">
        <v>4.141</v>
      </c>
      <c r="AB150" s="30">
        <v>4.1440000000000001</v>
      </c>
      <c r="AC150" s="30">
        <v>4.1449999999999996</v>
      </c>
      <c r="AD150" s="30">
        <v>4.1429999999999998</v>
      </c>
      <c r="AE150" s="30">
        <v>4.1420000000000003</v>
      </c>
      <c r="AF150" s="30">
        <v>4.1440000000000001</v>
      </c>
      <c r="AG150" s="30">
        <v>4.141</v>
      </c>
      <c r="AH150" s="30">
        <v>4.1440000000000001</v>
      </c>
      <c r="AI150" s="30">
        <v>4.1449999999999996</v>
      </c>
      <c r="AJ150" s="30">
        <v>4.1399999999999997</v>
      </c>
      <c r="AK150" s="30">
        <v>4.1479999999999997</v>
      </c>
      <c r="AL150" s="30">
        <v>4.1449999999999996</v>
      </c>
      <c r="AM150" s="30">
        <v>4.141</v>
      </c>
      <c r="AN150" s="30">
        <v>4.1379999999999999</v>
      </c>
      <c r="AO150" s="30"/>
      <c r="AP150" s="30">
        <v>4.1349999999999998</v>
      </c>
      <c r="AQ150" s="30">
        <v>4.1390000000000002</v>
      </c>
      <c r="AR150" s="30">
        <v>4.1379999999999999</v>
      </c>
      <c r="AS150" s="30">
        <v>4.1379999999999999</v>
      </c>
      <c r="AT150" s="30">
        <v>4.1390000000000002</v>
      </c>
      <c r="AU150" s="30">
        <v>4.1340000000000003</v>
      </c>
      <c r="AV150" s="30">
        <v>4.1369999999999996</v>
      </c>
      <c r="AW150" s="30">
        <v>4.1369999999999996</v>
      </c>
      <c r="AX150" s="30"/>
      <c r="AY150" s="30"/>
      <c r="AZ150" s="30"/>
    </row>
    <row r="151" spans="1:52" ht="18" customHeight="1">
      <c r="A151" s="23"/>
      <c r="B151" s="19"/>
      <c r="C151" s="78" t="s">
        <v>115</v>
      </c>
      <c r="D151" s="35" t="s">
        <v>123</v>
      </c>
      <c r="E151" s="35"/>
      <c r="F151" s="29" t="s">
        <v>124</v>
      </c>
      <c r="G151" s="38">
        <v>4.1399999999999997</v>
      </c>
      <c r="H151" s="38">
        <v>0.03</v>
      </c>
      <c r="I151" s="38">
        <v>0.03</v>
      </c>
      <c r="J151" s="38">
        <v>0.03</v>
      </c>
      <c r="K151" s="38">
        <v>0.03</v>
      </c>
      <c r="L151" s="30">
        <f t="shared" si="8"/>
        <v>4.1589999999999998</v>
      </c>
      <c r="M151" s="30">
        <f t="shared" si="9"/>
        <v>4.1319999999999997</v>
      </c>
      <c r="N151" s="30">
        <f t="shared" si="10"/>
        <v>2.7000000000000135E-2</v>
      </c>
      <c r="O151" s="31">
        <f t="shared" si="11"/>
        <v>4.1427931034482768</v>
      </c>
      <c r="P151" s="52"/>
      <c r="Q151" s="30">
        <v>4.1589999999999998</v>
      </c>
      <c r="R151" s="30">
        <v>4.149</v>
      </c>
      <c r="S151" s="30">
        <v>4.1529999999999996</v>
      </c>
      <c r="T151" s="30">
        <v>4.1470000000000002</v>
      </c>
      <c r="U151" s="30">
        <v>4.1529999999999996</v>
      </c>
      <c r="V151" s="30">
        <v>4.1580000000000004</v>
      </c>
      <c r="W151" s="30">
        <v>4.1520000000000001</v>
      </c>
      <c r="X151" s="30">
        <v>4.1399999999999997</v>
      </c>
      <c r="Y151" s="30">
        <v>4.1420000000000003</v>
      </c>
      <c r="Z151" s="30">
        <v>4.1440000000000001</v>
      </c>
      <c r="AA151" s="30">
        <v>4.1390000000000002</v>
      </c>
      <c r="AB151" s="30">
        <v>4.1449999999999996</v>
      </c>
      <c r="AC151" s="30">
        <v>4.1399999999999997</v>
      </c>
      <c r="AD151" s="30">
        <v>4.1420000000000003</v>
      </c>
      <c r="AE151" s="30">
        <v>4.1429999999999998</v>
      </c>
      <c r="AF151" s="30">
        <v>4.1420000000000003</v>
      </c>
      <c r="AG151" s="30">
        <v>4.1399999999999997</v>
      </c>
      <c r="AH151" s="30">
        <v>4.1390000000000002</v>
      </c>
      <c r="AI151" s="30">
        <v>4.1319999999999997</v>
      </c>
      <c r="AJ151" s="30">
        <v>4.1399999999999997</v>
      </c>
      <c r="AK151" s="30">
        <v>4.1340000000000003</v>
      </c>
      <c r="AL151" s="30">
        <v>4.1470000000000002</v>
      </c>
      <c r="AM151" s="30">
        <v>4.1379999999999999</v>
      </c>
      <c r="AN151" s="30">
        <v>4.1379999999999999</v>
      </c>
      <c r="AO151" s="30"/>
      <c r="AP151" s="30">
        <v>4.1379999999999999</v>
      </c>
      <c r="AQ151" s="30">
        <v>4.1369999999999996</v>
      </c>
      <c r="AR151" s="30">
        <v>4.1360000000000001</v>
      </c>
      <c r="AS151" s="30">
        <v>4.1349999999999998</v>
      </c>
      <c r="AT151" s="30">
        <v>4.1390000000000002</v>
      </c>
      <c r="AU151" s="30">
        <v>4.1369999999999996</v>
      </c>
      <c r="AV151" s="30">
        <v>4.133</v>
      </c>
      <c r="AW151" s="30">
        <v>4.1369999999999996</v>
      </c>
      <c r="AX151" s="30"/>
      <c r="AY151" s="30"/>
      <c r="AZ151" s="30"/>
    </row>
    <row r="152" spans="1:52" ht="18" customHeight="1">
      <c r="A152" s="23"/>
      <c r="B152" s="19"/>
      <c r="C152" s="76" t="s">
        <v>77</v>
      </c>
      <c r="D152" s="35" t="s">
        <v>125</v>
      </c>
      <c r="E152" s="35"/>
      <c r="F152" s="29" t="s">
        <v>126</v>
      </c>
      <c r="G152" s="38">
        <v>3.75</v>
      </c>
      <c r="H152" s="38">
        <v>0.08</v>
      </c>
      <c r="I152" s="38">
        <v>0.05</v>
      </c>
      <c r="J152" s="38">
        <v>0.08</v>
      </c>
      <c r="K152" s="38">
        <v>0.05</v>
      </c>
      <c r="L152" s="30">
        <f t="shared" si="8"/>
        <v>3.758</v>
      </c>
      <c r="M152" s="30">
        <f t="shared" si="9"/>
        <v>3.7229999999999999</v>
      </c>
      <c r="N152" s="30">
        <f t="shared" si="10"/>
        <v>3.5000000000000142E-2</v>
      </c>
      <c r="O152" s="31">
        <f t="shared" si="11"/>
        <v>3.742827586206896</v>
      </c>
      <c r="P152" s="52"/>
      <c r="Q152" s="30">
        <v>3.7440000000000002</v>
      </c>
      <c r="R152" s="30">
        <v>3.7509999999999999</v>
      </c>
      <c r="S152" s="30">
        <v>3.7509999999999999</v>
      </c>
      <c r="T152" s="30">
        <v>3.7509999999999999</v>
      </c>
      <c r="U152" s="30">
        <v>3.734</v>
      </c>
      <c r="V152" s="30">
        <v>3.7559999999999998</v>
      </c>
      <c r="W152" s="30">
        <v>3.7490000000000001</v>
      </c>
      <c r="X152" s="30">
        <v>3.7490000000000001</v>
      </c>
      <c r="Y152" s="30">
        <v>3.7410000000000001</v>
      </c>
      <c r="Z152" s="30">
        <v>3.7440000000000002</v>
      </c>
      <c r="AA152" s="30">
        <v>3.7330000000000001</v>
      </c>
      <c r="AB152" s="30">
        <v>3.7389999999999999</v>
      </c>
      <c r="AC152" s="30">
        <v>3.758</v>
      </c>
      <c r="AD152" s="30">
        <v>3.746</v>
      </c>
      <c r="AE152" s="30">
        <v>3.742</v>
      </c>
      <c r="AF152" s="30">
        <v>3.7440000000000002</v>
      </c>
      <c r="AG152" s="30">
        <v>3.7389999999999999</v>
      </c>
      <c r="AH152" s="30">
        <v>3.7280000000000002</v>
      </c>
      <c r="AI152" s="30">
        <v>3.7229999999999999</v>
      </c>
      <c r="AJ152" s="30">
        <v>3.7440000000000002</v>
      </c>
      <c r="AK152" s="30">
        <v>3.7450000000000001</v>
      </c>
      <c r="AL152" s="30">
        <v>3.7370000000000001</v>
      </c>
      <c r="AM152" s="30">
        <v>3.7320000000000002</v>
      </c>
      <c r="AN152" s="30">
        <v>3.758</v>
      </c>
      <c r="AO152" s="30"/>
      <c r="AP152" s="30">
        <v>3.7330000000000001</v>
      </c>
      <c r="AQ152" s="30">
        <v>3.7429999999999999</v>
      </c>
      <c r="AR152" s="30">
        <v>3.7389999999999999</v>
      </c>
      <c r="AS152" s="30">
        <v>3.7480000000000002</v>
      </c>
      <c r="AT152" s="30">
        <v>3.7410000000000001</v>
      </c>
      <c r="AU152" s="30">
        <v>3.7360000000000002</v>
      </c>
      <c r="AV152" s="30">
        <v>3.742</v>
      </c>
      <c r="AW152" s="30">
        <v>3.754</v>
      </c>
      <c r="AX152" s="30"/>
      <c r="AY152" s="30"/>
      <c r="AZ152" s="30"/>
    </row>
    <row r="153" spans="1:52" ht="18" customHeight="1">
      <c r="A153" s="23"/>
      <c r="B153" s="19"/>
      <c r="C153" s="76" t="s">
        <v>77</v>
      </c>
      <c r="D153" s="35" t="s">
        <v>127</v>
      </c>
      <c r="E153" s="35"/>
      <c r="F153" s="29" t="s">
        <v>128</v>
      </c>
      <c r="G153" s="38">
        <v>3.75</v>
      </c>
      <c r="H153" s="38">
        <v>0.08</v>
      </c>
      <c r="I153" s="38">
        <v>0.05</v>
      </c>
      <c r="J153" s="38">
        <v>0.08</v>
      </c>
      <c r="K153" s="38">
        <v>0.05</v>
      </c>
      <c r="L153" s="30">
        <f t="shared" si="8"/>
        <v>3.7519999999999998</v>
      </c>
      <c r="M153" s="30">
        <f t="shared" si="9"/>
        <v>3.7210000000000001</v>
      </c>
      <c r="N153" s="30">
        <f t="shared" si="10"/>
        <v>3.0999999999999694E-2</v>
      </c>
      <c r="O153" s="31">
        <f t="shared" si="11"/>
        <v>3.7408620689655177</v>
      </c>
      <c r="P153" s="52"/>
      <c r="Q153" s="30">
        <v>3.746</v>
      </c>
      <c r="R153" s="30">
        <v>3.7370000000000001</v>
      </c>
      <c r="S153" s="30">
        <v>3.742</v>
      </c>
      <c r="T153" s="30">
        <v>3.7469999999999999</v>
      </c>
      <c r="U153" s="30">
        <v>3.7469999999999999</v>
      </c>
      <c r="V153" s="30">
        <v>3.7480000000000002</v>
      </c>
      <c r="W153" s="30">
        <v>3.7410000000000001</v>
      </c>
      <c r="X153" s="30">
        <v>3.7349999999999999</v>
      </c>
      <c r="Y153" s="30">
        <v>3.7450000000000001</v>
      </c>
      <c r="Z153" s="30">
        <v>3.7469999999999999</v>
      </c>
      <c r="AA153" s="30">
        <v>3.7349999999999999</v>
      </c>
      <c r="AB153" s="30">
        <v>3.7330000000000001</v>
      </c>
      <c r="AC153" s="30">
        <v>3.7519999999999998</v>
      </c>
      <c r="AD153" s="30">
        <v>3.742</v>
      </c>
      <c r="AE153" s="30">
        <v>3.7370000000000001</v>
      </c>
      <c r="AF153" s="30">
        <v>3.7349999999999999</v>
      </c>
      <c r="AG153" s="30">
        <v>3.7370000000000001</v>
      </c>
      <c r="AH153" s="30">
        <v>3.7490000000000001</v>
      </c>
      <c r="AI153" s="30">
        <v>3.7210000000000001</v>
      </c>
      <c r="AJ153" s="30">
        <v>3.7440000000000002</v>
      </c>
      <c r="AK153" s="30">
        <v>3.7440000000000002</v>
      </c>
      <c r="AL153" s="30">
        <v>3.738</v>
      </c>
      <c r="AM153" s="30">
        <v>3.7410000000000001</v>
      </c>
      <c r="AN153" s="30">
        <v>3.7349999999999999</v>
      </c>
      <c r="AO153" s="30"/>
      <c r="AP153" s="30">
        <v>3.738</v>
      </c>
      <c r="AQ153" s="30">
        <v>3.7480000000000002</v>
      </c>
      <c r="AR153" s="30">
        <v>3.7330000000000001</v>
      </c>
      <c r="AS153" s="30">
        <v>3.746</v>
      </c>
      <c r="AT153" s="30">
        <v>3.742</v>
      </c>
      <c r="AU153" s="30">
        <v>3.742</v>
      </c>
      <c r="AV153" s="30">
        <v>3.742</v>
      </c>
      <c r="AW153" s="30">
        <v>3.7559999999999998</v>
      </c>
      <c r="AX153" s="30"/>
      <c r="AY153" s="30"/>
      <c r="AZ153" s="30"/>
    </row>
    <row r="154" spans="1:52" ht="18" customHeight="1">
      <c r="A154" s="23"/>
      <c r="B154" s="19"/>
      <c r="C154" s="76" t="s">
        <v>77</v>
      </c>
      <c r="D154" s="35" t="s">
        <v>129</v>
      </c>
      <c r="E154" s="35"/>
      <c r="F154" s="29" t="s">
        <v>130</v>
      </c>
      <c r="G154" s="38">
        <v>3.75</v>
      </c>
      <c r="H154" s="38">
        <v>0.05</v>
      </c>
      <c r="I154" s="38">
        <v>0.05</v>
      </c>
      <c r="J154" s="38">
        <v>0.05</v>
      </c>
      <c r="K154" s="38">
        <v>0.05</v>
      </c>
      <c r="L154" s="30">
        <f t="shared" si="8"/>
        <v>3.7519999999999998</v>
      </c>
      <c r="M154" s="30">
        <f t="shared" si="9"/>
        <v>3.7389999999999999</v>
      </c>
      <c r="N154" s="30">
        <f t="shared" si="10"/>
        <v>1.2999999999999901E-2</v>
      </c>
      <c r="O154" s="31">
        <f t="shared" si="11"/>
        <v>3.745275862068965</v>
      </c>
      <c r="P154" s="52"/>
      <c r="Q154" s="30">
        <v>3.7410000000000001</v>
      </c>
      <c r="R154" s="30">
        <v>3.746</v>
      </c>
      <c r="S154" s="30">
        <v>3.7440000000000002</v>
      </c>
      <c r="T154" s="30">
        <v>3.7450000000000001</v>
      </c>
      <c r="U154" s="30">
        <v>3.7440000000000002</v>
      </c>
      <c r="V154" s="30">
        <v>3.7429999999999999</v>
      </c>
      <c r="W154" s="30">
        <v>3.7450000000000001</v>
      </c>
      <c r="X154" s="30">
        <v>3.7490000000000001</v>
      </c>
      <c r="Y154" s="30">
        <v>3.7490000000000001</v>
      </c>
      <c r="Z154" s="30">
        <v>3.7490000000000001</v>
      </c>
      <c r="AA154" s="30">
        <v>3.7389999999999999</v>
      </c>
      <c r="AB154" s="30">
        <v>3.7469999999999999</v>
      </c>
      <c r="AC154" s="30">
        <v>3.742</v>
      </c>
      <c r="AD154" s="30">
        <v>3.7450000000000001</v>
      </c>
      <c r="AE154" s="30">
        <v>3.7410000000000001</v>
      </c>
      <c r="AF154" s="30">
        <v>3.746</v>
      </c>
      <c r="AG154" s="30">
        <v>3.7450000000000001</v>
      </c>
      <c r="AH154" s="30">
        <v>3.7490000000000001</v>
      </c>
      <c r="AI154" s="30">
        <v>3.746</v>
      </c>
      <c r="AJ154" s="30">
        <v>3.7490000000000001</v>
      </c>
      <c r="AK154" s="30">
        <v>3.7490000000000001</v>
      </c>
      <c r="AL154" s="30">
        <v>3.7480000000000002</v>
      </c>
      <c r="AM154" s="30">
        <v>3.7429999999999999</v>
      </c>
      <c r="AN154" s="30">
        <v>3.742</v>
      </c>
      <c r="AO154" s="30"/>
      <c r="AP154" s="30">
        <v>3.7450000000000001</v>
      </c>
      <c r="AQ154" s="30">
        <v>3.742</v>
      </c>
      <c r="AR154" s="30">
        <v>3.746</v>
      </c>
      <c r="AS154" s="30">
        <v>3.742</v>
      </c>
      <c r="AT154" s="30">
        <v>3.7519999999999998</v>
      </c>
      <c r="AU154" s="30">
        <v>3.7389999999999999</v>
      </c>
      <c r="AV154" s="30">
        <v>3.7389999999999999</v>
      </c>
      <c r="AW154" s="30">
        <v>3.7429999999999999</v>
      </c>
      <c r="AX154" s="30"/>
      <c r="AY154" s="30"/>
      <c r="AZ154" s="30"/>
    </row>
    <row r="155" spans="1:52" ht="18" customHeight="1">
      <c r="A155" s="23"/>
      <c r="B155" s="19"/>
      <c r="C155" s="76" t="s">
        <v>77</v>
      </c>
      <c r="D155" s="35" t="s">
        <v>131</v>
      </c>
      <c r="E155" s="35"/>
      <c r="F155" s="29" t="s">
        <v>132</v>
      </c>
      <c r="G155" s="38">
        <v>3.75</v>
      </c>
      <c r="H155" s="38">
        <v>0.05</v>
      </c>
      <c r="I155" s="38">
        <v>0.05</v>
      </c>
      <c r="J155" s="38">
        <v>0.05</v>
      </c>
      <c r="K155" s="38">
        <v>0.05</v>
      </c>
      <c r="L155" s="30">
        <f t="shared" si="8"/>
        <v>3.7570000000000001</v>
      </c>
      <c r="M155" s="30">
        <f t="shared" si="9"/>
        <v>3.738</v>
      </c>
      <c r="N155" s="30">
        <f t="shared" si="10"/>
        <v>1.9000000000000128E-2</v>
      </c>
      <c r="O155" s="31">
        <f t="shared" si="11"/>
        <v>3.7455517241379317</v>
      </c>
      <c r="P155" s="52"/>
      <c r="Q155" s="30">
        <v>3.7490000000000001</v>
      </c>
      <c r="R155" s="30">
        <v>3.7429999999999999</v>
      </c>
      <c r="S155" s="30">
        <v>3.7429999999999999</v>
      </c>
      <c r="T155" s="30">
        <v>3.7429999999999999</v>
      </c>
      <c r="U155" s="30">
        <v>3.742</v>
      </c>
      <c r="V155" s="30">
        <v>3.7490000000000001</v>
      </c>
      <c r="W155" s="30">
        <v>3.7570000000000001</v>
      </c>
      <c r="X155" s="30">
        <v>3.7450000000000001</v>
      </c>
      <c r="Y155" s="30">
        <v>3.7519999999999998</v>
      </c>
      <c r="Z155" s="30">
        <v>3.7440000000000002</v>
      </c>
      <c r="AA155" s="30">
        <v>3.738</v>
      </c>
      <c r="AB155" s="30">
        <v>3.7469999999999999</v>
      </c>
      <c r="AC155" s="30">
        <v>3.7410000000000001</v>
      </c>
      <c r="AD155" s="30">
        <v>3.7519999999999998</v>
      </c>
      <c r="AE155" s="30">
        <v>3.7450000000000001</v>
      </c>
      <c r="AF155" s="30">
        <v>3.7429999999999999</v>
      </c>
      <c r="AG155" s="30">
        <v>3.7429999999999999</v>
      </c>
      <c r="AH155" s="30">
        <v>3.7410000000000001</v>
      </c>
      <c r="AI155" s="30">
        <v>3.7570000000000001</v>
      </c>
      <c r="AJ155" s="30">
        <v>3.7469999999999999</v>
      </c>
      <c r="AK155" s="30">
        <v>3.7469999999999999</v>
      </c>
      <c r="AL155" s="30">
        <v>3.7410000000000001</v>
      </c>
      <c r="AM155" s="30">
        <v>3.7469999999999999</v>
      </c>
      <c r="AN155" s="30">
        <v>3.7429999999999999</v>
      </c>
      <c r="AO155" s="30"/>
      <c r="AP155" s="30">
        <v>3.7509999999999999</v>
      </c>
      <c r="AQ155" s="30">
        <v>3.742</v>
      </c>
      <c r="AR155" s="30">
        <v>3.7509999999999999</v>
      </c>
      <c r="AS155" s="30">
        <v>3.7389999999999999</v>
      </c>
      <c r="AT155" s="30">
        <v>3.7389999999999999</v>
      </c>
      <c r="AU155" s="30">
        <v>3.7440000000000002</v>
      </c>
      <c r="AV155" s="30">
        <v>3.7440000000000002</v>
      </c>
      <c r="AW155" s="30">
        <v>3.746</v>
      </c>
      <c r="AX155" s="30"/>
      <c r="AY155" s="30"/>
      <c r="AZ155" s="30"/>
    </row>
    <row r="156" spans="1:52" ht="18" customHeight="1">
      <c r="A156" s="23"/>
      <c r="B156" s="19"/>
      <c r="C156" s="78" t="s">
        <v>115</v>
      </c>
      <c r="D156" s="35" t="s">
        <v>133</v>
      </c>
      <c r="E156" s="35"/>
      <c r="F156" s="29" t="s">
        <v>134</v>
      </c>
      <c r="G156" s="38">
        <v>0.95</v>
      </c>
      <c r="H156" s="38">
        <v>0.04</v>
      </c>
      <c r="I156" s="38">
        <v>0.04</v>
      </c>
      <c r="J156" s="38">
        <v>0.04</v>
      </c>
      <c r="K156" s="38">
        <v>0.04</v>
      </c>
      <c r="L156" s="30">
        <f t="shared" si="8"/>
        <v>0.95799999999999996</v>
      </c>
      <c r="M156" s="30">
        <f t="shared" si="9"/>
        <v>0.93799999999999994</v>
      </c>
      <c r="N156" s="30">
        <f t="shared" si="10"/>
        <v>2.0000000000000018E-2</v>
      </c>
      <c r="O156" s="31">
        <f t="shared" si="11"/>
        <v>0.9482413793103448</v>
      </c>
      <c r="P156" s="52"/>
      <c r="Q156" s="30">
        <v>0.95799999999999996</v>
      </c>
      <c r="R156" s="30">
        <v>0.95</v>
      </c>
      <c r="S156" s="30">
        <v>0.95099999999999996</v>
      </c>
      <c r="T156" s="30">
        <v>0.94799999999999995</v>
      </c>
      <c r="U156" s="30">
        <v>0.95399999999999996</v>
      </c>
      <c r="V156" s="30">
        <v>0.95799999999999996</v>
      </c>
      <c r="W156" s="30">
        <v>0.95299999999999996</v>
      </c>
      <c r="X156" s="30">
        <v>0.94699999999999995</v>
      </c>
      <c r="Y156" s="30">
        <v>0.94699999999999995</v>
      </c>
      <c r="Z156" s="30">
        <v>0.94699999999999995</v>
      </c>
      <c r="AA156" s="30">
        <v>0.94499999999999995</v>
      </c>
      <c r="AB156" s="30">
        <v>0.95</v>
      </c>
      <c r="AC156" s="30">
        <v>0.95</v>
      </c>
      <c r="AD156" s="30">
        <v>0.94699999999999995</v>
      </c>
      <c r="AE156" s="30">
        <v>0.94899999999999995</v>
      </c>
      <c r="AF156" s="30">
        <v>0.95299999999999996</v>
      </c>
      <c r="AG156" s="30">
        <v>0.94499999999999995</v>
      </c>
      <c r="AH156" s="30">
        <v>0.94799999999999995</v>
      </c>
      <c r="AI156" s="30">
        <v>0.94499999999999995</v>
      </c>
      <c r="AJ156" s="30">
        <v>0.94699999999999995</v>
      </c>
      <c r="AK156" s="30">
        <v>0.94699999999999995</v>
      </c>
      <c r="AL156" s="30">
        <v>0.95</v>
      </c>
      <c r="AM156" s="30">
        <v>0.94799999999999995</v>
      </c>
      <c r="AN156" s="30">
        <v>0.94599999999999995</v>
      </c>
      <c r="AO156" s="30"/>
      <c r="AP156" s="30">
        <v>0.93799999999999994</v>
      </c>
      <c r="AQ156" s="30">
        <v>0.94599999999999995</v>
      </c>
      <c r="AR156" s="30">
        <v>0.94699999999999995</v>
      </c>
      <c r="AS156" s="30">
        <v>0.94199999999999995</v>
      </c>
      <c r="AT156" s="30">
        <v>0.94299999999999995</v>
      </c>
      <c r="AU156" s="30">
        <v>0.94899999999999995</v>
      </c>
      <c r="AV156" s="30">
        <v>0.94</v>
      </c>
      <c r="AW156" s="30">
        <v>0.94099999999999995</v>
      </c>
      <c r="AX156" s="30"/>
      <c r="AY156" s="30"/>
      <c r="AZ156" s="30"/>
    </row>
    <row r="157" spans="1:52" ht="18" customHeight="1">
      <c r="A157" s="23"/>
      <c r="B157" s="19"/>
      <c r="C157" s="78" t="s">
        <v>115</v>
      </c>
      <c r="D157" s="35" t="s">
        <v>135</v>
      </c>
      <c r="E157" s="35"/>
      <c r="F157" s="29" t="s">
        <v>136</v>
      </c>
      <c r="G157" s="38">
        <v>1.85</v>
      </c>
      <c r="H157" s="38">
        <v>0.05</v>
      </c>
      <c r="I157" s="38">
        <v>0.09</v>
      </c>
      <c r="J157" s="38">
        <v>0.05</v>
      </c>
      <c r="K157" s="38">
        <v>0.09</v>
      </c>
      <c r="L157" s="30">
        <f t="shared" si="8"/>
        <v>1.7869999999999999</v>
      </c>
      <c r="M157" s="30">
        <f t="shared" si="9"/>
        <v>1.7789999999999999</v>
      </c>
      <c r="N157" s="30">
        <f t="shared" si="10"/>
        <v>8.0000000000000071E-3</v>
      </c>
      <c r="O157" s="31">
        <f t="shared" si="11"/>
        <v>1.782862068965517</v>
      </c>
      <c r="P157" s="52"/>
      <c r="Q157" s="30">
        <v>1.782</v>
      </c>
      <c r="R157" s="30">
        <v>1.7849999999999999</v>
      </c>
      <c r="S157" s="30">
        <v>1.7849999999999999</v>
      </c>
      <c r="T157" s="30">
        <v>1.7829999999999999</v>
      </c>
      <c r="U157" s="30">
        <v>1.786</v>
      </c>
      <c r="V157" s="30">
        <v>1.7869999999999999</v>
      </c>
      <c r="W157" s="30">
        <v>1.7849999999999999</v>
      </c>
      <c r="X157" s="30">
        <v>1.7809999999999999</v>
      </c>
      <c r="Y157" s="30">
        <v>1.782</v>
      </c>
      <c r="Z157" s="30">
        <v>1.7829999999999999</v>
      </c>
      <c r="AA157" s="30">
        <v>1.78</v>
      </c>
      <c r="AB157" s="30">
        <v>1.7849999999999999</v>
      </c>
      <c r="AC157" s="30">
        <v>1.784</v>
      </c>
      <c r="AD157" s="30">
        <v>1.782</v>
      </c>
      <c r="AE157" s="30">
        <v>1.784</v>
      </c>
      <c r="AF157" s="30">
        <v>1.7849999999999999</v>
      </c>
      <c r="AG157" s="30">
        <v>1.7809999999999999</v>
      </c>
      <c r="AH157" s="30">
        <v>1.782</v>
      </c>
      <c r="AI157" s="30">
        <v>1.78</v>
      </c>
      <c r="AJ157" s="30">
        <v>1.7809999999999999</v>
      </c>
      <c r="AK157" s="30">
        <v>1.782</v>
      </c>
      <c r="AL157" s="30">
        <v>1.786</v>
      </c>
      <c r="AM157" s="30">
        <v>1.784</v>
      </c>
      <c r="AN157" s="30">
        <v>1.7789999999999999</v>
      </c>
      <c r="AO157" s="30"/>
      <c r="AP157" s="30">
        <v>1.78</v>
      </c>
      <c r="AQ157" s="30">
        <v>1.782</v>
      </c>
      <c r="AR157" s="30">
        <v>1.7829999999999999</v>
      </c>
      <c r="AS157" s="30">
        <v>1.784</v>
      </c>
      <c r="AT157" s="30">
        <v>1.78</v>
      </c>
      <c r="AU157" s="30">
        <v>1.8089999999999999</v>
      </c>
      <c r="AV157" s="30">
        <v>1.7829999999999999</v>
      </c>
      <c r="AW157" s="30">
        <v>1.7789999999999999</v>
      </c>
      <c r="AX157" s="30"/>
      <c r="AY157" s="30"/>
      <c r="AZ157" s="30"/>
    </row>
    <row r="158" spans="1:52" ht="18" customHeight="1">
      <c r="A158" s="23"/>
      <c r="B158" s="19"/>
      <c r="C158" s="75" t="s">
        <v>65</v>
      </c>
      <c r="D158" s="35" t="s">
        <v>137</v>
      </c>
      <c r="E158" s="35"/>
      <c r="F158" s="29" t="s">
        <v>138</v>
      </c>
      <c r="G158" s="38">
        <v>2.5299999999999998</v>
      </c>
      <c r="H158" s="38">
        <v>0.08</v>
      </c>
      <c r="I158" s="38">
        <v>0.03</v>
      </c>
      <c r="J158" s="38">
        <v>0.08</v>
      </c>
      <c r="K158" s="38">
        <v>0.03</v>
      </c>
      <c r="L158" s="30">
        <f t="shared" si="8"/>
        <v>2.5670000000000002</v>
      </c>
      <c r="M158" s="30">
        <f t="shared" si="9"/>
        <v>2.5539999999999998</v>
      </c>
      <c r="N158" s="30">
        <f t="shared" si="10"/>
        <v>1.3000000000000345E-2</v>
      </c>
      <c r="O158" s="31">
        <f t="shared" si="11"/>
        <v>2.5628275862068968</v>
      </c>
      <c r="P158" s="52"/>
      <c r="Q158" s="30">
        <v>2.5640000000000001</v>
      </c>
      <c r="R158" s="30">
        <v>2.5619999999999998</v>
      </c>
      <c r="S158" s="30">
        <v>2.5649999999999999</v>
      </c>
      <c r="T158" s="30">
        <v>2.5640000000000001</v>
      </c>
      <c r="U158" s="30">
        <v>2.5640000000000001</v>
      </c>
      <c r="V158" s="30">
        <v>2.5619999999999998</v>
      </c>
      <c r="W158" s="30">
        <v>2.5619999999999998</v>
      </c>
      <c r="X158" s="30">
        <v>2.5619999999999998</v>
      </c>
      <c r="Y158" s="30">
        <v>2.5609999999999999</v>
      </c>
      <c r="Z158" s="30">
        <v>2.5609999999999999</v>
      </c>
      <c r="AA158" s="30">
        <v>2.5659999999999998</v>
      </c>
      <c r="AB158" s="30">
        <v>2.5670000000000002</v>
      </c>
      <c r="AC158" s="30">
        <v>2.5640000000000001</v>
      </c>
      <c r="AD158" s="30">
        <v>2.5670000000000002</v>
      </c>
      <c r="AE158" s="30">
        <v>2.5640000000000001</v>
      </c>
      <c r="AF158" s="30">
        <v>2.5609999999999999</v>
      </c>
      <c r="AG158" s="30">
        <v>2.5649999999999999</v>
      </c>
      <c r="AH158" s="30">
        <v>2.5590000000000002</v>
      </c>
      <c r="AI158" s="30">
        <v>2.5640000000000001</v>
      </c>
      <c r="AJ158" s="30">
        <v>2.5630000000000002</v>
      </c>
      <c r="AK158" s="30">
        <v>2.5640000000000001</v>
      </c>
      <c r="AL158" s="30">
        <v>2.5630000000000002</v>
      </c>
      <c r="AM158" s="30">
        <v>2.5609999999999999</v>
      </c>
      <c r="AN158" s="30">
        <v>2.5659999999999998</v>
      </c>
      <c r="AO158" s="30"/>
      <c r="AP158" s="30">
        <v>2.56</v>
      </c>
      <c r="AQ158" s="30">
        <v>2.5619999999999998</v>
      </c>
      <c r="AR158" s="30">
        <v>2.5630000000000002</v>
      </c>
      <c r="AS158" s="30">
        <v>2.5619999999999998</v>
      </c>
      <c r="AT158" s="30">
        <v>2.5539999999999998</v>
      </c>
      <c r="AU158" s="30">
        <v>2.5659999999999998</v>
      </c>
      <c r="AV158" s="30">
        <v>2.5630000000000002</v>
      </c>
      <c r="AW158" s="30">
        <v>2.5659999999999998</v>
      </c>
      <c r="AX158" s="30"/>
      <c r="AY158" s="30"/>
      <c r="AZ158" s="30"/>
    </row>
    <row r="159" spans="1:52" ht="18" customHeight="1">
      <c r="A159" s="23"/>
      <c r="B159" s="19"/>
      <c r="C159" s="75" t="s">
        <v>65</v>
      </c>
      <c r="D159" s="35" t="s">
        <v>139</v>
      </c>
      <c r="E159" s="35"/>
      <c r="F159" s="29" t="s">
        <v>140</v>
      </c>
      <c r="G159" s="38">
        <v>2.5299999999999998</v>
      </c>
      <c r="H159" s="38">
        <v>0.08</v>
      </c>
      <c r="I159" s="38">
        <v>0.03</v>
      </c>
      <c r="J159" s="38">
        <v>0.08</v>
      </c>
      <c r="K159" s="38">
        <v>0.03</v>
      </c>
      <c r="L159" s="30">
        <f t="shared" si="8"/>
        <v>2.589</v>
      </c>
      <c r="M159" s="30">
        <f t="shared" si="9"/>
        <v>2.5550000000000002</v>
      </c>
      <c r="N159" s="30">
        <f t="shared" si="10"/>
        <v>3.3999999999999808E-2</v>
      </c>
      <c r="O159" s="31">
        <f t="shared" si="11"/>
        <v>2.5729655172413795</v>
      </c>
      <c r="P159" s="52"/>
      <c r="Q159" s="30">
        <v>2.57</v>
      </c>
      <c r="R159" s="30">
        <v>2.5880000000000001</v>
      </c>
      <c r="S159" s="30">
        <v>2.5760000000000001</v>
      </c>
      <c r="T159" s="30">
        <v>2.5680000000000001</v>
      </c>
      <c r="U159" s="30">
        <v>2.589</v>
      </c>
      <c r="V159" s="30">
        <v>2.5840000000000001</v>
      </c>
      <c r="W159" s="30">
        <v>2.5830000000000002</v>
      </c>
      <c r="X159" s="30">
        <v>2.5659999999999998</v>
      </c>
      <c r="Y159" s="30">
        <v>2.5870000000000002</v>
      </c>
      <c r="Z159" s="30">
        <v>2.5680000000000001</v>
      </c>
      <c r="AA159" s="30">
        <v>2.5870000000000002</v>
      </c>
      <c r="AB159" s="30">
        <v>2.569</v>
      </c>
      <c r="AC159" s="30">
        <v>2.5750000000000002</v>
      </c>
      <c r="AD159" s="30">
        <v>2.5710000000000002</v>
      </c>
      <c r="AE159" s="30">
        <v>2.57</v>
      </c>
      <c r="AF159" s="30">
        <v>2.5670000000000002</v>
      </c>
      <c r="AG159" s="30">
        <v>2.5670000000000002</v>
      </c>
      <c r="AH159" s="30">
        <v>2.58</v>
      </c>
      <c r="AI159" s="30">
        <v>2.5739999999999998</v>
      </c>
      <c r="AJ159" s="30">
        <v>2.5840000000000001</v>
      </c>
      <c r="AK159" s="30">
        <v>2.589</v>
      </c>
      <c r="AL159" s="30">
        <v>2.5760000000000001</v>
      </c>
      <c r="AM159" s="30">
        <v>2.5720000000000001</v>
      </c>
      <c r="AN159" s="30">
        <v>2.5659999999999998</v>
      </c>
      <c r="AO159" s="30"/>
      <c r="AP159" s="30">
        <v>2.5569999999999999</v>
      </c>
      <c r="AQ159" s="30">
        <v>2.556</v>
      </c>
      <c r="AR159" s="30">
        <v>2.556</v>
      </c>
      <c r="AS159" s="30">
        <v>2.5659999999999998</v>
      </c>
      <c r="AT159" s="30">
        <v>2.5550000000000002</v>
      </c>
      <c r="AU159" s="30">
        <v>2.5569999999999999</v>
      </c>
      <c r="AV159" s="30">
        <v>2.5590000000000002</v>
      </c>
      <c r="AW159" s="30">
        <v>2.56</v>
      </c>
      <c r="AX159" s="30"/>
      <c r="AY159" s="30"/>
      <c r="AZ159" s="30"/>
    </row>
    <row r="160" spans="1:52" ht="18" customHeight="1">
      <c r="A160" s="23"/>
      <c r="B160" s="19"/>
      <c r="C160" s="76" t="s">
        <v>77</v>
      </c>
      <c r="D160" s="35" t="s">
        <v>141</v>
      </c>
      <c r="E160" s="35" t="s">
        <v>474</v>
      </c>
      <c r="F160" s="29" t="s">
        <v>143</v>
      </c>
      <c r="G160" s="38"/>
      <c r="H160" s="38">
        <v>0.1</v>
      </c>
      <c r="I160" s="38"/>
      <c r="J160" s="38">
        <v>0.1</v>
      </c>
      <c r="K160" s="38"/>
      <c r="L160" s="30">
        <f t="shared" si="8"/>
        <v>6.6000000000000003E-2</v>
      </c>
      <c r="M160" s="30">
        <f t="shared" si="9"/>
        <v>5.2999999999999999E-2</v>
      </c>
      <c r="N160" s="30">
        <f t="shared" si="10"/>
        <v>1.3000000000000005E-2</v>
      </c>
      <c r="O160" s="31">
        <f t="shared" si="11"/>
        <v>5.941379310344827E-2</v>
      </c>
      <c r="P160" s="52"/>
      <c r="Q160" s="30">
        <v>5.8000000000000003E-2</v>
      </c>
      <c r="R160" s="30">
        <v>6.2E-2</v>
      </c>
      <c r="S160" s="30">
        <v>5.8999999999999997E-2</v>
      </c>
      <c r="T160" s="30">
        <v>6.5000000000000002E-2</v>
      </c>
      <c r="U160" s="30">
        <v>0.06</v>
      </c>
      <c r="V160" s="30">
        <v>0.06</v>
      </c>
      <c r="W160" s="30">
        <v>6.2E-2</v>
      </c>
      <c r="X160" s="30">
        <v>0.06</v>
      </c>
      <c r="Y160" s="30">
        <v>0.06</v>
      </c>
      <c r="Z160" s="30">
        <v>6.2E-2</v>
      </c>
      <c r="AA160" s="30">
        <v>5.7000000000000002E-2</v>
      </c>
      <c r="AB160" s="30">
        <v>5.8000000000000003E-2</v>
      </c>
      <c r="AC160" s="30">
        <v>5.7000000000000002E-2</v>
      </c>
      <c r="AD160" s="30">
        <v>6.6000000000000003E-2</v>
      </c>
      <c r="AE160" s="30">
        <v>5.2999999999999999E-2</v>
      </c>
      <c r="AF160" s="30">
        <v>5.6000000000000001E-2</v>
      </c>
      <c r="AG160" s="30">
        <v>6.2E-2</v>
      </c>
      <c r="AH160" s="30">
        <v>6.5000000000000002E-2</v>
      </c>
      <c r="AI160" s="30">
        <v>6.4000000000000001E-2</v>
      </c>
      <c r="AJ160" s="30">
        <v>6.5000000000000002E-2</v>
      </c>
      <c r="AK160" s="30">
        <v>6.2E-2</v>
      </c>
      <c r="AL160" s="30">
        <v>5.5E-2</v>
      </c>
      <c r="AM160" s="30">
        <v>5.2999999999999999E-2</v>
      </c>
      <c r="AN160" s="30">
        <v>5.2999999999999999E-2</v>
      </c>
      <c r="AO160" s="30"/>
      <c r="AP160" s="30">
        <v>5.7000000000000002E-2</v>
      </c>
      <c r="AQ160" s="30">
        <v>5.2999999999999999E-2</v>
      </c>
      <c r="AR160" s="30">
        <v>5.7000000000000002E-2</v>
      </c>
      <c r="AS160" s="30">
        <v>6.3E-2</v>
      </c>
      <c r="AT160" s="30">
        <v>5.8999999999999997E-2</v>
      </c>
      <c r="AU160" s="30">
        <v>0.06</v>
      </c>
      <c r="AV160" s="30">
        <v>0.06</v>
      </c>
      <c r="AW160" s="30">
        <v>6.5000000000000002E-2</v>
      </c>
      <c r="AX160" s="30"/>
      <c r="AY160" s="30"/>
      <c r="AZ160" s="30"/>
    </row>
    <row r="161" spans="1:52" ht="18" customHeight="1">
      <c r="A161" s="23"/>
      <c r="B161" s="19"/>
      <c r="C161" s="75" t="s">
        <v>65</v>
      </c>
      <c r="D161" s="35" t="s">
        <v>144</v>
      </c>
      <c r="E161" s="35"/>
      <c r="F161" s="29" t="s">
        <v>145</v>
      </c>
      <c r="G161" s="38">
        <v>2.48</v>
      </c>
      <c r="H161" s="38">
        <v>0.08</v>
      </c>
      <c r="I161" s="38">
        <v>0.03</v>
      </c>
      <c r="J161" s="38">
        <v>0.08</v>
      </c>
      <c r="K161" s="38">
        <v>0.03</v>
      </c>
      <c r="L161" s="30">
        <f t="shared" si="8"/>
        <v>2.5089999999999999</v>
      </c>
      <c r="M161" s="30">
        <f t="shared" si="9"/>
        <v>2.4910000000000001</v>
      </c>
      <c r="N161" s="30">
        <f t="shared" si="10"/>
        <v>1.7999999999999794E-2</v>
      </c>
      <c r="O161" s="31">
        <f t="shared" si="11"/>
        <v>2.4990344827586211</v>
      </c>
      <c r="P161" s="52"/>
      <c r="Q161" s="30">
        <v>2.4980000000000002</v>
      </c>
      <c r="R161" s="30">
        <v>2.4940000000000002</v>
      </c>
      <c r="S161" s="30">
        <v>2.4980000000000002</v>
      </c>
      <c r="T161" s="30">
        <v>2.4969999999999999</v>
      </c>
      <c r="U161" s="30">
        <v>2.4980000000000002</v>
      </c>
      <c r="V161" s="30">
        <v>2.4969999999999999</v>
      </c>
      <c r="W161" s="30">
        <v>2.496</v>
      </c>
      <c r="X161" s="30">
        <v>2.496</v>
      </c>
      <c r="Y161" s="30">
        <v>2.4950000000000001</v>
      </c>
      <c r="Z161" s="30">
        <v>2.4990000000000001</v>
      </c>
      <c r="AA161" s="30">
        <v>2.5</v>
      </c>
      <c r="AB161" s="30">
        <v>2.5</v>
      </c>
      <c r="AC161" s="30">
        <v>2.5009999999999999</v>
      </c>
      <c r="AD161" s="30">
        <v>2.4990000000000001</v>
      </c>
      <c r="AE161" s="30">
        <v>2.4990000000000001</v>
      </c>
      <c r="AF161" s="30">
        <v>2.4950000000000001</v>
      </c>
      <c r="AG161" s="30">
        <v>2.4969999999999999</v>
      </c>
      <c r="AH161" s="30">
        <v>2.4910000000000001</v>
      </c>
      <c r="AI161" s="30">
        <v>2.5030000000000001</v>
      </c>
      <c r="AJ161" s="30">
        <v>2.4950000000000001</v>
      </c>
      <c r="AK161" s="30">
        <v>2.496</v>
      </c>
      <c r="AL161" s="30">
        <v>2.4969999999999999</v>
      </c>
      <c r="AM161" s="30">
        <v>2.496</v>
      </c>
      <c r="AN161" s="30">
        <v>2.5059999999999998</v>
      </c>
      <c r="AO161" s="30"/>
      <c r="AP161" s="30">
        <v>2.5049999999999999</v>
      </c>
      <c r="AQ161" s="30">
        <v>2.508</v>
      </c>
      <c r="AR161" s="30">
        <v>2.5070000000000001</v>
      </c>
      <c r="AS161" s="30">
        <v>2.5089999999999999</v>
      </c>
      <c r="AT161" s="30">
        <v>2.5</v>
      </c>
      <c r="AU161" s="30">
        <v>2.5089999999999999</v>
      </c>
      <c r="AV161" s="30">
        <v>2.5089999999999999</v>
      </c>
      <c r="AW161" s="30">
        <v>2.5089999999999999</v>
      </c>
      <c r="AX161" s="30"/>
      <c r="AY161" s="30"/>
      <c r="AZ161" s="30"/>
    </row>
    <row r="162" spans="1:52" ht="18" customHeight="1">
      <c r="A162" s="23"/>
      <c r="B162" s="19"/>
      <c r="C162" s="75" t="s">
        <v>65</v>
      </c>
      <c r="D162" s="35" t="s">
        <v>146</v>
      </c>
      <c r="E162" s="35"/>
      <c r="F162" s="29" t="s">
        <v>147</v>
      </c>
      <c r="G162" s="38">
        <v>2.48</v>
      </c>
      <c r="H162" s="38">
        <v>0.08</v>
      </c>
      <c r="I162" s="38">
        <v>0.03</v>
      </c>
      <c r="J162" s="38">
        <v>0.08</v>
      </c>
      <c r="K162" s="38">
        <v>0.03</v>
      </c>
      <c r="L162" s="30">
        <f t="shared" si="8"/>
        <v>2.508</v>
      </c>
      <c r="M162" s="30">
        <f t="shared" si="9"/>
        <v>2.492</v>
      </c>
      <c r="N162" s="30">
        <f t="shared" si="10"/>
        <v>1.6000000000000014E-2</v>
      </c>
      <c r="O162" s="31">
        <f t="shared" si="11"/>
        <v>2.5000344827586205</v>
      </c>
      <c r="P162" s="52"/>
      <c r="Q162" s="30">
        <v>2.5</v>
      </c>
      <c r="R162" s="30">
        <v>2.496</v>
      </c>
      <c r="S162" s="30">
        <v>2.5</v>
      </c>
      <c r="T162" s="30">
        <v>2.4990000000000001</v>
      </c>
      <c r="U162" s="30">
        <v>2.4990000000000001</v>
      </c>
      <c r="V162" s="30">
        <v>2.4980000000000002</v>
      </c>
      <c r="W162" s="30">
        <v>2.4969999999999999</v>
      </c>
      <c r="X162" s="30">
        <v>2.4980000000000002</v>
      </c>
      <c r="Y162" s="30">
        <v>2.496</v>
      </c>
      <c r="Z162" s="30">
        <v>2.5</v>
      </c>
      <c r="AA162" s="30">
        <v>2.5009999999999999</v>
      </c>
      <c r="AB162" s="30">
        <v>2.5009999999999999</v>
      </c>
      <c r="AC162" s="30">
        <v>2.5</v>
      </c>
      <c r="AD162" s="30">
        <v>2.5009999999999999</v>
      </c>
      <c r="AE162" s="30">
        <v>2.5</v>
      </c>
      <c r="AF162" s="30">
        <v>2.4969999999999999</v>
      </c>
      <c r="AG162" s="30">
        <v>2.5</v>
      </c>
      <c r="AH162" s="30">
        <v>2.492</v>
      </c>
      <c r="AI162" s="30">
        <v>2.504</v>
      </c>
      <c r="AJ162" s="30">
        <v>2.4969999999999999</v>
      </c>
      <c r="AK162" s="30">
        <v>2.4969999999999999</v>
      </c>
      <c r="AL162" s="30">
        <v>2.4980000000000002</v>
      </c>
      <c r="AM162" s="30">
        <v>2.4969999999999999</v>
      </c>
      <c r="AN162" s="30">
        <v>2.5049999999999999</v>
      </c>
      <c r="AO162" s="30"/>
      <c r="AP162" s="30">
        <v>2.504</v>
      </c>
      <c r="AQ162" s="30">
        <v>2.508</v>
      </c>
      <c r="AR162" s="30">
        <v>2.5070000000000001</v>
      </c>
      <c r="AS162" s="30">
        <v>2.508</v>
      </c>
      <c r="AT162" s="30">
        <v>2.5009999999999999</v>
      </c>
      <c r="AU162" s="30">
        <v>2.5099999999999998</v>
      </c>
      <c r="AV162" s="30">
        <v>2.508</v>
      </c>
      <c r="AW162" s="30">
        <v>2.5089999999999999</v>
      </c>
      <c r="AX162" s="30"/>
      <c r="AY162" s="30"/>
      <c r="AZ162" s="30"/>
    </row>
    <row r="163" spans="1:52" ht="18" customHeight="1">
      <c r="A163" s="23"/>
      <c r="B163" s="19"/>
      <c r="C163" s="75" t="s">
        <v>65</v>
      </c>
      <c r="D163" s="35" t="s">
        <v>316</v>
      </c>
      <c r="E163" s="35"/>
      <c r="F163" s="29" t="s">
        <v>149</v>
      </c>
      <c r="G163" s="38">
        <v>1.17</v>
      </c>
      <c r="H163" s="38">
        <v>0.05</v>
      </c>
      <c r="I163" s="38">
        <v>7.0000000000000007E-2</v>
      </c>
      <c r="J163" s="38">
        <v>0.05</v>
      </c>
      <c r="K163" s="38">
        <v>7.0000000000000007E-2</v>
      </c>
      <c r="L163" s="30">
        <f t="shared" si="8"/>
        <v>1.1479999999999999</v>
      </c>
      <c r="M163" s="30">
        <f t="shared" si="9"/>
        <v>1.135</v>
      </c>
      <c r="N163" s="30">
        <f t="shared" si="10"/>
        <v>1.2999999999999901E-2</v>
      </c>
      <c r="O163" s="31">
        <f t="shared" si="11"/>
        <v>1.1415862068965519</v>
      </c>
      <c r="P163" s="52"/>
      <c r="Q163" s="30">
        <v>1.1419999999999999</v>
      </c>
      <c r="R163" s="30">
        <v>1.1399999999999999</v>
      </c>
      <c r="S163" s="30">
        <v>1.135</v>
      </c>
      <c r="T163" s="30">
        <v>1.1379999999999999</v>
      </c>
      <c r="U163" s="30">
        <v>1.1399999999999999</v>
      </c>
      <c r="V163" s="30">
        <v>1.1399999999999999</v>
      </c>
      <c r="W163" s="30">
        <v>1.1439999999999999</v>
      </c>
      <c r="X163" s="30">
        <v>1.1459999999999999</v>
      </c>
      <c r="Y163" s="30">
        <v>1.1399999999999999</v>
      </c>
      <c r="Z163" s="30">
        <v>1.1439999999999999</v>
      </c>
      <c r="AA163" s="30">
        <v>1.1379999999999999</v>
      </c>
      <c r="AB163" s="30">
        <v>1.141</v>
      </c>
      <c r="AC163" s="30">
        <v>1.1439999999999999</v>
      </c>
      <c r="AD163" s="30">
        <v>1.1439999999999999</v>
      </c>
      <c r="AE163" s="30">
        <v>1.141</v>
      </c>
      <c r="AF163" s="30">
        <v>1.141</v>
      </c>
      <c r="AG163" s="30">
        <v>1.143</v>
      </c>
      <c r="AH163" s="30">
        <v>1.143</v>
      </c>
      <c r="AI163" s="30">
        <v>1.1399999999999999</v>
      </c>
      <c r="AJ163" s="30">
        <v>1.1379999999999999</v>
      </c>
      <c r="AK163" s="30">
        <v>1.1419999999999999</v>
      </c>
      <c r="AL163" s="30">
        <v>1.1379999999999999</v>
      </c>
      <c r="AM163" s="30">
        <v>1.1419999999999999</v>
      </c>
      <c r="AN163" s="30">
        <v>1.147</v>
      </c>
      <c r="AO163" s="30"/>
      <c r="AP163" s="30">
        <v>1.1439999999999999</v>
      </c>
      <c r="AQ163" s="30">
        <v>1.1479999999999999</v>
      </c>
      <c r="AR163" s="30">
        <v>1.145</v>
      </c>
      <c r="AS163" s="30">
        <v>1.137</v>
      </c>
      <c r="AT163" s="30">
        <v>1.141</v>
      </c>
      <c r="AU163" s="30">
        <v>1.137</v>
      </c>
      <c r="AV163" s="30">
        <v>1.1399999999999999</v>
      </c>
      <c r="AW163" s="30">
        <v>1.1459999999999999</v>
      </c>
      <c r="AX163" s="30"/>
      <c r="AY163" s="30"/>
      <c r="AZ163" s="30"/>
    </row>
    <row r="164" spans="1:52" ht="18" customHeight="1">
      <c r="A164" s="23"/>
      <c r="B164" s="19"/>
      <c r="C164" s="75" t="s">
        <v>65</v>
      </c>
      <c r="D164" s="35" t="s">
        <v>317</v>
      </c>
      <c r="E164" s="35"/>
      <c r="F164" s="29" t="s">
        <v>151</v>
      </c>
      <c r="G164" s="38">
        <v>1.17</v>
      </c>
      <c r="H164" s="38">
        <v>0.05</v>
      </c>
      <c r="I164" s="38">
        <v>7.0000000000000007E-2</v>
      </c>
      <c r="J164" s="38">
        <v>0.05</v>
      </c>
      <c r="K164" s="38">
        <v>7.0000000000000007E-2</v>
      </c>
      <c r="L164" s="30">
        <f t="shared" si="8"/>
        <v>1.218</v>
      </c>
      <c r="M164" s="30">
        <f t="shared" si="9"/>
        <v>1.1379999999999999</v>
      </c>
      <c r="N164" s="30">
        <f t="shared" si="10"/>
        <v>8.0000000000000071E-2</v>
      </c>
      <c r="O164" s="31">
        <f t="shared" si="11"/>
        <v>1.1430689655172412</v>
      </c>
      <c r="P164" s="52"/>
      <c r="Q164" s="30">
        <v>1.218</v>
      </c>
      <c r="R164" s="30">
        <v>1.139</v>
      </c>
      <c r="S164" s="30">
        <v>1.1399999999999999</v>
      </c>
      <c r="T164" s="30">
        <v>1.1379999999999999</v>
      </c>
      <c r="U164" s="30">
        <v>1.139</v>
      </c>
      <c r="V164" s="30">
        <v>1.1419999999999999</v>
      </c>
      <c r="W164" s="30">
        <v>1.1399999999999999</v>
      </c>
      <c r="X164" s="30">
        <v>1.1399999999999999</v>
      </c>
      <c r="Y164" s="30">
        <v>1.139</v>
      </c>
      <c r="Z164" s="30">
        <v>1.1419999999999999</v>
      </c>
      <c r="AA164" s="30">
        <v>1.1419999999999999</v>
      </c>
      <c r="AB164" s="30">
        <v>1.1399999999999999</v>
      </c>
      <c r="AC164" s="30">
        <v>1.1419999999999999</v>
      </c>
      <c r="AD164" s="30">
        <v>1.141</v>
      </c>
      <c r="AE164" s="30">
        <v>1.139</v>
      </c>
      <c r="AF164" s="30">
        <v>1.1419999999999999</v>
      </c>
      <c r="AG164" s="30">
        <v>1.141</v>
      </c>
      <c r="AH164" s="30">
        <v>1.1399999999999999</v>
      </c>
      <c r="AI164" s="30">
        <v>1.139</v>
      </c>
      <c r="AJ164" s="30">
        <v>1.1379999999999999</v>
      </c>
      <c r="AK164" s="30">
        <v>1.139</v>
      </c>
      <c r="AL164" s="30">
        <v>1.139</v>
      </c>
      <c r="AM164" s="30">
        <v>1.1399999999999999</v>
      </c>
      <c r="AN164" s="30">
        <v>1.1439999999999999</v>
      </c>
      <c r="AO164" s="30"/>
      <c r="AP164" s="30">
        <v>1.1419999999999999</v>
      </c>
      <c r="AQ164" s="30">
        <v>1.143</v>
      </c>
      <c r="AR164" s="30">
        <v>1.1419999999999999</v>
      </c>
      <c r="AS164" s="30">
        <v>1.141</v>
      </c>
      <c r="AT164" s="30">
        <v>1.1379999999999999</v>
      </c>
      <c r="AU164" s="30">
        <v>1.1399999999999999</v>
      </c>
      <c r="AV164" s="30">
        <v>1.141</v>
      </c>
      <c r="AW164" s="30">
        <v>1.141</v>
      </c>
      <c r="AX164" s="30"/>
      <c r="AY164" s="30"/>
      <c r="AZ164" s="30"/>
    </row>
    <row r="165" spans="1:52" ht="18" customHeight="1">
      <c r="A165" s="23"/>
      <c r="B165" s="19"/>
      <c r="C165" s="75" t="s">
        <v>65</v>
      </c>
      <c r="D165" s="35" t="s">
        <v>318</v>
      </c>
      <c r="E165" s="35"/>
      <c r="F165" s="29" t="s">
        <v>153</v>
      </c>
      <c r="G165" s="38">
        <v>1.17</v>
      </c>
      <c r="H165" s="38">
        <v>0.05</v>
      </c>
      <c r="I165" s="38">
        <v>7.0000000000000007E-2</v>
      </c>
      <c r="J165" s="38">
        <v>0.05</v>
      </c>
      <c r="K165" s="38">
        <v>7.0000000000000007E-2</v>
      </c>
      <c r="L165" s="30">
        <f t="shared" si="8"/>
        <v>1.1639999999999999</v>
      </c>
      <c r="M165" s="30">
        <f t="shared" si="9"/>
        <v>1.1399999999999999</v>
      </c>
      <c r="N165" s="30">
        <f t="shared" si="10"/>
        <v>2.4000000000000021E-2</v>
      </c>
      <c r="O165" s="31">
        <f t="shared" si="11"/>
        <v>1.1458965517241377</v>
      </c>
      <c r="P165" s="52"/>
      <c r="Q165" s="30">
        <v>1.1419999999999999</v>
      </c>
      <c r="R165" s="30">
        <v>1.1639999999999999</v>
      </c>
      <c r="S165" s="30">
        <v>1.1399999999999999</v>
      </c>
      <c r="T165" s="30">
        <v>1.1419999999999999</v>
      </c>
      <c r="U165" s="30">
        <v>1.1439999999999999</v>
      </c>
      <c r="V165" s="30">
        <v>1.145</v>
      </c>
      <c r="W165" s="30">
        <v>1.1439999999999999</v>
      </c>
      <c r="X165" s="30">
        <v>1.147</v>
      </c>
      <c r="Y165" s="30">
        <v>1.147</v>
      </c>
      <c r="Z165" s="30">
        <v>1.1479999999999999</v>
      </c>
      <c r="AA165" s="30">
        <v>1.1459999999999999</v>
      </c>
      <c r="AB165" s="30">
        <v>1.1459999999999999</v>
      </c>
      <c r="AC165" s="30">
        <v>1.1479999999999999</v>
      </c>
      <c r="AD165" s="30">
        <v>1.1439999999999999</v>
      </c>
      <c r="AE165" s="30">
        <v>1.145</v>
      </c>
      <c r="AF165" s="30">
        <v>1.145</v>
      </c>
      <c r="AG165" s="30">
        <v>1.1439999999999999</v>
      </c>
      <c r="AH165" s="30">
        <v>1.1439999999999999</v>
      </c>
      <c r="AI165" s="30">
        <v>1.145</v>
      </c>
      <c r="AJ165" s="30">
        <v>1.1439999999999999</v>
      </c>
      <c r="AK165" s="30">
        <v>1.145</v>
      </c>
      <c r="AL165" s="30">
        <v>1.1459999999999999</v>
      </c>
      <c r="AM165" s="30">
        <v>1.143</v>
      </c>
      <c r="AN165" s="30">
        <v>1.147</v>
      </c>
      <c r="AO165" s="30"/>
      <c r="AP165" s="30">
        <v>1.1499999999999999</v>
      </c>
      <c r="AQ165" s="30">
        <v>1.1459999999999999</v>
      </c>
      <c r="AR165" s="30">
        <v>1.1479999999999999</v>
      </c>
      <c r="AS165" s="30">
        <v>1.147</v>
      </c>
      <c r="AT165" s="30">
        <v>1.145</v>
      </c>
      <c r="AU165" s="30">
        <v>1.145</v>
      </c>
      <c r="AV165" s="30">
        <v>1.149</v>
      </c>
      <c r="AW165" s="30">
        <v>1.145</v>
      </c>
      <c r="AX165" s="30"/>
      <c r="AY165" s="30"/>
      <c r="AZ165" s="30"/>
    </row>
    <row r="166" spans="1:52" ht="18" customHeight="1">
      <c r="A166" s="23"/>
      <c r="B166" s="19"/>
      <c r="C166" s="75" t="s">
        <v>65</v>
      </c>
      <c r="D166" s="35" t="s">
        <v>319</v>
      </c>
      <c r="E166" s="35"/>
      <c r="F166" s="29" t="s">
        <v>155</v>
      </c>
      <c r="G166" s="38">
        <v>1.17</v>
      </c>
      <c r="H166" s="38">
        <v>0.05</v>
      </c>
      <c r="I166" s="38">
        <v>7.0000000000000007E-2</v>
      </c>
      <c r="J166" s="38">
        <v>0.05</v>
      </c>
      <c r="K166" s="38">
        <v>7.0000000000000007E-2</v>
      </c>
      <c r="L166" s="30">
        <f t="shared" si="8"/>
        <v>1.1439999999999999</v>
      </c>
      <c r="M166" s="30">
        <f t="shared" si="9"/>
        <v>1.137</v>
      </c>
      <c r="N166" s="30">
        <f t="shared" si="10"/>
        <v>6.9999999999998952E-3</v>
      </c>
      <c r="O166" s="31">
        <f t="shared" si="11"/>
        <v>1.1398965517241377</v>
      </c>
      <c r="P166" s="52"/>
      <c r="Q166" s="30">
        <v>1.1379999999999999</v>
      </c>
      <c r="R166" s="30">
        <v>1.1399999999999999</v>
      </c>
      <c r="S166" s="30">
        <v>1.1399999999999999</v>
      </c>
      <c r="T166" s="30">
        <v>1.1399999999999999</v>
      </c>
      <c r="U166" s="30">
        <v>1.141</v>
      </c>
      <c r="V166" s="30">
        <v>1.1399999999999999</v>
      </c>
      <c r="W166" s="30">
        <v>1.139</v>
      </c>
      <c r="X166" s="30">
        <v>1.139</v>
      </c>
      <c r="Y166" s="30">
        <v>1.137</v>
      </c>
      <c r="Z166" s="30">
        <v>1.141</v>
      </c>
      <c r="AA166" s="30">
        <v>1.1399999999999999</v>
      </c>
      <c r="AB166" s="30">
        <v>1.141</v>
      </c>
      <c r="AC166" s="30">
        <v>1.141</v>
      </c>
      <c r="AD166" s="30">
        <v>1.1399999999999999</v>
      </c>
      <c r="AE166" s="30">
        <v>1.139</v>
      </c>
      <c r="AF166" s="30">
        <v>1.1399999999999999</v>
      </c>
      <c r="AG166" s="30">
        <v>1.141</v>
      </c>
      <c r="AH166" s="30">
        <v>1.1379999999999999</v>
      </c>
      <c r="AI166" s="30">
        <v>1.1439999999999999</v>
      </c>
      <c r="AJ166" s="30">
        <v>1.139</v>
      </c>
      <c r="AK166" s="30">
        <v>1.1399999999999999</v>
      </c>
      <c r="AL166" s="30">
        <v>1.1379999999999999</v>
      </c>
      <c r="AM166" s="30">
        <v>1.139</v>
      </c>
      <c r="AN166" s="30">
        <v>1.141</v>
      </c>
      <c r="AO166" s="30"/>
      <c r="AP166" s="30">
        <v>1.1399999999999999</v>
      </c>
      <c r="AQ166" s="30">
        <v>1.141</v>
      </c>
      <c r="AR166" s="30">
        <v>1.141</v>
      </c>
      <c r="AS166" s="30">
        <v>1.141</v>
      </c>
      <c r="AT166" s="30">
        <v>1.1379999999999999</v>
      </c>
      <c r="AU166" s="30">
        <v>1.141</v>
      </c>
      <c r="AV166" s="30">
        <v>1.1399999999999999</v>
      </c>
      <c r="AW166" s="30">
        <v>1.139</v>
      </c>
      <c r="AX166" s="30"/>
      <c r="AY166" s="30"/>
      <c r="AZ166" s="30"/>
    </row>
    <row r="167" spans="1:52" ht="18" customHeight="1">
      <c r="A167" s="23"/>
      <c r="B167" s="19"/>
      <c r="C167" s="75" t="s">
        <v>65</v>
      </c>
      <c r="D167" s="35" t="s">
        <v>320</v>
      </c>
      <c r="E167" s="35"/>
      <c r="F167" s="29" t="s">
        <v>157</v>
      </c>
      <c r="G167" s="38">
        <v>1.17</v>
      </c>
      <c r="H167" s="38">
        <v>0.05</v>
      </c>
      <c r="I167" s="38">
        <v>7.0000000000000007E-2</v>
      </c>
      <c r="J167" s="38">
        <v>0.05</v>
      </c>
      <c r="K167" s="38">
        <v>7.0000000000000007E-2</v>
      </c>
      <c r="L167" s="30">
        <f t="shared" si="8"/>
        <v>1.1399999999999999</v>
      </c>
      <c r="M167" s="30">
        <f t="shared" si="9"/>
        <v>1.1299999999999999</v>
      </c>
      <c r="N167" s="30">
        <f t="shared" si="10"/>
        <v>1.0000000000000009E-2</v>
      </c>
      <c r="O167" s="31">
        <f t="shared" si="11"/>
        <v>1.1357241379310348</v>
      </c>
      <c r="P167" s="52"/>
      <c r="Q167" s="30">
        <v>1.135</v>
      </c>
      <c r="R167" s="30">
        <v>1.135</v>
      </c>
      <c r="S167" s="30">
        <v>1.135</v>
      </c>
      <c r="T167" s="30">
        <v>1.1359999999999999</v>
      </c>
      <c r="U167" s="30">
        <v>1.137</v>
      </c>
      <c r="V167" s="30">
        <v>1.1339999999999999</v>
      </c>
      <c r="W167" s="30">
        <v>1.135</v>
      </c>
      <c r="X167" s="30">
        <v>1.1359999999999999</v>
      </c>
      <c r="Y167" s="30">
        <v>1.1299999999999999</v>
      </c>
      <c r="Z167" s="30">
        <v>1.135</v>
      </c>
      <c r="AA167" s="30">
        <v>1.137</v>
      </c>
      <c r="AB167" s="30">
        <v>1.137</v>
      </c>
      <c r="AC167" s="30">
        <v>1.135</v>
      </c>
      <c r="AD167" s="30">
        <v>1.1399999999999999</v>
      </c>
      <c r="AE167" s="30">
        <v>1.135</v>
      </c>
      <c r="AF167" s="30">
        <v>1.133</v>
      </c>
      <c r="AG167" s="30">
        <v>1.137</v>
      </c>
      <c r="AH167" s="30">
        <v>1.133</v>
      </c>
      <c r="AI167" s="30">
        <v>1.137</v>
      </c>
      <c r="AJ167" s="30">
        <v>1.137</v>
      </c>
      <c r="AK167" s="30">
        <v>1.137</v>
      </c>
      <c r="AL167" s="30">
        <v>1.137</v>
      </c>
      <c r="AM167" s="30">
        <v>1.1339999999999999</v>
      </c>
      <c r="AN167" s="30">
        <v>1.1379999999999999</v>
      </c>
      <c r="AO167" s="30"/>
      <c r="AP167" s="30">
        <v>1.1359999999999999</v>
      </c>
      <c r="AQ167" s="30">
        <v>1.135</v>
      </c>
      <c r="AR167" s="30">
        <v>1.139</v>
      </c>
      <c r="AS167" s="30">
        <v>1.1379999999999999</v>
      </c>
      <c r="AT167" s="30">
        <v>1.133</v>
      </c>
      <c r="AU167" s="30">
        <v>1.1379999999999999</v>
      </c>
      <c r="AV167" s="30">
        <v>1.1379999999999999</v>
      </c>
      <c r="AW167" s="30">
        <v>1.1379999999999999</v>
      </c>
      <c r="AX167" s="30"/>
      <c r="AY167" s="30"/>
      <c r="AZ167" s="30"/>
    </row>
    <row r="168" spans="1:52" ht="18" customHeight="1">
      <c r="A168" s="23"/>
      <c r="B168" s="19"/>
      <c r="C168" s="75" t="s">
        <v>65</v>
      </c>
      <c r="D168" s="35" t="s">
        <v>321</v>
      </c>
      <c r="E168" s="35"/>
      <c r="F168" s="29" t="s">
        <v>159</v>
      </c>
      <c r="G168" s="38">
        <v>1.17</v>
      </c>
      <c r="H168" s="38">
        <v>0.05</v>
      </c>
      <c r="I168" s="38">
        <v>7.0000000000000007E-2</v>
      </c>
      <c r="J168" s="38">
        <v>0.05</v>
      </c>
      <c r="K168" s="38">
        <v>7.0000000000000007E-2</v>
      </c>
      <c r="L168" s="30">
        <f t="shared" si="8"/>
        <v>1.141</v>
      </c>
      <c r="M168" s="30">
        <f t="shared" si="9"/>
        <v>1.1259999999999999</v>
      </c>
      <c r="N168" s="30">
        <f t="shared" si="10"/>
        <v>1.5000000000000124E-2</v>
      </c>
      <c r="O168" s="31">
        <f t="shared" si="11"/>
        <v>1.1322068965517242</v>
      </c>
      <c r="P168" s="52"/>
      <c r="Q168" s="30">
        <v>1.1279999999999999</v>
      </c>
      <c r="R168" s="30">
        <v>1.135</v>
      </c>
      <c r="S168" s="30">
        <v>1.129</v>
      </c>
      <c r="T168" s="30">
        <v>1.131</v>
      </c>
      <c r="U168" s="30">
        <v>1.1299999999999999</v>
      </c>
      <c r="V168" s="30">
        <v>1.135</v>
      </c>
      <c r="W168" s="30">
        <v>1.1339999999999999</v>
      </c>
      <c r="X168" s="30">
        <v>1.1319999999999999</v>
      </c>
      <c r="Y168" s="30">
        <v>1.1259999999999999</v>
      </c>
      <c r="Z168" s="30">
        <v>1.141</v>
      </c>
      <c r="AA168" s="30">
        <v>1.131</v>
      </c>
      <c r="AB168" s="30">
        <v>1.131</v>
      </c>
      <c r="AC168" s="30">
        <v>1.131</v>
      </c>
      <c r="AD168" s="30">
        <v>1.139</v>
      </c>
      <c r="AE168" s="30">
        <v>1.129</v>
      </c>
      <c r="AF168" s="30">
        <v>1.137</v>
      </c>
      <c r="AG168" s="30">
        <v>1.133</v>
      </c>
      <c r="AH168" s="30">
        <v>1.1319999999999999</v>
      </c>
      <c r="AI168" s="30">
        <v>1.133</v>
      </c>
      <c r="AJ168" s="30">
        <v>1.1339999999999999</v>
      </c>
      <c r="AK168" s="30">
        <v>1.131</v>
      </c>
      <c r="AL168" s="30">
        <v>1.1339999999999999</v>
      </c>
      <c r="AM168" s="30">
        <v>1.129</v>
      </c>
      <c r="AN168" s="30">
        <v>1.1319999999999999</v>
      </c>
      <c r="AO168" s="30"/>
      <c r="AP168" s="30">
        <v>1.131</v>
      </c>
      <c r="AQ168" s="30">
        <v>1.131</v>
      </c>
      <c r="AR168" s="30">
        <v>1.1339999999999999</v>
      </c>
      <c r="AS168" s="30">
        <v>1.133</v>
      </c>
      <c r="AT168" s="30">
        <v>1.1279999999999999</v>
      </c>
      <c r="AU168" s="30">
        <v>1.1339999999999999</v>
      </c>
      <c r="AV168" s="30">
        <v>1.133</v>
      </c>
      <c r="AW168" s="30">
        <v>1.1359999999999999</v>
      </c>
      <c r="AX168" s="30"/>
      <c r="AY168" s="30"/>
      <c r="AZ168" s="30"/>
    </row>
    <row r="169" spans="1:52" ht="18" customHeight="1">
      <c r="A169" s="23"/>
      <c r="B169" s="19"/>
      <c r="C169" s="75" t="s">
        <v>65</v>
      </c>
      <c r="D169" s="35" t="s">
        <v>322</v>
      </c>
      <c r="E169" s="35"/>
      <c r="F169" s="29" t="s">
        <v>161</v>
      </c>
      <c r="G169" s="38">
        <v>1.17</v>
      </c>
      <c r="H169" s="38">
        <v>0.05</v>
      </c>
      <c r="I169" s="38">
        <v>7.0000000000000007E-2</v>
      </c>
      <c r="J169" s="38">
        <v>0.05</v>
      </c>
      <c r="K169" s="38">
        <v>7.0000000000000007E-2</v>
      </c>
      <c r="L169" s="30">
        <f t="shared" si="8"/>
        <v>1.165</v>
      </c>
      <c r="M169" s="30">
        <f t="shared" si="9"/>
        <v>1.1599999999999999</v>
      </c>
      <c r="N169" s="30">
        <f t="shared" si="10"/>
        <v>5.0000000000001155E-3</v>
      </c>
      <c r="O169" s="31">
        <f t="shared" si="11"/>
        <v>1.1632068965517244</v>
      </c>
      <c r="P169" s="52"/>
      <c r="Q169" s="30">
        <v>1.165</v>
      </c>
      <c r="R169" s="30">
        <v>1.163</v>
      </c>
      <c r="S169" s="30">
        <v>1.1639999999999999</v>
      </c>
      <c r="T169" s="30">
        <v>1.165</v>
      </c>
      <c r="U169" s="30">
        <v>1.1639999999999999</v>
      </c>
      <c r="V169" s="30">
        <v>1.1639999999999999</v>
      </c>
      <c r="W169" s="30">
        <v>1.1639999999999999</v>
      </c>
      <c r="X169" s="30">
        <v>1.165</v>
      </c>
      <c r="Y169" s="30">
        <v>1.161</v>
      </c>
      <c r="Z169" s="30">
        <v>1.1599999999999999</v>
      </c>
      <c r="AA169" s="30">
        <v>1.161</v>
      </c>
      <c r="AB169" s="30">
        <v>1.1639999999999999</v>
      </c>
      <c r="AC169" s="30">
        <v>1.163</v>
      </c>
      <c r="AD169" s="30">
        <v>1.165</v>
      </c>
      <c r="AE169" s="30">
        <v>1.1619999999999999</v>
      </c>
      <c r="AF169" s="30">
        <v>1.163</v>
      </c>
      <c r="AG169" s="30">
        <v>1.1619999999999999</v>
      </c>
      <c r="AH169" s="30">
        <v>1.1599999999999999</v>
      </c>
      <c r="AI169" s="30">
        <v>1.163</v>
      </c>
      <c r="AJ169" s="30">
        <v>1.1639999999999999</v>
      </c>
      <c r="AK169" s="30">
        <v>1.163</v>
      </c>
      <c r="AL169" s="30">
        <v>1.1639999999999999</v>
      </c>
      <c r="AM169" s="30">
        <v>1.161</v>
      </c>
      <c r="AN169" s="30">
        <v>1.163</v>
      </c>
      <c r="AO169" s="30"/>
      <c r="AP169" s="30">
        <v>1.165</v>
      </c>
      <c r="AQ169" s="30">
        <v>1.165</v>
      </c>
      <c r="AR169" s="30">
        <v>1.1639999999999999</v>
      </c>
      <c r="AS169" s="30">
        <v>1.1639999999999999</v>
      </c>
      <c r="AT169" s="30">
        <v>1.1619999999999999</v>
      </c>
      <c r="AU169" s="30">
        <v>1.1619999999999999</v>
      </c>
      <c r="AV169" s="30">
        <v>1.165</v>
      </c>
      <c r="AW169" s="30">
        <v>1.1659999999999999</v>
      </c>
      <c r="AX169" s="30"/>
      <c r="AY169" s="30"/>
      <c r="AZ169" s="30"/>
    </row>
    <row r="170" spans="1:52" ht="18" customHeight="1">
      <c r="A170" s="23"/>
      <c r="B170" s="19"/>
      <c r="C170" s="75" t="s">
        <v>65</v>
      </c>
      <c r="D170" s="35" t="s">
        <v>323</v>
      </c>
      <c r="E170" s="35"/>
      <c r="F170" s="29" t="s">
        <v>163</v>
      </c>
      <c r="G170" s="38">
        <v>1.17</v>
      </c>
      <c r="H170" s="38">
        <v>0.05</v>
      </c>
      <c r="I170" s="38">
        <v>7.0000000000000007E-2</v>
      </c>
      <c r="J170" s="38">
        <v>0.05</v>
      </c>
      <c r="K170" s="38">
        <v>7.0000000000000007E-2</v>
      </c>
      <c r="L170" s="30">
        <f t="shared" si="8"/>
        <v>1.2090000000000001</v>
      </c>
      <c r="M170" s="30">
        <f t="shared" si="9"/>
        <v>1.1359999999999999</v>
      </c>
      <c r="N170" s="30">
        <f t="shared" si="10"/>
        <v>7.3000000000000176E-2</v>
      </c>
      <c r="O170" s="31">
        <f t="shared" si="11"/>
        <v>1.1506896551724135</v>
      </c>
      <c r="P170" s="52"/>
      <c r="Q170" s="30">
        <v>1.1479999999999999</v>
      </c>
      <c r="R170" s="30">
        <v>1.147</v>
      </c>
      <c r="S170" s="30">
        <v>1.1479999999999999</v>
      </c>
      <c r="T170" s="30">
        <v>1.1499999999999999</v>
      </c>
      <c r="U170" s="30">
        <v>1.1459999999999999</v>
      </c>
      <c r="V170" s="30">
        <v>1.1499999999999999</v>
      </c>
      <c r="W170" s="30">
        <v>1.143</v>
      </c>
      <c r="X170" s="30">
        <v>1.1479999999999999</v>
      </c>
      <c r="Y170" s="30">
        <v>1.143</v>
      </c>
      <c r="Z170" s="30">
        <v>1.1459999999999999</v>
      </c>
      <c r="AA170" s="30">
        <v>1.2</v>
      </c>
      <c r="AB170" s="30">
        <v>1.145</v>
      </c>
      <c r="AC170" s="30">
        <v>1.2090000000000001</v>
      </c>
      <c r="AD170" s="30">
        <v>1.147</v>
      </c>
      <c r="AE170" s="30">
        <v>1.1439999999999999</v>
      </c>
      <c r="AF170" s="30">
        <v>1.151</v>
      </c>
      <c r="AG170" s="30">
        <v>1.1459999999999999</v>
      </c>
      <c r="AH170" s="30">
        <v>1.1439999999999999</v>
      </c>
      <c r="AI170" s="30">
        <v>1.1459999999999999</v>
      </c>
      <c r="AJ170" s="30">
        <v>1.1359999999999999</v>
      </c>
      <c r="AK170" s="30">
        <v>1.1479999999999999</v>
      </c>
      <c r="AL170" s="30">
        <v>1.1519999999999999</v>
      </c>
      <c r="AM170" s="30">
        <v>1.147</v>
      </c>
      <c r="AN170" s="30">
        <v>1.147</v>
      </c>
      <c r="AO170" s="30"/>
      <c r="AP170" s="30">
        <v>1.1459999999999999</v>
      </c>
      <c r="AQ170" s="30">
        <v>1.1479999999999999</v>
      </c>
      <c r="AR170" s="30">
        <v>1.147</v>
      </c>
      <c r="AS170" s="30">
        <v>1.145</v>
      </c>
      <c r="AT170" s="30">
        <v>1.153</v>
      </c>
      <c r="AU170" s="30">
        <v>1.1439999999999999</v>
      </c>
      <c r="AV170" s="30">
        <v>1.147</v>
      </c>
      <c r="AW170" s="30">
        <v>1.1459999999999999</v>
      </c>
      <c r="AX170" s="30"/>
      <c r="AY170" s="30"/>
      <c r="AZ170" s="30"/>
    </row>
    <row r="171" spans="1:52" ht="18" customHeight="1">
      <c r="A171" s="23"/>
      <c r="B171" s="19"/>
      <c r="C171" s="75" t="s">
        <v>65</v>
      </c>
      <c r="D171" s="35" t="s">
        <v>324</v>
      </c>
      <c r="E171" s="35"/>
      <c r="F171" s="29" t="s">
        <v>165</v>
      </c>
      <c r="G171" s="38">
        <v>1.17</v>
      </c>
      <c r="H171" s="38">
        <v>0.05</v>
      </c>
      <c r="I171" s="38">
        <v>7.0000000000000007E-2</v>
      </c>
      <c r="J171" s="38">
        <v>0.05</v>
      </c>
      <c r="K171" s="38">
        <v>7.0000000000000007E-2</v>
      </c>
      <c r="L171" s="30">
        <f t="shared" si="8"/>
        <v>1.2010000000000001</v>
      </c>
      <c r="M171" s="30">
        <f t="shared" si="9"/>
        <v>1.113</v>
      </c>
      <c r="N171" s="30">
        <f t="shared" si="10"/>
        <v>8.8000000000000078E-2</v>
      </c>
      <c r="O171" s="31">
        <f t="shared" si="11"/>
        <v>1.161862068965517</v>
      </c>
      <c r="P171" s="52"/>
      <c r="Q171" s="30">
        <v>1.2010000000000001</v>
      </c>
      <c r="R171" s="30">
        <v>1.1180000000000001</v>
      </c>
      <c r="S171" s="30">
        <v>1.117</v>
      </c>
      <c r="T171" s="30">
        <v>1.1870000000000001</v>
      </c>
      <c r="U171" s="30">
        <v>1.113</v>
      </c>
      <c r="V171" s="30">
        <v>1.117</v>
      </c>
      <c r="W171" s="30">
        <v>1.1890000000000001</v>
      </c>
      <c r="X171" s="30">
        <v>1.1180000000000001</v>
      </c>
      <c r="Y171" s="30">
        <v>1.1180000000000001</v>
      </c>
      <c r="Z171" s="30">
        <v>1.151</v>
      </c>
      <c r="AA171" s="30">
        <v>1.1890000000000001</v>
      </c>
      <c r="AB171" s="30">
        <v>1.1890000000000001</v>
      </c>
      <c r="AC171" s="30">
        <v>1.143</v>
      </c>
      <c r="AD171" s="30">
        <v>1.1990000000000001</v>
      </c>
      <c r="AE171" s="30">
        <v>1.1850000000000001</v>
      </c>
      <c r="AF171" s="30">
        <v>1.1830000000000001</v>
      </c>
      <c r="AG171" s="30">
        <v>1.1859999999999999</v>
      </c>
      <c r="AH171" s="30">
        <v>1.196</v>
      </c>
      <c r="AI171" s="30">
        <v>1.1879999999999999</v>
      </c>
      <c r="AJ171" s="30">
        <v>1.2</v>
      </c>
      <c r="AK171" s="30">
        <v>1.2</v>
      </c>
      <c r="AL171" s="30">
        <v>1.117</v>
      </c>
      <c r="AM171" s="30">
        <v>1.1359999999999999</v>
      </c>
      <c r="AN171" s="30">
        <v>1.1890000000000001</v>
      </c>
      <c r="AO171" s="30"/>
      <c r="AP171" s="30">
        <v>1.1879999999999999</v>
      </c>
      <c r="AQ171" s="30">
        <v>1.1879999999999999</v>
      </c>
      <c r="AR171" s="30">
        <v>1.1180000000000001</v>
      </c>
      <c r="AS171" s="30">
        <v>1.1299999999999999</v>
      </c>
      <c r="AT171" s="30">
        <v>1.141</v>
      </c>
      <c r="AU171" s="30">
        <v>1.119</v>
      </c>
      <c r="AV171" s="30">
        <v>1.1859999999999999</v>
      </c>
      <c r="AW171" s="30">
        <v>1.1879999999999999</v>
      </c>
      <c r="AX171" s="30"/>
      <c r="AY171" s="30"/>
      <c r="AZ171" s="30"/>
    </row>
    <row r="172" spans="1:52" ht="18" customHeight="1">
      <c r="A172" s="23"/>
      <c r="B172" s="19"/>
      <c r="C172" s="75" t="s">
        <v>65</v>
      </c>
      <c r="D172" s="35" t="s">
        <v>166</v>
      </c>
      <c r="E172" s="35"/>
      <c r="F172" s="29" t="s">
        <v>167</v>
      </c>
      <c r="G172" s="38">
        <v>1.17</v>
      </c>
      <c r="H172" s="38">
        <v>0.05</v>
      </c>
      <c r="I172" s="38">
        <v>7.0000000000000007E-2</v>
      </c>
      <c r="J172" s="38">
        <v>0.05</v>
      </c>
      <c r="K172" s="38">
        <v>7.0000000000000007E-2</v>
      </c>
      <c r="L172" s="30">
        <f t="shared" si="8"/>
        <v>1.1399999999999999</v>
      </c>
      <c r="M172" s="30">
        <f t="shared" si="9"/>
        <v>1.131</v>
      </c>
      <c r="N172" s="30">
        <f t="shared" si="10"/>
        <v>8.999999999999897E-3</v>
      </c>
      <c r="O172" s="31">
        <f t="shared" si="11"/>
        <v>1.1350689655172417</v>
      </c>
      <c r="P172" s="52"/>
      <c r="Q172" s="30">
        <v>1.135</v>
      </c>
      <c r="R172" s="30">
        <v>1.1319999999999999</v>
      </c>
      <c r="S172" s="30">
        <v>1.1339999999999999</v>
      </c>
      <c r="T172" s="30">
        <v>1.1339999999999999</v>
      </c>
      <c r="U172" s="30">
        <v>1.1339999999999999</v>
      </c>
      <c r="V172" s="30">
        <v>1.1339999999999999</v>
      </c>
      <c r="W172" s="30">
        <v>1.135</v>
      </c>
      <c r="X172" s="30">
        <v>1.1359999999999999</v>
      </c>
      <c r="Y172" s="30">
        <v>1.135</v>
      </c>
      <c r="Z172" s="30">
        <v>1.1359999999999999</v>
      </c>
      <c r="AA172" s="30">
        <v>1.131</v>
      </c>
      <c r="AB172" s="30">
        <v>1.133</v>
      </c>
      <c r="AC172" s="30">
        <v>1.1399999999999999</v>
      </c>
      <c r="AD172" s="30">
        <v>1.133</v>
      </c>
      <c r="AE172" s="30">
        <v>1.135</v>
      </c>
      <c r="AF172" s="30">
        <v>1.1339999999999999</v>
      </c>
      <c r="AG172" s="30">
        <v>1.135</v>
      </c>
      <c r="AH172" s="30">
        <v>1.1339999999999999</v>
      </c>
      <c r="AI172" s="30">
        <v>1.1379999999999999</v>
      </c>
      <c r="AJ172" s="30">
        <v>1.131</v>
      </c>
      <c r="AK172" s="30">
        <v>1.1339999999999999</v>
      </c>
      <c r="AL172" s="30">
        <v>1.135</v>
      </c>
      <c r="AM172" s="30">
        <v>1.135</v>
      </c>
      <c r="AN172" s="30">
        <v>1.1399999999999999</v>
      </c>
      <c r="AO172" s="30"/>
      <c r="AP172" s="30">
        <v>1.1359999999999999</v>
      </c>
      <c r="AQ172" s="30">
        <v>1.135</v>
      </c>
      <c r="AR172" s="30">
        <v>1.137</v>
      </c>
      <c r="AS172" s="30">
        <v>1.137</v>
      </c>
      <c r="AT172" s="30">
        <v>1.139</v>
      </c>
      <c r="AU172" s="30">
        <v>1.141</v>
      </c>
      <c r="AV172" s="30">
        <v>1.1359999999999999</v>
      </c>
      <c r="AW172" s="30">
        <v>1.135</v>
      </c>
      <c r="AX172" s="30"/>
      <c r="AY172" s="30"/>
      <c r="AZ172" s="30"/>
    </row>
    <row r="173" spans="1:52" ht="18" customHeight="1">
      <c r="A173" s="23"/>
      <c r="B173" s="19"/>
      <c r="C173" s="75" t="s">
        <v>65</v>
      </c>
      <c r="D173" s="35" t="s">
        <v>168</v>
      </c>
      <c r="E173" s="35"/>
      <c r="F173" s="29" t="s">
        <v>169</v>
      </c>
      <c r="G173" s="38">
        <v>1.17</v>
      </c>
      <c r="H173" s="38">
        <v>0.05</v>
      </c>
      <c r="I173" s="38">
        <v>7.0000000000000007E-2</v>
      </c>
      <c r="J173" s="38">
        <v>0.05</v>
      </c>
      <c r="K173" s="38">
        <v>7.0000000000000007E-2</v>
      </c>
      <c r="L173" s="30">
        <f t="shared" si="8"/>
        <v>1.1399999999999999</v>
      </c>
      <c r="M173" s="30">
        <f t="shared" si="9"/>
        <v>1.1279999999999999</v>
      </c>
      <c r="N173" s="30">
        <f t="shared" si="10"/>
        <v>1.2000000000000011E-2</v>
      </c>
      <c r="O173" s="31">
        <f t="shared" si="11"/>
        <v>1.132655172413793</v>
      </c>
      <c r="P173" s="52"/>
      <c r="Q173" s="30">
        <v>1.1319999999999999</v>
      </c>
      <c r="R173" s="30">
        <v>1.1319999999999999</v>
      </c>
      <c r="S173" s="30">
        <v>1.133</v>
      </c>
      <c r="T173" s="30">
        <v>1.1339999999999999</v>
      </c>
      <c r="U173" s="30">
        <v>1.1319999999999999</v>
      </c>
      <c r="V173" s="30">
        <v>1.1319999999999999</v>
      </c>
      <c r="W173" s="30">
        <v>1.1339999999999999</v>
      </c>
      <c r="X173" s="30">
        <v>1.1339999999999999</v>
      </c>
      <c r="Y173" s="30">
        <v>1.133</v>
      </c>
      <c r="Z173" s="30">
        <v>1.1319999999999999</v>
      </c>
      <c r="AA173" s="30">
        <v>1.129</v>
      </c>
      <c r="AB173" s="30">
        <v>1.133</v>
      </c>
      <c r="AC173" s="30">
        <v>1.1339999999999999</v>
      </c>
      <c r="AD173" s="30">
        <v>1.133</v>
      </c>
      <c r="AE173" s="30">
        <v>1.133</v>
      </c>
      <c r="AF173" s="30">
        <v>1.133</v>
      </c>
      <c r="AG173" s="30">
        <v>1.133</v>
      </c>
      <c r="AH173" s="30">
        <v>1.131</v>
      </c>
      <c r="AI173" s="30">
        <v>1.1339999999999999</v>
      </c>
      <c r="AJ173" s="30">
        <v>1.1279999999999999</v>
      </c>
      <c r="AK173" s="30">
        <v>1.1319999999999999</v>
      </c>
      <c r="AL173" s="30">
        <v>1.135</v>
      </c>
      <c r="AM173" s="30">
        <v>1.1339999999999999</v>
      </c>
      <c r="AN173" s="30">
        <v>1.1399999999999999</v>
      </c>
      <c r="AO173" s="30"/>
      <c r="AP173" s="30">
        <v>1.1299999999999999</v>
      </c>
      <c r="AQ173" s="30">
        <v>1.131</v>
      </c>
      <c r="AR173" s="30">
        <v>1.133</v>
      </c>
      <c r="AS173" s="30">
        <v>1.133</v>
      </c>
      <c r="AT173" s="30">
        <v>1.1299999999999999</v>
      </c>
      <c r="AU173" s="30">
        <v>1.133</v>
      </c>
      <c r="AV173" s="30">
        <v>1.135</v>
      </c>
      <c r="AW173" s="30">
        <v>1.133</v>
      </c>
      <c r="AX173" s="30"/>
      <c r="AY173" s="30"/>
      <c r="AZ173" s="30"/>
    </row>
    <row r="174" spans="1:52" ht="18" customHeight="1">
      <c r="A174" s="23"/>
      <c r="B174" s="19"/>
      <c r="C174" s="75" t="s">
        <v>65</v>
      </c>
      <c r="D174" s="35" t="s">
        <v>170</v>
      </c>
      <c r="E174" s="35"/>
      <c r="F174" s="29" t="s">
        <v>171</v>
      </c>
      <c r="G174" s="38">
        <v>1.17</v>
      </c>
      <c r="H174" s="38">
        <v>0.05</v>
      </c>
      <c r="I174" s="38">
        <v>7.0000000000000007E-2</v>
      </c>
      <c r="J174" s="38">
        <v>0.05</v>
      </c>
      <c r="K174" s="38">
        <v>7.0000000000000007E-2</v>
      </c>
      <c r="L174" s="30">
        <f t="shared" si="8"/>
        <v>1.117</v>
      </c>
      <c r="M174" s="30">
        <f t="shared" si="9"/>
        <v>1.1100000000000001</v>
      </c>
      <c r="N174" s="30">
        <f t="shared" si="10"/>
        <v>6.9999999999998952E-3</v>
      </c>
      <c r="O174" s="31">
        <f t="shared" si="11"/>
        <v>1.1133793103448277</v>
      </c>
      <c r="P174" s="52"/>
      <c r="Q174" s="30">
        <v>1.1100000000000001</v>
      </c>
      <c r="R174" s="30">
        <v>1.1120000000000001</v>
      </c>
      <c r="S174" s="30">
        <v>1.113</v>
      </c>
      <c r="T174" s="30">
        <v>1.1140000000000001</v>
      </c>
      <c r="U174" s="30">
        <v>1.111</v>
      </c>
      <c r="V174" s="30">
        <v>1.113</v>
      </c>
      <c r="W174" s="30">
        <v>1.1140000000000001</v>
      </c>
      <c r="X174" s="30">
        <v>1.1120000000000001</v>
      </c>
      <c r="Y174" s="30">
        <v>1.113</v>
      </c>
      <c r="Z174" s="30">
        <v>1.1140000000000001</v>
      </c>
      <c r="AA174" s="30">
        <v>1.1120000000000001</v>
      </c>
      <c r="AB174" s="30">
        <v>1.1140000000000001</v>
      </c>
      <c r="AC174" s="30">
        <v>1.115</v>
      </c>
      <c r="AD174" s="30">
        <v>1.113</v>
      </c>
      <c r="AE174" s="30">
        <v>1.1140000000000001</v>
      </c>
      <c r="AF174" s="30">
        <v>1.113</v>
      </c>
      <c r="AG174" s="30">
        <v>1.111</v>
      </c>
      <c r="AH174" s="30">
        <v>1.1120000000000001</v>
      </c>
      <c r="AI174" s="30">
        <v>1.1140000000000001</v>
      </c>
      <c r="AJ174" s="30">
        <v>1.111</v>
      </c>
      <c r="AK174" s="30">
        <v>1.1120000000000001</v>
      </c>
      <c r="AL174" s="30">
        <v>1.115</v>
      </c>
      <c r="AM174" s="30">
        <v>1.113</v>
      </c>
      <c r="AN174" s="30">
        <v>1.1160000000000001</v>
      </c>
      <c r="AO174" s="30"/>
      <c r="AP174" s="30">
        <v>1.1140000000000001</v>
      </c>
      <c r="AQ174" s="30">
        <v>1.117</v>
      </c>
      <c r="AR174" s="30">
        <v>1.115</v>
      </c>
      <c r="AS174" s="30">
        <v>1.1160000000000001</v>
      </c>
      <c r="AT174" s="30">
        <v>1.115</v>
      </c>
      <c r="AU174" s="30">
        <v>1.1180000000000001</v>
      </c>
      <c r="AV174" s="30">
        <v>1.115</v>
      </c>
      <c r="AW174" s="30">
        <v>1.117</v>
      </c>
      <c r="AX174" s="30"/>
      <c r="AY174" s="30"/>
      <c r="AZ174" s="30"/>
    </row>
    <row r="175" spans="1:52" ht="18" customHeight="1">
      <c r="A175" s="23"/>
      <c r="B175" s="19"/>
      <c r="C175" s="75" t="s">
        <v>65</v>
      </c>
      <c r="D175" s="35" t="s">
        <v>172</v>
      </c>
      <c r="E175" s="35"/>
      <c r="F175" s="29" t="s">
        <v>173</v>
      </c>
      <c r="G175" s="38">
        <v>1.17</v>
      </c>
      <c r="H175" s="38">
        <v>0.05</v>
      </c>
      <c r="I175" s="38">
        <v>7.0000000000000007E-2</v>
      </c>
      <c r="J175" s="38">
        <v>0.05</v>
      </c>
      <c r="K175" s="38">
        <v>7.0000000000000007E-2</v>
      </c>
      <c r="L175" s="30">
        <f t="shared" si="8"/>
        <v>1.1220000000000001</v>
      </c>
      <c r="M175" s="30">
        <f t="shared" si="9"/>
        <v>1.115</v>
      </c>
      <c r="N175" s="30">
        <f t="shared" si="10"/>
        <v>7.0000000000001172E-3</v>
      </c>
      <c r="O175" s="31">
        <f t="shared" si="11"/>
        <v>1.1184482758620686</v>
      </c>
      <c r="P175" s="52"/>
      <c r="Q175" s="30">
        <v>1.1160000000000001</v>
      </c>
      <c r="R175" s="30">
        <v>1.117</v>
      </c>
      <c r="S175" s="30">
        <v>1.117</v>
      </c>
      <c r="T175" s="30">
        <v>1.1180000000000001</v>
      </c>
      <c r="U175" s="30">
        <v>1.1160000000000001</v>
      </c>
      <c r="V175" s="30">
        <v>1.119</v>
      </c>
      <c r="W175" s="30">
        <v>1.119</v>
      </c>
      <c r="X175" s="30">
        <v>1.1180000000000001</v>
      </c>
      <c r="Y175" s="30">
        <v>1.119</v>
      </c>
      <c r="Z175" s="30">
        <v>1.117</v>
      </c>
      <c r="AA175" s="30">
        <v>1.1160000000000001</v>
      </c>
      <c r="AB175" s="30">
        <v>1.1180000000000001</v>
      </c>
      <c r="AC175" s="30">
        <v>1.1200000000000001</v>
      </c>
      <c r="AD175" s="30">
        <v>1.121</v>
      </c>
      <c r="AE175" s="30">
        <v>1.1200000000000001</v>
      </c>
      <c r="AF175" s="30">
        <v>1.1180000000000001</v>
      </c>
      <c r="AG175" s="30">
        <v>1.1180000000000001</v>
      </c>
      <c r="AH175" s="30">
        <v>1.115</v>
      </c>
      <c r="AI175" s="30">
        <v>1.119</v>
      </c>
      <c r="AJ175" s="30">
        <v>1.115</v>
      </c>
      <c r="AK175" s="30">
        <v>1.119</v>
      </c>
      <c r="AL175" s="30">
        <v>1.119</v>
      </c>
      <c r="AM175" s="30">
        <v>1.117</v>
      </c>
      <c r="AN175" s="30">
        <v>1.1200000000000001</v>
      </c>
      <c r="AO175" s="30"/>
      <c r="AP175" s="30">
        <v>1.121</v>
      </c>
      <c r="AQ175" s="30">
        <v>1.121</v>
      </c>
      <c r="AR175" s="30">
        <v>1.1220000000000001</v>
      </c>
      <c r="AS175" s="30">
        <v>1.121</v>
      </c>
      <c r="AT175" s="30">
        <v>1.119</v>
      </c>
      <c r="AU175" s="30">
        <v>1.1220000000000001</v>
      </c>
      <c r="AV175" s="30">
        <v>1.119</v>
      </c>
      <c r="AW175" s="30">
        <v>1.1220000000000001</v>
      </c>
      <c r="AX175" s="30"/>
      <c r="AY175" s="30"/>
      <c r="AZ175" s="30"/>
    </row>
    <row r="176" spans="1:52" ht="18" customHeight="1">
      <c r="A176" s="23"/>
      <c r="B176" s="19"/>
      <c r="C176" s="75" t="s">
        <v>65</v>
      </c>
      <c r="D176" s="35" t="s">
        <v>174</v>
      </c>
      <c r="E176" s="35"/>
      <c r="F176" s="29" t="s">
        <v>175</v>
      </c>
      <c r="G176" s="38">
        <v>1.17</v>
      </c>
      <c r="H176" s="38">
        <v>0.05</v>
      </c>
      <c r="I176" s="38">
        <v>7.0000000000000007E-2</v>
      </c>
      <c r="J176" s="38">
        <v>0.05</v>
      </c>
      <c r="K176" s="38">
        <v>7.0000000000000007E-2</v>
      </c>
      <c r="L176" s="30">
        <f t="shared" si="8"/>
        <v>1.1399999999999999</v>
      </c>
      <c r="M176" s="30">
        <f t="shared" si="9"/>
        <v>1.133</v>
      </c>
      <c r="N176" s="30">
        <f t="shared" si="10"/>
        <v>6.9999999999998952E-3</v>
      </c>
      <c r="O176" s="31">
        <f t="shared" si="11"/>
        <v>1.1355862068965519</v>
      </c>
      <c r="P176" s="52"/>
      <c r="Q176" s="30">
        <v>1.1339999999999999</v>
      </c>
      <c r="R176" s="30">
        <v>1.133</v>
      </c>
      <c r="S176" s="30">
        <v>1.135</v>
      </c>
      <c r="T176" s="30">
        <v>1.135</v>
      </c>
      <c r="U176" s="30">
        <v>1.135</v>
      </c>
      <c r="V176" s="30">
        <v>1.1359999999999999</v>
      </c>
      <c r="W176" s="30">
        <v>1.1359999999999999</v>
      </c>
      <c r="X176" s="30">
        <v>1.133</v>
      </c>
      <c r="Y176" s="30">
        <v>1.135</v>
      </c>
      <c r="Z176" s="30">
        <v>1.1359999999999999</v>
      </c>
      <c r="AA176" s="30">
        <v>1.135</v>
      </c>
      <c r="AB176" s="30">
        <v>1.1359999999999999</v>
      </c>
      <c r="AC176" s="30">
        <v>1.1399999999999999</v>
      </c>
      <c r="AD176" s="30">
        <v>1.1359999999999999</v>
      </c>
      <c r="AE176" s="30">
        <v>1.137</v>
      </c>
      <c r="AF176" s="30">
        <v>1.135</v>
      </c>
      <c r="AG176" s="30">
        <v>1.1339999999999999</v>
      </c>
      <c r="AH176" s="30">
        <v>1.135</v>
      </c>
      <c r="AI176" s="30">
        <v>1.137</v>
      </c>
      <c r="AJ176" s="30">
        <v>1.133</v>
      </c>
      <c r="AK176" s="30">
        <v>1.135</v>
      </c>
      <c r="AL176" s="30">
        <v>1.137</v>
      </c>
      <c r="AM176" s="30">
        <v>1.133</v>
      </c>
      <c r="AN176" s="30">
        <v>1.137</v>
      </c>
      <c r="AO176" s="30"/>
      <c r="AP176" s="30">
        <v>1.1359999999999999</v>
      </c>
      <c r="AQ176" s="30">
        <v>1.137</v>
      </c>
      <c r="AR176" s="30">
        <v>1.1359999999999999</v>
      </c>
      <c r="AS176" s="30">
        <v>1.139</v>
      </c>
      <c r="AT176" s="30">
        <v>1.1359999999999999</v>
      </c>
      <c r="AU176" s="30">
        <v>1.1379999999999999</v>
      </c>
      <c r="AV176" s="30">
        <v>1.1379999999999999</v>
      </c>
      <c r="AW176" s="30">
        <v>1.139</v>
      </c>
      <c r="AX176" s="30"/>
      <c r="AY176" s="30"/>
      <c r="AZ176" s="30"/>
    </row>
    <row r="177" spans="1:52" ht="18" customHeight="1">
      <c r="A177" s="23"/>
      <c r="B177" s="19"/>
      <c r="C177" s="75" t="s">
        <v>65</v>
      </c>
      <c r="D177" s="35" t="s">
        <v>176</v>
      </c>
      <c r="E177" s="35"/>
      <c r="F177" s="29" t="s">
        <v>177</v>
      </c>
      <c r="G177" s="38">
        <v>0.84</v>
      </c>
      <c r="H177" s="38">
        <v>0.05</v>
      </c>
      <c r="I177" s="38">
        <v>0.05</v>
      </c>
      <c r="J177" s="38">
        <v>0.05</v>
      </c>
      <c r="K177" s="38">
        <v>0.05</v>
      </c>
      <c r="L177" s="30">
        <f t="shared" si="8"/>
        <v>0.82</v>
      </c>
      <c r="M177" s="30">
        <f t="shared" si="9"/>
        <v>0.81799999999999995</v>
      </c>
      <c r="N177" s="30">
        <f t="shared" si="10"/>
        <v>2.0000000000000018E-3</v>
      </c>
      <c r="O177" s="31">
        <f t="shared" si="11"/>
        <v>0.81903448275862045</v>
      </c>
      <c r="P177" s="52"/>
      <c r="Q177" s="30">
        <v>0.81899999999999995</v>
      </c>
      <c r="R177" s="30">
        <v>0.81899999999999995</v>
      </c>
      <c r="S177" s="30">
        <v>0.81899999999999995</v>
      </c>
      <c r="T177" s="30">
        <v>0.81899999999999995</v>
      </c>
      <c r="U177" s="30">
        <v>0.81899999999999995</v>
      </c>
      <c r="V177" s="30">
        <v>0.81899999999999995</v>
      </c>
      <c r="W177" s="30">
        <v>0.81899999999999995</v>
      </c>
      <c r="X177" s="30">
        <v>0.81899999999999995</v>
      </c>
      <c r="Y177" s="30">
        <v>0.81899999999999995</v>
      </c>
      <c r="Z177" s="30">
        <v>0.82</v>
      </c>
      <c r="AA177" s="30">
        <v>0.82</v>
      </c>
      <c r="AB177" s="30">
        <v>0.81899999999999995</v>
      </c>
      <c r="AC177" s="30">
        <v>0.81899999999999995</v>
      </c>
      <c r="AD177" s="30">
        <v>0.81899999999999995</v>
      </c>
      <c r="AE177" s="30">
        <v>0.81899999999999995</v>
      </c>
      <c r="AF177" s="30">
        <v>0.82</v>
      </c>
      <c r="AG177" s="30">
        <v>0.81899999999999995</v>
      </c>
      <c r="AH177" s="30">
        <v>0.81899999999999995</v>
      </c>
      <c r="AI177" s="30">
        <v>0.81899999999999995</v>
      </c>
      <c r="AJ177" s="30">
        <v>0.81899999999999995</v>
      </c>
      <c r="AK177" s="30">
        <v>0.81899999999999995</v>
      </c>
      <c r="AL177" s="30">
        <v>0.81899999999999995</v>
      </c>
      <c r="AM177" s="30">
        <v>0.81799999999999995</v>
      </c>
      <c r="AN177" s="30">
        <v>0.82</v>
      </c>
      <c r="AO177" s="30"/>
      <c r="AP177" s="30">
        <v>0.81899999999999995</v>
      </c>
      <c r="AQ177" s="30">
        <v>0.81899999999999995</v>
      </c>
      <c r="AR177" s="30">
        <v>0.81799999999999995</v>
      </c>
      <c r="AS177" s="30">
        <v>0.81899999999999995</v>
      </c>
      <c r="AT177" s="30">
        <v>0.81799999999999995</v>
      </c>
      <c r="AU177" s="30">
        <v>0.82</v>
      </c>
      <c r="AV177" s="30">
        <v>0.81899999999999995</v>
      </c>
      <c r="AW177" s="30">
        <v>0.81899999999999995</v>
      </c>
      <c r="AX177" s="30"/>
      <c r="AY177" s="30"/>
      <c r="AZ177" s="30"/>
    </row>
    <row r="178" spans="1:52" ht="18" customHeight="1">
      <c r="A178" s="23"/>
      <c r="B178" s="19"/>
      <c r="C178" s="75" t="s">
        <v>65</v>
      </c>
      <c r="D178" s="35" t="s">
        <v>178</v>
      </c>
      <c r="E178" s="35"/>
      <c r="F178" s="29" t="s">
        <v>179</v>
      </c>
      <c r="G178" s="38">
        <v>0.84</v>
      </c>
      <c r="H178" s="38">
        <v>0.05</v>
      </c>
      <c r="I178" s="38">
        <v>0.05</v>
      </c>
      <c r="J178" s="38">
        <v>0.05</v>
      </c>
      <c r="K178" s="38">
        <v>0.05</v>
      </c>
      <c r="L178" s="30">
        <f t="shared" si="8"/>
        <v>0.84499999999999997</v>
      </c>
      <c r="M178" s="30">
        <f t="shared" si="9"/>
        <v>0.83899999999999997</v>
      </c>
      <c r="N178" s="30">
        <f t="shared" si="10"/>
        <v>6.0000000000000053E-3</v>
      </c>
      <c r="O178" s="31">
        <f t="shared" si="11"/>
        <v>0.84244827586206883</v>
      </c>
      <c r="P178" s="52"/>
      <c r="Q178" s="30">
        <v>0.84199999999999997</v>
      </c>
      <c r="R178" s="30">
        <v>0.84499999999999997</v>
      </c>
      <c r="S178" s="30">
        <v>0.84299999999999997</v>
      </c>
      <c r="T178" s="30">
        <v>0.84299999999999997</v>
      </c>
      <c r="U178" s="30">
        <v>0.84299999999999997</v>
      </c>
      <c r="V178" s="30">
        <v>0.83899999999999997</v>
      </c>
      <c r="W178" s="30">
        <v>0.84199999999999997</v>
      </c>
      <c r="X178" s="30">
        <v>0.83899999999999997</v>
      </c>
      <c r="Y178" s="30">
        <v>0.84199999999999997</v>
      </c>
      <c r="Z178" s="30">
        <v>0.84299999999999997</v>
      </c>
      <c r="AA178" s="30">
        <v>0.84399999999999997</v>
      </c>
      <c r="AB178" s="30">
        <v>0.84399999999999997</v>
      </c>
      <c r="AC178" s="30">
        <v>0.84199999999999997</v>
      </c>
      <c r="AD178" s="30">
        <v>0.84199999999999997</v>
      </c>
      <c r="AE178" s="30">
        <v>0.84399999999999997</v>
      </c>
      <c r="AF178" s="30">
        <v>0.84199999999999997</v>
      </c>
      <c r="AG178" s="30">
        <v>0.84199999999999997</v>
      </c>
      <c r="AH178" s="30">
        <v>0.84199999999999997</v>
      </c>
      <c r="AI178" s="30">
        <v>0.84399999999999997</v>
      </c>
      <c r="AJ178" s="30">
        <v>0.84199999999999997</v>
      </c>
      <c r="AK178" s="30">
        <v>0.84399999999999997</v>
      </c>
      <c r="AL178" s="30">
        <v>0.84199999999999997</v>
      </c>
      <c r="AM178" s="30">
        <v>0.84199999999999997</v>
      </c>
      <c r="AN178" s="30">
        <v>0.84499999999999997</v>
      </c>
      <c r="AO178" s="30"/>
      <c r="AP178" s="30">
        <v>0.84199999999999997</v>
      </c>
      <c r="AQ178" s="30">
        <v>0.84</v>
      </c>
      <c r="AR178" s="30">
        <v>0.84299999999999997</v>
      </c>
      <c r="AS178" s="30">
        <v>0.84299999999999997</v>
      </c>
      <c r="AT178" s="30">
        <v>0.84099999999999997</v>
      </c>
      <c r="AU178" s="30">
        <v>0.84299999999999997</v>
      </c>
      <c r="AV178" s="30">
        <v>0.84099999999999997</v>
      </c>
      <c r="AW178" s="30">
        <v>0.84099999999999997</v>
      </c>
      <c r="AX178" s="30"/>
      <c r="AY178" s="30"/>
      <c r="AZ178" s="30"/>
    </row>
    <row r="179" spans="1:52" ht="18" customHeight="1">
      <c r="A179" s="23"/>
      <c r="B179" s="19"/>
      <c r="C179" s="75" t="s">
        <v>65</v>
      </c>
      <c r="D179" s="35" t="s">
        <v>180</v>
      </c>
      <c r="E179" s="35"/>
      <c r="F179" s="29" t="s">
        <v>181</v>
      </c>
      <c r="G179" s="38">
        <v>0.84</v>
      </c>
      <c r="H179" s="38">
        <v>0.05</v>
      </c>
      <c r="I179" s="38">
        <v>0.05</v>
      </c>
      <c r="J179" s="38">
        <v>0.05</v>
      </c>
      <c r="K179" s="38">
        <v>0.05</v>
      </c>
      <c r="L179" s="30">
        <f t="shared" si="8"/>
        <v>0.84499999999999997</v>
      </c>
      <c r="M179" s="30">
        <f t="shared" si="9"/>
        <v>0.84</v>
      </c>
      <c r="N179" s="30">
        <f t="shared" si="10"/>
        <v>5.0000000000000044E-3</v>
      </c>
      <c r="O179" s="31">
        <f t="shared" si="11"/>
        <v>0.84275862068965512</v>
      </c>
      <c r="P179" s="52"/>
      <c r="Q179" s="30">
        <v>0.84299999999999997</v>
      </c>
      <c r="R179" s="30">
        <v>0.84399999999999997</v>
      </c>
      <c r="S179" s="30">
        <v>0.84299999999999997</v>
      </c>
      <c r="T179" s="30">
        <v>0.84399999999999997</v>
      </c>
      <c r="U179" s="30">
        <v>0.84399999999999997</v>
      </c>
      <c r="V179" s="30">
        <v>0.84299999999999997</v>
      </c>
      <c r="W179" s="30">
        <v>0.84199999999999997</v>
      </c>
      <c r="X179" s="30">
        <v>0.84199999999999997</v>
      </c>
      <c r="Y179" s="30">
        <v>0.84299999999999997</v>
      </c>
      <c r="Z179" s="30">
        <v>0.84399999999999997</v>
      </c>
      <c r="AA179" s="30">
        <v>0.84199999999999997</v>
      </c>
      <c r="AB179" s="30">
        <v>0.84199999999999997</v>
      </c>
      <c r="AC179" s="30">
        <v>0.84099999999999997</v>
      </c>
      <c r="AD179" s="30">
        <v>0.84299999999999997</v>
      </c>
      <c r="AE179" s="30">
        <v>0.84299999999999997</v>
      </c>
      <c r="AF179" s="30">
        <v>0.84299999999999997</v>
      </c>
      <c r="AG179" s="30">
        <v>0.84399999999999997</v>
      </c>
      <c r="AH179" s="30">
        <v>0.84399999999999997</v>
      </c>
      <c r="AI179" s="30">
        <v>0.84199999999999997</v>
      </c>
      <c r="AJ179" s="30">
        <v>0.84399999999999997</v>
      </c>
      <c r="AK179" s="30">
        <v>0.84399999999999997</v>
      </c>
      <c r="AL179" s="30">
        <v>0.84299999999999997</v>
      </c>
      <c r="AM179" s="30">
        <v>0.84499999999999997</v>
      </c>
      <c r="AN179" s="30">
        <v>0.84199999999999997</v>
      </c>
      <c r="AO179" s="30"/>
      <c r="AP179" s="30">
        <v>0.84099999999999997</v>
      </c>
      <c r="AQ179" s="30">
        <v>0.84</v>
      </c>
      <c r="AR179" s="30">
        <v>0.84099999999999997</v>
      </c>
      <c r="AS179" s="30">
        <v>0.84199999999999997</v>
      </c>
      <c r="AT179" s="30">
        <v>0.84199999999999997</v>
      </c>
      <c r="AU179" s="30">
        <v>0.84099999999999997</v>
      </c>
      <c r="AV179" s="30">
        <v>0.84199999999999997</v>
      </c>
      <c r="AW179" s="30">
        <v>0.84</v>
      </c>
      <c r="AX179" s="30"/>
      <c r="AY179" s="30"/>
      <c r="AZ179" s="30"/>
    </row>
    <row r="180" spans="1:52" ht="18" customHeight="1">
      <c r="A180" s="23"/>
      <c r="B180" s="19"/>
      <c r="C180" s="75" t="s">
        <v>65</v>
      </c>
      <c r="D180" s="35" t="s">
        <v>182</v>
      </c>
      <c r="E180" s="35"/>
      <c r="F180" s="29" t="s">
        <v>183</v>
      </c>
      <c r="G180" s="38">
        <v>0.84</v>
      </c>
      <c r="H180" s="38">
        <v>0.05</v>
      </c>
      <c r="I180" s="38">
        <v>0.05</v>
      </c>
      <c r="J180" s="38">
        <v>0.05</v>
      </c>
      <c r="K180" s="38">
        <v>0.05</v>
      </c>
      <c r="L180" s="30">
        <f t="shared" si="8"/>
        <v>0.82099999999999995</v>
      </c>
      <c r="M180" s="30">
        <f t="shared" si="9"/>
        <v>0.81699999999999995</v>
      </c>
      <c r="N180" s="30">
        <f t="shared" si="10"/>
        <v>4.0000000000000036E-3</v>
      </c>
      <c r="O180" s="31">
        <f t="shared" si="11"/>
        <v>0.81931034482758625</v>
      </c>
      <c r="P180" s="52"/>
      <c r="Q180" s="30">
        <v>0.82</v>
      </c>
      <c r="R180" s="30">
        <v>0.81899999999999995</v>
      </c>
      <c r="S180" s="30">
        <v>0.82</v>
      </c>
      <c r="T180" s="30">
        <v>0.81899999999999995</v>
      </c>
      <c r="U180" s="30">
        <v>0.82099999999999995</v>
      </c>
      <c r="V180" s="30">
        <v>0.82</v>
      </c>
      <c r="W180" s="30">
        <v>0.82</v>
      </c>
      <c r="X180" s="30">
        <v>0.81799999999999995</v>
      </c>
      <c r="Y180" s="30">
        <v>0.81899999999999995</v>
      </c>
      <c r="Z180" s="30">
        <v>0.81899999999999995</v>
      </c>
      <c r="AA180" s="30">
        <v>0.81899999999999995</v>
      </c>
      <c r="AB180" s="30">
        <v>0.81899999999999995</v>
      </c>
      <c r="AC180" s="30">
        <v>0.81699999999999995</v>
      </c>
      <c r="AD180" s="30">
        <v>0.82</v>
      </c>
      <c r="AE180" s="30">
        <v>0.81899999999999995</v>
      </c>
      <c r="AF180" s="30">
        <v>0.82</v>
      </c>
      <c r="AG180" s="30">
        <v>0.82</v>
      </c>
      <c r="AH180" s="30">
        <v>0.82</v>
      </c>
      <c r="AI180" s="30">
        <v>0.81799999999999995</v>
      </c>
      <c r="AJ180" s="30">
        <v>0.82099999999999995</v>
      </c>
      <c r="AK180" s="30">
        <v>0.82</v>
      </c>
      <c r="AL180" s="30">
        <v>0.81799999999999995</v>
      </c>
      <c r="AM180" s="30">
        <v>0.82</v>
      </c>
      <c r="AN180" s="30">
        <v>0.81899999999999995</v>
      </c>
      <c r="AO180" s="30"/>
      <c r="AP180" s="30">
        <v>0.82</v>
      </c>
      <c r="AQ180" s="30">
        <v>0.81799999999999995</v>
      </c>
      <c r="AR180" s="30">
        <v>0.82</v>
      </c>
      <c r="AS180" s="30">
        <v>0.81899999999999995</v>
      </c>
      <c r="AT180" s="30">
        <v>0.81799999999999995</v>
      </c>
      <c r="AU180" s="30">
        <v>0.82</v>
      </c>
      <c r="AV180" s="30">
        <v>0.82</v>
      </c>
      <c r="AW180" s="30">
        <v>0.81899999999999995</v>
      </c>
      <c r="AX180" s="30"/>
      <c r="AY180" s="30"/>
      <c r="AZ180" s="30"/>
    </row>
    <row r="181" spans="1:52" ht="18" customHeight="1">
      <c r="A181" s="23"/>
      <c r="B181" s="19"/>
      <c r="C181" s="78" t="s">
        <v>115</v>
      </c>
      <c r="D181" s="35" t="s">
        <v>184</v>
      </c>
      <c r="E181" s="35"/>
      <c r="F181" s="29" t="s">
        <v>185</v>
      </c>
      <c r="G181" s="38">
        <v>2.14</v>
      </c>
      <c r="H181" s="38">
        <v>0.03</v>
      </c>
      <c r="I181" s="38">
        <v>0.03</v>
      </c>
      <c r="J181" s="38">
        <v>0.03</v>
      </c>
      <c r="K181" s="38">
        <v>0.03</v>
      </c>
      <c r="L181" s="30">
        <f t="shared" si="8"/>
        <v>2.1549999999999998</v>
      </c>
      <c r="M181" s="30">
        <f t="shared" si="9"/>
        <v>2.13</v>
      </c>
      <c r="N181" s="30">
        <f t="shared" si="10"/>
        <v>2.4999999999999911E-2</v>
      </c>
      <c r="O181" s="31">
        <f t="shared" si="11"/>
        <v>2.1427241379310349</v>
      </c>
      <c r="P181" s="52"/>
      <c r="Q181" s="30">
        <v>2.1549999999999998</v>
      </c>
      <c r="R181" s="30">
        <v>2.145</v>
      </c>
      <c r="S181" s="30">
        <v>2.145</v>
      </c>
      <c r="T181" s="30">
        <v>2.1429999999999998</v>
      </c>
      <c r="U181" s="30">
        <v>2.1469999999999998</v>
      </c>
      <c r="V181" s="30">
        <v>2.1480000000000001</v>
      </c>
      <c r="W181" s="30">
        <v>2.1459999999999999</v>
      </c>
      <c r="X181" s="30">
        <v>2.1419999999999999</v>
      </c>
      <c r="Y181" s="30">
        <v>2.1419999999999999</v>
      </c>
      <c r="Z181" s="30">
        <v>2.1419999999999999</v>
      </c>
      <c r="AA181" s="30">
        <v>2.141</v>
      </c>
      <c r="AB181" s="30">
        <v>2.1440000000000001</v>
      </c>
      <c r="AC181" s="30">
        <v>2.1389999999999998</v>
      </c>
      <c r="AD181" s="30">
        <v>2.1440000000000001</v>
      </c>
      <c r="AE181" s="30">
        <v>2.1419999999999999</v>
      </c>
      <c r="AF181" s="30">
        <v>2.1419999999999999</v>
      </c>
      <c r="AG181" s="30">
        <v>2.1429999999999998</v>
      </c>
      <c r="AH181" s="30">
        <v>2.1379999999999999</v>
      </c>
      <c r="AI181" s="30">
        <v>2.14</v>
      </c>
      <c r="AJ181" s="30">
        <v>2.14</v>
      </c>
      <c r="AK181" s="30">
        <v>2.1419999999999999</v>
      </c>
      <c r="AL181" s="30">
        <v>2.1480000000000001</v>
      </c>
      <c r="AM181" s="30">
        <v>2.1459999999999999</v>
      </c>
      <c r="AN181" s="30">
        <v>2.1379999999999999</v>
      </c>
      <c r="AO181" s="30"/>
      <c r="AP181" s="30">
        <v>2.13</v>
      </c>
      <c r="AQ181" s="30">
        <v>2.145</v>
      </c>
      <c r="AR181" s="30">
        <v>2.1440000000000001</v>
      </c>
      <c r="AS181" s="30">
        <v>2.1389999999999998</v>
      </c>
      <c r="AT181" s="30">
        <v>2.1389999999999998</v>
      </c>
      <c r="AU181" s="30">
        <v>2.1480000000000001</v>
      </c>
      <c r="AV181" s="30">
        <v>2.1379999999999999</v>
      </c>
      <c r="AW181" s="30">
        <v>2.137</v>
      </c>
      <c r="AX181" s="30"/>
      <c r="AY181" s="30"/>
      <c r="AZ181" s="30"/>
    </row>
    <row r="182" spans="1:52" ht="18" customHeight="1">
      <c r="A182" s="23"/>
      <c r="B182" s="19"/>
      <c r="C182" s="78" t="s">
        <v>115</v>
      </c>
      <c r="D182" s="35" t="s">
        <v>186</v>
      </c>
      <c r="E182" s="35"/>
      <c r="F182" s="29" t="s">
        <v>187</v>
      </c>
      <c r="G182" s="38">
        <v>2.14</v>
      </c>
      <c r="H182" s="38">
        <v>0.03</v>
      </c>
      <c r="I182" s="38">
        <v>0.03</v>
      </c>
      <c r="J182" s="38">
        <v>0.03</v>
      </c>
      <c r="K182" s="38">
        <v>0.03</v>
      </c>
      <c r="L182" s="30">
        <f t="shared" si="8"/>
        <v>2.1669999999999998</v>
      </c>
      <c r="M182" s="30">
        <f t="shared" si="9"/>
        <v>2.149</v>
      </c>
      <c r="N182" s="30">
        <f t="shared" si="10"/>
        <v>1.7999999999999794E-2</v>
      </c>
      <c r="O182" s="31">
        <f t="shared" si="11"/>
        <v>2.1573793103448278</v>
      </c>
      <c r="P182" s="52"/>
      <c r="Q182" s="30">
        <v>2.1669999999999998</v>
      </c>
      <c r="R182" s="30">
        <v>2.1560000000000001</v>
      </c>
      <c r="S182" s="30">
        <v>2.1549999999999998</v>
      </c>
      <c r="T182" s="30">
        <v>2.1539999999999999</v>
      </c>
      <c r="U182" s="30">
        <v>2.1589999999999998</v>
      </c>
      <c r="V182" s="30">
        <v>2.161</v>
      </c>
      <c r="W182" s="30">
        <v>2.157</v>
      </c>
      <c r="X182" s="30">
        <v>2.1560000000000001</v>
      </c>
      <c r="Y182" s="30">
        <v>2.1589999999999998</v>
      </c>
      <c r="Z182" s="30">
        <v>2.1619999999999999</v>
      </c>
      <c r="AA182" s="30">
        <v>2.1539999999999999</v>
      </c>
      <c r="AB182" s="30">
        <v>2.1619999999999999</v>
      </c>
      <c r="AC182" s="30">
        <v>2.161</v>
      </c>
      <c r="AD182" s="30">
        <v>2.1560000000000001</v>
      </c>
      <c r="AE182" s="30">
        <v>2.16</v>
      </c>
      <c r="AF182" s="30">
        <v>2.1589999999999998</v>
      </c>
      <c r="AG182" s="30">
        <v>2.1539999999999999</v>
      </c>
      <c r="AH182" s="30">
        <v>2.16</v>
      </c>
      <c r="AI182" s="30">
        <v>2.1589999999999998</v>
      </c>
      <c r="AJ182" s="30">
        <v>2.157</v>
      </c>
      <c r="AK182" s="30">
        <v>2.161</v>
      </c>
      <c r="AL182" s="30">
        <v>2.1579999999999999</v>
      </c>
      <c r="AM182" s="30">
        <v>2.15</v>
      </c>
      <c r="AN182" s="30">
        <v>2.1549999999999998</v>
      </c>
      <c r="AO182" s="30"/>
      <c r="AP182" s="30">
        <v>2.16</v>
      </c>
      <c r="AQ182" s="30">
        <v>2.149</v>
      </c>
      <c r="AR182" s="30">
        <v>2.153</v>
      </c>
      <c r="AS182" s="30">
        <v>2.157</v>
      </c>
      <c r="AT182" s="30">
        <v>2.153</v>
      </c>
      <c r="AU182" s="30">
        <v>2.15</v>
      </c>
      <c r="AV182" s="30">
        <v>2.1560000000000001</v>
      </c>
      <c r="AW182" s="30">
        <v>2.1520000000000001</v>
      </c>
      <c r="AX182" s="30"/>
      <c r="AY182" s="30"/>
      <c r="AZ182" s="30"/>
    </row>
    <row r="183" spans="1:52" ht="18" customHeight="1">
      <c r="A183" s="23"/>
      <c r="B183" s="19"/>
      <c r="C183" s="78" t="s">
        <v>115</v>
      </c>
      <c r="D183" s="35" t="s">
        <v>188</v>
      </c>
      <c r="E183" s="35"/>
      <c r="F183" s="29" t="s">
        <v>189</v>
      </c>
      <c r="G183" s="38">
        <v>2.14</v>
      </c>
      <c r="H183" s="38">
        <v>0.03</v>
      </c>
      <c r="I183" s="38">
        <v>0.03</v>
      </c>
      <c r="J183" s="38">
        <v>0.03</v>
      </c>
      <c r="K183" s="38">
        <v>0.03</v>
      </c>
      <c r="L183" s="30">
        <f t="shared" si="8"/>
        <v>2.1659999999999999</v>
      </c>
      <c r="M183" s="30">
        <f t="shared" si="9"/>
        <v>2.1440000000000001</v>
      </c>
      <c r="N183" s="30">
        <f t="shared" si="10"/>
        <v>2.1999999999999797E-2</v>
      </c>
      <c r="O183" s="31">
        <f t="shared" si="11"/>
        <v>2.1523793103448274</v>
      </c>
      <c r="P183" s="52"/>
      <c r="Q183" s="30">
        <v>2.1539999999999999</v>
      </c>
      <c r="R183" s="30">
        <v>2.157</v>
      </c>
      <c r="S183" s="30">
        <v>2.1629999999999998</v>
      </c>
      <c r="T183" s="30">
        <v>2.1560000000000001</v>
      </c>
      <c r="U183" s="30">
        <v>2.1659999999999999</v>
      </c>
      <c r="V183" s="30">
        <v>2.1619999999999999</v>
      </c>
      <c r="W183" s="30">
        <v>2.165</v>
      </c>
      <c r="X183" s="30">
        <v>2.1509999999999998</v>
      </c>
      <c r="Y183" s="30">
        <v>2.1509999999999998</v>
      </c>
      <c r="Z183" s="30">
        <v>2.1509999999999998</v>
      </c>
      <c r="AA183" s="30">
        <v>2.15</v>
      </c>
      <c r="AB183" s="30">
        <v>2.1539999999999999</v>
      </c>
      <c r="AC183" s="30">
        <v>2.149</v>
      </c>
      <c r="AD183" s="30">
        <v>2.1520000000000001</v>
      </c>
      <c r="AE183" s="30">
        <v>2.1520000000000001</v>
      </c>
      <c r="AF183" s="30">
        <v>2.15</v>
      </c>
      <c r="AG183" s="30">
        <v>2.1509999999999998</v>
      </c>
      <c r="AH183" s="30">
        <v>2.1480000000000001</v>
      </c>
      <c r="AI183" s="30">
        <v>2.1480000000000001</v>
      </c>
      <c r="AJ183" s="30">
        <v>2.149</v>
      </c>
      <c r="AK183" s="30">
        <v>2.1509999999999998</v>
      </c>
      <c r="AL183" s="30">
        <v>2.1509999999999998</v>
      </c>
      <c r="AM183" s="30">
        <v>2.15</v>
      </c>
      <c r="AN183" s="30">
        <v>2.1469999999999998</v>
      </c>
      <c r="AO183" s="30"/>
      <c r="AP183" s="30">
        <v>2.1440000000000001</v>
      </c>
      <c r="AQ183" s="30">
        <v>2.1480000000000001</v>
      </c>
      <c r="AR183" s="30">
        <v>2.153</v>
      </c>
      <c r="AS183" s="30">
        <v>2.1469999999999998</v>
      </c>
      <c r="AT183" s="30">
        <v>2.149</v>
      </c>
      <c r="AU183" s="30">
        <v>2.137</v>
      </c>
      <c r="AV183" s="30">
        <v>2.1459999999999999</v>
      </c>
      <c r="AW183" s="30">
        <v>2.1469999999999998</v>
      </c>
      <c r="AX183" s="30"/>
      <c r="AY183" s="30"/>
      <c r="AZ183" s="30"/>
    </row>
    <row r="184" spans="1:52" ht="18" customHeight="1">
      <c r="A184" s="23"/>
      <c r="B184" s="19"/>
      <c r="C184" s="78" t="s">
        <v>115</v>
      </c>
      <c r="D184" s="35" t="s">
        <v>190</v>
      </c>
      <c r="E184" s="35"/>
      <c r="F184" s="29" t="s">
        <v>191</v>
      </c>
      <c r="G184" s="38">
        <v>2.14</v>
      </c>
      <c r="H184" s="38">
        <v>0.03</v>
      </c>
      <c r="I184" s="38">
        <v>0.03</v>
      </c>
      <c r="J184" s="38">
        <v>0.03</v>
      </c>
      <c r="K184" s="38">
        <v>0.03</v>
      </c>
      <c r="L184" s="30">
        <f t="shared" si="8"/>
        <v>2.1589999999999998</v>
      </c>
      <c r="M184" s="30">
        <f t="shared" si="9"/>
        <v>2.1309999999999998</v>
      </c>
      <c r="N184" s="30">
        <f t="shared" si="10"/>
        <v>2.8000000000000025E-2</v>
      </c>
      <c r="O184" s="31">
        <f t="shared" si="11"/>
        <v>2.1460689655172414</v>
      </c>
      <c r="P184" s="52"/>
      <c r="Q184" s="30">
        <v>2.153</v>
      </c>
      <c r="R184" s="30">
        <v>2.149</v>
      </c>
      <c r="S184" s="30">
        <v>2.1539999999999999</v>
      </c>
      <c r="T184" s="30">
        <v>2.1469999999999998</v>
      </c>
      <c r="U184" s="30">
        <v>2.157</v>
      </c>
      <c r="V184" s="30">
        <v>2.1589999999999998</v>
      </c>
      <c r="W184" s="30">
        <v>2.1549999999999998</v>
      </c>
      <c r="X184" s="30">
        <v>2.145</v>
      </c>
      <c r="Y184" s="30">
        <v>2.1429999999999998</v>
      </c>
      <c r="Z184" s="30">
        <v>2.141</v>
      </c>
      <c r="AA184" s="30">
        <v>2.1429999999999998</v>
      </c>
      <c r="AB184" s="30">
        <v>2.1459999999999999</v>
      </c>
      <c r="AC184" s="30">
        <v>2.1429999999999998</v>
      </c>
      <c r="AD184" s="30">
        <v>2.145</v>
      </c>
      <c r="AE184" s="30">
        <v>2.1440000000000001</v>
      </c>
      <c r="AF184" s="30">
        <v>2.1429999999999998</v>
      </c>
      <c r="AG184" s="30">
        <v>2.1440000000000001</v>
      </c>
      <c r="AH184" s="30">
        <v>2.141</v>
      </c>
      <c r="AI184" s="30">
        <v>2.141</v>
      </c>
      <c r="AJ184" s="30">
        <v>2.141</v>
      </c>
      <c r="AK184" s="30">
        <v>2.1429999999999998</v>
      </c>
      <c r="AL184" s="30">
        <v>2.15</v>
      </c>
      <c r="AM184" s="30">
        <v>2.149</v>
      </c>
      <c r="AN184" s="30">
        <v>2.14</v>
      </c>
      <c r="AO184" s="30"/>
      <c r="AP184" s="30">
        <v>2.1309999999999998</v>
      </c>
      <c r="AQ184" s="30">
        <v>2.1480000000000001</v>
      </c>
      <c r="AR184" s="30">
        <v>2.153</v>
      </c>
      <c r="AS184" s="30">
        <v>2.1459999999999999</v>
      </c>
      <c r="AT184" s="30">
        <v>2.1419999999999999</v>
      </c>
      <c r="AU184" s="30">
        <v>2.1349999999999998</v>
      </c>
      <c r="AV184" s="30">
        <v>2.145</v>
      </c>
      <c r="AW184" s="30">
        <v>2.14</v>
      </c>
      <c r="AX184" s="30"/>
      <c r="AY184" s="30"/>
      <c r="AZ184" s="30"/>
    </row>
    <row r="185" spans="1:52" ht="18" customHeight="1">
      <c r="A185" s="23"/>
      <c r="B185" s="19"/>
      <c r="C185" s="75" t="s">
        <v>65</v>
      </c>
      <c r="D185" s="35" t="s">
        <v>192</v>
      </c>
      <c r="E185" s="35"/>
      <c r="F185" s="29" t="s">
        <v>193</v>
      </c>
      <c r="G185" s="38">
        <v>78.16</v>
      </c>
      <c r="H185" s="38">
        <v>0.1</v>
      </c>
      <c r="I185" s="38">
        <v>0.1</v>
      </c>
      <c r="J185" s="38">
        <v>0.1</v>
      </c>
      <c r="K185" s="38">
        <v>0.1</v>
      </c>
      <c r="L185" s="30">
        <f t="shared" si="8"/>
        <v>78.17</v>
      </c>
      <c r="M185" s="30">
        <f t="shared" si="9"/>
        <v>78.085999999999999</v>
      </c>
      <c r="N185" s="30">
        <f t="shared" si="10"/>
        <v>8.4000000000003183E-2</v>
      </c>
      <c r="O185" s="31">
        <f t="shared" si="11"/>
        <v>78.114034482758626</v>
      </c>
      <c r="P185" s="52"/>
      <c r="Q185" s="30">
        <v>78.105999999999995</v>
      </c>
      <c r="R185" s="30">
        <v>78.093000000000004</v>
      </c>
      <c r="S185" s="30">
        <v>78.103999999999999</v>
      </c>
      <c r="T185" s="30">
        <v>78.102000000000004</v>
      </c>
      <c r="U185" s="30">
        <v>78.102999999999994</v>
      </c>
      <c r="V185" s="30">
        <v>78.105999999999995</v>
      </c>
      <c r="W185" s="30">
        <v>78.103999999999999</v>
      </c>
      <c r="X185" s="30">
        <v>78.096000000000004</v>
      </c>
      <c r="Y185" s="30">
        <v>78.103999999999999</v>
      </c>
      <c r="Z185" s="30">
        <v>78.106999999999999</v>
      </c>
      <c r="AA185" s="30">
        <v>78.113</v>
      </c>
      <c r="AB185" s="30">
        <v>78.117000000000004</v>
      </c>
      <c r="AC185" s="30">
        <v>78.120999999999995</v>
      </c>
      <c r="AD185" s="30">
        <v>78.119</v>
      </c>
      <c r="AE185" s="30">
        <v>78.12</v>
      </c>
      <c r="AF185" s="30">
        <v>78.111999999999995</v>
      </c>
      <c r="AG185" s="30">
        <v>78.117000000000004</v>
      </c>
      <c r="AH185" s="30">
        <v>78.085999999999999</v>
      </c>
      <c r="AI185" s="30">
        <v>78.105999999999995</v>
      </c>
      <c r="AJ185" s="30">
        <v>78.099000000000004</v>
      </c>
      <c r="AK185" s="30">
        <v>78.091999999999999</v>
      </c>
      <c r="AL185" s="30">
        <v>78.103999999999999</v>
      </c>
      <c r="AM185" s="30">
        <v>78.096999999999994</v>
      </c>
      <c r="AN185" s="30">
        <v>78.138000000000005</v>
      </c>
      <c r="AO185" s="30"/>
      <c r="AP185" s="30">
        <v>78.14</v>
      </c>
      <c r="AQ185" s="30">
        <v>78.153000000000006</v>
      </c>
      <c r="AR185" s="30">
        <v>78.138999999999996</v>
      </c>
      <c r="AS185" s="30">
        <v>78.17</v>
      </c>
      <c r="AT185" s="30">
        <v>78.138999999999996</v>
      </c>
      <c r="AU185" s="30">
        <v>78.167000000000002</v>
      </c>
      <c r="AV185" s="30">
        <v>78.162999999999997</v>
      </c>
      <c r="AW185" s="30">
        <v>78.147000000000006</v>
      </c>
      <c r="AX185" s="30"/>
      <c r="AY185" s="30"/>
      <c r="AZ185" s="30"/>
    </row>
    <row r="186" spans="1:52" ht="18" customHeight="1">
      <c r="A186" s="23"/>
      <c r="B186" s="19"/>
      <c r="C186" s="75" t="s">
        <v>65</v>
      </c>
      <c r="D186" s="35" t="s">
        <v>194</v>
      </c>
      <c r="E186" s="35"/>
      <c r="F186" s="29" t="s">
        <v>195</v>
      </c>
      <c r="G186" s="38">
        <v>78.16</v>
      </c>
      <c r="H186" s="38">
        <v>0.1</v>
      </c>
      <c r="I186" s="38">
        <v>0.1</v>
      </c>
      <c r="J186" s="38">
        <v>0.1</v>
      </c>
      <c r="K186" s="38">
        <v>0.1</v>
      </c>
      <c r="L186" s="30">
        <f t="shared" si="8"/>
        <v>78.106999999999999</v>
      </c>
      <c r="M186" s="30">
        <f t="shared" si="9"/>
        <v>78.063999999999993</v>
      </c>
      <c r="N186" s="30">
        <f t="shared" si="10"/>
        <v>4.3000000000006366E-2</v>
      </c>
      <c r="O186" s="31">
        <f t="shared" si="11"/>
        <v>78.082862068965525</v>
      </c>
      <c r="P186" s="52"/>
      <c r="Q186" s="30">
        <v>78.075999999999993</v>
      </c>
      <c r="R186" s="30">
        <v>78.069999999999993</v>
      </c>
      <c r="S186" s="30">
        <v>78.081999999999994</v>
      </c>
      <c r="T186" s="30">
        <v>78.076999999999998</v>
      </c>
      <c r="U186" s="30">
        <v>78.078000000000003</v>
      </c>
      <c r="V186" s="30">
        <v>78.082999999999998</v>
      </c>
      <c r="W186" s="30">
        <v>78.081000000000003</v>
      </c>
      <c r="X186" s="30">
        <v>78.072000000000003</v>
      </c>
      <c r="Y186" s="30">
        <v>78.082999999999998</v>
      </c>
      <c r="Z186" s="30">
        <v>78.081000000000003</v>
      </c>
      <c r="AA186" s="30">
        <v>78.087000000000003</v>
      </c>
      <c r="AB186" s="30">
        <v>78.094999999999999</v>
      </c>
      <c r="AC186" s="30">
        <v>78.099999999999994</v>
      </c>
      <c r="AD186" s="30">
        <v>78.093000000000004</v>
      </c>
      <c r="AE186" s="30">
        <v>78.096000000000004</v>
      </c>
      <c r="AF186" s="30">
        <v>78.091999999999999</v>
      </c>
      <c r="AG186" s="30">
        <v>78.093000000000004</v>
      </c>
      <c r="AH186" s="30">
        <v>78.063999999999993</v>
      </c>
      <c r="AI186" s="30">
        <v>78.069000000000003</v>
      </c>
      <c r="AJ186" s="30">
        <v>78.069999999999993</v>
      </c>
      <c r="AK186" s="30">
        <v>78.072999999999993</v>
      </c>
      <c r="AL186" s="30">
        <v>78.08</v>
      </c>
      <c r="AM186" s="30">
        <v>78.072999999999993</v>
      </c>
      <c r="AN186" s="30">
        <v>78.087999999999994</v>
      </c>
      <c r="AO186" s="30"/>
      <c r="AP186" s="30">
        <v>78.087999999999994</v>
      </c>
      <c r="AQ186" s="30">
        <v>78.094999999999999</v>
      </c>
      <c r="AR186" s="30">
        <v>78.081000000000003</v>
      </c>
      <c r="AS186" s="30">
        <v>78.106999999999999</v>
      </c>
      <c r="AT186" s="30">
        <v>78.075999999999993</v>
      </c>
      <c r="AU186" s="30">
        <v>78.105999999999995</v>
      </c>
      <c r="AV186" s="30">
        <v>78.105000000000004</v>
      </c>
      <c r="AW186" s="30">
        <v>78.09</v>
      </c>
      <c r="AX186" s="30"/>
      <c r="AY186" s="30"/>
      <c r="AZ186" s="30"/>
    </row>
    <row r="187" spans="1:52" ht="18" customHeight="1">
      <c r="A187" s="23"/>
      <c r="B187" s="19"/>
      <c r="C187" s="75" t="s">
        <v>65</v>
      </c>
      <c r="D187" s="35" t="s">
        <v>196</v>
      </c>
      <c r="E187" s="35"/>
      <c r="F187" s="29" t="s">
        <v>197</v>
      </c>
      <c r="G187" s="38">
        <v>78.16</v>
      </c>
      <c r="H187" s="38">
        <v>0.1</v>
      </c>
      <c r="I187" s="38">
        <v>0.1</v>
      </c>
      <c r="J187" s="38">
        <v>0.1</v>
      </c>
      <c r="K187" s="38">
        <v>0.1</v>
      </c>
      <c r="L187" s="30">
        <f t="shared" si="8"/>
        <v>78.180999999999997</v>
      </c>
      <c r="M187" s="30">
        <f t="shared" si="9"/>
        <v>78.061999999999998</v>
      </c>
      <c r="N187" s="30">
        <f t="shared" si="10"/>
        <v>0.11899999999999977</v>
      </c>
      <c r="O187" s="31">
        <f t="shared" si="11"/>
        <v>78.081551724137938</v>
      </c>
      <c r="P187" s="52"/>
      <c r="Q187" s="30">
        <v>78.064999999999998</v>
      </c>
      <c r="R187" s="30">
        <v>78.063999999999993</v>
      </c>
      <c r="S187" s="30">
        <v>78.069000000000003</v>
      </c>
      <c r="T187" s="30">
        <v>78.066999999999993</v>
      </c>
      <c r="U187" s="30">
        <v>78.067999999999998</v>
      </c>
      <c r="V187" s="30">
        <v>78.075999999999993</v>
      </c>
      <c r="W187" s="30">
        <v>78.075000000000003</v>
      </c>
      <c r="X187" s="30">
        <v>78.070999999999998</v>
      </c>
      <c r="Y187" s="30">
        <v>78.078000000000003</v>
      </c>
      <c r="Z187" s="30">
        <v>78.075999999999993</v>
      </c>
      <c r="AA187" s="30">
        <v>78.08</v>
      </c>
      <c r="AB187" s="30">
        <v>78.084999999999994</v>
      </c>
      <c r="AC187" s="30">
        <v>78.087999999999994</v>
      </c>
      <c r="AD187" s="30">
        <v>78.087999999999994</v>
      </c>
      <c r="AE187" s="30">
        <v>78.09</v>
      </c>
      <c r="AF187" s="30">
        <v>78.084999999999994</v>
      </c>
      <c r="AG187" s="30">
        <v>78.084999999999994</v>
      </c>
      <c r="AH187" s="30">
        <v>78.061999999999998</v>
      </c>
      <c r="AI187" s="30">
        <v>78.180999999999997</v>
      </c>
      <c r="AJ187" s="30">
        <v>78.069999999999993</v>
      </c>
      <c r="AK187" s="30">
        <v>78.067999999999998</v>
      </c>
      <c r="AL187" s="30">
        <v>78.08</v>
      </c>
      <c r="AM187" s="30">
        <v>78.069999999999993</v>
      </c>
      <c r="AN187" s="30">
        <v>78.090999999999994</v>
      </c>
      <c r="AO187" s="30"/>
      <c r="AP187" s="30">
        <v>78.084999999999994</v>
      </c>
      <c r="AQ187" s="30">
        <v>78.093000000000004</v>
      </c>
      <c r="AR187" s="30">
        <v>78.08</v>
      </c>
      <c r="AS187" s="30">
        <v>78.102999999999994</v>
      </c>
      <c r="AT187" s="30">
        <v>78.072000000000003</v>
      </c>
      <c r="AU187" s="30">
        <v>78.105000000000004</v>
      </c>
      <c r="AV187" s="30">
        <v>78.105000000000004</v>
      </c>
      <c r="AW187" s="30">
        <v>78.09</v>
      </c>
      <c r="AX187" s="30"/>
      <c r="AY187" s="30"/>
      <c r="AZ187" s="30"/>
    </row>
    <row r="188" spans="1:52" ht="18" customHeight="1">
      <c r="A188" s="23"/>
      <c r="B188" s="19"/>
      <c r="C188" s="75" t="s">
        <v>65</v>
      </c>
      <c r="D188" s="35" t="s">
        <v>198</v>
      </c>
      <c r="E188" s="35"/>
      <c r="F188" s="29" t="s">
        <v>199</v>
      </c>
      <c r="G188" s="38">
        <v>78.16</v>
      </c>
      <c r="H188" s="38">
        <v>0.1</v>
      </c>
      <c r="I188" s="38">
        <v>0.1</v>
      </c>
      <c r="J188" s="38">
        <v>0.1</v>
      </c>
      <c r="K188" s="38">
        <v>0.1</v>
      </c>
      <c r="L188" s="30">
        <f t="shared" si="8"/>
        <v>78.162000000000006</v>
      </c>
      <c r="M188" s="30">
        <f t="shared" si="9"/>
        <v>78.108999999999995</v>
      </c>
      <c r="N188" s="30">
        <f t="shared" si="10"/>
        <v>5.3000000000011482E-2</v>
      </c>
      <c r="O188" s="31">
        <f t="shared" si="11"/>
        <v>78.129137931034492</v>
      </c>
      <c r="P188" s="52"/>
      <c r="Q188" s="30">
        <v>78.11</v>
      </c>
      <c r="R188" s="30">
        <v>78.111000000000004</v>
      </c>
      <c r="S188" s="30">
        <v>78.111000000000004</v>
      </c>
      <c r="T188" s="30">
        <v>78.108999999999995</v>
      </c>
      <c r="U188" s="30">
        <v>78.117000000000004</v>
      </c>
      <c r="V188" s="30">
        <v>78.125</v>
      </c>
      <c r="W188" s="30">
        <v>78.119</v>
      </c>
      <c r="X188" s="30">
        <v>78.123999999999995</v>
      </c>
      <c r="Y188" s="30">
        <v>78.13</v>
      </c>
      <c r="Z188" s="30">
        <v>78.147999999999996</v>
      </c>
      <c r="AA188" s="30">
        <v>78.129000000000005</v>
      </c>
      <c r="AB188" s="30">
        <v>78.132000000000005</v>
      </c>
      <c r="AC188" s="30">
        <v>78.134</v>
      </c>
      <c r="AD188" s="30">
        <v>78.143000000000001</v>
      </c>
      <c r="AE188" s="30">
        <v>78.138999999999996</v>
      </c>
      <c r="AF188" s="30">
        <v>78.132999999999996</v>
      </c>
      <c r="AG188" s="30">
        <v>78.135000000000005</v>
      </c>
      <c r="AH188" s="30">
        <v>78.108999999999995</v>
      </c>
      <c r="AI188" s="30">
        <v>78.123000000000005</v>
      </c>
      <c r="AJ188" s="30">
        <v>78.111999999999995</v>
      </c>
      <c r="AK188" s="30">
        <v>78.113</v>
      </c>
      <c r="AL188" s="30">
        <v>78.129000000000005</v>
      </c>
      <c r="AM188" s="30">
        <v>78.123000000000005</v>
      </c>
      <c r="AN188" s="30">
        <v>78.162000000000006</v>
      </c>
      <c r="AO188" s="30"/>
      <c r="AP188" s="30">
        <v>78.141999999999996</v>
      </c>
      <c r="AQ188" s="30">
        <v>78.152000000000001</v>
      </c>
      <c r="AR188" s="30">
        <v>78.143000000000001</v>
      </c>
      <c r="AS188" s="30">
        <v>78.158000000000001</v>
      </c>
      <c r="AT188" s="30">
        <v>78.13</v>
      </c>
      <c r="AU188" s="30">
        <v>78.17</v>
      </c>
      <c r="AV188" s="30">
        <v>78.164000000000001</v>
      </c>
      <c r="AW188" s="30">
        <v>78.153000000000006</v>
      </c>
      <c r="AX188" s="30"/>
      <c r="AY188" s="30"/>
      <c r="AZ188" s="30"/>
    </row>
    <row r="189" spans="1:52" ht="18" customHeight="1">
      <c r="A189" s="23"/>
      <c r="B189" s="19"/>
      <c r="C189" s="75" t="s">
        <v>65</v>
      </c>
      <c r="D189" s="35" t="s">
        <v>200</v>
      </c>
      <c r="E189" s="35"/>
      <c r="F189" s="29" t="s">
        <v>201</v>
      </c>
      <c r="G189" s="38">
        <v>4.03</v>
      </c>
      <c r="H189" s="38">
        <v>0.03</v>
      </c>
      <c r="I189" s="38">
        <v>0.03</v>
      </c>
      <c r="J189" s="38">
        <v>0.03</v>
      </c>
      <c r="K189" s="38">
        <v>0.03</v>
      </c>
      <c r="L189" s="30">
        <f t="shared" si="8"/>
        <v>4.0170000000000003</v>
      </c>
      <c r="M189" s="30">
        <f t="shared" si="9"/>
        <v>3.9929999999999999</v>
      </c>
      <c r="N189" s="30">
        <f t="shared" si="10"/>
        <v>2.4000000000000465E-2</v>
      </c>
      <c r="O189" s="31">
        <f t="shared" si="11"/>
        <v>4.004931034482758</v>
      </c>
      <c r="P189" s="52"/>
      <c r="Q189" s="30">
        <v>4.0039999999999996</v>
      </c>
      <c r="R189" s="30">
        <v>4.0140000000000002</v>
      </c>
      <c r="S189" s="30">
        <v>4.0039999999999996</v>
      </c>
      <c r="T189" s="30">
        <v>4.0039999999999996</v>
      </c>
      <c r="U189" s="30">
        <v>4.01</v>
      </c>
      <c r="V189" s="30">
        <v>4.0049999999999999</v>
      </c>
      <c r="W189" s="30">
        <v>4.008</v>
      </c>
      <c r="X189" s="30">
        <v>4.0119999999999996</v>
      </c>
      <c r="Y189" s="30">
        <v>4.008</v>
      </c>
      <c r="Z189" s="30">
        <v>4.0030000000000001</v>
      </c>
      <c r="AA189" s="30">
        <v>4.0039999999999996</v>
      </c>
      <c r="AB189" s="30">
        <v>4.0019999999999998</v>
      </c>
      <c r="AC189" s="30">
        <v>4.0049999999999999</v>
      </c>
      <c r="AD189" s="30">
        <v>4.0010000000000003</v>
      </c>
      <c r="AE189" s="30">
        <v>4.0010000000000003</v>
      </c>
      <c r="AF189" s="30">
        <v>4.0049999999999999</v>
      </c>
      <c r="AG189" s="30">
        <v>4.0019999999999998</v>
      </c>
      <c r="AH189" s="30">
        <v>4.0170000000000003</v>
      </c>
      <c r="AI189" s="30">
        <v>4.0039999999999996</v>
      </c>
      <c r="AJ189" s="30">
        <v>4.0019999999999998</v>
      </c>
      <c r="AK189" s="30">
        <v>4.0110000000000001</v>
      </c>
      <c r="AL189" s="30">
        <v>4.0149999999999997</v>
      </c>
      <c r="AM189" s="30">
        <v>4.0129999999999999</v>
      </c>
      <c r="AN189" s="30">
        <v>4.0010000000000003</v>
      </c>
      <c r="AO189" s="30"/>
      <c r="AP189" s="30">
        <v>3.9929999999999999</v>
      </c>
      <c r="AQ189" s="30">
        <v>4</v>
      </c>
      <c r="AR189" s="30">
        <v>4.0049999999999999</v>
      </c>
      <c r="AS189" s="30">
        <v>3.9929999999999999</v>
      </c>
      <c r="AT189" s="30">
        <v>3.9969999999999999</v>
      </c>
      <c r="AU189" s="30">
        <v>3.9929999999999999</v>
      </c>
      <c r="AV189" s="30">
        <v>4.0010000000000003</v>
      </c>
      <c r="AW189" s="30">
        <v>4.0030000000000001</v>
      </c>
      <c r="AX189" s="30"/>
      <c r="AY189" s="30"/>
      <c r="AZ189" s="30"/>
    </row>
    <row r="190" spans="1:52" ht="18" customHeight="1">
      <c r="A190" s="23"/>
      <c r="B190" s="19"/>
      <c r="C190" s="75" t="s">
        <v>65</v>
      </c>
      <c r="D190" s="35" t="s">
        <v>202</v>
      </c>
      <c r="E190" s="35"/>
      <c r="F190" s="29" t="s">
        <v>203</v>
      </c>
      <c r="G190" s="38">
        <v>1.08</v>
      </c>
      <c r="H190" s="38">
        <v>0.08</v>
      </c>
      <c r="I190" s="38">
        <v>0.08</v>
      </c>
      <c r="J190" s="38">
        <v>0.08</v>
      </c>
      <c r="K190" s="38">
        <v>0.08</v>
      </c>
      <c r="L190" s="30">
        <f t="shared" si="8"/>
        <v>1.1439999999999999</v>
      </c>
      <c r="M190" s="30">
        <f t="shared" si="9"/>
        <v>1.123</v>
      </c>
      <c r="N190" s="30">
        <f t="shared" si="10"/>
        <v>2.0999999999999908E-2</v>
      </c>
      <c r="O190" s="31">
        <f t="shared" si="11"/>
        <v>1.1365172413793103</v>
      </c>
      <c r="P190" s="52"/>
      <c r="Q190" s="30">
        <v>1.123</v>
      </c>
      <c r="R190" s="30">
        <v>1.1279999999999999</v>
      </c>
      <c r="S190" s="30">
        <v>1.129</v>
      </c>
      <c r="T190" s="30">
        <v>1.127</v>
      </c>
      <c r="U190" s="30">
        <v>1.1339999999999999</v>
      </c>
      <c r="V190" s="30">
        <v>1.1379999999999999</v>
      </c>
      <c r="W190" s="30">
        <v>1.133</v>
      </c>
      <c r="X190" s="30">
        <v>1.137</v>
      </c>
      <c r="Y190" s="30">
        <v>1.139</v>
      </c>
      <c r="Z190" s="30">
        <v>1.141</v>
      </c>
      <c r="AA190" s="30">
        <v>1.135</v>
      </c>
      <c r="AB190" s="30">
        <v>1.141</v>
      </c>
      <c r="AC190" s="30">
        <v>1.141</v>
      </c>
      <c r="AD190" s="30">
        <v>1.1379999999999999</v>
      </c>
      <c r="AE190" s="30">
        <v>1.139</v>
      </c>
      <c r="AF190" s="30">
        <v>1.1379999999999999</v>
      </c>
      <c r="AG190" s="30">
        <v>1.1359999999999999</v>
      </c>
      <c r="AH190" s="30">
        <v>1.1399999999999999</v>
      </c>
      <c r="AI190" s="30">
        <v>1.139</v>
      </c>
      <c r="AJ190" s="30">
        <v>1.137</v>
      </c>
      <c r="AK190" s="30">
        <v>1.141</v>
      </c>
      <c r="AL190" s="30">
        <v>1.1439999999999999</v>
      </c>
      <c r="AM190" s="30">
        <v>1.139</v>
      </c>
      <c r="AN190" s="30">
        <v>1.1359999999999999</v>
      </c>
      <c r="AO190" s="30"/>
      <c r="AP190" s="30">
        <v>1.133</v>
      </c>
      <c r="AQ190" s="30">
        <v>1.137</v>
      </c>
      <c r="AR190" s="30">
        <v>1.1419999999999999</v>
      </c>
      <c r="AS190" s="30">
        <v>1.1379999999999999</v>
      </c>
      <c r="AT190" s="30">
        <v>1.1359999999999999</v>
      </c>
      <c r="AU190" s="30">
        <v>1.139</v>
      </c>
      <c r="AV190" s="30">
        <v>1.1359999999999999</v>
      </c>
      <c r="AW190" s="30">
        <v>1.135</v>
      </c>
      <c r="AX190" s="30"/>
      <c r="AY190" s="30"/>
      <c r="AZ190" s="30"/>
    </row>
    <row r="191" spans="1:52" ht="18" customHeight="1">
      <c r="A191" s="23"/>
      <c r="B191" s="19"/>
      <c r="C191" s="75" t="s">
        <v>65</v>
      </c>
      <c r="D191" s="35" t="s">
        <v>204</v>
      </c>
      <c r="E191" s="35"/>
      <c r="F191" s="29" t="s">
        <v>205</v>
      </c>
      <c r="G191" s="38">
        <v>1.08</v>
      </c>
      <c r="H191" s="38">
        <v>0.08</v>
      </c>
      <c r="I191" s="38">
        <v>0.08</v>
      </c>
      <c r="J191" s="38">
        <v>0.08</v>
      </c>
      <c r="K191" s="38">
        <v>0.08</v>
      </c>
      <c r="L191" s="30">
        <f t="shared" si="8"/>
        <v>1.139</v>
      </c>
      <c r="M191" s="30">
        <f t="shared" si="9"/>
        <v>1.1240000000000001</v>
      </c>
      <c r="N191" s="30">
        <f t="shared" si="10"/>
        <v>1.4999999999999902E-2</v>
      </c>
      <c r="O191" s="31">
        <f t="shared" si="11"/>
        <v>1.1315172413793102</v>
      </c>
      <c r="P191" s="52"/>
      <c r="Q191" s="30">
        <v>1.1240000000000001</v>
      </c>
      <c r="R191" s="30">
        <v>1.1259999999999999</v>
      </c>
      <c r="S191" s="30">
        <v>1.1299999999999999</v>
      </c>
      <c r="T191" s="30">
        <v>1.1240000000000001</v>
      </c>
      <c r="U191" s="30">
        <v>1.1319999999999999</v>
      </c>
      <c r="V191" s="30">
        <v>1.1299999999999999</v>
      </c>
      <c r="W191" s="30">
        <v>1.1299999999999999</v>
      </c>
      <c r="X191" s="30">
        <v>1.1319999999999999</v>
      </c>
      <c r="Y191" s="30">
        <v>1.1319999999999999</v>
      </c>
      <c r="Z191" s="30">
        <v>1.1319999999999999</v>
      </c>
      <c r="AA191" s="30">
        <v>1.131</v>
      </c>
      <c r="AB191" s="30">
        <v>1.135</v>
      </c>
      <c r="AC191" s="30">
        <v>1.1339999999999999</v>
      </c>
      <c r="AD191" s="30">
        <v>1.1339999999999999</v>
      </c>
      <c r="AE191" s="30">
        <v>1.1339999999999999</v>
      </c>
      <c r="AF191" s="30">
        <v>1.1299999999999999</v>
      </c>
      <c r="AG191" s="30">
        <v>1.1319999999999999</v>
      </c>
      <c r="AH191" s="30">
        <v>1.1319999999999999</v>
      </c>
      <c r="AI191" s="30">
        <v>1.1359999999999999</v>
      </c>
      <c r="AJ191" s="30">
        <v>1.1319999999999999</v>
      </c>
      <c r="AK191" s="30">
        <v>1.1379999999999999</v>
      </c>
      <c r="AL191" s="30">
        <v>1.139</v>
      </c>
      <c r="AM191" s="30">
        <v>1.133</v>
      </c>
      <c r="AN191" s="30">
        <v>1.1299999999999999</v>
      </c>
      <c r="AO191" s="30"/>
      <c r="AP191" s="30">
        <v>1.127</v>
      </c>
      <c r="AQ191" s="30">
        <v>1.131</v>
      </c>
      <c r="AR191" s="30">
        <v>1.1299999999999999</v>
      </c>
      <c r="AS191" s="30">
        <v>1.131</v>
      </c>
      <c r="AT191" s="30">
        <v>1.133</v>
      </c>
      <c r="AU191" s="30">
        <v>1.1339999999999999</v>
      </c>
      <c r="AV191" s="30">
        <v>1.1299999999999999</v>
      </c>
      <c r="AW191" s="30">
        <v>1.131</v>
      </c>
      <c r="AX191" s="30"/>
      <c r="AY191" s="30"/>
      <c r="AZ191" s="30"/>
    </row>
    <row r="192" spans="1:52" ht="18" customHeight="1">
      <c r="A192" s="23"/>
      <c r="B192" s="19"/>
      <c r="C192" s="75" t="s">
        <v>65</v>
      </c>
      <c r="D192" s="35" t="s">
        <v>206</v>
      </c>
      <c r="E192" s="35"/>
      <c r="F192" s="29" t="s">
        <v>207</v>
      </c>
      <c r="G192" s="38">
        <v>1.08</v>
      </c>
      <c r="H192" s="38">
        <v>0.08</v>
      </c>
      <c r="I192" s="38">
        <v>0.08</v>
      </c>
      <c r="J192" s="38">
        <v>0.08</v>
      </c>
      <c r="K192" s="38">
        <v>0.08</v>
      </c>
      <c r="L192" s="30">
        <f t="shared" si="8"/>
        <v>1.1599999999999999</v>
      </c>
      <c r="M192" s="30">
        <f t="shared" si="9"/>
        <v>1.143</v>
      </c>
      <c r="N192" s="30">
        <f t="shared" si="10"/>
        <v>1.6999999999999904E-2</v>
      </c>
      <c r="O192" s="31">
        <f t="shared" si="11"/>
        <v>1.1548620689655169</v>
      </c>
      <c r="P192" s="52"/>
      <c r="Q192" s="30">
        <v>1.1539999999999999</v>
      </c>
      <c r="R192" s="30">
        <v>1.159</v>
      </c>
      <c r="S192" s="30">
        <v>1.157</v>
      </c>
      <c r="T192" s="30">
        <v>1.157</v>
      </c>
      <c r="U192" s="30">
        <v>1.1599999999999999</v>
      </c>
      <c r="V192" s="30">
        <v>1.1599999999999999</v>
      </c>
      <c r="W192" s="30">
        <v>1.159</v>
      </c>
      <c r="X192" s="30">
        <v>1.159</v>
      </c>
      <c r="Y192" s="30">
        <v>1.1599999999999999</v>
      </c>
      <c r="Z192" s="30">
        <v>1.159</v>
      </c>
      <c r="AA192" s="30">
        <v>1.157</v>
      </c>
      <c r="AB192" s="30">
        <v>1.1519999999999999</v>
      </c>
      <c r="AC192" s="30">
        <v>1.157</v>
      </c>
      <c r="AD192" s="30">
        <v>1.159</v>
      </c>
      <c r="AE192" s="30">
        <v>1.1499999999999999</v>
      </c>
      <c r="AF192" s="30">
        <v>1.1599999999999999</v>
      </c>
      <c r="AG192" s="30">
        <v>1.1579999999999999</v>
      </c>
      <c r="AH192" s="30">
        <v>1.1559999999999999</v>
      </c>
      <c r="AI192" s="30">
        <v>1.1599999999999999</v>
      </c>
      <c r="AJ192" s="30">
        <v>1.1479999999999999</v>
      </c>
      <c r="AK192" s="30">
        <v>1.1519999999999999</v>
      </c>
      <c r="AL192" s="30">
        <v>1.1559999999999999</v>
      </c>
      <c r="AM192" s="30">
        <v>1.151</v>
      </c>
      <c r="AN192" s="30">
        <v>1.147</v>
      </c>
      <c r="AO192" s="30"/>
      <c r="AP192" s="30">
        <v>1.143</v>
      </c>
      <c r="AQ192" s="30">
        <v>1.1499999999999999</v>
      </c>
      <c r="AR192" s="30">
        <v>1.153</v>
      </c>
      <c r="AS192" s="30">
        <v>1.1479999999999999</v>
      </c>
      <c r="AT192" s="30">
        <v>1.1499999999999999</v>
      </c>
      <c r="AU192" s="30">
        <v>1.151</v>
      </c>
      <c r="AV192" s="30">
        <v>1.1459999999999999</v>
      </c>
      <c r="AW192" s="30">
        <v>1.149</v>
      </c>
      <c r="AX192" s="30"/>
      <c r="AY192" s="30"/>
      <c r="AZ192" s="30"/>
    </row>
    <row r="193" spans="1:52" ht="18" customHeight="1">
      <c r="A193" s="23"/>
      <c r="B193" s="19"/>
      <c r="C193" s="75" t="s">
        <v>65</v>
      </c>
      <c r="D193" s="35" t="s">
        <v>208</v>
      </c>
      <c r="E193" s="35"/>
      <c r="F193" s="29" t="s">
        <v>209</v>
      </c>
      <c r="G193" s="38">
        <v>1.08</v>
      </c>
      <c r="H193" s="38">
        <v>0.08</v>
      </c>
      <c r="I193" s="38">
        <v>0.08</v>
      </c>
      <c r="J193" s="38">
        <v>0.08</v>
      </c>
      <c r="K193" s="38">
        <v>0.08</v>
      </c>
      <c r="L193" s="30">
        <f t="shared" si="8"/>
        <v>1.1599999999999999</v>
      </c>
      <c r="M193" s="30">
        <f t="shared" si="9"/>
        <v>1.1479999999999999</v>
      </c>
      <c r="N193" s="30">
        <f t="shared" si="10"/>
        <v>1.2000000000000011E-2</v>
      </c>
      <c r="O193" s="31">
        <f t="shared" si="11"/>
        <v>1.1548275862068964</v>
      </c>
      <c r="P193" s="52"/>
      <c r="Q193" s="30">
        <v>1.1479999999999999</v>
      </c>
      <c r="R193" s="30">
        <v>1.1539999999999999</v>
      </c>
      <c r="S193" s="30">
        <v>1.1599999999999999</v>
      </c>
      <c r="T193" s="30">
        <v>1.1519999999999999</v>
      </c>
      <c r="U193" s="30">
        <v>1.151</v>
      </c>
      <c r="V193" s="30">
        <v>1.149</v>
      </c>
      <c r="W193" s="30">
        <v>1.1499999999999999</v>
      </c>
      <c r="X193" s="30">
        <v>1.153</v>
      </c>
      <c r="Y193" s="30">
        <v>1.1579999999999999</v>
      </c>
      <c r="Z193" s="30">
        <v>1.1579999999999999</v>
      </c>
      <c r="AA193" s="30">
        <v>1.1519999999999999</v>
      </c>
      <c r="AB193" s="30">
        <v>1.1599999999999999</v>
      </c>
      <c r="AC193" s="30">
        <v>1.1579999999999999</v>
      </c>
      <c r="AD193" s="30">
        <v>1.155</v>
      </c>
      <c r="AE193" s="30">
        <v>1.159</v>
      </c>
      <c r="AF193" s="30">
        <v>1.149</v>
      </c>
      <c r="AG193" s="30">
        <v>1.153</v>
      </c>
      <c r="AH193" s="30">
        <v>1.157</v>
      </c>
      <c r="AI193" s="30">
        <v>1.157</v>
      </c>
      <c r="AJ193" s="30">
        <v>1.1559999999999999</v>
      </c>
      <c r="AK193" s="30">
        <v>1.159</v>
      </c>
      <c r="AL193" s="30">
        <v>1.155</v>
      </c>
      <c r="AM193" s="30">
        <v>1.1579999999999999</v>
      </c>
      <c r="AN193" s="30">
        <v>1.1539999999999999</v>
      </c>
      <c r="AO193" s="30"/>
      <c r="AP193" s="30">
        <v>1.1499999999999999</v>
      </c>
      <c r="AQ193" s="30">
        <v>1.157</v>
      </c>
      <c r="AR193" s="30">
        <v>1.1579999999999999</v>
      </c>
      <c r="AS193" s="30">
        <v>1.1559999999999999</v>
      </c>
      <c r="AT193" s="30">
        <v>1.1539999999999999</v>
      </c>
      <c r="AU193" s="30">
        <v>1.153</v>
      </c>
      <c r="AV193" s="30">
        <v>1.155</v>
      </c>
      <c r="AW193" s="30">
        <v>1.1519999999999999</v>
      </c>
      <c r="AX193" s="30"/>
      <c r="AY193" s="30"/>
      <c r="AZ193" s="30"/>
    </row>
    <row r="194" spans="1:52" ht="18" customHeight="1">
      <c r="A194" s="23"/>
      <c r="B194" s="19"/>
      <c r="C194" s="75" t="s">
        <v>65</v>
      </c>
      <c r="D194" s="35" t="s">
        <v>210</v>
      </c>
      <c r="E194" s="35"/>
      <c r="F194" s="29" t="s">
        <v>211</v>
      </c>
      <c r="G194" s="38">
        <v>1.08</v>
      </c>
      <c r="H194" s="38">
        <v>0.08</v>
      </c>
      <c r="I194" s="38">
        <v>0.08</v>
      </c>
      <c r="J194" s="38">
        <v>0.08</v>
      </c>
      <c r="K194" s="38">
        <v>0.08</v>
      </c>
      <c r="L194" s="30">
        <f t="shared" si="8"/>
        <v>1.159</v>
      </c>
      <c r="M194" s="30">
        <f t="shared" si="9"/>
        <v>1.141</v>
      </c>
      <c r="N194" s="30">
        <f t="shared" si="10"/>
        <v>1.8000000000000016E-2</v>
      </c>
      <c r="O194" s="31">
        <f t="shared" si="11"/>
        <v>1.1496896551724136</v>
      </c>
      <c r="P194" s="52"/>
      <c r="Q194" s="30">
        <v>1.1579999999999999</v>
      </c>
      <c r="R194" s="30">
        <v>1.151</v>
      </c>
      <c r="S194" s="30">
        <v>1.151</v>
      </c>
      <c r="T194" s="30">
        <v>1.1499999999999999</v>
      </c>
      <c r="U194" s="30">
        <v>1.1499999999999999</v>
      </c>
      <c r="V194" s="30">
        <v>1.1539999999999999</v>
      </c>
      <c r="W194" s="30">
        <v>1.1479999999999999</v>
      </c>
      <c r="X194" s="30">
        <v>1.1479999999999999</v>
      </c>
      <c r="Y194" s="30">
        <v>1.149</v>
      </c>
      <c r="Z194" s="30">
        <v>1.1499999999999999</v>
      </c>
      <c r="AA194" s="30">
        <v>1.1459999999999999</v>
      </c>
      <c r="AB194" s="30">
        <v>1.151</v>
      </c>
      <c r="AC194" s="30">
        <v>1.151</v>
      </c>
      <c r="AD194" s="30">
        <v>1.1479999999999999</v>
      </c>
      <c r="AE194" s="30">
        <v>1.149</v>
      </c>
      <c r="AF194" s="30">
        <v>1.1539999999999999</v>
      </c>
      <c r="AG194" s="30">
        <v>1.1459999999999999</v>
      </c>
      <c r="AH194" s="30">
        <v>1.149</v>
      </c>
      <c r="AI194" s="30">
        <v>1.153</v>
      </c>
      <c r="AJ194" s="30">
        <v>1.1459999999999999</v>
      </c>
      <c r="AK194" s="30">
        <v>1.1559999999999999</v>
      </c>
      <c r="AL194" s="30">
        <v>1.159</v>
      </c>
      <c r="AM194" s="30">
        <v>1.149</v>
      </c>
      <c r="AN194" s="30">
        <v>1.145</v>
      </c>
      <c r="AO194" s="30"/>
      <c r="AP194" s="30">
        <v>1.141</v>
      </c>
      <c r="AQ194" s="30">
        <v>1.1479999999999999</v>
      </c>
      <c r="AR194" s="30">
        <v>1.149</v>
      </c>
      <c r="AS194" s="30">
        <v>1.1459999999999999</v>
      </c>
      <c r="AT194" s="30">
        <v>1.1459999999999999</v>
      </c>
      <c r="AU194" s="30">
        <v>1.147</v>
      </c>
      <c r="AV194" s="30">
        <v>1.145</v>
      </c>
      <c r="AW194" s="30">
        <v>1.1439999999999999</v>
      </c>
      <c r="AX194" s="30"/>
      <c r="AY194" s="30"/>
      <c r="AZ194" s="30"/>
    </row>
    <row r="195" spans="1:52" ht="18" customHeight="1">
      <c r="A195" s="23"/>
      <c r="B195" s="19"/>
      <c r="C195" s="75" t="s">
        <v>65</v>
      </c>
      <c r="D195" s="35" t="s">
        <v>475</v>
      </c>
      <c r="E195" s="35"/>
      <c r="F195" s="29" t="s">
        <v>213</v>
      </c>
      <c r="G195" s="38">
        <v>0.28000000000000003</v>
      </c>
      <c r="H195" s="38">
        <v>0.05</v>
      </c>
      <c r="I195" s="38">
        <v>0.05</v>
      </c>
      <c r="J195" s="38">
        <v>0.05</v>
      </c>
      <c r="K195" s="38">
        <v>0.05</v>
      </c>
      <c r="L195" s="30">
        <f t="shared" si="8"/>
        <v>0.33</v>
      </c>
      <c r="M195" s="30">
        <f t="shared" si="9"/>
        <v>0.318</v>
      </c>
      <c r="N195" s="30">
        <f t="shared" si="10"/>
        <v>1.2000000000000011E-2</v>
      </c>
      <c r="O195" s="31">
        <f t="shared" si="11"/>
        <v>0.32468965517241388</v>
      </c>
      <c r="P195" s="52"/>
      <c r="Q195" s="30">
        <v>0.31900000000000001</v>
      </c>
      <c r="R195" s="30">
        <v>0.31900000000000001</v>
      </c>
      <c r="S195" s="30">
        <v>0.32400000000000001</v>
      </c>
      <c r="T195" s="30">
        <v>0.318</v>
      </c>
      <c r="U195" s="30">
        <v>0.32300000000000001</v>
      </c>
      <c r="V195" s="30">
        <v>0.32300000000000001</v>
      </c>
      <c r="W195" s="30">
        <v>0.32100000000000001</v>
      </c>
      <c r="X195" s="30">
        <v>0.32400000000000001</v>
      </c>
      <c r="Y195" s="30">
        <v>0.32800000000000001</v>
      </c>
      <c r="Z195" s="30">
        <v>0.32900000000000001</v>
      </c>
      <c r="AA195" s="30">
        <v>0.32300000000000001</v>
      </c>
      <c r="AB195" s="30">
        <v>0.33</v>
      </c>
      <c r="AC195" s="30">
        <v>0.32700000000000001</v>
      </c>
      <c r="AD195" s="30">
        <v>0.32500000000000001</v>
      </c>
      <c r="AE195" s="30">
        <v>0.32800000000000001</v>
      </c>
      <c r="AF195" s="30">
        <v>0.32300000000000001</v>
      </c>
      <c r="AG195" s="30">
        <v>0.32400000000000001</v>
      </c>
      <c r="AH195" s="30">
        <v>0.32600000000000001</v>
      </c>
      <c r="AI195" s="30">
        <v>0.32600000000000001</v>
      </c>
      <c r="AJ195" s="30">
        <v>0.32500000000000001</v>
      </c>
      <c r="AK195" s="30">
        <v>0.32900000000000001</v>
      </c>
      <c r="AL195" s="30">
        <v>0.32500000000000001</v>
      </c>
      <c r="AM195" s="30">
        <v>0.32900000000000001</v>
      </c>
      <c r="AN195" s="30">
        <v>0.32400000000000001</v>
      </c>
      <c r="AO195" s="30"/>
      <c r="AP195" s="30">
        <v>0.31900000000000001</v>
      </c>
      <c r="AQ195" s="30">
        <v>0.32700000000000001</v>
      </c>
      <c r="AR195" s="30">
        <v>0.32900000000000001</v>
      </c>
      <c r="AS195" s="30">
        <v>0.32300000000000001</v>
      </c>
      <c r="AT195" s="30">
        <v>0.32600000000000001</v>
      </c>
      <c r="AU195" s="30">
        <v>0.32900000000000001</v>
      </c>
      <c r="AV195" s="30">
        <v>0.32200000000000001</v>
      </c>
      <c r="AW195" s="30">
        <v>0.32400000000000001</v>
      </c>
      <c r="AX195" s="30"/>
      <c r="AY195" s="30"/>
      <c r="AZ195" s="30"/>
    </row>
    <row r="196" spans="1:52" ht="18" customHeight="1">
      <c r="A196" s="23"/>
      <c r="B196" s="19"/>
      <c r="C196" s="75" t="s">
        <v>65</v>
      </c>
      <c r="D196" s="35" t="s">
        <v>214</v>
      </c>
      <c r="E196" s="35"/>
      <c r="F196" s="29" t="s">
        <v>215</v>
      </c>
      <c r="G196" s="38">
        <v>0.56999999999999995</v>
      </c>
      <c r="H196" s="38">
        <v>0.08</v>
      </c>
      <c r="I196" s="38">
        <v>0.08</v>
      </c>
      <c r="J196" s="38">
        <v>0.08</v>
      </c>
      <c r="K196" s="38">
        <v>0.08</v>
      </c>
      <c r="L196" s="30">
        <f t="shared" si="8"/>
        <v>0.63</v>
      </c>
      <c r="M196" s="30">
        <f t="shared" si="9"/>
        <v>0.60799999999999998</v>
      </c>
      <c r="N196" s="30">
        <f t="shared" si="10"/>
        <v>2.200000000000002E-2</v>
      </c>
      <c r="O196" s="31">
        <f t="shared" si="11"/>
        <v>0.62282758620689682</v>
      </c>
      <c r="P196" s="52"/>
      <c r="Q196" s="30">
        <v>0.61099999999999999</v>
      </c>
      <c r="R196" s="30">
        <v>0.60899999999999999</v>
      </c>
      <c r="S196" s="30">
        <v>0.61499999999999999</v>
      </c>
      <c r="T196" s="30">
        <v>0.60799999999999998</v>
      </c>
      <c r="U196" s="30">
        <v>0.61899999999999999</v>
      </c>
      <c r="V196" s="30">
        <v>0.624</v>
      </c>
      <c r="W196" s="30">
        <v>0.61699999999999999</v>
      </c>
      <c r="X196" s="30">
        <v>0.622</v>
      </c>
      <c r="Y196" s="30">
        <v>0.626</v>
      </c>
      <c r="Z196" s="30">
        <v>0.63</v>
      </c>
      <c r="AA196" s="30">
        <v>0.62</v>
      </c>
      <c r="AB196" s="30">
        <v>0.629</v>
      </c>
      <c r="AC196" s="30">
        <v>0.625</v>
      </c>
      <c r="AD196" s="30">
        <v>0.623</v>
      </c>
      <c r="AE196" s="30">
        <v>0.628</v>
      </c>
      <c r="AF196" s="30">
        <v>0.624</v>
      </c>
      <c r="AG196" s="30">
        <v>0.621</v>
      </c>
      <c r="AH196" s="30">
        <v>0.624</v>
      </c>
      <c r="AI196" s="30">
        <v>0.628</v>
      </c>
      <c r="AJ196" s="30">
        <v>0.625</v>
      </c>
      <c r="AK196" s="30">
        <v>0.63</v>
      </c>
      <c r="AL196" s="30">
        <v>0.628</v>
      </c>
      <c r="AM196" s="30">
        <v>0.627</v>
      </c>
      <c r="AN196" s="30">
        <v>0.624</v>
      </c>
      <c r="AO196" s="30"/>
      <c r="AP196" s="30">
        <v>0.621</v>
      </c>
      <c r="AQ196" s="30">
        <v>0.625</v>
      </c>
      <c r="AR196" s="30">
        <v>0.628</v>
      </c>
      <c r="AS196" s="30">
        <v>0.626</v>
      </c>
      <c r="AT196" s="30">
        <v>0.625</v>
      </c>
      <c r="AU196" s="30">
        <v>0.624</v>
      </c>
      <c r="AV196" s="30">
        <v>0.625</v>
      </c>
      <c r="AW196" s="30">
        <v>0.623</v>
      </c>
      <c r="AX196" s="30"/>
      <c r="AY196" s="30"/>
      <c r="AZ196" s="30"/>
    </row>
    <row r="197" spans="1:52" ht="18" customHeight="1">
      <c r="A197" s="23"/>
      <c r="B197" s="19"/>
      <c r="C197" s="75" t="s">
        <v>65</v>
      </c>
      <c r="D197" s="35" t="s">
        <v>216</v>
      </c>
      <c r="E197" s="35"/>
      <c r="F197" s="29" t="s">
        <v>217</v>
      </c>
      <c r="G197" s="38">
        <v>35.479999999999997</v>
      </c>
      <c r="H197" s="38">
        <v>0.06</v>
      </c>
      <c r="I197" s="38">
        <v>0.06</v>
      </c>
      <c r="J197" s="38">
        <v>0.06</v>
      </c>
      <c r="K197" s="38">
        <v>0.06</v>
      </c>
      <c r="L197" s="30">
        <f t="shared" ref="L197:L244" si="12">MAX(Q197:AT197)</f>
        <v>35.533999999999999</v>
      </c>
      <c r="M197" s="30">
        <f t="shared" ref="M197:M244" si="13">MIN(Q197:AT197)</f>
        <v>35.514000000000003</v>
      </c>
      <c r="N197" s="30">
        <f t="shared" ref="N197:N260" si="14">L197-M197</f>
        <v>1.9999999999996021E-2</v>
      </c>
      <c r="O197" s="31">
        <f t="shared" ref="O197:O244" si="15">AVERAGE(Q197:AT197)</f>
        <v>35.52489655172414</v>
      </c>
      <c r="P197" s="52"/>
      <c r="Q197" s="30">
        <v>35.515000000000001</v>
      </c>
      <c r="R197" s="30">
        <v>35.515999999999998</v>
      </c>
      <c r="S197" s="30">
        <v>35.521999999999998</v>
      </c>
      <c r="T197" s="30">
        <v>35.514000000000003</v>
      </c>
      <c r="U197" s="30">
        <v>35.524999999999999</v>
      </c>
      <c r="V197" s="30">
        <v>35.53</v>
      </c>
      <c r="W197" s="30">
        <v>35.523000000000003</v>
      </c>
      <c r="X197" s="30">
        <v>35.524999999999999</v>
      </c>
      <c r="Y197" s="30">
        <v>35.524999999999999</v>
      </c>
      <c r="Z197" s="30">
        <v>35.524999999999999</v>
      </c>
      <c r="AA197" s="30">
        <v>35.523000000000003</v>
      </c>
      <c r="AB197" s="30">
        <v>35.527999999999999</v>
      </c>
      <c r="AC197" s="30">
        <v>35.527999999999999</v>
      </c>
      <c r="AD197" s="30">
        <v>35.526000000000003</v>
      </c>
      <c r="AE197" s="30">
        <v>35.527000000000001</v>
      </c>
      <c r="AF197" s="30">
        <v>35.524999999999999</v>
      </c>
      <c r="AG197" s="30">
        <v>35.524999999999999</v>
      </c>
      <c r="AH197" s="30">
        <v>35.527000000000001</v>
      </c>
      <c r="AI197" s="30">
        <v>35.53</v>
      </c>
      <c r="AJ197" s="30">
        <v>35.524999999999999</v>
      </c>
      <c r="AK197" s="30">
        <v>35.533000000000001</v>
      </c>
      <c r="AL197" s="30">
        <v>35.533999999999999</v>
      </c>
      <c r="AM197" s="30">
        <v>35.526000000000003</v>
      </c>
      <c r="AN197" s="30">
        <v>35.523000000000003</v>
      </c>
      <c r="AO197" s="30"/>
      <c r="AP197" s="30">
        <v>35.520000000000003</v>
      </c>
      <c r="AQ197" s="30">
        <v>35.524999999999999</v>
      </c>
      <c r="AR197" s="30">
        <v>35.526000000000003</v>
      </c>
      <c r="AS197" s="30">
        <v>35.526000000000003</v>
      </c>
      <c r="AT197" s="30">
        <v>35.524999999999999</v>
      </c>
      <c r="AU197" s="30">
        <v>35.530999999999999</v>
      </c>
      <c r="AV197" s="30">
        <v>35.524000000000001</v>
      </c>
      <c r="AW197" s="30">
        <v>35.523000000000003</v>
      </c>
      <c r="AX197" s="30"/>
      <c r="AY197" s="30"/>
      <c r="AZ197" s="30"/>
    </row>
    <row r="198" spans="1:52" ht="18" customHeight="1">
      <c r="A198" s="23"/>
      <c r="B198" s="19"/>
      <c r="C198" s="75" t="s">
        <v>65</v>
      </c>
      <c r="D198" s="35" t="s">
        <v>218</v>
      </c>
      <c r="E198" s="35"/>
      <c r="F198" s="29" t="s">
        <v>219</v>
      </c>
      <c r="G198" s="38"/>
      <c r="H198" s="38">
        <v>0.08</v>
      </c>
      <c r="I198" s="38"/>
      <c r="J198" s="38">
        <v>0.08</v>
      </c>
      <c r="K198" s="38"/>
      <c r="L198" s="30">
        <f t="shared" si="12"/>
        <v>0.08</v>
      </c>
      <c r="M198" s="30">
        <f t="shared" si="13"/>
        <v>6.9000000000000006E-2</v>
      </c>
      <c r="N198" s="30">
        <f t="shared" si="14"/>
        <v>1.0999999999999996E-2</v>
      </c>
      <c r="O198" s="31">
        <f t="shared" si="15"/>
        <v>7.4999999999999997E-2</v>
      </c>
      <c r="P198" s="52"/>
      <c r="Q198" s="30">
        <v>7.0999999999999994E-2</v>
      </c>
      <c r="R198" s="30">
        <v>7.3999999999999996E-2</v>
      </c>
      <c r="S198" s="30">
        <v>7.2999999999999995E-2</v>
      </c>
      <c r="T198" s="30">
        <v>7.2999999999999995E-2</v>
      </c>
      <c r="U198" s="30">
        <v>7.5999999999999998E-2</v>
      </c>
      <c r="V198" s="30">
        <v>0.08</v>
      </c>
      <c r="W198" s="30">
        <v>7.3999999999999996E-2</v>
      </c>
      <c r="X198" s="30">
        <v>7.5999999999999998E-2</v>
      </c>
      <c r="Y198" s="30">
        <v>7.4999999999999997E-2</v>
      </c>
      <c r="Z198" s="30">
        <v>7.3999999999999996E-2</v>
      </c>
      <c r="AA198" s="30">
        <v>7.4999999999999997E-2</v>
      </c>
      <c r="AB198" s="30">
        <v>7.8E-2</v>
      </c>
      <c r="AC198" s="30">
        <v>7.3999999999999996E-2</v>
      </c>
      <c r="AD198" s="30">
        <v>7.8E-2</v>
      </c>
      <c r="AE198" s="30">
        <v>7.5999999999999998E-2</v>
      </c>
      <c r="AF198" s="30">
        <v>7.5999999999999998E-2</v>
      </c>
      <c r="AG198" s="30">
        <v>7.5999999999999998E-2</v>
      </c>
      <c r="AH198" s="30">
        <v>7.1999999999999995E-2</v>
      </c>
      <c r="AI198" s="30">
        <v>7.5999999999999998E-2</v>
      </c>
      <c r="AJ198" s="30">
        <v>7.3999999999999996E-2</v>
      </c>
      <c r="AK198" s="30">
        <v>7.9000000000000001E-2</v>
      </c>
      <c r="AL198" s="30">
        <v>7.9000000000000001E-2</v>
      </c>
      <c r="AM198" s="30">
        <v>7.6999999999999999E-2</v>
      </c>
      <c r="AN198" s="30">
        <v>7.2999999999999995E-2</v>
      </c>
      <c r="AO198" s="30"/>
      <c r="AP198" s="30">
        <v>6.9000000000000006E-2</v>
      </c>
      <c r="AQ198" s="30">
        <v>7.4999999999999997E-2</v>
      </c>
      <c r="AR198" s="30">
        <v>7.5999999999999998E-2</v>
      </c>
      <c r="AS198" s="30">
        <v>7.3999999999999996E-2</v>
      </c>
      <c r="AT198" s="30">
        <v>7.1999999999999995E-2</v>
      </c>
      <c r="AU198" s="30">
        <v>7.5999999999999998E-2</v>
      </c>
      <c r="AV198" s="30">
        <v>7.2999999999999995E-2</v>
      </c>
      <c r="AW198" s="30">
        <v>7.0999999999999994E-2</v>
      </c>
      <c r="AX198" s="30"/>
      <c r="AY198" s="30"/>
      <c r="AZ198" s="30"/>
    </row>
    <row r="199" spans="1:52" ht="18" customHeight="1">
      <c r="A199" s="23"/>
      <c r="B199" s="19"/>
      <c r="C199" s="75" t="s">
        <v>65</v>
      </c>
      <c r="D199" s="35" t="s">
        <v>220</v>
      </c>
      <c r="E199" s="35"/>
      <c r="F199" s="29"/>
      <c r="G199" s="38"/>
      <c r="H199" s="38">
        <v>0.05</v>
      </c>
      <c r="I199" s="38"/>
      <c r="J199" s="38">
        <v>0.05</v>
      </c>
      <c r="K199" s="38"/>
      <c r="L199" s="30">
        <f t="shared" si="12"/>
        <v>4.9000000000000002E-2</v>
      </c>
      <c r="M199" s="30">
        <f t="shared" si="13"/>
        <v>3.4000000000000002E-2</v>
      </c>
      <c r="N199" s="30">
        <f t="shared" si="14"/>
        <v>1.4999999999999999E-2</v>
      </c>
      <c r="O199" s="31">
        <f t="shared" si="15"/>
        <v>4.1241379310344835E-2</v>
      </c>
      <c r="P199" s="52"/>
      <c r="Q199" s="30">
        <v>3.5000000000000003E-2</v>
      </c>
      <c r="R199" s="30">
        <v>3.5000000000000003E-2</v>
      </c>
      <c r="S199" s="30">
        <v>3.9E-2</v>
      </c>
      <c r="T199" s="30">
        <v>3.4000000000000002E-2</v>
      </c>
      <c r="U199" s="30">
        <v>4.1000000000000002E-2</v>
      </c>
      <c r="V199" s="30">
        <v>4.2999999999999997E-2</v>
      </c>
      <c r="W199" s="30">
        <v>3.9E-2</v>
      </c>
      <c r="X199" s="30">
        <v>0.04</v>
      </c>
      <c r="Y199" s="30">
        <v>4.2999999999999997E-2</v>
      </c>
      <c r="Z199" s="30">
        <v>4.5999999999999999E-2</v>
      </c>
      <c r="AA199" s="30">
        <v>3.9E-2</v>
      </c>
      <c r="AB199" s="30">
        <v>4.5999999999999999E-2</v>
      </c>
      <c r="AC199" s="30">
        <v>4.2999999999999997E-2</v>
      </c>
      <c r="AD199" s="30">
        <v>4.2000000000000003E-2</v>
      </c>
      <c r="AE199" s="30">
        <v>4.3999999999999997E-2</v>
      </c>
      <c r="AF199" s="30">
        <v>0.04</v>
      </c>
      <c r="AG199" s="30">
        <v>0.04</v>
      </c>
      <c r="AH199" s="30">
        <v>4.1000000000000002E-2</v>
      </c>
      <c r="AI199" s="30">
        <v>4.2999999999999997E-2</v>
      </c>
      <c r="AJ199" s="30">
        <v>4.2000000000000003E-2</v>
      </c>
      <c r="AK199" s="30">
        <v>4.5999999999999999E-2</v>
      </c>
      <c r="AL199" s="30">
        <v>4.9000000000000002E-2</v>
      </c>
      <c r="AM199" s="30">
        <v>4.3999999999999997E-2</v>
      </c>
      <c r="AN199" s="30">
        <v>0.04</v>
      </c>
      <c r="AO199" s="30"/>
      <c r="AP199" s="30">
        <v>3.5999999999999997E-2</v>
      </c>
      <c r="AQ199" s="30">
        <v>4.2000000000000003E-2</v>
      </c>
      <c r="AR199" s="30">
        <v>4.2999999999999997E-2</v>
      </c>
      <c r="AS199" s="30">
        <v>4.1000000000000002E-2</v>
      </c>
      <c r="AT199" s="30">
        <v>0.04</v>
      </c>
      <c r="AU199" s="30">
        <v>4.3999999999999997E-2</v>
      </c>
      <c r="AV199" s="30">
        <v>0.04</v>
      </c>
      <c r="AW199" s="30">
        <v>3.9E-2</v>
      </c>
      <c r="AX199" s="30"/>
      <c r="AY199" s="30"/>
      <c r="AZ199" s="30"/>
    </row>
    <row r="200" spans="1:52" ht="18" customHeight="1">
      <c r="A200" s="23"/>
      <c r="B200" s="19"/>
      <c r="C200" s="75" t="s">
        <v>65</v>
      </c>
      <c r="D200" s="35" t="s">
        <v>221</v>
      </c>
      <c r="E200" s="35"/>
      <c r="F200" s="29" t="s">
        <v>222</v>
      </c>
      <c r="G200" s="38">
        <v>0.52</v>
      </c>
      <c r="H200" s="38">
        <v>0.05</v>
      </c>
      <c r="I200" s="38">
        <v>0.05</v>
      </c>
      <c r="J200" s="38">
        <v>0.05</v>
      </c>
      <c r="K200" s="38">
        <v>0.05</v>
      </c>
      <c r="L200" s="30">
        <f t="shared" si="12"/>
        <v>0.56899999999999995</v>
      </c>
      <c r="M200" s="30">
        <f t="shared" si="13"/>
        <v>0.55000000000000004</v>
      </c>
      <c r="N200" s="30">
        <f t="shared" si="14"/>
        <v>1.8999999999999906E-2</v>
      </c>
      <c r="O200" s="31">
        <f t="shared" si="15"/>
        <v>0.56334482758620696</v>
      </c>
      <c r="P200" s="52"/>
      <c r="Q200" s="30">
        <v>0.56399999999999995</v>
      </c>
      <c r="R200" s="30">
        <v>0.56299999999999994</v>
      </c>
      <c r="S200" s="30">
        <v>0.56499999999999995</v>
      </c>
      <c r="T200" s="30">
        <v>0.56100000000000005</v>
      </c>
      <c r="U200" s="30">
        <v>0.56699999999999995</v>
      </c>
      <c r="V200" s="30">
        <v>0.56799999999999995</v>
      </c>
      <c r="W200" s="30">
        <v>0.56499999999999995</v>
      </c>
      <c r="X200" s="30">
        <v>0.56699999999999995</v>
      </c>
      <c r="Y200" s="30">
        <v>0.56899999999999995</v>
      </c>
      <c r="Z200" s="30">
        <v>0.56899999999999995</v>
      </c>
      <c r="AA200" s="30">
        <v>0.56499999999999995</v>
      </c>
      <c r="AB200" s="30">
        <v>0.56100000000000005</v>
      </c>
      <c r="AC200" s="30">
        <v>0.56699999999999995</v>
      </c>
      <c r="AD200" s="30">
        <v>0.56699999999999995</v>
      </c>
      <c r="AE200" s="30">
        <v>0.56000000000000005</v>
      </c>
      <c r="AF200" s="30">
        <v>0.56699999999999995</v>
      </c>
      <c r="AG200" s="30">
        <v>0.56599999999999995</v>
      </c>
      <c r="AH200" s="30">
        <v>0.56599999999999995</v>
      </c>
      <c r="AI200" s="30">
        <v>0.56499999999999995</v>
      </c>
      <c r="AJ200" s="30">
        <v>0.55700000000000005</v>
      </c>
      <c r="AK200" s="30">
        <v>0.56799999999999995</v>
      </c>
      <c r="AL200" s="30">
        <v>0.56699999999999995</v>
      </c>
      <c r="AM200" s="30">
        <v>0.56000000000000005</v>
      </c>
      <c r="AN200" s="30">
        <v>0.55500000000000005</v>
      </c>
      <c r="AO200" s="30"/>
      <c r="AP200" s="30">
        <v>0.55000000000000004</v>
      </c>
      <c r="AQ200" s="30">
        <v>0.55900000000000005</v>
      </c>
      <c r="AR200" s="30">
        <v>0.56399999999999995</v>
      </c>
      <c r="AS200" s="30">
        <v>0.55600000000000005</v>
      </c>
      <c r="AT200" s="30">
        <v>0.55900000000000005</v>
      </c>
      <c r="AU200" s="30">
        <v>0.56100000000000005</v>
      </c>
      <c r="AV200" s="30">
        <v>0.55400000000000005</v>
      </c>
      <c r="AW200" s="30">
        <v>0.55800000000000005</v>
      </c>
      <c r="AX200" s="30"/>
      <c r="AY200" s="30"/>
      <c r="AZ200" s="30"/>
    </row>
    <row r="201" spans="1:52" ht="18" customHeight="1">
      <c r="A201" s="23"/>
      <c r="B201" s="19"/>
      <c r="C201" s="75" t="s">
        <v>65</v>
      </c>
      <c r="D201" s="35" t="s">
        <v>223</v>
      </c>
      <c r="E201" s="35"/>
      <c r="F201" s="29" t="s">
        <v>224</v>
      </c>
      <c r="G201" s="38">
        <v>0.49</v>
      </c>
      <c r="H201" s="38">
        <v>0.06</v>
      </c>
      <c r="I201" s="38">
        <v>0.06</v>
      </c>
      <c r="J201" s="38">
        <v>0.06</v>
      </c>
      <c r="K201" s="38">
        <v>0.06</v>
      </c>
      <c r="L201" s="30">
        <f t="shared" si="12"/>
        <v>0.54600000000000004</v>
      </c>
      <c r="M201" s="30">
        <f t="shared" si="13"/>
        <v>0.52900000000000003</v>
      </c>
      <c r="N201" s="30">
        <f t="shared" si="14"/>
        <v>1.7000000000000015E-2</v>
      </c>
      <c r="O201" s="31">
        <f t="shared" si="15"/>
        <v>0.53700000000000003</v>
      </c>
      <c r="P201" s="52"/>
      <c r="Q201" s="30">
        <v>0.52900000000000003</v>
      </c>
      <c r="R201" s="30">
        <v>0.53300000000000003</v>
      </c>
      <c r="S201" s="30">
        <v>0.53600000000000003</v>
      </c>
      <c r="T201" s="30">
        <v>0.53100000000000003</v>
      </c>
      <c r="U201" s="30">
        <v>0.53500000000000003</v>
      </c>
      <c r="V201" s="30">
        <v>0.53900000000000003</v>
      </c>
      <c r="W201" s="30">
        <v>0.53300000000000003</v>
      </c>
      <c r="X201" s="30">
        <v>0.53200000000000003</v>
      </c>
      <c r="Y201" s="30">
        <v>0.53800000000000003</v>
      </c>
      <c r="Z201" s="30">
        <v>0.54400000000000004</v>
      </c>
      <c r="AA201" s="30">
        <v>0.53</v>
      </c>
      <c r="AB201" s="30">
        <v>0.54100000000000004</v>
      </c>
      <c r="AC201" s="30">
        <v>0.54</v>
      </c>
      <c r="AD201" s="30">
        <v>0.53200000000000003</v>
      </c>
      <c r="AE201" s="30">
        <v>0.54</v>
      </c>
      <c r="AF201" s="30">
        <v>0.53200000000000003</v>
      </c>
      <c r="AG201" s="30">
        <v>0.53100000000000003</v>
      </c>
      <c r="AH201" s="30">
        <v>0.53900000000000003</v>
      </c>
      <c r="AI201" s="30">
        <v>0.54400000000000004</v>
      </c>
      <c r="AJ201" s="30">
        <v>0.53800000000000003</v>
      </c>
      <c r="AK201" s="30">
        <v>0.54600000000000004</v>
      </c>
      <c r="AL201" s="30">
        <v>0.54600000000000004</v>
      </c>
      <c r="AM201" s="30">
        <v>0.53900000000000003</v>
      </c>
      <c r="AN201" s="30">
        <v>0.53700000000000003</v>
      </c>
      <c r="AO201" s="30"/>
      <c r="AP201" s="30">
        <v>0.53500000000000003</v>
      </c>
      <c r="AQ201" s="30">
        <v>0.53800000000000003</v>
      </c>
      <c r="AR201" s="30">
        <v>0.54300000000000004</v>
      </c>
      <c r="AS201" s="30">
        <v>0.53600000000000003</v>
      </c>
      <c r="AT201" s="30">
        <v>0.53600000000000003</v>
      </c>
      <c r="AU201" s="30">
        <v>0.54100000000000004</v>
      </c>
      <c r="AV201" s="30">
        <v>0.53400000000000003</v>
      </c>
      <c r="AW201" s="30">
        <v>0.53500000000000003</v>
      </c>
      <c r="AX201" s="30"/>
      <c r="AY201" s="30"/>
      <c r="AZ201" s="30"/>
    </row>
    <row r="202" spans="1:52" ht="18" customHeight="1">
      <c r="A202" s="23"/>
      <c r="B202" s="19"/>
      <c r="C202" s="79" t="s">
        <v>225</v>
      </c>
      <c r="D202" s="35" t="s">
        <v>226</v>
      </c>
      <c r="E202" s="35"/>
      <c r="F202" s="29" t="s">
        <v>227</v>
      </c>
      <c r="G202" s="38">
        <v>4.78</v>
      </c>
      <c r="H202" s="38">
        <v>0.03</v>
      </c>
      <c r="I202" s="38">
        <v>0.03</v>
      </c>
      <c r="J202" s="38">
        <v>0.03</v>
      </c>
      <c r="K202" s="38">
        <v>0.03</v>
      </c>
      <c r="L202" s="30">
        <f t="shared" si="12"/>
        <v>4.7725099999999996</v>
      </c>
      <c r="M202" s="30">
        <f t="shared" si="13"/>
        <v>4.7690010000000003</v>
      </c>
      <c r="N202" s="30">
        <f t="shared" si="14"/>
        <v>3.5089999999993182E-3</v>
      </c>
      <c r="O202" s="31">
        <f t="shared" si="15"/>
        <v>4.7710558275862063</v>
      </c>
      <c r="P202" s="52"/>
      <c r="Q202" s="30">
        <v>4.7706410000000004</v>
      </c>
      <c r="R202" s="30">
        <v>4.770931</v>
      </c>
      <c r="S202" s="30">
        <v>4.7711969999999999</v>
      </c>
      <c r="T202" s="30">
        <v>4.7709380000000001</v>
      </c>
      <c r="U202" s="30">
        <v>4.7713570000000001</v>
      </c>
      <c r="V202" s="30">
        <v>4.7709609999999998</v>
      </c>
      <c r="W202" s="30">
        <v>4.771172</v>
      </c>
      <c r="X202" s="30">
        <v>4.7714059999999998</v>
      </c>
      <c r="Y202" s="30">
        <v>4.7712719999999997</v>
      </c>
      <c r="Z202" s="30">
        <v>4.7712009999999996</v>
      </c>
      <c r="AA202" s="30">
        <v>4.7717169999999998</v>
      </c>
      <c r="AB202" s="30">
        <v>4.771649</v>
      </c>
      <c r="AC202" s="30">
        <v>4.7721650000000002</v>
      </c>
      <c r="AD202" s="30">
        <v>4.7725099999999996</v>
      </c>
      <c r="AE202" s="30">
        <v>4.771954</v>
      </c>
      <c r="AF202" s="30">
        <v>4.7715110000000003</v>
      </c>
      <c r="AG202" s="30">
        <v>4.7722350000000002</v>
      </c>
      <c r="AH202" s="30">
        <v>4.7708149999999998</v>
      </c>
      <c r="AI202" s="30">
        <v>4.7710850000000002</v>
      </c>
      <c r="AJ202" s="30">
        <v>4.77095</v>
      </c>
      <c r="AK202" s="30">
        <v>4.7715439999999996</v>
      </c>
      <c r="AL202" s="30">
        <v>4.7713539999999997</v>
      </c>
      <c r="AM202" s="30">
        <v>4.7713520000000003</v>
      </c>
      <c r="AN202" s="30">
        <v>4.7708779999999997</v>
      </c>
      <c r="AO202" s="30"/>
      <c r="AP202" s="30">
        <v>4.769647</v>
      </c>
      <c r="AQ202" s="30">
        <v>4.7700940000000003</v>
      </c>
      <c r="AR202" s="30">
        <v>4.7690010000000003</v>
      </c>
      <c r="AS202" s="30">
        <v>4.7699059999999998</v>
      </c>
      <c r="AT202" s="30">
        <v>4.7691759999999999</v>
      </c>
      <c r="AU202" s="30">
        <v>4.7701710000000004</v>
      </c>
      <c r="AV202" s="30">
        <v>4.7695980000000002</v>
      </c>
      <c r="AW202" s="30">
        <v>4.7697349999999998</v>
      </c>
      <c r="AX202" s="30"/>
      <c r="AY202" s="30"/>
      <c r="AZ202" s="30"/>
    </row>
    <row r="203" spans="1:52" ht="18" customHeight="1">
      <c r="A203" s="23"/>
      <c r="B203" s="19"/>
      <c r="C203" s="79" t="s">
        <v>225</v>
      </c>
      <c r="D203" s="35" t="s">
        <v>228</v>
      </c>
      <c r="E203" s="35"/>
      <c r="F203" s="29" t="s">
        <v>229</v>
      </c>
      <c r="G203" s="38">
        <v>0</v>
      </c>
      <c r="H203" s="38">
        <v>0.12</v>
      </c>
      <c r="I203" s="38">
        <v>0</v>
      </c>
      <c r="J203" s="38">
        <v>0.12</v>
      </c>
      <c r="K203" s="38">
        <v>0</v>
      </c>
      <c r="L203" s="30">
        <f t="shared" si="12"/>
        <v>7.5690999999999994E-2</v>
      </c>
      <c r="M203" s="30">
        <f t="shared" si="13"/>
        <v>3.5437999999999997E-2</v>
      </c>
      <c r="N203" s="30">
        <f t="shared" si="14"/>
        <v>4.0252999999999997E-2</v>
      </c>
      <c r="O203" s="31">
        <f t="shared" si="15"/>
        <v>4.4557448275862069E-2</v>
      </c>
      <c r="P203" s="52"/>
      <c r="Q203" s="30">
        <v>4.0947999999999998E-2</v>
      </c>
      <c r="R203" s="30">
        <v>4.4976000000000002E-2</v>
      </c>
      <c r="S203" s="30">
        <v>3.9916E-2</v>
      </c>
      <c r="T203" s="30">
        <v>4.0777000000000001E-2</v>
      </c>
      <c r="U203" s="30">
        <v>4.5319999999999999E-2</v>
      </c>
      <c r="V203" s="30">
        <v>3.8921999999999998E-2</v>
      </c>
      <c r="W203" s="30">
        <v>3.8968999999999997E-2</v>
      </c>
      <c r="X203" s="30">
        <v>4.0534000000000001E-2</v>
      </c>
      <c r="Y203" s="30">
        <v>3.8684999999999997E-2</v>
      </c>
      <c r="Z203" s="30">
        <v>4.3909999999999998E-2</v>
      </c>
      <c r="AA203" s="30">
        <v>5.0804000000000002E-2</v>
      </c>
      <c r="AB203" s="30">
        <v>3.9052999999999997E-2</v>
      </c>
      <c r="AC203" s="30">
        <v>4.4142000000000001E-2</v>
      </c>
      <c r="AD203" s="30">
        <v>3.8563E-2</v>
      </c>
      <c r="AE203" s="30">
        <v>4.1043000000000003E-2</v>
      </c>
      <c r="AF203" s="30">
        <v>3.8503999999999997E-2</v>
      </c>
      <c r="AG203" s="30">
        <v>3.8288000000000003E-2</v>
      </c>
      <c r="AH203" s="30">
        <v>7.5690999999999994E-2</v>
      </c>
      <c r="AI203" s="30">
        <v>4.8988999999999998E-2</v>
      </c>
      <c r="AJ203" s="30">
        <v>7.2402999999999995E-2</v>
      </c>
      <c r="AK203" s="30">
        <v>3.7532999999999997E-2</v>
      </c>
      <c r="AL203" s="30">
        <v>4.2491000000000001E-2</v>
      </c>
      <c r="AM203" s="30">
        <v>4.1000000000000002E-2</v>
      </c>
      <c r="AN203" s="30">
        <v>7.0027000000000006E-2</v>
      </c>
      <c r="AO203" s="30"/>
      <c r="AP203" s="30">
        <v>4.1050999999999997E-2</v>
      </c>
      <c r="AQ203" s="30">
        <v>3.5437999999999997E-2</v>
      </c>
      <c r="AR203" s="30">
        <v>4.7829000000000003E-2</v>
      </c>
      <c r="AS203" s="30">
        <v>3.6447E-2</v>
      </c>
      <c r="AT203" s="30">
        <v>3.9912999999999997E-2</v>
      </c>
      <c r="AU203" s="30">
        <v>3.5920000000000001E-2</v>
      </c>
      <c r="AV203" s="30">
        <v>3.5657000000000001E-2</v>
      </c>
      <c r="AW203" s="30">
        <v>5.2687999999999999E-2</v>
      </c>
      <c r="AX203" s="30"/>
      <c r="AY203" s="30"/>
      <c r="AZ203" s="30"/>
    </row>
    <row r="204" spans="1:52" ht="18" customHeight="1">
      <c r="A204" s="23"/>
      <c r="B204" s="19"/>
      <c r="C204" s="79" t="s">
        <v>225</v>
      </c>
      <c r="D204" s="35" t="s">
        <v>230</v>
      </c>
      <c r="E204" s="35"/>
      <c r="F204" s="29" t="s">
        <v>231</v>
      </c>
      <c r="G204" s="38">
        <v>12.13</v>
      </c>
      <c r="H204" s="38">
        <v>0.06</v>
      </c>
      <c r="I204" s="38">
        <v>0.06</v>
      </c>
      <c r="J204" s="38">
        <v>0.08</v>
      </c>
      <c r="K204" s="38">
        <v>0.06</v>
      </c>
      <c r="L204" s="30">
        <f t="shared" si="12"/>
        <v>12.192928999999999</v>
      </c>
      <c r="M204" s="30">
        <f t="shared" si="13"/>
        <v>12.169013</v>
      </c>
      <c r="N204" s="30">
        <f t="shared" si="14"/>
        <v>2.3915999999999826E-2</v>
      </c>
      <c r="O204" s="31">
        <f t="shared" si="15"/>
        <v>12.184427896551727</v>
      </c>
      <c r="P204" s="52"/>
      <c r="Q204" s="30">
        <v>12.188969999999999</v>
      </c>
      <c r="R204" s="30">
        <v>12.189724</v>
      </c>
      <c r="S204" s="30">
        <v>12.192928999999999</v>
      </c>
      <c r="T204" s="30">
        <v>12.192591</v>
      </c>
      <c r="U204" s="30">
        <v>12.189304</v>
      </c>
      <c r="V204" s="30">
        <v>12.185527</v>
      </c>
      <c r="W204" s="30">
        <v>12.186097999999999</v>
      </c>
      <c r="X204" s="30">
        <v>12.183567999999999</v>
      </c>
      <c r="Y204" s="30">
        <v>12.183916</v>
      </c>
      <c r="Z204" s="30">
        <v>12.180326000000001</v>
      </c>
      <c r="AA204" s="30">
        <v>12.180503</v>
      </c>
      <c r="AB204" s="30">
        <v>12.177149999999999</v>
      </c>
      <c r="AC204" s="30">
        <v>12.182871</v>
      </c>
      <c r="AD204" s="30">
        <v>12.186565</v>
      </c>
      <c r="AE204" s="30">
        <v>12.186279000000001</v>
      </c>
      <c r="AF204" s="30">
        <v>12.189401999999999</v>
      </c>
      <c r="AG204" s="30">
        <v>12.181898</v>
      </c>
      <c r="AH204" s="30">
        <v>12.190429999999999</v>
      </c>
      <c r="AI204" s="30">
        <v>12.182627999999999</v>
      </c>
      <c r="AJ204" s="30">
        <v>12.192641999999999</v>
      </c>
      <c r="AK204" s="30">
        <v>12.182043</v>
      </c>
      <c r="AL204" s="30">
        <v>12.183752999999999</v>
      </c>
      <c r="AM204" s="30">
        <v>12.179783</v>
      </c>
      <c r="AN204" s="30">
        <v>12.181006999999999</v>
      </c>
      <c r="AO204" s="30"/>
      <c r="AP204" s="30">
        <v>12.179052</v>
      </c>
      <c r="AQ204" s="30">
        <v>12.182649</v>
      </c>
      <c r="AR204" s="30">
        <v>12.169013</v>
      </c>
      <c r="AS204" s="30">
        <v>12.188167</v>
      </c>
      <c r="AT204" s="30">
        <v>12.179620999999999</v>
      </c>
      <c r="AU204" s="30">
        <v>12.171756999999999</v>
      </c>
      <c r="AV204" s="30">
        <v>12.177174000000001</v>
      </c>
      <c r="AW204" s="30">
        <v>12.180602</v>
      </c>
      <c r="AX204" s="30"/>
      <c r="AY204" s="30"/>
      <c r="AZ204" s="30"/>
    </row>
    <row r="205" spans="1:52" ht="18" customHeight="1">
      <c r="A205" s="23"/>
      <c r="B205" s="19"/>
      <c r="C205" s="79" t="s">
        <v>225</v>
      </c>
      <c r="D205" s="35" t="s">
        <v>232</v>
      </c>
      <c r="E205" s="35"/>
      <c r="F205" s="29" t="s">
        <v>233</v>
      </c>
      <c r="G205" s="38">
        <v>12.13</v>
      </c>
      <c r="H205" s="38">
        <v>0.06</v>
      </c>
      <c r="I205" s="38">
        <v>0.06</v>
      </c>
      <c r="J205" s="38">
        <v>0.08</v>
      </c>
      <c r="K205" s="38">
        <v>0.06</v>
      </c>
      <c r="L205" s="30">
        <f t="shared" si="12"/>
        <v>12.175478999999999</v>
      </c>
      <c r="M205" s="30">
        <f t="shared" si="13"/>
        <v>12.153324</v>
      </c>
      <c r="N205" s="30">
        <f t="shared" si="14"/>
        <v>2.2154999999999703E-2</v>
      </c>
      <c r="O205" s="31">
        <f t="shared" si="15"/>
        <v>12.167151793103448</v>
      </c>
      <c r="P205" s="52"/>
      <c r="Q205" s="30">
        <v>12.171187</v>
      </c>
      <c r="R205" s="30">
        <v>12.171238000000001</v>
      </c>
      <c r="S205" s="30">
        <v>12.175478999999999</v>
      </c>
      <c r="T205" s="30">
        <v>12.172141999999999</v>
      </c>
      <c r="U205" s="30">
        <v>12.171849</v>
      </c>
      <c r="V205" s="30">
        <v>12.171625000000001</v>
      </c>
      <c r="W205" s="30">
        <v>12.167524999999999</v>
      </c>
      <c r="X205" s="30">
        <v>12.16676</v>
      </c>
      <c r="Y205" s="30">
        <v>12.169608</v>
      </c>
      <c r="Z205" s="30">
        <v>12.168445</v>
      </c>
      <c r="AA205" s="30">
        <v>12.166354</v>
      </c>
      <c r="AB205" s="30">
        <v>12.163513999999999</v>
      </c>
      <c r="AC205" s="30">
        <v>12.166121</v>
      </c>
      <c r="AD205" s="30">
        <v>12.170892</v>
      </c>
      <c r="AE205" s="30">
        <v>12.169668</v>
      </c>
      <c r="AF205" s="30">
        <v>12.172409999999999</v>
      </c>
      <c r="AG205" s="30">
        <v>12.167562</v>
      </c>
      <c r="AH205" s="30">
        <v>12.169427000000001</v>
      </c>
      <c r="AI205" s="30">
        <v>12.166691999999999</v>
      </c>
      <c r="AJ205" s="30">
        <v>12.169817</v>
      </c>
      <c r="AK205" s="30">
        <v>12.166406</v>
      </c>
      <c r="AL205" s="30">
        <v>12.164077000000001</v>
      </c>
      <c r="AM205" s="30">
        <v>12.162004</v>
      </c>
      <c r="AN205" s="30">
        <v>12.157379000000001</v>
      </c>
      <c r="AO205" s="30"/>
      <c r="AP205" s="30">
        <v>12.163059000000001</v>
      </c>
      <c r="AQ205" s="30">
        <v>12.163936</v>
      </c>
      <c r="AR205" s="30">
        <v>12.153324</v>
      </c>
      <c r="AS205" s="30">
        <v>12.164065000000001</v>
      </c>
      <c r="AT205" s="30">
        <v>12.164837</v>
      </c>
      <c r="AU205" s="30">
        <v>12.157947999999999</v>
      </c>
      <c r="AV205" s="30">
        <v>12.159967999999999</v>
      </c>
      <c r="AW205" s="30">
        <v>12.164336</v>
      </c>
      <c r="AX205" s="30"/>
      <c r="AY205" s="30"/>
      <c r="AZ205" s="30"/>
    </row>
    <row r="206" spans="1:52" ht="18" customHeight="1">
      <c r="A206" s="23"/>
      <c r="B206" s="19"/>
      <c r="C206" s="79" t="s">
        <v>225</v>
      </c>
      <c r="D206" s="35" t="s">
        <v>234</v>
      </c>
      <c r="E206" s="35"/>
      <c r="F206" s="29" t="s">
        <v>235</v>
      </c>
      <c r="G206" s="38">
        <v>12.13</v>
      </c>
      <c r="H206" s="38">
        <v>0.06</v>
      </c>
      <c r="I206" s="38">
        <v>0.06</v>
      </c>
      <c r="J206" s="38">
        <v>0.08</v>
      </c>
      <c r="K206" s="38">
        <v>0.06</v>
      </c>
      <c r="L206" s="30">
        <f t="shared" si="12"/>
        <v>12.198295</v>
      </c>
      <c r="M206" s="30">
        <f t="shared" si="13"/>
        <v>12.17658</v>
      </c>
      <c r="N206" s="30">
        <f t="shared" si="14"/>
        <v>2.1715000000000373E-2</v>
      </c>
      <c r="O206" s="31">
        <f t="shared" si="15"/>
        <v>12.191491896551723</v>
      </c>
      <c r="P206" s="52"/>
      <c r="Q206" s="30">
        <v>12.193421000000001</v>
      </c>
      <c r="R206" s="30">
        <v>12.196006000000001</v>
      </c>
      <c r="S206" s="30">
        <v>12.196778</v>
      </c>
      <c r="T206" s="30">
        <v>12.193057</v>
      </c>
      <c r="U206" s="30">
        <v>12.196114</v>
      </c>
      <c r="V206" s="30">
        <v>12.195520999999999</v>
      </c>
      <c r="W206" s="30">
        <v>12.191241</v>
      </c>
      <c r="X206" s="30">
        <v>12.191440999999999</v>
      </c>
      <c r="Y206" s="30">
        <v>12.194637999999999</v>
      </c>
      <c r="Z206" s="30">
        <v>12.195665</v>
      </c>
      <c r="AA206" s="30">
        <v>12.194108999999999</v>
      </c>
      <c r="AB206" s="30">
        <v>12.193445000000001</v>
      </c>
      <c r="AC206" s="30">
        <v>12.195119</v>
      </c>
      <c r="AD206" s="30">
        <v>12.198295</v>
      </c>
      <c r="AE206" s="30">
        <v>12.194773</v>
      </c>
      <c r="AF206" s="30">
        <v>12.196885</v>
      </c>
      <c r="AG206" s="30">
        <v>12.196384</v>
      </c>
      <c r="AH206" s="30">
        <v>12.193519999999999</v>
      </c>
      <c r="AI206" s="30">
        <v>12.193806</v>
      </c>
      <c r="AJ206" s="30">
        <v>12.189539999999999</v>
      </c>
      <c r="AK206" s="30">
        <v>12.193987999999999</v>
      </c>
      <c r="AL206" s="30">
        <v>12.190097</v>
      </c>
      <c r="AM206" s="30">
        <v>12.190279</v>
      </c>
      <c r="AN206" s="30">
        <v>12.17962</v>
      </c>
      <c r="AO206" s="30"/>
      <c r="AP206" s="30">
        <v>12.183194</v>
      </c>
      <c r="AQ206" s="30">
        <v>12.179111000000001</v>
      </c>
      <c r="AR206" s="30">
        <v>12.17658</v>
      </c>
      <c r="AS206" s="30">
        <v>12.183591</v>
      </c>
      <c r="AT206" s="30">
        <v>12.187047</v>
      </c>
      <c r="AU206" s="30">
        <v>12.184281</v>
      </c>
      <c r="AV206" s="30">
        <v>12.181806</v>
      </c>
      <c r="AW206" s="30">
        <v>12.187855000000001</v>
      </c>
      <c r="AX206" s="30"/>
      <c r="AY206" s="30"/>
      <c r="AZ206" s="30"/>
    </row>
    <row r="207" spans="1:52" ht="18" customHeight="1">
      <c r="A207" s="23"/>
      <c r="B207" s="19"/>
      <c r="C207" s="79" t="s">
        <v>225</v>
      </c>
      <c r="D207" s="35" t="s">
        <v>236</v>
      </c>
      <c r="E207" s="35"/>
      <c r="F207" s="29" t="s">
        <v>237</v>
      </c>
      <c r="G207" s="38">
        <v>12.13</v>
      </c>
      <c r="H207" s="38">
        <v>0.06</v>
      </c>
      <c r="I207" s="38">
        <v>0.06</v>
      </c>
      <c r="J207" s="38">
        <v>0.08</v>
      </c>
      <c r="K207" s="38">
        <v>0.06</v>
      </c>
      <c r="L207" s="30">
        <f t="shared" si="12"/>
        <v>12.183491</v>
      </c>
      <c r="M207" s="30">
        <f t="shared" si="13"/>
        <v>12.167503</v>
      </c>
      <c r="N207" s="30">
        <f t="shared" si="14"/>
        <v>1.5988000000000113E-2</v>
      </c>
      <c r="O207" s="31">
        <f t="shared" si="15"/>
        <v>12.177611931034482</v>
      </c>
      <c r="P207" s="52"/>
      <c r="Q207" s="30">
        <v>12.176011000000001</v>
      </c>
      <c r="R207" s="30">
        <v>12.180559000000001</v>
      </c>
      <c r="S207" s="30">
        <v>12.180626</v>
      </c>
      <c r="T207" s="30">
        <v>12.175864000000001</v>
      </c>
      <c r="U207" s="30">
        <v>12.180498999999999</v>
      </c>
      <c r="V207" s="30">
        <v>12.180356</v>
      </c>
      <c r="W207" s="30">
        <v>12.176261999999999</v>
      </c>
      <c r="X207" s="30">
        <v>12.176843</v>
      </c>
      <c r="Y207" s="30">
        <v>12.181215</v>
      </c>
      <c r="Z207" s="30">
        <v>12.182482</v>
      </c>
      <c r="AA207" s="30">
        <v>12.181158999999999</v>
      </c>
      <c r="AB207" s="30">
        <v>12.180913</v>
      </c>
      <c r="AC207" s="30">
        <v>12.179713</v>
      </c>
      <c r="AD207" s="30">
        <v>12.183491</v>
      </c>
      <c r="AE207" s="30">
        <v>12.179754000000001</v>
      </c>
      <c r="AF207" s="30">
        <v>12.180897</v>
      </c>
      <c r="AG207" s="30">
        <v>12.182979</v>
      </c>
      <c r="AH207" s="30">
        <v>12.176717</v>
      </c>
      <c r="AI207" s="30">
        <v>12.179606</v>
      </c>
      <c r="AJ207" s="30">
        <v>12.170931</v>
      </c>
      <c r="AK207" s="30">
        <v>12.181317999999999</v>
      </c>
      <c r="AL207" s="30">
        <v>12.178773</v>
      </c>
      <c r="AM207" s="30">
        <v>12.180172000000001</v>
      </c>
      <c r="AN207" s="30">
        <v>12.167503</v>
      </c>
      <c r="AO207" s="30"/>
      <c r="AP207" s="30">
        <v>12.173798</v>
      </c>
      <c r="AQ207" s="30">
        <v>12.167759</v>
      </c>
      <c r="AR207" s="30">
        <v>12.169257</v>
      </c>
      <c r="AS207" s="30">
        <v>12.169015</v>
      </c>
      <c r="AT207" s="30">
        <v>12.176273999999999</v>
      </c>
      <c r="AU207" s="30">
        <v>12.176898</v>
      </c>
      <c r="AV207" s="30">
        <v>12.172014000000001</v>
      </c>
      <c r="AW207" s="30">
        <v>12.175848</v>
      </c>
      <c r="AX207" s="30"/>
      <c r="AY207" s="30"/>
      <c r="AZ207" s="30"/>
    </row>
    <row r="208" spans="1:52" ht="18" customHeight="1">
      <c r="A208" s="23"/>
      <c r="B208" s="19"/>
      <c r="C208" s="79" t="s">
        <v>225</v>
      </c>
      <c r="D208" s="35" t="s">
        <v>238</v>
      </c>
      <c r="E208" s="35"/>
      <c r="F208" s="29" t="s">
        <v>239</v>
      </c>
      <c r="G208" s="38">
        <v>12.13</v>
      </c>
      <c r="H208" s="38">
        <v>0.06</v>
      </c>
      <c r="I208" s="38">
        <v>0.06</v>
      </c>
      <c r="J208" s="38">
        <v>0.08</v>
      </c>
      <c r="K208" s="38">
        <v>0.06</v>
      </c>
      <c r="L208" s="30">
        <f t="shared" si="12"/>
        <v>12.174835</v>
      </c>
      <c r="M208" s="30">
        <f t="shared" si="13"/>
        <v>12.154092</v>
      </c>
      <c r="N208" s="30">
        <f t="shared" si="14"/>
        <v>2.0742999999999512E-2</v>
      </c>
      <c r="O208" s="31">
        <f t="shared" si="15"/>
        <v>12.168554758620688</v>
      </c>
      <c r="P208" s="52"/>
      <c r="Q208" s="30">
        <v>12.167965000000001</v>
      </c>
      <c r="R208" s="30">
        <v>12.171569</v>
      </c>
      <c r="S208" s="30">
        <v>12.172907</v>
      </c>
      <c r="T208" s="30">
        <v>12.166985</v>
      </c>
      <c r="U208" s="30">
        <v>12.170776999999999</v>
      </c>
      <c r="V208" s="30">
        <v>12.172221</v>
      </c>
      <c r="W208" s="30">
        <v>12.166926</v>
      </c>
      <c r="X208" s="30">
        <v>12.166397</v>
      </c>
      <c r="Y208" s="30">
        <v>12.172886999999999</v>
      </c>
      <c r="Z208" s="30">
        <v>12.17417</v>
      </c>
      <c r="AA208" s="30">
        <v>12.170942</v>
      </c>
      <c r="AB208" s="30">
        <v>12.171950000000001</v>
      </c>
      <c r="AC208" s="30">
        <v>12.169561</v>
      </c>
      <c r="AD208" s="30">
        <v>12.174835</v>
      </c>
      <c r="AE208" s="30">
        <v>12.17042</v>
      </c>
      <c r="AF208" s="30">
        <v>12.173066</v>
      </c>
      <c r="AG208" s="30">
        <v>12.17407</v>
      </c>
      <c r="AH208" s="30">
        <v>12.164225</v>
      </c>
      <c r="AI208" s="30">
        <v>12.171200000000001</v>
      </c>
      <c r="AJ208" s="30">
        <v>12.159387000000001</v>
      </c>
      <c r="AK208" s="30">
        <v>12.173788999999999</v>
      </c>
      <c r="AL208" s="30">
        <v>12.168778</v>
      </c>
      <c r="AM208" s="30">
        <v>12.171186000000001</v>
      </c>
      <c r="AN208" s="30">
        <v>12.154092</v>
      </c>
      <c r="AO208" s="30"/>
      <c r="AP208" s="30">
        <v>12.16765</v>
      </c>
      <c r="AQ208" s="30">
        <v>12.159584000000001</v>
      </c>
      <c r="AR208" s="30">
        <v>12.160659000000001</v>
      </c>
      <c r="AS208" s="30">
        <v>12.1609</v>
      </c>
      <c r="AT208" s="30">
        <v>12.168990000000001</v>
      </c>
      <c r="AU208" s="30">
        <v>12.167972000000001</v>
      </c>
      <c r="AV208" s="30">
        <v>12.163716000000001</v>
      </c>
      <c r="AW208" s="30">
        <v>12.166862</v>
      </c>
      <c r="AX208" s="30"/>
      <c r="AY208" s="30"/>
      <c r="AZ208" s="30"/>
    </row>
    <row r="209" spans="1:52" ht="18" customHeight="1">
      <c r="A209" s="23"/>
      <c r="B209" s="19"/>
      <c r="C209" s="79" t="s">
        <v>225</v>
      </c>
      <c r="D209" s="35" t="s">
        <v>240</v>
      </c>
      <c r="E209" s="35"/>
      <c r="F209" s="29" t="s">
        <v>241</v>
      </c>
      <c r="G209" s="38">
        <v>12.13</v>
      </c>
      <c r="H209" s="38">
        <v>0.06</v>
      </c>
      <c r="I209" s="38">
        <v>0.06</v>
      </c>
      <c r="J209" s="38">
        <v>0.08</v>
      </c>
      <c r="K209" s="38">
        <v>0.06</v>
      </c>
      <c r="L209" s="30">
        <f t="shared" si="12"/>
        <v>12.168933000000001</v>
      </c>
      <c r="M209" s="30">
        <f t="shared" si="13"/>
        <v>12.145101</v>
      </c>
      <c r="N209" s="30">
        <f t="shared" si="14"/>
        <v>2.3832000000000519E-2</v>
      </c>
      <c r="O209" s="31">
        <f t="shared" si="15"/>
        <v>12.161349655172414</v>
      </c>
      <c r="P209" s="52"/>
      <c r="Q209" s="30">
        <v>12.161712</v>
      </c>
      <c r="R209" s="30">
        <v>12.164469</v>
      </c>
      <c r="S209" s="30">
        <v>12.166236</v>
      </c>
      <c r="T209" s="30">
        <v>12.159984</v>
      </c>
      <c r="U209" s="30">
        <v>12.161714</v>
      </c>
      <c r="V209" s="30">
        <v>12.16553</v>
      </c>
      <c r="W209" s="30">
        <v>12.159741</v>
      </c>
      <c r="X209" s="30">
        <v>12.157439</v>
      </c>
      <c r="Y209" s="30">
        <v>12.165824000000001</v>
      </c>
      <c r="Z209" s="30">
        <v>12.166926999999999</v>
      </c>
      <c r="AA209" s="30">
        <v>12.162281999999999</v>
      </c>
      <c r="AB209" s="30">
        <v>12.164868</v>
      </c>
      <c r="AC209" s="30">
        <v>12.161968999999999</v>
      </c>
      <c r="AD209" s="30">
        <v>12.167196000000001</v>
      </c>
      <c r="AE209" s="30">
        <v>12.16353</v>
      </c>
      <c r="AF209" s="30">
        <v>12.167759</v>
      </c>
      <c r="AG209" s="30">
        <v>12.167016</v>
      </c>
      <c r="AH209" s="30">
        <v>12.155272</v>
      </c>
      <c r="AI209" s="30">
        <v>12.16442</v>
      </c>
      <c r="AJ209" s="30">
        <v>12.151217000000001</v>
      </c>
      <c r="AK209" s="30">
        <v>12.168933000000001</v>
      </c>
      <c r="AL209" s="30">
        <v>12.161828</v>
      </c>
      <c r="AM209" s="30">
        <v>12.164649000000001</v>
      </c>
      <c r="AN209" s="30">
        <v>12.145101</v>
      </c>
      <c r="AO209" s="30"/>
      <c r="AP209" s="30">
        <v>12.163442</v>
      </c>
      <c r="AQ209" s="30">
        <v>12.153029</v>
      </c>
      <c r="AR209" s="30">
        <v>12.152289</v>
      </c>
      <c r="AS209" s="30">
        <v>12.153133</v>
      </c>
      <c r="AT209" s="30">
        <v>12.161631</v>
      </c>
      <c r="AU209" s="30">
        <v>12.15868</v>
      </c>
      <c r="AV209" s="30">
        <v>12.155765000000001</v>
      </c>
      <c r="AW209" s="30">
        <v>12.158526</v>
      </c>
      <c r="AX209" s="30"/>
      <c r="AY209" s="30"/>
      <c r="AZ209" s="30"/>
    </row>
    <row r="210" spans="1:52" ht="18" customHeight="1">
      <c r="A210" s="23"/>
      <c r="B210" s="19"/>
      <c r="C210" s="79" t="s">
        <v>225</v>
      </c>
      <c r="D210" s="35" t="s">
        <v>242</v>
      </c>
      <c r="E210" s="35"/>
      <c r="F210" s="29" t="s">
        <v>243</v>
      </c>
      <c r="G210" s="38">
        <v>12.13</v>
      </c>
      <c r="H210" s="38">
        <v>0.06</v>
      </c>
      <c r="I210" s="38">
        <v>0.06</v>
      </c>
      <c r="J210" s="38">
        <v>0.08</v>
      </c>
      <c r="K210" s="38">
        <v>0.06</v>
      </c>
      <c r="L210" s="30">
        <f t="shared" si="12"/>
        <v>12.181625</v>
      </c>
      <c r="M210" s="30">
        <f t="shared" si="13"/>
        <v>12.159044</v>
      </c>
      <c r="N210" s="30">
        <f t="shared" si="14"/>
        <v>2.2581000000000628E-2</v>
      </c>
      <c r="O210" s="31">
        <f t="shared" si="15"/>
        <v>12.172424413793104</v>
      </c>
      <c r="P210" s="52"/>
      <c r="Q210" s="30">
        <v>12.175742</v>
      </c>
      <c r="R210" s="30">
        <v>12.175533</v>
      </c>
      <c r="S210" s="30">
        <v>12.171454000000001</v>
      </c>
      <c r="T210" s="30">
        <v>12.172828000000001</v>
      </c>
      <c r="U210" s="30">
        <v>12.167341</v>
      </c>
      <c r="V210" s="30">
        <v>12.176747000000001</v>
      </c>
      <c r="W210" s="30">
        <v>12.173074</v>
      </c>
      <c r="X210" s="30">
        <v>12.166696</v>
      </c>
      <c r="Y210" s="30">
        <v>12.171915</v>
      </c>
      <c r="Z210" s="30">
        <v>12.174764</v>
      </c>
      <c r="AA210" s="30">
        <v>12.167094000000001</v>
      </c>
      <c r="AB210" s="30">
        <v>12.172756</v>
      </c>
      <c r="AC210" s="30">
        <v>12.174282</v>
      </c>
      <c r="AD210" s="30">
        <v>12.173538000000001</v>
      </c>
      <c r="AE210" s="30">
        <v>12.177505999999999</v>
      </c>
      <c r="AF210" s="30">
        <v>12.179353000000001</v>
      </c>
      <c r="AG210" s="30">
        <v>12.179786999999999</v>
      </c>
      <c r="AH210" s="30">
        <v>12.164747999999999</v>
      </c>
      <c r="AI210" s="30">
        <v>12.176002</v>
      </c>
      <c r="AJ210" s="30">
        <v>12.167068</v>
      </c>
      <c r="AK210" s="30">
        <v>12.181625</v>
      </c>
      <c r="AL210" s="30">
        <v>12.17291</v>
      </c>
      <c r="AM210" s="30">
        <v>12.178791</v>
      </c>
      <c r="AN210" s="30">
        <v>12.159044</v>
      </c>
      <c r="AO210" s="30"/>
      <c r="AP210" s="30">
        <v>12.180849</v>
      </c>
      <c r="AQ210" s="30">
        <v>12.170377999999999</v>
      </c>
      <c r="AR210" s="30">
        <v>12.167866999999999</v>
      </c>
      <c r="AS210" s="30">
        <v>12.160985</v>
      </c>
      <c r="AT210" s="30">
        <v>12.169631000000001</v>
      </c>
      <c r="AU210" s="30">
        <v>12.166586000000001</v>
      </c>
      <c r="AV210" s="30">
        <v>12.171343</v>
      </c>
      <c r="AW210" s="30">
        <v>12.164833</v>
      </c>
      <c r="AX210" s="30"/>
      <c r="AY210" s="30"/>
      <c r="AZ210" s="30"/>
    </row>
    <row r="211" spans="1:52" ht="18" customHeight="1">
      <c r="A211" s="23"/>
      <c r="B211" s="19"/>
      <c r="C211" s="79" t="s">
        <v>225</v>
      </c>
      <c r="D211" s="35" t="s">
        <v>244</v>
      </c>
      <c r="E211" s="35"/>
      <c r="F211" s="29" t="s">
        <v>245</v>
      </c>
      <c r="G211" s="38">
        <v>12.13</v>
      </c>
      <c r="H211" s="38">
        <v>0.06</v>
      </c>
      <c r="I211" s="38">
        <v>0.06</v>
      </c>
      <c r="J211" s="38">
        <v>0.08</v>
      </c>
      <c r="K211" s="38">
        <v>0.06</v>
      </c>
      <c r="L211" s="30">
        <f t="shared" si="12"/>
        <v>12.201318000000001</v>
      </c>
      <c r="M211" s="30">
        <f t="shared" si="13"/>
        <v>12.187683</v>
      </c>
      <c r="N211" s="30">
        <f t="shared" si="14"/>
        <v>1.363500000000073E-2</v>
      </c>
      <c r="O211" s="31">
        <f t="shared" si="15"/>
        <v>12.196598965517239</v>
      </c>
      <c r="P211" s="52"/>
      <c r="Q211" s="30">
        <v>12.198739</v>
      </c>
      <c r="R211" s="30">
        <v>12.196434999999999</v>
      </c>
      <c r="S211" s="30">
        <v>12.198051</v>
      </c>
      <c r="T211" s="30">
        <v>12.200530000000001</v>
      </c>
      <c r="U211" s="30">
        <v>12.194863</v>
      </c>
      <c r="V211" s="30">
        <v>12.201252999999999</v>
      </c>
      <c r="W211" s="30">
        <v>12.200098000000001</v>
      </c>
      <c r="X211" s="30">
        <v>12.196635000000001</v>
      </c>
      <c r="Y211" s="30">
        <v>12.194839999999999</v>
      </c>
      <c r="Z211" s="30">
        <v>12.196895</v>
      </c>
      <c r="AA211" s="30">
        <v>12.194512</v>
      </c>
      <c r="AB211" s="30">
        <v>12.196230999999999</v>
      </c>
      <c r="AC211" s="30">
        <v>12.201117</v>
      </c>
      <c r="AD211" s="30">
        <v>12.198479000000001</v>
      </c>
      <c r="AE211" s="30">
        <v>12.196834000000001</v>
      </c>
      <c r="AF211" s="30">
        <v>12.199218</v>
      </c>
      <c r="AG211" s="30">
        <v>12.201318000000001</v>
      </c>
      <c r="AH211" s="30">
        <v>12.193934</v>
      </c>
      <c r="AI211" s="30">
        <v>12.198623</v>
      </c>
      <c r="AJ211" s="30">
        <v>12.197195000000001</v>
      </c>
      <c r="AK211" s="30">
        <v>12.198926999999999</v>
      </c>
      <c r="AL211" s="30">
        <v>12.196839000000001</v>
      </c>
      <c r="AM211" s="30">
        <v>12.200177999999999</v>
      </c>
      <c r="AN211" s="30">
        <v>12.187683</v>
      </c>
      <c r="AO211" s="30"/>
      <c r="AP211" s="30">
        <v>12.195909</v>
      </c>
      <c r="AQ211" s="30">
        <v>12.195727</v>
      </c>
      <c r="AR211" s="30">
        <v>12.191848</v>
      </c>
      <c r="AS211" s="30">
        <v>12.188585</v>
      </c>
      <c r="AT211" s="30">
        <v>12.189874</v>
      </c>
      <c r="AU211" s="30">
        <v>12.190446</v>
      </c>
      <c r="AV211" s="30">
        <v>12.194711</v>
      </c>
      <c r="AW211" s="30">
        <v>12.186877000000001</v>
      </c>
      <c r="AX211" s="30"/>
      <c r="AY211" s="30"/>
      <c r="AZ211" s="30"/>
    </row>
    <row r="212" spans="1:52" ht="18" customHeight="1">
      <c r="A212" s="23"/>
      <c r="B212" s="19"/>
      <c r="C212" s="79" t="s">
        <v>225</v>
      </c>
      <c r="D212" s="35" t="s">
        <v>246</v>
      </c>
      <c r="E212" s="35"/>
      <c r="F212" s="29" t="s">
        <v>247</v>
      </c>
      <c r="G212" s="38">
        <v>12.13</v>
      </c>
      <c r="H212" s="38">
        <v>0.06</v>
      </c>
      <c r="I212" s="38">
        <v>0.06</v>
      </c>
      <c r="J212" s="38">
        <v>0.08</v>
      </c>
      <c r="K212" s="38">
        <v>0.06</v>
      </c>
      <c r="L212" s="30">
        <f t="shared" si="12"/>
        <v>12.204428999999999</v>
      </c>
      <c r="M212" s="30">
        <f t="shared" si="13"/>
        <v>12.18746</v>
      </c>
      <c r="N212" s="30">
        <f t="shared" si="14"/>
        <v>1.6968999999999568E-2</v>
      </c>
      <c r="O212" s="31">
        <f t="shared" si="15"/>
        <v>12.195660068965518</v>
      </c>
      <c r="P212" s="52"/>
      <c r="Q212" s="30">
        <v>12.197816</v>
      </c>
      <c r="R212" s="30">
        <v>12.194727</v>
      </c>
      <c r="S212" s="30">
        <v>12.197094999999999</v>
      </c>
      <c r="T212" s="30">
        <v>12.201181999999999</v>
      </c>
      <c r="U212" s="30">
        <v>12.193769</v>
      </c>
      <c r="V212" s="30">
        <v>12.199597000000001</v>
      </c>
      <c r="W212" s="30">
        <v>12.198525</v>
      </c>
      <c r="X212" s="30">
        <v>12.195527</v>
      </c>
      <c r="Y212" s="30">
        <v>12.192005999999999</v>
      </c>
      <c r="Z212" s="30">
        <v>12.193174000000001</v>
      </c>
      <c r="AA212" s="30">
        <v>12.190357000000001</v>
      </c>
      <c r="AB212" s="30">
        <v>12.191841</v>
      </c>
      <c r="AC212" s="30">
        <v>12.201276999999999</v>
      </c>
      <c r="AD212" s="30">
        <v>12.195487</v>
      </c>
      <c r="AE212" s="30">
        <v>12.198797000000001</v>
      </c>
      <c r="AF212" s="30">
        <v>12.198575</v>
      </c>
      <c r="AG212" s="30">
        <v>12.200544000000001</v>
      </c>
      <c r="AH212" s="30">
        <v>12.195622999999999</v>
      </c>
      <c r="AI212" s="30">
        <v>12.196721</v>
      </c>
      <c r="AJ212" s="30">
        <v>12.204428999999999</v>
      </c>
      <c r="AK212" s="30">
        <v>12.196481</v>
      </c>
      <c r="AL212" s="30">
        <v>12.195221999999999</v>
      </c>
      <c r="AM212" s="30">
        <v>12.198356</v>
      </c>
      <c r="AN212" s="30">
        <v>12.190893000000001</v>
      </c>
      <c r="AO212" s="30"/>
      <c r="AP212" s="30">
        <v>12.194589000000001</v>
      </c>
      <c r="AQ212" s="30">
        <v>12.19811</v>
      </c>
      <c r="AR212" s="30">
        <v>12.188181</v>
      </c>
      <c r="AS212" s="30">
        <v>12.187780999999999</v>
      </c>
      <c r="AT212" s="30">
        <v>12.18746</v>
      </c>
      <c r="AU212" s="30">
        <v>12.184727000000001</v>
      </c>
      <c r="AV212" s="30">
        <v>12.194432000000001</v>
      </c>
      <c r="AW212" s="30">
        <v>12.185203</v>
      </c>
      <c r="AX212" s="30"/>
      <c r="AY212" s="30"/>
      <c r="AZ212" s="30"/>
    </row>
    <row r="213" spans="1:52" ht="18" customHeight="1">
      <c r="A213" s="23"/>
      <c r="B213" s="19"/>
      <c r="C213" s="79" t="s">
        <v>225</v>
      </c>
      <c r="D213" s="35" t="s">
        <v>248</v>
      </c>
      <c r="E213" s="35"/>
      <c r="F213" s="29" t="s">
        <v>249</v>
      </c>
      <c r="G213" s="38">
        <v>12.13</v>
      </c>
      <c r="H213" s="38">
        <v>0.06</v>
      </c>
      <c r="I213" s="38">
        <v>0.06</v>
      </c>
      <c r="J213" s="38">
        <v>0.08</v>
      </c>
      <c r="K213" s="38">
        <v>0.06</v>
      </c>
      <c r="L213" s="30">
        <f t="shared" si="12"/>
        <v>12.162969</v>
      </c>
      <c r="M213" s="30">
        <f t="shared" si="13"/>
        <v>12.136376</v>
      </c>
      <c r="N213" s="30">
        <f t="shared" si="14"/>
        <v>2.6593000000000089E-2</v>
      </c>
      <c r="O213" s="31">
        <f t="shared" si="15"/>
        <v>12.151104896551722</v>
      </c>
      <c r="P213" s="52"/>
      <c r="Q213" s="30">
        <v>12.152820999999999</v>
      </c>
      <c r="R213" s="30">
        <v>12.153225000000001</v>
      </c>
      <c r="S213" s="30">
        <v>12.155018</v>
      </c>
      <c r="T213" s="30">
        <v>12.154737000000001</v>
      </c>
      <c r="U213" s="30">
        <v>12.154090999999999</v>
      </c>
      <c r="V213" s="30">
        <v>12.153484000000001</v>
      </c>
      <c r="W213" s="30">
        <v>12.149979</v>
      </c>
      <c r="X213" s="30">
        <v>12.148652</v>
      </c>
      <c r="Y213" s="30">
        <v>12.150016000000001</v>
      </c>
      <c r="Z213" s="30">
        <v>12.148678</v>
      </c>
      <c r="AA213" s="30">
        <v>12.151344999999999</v>
      </c>
      <c r="AB213" s="30">
        <v>12.147243</v>
      </c>
      <c r="AC213" s="30">
        <v>12.152454000000001</v>
      </c>
      <c r="AD213" s="30">
        <v>12.152340000000001</v>
      </c>
      <c r="AE213" s="30">
        <v>12.149172999999999</v>
      </c>
      <c r="AF213" s="30">
        <v>12.154938</v>
      </c>
      <c r="AG213" s="30">
        <v>12.152613000000001</v>
      </c>
      <c r="AH213" s="30">
        <v>12.157413</v>
      </c>
      <c r="AI213" s="30">
        <v>12.14873</v>
      </c>
      <c r="AJ213" s="30">
        <v>12.162969</v>
      </c>
      <c r="AK213" s="30">
        <v>12.152118</v>
      </c>
      <c r="AL213" s="30">
        <v>12.150017</v>
      </c>
      <c r="AM213" s="30">
        <v>12.150933999999999</v>
      </c>
      <c r="AN213" s="30">
        <v>12.153532999999999</v>
      </c>
      <c r="AO213" s="30"/>
      <c r="AP213" s="30">
        <v>12.149893</v>
      </c>
      <c r="AQ213" s="30">
        <v>12.151453</v>
      </c>
      <c r="AR213" s="30">
        <v>12.136376</v>
      </c>
      <c r="AS213" s="30">
        <v>12.143651</v>
      </c>
      <c r="AT213" s="30">
        <v>12.144147999999999</v>
      </c>
      <c r="AU213" s="30">
        <v>12.138384</v>
      </c>
      <c r="AV213" s="30">
        <v>12.143735</v>
      </c>
      <c r="AW213" s="30">
        <v>12.144504</v>
      </c>
      <c r="AX213" s="30"/>
      <c r="AY213" s="30"/>
      <c r="AZ213" s="30"/>
    </row>
    <row r="214" spans="1:52" ht="18" customHeight="1">
      <c r="A214" s="23"/>
      <c r="B214" s="19"/>
      <c r="C214" s="79" t="s">
        <v>225</v>
      </c>
      <c r="D214" s="35" t="s">
        <v>250</v>
      </c>
      <c r="E214" s="35"/>
      <c r="F214" s="29" t="s">
        <v>251</v>
      </c>
      <c r="G214" s="38">
        <v>12.13</v>
      </c>
      <c r="H214" s="38">
        <v>0.06</v>
      </c>
      <c r="I214" s="38">
        <v>0.06</v>
      </c>
      <c r="J214" s="38">
        <v>0.08</v>
      </c>
      <c r="K214" s="38">
        <v>0.06</v>
      </c>
      <c r="L214" s="30">
        <f t="shared" si="12"/>
        <v>12.174028</v>
      </c>
      <c r="M214" s="30">
        <f t="shared" si="13"/>
        <v>12.137964999999999</v>
      </c>
      <c r="N214" s="30">
        <f t="shared" si="14"/>
        <v>3.60630000000004E-2</v>
      </c>
      <c r="O214" s="31">
        <f t="shared" si="15"/>
        <v>12.158540862068966</v>
      </c>
      <c r="P214" s="52"/>
      <c r="Q214" s="30">
        <v>12.161168</v>
      </c>
      <c r="R214" s="30">
        <v>12.163989000000001</v>
      </c>
      <c r="S214" s="30">
        <v>12.162865999999999</v>
      </c>
      <c r="T214" s="30">
        <v>12.161276000000001</v>
      </c>
      <c r="U214" s="30">
        <v>12.163356</v>
      </c>
      <c r="V214" s="30">
        <v>12.155296</v>
      </c>
      <c r="W214" s="30">
        <v>12.157578000000001</v>
      </c>
      <c r="X214" s="30">
        <v>12.155715000000001</v>
      </c>
      <c r="Y214" s="30">
        <v>12.158149999999999</v>
      </c>
      <c r="Z214" s="30">
        <v>12.155986</v>
      </c>
      <c r="AA214" s="30">
        <v>12.162993</v>
      </c>
      <c r="AB214" s="30">
        <v>12.155778</v>
      </c>
      <c r="AC214" s="30">
        <v>12.159933000000001</v>
      </c>
      <c r="AD214" s="30">
        <v>12.163023000000001</v>
      </c>
      <c r="AE214" s="30">
        <v>12.158186000000001</v>
      </c>
      <c r="AF214" s="30">
        <v>12.165941999999999</v>
      </c>
      <c r="AG214" s="30">
        <v>12.158502</v>
      </c>
      <c r="AH214" s="30">
        <v>12.174028</v>
      </c>
      <c r="AI214" s="30">
        <v>12.157785000000001</v>
      </c>
      <c r="AJ214" s="30">
        <v>12.171611</v>
      </c>
      <c r="AK214" s="30">
        <v>12.156264</v>
      </c>
      <c r="AL214" s="30">
        <v>12.158079000000001</v>
      </c>
      <c r="AM214" s="30">
        <v>12.153625</v>
      </c>
      <c r="AN214" s="30">
        <v>12.164445000000001</v>
      </c>
      <c r="AO214" s="30"/>
      <c r="AP214" s="30">
        <v>12.149746</v>
      </c>
      <c r="AQ214" s="30">
        <v>12.146701</v>
      </c>
      <c r="AR214" s="30">
        <v>12.137964999999999</v>
      </c>
      <c r="AS214" s="30">
        <v>12.15587</v>
      </c>
      <c r="AT214" s="30">
        <v>12.151828999999999</v>
      </c>
      <c r="AU214" s="30">
        <v>12.145147</v>
      </c>
      <c r="AV214" s="30">
        <v>12.145334999999999</v>
      </c>
      <c r="AW214" s="30">
        <v>12.160863000000001</v>
      </c>
      <c r="AX214" s="30"/>
      <c r="AY214" s="30"/>
      <c r="AZ214" s="30"/>
    </row>
    <row r="215" spans="1:52" ht="18" customHeight="1">
      <c r="A215" s="23"/>
      <c r="B215" s="19"/>
      <c r="C215" s="79" t="s">
        <v>225</v>
      </c>
      <c r="D215" s="35" t="s">
        <v>252</v>
      </c>
      <c r="E215" s="35"/>
      <c r="F215" s="29" t="s">
        <v>253</v>
      </c>
      <c r="G215" s="38">
        <v>12.13</v>
      </c>
      <c r="H215" s="38">
        <v>0.06</v>
      </c>
      <c r="I215" s="38">
        <v>0.06</v>
      </c>
      <c r="J215" s="38">
        <v>0.08</v>
      </c>
      <c r="K215" s="38">
        <v>0.06</v>
      </c>
      <c r="L215" s="30">
        <f t="shared" si="12"/>
        <v>12.183007999999999</v>
      </c>
      <c r="M215" s="30">
        <f t="shared" si="13"/>
        <v>12.163762999999999</v>
      </c>
      <c r="N215" s="30">
        <f t="shared" si="14"/>
        <v>1.9244999999999735E-2</v>
      </c>
      <c r="O215" s="31">
        <f t="shared" si="15"/>
        <v>12.176557620689653</v>
      </c>
      <c r="P215" s="52"/>
      <c r="Q215" s="30">
        <v>12.1782</v>
      </c>
      <c r="R215" s="30">
        <v>12.179451</v>
      </c>
      <c r="S215" s="30">
        <v>12.179579</v>
      </c>
      <c r="T215" s="30">
        <v>12.178696</v>
      </c>
      <c r="U215" s="30">
        <v>12.180210000000001</v>
      </c>
      <c r="V215" s="30">
        <v>12.177451</v>
      </c>
      <c r="W215" s="30">
        <v>12.176627</v>
      </c>
      <c r="X215" s="30">
        <v>12.176091</v>
      </c>
      <c r="Y215" s="30">
        <v>12.177986000000001</v>
      </c>
      <c r="Z215" s="30">
        <v>12.177910000000001</v>
      </c>
      <c r="AA215" s="30">
        <v>12.180046000000001</v>
      </c>
      <c r="AB215" s="30">
        <v>12.174352000000001</v>
      </c>
      <c r="AC215" s="30">
        <v>12.178917999999999</v>
      </c>
      <c r="AD215" s="30">
        <v>12.182354999999999</v>
      </c>
      <c r="AE215" s="30">
        <v>12.175662000000001</v>
      </c>
      <c r="AF215" s="30">
        <v>12.181378</v>
      </c>
      <c r="AG215" s="30">
        <v>12.179724999999999</v>
      </c>
      <c r="AH215" s="30">
        <v>12.183007999999999</v>
      </c>
      <c r="AI215" s="30">
        <v>12.178293999999999</v>
      </c>
      <c r="AJ215" s="30">
        <v>12.179159</v>
      </c>
      <c r="AK215" s="30">
        <v>12.177438</v>
      </c>
      <c r="AL215" s="30">
        <v>12.176615999999999</v>
      </c>
      <c r="AM215" s="30">
        <v>12.175660000000001</v>
      </c>
      <c r="AN215" s="30">
        <v>12.173439999999999</v>
      </c>
      <c r="AO215" s="30"/>
      <c r="AP215" s="30">
        <v>12.169919999999999</v>
      </c>
      <c r="AQ215" s="30">
        <v>12.167239</v>
      </c>
      <c r="AR215" s="30">
        <v>12.163762999999999</v>
      </c>
      <c r="AS215" s="30">
        <v>12.169321999999999</v>
      </c>
      <c r="AT215" s="30">
        <v>12.171675</v>
      </c>
      <c r="AU215" s="30">
        <v>12.168563000000001</v>
      </c>
      <c r="AV215" s="30">
        <v>12.168194</v>
      </c>
      <c r="AW215" s="30">
        <v>12.174196999999999</v>
      </c>
      <c r="AX215" s="30"/>
      <c r="AY215" s="30"/>
      <c r="AZ215" s="30"/>
    </row>
    <row r="216" spans="1:52" ht="18" customHeight="1">
      <c r="A216" s="23"/>
      <c r="B216" s="19"/>
      <c r="C216" s="79" t="s">
        <v>225</v>
      </c>
      <c r="D216" s="35" t="s">
        <v>254</v>
      </c>
      <c r="E216" s="35"/>
      <c r="F216" s="29" t="s">
        <v>255</v>
      </c>
      <c r="G216" s="38">
        <v>12.13</v>
      </c>
      <c r="H216" s="38">
        <v>0.06</v>
      </c>
      <c r="I216" s="38">
        <v>0.06</v>
      </c>
      <c r="J216" s="38">
        <v>0.08</v>
      </c>
      <c r="K216" s="38">
        <v>0.06</v>
      </c>
      <c r="L216" s="30">
        <f t="shared" si="12"/>
        <v>12.178817</v>
      </c>
      <c r="M216" s="30">
        <f t="shared" si="13"/>
        <v>12.161507</v>
      </c>
      <c r="N216" s="30">
        <f t="shared" si="14"/>
        <v>1.7310000000000159E-2</v>
      </c>
      <c r="O216" s="31">
        <f t="shared" si="15"/>
        <v>12.173594689655172</v>
      </c>
      <c r="P216" s="52"/>
      <c r="Q216" s="30">
        <v>12.175314</v>
      </c>
      <c r="R216" s="30">
        <v>12.176129</v>
      </c>
      <c r="S216" s="30">
        <v>12.178419</v>
      </c>
      <c r="T216" s="30">
        <v>12.176192</v>
      </c>
      <c r="U216" s="30">
        <v>12.178290000000001</v>
      </c>
      <c r="V216" s="30">
        <v>12.178274</v>
      </c>
      <c r="W216" s="30">
        <v>12.173156000000001</v>
      </c>
      <c r="X216" s="30">
        <v>12.175693000000001</v>
      </c>
      <c r="Y216" s="30">
        <v>12.176754000000001</v>
      </c>
      <c r="Z216" s="30">
        <v>12.176489999999999</v>
      </c>
      <c r="AA216" s="30">
        <v>12.172413000000001</v>
      </c>
      <c r="AB216" s="30">
        <v>12.169734999999999</v>
      </c>
      <c r="AC216" s="30">
        <v>12.174639000000001</v>
      </c>
      <c r="AD216" s="30">
        <v>12.178817</v>
      </c>
      <c r="AE216" s="30">
        <v>12.173131</v>
      </c>
      <c r="AF216" s="30">
        <v>12.176909</v>
      </c>
      <c r="AG216" s="30">
        <v>12.176066</v>
      </c>
      <c r="AH216" s="30">
        <v>12.175993</v>
      </c>
      <c r="AI216" s="30">
        <v>12.174481999999999</v>
      </c>
      <c r="AJ216" s="30">
        <v>12.173520999999999</v>
      </c>
      <c r="AK216" s="30">
        <v>12.174719</v>
      </c>
      <c r="AL216" s="30">
        <v>12.173495000000001</v>
      </c>
      <c r="AM216" s="30">
        <v>12.173571000000001</v>
      </c>
      <c r="AN216" s="30">
        <v>12.164930999999999</v>
      </c>
      <c r="AO216" s="30"/>
      <c r="AP216" s="30">
        <v>12.168801</v>
      </c>
      <c r="AQ216" s="30">
        <v>12.167351999999999</v>
      </c>
      <c r="AR216" s="30">
        <v>12.161507</v>
      </c>
      <c r="AS216" s="30">
        <v>12.167865000000001</v>
      </c>
      <c r="AT216" s="30">
        <v>12.171588</v>
      </c>
      <c r="AU216" s="30">
        <v>12.165664</v>
      </c>
      <c r="AV216" s="30">
        <v>12.168221000000001</v>
      </c>
      <c r="AW216" s="30">
        <v>12.170591999999999</v>
      </c>
      <c r="AX216" s="30"/>
      <c r="AY216" s="30"/>
      <c r="AZ216" s="30"/>
    </row>
    <row r="217" spans="1:52" ht="18" customHeight="1">
      <c r="A217" s="23"/>
      <c r="B217" s="19"/>
      <c r="C217" s="79" t="s">
        <v>225</v>
      </c>
      <c r="D217" s="35" t="s">
        <v>256</v>
      </c>
      <c r="E217" s="35"/>
      <c r="F217" s="29" t="s">
        <v>257</v>
      </c>
      <c r="G217" s="38">
        <v>12.13</v>
      </c>
      <c r="H217" s="38">
        <v>0.06</v>
      </c>
      <c r="I217" s="38">
        <v>0.06</v>
      </c>
      <c r="J217" s="38">
        <v>0.08</v>
      </c>
      <c r="K217" s="38">
        <v>0.06</v>
      </c>
      <c r="L217" s="30">
        <f t="shared" si="12"/>
        <v>12.188682</v>
      </c>
      <c r="M217" s="30">
        <f t="shared" si="13"/>
        <v>12.162934999999999</v>
      </c>
      <c r="N217" s="30">
        <f t="shared" si="14"/>
        <v>2.5747000000000853E-2</v>
      </c>
      <c r="O217" s="31">
        <f t="shared" si="15"/>
        <v>12.180835448275865</v>
      </c>
      <c r="P217" s="52"/>
      <c r="Q217" s="30">
        <v>12.181050000000001</v>
      </c>
      <c r="R217" s="30">
        <v>12.184101999999999</v>
      </c>
      <c r="S217" s="30">
        <v>12.187462999999999</v>
      </c>
      <c r="T217" s="30">
        <v>12.182544999999999</v>
      </c>
      <c r="U217" s="30">
        <v>12.187275</v>
      </c>
      <c r="V217" s="30">
        <v>12.188682</v>
      </c>
      <c r="W217" s="30">
        <v>12.181967</v>
      </c>
      <c r="X217" s="30">
        <v>12.184945000000001</v>
      </c>
      <c r="Y217" s="30">
        <v>12.186294</v>
      </c>
      <c r="Z217" s="30">
        <v>12.187557999999999</v>
      </c>
      <c r="AA217" s="30">
        <v>12.180433000000001</v>
      </c>
      <c r="AB217" s="30">
        <v>12.180133</v>
      </c>
      <c r="AC217" s="30">
        <v>12.1808</v>
      </c>
      <c r="AD217" s="30">
        <v>12.187312</v>
      </c>
      <c r="AE217" s="30">
        <v>12.182550000000001</v>
      </c>
      <c r="AF217" s="30">
        <v>12.182232000000001</v>
      </c>
      <c r="AG217" s="30">
        <v>12.185086</v>
      </c>
      <c r="AH217" s="30">
        <v>12.174642</v>
      </c>
      <c r="AI217" s="30">
        <v>12.182747000000001</v>
      </c>
      <c r="AJ217" s="30">
        <v>12.171156</v>
      </c>
      <c r="AK217" s="30">
        <v>12.185942000000001</v>
      </c>
      <c r="AL217" s="30">
        <v>12.182482</v>
      </c>
      <c r="AM217" s="30">
        <v>12.186978999999999</v>
      </c>
      <c r="AN217" s="30">
        <v>12.162934999999999</v>
      </c>
      <c r="AO217" s="30"/>
      <c r="AP217" s="30">
        <v>12.175545</v>
      </c>
      <c r="AQ217" s="30">
        <v>12.172686000000001</v>
      </c>
      <c r="AR217" s="30">
        <v>12.171701000000001</v>
      </c>
      <c r="AS217" s="30">
        <v>12.169554</v>
      </c>
      <c r="AT217" s="30">
        <v>12.177432</v>
      </c>
      <c r="AU217" s="30">
        <v>12.175625999999999</v>
      </c>
      <c r="AV217" s="30">
        <v>12.175547999999999</v>
      </c>
      <c r="AW217" s="30">
        <v>12.16948</v>
      </c>
      <c r="AX217" s="30"/>
      <c r="AY217" s="30"/>
      <c r="AZ217" s="30"/>
    </row>
    <row r="218" spans="1:52" ht="18" customHeight="1">
      <c r="A218" s="23"/>
      <c r="B218" s="19"/>
      <c r="C218" s="79" t="s">
        <v>225</v>
      </c>
      <c r="D218" s="35" t="s">
        <v>258</v>
      </c>
      <c r="E218" s="35"/>
      <c r="F218" s="29" t="s">
        <v>259</v>
      </c>
      <c r="G218" s="38">
        <v>14.13</v>
      </c>
      <c r="H218" s="38">
        <v>0.05</v>
      </c>
      <c r="I218" s="38">
        <v>0.05</v>
      </c>
      <c r="J218" s="38">
        <v>0.08</v>
      </c>
      <c r="K218" s="38">
        <v>0.05</v>
      </c>
      <c r="L218" s="30">
        <f t="shared" si="12"/>
        <v>14.182847000000001</v>
      </c>
      <c r="M218" s="30">
        <f t="shared" si="13"/>
        <v>14.151068</v>
      </c>
      <c r="N218" s="30">
        <f t="shared" si="14"/>
        <v>3.1779000000000224E-2</v>
      </c>
      <c r="O218" s="31">
        <f t="shared" si="15"/>
        <v>14.172534586206897</v>
      </c>
      <c r="P218" s="52"/>
      <c r="Q218" s="30">
        <v>14.169091999999999</v>
      </c>
      <c r="R218" s="30">
        <v>14.177645999999999</v>
      </c>
      <c r="S218" s="30">
        <v>14.182847000000001</v>
      </c>
      <c r="T218" s="30">
        <v>14.179394</v>
      </c>
      <c r="U218" s="30">
        <v>14.179558999999999</v>
      </c>
      <c r="V218" s="30">
        <v>14.175604999999999</v>
      </c>
      <c r="W218" s="30">
        <v>14.176012</v>
      </c>
      <c r="X218" s="30">
        <v>14.175643000000001</v>
      </c>
      <c r="Y218" s="30">
        <v>14.173045999999999</v>
      </c>
      <c r="Z218" s="30">
        <v>14.168156</v>
      </c>
      <c r="AA218" s="30">
        <v>14.172234</v>
      </c>
      <c r="AB218" s="30">
        <v>14.168616</v>
      </c>
      <c r="AC218" s="30">
        <v>14.176466</v>
      </c>
      <c r="AD218" s="30">
        <v>14.179357</v>
      </c>
      <c r="AE218" s="30">
        <v>14.176924</v>
      </c>
      <c r="AF218" s="30">
        <v>14.178863</v>
      </c>
      <c r="AG218" s="30">
        <v>14.174334</v>
      </c>
      <c r="AH218" s="30">
        <v>14.17395</v>
      </c>
      <c r="AI218" s="30">
        <v>14.164985</v>
      </c>
      <c r="AJ218" s="30">
        <v>14.177303999999999</v>
      </c>
      <c r="AK218" s="30">
        <v>14.17009</v>
      </c>
      <c r="AL218" s="30">
        <v>14.173458</v>
      </c>
      <c r="AM218" s="30">
        <v>14.168367</v>
      </c>
      <c r="AN218" s="30">
        <v>14.170434</v>
      </c>
      <c r="AO218" s="30"/>
      <c r="AP218" s="30">
        <v>14.164033</v>
      </c>
      <c r="AQ218" s="30">
        <v>14.165705000000001</v>
      </c>
      <c r="AR218" s="30">
        <v>14.151068</v>
      </c>
      <c r="AS218" s="30">
        <v>14.180135999999999</v>
      </c>
      <c r="AT218" s="30">
        <v>14.160178999999999</v>
      </c>
      <c r="AU218" s="30">
        <v>14.155052</v>
      </c>
      <c r="AV218" s="30">
        <v>14.160764</v>
      </c>
      <c r="AW218" s="30">
        <v>14.160843</v>
      </c>
      <c r="AX218" s="30"/>
      <c r="AY218" s="30"/>
      <c r="AZ218" s="30"/>
    </row>
    <row r="219" spans="1:52" ht="18" customHeight="1">
      <c r="A219" s="23"/>
      <c r="B219" s="19"/>
      <c r="C219" s="79" t="s">
        <v>225</v>
      </c>
      <c r="D219" s="35" t="s">
        <v>260</v>
      </c>
      <c r="E219" s="35"/>
      <c r="F219" s="29" t="s">
        <v>261</v>
      </c>
      <c r="G219" s="38">
        <v>14.13</v>
      </c>
      <c r="H219" s="38">
        <v>0.05</v>
      </c>
      <c r="I219" s="38">
        <v>0.05</v>
      </c>
      <c r="J219" s="38">
        <v>0.08</v>
      </c>
      <c r="K219" s="38">
        <v>0.05</v>
      </c>
      <c r="L219" s="30">
        <f t="shared" si="12"/>
        <v>14.172153</v>
      </c>
      <c r="M219" s="30">
        <f t="shared" si="13"/>
        <v>14.14194</v>
      </c>
      <c r="N219" s="30">
        <f t="shared" si="14"/>
        <v>3.0212999999999823E-2</v>
      </c>
      <c r="O219" s="31">
        <f t="shared" si="15"/>
        <v>14.16139524137931</v>
      </c>
      <c r="P219" s="52"/>
      <c r="Q219" s="30">
        <v>14.159528</v>
      </c>
      <c r="R219" s="30">
        <v>14.167142</v>
      </c>
      <c r="S219" s="30">
        <v>14.172153</v>
      </c>
      <c r="T219" s="30">
        <v>14.167384999999999</v>
      </c>
      <c r="U219" s="30">
        <v>14.170005</v>
      </c>
      <c r="V219" s="30">
        <v>14.168317999999999</v>
      </c>
      <c r="W219" s="30">
        <v>14.163144000000001</v>
      </c>
      <c r="X219" s="30">
        <v>14.165073</v>
      </c>
      <c r="Y219" s="30">
        <v>14.165274999999999</v>
      </c>
      <c r="Z219" s="30">
        <v>14.163497</v>
      </c>
      <c r="AA219" s="30">
        <v>14.163898</v>
      </c>
      <c r="AB219" s="30">
        <v>14.160399</v>
      </c>
      <c r="AC219" s="30">
        <v>14.165867</v>
      </c>
      <c r="AD219" s="30">
        <v>14.169843</v>
      </c>
      <c r="AE219" s="30">
        <v>14.166009000000001</v>
      </c>
      <c r="AF219" s="30">
        <v>14.167429</v>
      </c>
      <c r="AG219" s="30">
        <v>14.165820999999999</v>
      </c>
      <c r="AH219" s="30">
        <v>14.158348</v>
      </c>
      <c r="AI219" s="30">
        <v>14.156283</v>
      </c>
      <c r="AJ219" s="30">
        <v>14.160311999999999</v>
      </c>
      <c r="AK219" s="30">
        <v>14.160136</v>
      </c>
      <c r="AL219" s="30">
        <v>14.158688</v>
      </c>
      <c r="AM219" s="30">
        <v>14.155478</v>
      </c>
      <c r="AN219" s="30">
        <v>14.149687999999999</v>
      </c>
      <c r="AO219" s="30"/>
      <c r="AP219" s="30">
        <v>14.152051</v>
      </c>
      <c r="AQ219" s="30">
        <v>14.152011999999999</v>
      </c>
      <c r="AR219" s="30">
        <v>14.14194</v>
      </c>
      <c r="AS219" s="30">
        <v>14.16215</v>
      </c>
      <c r="AT219" s="30">
        <v>14.15259</v>
      </c>
      <c r="AU219" s="30">
        <v>14.148777000000001</v>
      </c>
      <c r="AV219" s="30">
        <v>14.150304</v>
      </c>
      <c r="AW219" s="30">
        <v>14.152896999999999</v>
      </c>
      <c r="AX219" s="30"/>
      <c r="AY219" s="30"/>
      <c r="AZ219" s="30"/>
    </row>
    <row r="220" spans="1:52" ht="18" customHeight="1">
      <c r="A220" s="23"/>
      <c r="B220" s="19"/>
      <c r="C220" s="79" t="s">
        <v>225</v>
      </c>
      <c r="D220" s="35" t="s">
        <v>262</v>
      </c>
      <c r="E220" s="35"/>
      <c r="F220" s="29" t="s">
        <v>263</v>
      </c>
      <c r="G220" s="38">
        <v>14.13</v>
      </c>
      <c r="H220" s="38">
        <v>0.05</v>
      </c>
      <c r="I220" s="38">
        <v>0.05</v>
      </c>
      <c r="J220" s="38">
        <v>0.08</v>
      </c>
      <c r="K220" s="38">
        <v>0.05</v>
      </c>
      <c r="L220" s="30">
        <f t="shared" si="12"/>
        <v>14.187033</v>
      </c>
      <c r="M220" s="30">
        <f t="shared" si="13"/>
        <v>14.15828</v>
      </c>
      <c r="N220" s="30">
        <f t="shared" si="14"/>
        <v>2.8753000000000029E-2</v>
      </c>
      <c r="O220" s="31">
        <f t="shared" si="15"/>
        <v>14.176891758620691</v>
      </c>
      <c r="P220" s="52"/>
      <c r="Q220" s="30">
        <v>14.172502</v>
      </c>
      <c r="R220" s="30">
        <v>14.182098999999999</v>
      </c>
      <c r="S220" s="30">
        <v>14.182900999999999</v>
      </c>
      <c r="T220" s="30">
        <v>14.178758999999999</v>
      </c>
      <c r="U220" s="30">
        <v>14.183908000000001</v>
      </c>
      <c r="V220" s="30">
        <v>14.182320000000001</v>
      </c>
      <c r="W220" s="30">
        <v>14.178811</v>
      </c>
      <c r="X220" s="30">
        <v>14.181493</v>
      </c>
      <c r="Y220" s="30">
        <v>14.181008</v>
      </c>
      <c r="Z220" s="30">
        <v>14.180730000000001</v>
      </c>
      <c r="AA220" s="30">
        <v>14.182679</v>
      </c>
      <c r="AB220" s="30">
        <v>14.181611</v>
      </c>
      <c r="AC220" s="30">
        <v>14.185998</v>
      </c>
      <c r="AD220" s="30">
        <v>14.187033</v>
      </c>
      <c r="AE220" s="30">
        <v>14.182823000000001</v>
      </c>
      <c r="AF220" s="30">
        <v>14.182639999999999</v>
      </c>
      <c r="AG220" s="30">
        <v>14.185556</v>
      </c>
      <c r="AH220" s="30">
        <v>14.17385</v>
      </c>
      <c r="AI220" s="30">
        <v>14.174067000000001</v>
      </c>
      <c r="AJ220" s="30">
        <v>14.172437</v>
      </c>
      <c r="AK220" s="30">
        <v>14.178957</v>
      </c>
      <c r="AL220" s="30">
        <v>14.176886</v>
      </c>
      <c r="AM220" s="30">
        <v>14.175699</v>
      </c>
      <c r="AN220" s="30">
        <v>14.165481</v>
      </c>
      <c r="AO220" s="30"/>
      <c r="AP220" s="30">
        <v>14.162896</v>
      </c>
      <c r="AQ220" s="30">
        <v>14.160028000000001</v>
      </c>
      <c r="AR220" s="30">
        <v>14.15828</v>
      </c>
      <c r="AS220" s="30">
        <v>14.174754999999999</v>
      </c>
      <c r="AT220" s="30">
        <v>14.163653999999999</v>
      </c>
      <c r="AU220" s="30">
        <v>14.165335000000001</v>
      </c>
      <c r="AV220" s="30">
        <v>14.164019</v>
      </c>
      <c r="AW220" s="30">
        <v>14.167210000000001</v>
      </c>
      <c r="AX220" s="30"/>
      <c r="AY220" s="30"/>
      <c r="AZ220" s="30"/>
    </row>
    <row r="221" spans="1:52" ht="18" customHeight="1">
      <c r="A221" s="23"/>
      <c r="B221" s="19"/>
      <c r="C221" s="79" t="s">
        <v>225</v>
      </c>
      <c r="D221" s="35" t="s">
        <v>264</v>
      </c>
      <c r="E221" s="35"/>
      <c r="F221" s="29" t="s">
        <v>265</v>
      </c>
      <c r="G221" s="38">
        <v>14.13</v>
      </c>
      <c r="H221" s="38">
        <v>0.05</v>
      </c>
      <c r="I221" s="38">
        <v>0.05</v>
      </c>
      <c r="J221" s="38">
        <v>0.08</v>
      </c>
      <c r="K221" s="38">
        <v>0.05</v>
      </c>
      <c r="L221" s="30">
        <f t="shared" si="12"/>
        <v>14.172938</v>
      </c>
      <c r="M221" s="30">
        <f t="shared" si="13"/>
        <v>14.145751000000001</v>
      </c>
      <c r="N221" s="30">
        <f t="shared" si="14"/>
        <v>2.7186999999999628E-2</v>
      </c>
      <c r="O221" s="31">
        <f t="shared" si="15"/>
        <v>14.162188827586206</v>
      </c>
      <c r="P221" s="52"/>
      <c r="Q221" s="30">
        <v>14.155194</v>
      </c>
      <c r="R221" s="30">
        <v>14.165527000000001</v>
      </c>
      <c r="S221" s="30">
        <v>14.166404999999999</v>
      </c>
      <c r="T221" s="30">
        <v>14.160453</v>
      </c>
      <c r="U221" s="30">
        <v>14.168252000000001</v>
      </c>
      <c r="V221" s="30">
        <v>14.164999999999999</v>
      </c>
      <c r="W221" s="30">
        <v>14.162196</v>
      </c>
      <c r="X221" s="30">
        <v>14.165139</v>
      </c>
      <c r="Y221" s="30">
        <v>14.167393000000001</v>
      </c>
      <c r="Z221" s="30">
        <v>14.167616000000001</v>
      </c>
      <c r="AA221" s="30">
        <v>14.168946999999999</v>
      </c>
      <c r="AB221" s="30">
        <v>14.168072</v>
      </c>
      <c r="AC221" s="30">
        <v>14.169250999999999</v>
      </c>
      <c r="AD221" s="30">
        <v>14.172938</v>
      </c>
      <c r="AE221" s="30">
        <v>14.167095</v>
      </c>
      <c r="AF221" s="30">
        <v>14.16658</v>
      </c>
      <c r="AG221" s="30">
        <v>14.171744</v>
      </c>
      <c r="AH221" s="30">
        <v>14.158134</v>
      </c>
      <c r="AI221" s="30">
        <v>14.162547999999999</v>
      </c>
      <c r="AJ221" s="30">
        <v>14.153264</v>
      </c>
      <c r="AK221" s="30">
        <v>14.166107</v>
      </c>
      <c r="AL221" s="30">
        <v>14.164262000000001</v>
      </c>
      <c r="AM221" s="30">
        <v>14.164804</v>
      </c>
      <c r="AN221" s="30">
        <v>14.149448</v>
      </c>
      <c r="AO221" s="30"/>
      <c r="AP221" s="30">
        <v>14.151679</v>
      </c>
      <c r="AQ221" s="30">
        <v>14.145751000000001</v>
      </c>
      <c r="AR221" s="30">
        <v>14.148797</v>
      </c>
      <c r="AS221" s="30">
        <v>14.157704000000001</v>
      </c>
      <c r="AT221" s="30">
        <v>14.153176</v>
      </c>
      <c r="AU221" s="30">
        <v>14.157859</v>
      </c>
      <c r="AV221" s="30">
        <v>14.153343</v>
      </c>
      <c r="AW221" s="30">
        <v>14.155052</v>
      </c>
      <c r="AX221" s="30"/>
      <c r="AY221" s="30"/>
      <c r="AZ221" s="30"/>
    </row>
    <row r="222" spans="1:52" ht="18" customHeight="1">
      <c r="A222" s="23"/>
      <c r="B222" s="19"/>
      <c r="C222" s="79" t="s">
        <v>225</v>
      </c>
      <c r="D222" s="35" t="s">
        <v>266</v>
      </c>
      <c r="E222" s="35" t="s">
        <v>476</v>
      </c>
      <c r="F222" s="29" t="s">
        <v>268</v>
      </c>
      <c r="G222" s="38">
        <v>14.13</v>
      </c>
      <c r="H222" s="38">
        <v>0.05</v>
      </c>
      <c r="I222" s="38">
        <v>0.05</v>
      </c>
      <c r="J222" s="38">
        <v>0.08</v>
      </c>
      <c r="K222" s="38">
        <v>0.05</v>
      </c>
      <c r="L222" s="30">
        <f t="shared" si="12"/>
        <v>14.168042</v>
      </c>
      <c r="M222" s="30">
        <f t="shared" si="13"/>
        <v>14.140670999999999</v>
      </c>
      <c r="N222" s="30">
        <f t="shared" si="14"/>
        <v>2.7371000000000478E-2</v>
      </c>
      <c r="O222" s="31">
        <f t="shared" si="15"/>
        <v>14.156939896551725</v>
      </c>
      <c r="P222" s="52"/>
      <c r="Q222" s="30">
        <v>14.151160000000001</v>
      </c>
      <c r="R222" s="30">
        <v>14.16061</v>
      </c>
      <c r="S222" s="30">
        <v>14.162369</v>
      </c>
      <c r="T222" s="30">
        <v>14.155409000000001</v>
      </c>
      <c r="U222" s="30">
        <v>14.162198</v>
      </c>
      <c r="V222" s="30">
        <v>14.160938</v>
      </c>
      <c r="W222" s="30">
        <v>14.156523</v>
      </c>
      <c r="X222" s="30">
        <v>14.158244</v>
      </c>
      <c r="Y222" s="30">
        <v>14.162419</v>
      </c>
      <c r="Z222" s="30">
        <v>14.162786000000001</v>
      </c>
      <c r="AA222" s="30">
        <v>14.162713999999999</v>
      </c>
      <c r="AB222" s="30">
        <v>14.163187000000001</v>
      </c>
      <c r="AC222" s="30">
        <v>14.163010999999999</v>
      </c>
      <c r="AD222" s="30">
        <v>14.168042</v>
      </c>
      <c r="AE222" s="30">
        <v>14.161336</v>
      </c>
      <c r="AF222" s="30">
        <v>14.162769000000001</v>
      </c>
      <c r="AG222" s="30">
        <v>14.166551999999999</v>
      </c>
      <c r="AH222" s="30">
        <v>14.149642</v>
      </c>
      <c r="AI222" s="30">
        <v>14.157615</v>
      </c>
      <c r="AJ222" s="30">
        <v>14.146188</v>
      </c>
      <c r="AK222" s="30">
        <v>14.162056</v>
      </c>
      <c r="AL222" s="30">
        <v>14.157883999999999</v>
      </c>
      <c r="AM222" s="30">
        <v>14.159221000000001</v>
      </c>
      <c r="AN222" s="30">
        <v>14.140670999999999</v>
      </c>
      <c r="AO222" s="30"/>
      <c r="AP222" s="30">
        <v>14.149606</v>
      </c>
      <c r="AQ222" s="30">
        <v>14.140995999999999</v>
      </c>
      <c r="AR222" s="30">
        <v>14.143613</v>
      </c>
      <c r="AS222" s="30">
        <v>14.153363000000001</v>
      </c>
      <c r="AT222" s="30">
        <v>14.150135000000001</v>
      </c>
      <c r="AU222" s="30">
        <v>14.153100999999999</v>
      </c>
      <c r="AV222" s="30">
        <v>14.148731</v>
      </c>
      <c r="AW222" s="30">
        <v>14.150296000000001</v>
      </c>
      <c r="AX222" s="30"/>
      <c r="AY222" s="30"/>
      <c r="AZ222" s="30"/>
    </row>
    <row r="223" spans="1:52" ht="18" customHeight="1">
      <c r="A223" s="23"/>
      <c r="B223" s="19"/>
      <c r="C223" s="79" t="s">
        <v>225</v>
      </c>
      <c r="D223" s="35" t="s">
        <v>269</v>
      </c>
      <c r="E223" s="35"/>
      <c r="F223" s="29" t="s">
        <v>270</v>
      </c>
      <c r="G223" s="38">
        <v>14.13</v>
      </c>
      <c r="H223" s="38">
        <v>0.05</v>
      </c>
      <c r="I223" s="38">
        <v>0.05</v>
      </c>
      <c r="J223" s="38">
        <v>0.08</v>
      </c>
      <c r="K223" s="38">
        <v>0.05</v>
      </c>
      <c r="L223" s="30">
        <f t="shared" si="12"/>
        <v>14.160662</v>
      </c>
      <c r="M223" s="30">
        <f t="shared" si="13"/>
        <v>14.132057</v>
      </c>
      <c r="N223" s="30">
        <f t="shared" si="14"/>
        <v>2.8605000000000658E-2</v>
      </c>
      <c r="O223" s="31">
        <f t="shared" si="15"/>
        <v>14.150071793103448</v>
      </c>
      <c r="P223" s="52"/>
      <c r="Q223" s="30">
        <v>14.145152</v>
      </c>
      <c r="R223" s="30">
        <v>14.153729999999999</v>
      </c>
      <c r="S223" s="30">
        <v>14.156074</v>
      </c>
      <c r="T223" s="30">
        <v>14.148671</v>
      </c>
      <c r="U223" s="30">
        <v>14.153876</v>
      </c>
      <c r="V223" s="30">
        <v>14.154629999999999</v>
      </c>
      <c r="W223" s="30">
        <v>14.14978</v>
      </c>
      <c r="X223" s="30">
        <v>14.150264999999999</v>
      </c>
      <c r="Y223" s="30">
        <v>14.155884</v>
      </c>
      <c r="Z223" s="30">
        <v>14.15619</v>
      </c>
      <c r="AA223" s="30">
        <v>14.154655</v>
      </c>
      <c r="AB223" s="30">
        <v>14.156642</v>
      </c>
      <c r="AC223" s="30">
        <v>14.155547</v>
      </c>
      <c r="AD223" s="30">
        <v>14.160662</v>
      </c>
      <c r="AE223" s="30">
        <v>14.154248000000001</v>
      </c>
      <c r="AF223" s="30">
        <v>14.157012999999999</v>
      </c>
      <c r="AG223" s="30">
        <v>14.159898</v>
      </c>
      <c r="AH223" s="30">
        <v>14.140632999999999</v>
      </c>
      <c r="AI223" s="30">
        <v>14.151141000000001</v>
      </c>
      <c r="AJ223" s="30">
        <v>14.138104999999999</v>
      </c>
      <c r="AK223" s="30">
        <v>14.156798999999999</v>
      </c>
      <c r="AL223" s="30">
        <v>14.151154999999999</v>
      </c>
      <c r="AM223" s="30">
        <v>14.152884999999999</v>
      </c>
      <c r="AN223" s="30">
        <v>14.132057</v>
      </c>
      <c r="AO223" s="30"/>
      <c r="AP223" s="30">
        <v>14.145149</v>
      </c>
      <c r="AQ223" s="30">
        <v>14.134814</v>
      </c>
      <c r="AR223" s="30">
        <v>14.136561</v>
      </c>
      <c r="AS223" s="30">
        <v>14.146281999999999</v>
      </c>
      <c r="AT223" s="30">
        <v>14.143584000000001</v>
      </c>
      <c r="AU223" s="30">
        <v>14.145</v>
      </c>
      <c r="AV223" s="30">
        <v>14.141757</v>
      </c>
      <c r="AW223" s="30">
        <v>14.142518000000001</v>
      </c>
      <c r="AX223" s="30"/>
      <c r="AY223" s="30"/>
      <c r="AZ223" s="30"/>
    </row>
    <row r="224" spans="1:52" ht="18" customHeight="1">
      <c r="A224" s="23"/>
      <c r="B224" s="19"/>
      <c r="C224" s="79" t="s">
        <v>225</v>
      </c>
      <c r="D224" s="35" t="s">
        <v>271</v>
      </c>
      <c r="E224" s="35"/>
      <c r="F224" s="29" t="s">
        <v>272</v>
      </c>
      <c r="G224" s="38">
        <v>14.13</v>
      </c>
      <c r="H224" s="38">
        <v>0.05</v>
      </c>
      <c r="I224" s="38">
        <v>0.05</v>
      </c>
      <c r="J224" s="38">
        <v>0.08</v>
      </c>
      <c r="K224" s="38">
        <v>0.05</v>
      </c>
      <c r="L224" s="30">
        <f t="shared" si="12"/>
        <v>14.172952</v>
      </c>
      <c r="M224" s="30">
        <f t="shared" si="13"/>
        <v>14.145864</v>
      </c>
      <c r="N224" s="30">
        <f t="shared" si="14"/>
        <v>2.7088000000000889E-2</v>
      </c>
      <c r="O224" s="31">
        <f t="shared" si="15"/>
        <v>14.162557827586209</v>
      </c>
      <c r="P224" s="52"/>
      <c r="Q224" s="30">
        <v>14.161006</v>
      </c>
      <c r="R224" s="30">
        <v>14.166091</v>
      </c>
      <c r="S224" s="30">
        <v>14.165262</v>
      </c>
      <c r="T224" s="30">
        <v>14.163448000000001</v>
      </c>
      <c r="U224" s="30">
        <v>14.161431</v>
      </c>
      <c r="V224" s="30">
        <v>14.168642</v>
      </c>
      <c r="W224" s="30">
        <v>14.164175</v>
      </c>
      <c r="X224" s="30">
        <v>14.160584999999999</v>
      </c>
      <c r="Y224" s="30">
        <v>14.16436</v>
      </c>
      <c r="Z224" s="30">
        <v>14.166214</v>
      </c>
      <c r="AA224" s="30">
        <v>14.160766000000001</v>
      </c>
      <c r="AB224" s="30">
        <v>14.166024</v>
      </c>
      <c r="AC224" s="30">
        <v>14.169592</v>
      </c>
      <c r="AD224" s="30">
        <v>14.16933</v>
      </c>
      <c r="AE224" s="30">
        <v>14.168471</v>
      </c>
      <c r="AF224" s="30">
        <v>14.170779</v>
      </c>
      <c r="AG224" s="30">
        <v>14.172952</v>
      </c>
      <c r="AH224" s="30">
        <v>14.150779</v>
      </c>
      <c r="AI224" s="30">
        <v>14.163766000000001</v>
      </c>
      <c r="AJ224" s="30">
        <v>14.15376</v>
      </c>
      <c r="AK224" s="30">
        <v>14.171207000000001</v>
      </c>
      <c r="AL224" s="30">
        <v>14.16324</v>
      </c>
      <c r="AM224" s="30">
        <v>14.166802000000001</v>
      </c>
      <c r="AN224" s="30">
        <v>14.145864</v>
      </c>
      <c r="AO224" s="30"/>
      <c r="AP224" s="30">
        <v>14.162860999999999</v>
      </c>
      <c r="AQ224" s="30">
        <v>14.152367999999999</v>
      </c>
      <c r="AR224" s="30">
        <v>14.153237000000001</v>
      </c>
      <c r="AS224" s="30">
        <v>14.157012</v>
      </c>
      <c r="AT224" s="30">
        <v>14.154153000000001</v>
      </c>
      <c r="AU224" s="30">
        <v>14.154614</v>
      </c>
      <c r="AV224" s="30">
        <v>14.157859</v>
      </c>
      <c r="AW224" s="30">
        <v>14.150698</v>
      </c>
      <c r="AX224" s="30"/>
      <c r="AY224" s="30"/>
      <c r="AZ224" s="30"/>
    </row>
    <row r="225" spans="1:52" ht="18" customHeight="1">
      <c r="A225" s="23"/>
      <c r="B225" s="19"/>
      <c r="C225" s="79" t="s">
        <v>225</v>
      </c>
      <c r="D225" s="35" t="s">
        <v>273</v>
      </c>
      <c r="E225" s="35"/>
      <c r="F225" s="29" t="s">
        <v>274</v>
      </c>
      <c r="G225" s="38">
        <v>14.13</v>
      </c>
      <c r="H225" s="38">
        <v>0.05</v>
      </c>
      <c r="I225" s="38">
        <v>0.05</v>
      </c>
      <c r="J225" s="38">
        <v>0.08</v>
      </c>
      <c r="K225" s="38">
        <v>0.05</v>
      </c>
      <c r="L225" s="30">
        <f t="shared" si="12"/>
        <v>14.193085999999999</v>
      </c>
      <c r="M225" s="30">
        <f t="shared" si="13"/>
        <v>14.170128</v>
      </c>
      <c r="N225" s="30">
        <f t="shared" si="14"/>
        <v>2.2957999999999146E-2</v>
      </c>
      <c r="O225" s="31">
        <f t="shared" si="15"/>
        <v>14.183721862068968</v>
      </c>
      <c r="P225" s="52"/>
      <c r="Q225" s="30">
        <v>14.18022</v>
      </c>
      <c r="R225" s="30">
        <v>14.183852</v>
      </c>
      <c r="S225" s="30">
        <v>14.185885000000001</v>
      </c>
      <c r="T225" s="30">
        <v>14.187147</v>
      </c>
      <c r="U225" s="30">
        <v>14.184476999999999</v>
      </c>
      <c r="V225" s="30">
        <v>14.189366</v>
      </c>
      <c r="W225" s="30">
        <v>14.188750000000001</v>
      </c>
      <c r="X225" s="30">
        <v>14.187588999999999</v>
      </c>
      <c r="Y225" s="30">
        <v>14.183401999999999</v>
      </c>
      <c r="Z225" s="30">
        <v>14.184324999999999</v>
      </c>
      <c r="AA225" s="30">
        <v>14.184711</v>
      </c>
      <c r="AB225" s="30">
        <v>14.185778000000001</v>
      </c>
      <c r="AC225" s="30">
        <v>14.193085999999999</v>
      </c>
      <c r="AD225" s="30">
        <v>14.189612</v>
      </c>
      <c r="AE225" s="30">
        <v>14.186686</v>
      </c>
      <c r="AF225" s="30">
        <v>14.187860000000001</v>
      </c>
      <c r="AG225" s="30">
        <v>14.192551</v>
      </c>
      <c r="AH225" s="30">
        <v>14.177759999999999</v>
      </c>
      <c r="AI225" s="30">
        <v>14.183949999999999</v>
      </c>
      <c r="AJ225" s="30">
        <v>14.182525999999999</v>
      </c>
      <c r="AK225" s="30">
        <v>14.186051000000001</v>
      </c>
      <c r="AL225" s="30">
        <v>14.184882999999999</v>
      </c>
      <c r="AM225" s="30">
        <v>14.187106</v>
      </c>
      <c r="AN225" s="30">
        <v>14.173216999999999</v>
      </c>
      <c r="AO225" s="30"/>
      <c r="AP225" s="30">
        <v>14.176545000000001</v>
      </c>
      <c r="AQ225" s="30">
        <v>14.175839</v>
      </c>
      <c r="AR225" s="30">
        <v>14.174662</v>
      </c>
      <c r="AS225" s="30">
        <v>14.179970000000001</v>
      </c>
      <c r="AT225" s="30">
        <v>14.170128</v>
      </c>
      <c r="AU225" s="30">
        <v>14.174764</v>
      </c>
      <c r="AV225" s="30">
        <v>14.179296000000001</v>
      </c>
      <c r="AW225" s="30">
        <v>14.169244000000001</v>
      </c>
      <c r="AX225" s="30"/>
      <c r="AY225" s="30"/>
      <c r="AZ225" s="30"/>
    </row>
    <row r="226" spans="1:52" ht="18" customHeight="1">
      <c r="A226" s="23"/>
      <c r="B226" s="19"/>
      <c r="C226" s="79" t="s">
        <v>225</v>
      </c>
      <c r="D226" s="35" t="s">
        <v>275</v>
      </c>
      <c r="E226" s="35"/>
      <c r="F226" s="29" t="s">
        <v>276</v>
      </c>
      <c r="G226" s="38">
        <v>14.13</v>
      </c>
      <c r="H226" s="38">
        <v>0.05</v>
      </c>
      <c r="I226" s="38">
        <v>0.05</v>
      </c>
      <c r="J226" s="38">
        <v>0.08</v>
      </c>
      <c r="K226" s="38">
        <v>0.05</v>
      </c>
      <c r="L226" s="30">
        <f t="shared" si="12"/>
        <v>14.186940999999999</v>
      </c>
      <c r="M226" s="30">
        <f t="shared" si="13"/>
        <v>14.16217</v>
      </c>
      <c r="N226" s="30">
        <f t="shared" si="14"/>
        <v>2.4770999999999432E-2</v>
      </c>
      <c r="O226" s="31">
        <f t="shared" si="15"/>
        <v>14.176766965517242</v>
      </c>
      <c r="P226" s="52"/>
      <c r="Q226" s="30">
        <v>14.171651000000001</v>
      </c>
      <c r="R226" s="30">
        <v>14.175592</v>
      </c>
      <c r="S226" s="30">
        <v>14.178167999999999</v>
      </c>
      <c r="T226" s="30">
        <v>14.180111999999999</v>
      </c>
      <c r="U226" s="30">
        <v>14.17703</v>
      </c>
      <c r="V226" s="30">
        <v>14.180095</v>
      </c>
      <c r="W226" s="30">
        <v>14.180774</v>
      </c>
      <c r="X226" s="30">
        <v>14.180422999999999</v>
      </c>
      <c r="Y226" s="30">
        <v>14.175504999999999</v>
      </c>
      <c r="Z226" s="30">
        <v>14.175134999999999</v>
      </c>
      <c r="AA226" s="30">
        <v>14.176545000000001</v>
      </c>
      <c r="AB226" s="30">
        <v>14.177459000000001</v>
      </c>
      <c r="AC226" s="30">
        <v>14.186940999999999</v>
      </c>
      <c r="AD226" s="30">
        <v>14.180906</v>
      </c>
      <c r="AE226" s="30">
        <v>14.183852999999999</v>
      </c>
      <c r="AF226" s="30">
        <v>14.181297000000001</v>
      </c>
      <c r="AG226" s="30">
        <v>14.184881000000001</v>
      </c>
      <c r="AH226" s="30">
        <v>14.174341</v>
      </c>
      <c r="AI226" s="30">
        <v>14.174875999999999</v>
      </c>
      <c r="AJ226" s="30">
        <v>14.181869000000001</v>
      </c>
      <c r="AK226" s="30">
        <v>14.177336</v>
      </c>
      <c r="AL226" s="30">
        <v>14.178133000000001</v>
      </c>
      <c r="AM226" s="30">
        <v>14.178526</v>
      </c>
      <c r="AN226" s="30">
        <v>14.172637</v>
      </c>
      <c r="AO226" s="30"/>
      <c r="AP226" s="30">
        <v>14.168419999999999</v>
      </c>
      <c r="AQ226" s="30">
        <v>14.171472</v>
      </c>
      <c r="AR226" s="30">
        <v>14.165398</v>
      </c>
      <c r="AS226" s="30">
        <v>14.174697</v>
      </c>
      <c r="AT226" s="30">
        <v>14.16217</v>
      </c>
      <c r="AU226" s="30">
        <v>14.163152999999999</v>
      </c>
      <c r="AV226" s="30">
        <v>14.171004999999999</v>
      </c>
      <c r="AW226" s="30">
        <v>14.161172000000001</v>
      </c>
      <c r="AX226" s="30"/>
      <c r="AY226" s="30"/>
      <c r="AZ226" s="30"/>
    </row>
    <row r="227" spans="1:52" ht="18" customHeight="1">
      <c r="A227" s="23"/>
      <c r="B227" s="19"/>
      <c r="C227" s="79" t="s">
        <v>225</v>
      </c>
      <c r="D227" s="35" t="s">
        <v>277</v>
      </c>
      <c r="E227" s="35"/>
      <c r="F227" s="29" t="s">
        <v>278</v>
      </c>
      <c r="G227" s="38">
        <v>14.13</v>
      </c>
      <c r="H227" s="38">
        <v>0.05</v>
      </c>
      <c r="I227" s="38">
        <v>0.05</v>
      </c>
      <c r="J227" s="38">
        <v>0.08</v>
      </c>
      <c r="K227" s="38">
        <v>0.05</v>
      </c>
      <c r="L227" s="30">
        <f t="shared" si="12"/>
        <v>14.153089</v>
      </c>
      <c r="M227" s="30">
        <f t="shared" si="13"/>
        <v>14.124269999999999</v>
      </c>
      <c r="N227" s="30">
        <f t="shared" si="14"/>
        <v>2.8819000000000372E-2</v>
      </c>
      <c r="O227" s="31">
        <f t="shared" si="15"/>
        <v>14.143486793103447</v>
      </c>
      <c r="P227" s="52"/>
      <c r="Q227" s="30">
        <v>14.138840999999999</v>
      </c>
      <c r="R227" s="30">
        <v>14.144778000000001</v>
      </c>
      <c r="S227" s="30">
        <v>14.148141000000001</v>
      </c>
      <c r="T227" s="30">
        <v>14.14664</v>
      </c>
      <c r="U227" s="30">
        <v>14.148682000000001</v>
      </c>
      <c r="V227" s="30">
        <v>14.146906</v>
      </c>
      <c r="W227" s="30">
        <v>14.143891999999999</v>
      </c>
      <c r="X227" s="30">
        <v>14.143857000000001</v>
      </c>
      <c r="Y227" s="30">
        <v>14.144012</v>
      </c>
      <c r="Z227" s="30">
        <v>14.141817</v>
      </c>
      <c r="AA227" s="30">
        <v>14.146779</v>
      </c>
      <c r="AB227" s="30">
        <v>14.14127</v>
      </c>
      <c r="AC227" s="30">
        <v>14.150259</v>
      </c>
      <c r="AD227" s="30">
        <v>14.149302</v>
      </c>
      <c r="AE227" s="30">
        <v>14.144278</v>
      </c>
      <c r="AF227" s="30">
        <v>14.149196</v>
      </c>
      <c r="AG227" s="30">
        <v>14.14926</v>
      </c>
      <c r="AH227" s="30">
        <v>14.146947000000001</v>
      </c>
      <c r="AI227" s="30">
        <v>14.139282</v>
      </c>
      <c r="AJ227" s="30">
        <v>14.153089</v>
      </c>
      <c r="AK227" s="30">
        <v>14.144437</v>
      </c>
      <c r="AL227" s="30">
        <v>14.143516999999999</v>
      </c>
      <c r="AM227" s="30">
        <v>14.142742</v>
      </c>
      <c r="AN227" s="30">
        <v>14.145123999999999</v>
      </c>
      <c r="AO227" s="30"/>
      <c r="AP227" s="30">
        <v>14.135814</v>
      </c>
      <c r="AQ227" s="30">
        <v>14.137517000000001</v>
      </c>
      <c r="AR227" s="30">
        <v>14.124269999999999</v>
      </c>
      <c r="AS227" s="30">
        <v>14.140048</v>
      </c>
      <c r="AT227" s="30">
        <v>14.130420000000001</v>
      </c>
      <c r="AU227" s="30">
        <v>14.126903</v>
      </c>
      <c r="AV227" s="30">
        <v>14.132949</v>
      </c>
      <c r="AW227" s="30">
        <v>14.131033</v>
      </c>
      <c r="AX227" s="30"/>
      <c r="AY227" s="30"/>
      <c r="AZ227" s="30"/>
    </row>
    <row r="228" spans="1:52" ht="18" customHeight="1">
      <c r="A228" s="23"/>
      <c r="B228" s="19"/>
      <c r="C228" s="79" t="s">
        <v>225</v>
      </c>
      <c r="D228" s="35" t="s">
        <v>279</v>
      </c>
      <c r="E228" s="35"/>
      <c r="F228" s="29" t="s">
        <v>280</v>
      </c>
      <c r="G228" s="38">
        <v>14.13</v>
      </c>
      <c r="H228" s="38">
        <v>0.05</v>
      </c>
      <c r="I228" s="38">
        <v>0.05</v>
      </c>
      <c r="J228" s="38">
        <v>0.08</v>
      </c>
      <c r="K228" s="38">
        <v>0.05</v>
      </c>
      <c r="L228" s="30">
        <f t="shared" si="12"/>
        <v>14.162418000000001</v>
      </c>
      <c r="M228" s="30">
        <f t="shared" si="13"/>
        <v>14.128443000000001</v>
      </c>
      <c r="N228" s="30">
        <f t="shared" si="14"/>
        <v>3.3974999999999866E-2</v>
      </c>
      <c r="O228" s="31">
        <f t="shared" si="15"/>
        <v>14.149993827586206</v>
      </c>
      <c r="P228" s="52"/>
      <c r="Q228" s="30">
        <v>14.145166</v>
      </c>
      <c r="R228" s="30">
        <v>14.152773</v>
      </c>
      <c r="S228" s="30">
        <v>14.153098</v>
      </c>
      <c r="T228" s="30">
        <v>14.151116</v>
      </c>
      <c r="U228" s="30">
        <v>14.155002</v>
      </c>
      <c r="V228" s="30">
        <v>14.146663</v>
      </c>
      <c r="W228" s="30">
        <v>14.151539</v>
      </c>
      <c r="X228" s="30">
        <v>14.150684999999999</v>
      </c>
      <c r="Y228" s="30">
        <v>14.150715</v>
      </c>
      <c r="Z228" s="30">
        <v>14.147114</v>
      </c>
      <c r="AA228" s="30">
        <v>14.156542999999999</v>
      </c>
      <c r="AB228" s="30">
        <v>14.147421</v>
      </c>
      <c r="AC228" s="30">
        <v>14.156739</v>
      </c>
      <c r="AD228" s="30">
        <v>14.157264</v>
      </c>
      <c r="AE228" s="30">
        <v>14.153017999999999</v>
      </c>
      <c r="AF228" s="30">
        <v>14.159390999999999</v>
      </c>
      <c r="AG228" s="30">
        <v>14.154202</v>
      </c>
      <c r="AH228" s="30">
        <v>14.162418000000001</v>
      </c>
      <c r="AI228" s="30">
        <v>14.146864000000001</v>
      </c>
      <c r="AJ228" s="30">
        <v>14.160237</v>
      </c>
      <c r="AK228" s="30">
        <v>14.147269</v>
      </c>
      <c r="AL228" s="30">
        <v>14.151927000000001</v>
      </c>
      <c r="AM228" s="30">
        <v>14.146134999999999</v>
      </c>
      <c r="AN228" s="30">
        <v>14.15699</v>
      </c>
      <c r="AO228" s="30"/>
      <c r="AP228" s="30">
        <v>14.136718999999999</v>
      </c>
      <c r="AQ228" s="30">
        <v>14.134442</v>
      </c>
      <c r="AR228" s="30">
        <v>14.128443000000001</v>
      </c>
      <c r="AS228" s="30">
        <v>14.154392</v>
      </c>
      <c r="AT228" s="30">
        <v>14.135536</v>
      </c>
      <c r="AU228" s="30">
        <v>14.130114000000001</v>
      </c>
      <c r="AV228" s="30">
        <v>14.134883</v>
      </c>
      <c r="AW228" s="30">
        <v>14.147069</v>
      </c>
      <c r="AX228" s="30"/>
      <c r="AY228" s="30"/>
      <c r="AZ228" s="30"/>
    </row>
    <row r="229" spans="1:52" ht="18" customHeight="1">
      <c r="A229" s="23"/>
      <c r="B229" s="19"/>
      <c r="C229" s="79" t="s">
        <v>225</v>
      </c>
      <c r="D229" s="35" t="s">
        <v>281</v>
      </c>
      <c r="E229" s="35"/>
      <c r="F229" s="29" t="s">
        <v>282</v>
      </c>
      <c r="G229" s="38">
        <v>14.13</v>
      </c>
      <c r="H229" s="38">
        <v>0.05</v>
      </c>
      <c r="I229" s="38">
        <v>0.05</v>
      </c>
      <c r="J229" s="38">
        <v>0.08</v>
      </c>
      <c r="K229" s="38">
        <v>0.05</v>
      </c>
      <c r="L229" s="30">
        <f t="shared" si="12"/>
        <v>14.178022</v>
      </c>
      <c r="M229" s="30">
        <f t="shared" si="13"/>
        <v>14.151154999999999</v>
      </c>
      <c r="N229" s="30">
        <f t="shared" si="14"/>
        <v>2.6867000000001084E-2</v>
      </c>
      <c r="O229" s="31">
        <f t="shared" si="15"/>
        <v>14.167674379310347</v>
      </c>
      <c r="P229" s="52"/>
      <c r="Q229" s="30">
        <v>14.161288000000001</v>
      </c>
      <c r="R229" s="30">
        <v>14.168094</v>
      </c>
      <c r="S229" s="30">
        <v>14.170299999999999</v>
      </c>
      <c r="T229" s="30">
        <v>14.168301</v>
      </c>
      <c r="U229" s="30">
        <v>14.17184</v>
      </c>
      <c r="V229" s="30">
        <v>14.170339</v>
      </c>
      <c r="W229" s="30">
        <v>14.170104</v>
      </c>
      <c r="X229" s="30">
        <v>14.170952</v>
      </c>
      <c r="Y229" s="30">
        <v>14.170363999999999</v>
      </c>
      <c r="Z229" s="30">
        <v>14.168779000000001</v>
      </c>
      <c r="AA229" s="30">
        <v>14.174033</v>
      </c>
      <c r="AB229" s="30">
        <v>14.165786000000001</v>
      </c>
      <c r="AC229" s="30">
        <v>14.176613</v>
      </c>
      <c r="AD229" s="30">
        <v>14.178022</v>
      </c>
      <c r="AE229" s="30">
        <v>14.169530999999999</v>
      </c>
      <c r="AF229" s="30">
        <v>14.176003</v>
      </c>
      <c r="AG229" s="30">
        <v>14.176257</v>
      </c>
      <c r="AH229" s="30">
        <v>14.170661000000001</v>
      </c>
      <c r="AI229" s="30">
        <v>14.165240000000001</v>
      </c>
      <c r="AJ229" s="30">
        <v>14.167559000000001</v>
      </c>
      <c r="AK229" s="30">
        <v>14.168927</v>
      </c>
      <c r="AL229" s="30">
        <v>14.170047</v>
      </c>
      <c r="AM229" s="30">
        <v>14.167731</v>
      </c>
      <c r="AN229" s="30">
        <v>14.166</v>
      </c>
      <c r="AO229" s="30"/>
      <c r="AP229" s="30">
        <v>14.155211</v>
      </c>
      <c r="AQ229" s="30">
        <v>14.152664</v>
      </c>
      <c r="AR229" s="30">
        <v>14.151154999999999</v>
      </c>
      <c r="AS229" s="30">
        <v>14.166363</v>
      </c>
      <c r="AT229" s="30">
        <v>14.154393000000001</v>
      </c>
      <c r="AU229" s="30">
        <v>14.152284</v>
      </c>
      <c r="AV229" s="30">
        <v>14.155824000000001</v>
      </c>
      <c r="AW229" s="30">
        <v>14.159917999999999</v>
      </c>
      <c r="AX229" s="30"/>
      <c r="AY229" s="30"/>
      <c r="AZ229" s="30"/>
    </row>
    <row r="230" spans="1:52" ht="18" customHeight="1">
      <c r="A230" s="23"/>
      <c r="B230" s="19"/>
      <c r="C230" s="79" t="s">
        <v>225</v>
      </c>
      <c r="D230" s="35" t="s">
        <v>283</v>
      </c>
      <c r="E230" s="35"/>
      <c r="F230" s="29" t="s">
        <v>284</v>
      </c>
      <c r="G230" s="38">
        <v>14.13</v>
      </c>
      <c r="H230" s="38">
        <v>0.05</v>
      </c>
      <c r="I230" s="38">
        <v>0.05</v>
      </c>
      <c r="J230" s="38">
        <v>0.08</v>
      </c>
      <c r="K230" s="38">
        <v>0.05</v>
      </c>
      <c r="L230" s="30">
        <f t="shared" si="12"/>
        <v>14.198779999999999</v>
      </c>
      <c r="M230" s="30">
        <f t="shared" si="13"/>
        <v>14.170885999999999</v>
      </c>
      <c r="N230" s="30">
        <f t="shared" si="14"/>
        <v>2.7893999999999863E-2</v>
      </c>
      <c r="O230" s="31">
        <f t="shared" si="15"/>
        <v>14.18535493103448</v>
      </c>
      <c r="P230" s="30">
        <f>MAX(U230:AX230)</f>
        <v>14.198779999999999</v>
      </c>
      <c r="Q230" s="30">
        <v>14.17741</v>
      </c>
      <c r="R230" s="30">
        <v>14.183415</v>
      </c>
      <c r="S230" s="30">
        <v>14.187502</v>
      </c>
      <c r="T230" s="30">
        <v>14.185485999999999</v>
      </c>
      <c r="U230" s="30">
        <v>14.188677999999999</v>
      </c>
      <c r="V230" s="30">
        <v>14.194015</v>
      </c>
      <c r="W230" s="30">
        <v>14.188669000000001</v>
      </c>
      <c r="X230" s="30">
        <v>14.191219</v>
      </c>
      <c r="Y230" s="30">
        <v>14.190013</v>
      </c>
      <c r="Z230" s="30">
        <v>14.190443999999999</v>
      </c>
      <c r="AA230" s="30">
        <v>14.191523</v>
      </c>
      <c r="AB230" s="30">
        <v>14.184151</v>
      </c>
      <c r="AC230" s="30">
        <v>14.196486999999999</v>
      </c>
      <c r="AD230" s="30">
        <v>14.198779999999999</v>
      </c>
      <c r="AE230" s="30">
        <v>14.186044000000001</v>
      </c>
      <c r="AF230" s="30">
        <v>14.192615</v>
      </c>
      <c r="AG230" s="30">
        <v>14.198312</v>
      </c>
      <c r="AH230" s="30">
        <v>14.178903999999999</v>
      </c>
      <c r="AI230" s="30">
        <v>14.183616000000001</v>
      </c>
      <c r="AJ230" s="30">
        <v>14.174880999999999</v>
      </c>
      <c r="AK230" s="30">
        <v>14.190585</v>
      </c>
      <c r="AL230" s="30">
        <v>14.188167</v>
      </c>
      <c r="AM230" s="30">
        <v>14.189327</v>
      </c>
      <c r="AN230" s="30">
        <v>14.17501</v>
      </c>
      <c r="AO230" s="30"/>
      <c r="AP230" s="30">
        <v>14.173703</v>
      </c>
      <c r="AQ230" s="30">
        <v>14.170885999999999</v>
      </c>
      <c r="AR230" s="30">
        <v>14.173867</v>
      </c>
      <c r="AS230" s="30">
        <v>14.178334</v>
      </c>
      <c r="AT230" s="30">
        <v>14.173249999999999</v>
      </c>
      <c r="AU230" s="30">
        <v>14.174454000000001</v>
      </c>
      <c r="AV230" s="30">
        <v>14.176765</v>
      </c>
      <c r="AW230" s="30">
        <v>14.172767</v>
      </c>
      <c r="AX230" s="30"/>
      <c r="AY230" s="30"/>
      <c r="AZ230" s="30"/>
    </row>
    <row r="231" spans="1:52" ht="18" customHeight="1">
      <c r="A231" s="23"/>
      <c r="B231" s="19"/>
      <c r="C231" s="79" t="s">
        <v>225</v>
      </c>
      <c r="D231" s="35" t="s">
        <v>285</v>
      </c>
      <c r="E231" s="35"/>
      <c r="F231" s="29" t="s">
        <v>286</v>
      </c>
      <c r="G231" s="38">
        <v>14.13</v>
      </c>
      <c r="H231" s="38">
        <v>0.05</v>
      </c>
      <c r="I231" s="38">
        <v>0.05</v>
      </c>
      <c r="J231" s="38">
        <v>0.08</v>
      </c>
      <c r="K231" s="38">
        <v>0.05</v>
      </c>
      <c r="L231" s="30">
        <f t="shared" si="12"/>
        <v>14.220367</v>
      </c>
      <c r="M231" s="30">
        <f t="shared" si="13"/>
        <v>14.182202999999999</v>
      </c>
      <c r="N231" s="30">
        <f t="shared" si="14"/>
        <v>3.8164000000000087E-2</v>
      </c>
      <c r="O231" s="31">
        <f t="shared" si="15"/>
        <v>14.20303548275862</v>
      </c>
      <c r="P231" s="30">
        <f>MAX(U231:AX231)</f>
        <v>14.220367</v>
      </c>
      <c r="Q231" s="30">
        <v>14.193531999999999</v>
      </c>
      <c r="R231" s="30">
        <v>14.198736</v>
      </c>
      <c r="S231" s="30">
        <v>14.204704</v>
      </c>
      <c r="T231" s="30">
        <v>14.202671</v>
      </c>
      <c r="U231" s="30">
        <v>14.205515999999999</v>
      </c>
      <c r="V231" s="30">
        <v>14.217691</v>
      </c>
      <c r="W231" s="30">
        <v>14.207234</v>
      </c>
      <c r="X231" s="30">
        <v>14.211486000000001</v>
      </c>
      <c r="Y231" s="30">
        <v>14.209662</v>
      </c>
      <c r="Z231" s="30">
        <v>14.212109</v>
      </c>
      <c r="AA231" s="30">
        <v>14.209013000000001</v>
      </c>
      <c r="AB231" s="30">
        <v>14.202515999999999</v>
      </c>
      <c r="AC231" s="30">
        <v>14.216360999999999</v>
      </c>
      <c r="AD231" s="30">
        <v>14.219538</v>
      </c>
      <c r="AE231" s="30">
        <v>14.202557000000001</v>
      </c>
      <c r="AF231" s="30">
        <v>14.209227</v>
      </c>
      <c r="AG231" s="30">
        <v>14.220367</v>
      </c>
      <c r="AH231" s="30">
        <v>14.187147</v>
      </c>
      <c r="AI231" s="30">
        <v>14.201992000000001</v>
      </c>
      <c r="AJ231" s="30">
        <v>14.182202999999999</v>
      </c>
      <c r="AK231" s="30">
        <v>14.212243000000001</v>
      </c>
      <c r="AL231" s="30">
        <v>14.206287</v>
      </c>
      <c r="AM231" s="30">
        <v>14.210922999999999</v>
      </c>
      <c r="AN231" s="30">
        <v>14.18402</v>
      </c>
      <c r="AO231" s="30"/>
      <c r="AP231" s="30">
        <v>14.192195</v>
      </c>
      <c r="AQ231" s="30">
        <v>14.189107999999999</v>
      </c>
      <c r="AR231" s="30">
        <v>14.196579</v>
      </c>
      <c r="AS231" s="30">
        <v>14.190305</v>
      </c>
      <c r="AT231" s="30">
        <v>14.192107</v>
      </c>
      <c r="AU231" s="30">
        <v>14.196624</v>
      </c>
      <c r="AV231" s="30">
        <v>14.197706</v>
      </c>
      <c r="AW231" s="30">
        <v>14.152594000000001</v>
      </c>
      <c r="AX231" s="30"/>
      <c r="AY231" s="30"/>
      <c r="AZ231" s="30"/>
    </row>
    <row r="232" spans="1:52" ht="18" customHeight="1">
      <c r="A232" s="23"/>
      <c r="B232" s="19"/>
      <c r="C232" s="79" t="s">
        <v>225</v>
      </c>
      <c r="D232" s="35" t="s">
        <v>287</v>
      </c>
      <c r="E232" s="35"/>
      <c r="F232" s="29" t="s">
        <v>477</v>
      </c>
      <c r="G232" s="38">
        <v>0.15</v>
      </c>
      <c r="H232" s="38"/>
      <c r="I232" s="38"/>
      <c r="J232" s="38"/>
      <c r="K232" s="38"/>
      <c r="L232" s="30">
        <f t="shared" si="12"/>
        <v>0</v>
      </c>
      <c r="M232" s="30">
        <f t="shared" si="13"/>
        <v>0</v>
      </c>
      <c r="N232" s="30">
        <f t="shared" si="14"/>
        <v>0</v>
      </c>
      <c r="O232" s="31" t="e">
        <f t="shared" si="15"/>
        <v>#DIV/0!</v>
      </c>
      <c r="P232" s="52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  <c r="AP232" s="30"/>
      <c r="AQ232" s="30"/>
      <c r="AR232" s="30"/>
      <c r="AS232" s="30"/>
      <c r="AT232" s="30"/>
      <c r="AU232" s="30"/>
      <c r="AV232" s="30"/>
      <c r="AW232" s="30"/>
      <c r="AX232" s="30"/>
      <c r="AY232" s="30"/>
      <c r="AZ232" s="30"/>
    </row>
    <row r="233" spans="1:52" ht="18" customHeight="1">
      <c r="A233" s="23"/>
      <c r="B233" s="19"/>
      <c r="C233" s="79" t="s">
        <v>225</v>
      </c>
      <c r="D233" s="35" t="s">
        <v>287</v>
      </c>
      <c r="E233" s="35"/>
      <c r="F233" s="29" t="s">
        <v>478</v>
      </c>
      <c r="G233" s="38">
        <v>0.15</v>
      </c>
      <c r="H233" s="38"/>
      <c r="I233" s="38"/>
      <c r="J233" s="38"/>
      <c r="K233" s="38"/>
      <c r="L233" s="30">
        <f t="shared" si="12"/>
        <v>0</v>
      </c>
      <c r="M233" s="30">
        <f t="shared" si="13"/>
        <v>0</v>
      </c>
      <c r="N233" s="30">
        <f t="shared" si="14"/>
        <v>0</v>
      </c>
      <c r="O233" s="31" t="e">
        <f t="shared" si="15"/>
        <v>#DIV/0!</v>
      </c>
      <c r="P233" s="52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  <c r="AP233" s="30"/>
      <c r="AQ233" s="30"/>
      <c r="AR233" s="30"/>
      <c r="AS233" s="30"/>
      <c r="AT233" s="30"/>
      <c r="AU233" s="30"/>
      <c r="AV233" s="30"/>
      <c r="AW233" s="30"/>
      <c r="AX233" s="30"/>
      <c r="AY233" s="30"/>
      <c r="AZ233" s="30"/>
    </row>
    <row r="234" spans="1:52" ht="18" customHeight="1">
      <c r="A234" s="23"/>
      <c r="B234" s="19"/>
      <c r="C234" s="79" t="s">
        <v>225</v>
      </c>
      <c r="D234" s="35" t="s">
        <v>287</v>
      </c>
      <c r="E234" s="35"/>
      <c r="F234" s="29" t="s">
        <v>479</v>
      </c>
      <c r="G234" s="38">
        <v>0</v>
      </c>
      <c r="H234" s="38">
        <v>0.15</v>
      </c>
      <c r="I234" s="38">
        <v>0</v>
      </c>
      <c r="J234" s="38">
        <v>0.15</v>
      </c>
      <c r="K234" s="38">
        <v>0</v>
      </c>
      <c r="L234" s="30">
        <f t="shared" si="12"/>
        <v>0.19376699999999999</v>
      </c>
      <c r="M234" s="30">
        <f t="shared" si="13"/>
        <v>0.140766</v>
      </c>
      <c r="N234" s="30">
        <f t="shared" si="14"/>
        <v>5.3000999999999993E-2</v>
      </c>
      <c r="O234" s="31">
        <f t="shared" si="15"/>
        <v>0.16066679310344825</v>
      </c>
      <c r="P234" s="52"/>
      <c r="Q234" s="30">
        <v>0.15979699999999999</v>
      </c>
      <c r="R234" s="30">
        <v>0.15684699999999999</v>
      </c>
      <c r="S234" s="30">
        <v>0.16015699999999999</v>
      </c>
      <c r="T234" s="30">
        <v>0.17768200000000001</v>
      </c>
      <c r="U234" s="30">
        <v>0.15781400000000001</v>
      </c>
      <c r="V234" s="30">
        <v>0.15978999999999999</v>
      </c>
      <c r="W234" s="30">
        <v>0.16817699999999999</v>
      </c>
      <c r="X234" s="30">
        <v>0.16117000000000001</v>
      </c>
      <c r="Y234" s="30">
        <v>0.15157799999999999</v>
      </c>
      <c r="Z234" s="30">
        <v>0.15353</v>
      </c>
      <c r="AA234" s="30">
        <v>0.140766</v>
      </c>
      <c r="AB234" s="30">
        <v>0.14696600000000001</v>
      </c>
      <c r="AC234" s="30">
        <v>0.157056</v>
      </c>
      <c r="AD234" s="30">
        <v>0.14591299999999999</v>
      </c>
      <c r="AE234" s="30">
        <v>0.162602</v>
      </c>
      <c r="AF234" s="30">
        <v>0.16292100000000001</v>
      </c>
      <c r="AG234" s="30">
        <v>0.16178799999999999</v>
      </c>
      <c r="AH234" s="30">
        <v>0.16672500000000001</v>
      </c>
      <c r="AI234" s="30">
        <v>0.17238700000000001</v>
      </c>
      <c r="AJ234" s="30">
        <v>0.19376699999999999</v>
      </c>
      <c r="AK234" s="30">
        <v>0.17191200000000001</v>
      </c>
      <c r="AL234" s="30">
        <v>0.16730300000000001</v>
      </c>
      <c r="AM234" s="30">
        <v>0.17506099999999999</v>
      </c>
      <c r="AN234" s="30">
        <v>0.14404900000000001</v>
      </c>
      <c r="AO234" s="30"/>
      <c r="AP234" s="30">
        <v>0.14957699999999999</v>
      </c>
      <c r="AQ234" s="30">
        <v>0.143344</v>
      </c>
      <c r="AR234" s="30">
        <v>0.171207</v>
      </c>
      <c r="AS234" s="30">
        <v>0.153304</v>
      </c>
      <c r="AT234" s="30">
        <v>0.16614699999999999</v>
      </c>
      <c r="AU234" s="30">
        <v>0.167186</v>
      </c>
      <c r="AV234" s="30">
        <v>0.170323</v>
      </c>
      <c r="AW234" s="30">
        <v>0.15804499999999999</v>
      </c>
      <c r="AX234" s="30"/>
      <c r="AY234" s="30"/>
      <c r="AZ234" s="30"/>
    </row>
    <row r="235" spans="1:52" ht="18" customHeight="1">
      <c r="A235" s="23"/>
      <c r="B235" s="19"/>
      <c r="C235" s="79" t="s">
        <v>225</v>
      </c>
      <c r="D235" s="35" t="s">
        <v>291</v>
      </c>
      <c r="E235" s="35"/>
      <c r="F235" s="29" t="s">
        <v>292</v>
      </c>
      <c r="G235" s="38">
        <v>0</v>
      </c>
      <c r="H235" s="38">
        <v>0.15</v>
      </c>
      <c r="I235" s="38">
        <v>0</v>
      </c>
      <c r="J235" s="38">
        <v>0.15</v>
      </c>
      <c r="K235" s="38">
        <v>0</v>
      </c>
      <c r="L235" s="30">
        <f t="shared" si="12"/>
        <v>0.110239</v>
      </c>
      <c r="M235" s="30">
        <f t="shared" si="13"/>
        <v>6.6504999999999995E-2</v>
      </c>
      <c r="N235" s="30">
        <f t="shared" si="14"/>
        <v>4.3734000000000009E-2</v>
      </c>
      <c r="O235" s="31">
        <f t="shared" si="15"/>
        <v>9.2101275862068982E-2</v>
      </c>
      <c r="P235" s="52"/>
      <c r="Q235" s="30">
        <v>0.10055500000000001</v>
      </c>
      <c r="R235" s="30">
        <v>0.101575</v>
      </c>
      <c r="S235" s="30">
        <v>9.6055000000000001E-2</v>
      </c>
      <c r="T235" s="30">
        <v>0.108893</v>
      </c>
      <c r="U235" s="30">
        <v>9.2016000000000001E-2</v>
      </c>
      <c r="V235" s="30">
        <v>9.4060000000000005E-2</v>
      </c>
      <c r="W235" s="30">
        <v>9.7965999999999998E-2</v>
      </c>
      <c r="X235" s="30">
        <v>9.1550999999999993E-2</v>
      </c>
      <c r="Y235" s="30">
        <v>9.2532000000000003E-2</v>
      </c>
      <c r="Z235" s="30">
        <v>9.7975000000000007E-2</v>
      </c>
      <c r="AA235" s="30">
        <v>7.8328999999999996E-2</v>
      </c>
      <c r="AB235" s="30">
        <v>9.1233999999999996E-2</v>
      </c>
      <c r="AC235" s="30">
        <v>8.9938000000000004E-2</v>
      </c>
      <c r="AD235" s="30">
        <v>8.8368000000000002E-2</v>
      </c>
      <c r="AE235" s="30">
        <v>9.0043999999999999E-2</v>
      </c>
      <c r="AF235" s="30">
        <v>9.7406000000000006E-2</v>
      </c>
      <c r="AG235" s="30">
        <v>9.4289999999999999E-2</v>
      </c>
      <c r="AH235" s="30">
        <v>9.7066E-2</v>
      </c>
      <c r="AI235" s="30">
        <v>0.10540099999999999</v>
      </c>
      <c r="AJ235" s="30">
        <v>0.10702100000000001</v>
      </c>
      <c r="AK235" s="30">
        <v>0.110239</v>
      </c>
      <c r="AL235" s="30">
        <v>9.8672999999999997E-2</v>
      </c>
      <c r="AM235" s="30">
        <v>0.10333299999999999</v>
      </c>
      <c r="AN235" s="30">
        <v>6.6504999999999995E-2</v>
      </c>
      <c r="AO235" s="30"/>
      <c r="AP235" s="30">
        <v>7.0777999999999994E-2</v>
      </c>
      <c r="AQ235" s="30">
        <v>7.9804E-2</v>
      </c>
      <c r="AR235" s="30">
        <v>7.9100000000000004E-2</v>
      </c>
      <c r="AS235" s="30">
        <v>7.3635000000000006E-2</v>
      </c>
      <c r="AT235" s="30">
        <v>7.6594999999999996E-2</v>
      </c>
      <c r="AU235" s="30">
        <v>7.5211E-2</v>
      </c>
      <c r="AV235" s="30">
        <v>8.0227999999999994E-2</v>
      </c>
      <c r="AW235" s="30">
        <v>7.1775000000000005E-2</v>
      </c>
      <c r="AX235" s="30"/>
      <c r="AY235" s="30"/>
      <c r="AZ235" s="30"/>
    </row>
    <row r="236" spans="1:52" ht="18" customHeight="1">
      <c r="A236" s="23"/>
      <c r="B236" s="19"/>
      <c r="C236" s="79" t="s">
        <v>225</v>
      </c>
      <c r="D236" s="35" t="s">
        <v>293</v>
      </c>
      <c r="E236" s="35"/>
      <c r="F236" s="29" t="s">
        <v>294</v>
      </c>
      <c r="G236" s="38">
        <v>0</v>
      </c>
      <c r="H236" s="38">
        <v>0.14000000000000001</v>
      </c>
      <c r="I236" s="38">
        <v>0</v>
      </c>
      <c r="J236" s="38">
        <v>0.15</v>
      </c>
      <c r="K236" s="38">
        <v>0</v>
      </c>
      <c r="L236" s="30">
        <f t="shared" si="12"/>
        <v>0.160806</v>
      </c>
      <c r="M236" s="30">
        <f t="shared" si="13"/>
        <v>0.130164</v>
      </c>
      <c r="N236" s="30">
        <f t="shared" si="14"/>
        <v>3.0642000000000003E-2</v>
      </c>
      <c r="O236" s="31">
        <f t="shared" si="15"/>
        <v>0.14708337931034485</v>
      </c>
      <c r="P236" s="52"/>
      <c r="Q236" s="30">
        <v>0.15018699999999999</v>
      </c>
      <c r="R236" s="30">
        <v>0.14913799999999999</v>
      </c>
      <c r="S236" s="30">
        <v>0.15565599999999999</v>
      </c>
      <c r="T236" s="30">
        <v>0.15120800000000001</v>
      </c>
      <c r="U236" s="30">
        <v>0.15707199999999999</v>
      </c>
      <c r="V236" s="30">
        <v>0.15695300000000001</v>
      </c>
      <c r="W236" s="30">
        <v>0.14938499999999999</v>
      </c>
      <c r="X236" s="30">
        <v>0.15607799999999999</v>
      </c>
      <c r="Y236" s="30">
        <v>0.151305</v>
      </c>
      <c r="Z236" s="30">
        <v>0.145705</v>
      </c>
      <c r="AA236" s="30">
        <v>0.14847299999999999</v>
      </c>
      <c r="AB236" s="30">
        <v>0.14360899999999999</v>
      </c>
      <c r="AC236" s="30">
        <v>0.15</v>
      </c>
      <c r="AD236" s="30">
        <v>0.151311</v>
      </c>
      <c r="AE236" s="30">
        <v>0.14379600000000001</v>
      </c>
      <c r="AF236" s="30">
        <v>0.14435500000000001</v>
      </c>
      <c r="AG236" s="30">
        <v>0.148038</v>
      </c>
      <c r="AH236" s="30">
        <v>0.14183200000000001</v>
      </c>
      <c r="AI236" s="30">
        <v>0.13820499999999999</v>
      </c>
      <c r="AJ236" s="30">
        <v>0.14211799999999999</v>
      </c>
      <c r="AK236" s="30">
        <v>0.13262499999999999</v>
      </c>
      <c r="AL236" s="30">
        <v>0.14247000000000001</v>
      </c>
      <c r="AM236" s="30">
        <v>0.13842699999999999</v>
      </c>
      <c r="AN236" s="30">
        <v>0.14802999999999999</v>
      </c>
      <c r="AO236" s="30"/>
      <c r="AP236" s="30">
        <v>0.130164</v>
      </c>
      <c r="AQ236" s="30">
        <v>0.14185900000000001</v>
      </c>
      <c r="AR236" s="30">
        <v>0.13841899999999999</v>
      </c>
      <c r="AS236" s="30">
        <v>0.160806</v>
      </c>
      <c r="AT236" s="30">
        <v>0.158194</v>
      </c>
      <c r="AU236" s="30">
        <v>0.15040600000000001</v>
      </c>
      <c r="AV236" s="30">
        <v>0.144235</v>
      </c>
      <c r="AW236" s="30">
        <v>0.15279200000000001</v>
      </c>
      <c r="AX236" s="30"/>
      <c r="AY236" s="30"/>
      <c r="AZ236" s="30"/>
    </row>
    <row r="237" spans="1:52" ht="18" customHeight="1">
      <c r="A237" s="23"/>
      <c r="B237" s="19"/>
      <c r="C237" s="79" t="s">
        <v>225</v>
      </c>
      <c r="D237" s="35" t="s">
        <v>295</v>
      </c>
      <c r="E237" s="35"/>
      <c r="F237" s="29" t="s">
        <v>296</v>
      </c>
      <c r="G237" s="38">
        <v>0</v>
      </c>
      <c r="H237" s="38">
        <v>0.15</v>
      </c>
      <c r="I237" s="38">
        <v>0</v>
      </c>
      <c r="J237" s="38">
        <v>0.15</v>
      </c>
      <c r="K237" s="38">
        <v>0</v>
      </c>
      <c r="L237" s="30">
        <f t="shared" si="12"/>
        <v>0.16817599999999999</v>
      </c>
      <c r="M237" s="30">
        <f t="shared" si="13"/>
        <v>0.13431199999999999</v>
      </c>
      <c r="N237" s="30">
        <f t="shared" si="14"/>
        <v>3.3864000000000005E-2</v>
      </c>
      <c r="O237" s="31">
        <f t="shared" si="15"/>
        <v>0.14778720689655173</v>
      </c>
      <c r="P237" s="52"/>
      <c r="Q237" s="30">
        <v>0.15010499999999999</v>
      </c>
      <c r="R237" s="30">
        <v>0.15177099999999999</v>
      </c>
      <c r="S237" s="30">
        <v>0.160658</v>
      </c>
      <c r="T237" s="30">
        <v>0.15332999999999999</v>
      </c>
      <c r="U237" s="30">
        <v>0.16334299999999999</v>
      </c>
      <c r="V237" s="30">
        <v>0.15140100000000001</v>
      </c>
      <c r="W237" s="30">
        <v>0.146286</v>
      </c>
      <c r="X237" s="30">
        <v>0.15246000000000001</v>
      </c>
      <c r="Y237" s="30">
        <v>0.151528</v>
      </c>
      <c r="Z237" s="30">
        <v>0.148177</v>
      </c>
      <c r="AA237" s="30">
        <v>0.14781900000000001</v>
      </c>
      <c r="AB237" s="30">
        <v>0.14147000000000001</v>
      </c>
      <c r="AC237" s="30">
        <v>0.14871400000000001</v>
      </c>
      <c r="AD237" s="30">
        <v>0.15346899999999999</v>
      </c>
      <c r="AE237" s="30">
        <v>0.148976</v>
      </c>
      <c r="AF237" s="30">
        <v>0.14826900000000001</v>
      </c>
      <c r="AG237" s="30">
        <v>0.144618</v>
      </c>
      <c r="AH237" s="30">
        <v>0.14521400000000001</v>
      </c>
      <c r="AI237" s="30">
        <v>0.14089699999999999</v>
      </c>
      <c r="AJ237" s="30">
        <v>0.138797</v>
      </c>
      <c r="AK237" s="30">
        <v>0.13551099999999999</v>
      </c>
      <c r="AL237" s="30">
        <v>0.14043700000000001</v>
      </c>
      <c r="AM237" s="30">
        <v>0.13600599999999999</v>
      </c>
      <c r="AN237" s="30">
        <v>0.14304500000000001</v>
      </c>
      <c r="AO237" s="30"/>
      <c r="AP237" s="30">
        <v>0.13431199999999999</v>
      </c>
      <c r="AQ237" s="30">
        <v>0.140678</v>
      </c>
      <c r="AR237" s="30">
        <v>0.137931</v>
      </c>
      <c r="AS237" s="30">
        <v>0.16817599999999999</v>
      </c>
      <c r="AT237" s="30">
        <v>0.16243099999999999</v>
      </c>
      <c r="AU237" s="30">
        <v>0.154999</v>
      </c>
      <c r="AV237" s="30">
        <v>0.147678</v>
      </c>
      <c r="AW237" s="30">
        <v>0.15815599999999999</v>
      </c>
      <c r="AX237" s="30"/>
      <c r="AY237" s="30"/>
      <c r="AZ237" s="30"/>
    </row>
    <row r="238" spans="1:52" ht="18" customHeight="1">
      <c r="A238" s="23"/>
      <c r="B238" s="19"/>
      <c r="C238" s="79" t="s">
        <v>225</v>
      </c>
      <c r="D238" s="35" t="s">
        <v>297</v>
      </c>
      <c r="E238" s="35"/>
      <c r="F238" s="29" t="s">
        <v>298</v>
      </c>
      <c r="G238" s="38">
        <v>11.05</v>
      </c>
      <c r="H238" s="38">
        <v>0.05</v>
      </c>
      <c r="I238" s="38">
        <v>0.05</v>
      </c>
      <c r="J238" s="38">
        <v>0.05</v>
      </c>
      <c r="K238" s="38">
        <v>0.05</v>
      </c>
      <c r="L238" s="30">
        <f t="shared" si="12"/>
        <v>11.102667</v>
      </c>
      <c r="M238" s="30">
        <f t="shared" si="13"/>
        <v>11.080178999999999</v>
      </c>
      <c r="N238" s="30">
        <f t="shared" si="14"/>
        <v>2.2488000000000952E-2</v>
      </c>
      <c r="O238" s="31">
        <f t="shared" si="15"/>
        <v>11.086492448275862</v>
      </c>
      <c r="P238" s="52"/>
      <c r="Q238" s="30">
        <v>11.083430999999999</v>
      </c>
      <c r="R238" s="30">
        <v>11.084842999999999</v>
      </c>
      <c r="S238" s="30">
        <v>11.084436999999999</v>
      </c>
      <c r="T238" s="30">
        <v>11.082038000000001</v>
      </c>
      <c r="U238" s="30">
        <v>11.086194000000001</v>
      </c>
      <c r="V238" s="30">
        <v>11.083439</v>
      </c>
      <c r="W238" s="30">
        <v>11.084419</v>
      </c>
      <c r="X238" s="30">
        <v>11.087596</v>
      </c>
      <c r="Y238" s="30">
        <v>11.087051000000001</v>
      </c>
      <c r="Z238" s="30">
        <v>11.084838</v>
      </c>
      <c r="AA238" s="30">
        <v>11.089536000000001</v>
      </c>
      <c r="AB238" s="30">
        <v>11.087344999999999</v>
      </c>
      <c r="AC238" s="30">
        <v>11.087213</v>
      </c>
      <c r="AD238" s="30">
        <v>11.090653</v>
      </c>
      <c r="AE238" s="30">
        <v>11.088471999999999</v>
      </c>
      <c r="AF238" s="30">
        <v>11.087959</v>
      </c>
      <c r="AG238" s="30">
        <v>11.087738999999999</v>
      </c>
      <c r="AH238" s="30">
        <v>11.085936</v>
      </c>
      <c r="AI238" s="30">
        <v>11.084075</v>
      </c>
      <c r="AJ238" s="30">
        <v>11.081718</v>
      </c>
      <c r="AK238" s="30">
        <v>11.084346</v>
      </c>
      <c r="AL238" s="30">
        <v>11.084702</v>
      </c>
      <c r="AM238" s="30">
        <v>11.082686000000001</v>
      </c>
      <c r="AN238" s="30">
        <v>11.086347</v>
      </c>
      <c r="AO238" s="30"/>
      <c r="AP238" s="30">
        <v>11.080178999999999</v>
      </c>
      <c r="AQ238" s="30">
        <v>11.084187</v>
      </c>
      <c r="AR238" s="30">
        <v>11.088430000000001</v>
      </c>
      <c r="AS238" s="30">
        <v>11.102667</v>
      </c>
      <c r="AT238" s="30">
        <v>11.095805</v>
      </c>
      <c r="AU238" s="30">
        <v>11.094761999999999</v>
      </c>
      <c r="AV238" s="30">
        <v>11.091345</v>
      </c>
      <c r="AW238" s="30">
        <v>11.09886</v>
      </c>
      <c r="AX238" s="30"/>
      <c r="AY238" s="30"/>
      <c r="AZ238" s="30"/>
    </row>
    <row r="239" spans="1:52" ht="18" customHeight="1">
      <c r="A239" s="23"/>
      <c r="B239" s="19"/>
      <c r="C239" s="79" t="s">
        <v>225</v>
      </c>
      <c r="D239" s="35" t="s">
        <v>299</v>
      </c>
      <c r="E239" s="35"/>
      <c r="F239" s="29" t="s">
        <v>300</v>
      </c>
      <c r="G239" s="38">
        <v>11.05</v>
      </c>
      <c r="H239" s="38">
        <v>0.05</v>
      </c>
      <c r="I239" s="38">
        <v>0.05</v>
      </c>
      <c r="J239" s="38">
        <v>0.05</v>
      </c>
      <c r="K239" s="38">
        <v>0.05</v>
      </c>
      <c r="L239" s="30">
        <f t="shared" si="12"/>
        <v>11.067639</v>
      </c>
      <c r="M239" s="30">
        <f t="shared" si="13"/>
        <v>11.039241000000001</v>
      </c>
      <c r="N239" s="30">
        <f t="shared" si="14"/>
        <v>2.8397999999999257E-2</v>
      </c>
      <c r="O239" s="31">
        <f t="shared" si="15"/>
        <v>11.046869586206894</v>
      </c>
      <c r="P239" s="52"/>
      <c r="Q239" s="30">
        <v>11.042934000000001</v>
      </c>
      <c r="R239" s="30">
        <v>11.046919000000001</v>
      </c>
      <c r="S239" s="30">
        <v>11.044888</v>
      </c>
      <c r="T239" s="30">
        <v>11.040481</v>
      </c>
      <c r="U239" s="30">
        <v>11.047720999999999</v>
      </c>
      <c r="V239" s="30">
        <v>11.039241000000001</v>
      </c>
      <c r="W239" s="30">
        <v>11.043606</v>
      </c>
      <c r="X239" s="30">
        <v>11.046798000000001</v>
      </c>
      <c r="Y239" s="30">
        <v>11.047402</v>
      </c>
      <c r="Z239" s="30">
        <v>11.043742999999999</v>
      </c>
      <c r="AA239" s="30">
        <v>11.052383000000001</v>
      </c>
      <c r="AB239" s="30">
        <v>11.048215000000001</v>
      </c>
      <c r="AC239" s="30">
        <v>11.045018000000001</v>
      </c>
      <c r="AD239" s="30">
        <v>11.050675</v>
      </c>
      <c r="AE239" s="30">
        <v>11.051367000000001</v>
      </c>
      <c r="AF239" s="30">
        <v>11.049614999999999</v>
      </c>
      <c r="AG239" s="30">
        <v>11.046609999999999</v>
      </c>
      <c r="AH239" s="30">
        <v>11.053194</v>
      </c>
      <c r="AI239" s="30">
        <v>11.043032</v>
      </c>
      <c r="AJ239" s="30">
        <v>11.046128</v>
      </c>
      <c r="AK239" s="30">
        <v>11.042650999999999</v>
      </c>
      <c r="AL239" s="30">
        <v>11.044898</v>
      </c>
      <c r="AM239" s="30">
        <v>11.039732000000001</v>
      </c>
      <c r="AN239" s="30">
        <v>11.053367</v>
      </c>
      <c r="AO239" s="30"/>
      <c r="AP239" s="30">
        <v>11.040196999999999</v>
      </c>
      <c r="AQ239" s="30">
        <v>11.042650999999999</v>
      </c>
      <c r="AR239" s="30">
        <v>11.043540999999999</v>
      </c>
      <c r="AS239" s="30">
        <v>11.067639</v>
      </c>
      <c r="AT239" s="30">
        <v>11.054572</v>
      </c>
      <c r="AU239" s="30">
        <v>11.052051000000001</v>
      </c>
      <c r="AV239" s="30">
        <v>11.047408000000001</v>
      </c>
      <c r="AW239" s="30">
        <v>11.063923000000001</v>
      </c>
      <c r="AX239" s="30"/>
      <c r="AY239" s="30"/>
      <c r="AZ239" s="30"/>
    </row>
    <row r="240" spans="1:52" ht="18" customHeight="1">
      <c r="A240" s="23"/>
      <c r="B240" s="19"/>
      <c r="C240" s="79" t="s">
        <v>225</v>
      </c>
      <c r="D240" s="35" t="s">
        <v>301</v>
      </c>
      <c r="E240" s="35"/>
      <c r="F240" s="29" t="s">
        <v>302</v>
      </c>
      <c r="G240" s="38">
        <v>11.05</v>
      </c>
      <c r="H240" s="38">
        <v>0.05</v>
      </c>
      <c r="I240" s="38">
        <v>0.05</v>
      </c>
      <c r="J240" s="38">
        <v>0.05</v>
      </c>
      <c r="K240" s="38">
        <v>0.05</v>
      </c>
      <c r="L240" s="30">
        <f t="shared" si="12"/>
        <v>11.071737000000001</v>
      </c>
      <c r="M240" s="30">
        <f t="shared" si="13"/>
        <v>11.041048</v>
      </c>
      <c r="N240" s="30">
        <f t="shared" si="14"/>
        <v>3.0689000000000632E-2</v>
      </c>
      <c r="O240" s="31">
        <f t="shared" si="15"/>
        <v>11.049224482758625</v>
      </c>
      <c r="P240" s="52"/>
      <c r="Q240" s="30">
        <v>11.045591</v>
      </c>
      <c r="R240" s="30">
        <v>11.050553000000001</v>
      </c>
      <c r="S240" s="30">
        <v>11.047594</v>
      </c>
      <c r="T240" s="30">
        <v>11.042522999999999</v>
      </c>
      <c r="U240" s="30">
        <v>11.050432000000001</v>
      </c>
      <c r="V240" s="30">
        <v>11.041060999999999</v>
      </c>
      <c r="W240" s="30">
        <v>11.045499</v>
      </c>
      <c r="X240" s="30">
        <v>11.048038</v>
      </c>
      <c r="Y240" s="30">
        <v>11.049203</v>
      </c>
      <c r="Z240" s="30">
        <v>11.045384</v>
      </c>
      <c r="AA240" s="30">
        <v>11.055046000000001</v>
      </c>
      <c r="AB240" s="30">
        <v>11.050102000000001</v>
      </c>
      <c r="AC240" s="30">
        <v>11.046364000000001</v>
      </c>
      <c r="AD240" s="30">
        <v>11.052364000000001</v>
      </c>
      <c r="AE240" s="30">
        <v>11.054233999999999</v>
      </c>
      <c r="AF240" s="30">
        <v>11.052584</v>
      </c>
      <c r="AG240" s="30">
        <v>11.047917</v>
      </c>
      <c r="AH240" s="30">
        <v>11.057088</v>
      </c>
      <c r="AI240" s="30">
        <v>11.044945</v>
      </c>
      <c r="AJ240" s="30">
        <v>11.049716</v>
      </c>
      <c r="AK240" s="30">
        <v>11.044062</v>
      </c>
      <c r="AL240" s="30">
        <v>11.046813999999999</v>
      </c>
      <c r="AM240" s="30">
        <v>11.041048</v>
      </c>
      <c r="AN240" s="30">
        <v>11.057138999999999</v>
      </c>
      <c r="AO240" s="30"/>
      <c r="AP240" s="30">
        <v>11.042611000000001</v>
      </c>
      <c r="AQ240" s="30">
        <v>11.044905999999999</v>
      </c>
      <c r="AR240" s="30">
        <v>11.045617999999999</v>
      </c>
      <c r="AS240" s="30">
        <v>11.071737000000001</v>
      </c>
      <c r="AT240" s="30">
        <v>11.057337</v>
      </c>
      <c r="AU240" s="30">
        <v>11.053167</v>
      </c>
      <c r="AV240" s="30">
        <v>11.048989000000001</v>
      </c>
      <c r="AW240" s="30">
        <v>11.067696</v>
      </c>
      <c r="AX240" s="30"/>
      <c r="AY240" s="30"/>
      <c r="AZ240" s="30"/>
    </row>
    <row r="241" spans="1:52" ht="18" customHeight="1">
      <c r="A241" s="23"/>
      <c r="B241" s="19"/>
      <c r="C241" s="79" t="s">
        <v>225</v>
      </c>
      <c r="D241" s="35" t="s">
        <v>303</v>
      </c>
      <c r="E241" s="35"/>
      <c r="F241" s="29" t="s">
        <v>304</v>
      </c>
      <c r="G241" s="38">
        <v>21.59</v>
      </c>
      <c r="H241" s="38">
        <v>0.08</v>
      </c>
      <c r="I241" s="38">
        <v>0.05</v>
      </c>
      <c r="J241" s="38">
        <v>0.08</v>
      </c>
      <c r="K241" s="38">
        <v>0.05</v>
      </c>
      <c r="L241" s="30">
        <f t="shared" si="12"/>
        <v>21.557410000000001</v>
      </c>
      <c r="M241" s="30">
        <f t="shared" si="13"/>
        <v>21.539584999999999</v>
      </c>
      <c r="N241" s="30">
        <f t="shared" si="14"/>
        <v>1.7825000000001978E-2</v>
      </c>
      <c r="O241" s="31">
        <f t="shared" si="15"/>
        <v>21.549598724137933</v>
      </c>
      <c r="P241" s="52"/>
      <c r="Q241" s="30">
        <v>21.550740999999999</v>
      </c>
      <c r="R241" s="30">
        <v>21.550052000000001</v>
      </c>
      <c r="S241" s="30">
        <v>21.551998999999999</v>
      </c>
      <c r="T241" s="30">
        <v>21.548010999999999</v>
      </c>
      <c r="U241" s="30">
        <v>21.557410000000001</v>
      </c>
      <c r="V241" s="30">
        <v>21.552810000000001</v>
      </c>
      <c r="W241" s="30">
        <v>21.550191999999999</v>
      </c>
      <c r="X241" s="30">
        <v>21.556604</v>
      </c>
      <c r="Y241" s="30">
        <v>21.554123000000001</v>
      </c>
      <c r="Z241" s="30">
        <v>21.552814999999999</v>
      </c>
      <c r="AA241" s="30">
        <v>21.55367</v>
      </c>
      <c r="AB241" s="30">
        <v>21.554545999999998</v>
      </c>
      <c r="AC241" s="30">
        <v>21.551206000000001</v>
      </c>
      <c r="AD241" s="30">
        <v>21.554182999999998</v>
      </c>
      <c r="AE241" s="30">
        <v>21.552133000000001</v>
      </c>
      <c r="AF241" s="30">
        <v>21.547626999999999</v>
      </c>
      <c r="AG241" s="30">
        <v>21.554549999999999</v>
      </c>
      <c r="AH241" s="30">
        <v>21.543075000000002</v>
      </c>
      <c r="AI241" s="30">
        <v>21.548960000000001</v>
      </c>
      <c r="AJ241" s="30">
        <v>21.543983999999998</v>
      </c>
      <c r="AK241" s="30">
        <v>21.551482</v>
      </c>
      <c r="AL241" s="30">
        <v>21.550823999999999</v>
      </c>
      <c r="AM241" s="30">
        <v>21.551508999999999</v>
      </c>
      <c r="AN241" s="30">
        <v>21.540154999999999</v>
      </c>
      <c r="AO241" s="30"/>
      <c r="AP241" s="30">
        <v>21.539584999999999</v>
      </c>
      <c r="AQ241" s="30">
        <v>21.540783999999999</v>
      </c>
      <c r="AR241" s="30">
        <v>21.550360000000001</v>
      </c>
      <c r="AS241" s="30">
        <v>21.544346000000001</v>
      </c>
      <c r="AT241" s="30">
        <v>21.540627000000001</v>
      </c>
      <c r="AU241" s="30">
        <v>21.544277999999998</v>
      </c>
      <c r="AV241" s="30">
        <v>21.544241</v>
      </c>
      <c r="AW241" s="30">
        <v>21.540381</v>
      </c>
      <c r="AX241" s="30"/>
      <c r="AY241" s="30"/>
      <c r="AZ241" s="30"/>
    </row>
    <row r="242" spans="1:52" ht="18" customHeight="1">
      <c r="A242" s="23"/>
      <c r="B242" s="19"/>
      <c r="C242" s="79" t="s">
        <v>225</v>
      </c>
      <c r="D242" s="35" t="s">
        <v>305</v>
      </c>
      <c r="E242" s="35"/>
      <c r="F242" s="29" t="s">
        <v>306</v>
      </c>
      <c r="G242" s="38">
        <v>21.59</v>
      </c>
      <c r="H242" s="38">
        <v>0.08</v>
      </c>
      <c r="I242" s="38">
        <v>0.05</v>
      </c>
      <c r="J242" s="38">
        <v>0.08</v>
      </c>
      <c r="K242" s="38">
        <v>0.05</v>
      </c>
      <c r="L242" s="30">
        <f t="shared" si="12"/>
        <v>21.56005</v>
      </c>
      <c r="M242" s="30">
        <f t="shared" si="13"/>
        <v>21.541499000000002</v>
      </c>
      <c r="N242" s="30">
        <f t="shared" si="14"/>
        <v>1.8550999999998652E-2</v>
      </c>
      <c r="O242" s="31">
        <f t="shared" si="15"/>
        <v>21.552889965517238</v>
      </c>
      <c r="P242" s="52"/>
      <c r="Q242" s="30">
        <v>21.554662</v>
      </c>
      <c r="R242" s="30">
        <v>21.552921000000001</v>
      </c>
      <c r="S242" s="30">
        <v>21.555492999999998</v>
      </c>
      <c r="T242" s="30">
        <v>21.552192000000002</v>
      </c>
      <c r="U242" s="30">
        <v>21.56005</v>
      </c>
      <c r="V242" s="30">
        <v>21.555432</v>
      </c>
      <c r="W242" s="30">
        <v>21.553988</v>
      </c>
      <c r="X242" s="30">
        <v>21.559519000000002</v>
      </c>
      <c r="Y242" s="30">
        <v>21.556937999999999</v>
      </c>
      <c r="Z242" s="30">
        <v>21.555281000000001</v>
      </c>
      <c r="AA242" s="30">
        <v>21.55639</v>
      </c>
      <c r="AB242" s="30">
        <v>21.557369000000001</v>
      </c>
      <c r="AC242" s="30">
        <v>21.555751000000001</v>
      </c>
      <c r="AD242" s="30">
        <v>21.558724999999999</v>
      </c>
      <c r="AE242" s="30">
        <v>21.555213999999999</v>
      </c>
      <c r="AF242" s="30">
        <v>21.550771999999998</v>
      </c>
      <c r="AG242" s="30">
        <v>21.558475000000001</v>
      </c>
      <c r="AH242" s="30">
        <v>21.546997999999999</v>
      </c>
      <c r="AI242" s="30">
        <v>21.552918999999999</v>
      </c>
      <c r="AJ242" s="30">
        <v>21.548590999999998</v>
      </c>
      <c r="AK242" s="30">
        <v>21.554690000000001</v>
      </c>
      <c r="AL242" s="30">
        <v>21.554662</v>
      </c>
      <c r="AM242" s="30">
        <v>21.554682</v>
      </c>
      <c r="AN242" s="30">
        <v>21.544414</v>
      </c>
      <c r="AO242" s="30"/>
      <c r="AP242" s="30">
        <v>21.541499000000002</v>
      </c>
      <c r="AQ242" s="30">
        <v>21.543631000000001</v>
      </c>
      <c r="AR242" s="30">
        <v>21.552614999999999</v>
      </c>
      <c r="AS242" s="30">
        <v>21.547241</v>
      </c>
      <c r="AT242" s="30">
        <v>21.542694999999998</v>
      </c>
      <c r="AU242" s="30">
        <v>21.546886000000001</v>
      </c>
      <c r="AV242" s="30">
        <v>21.547269</v>
      </c>
      <c r="AW242" s="30">
        <v>21.540939999999999</v>
      </c>
      <c r="AX242" s="30"/>
      <c r="AY242" s="30"/>
      <c r="AZ242" s="30"/>
    </row>
    <row r="243" spans="1:52" ht="18" customHeight="1">
      <c r="A243" s="22"/>
      <c r="B243" s="18"/>
      <c r="C243" s="80" t="s">
        <v>225</v>
      </c>
      <c r="D243" s="56" t="s">
        <v>307</v>
      </c>
      <c r="E243" s="56"/>
      <c r="F243" s="57" t="s">
        <v>308</v>
      </c>
      <c r="G243" s="58">
        <v>21.59</v>
      </c>
      <c r="H243" s="58">
        <v>0.08</v>
      </c>
      <c r="I243" s="58">
        <v>0.05</v>
      </c>
      <c r="J243" s="58">
        <v>0.08</v>
      </c>
      <c r="K243" s="58">
        <v>0.05</v>
      </c>
      <c r="L243" s="30">
        <f t="shared" si="12"/>
        <v>21.614514</v>
      </c>
      <c r="M243" s="30">
        <f t="shared" si="13"/>
        <v>21.594360999999999</v>
      </c>
      <c r="N243" s="30">
        <f t="shared" si="14"/>
        <v>2.0153000000000532E-2</v>
      </c>
      <c r="O243" s="31">
        <f t="shared" si="15"/>
        <v>21.607293172413797</v>
      </c>
      <c r="P243" s="62"/>
      <c r="Q243" s="30">
        <v>21.610734000000001</v>
      </c>
      <c r="R243" s="30">
        <v>21.607585</v>
      </c>
      <c r="S243" s="30">
        <v>21.611245</v>
      </c>
      <c r="T243" s="30">
        <v>21.609921</v>
      </c>
      <c r="U243" s="30">
        <v>21.614514</v>
      </c>
      <c r="V243" s="30">
        <v>21.610316000000001</v>
      </c>
      <c r="W243" s="30">
        <v>21.607505</v>
      </c>
      <c r="X243" s="30">
        <v>21.612933000000002</v>
      </c>
      <c r="Y243" s="30">
        <v>21.609552999999998</v>
      </c>
      <c r="Z243" s="30">
        <v>21.607609</v>
      </c>
      <c r="AA243" s="30">
        <v>21.609190999999999</v>
      </c>
      <c r="AB243" s="30">
        <v>21.609067</v>
      </c>
      <c r="AC243" s="30">
        <v>21.611692000000001</v>
      </c>
      <c r="AD243" s="30">
        <v>21.613503000000001</v>
      </c>
      <c r="AE243" s="30">
        <v>21.607814000000001</v>
      </c>
      <c r="AF243" s="30">
        <v>21.605139000000001</v>
      </c>
      <c r="AG243" s="30">
        <v>21.610264000000001</v>
      </c>
      <c r="AH243" s="30">
        <v>21.603460999999999</v>
      </c>
      <c r="AI243" s="30">
        <v>21.606373000000001</v>
      </c>
      <c r="AJ243" s="30">
        <v>21.606383000000001</v>
      </c>
      <c r="AK243" s="30">
        <v>21.605633000000001</v>
      </c>
      <c r="AL243" s="30">
        <v>21.606715999999999</v>
      </c>
      <c r="AM243" s="30">
        <v>21.605822</v>
      </c>
      <c r="AN243" s="30">
        <v>21.599931000000002</v>
      </c>
      <c r="AO243" s="30"/>
      <c r="AP243" s="30">
        <v>21.594360999999999</v>
      </c>
      <c r="AQ243" s="30">
        <v>21.600776</v>
      </c>
      <c r="AR243" s="30">
        <v>21.60453</v>
      </c>
      <c r="AS243" s="30">
        <v>21.607794999999999</v>
      </c>
      <c r="AT243" s="30">
        <v>21.601136</v>
      </c>
      <c r="AU243" s="30">
        <v>21.60323</v>
      </c>
      <c r="AV243" s="30">
        <v>21.604966000000001</v>
      </c>
      <c r="AW243" s="30">
        <v>21.598711000000002</v>
      </c>
      <c r="AX243" s="30"/>
      <c r="AY243" s="30"/>
      <c r="AZ243" s="30"/>
    </row>
    <row r="244" spans="1:52" ht="18" customHeight="1" thickBot="1">
      <c r="A244" s="21"/>
      <c r="B244" s="17"/>
      <c r="C244" s="82" t="s">
        <v>115</v>
      </c>
      <c r="D244" s="36" t="s">
        <v>309</v>
      </c>
      <c r="E244" s="36"/>
      <c r="F244" s="25"/>
      <c r="G244" s="54">
        <v>0</v>
      </c>
      <c r="H244" s="54">
        <v>0</v>
      </c>
      <c r="I244" s="54">
        <v>0.1</v>
      </c>
      <c r="J244" s="54">
        <v>0</v>
      </c>
      <c r="K244" s="54">
        <v>0.1</v>
      </c>
      <c r="L244" s="32">
        <f t="shared" si="12"/>
        <v>4.3999999999999997E-2</v>
      </c>
      <c r="M244" s="32">
        <f t="shared" si="13"/>
        <v>-7.4999999999999997E-2</v>
      </c>
      <c r="N244" s="32">
        <f t="shared" si="14"/>
        <v>0.11899999999999999</v>
      </c>
      <c r="O244" s="33">
        <f t="shared" si="15"/>
        <v>-3.9206896551724137E-2</v>
      </c>
      <c r="P244" s="53"/>
      <c r="Q244" s="30">
        <v>-6.6000000000000003E-2</v>
      </c>
      <c r="R244" s="30">
        <v>-5.5E-2</v>
      </c>
      <c r="S244" s="30">
        <v>-5.6000000000000001E-2</v>
      </c>
      <c r="T244" s="30">
        <v>-5.6000000000000001E-2</v>
      </c>
      <c r="U244" s="30">
        <v>-3.2000000000000001E-2</v>
      </c>
      <c r="V244" s="30">
        <v>-2.7E-2</v>
      </c>
      <c r="W244" s="30">
        <v>-3.3000000000000002E-2</v>
      </c>
      <c r="X244" s="30">
        <v>-4.8000000000000001E-2</v>
      </c>
      <c r="Y244" s="30">
        <v>-4.2000000000000003E-2</v>
      </c>
      <c r="Z244" s="30">
        <v>-4.4999999999999998E-2</v>
      </c>
      <c r="AA244" s="30">
        <v>-1.7000000000000001E-2</v>
      </c>
      <c r="AB244" s="30">
        <v>-3.9E-2</v>
      </c>
      <c r="AC244" s="30">
        <v>-4.2000000000000003E-2</v>
      </c>
      <c r="AD244" s="30">
        <v>-1.4999999999999999E-2</v>
      </c>
      <c r="AE244" s="30">
        <v>-0.04</v>
      </c>
      <c r="AF244" s="30">
        <v>-3.2000000000000001E-2</v>
      </c>
      <c r="AG244" s="30">
        <v>-2.8000000000000001E-2</v>
      </c>
      <c r="AH244" s="30">
        <v>-3.6999999999999998E-2</v>
      </c>
      <c r="AI244" s="30">
        <v>-4.2000000000000003E-2</v>
      </c>
      <c r="AJ244" s="30">
        <v>-4.1000000000000002E-2</v>
      </c>
      <c r="AK244" s="30">
        <v>-8.0000000000000002E-3</v>
      </c>
      <c r="AL244" s="30">
        <v>-2.8000000000000001E-2</v>
      </c>
      <c r="AM244" s="30">
        <v>-7.0000000000000001E-3</v>
      </c>
      <c r="AN244" s="30">
        <v>4.3999999999999997E-2</v>
      </c>
      <c r="AO244" s="30"/>
      <c r="AP244" s="30">
        <v>-7.1999999999999995E-2</v>
      </c>
      <c r="AQ244" s="30">
        <v>-7.3999999999999996E-2</v>
      </c>
      <c r="AR244" s="30">
        <v>-7.4999999999999997E-2</v>
      </c>
      <c r="AS244" s="30">
        <v>-5.5E-2</v>
      </c>
      <c r="AT244" s="30">
        <v>-6.9000000000000006E-2</v>
      </c>
      <c r="AU244" s="30">
        <v>-4.7E-2</v>
      </c>
      <c r="AV244" s="30">
        <v>-5.3999999999999999E-2</v>
      </c>
      <c r="AW244" s="30">
        <v>-5.8000000000000003E-2</v>
      </c>
      <c r="AX244" s="30"/>
      <c r="AY244" s="30"/>
      <c r="AZ244" s="30"/>
    </row>
    <row r="245" spans="1:52" ht="18" customHeight="1"/>
    <row r="246" spans="1:52" ht="18" customHeight="1"/>
    <row r="247" spans="1:52" ht="18" customHeight="1"/>
    <row r="248" spans="1:52" ht="18" customHeight="1">
      <c r="O248" s="83"/>
      <c r="Q248" s="84">
        <f t="shared" ref="Q248:AW248" si="16">Q8</f>
        <v>80.001999999999995</v>
      </c>
      <c r="R248" s="84">
        <f t="shared" si="16"/>
        <v>80.003</v>
      </c>
      <c r="S248" s="84">
        <f t="shared" si="16"/>
        <v>79.997</v>
      </c>
      <c r="T248" s="84">
        <f t="shared" si="16"/>
        <v>79.998999999999995</v>
      </c>
      <c r="U248" s="84">
        <f t="shared" si="16"/>
        <v>80</v>
      </c>
      <c r="V248" s="84">
        <f t="shared" si="16"/>
        <v>80.012</v>
      </c>
      <c r="W248" s="84">
        <f t="shared" si="16"/>
        <v>80.007999999999996</v>
      </c>
      <c r="X248" s="84">
        <f t="shared" si="16"/>
        <v>80.010999999999996</v>
      </c>
      <c r="Y248" s="84">
        <f t="shared" si="16"/>
        <v>80.016000000000005</v>
      </c>
      <c r="Z248" s="84">
        <f t="shared" si="16"/>
        <v>80.010999999999996</v>
      </c>
      <c r="AA248" s="84">
        <f t="shared" si="16"/>
        <v>80.016000000000005</v>
      </c>
      <c r="AB248" s="84">
        <f t="shared" si="16"/>
        <v>80.010000000000005</v>
      </c>
      <c r="AC248" s="84">
        <f t="shared" si="16"/>
        <v>80.015000000000001</v>
      </c>
      <c r="AD248" s="84">
        <f t="shared" si="16"/>
        <v>80.027000000000001</v>
      </c>
      <c r="AE248" s="84">
        <f t="shared" si="16"/>
        <v>80.016999999999996</v>
      </c>
      <c r="AF248" s="84">
        <f t="shared" si="16"/>
        <v>80.021000000000001</v>
      </c>
      <c r="AG248" s="84">
        <f t="shared" si="16"/>
        <v>80.016999999999996</v>
      </c>
      <c r="AH248" s="84">
        <f t="shared" si="16"/>
        <v>79.998999999999995</v>
      </c>
      <c r="AI248" s="84">
        <f t="shared" si="16"/>
        <v>79.986000000000004</v>
      </c>
      <c r="AJ248" s="84">
        <f t="shared" si="16"/>
        <v>79.997</v>
      </c>
      <c r="AK248" s="84">
        <f t="shared" si="16"/>
        <v>80</v>
      </c>
      <c r="AL248" s="84">
        <f t="shared" si="16"/>
        <v>80.001000000000005</v>
      </c>
      <c r="AM248" s="84">
        <f t="shared" si="16"/>
        <v>79.998000000000005</v>
      </c>
      <c r="AN248" s="84">
        <f t="shared" si="16"/>
        <v>80.048000000000002</v>
      </c>
      <c r="AO248" s="84">
        <f t="shared" si="16"/>
        <v>0</v>
      </c>
      <c r="AP248" s="84">
        <f t="shared" si="16"/>
        <v>80.028000000000006</v>
      </c>
      <c r="AQ248" s="84">
        <f t="shared" si="16"/>
        <v>80.025000000000006</v>
      </c>
      <c r="AR248" s="84">
        <f t="shared" si="16"/>
        <v>80.040999999999997</v>
      </c>
      <c r="AS248" s="84">
        <f t="shared" si="16"/>
        <v>80.052999999999997</v>
      </c>
      <c r="AT248" s="84">
        <f t="shared" si="16"/>
        <v>80.019000000000005</v>
      </c>
      <c r="AU248" s="84">
        <f t="shared" si="16"/>
        <v>80.058000000000007</v>
      </c>
      <c r="AV248" s="84">
        <f t="shared" si="16"/>
        <v>80.054000000000002</v>
      </c>
      <c r="AW248" s="84">
        <f t="shared" si="16"/>
        <v>80.040000000000006</v>
      </c>
    </row>
    <row r="249" spans="1:52" ht="18" customHeight="1">
      <c r="O249" s="83"/>
      <c r="Q249" s="84">
        <f t="shared" ref="Q249:AW249" si="17">Q18</f>
        <v>1.5580000000000001</v>
      </c>
      <c r="R249" s="84">
        <f t="shared" si="17"/>
        <v>1.5649999999999999</v>
      </c>
      <c r="S249" s="84">
        <f t="shared" si="17"/>
        <v>1.5649999999999999</v>
      </c>
      <c r="T249" s="84">
        <f t="shared" si="17"/>
        <v>1.571</v>
      </c>
      <c r="U249" s="84">
        <f t="shared" si="17"/>
        <v>1.5680000000000001</v>
      </c>
      <c r="V249" s="84">
        <f t="shared" si="17"/>
        <v>1.5669999999999999</v>
      </c>
      <c r="W249" s="84">
        <f t="shared" si="17"/>
        <v>1.5660000000000001</v>
      </c>
      <c r="X249" s="84">
        <f t="shared" si="17"/>
        <v>1.5660000000000001</v>
      </c>
      <c r="Y249" s="84">
        <f t="shared" si="17"/>
        <v>1.5669999999999999</v>
      </c>
      <c r="Z249" s="84">
        <f t="shared" si="17"/>
        <v>1.5720000000000001</v>
      </c>
      <c r="AA249" s="84">
        <f t="shared" si="17"/>
        <v>1.5589999999999999</v>
      </c>
      <c r="AB249" s="84">
        <f t="shared" si="17"/>
        <v>1.5680000000000001</v>
      </c>
      <c r="AC249" s="84">
        <f t="shared" si="17"/>
        <v>1.56</v>
      </c>
      <c r="AD249" s="84">
        <f t="shared" si="17"/>
        <v>1.5660000000000001</v>
      </c>
      <c r="AE249" s="84">
        <f t="shared" si="17"/>
        <v>1.5589999999999999</v>
      </c>
      <c r="AF249" s="84">
        <f t="shared" si="17"/>
        <v>1.5669999999999999</v>
      </c>
      <c r="AG249" s="84">
        <f t="shared" si="17"/>
        <v>1.5609999999999999</v>
      </c>
      <c r="AH249" s="84">
        <f t="shared" si="17"/>
        <v>1.569</v>
      </c>
      <c r="AI249" s="84">
        <f t="shared" si="17"/>
        <v>1.5629999999999999</v>
      </c>
      <c r="AJ249" s="84">
        <f t="shared" si="17"/>
        <v>1.5669999999999999</v>
      </c>
      <c r="AK249" s="84">
        <f t="shared" si="17"/>
        <v>1.5629999999999999</v>
      </c>
      <c r="AL249" s="84">
        <f t="shared" si="17"/>
        <v>1.5740000000000001</v>
      </c>
      <c r="AM249" s="84">
        <f t="shared" si="17"/>
        <v>1.5660000000000001</v>
      </c>
      <c r="AN249" s="84">
        <f t="shared" si="17"/>
        <v>1.5580000000000001</v>
      </c>
      <c r="AO249" s="84">
        <f t="shared" si="17"/>
        <v>0</v>
      </c>
      <c r="AP249" s="84">
        <f t="shared" si="17"/>
        <v>1.5720000000000001</v>
      </c>
      <c r="AQ249" s="84">
        <f t="shared" si="17"/>
        <v>1.569</v>
      </c>
      <c r="AR249" s="84">
        <f t="shared" si="17"/>
        <v>1.554</v>
      </c>
      <c r="AS249" s="84">
        <f t="shared" si="17"/>
        <v>1.57</v>
      </c>
      <c r="AT249" s="84">
        <f t="shared" si="17"/>
        <v>1.57</v>
      </c>
      <c r="AU249" s="84">
        <f t="shared" si="17"/>
        <v>1.5580000000000001</v>
      </c>
      <c r="AV249" s="84">
        <f t="shared" si="17"/>
        <v>1.5760000000000001</v>
      </c>
      <c r="AW249" s="84">
        <f t="shared" si="17"/>
        <v>1.5629999999999999</v>
      </c>
    </row>
    <row r="250" spans="1:52" ht="18" customHeight="1">
      <c r="O250" s="83" t="s">
        <v>480</v>
      </c>
      <c r="Q250" s="84">
        <f t="shared" ref="Q250:AW250" si="18">Q28</f>
        <v>4.1390000000000002</v>
      </c>
      <c r="R250" s="84">
        <f t="shared" si="18"/>
        <v>4.1289999999999996</v>
      </c>
      <c r="S250" s="84">
        <f t="shared" si="18"/>
        <v>4.1280000000000001</v>
      </c>
      <c r="T250" s="84">
        <f t="shared" si="18"/>
        <v>4.1280000000000001</v>
      </c>
      <c r="U250" s="84">
        <f t="shared" si="18"/>
        <v>4.1319999999999997</v>
      </c>
      <c r="V250" s="84">
        <f t="shared" si="18"/>
        <v>4.1319999999999997</v>
      </c>
      <c r="W250" s="84">
        <f t="shared" si="18"/>
        <v>4.13</v>
      </c>
      <c r="X250" s="84">
        <f t="shared" si="18"/>
        <v>4.1269999999999998</v>
      </c>
      <c r="Y250" s="84">
        <f t="shared" si="18"/>
        <v>4.1260000000000003</v>
      </c>
      <c r="Z250" s="84">
        <f t="shared" si="18"/>
        <v>4.125</v>
      </c>
      <c r="AA250" s="84">
        <f t="shared" si="18"/>
        <v>4.1260000000000003</v>
      </c>
      <c r="AB250" s="84">
        <f t="shared" si="18"/>
        <v>4.1289999999999996</v>
      </c>
      <c r="AC250" s="84">
        <f t="shared" si="18"/>
        <v>4.1289999999999996</v>
      </c>
      <c r="AD250" s="84">
        <f t="shared" si="18"/>
        <v>4.1280000000000001</v>
      </c>
      <c r="AE250" s="84">
        <f t="shared" si="18"/>
        <v>4.1280000000000001</v>
      </c>
      <c r="AF250" s="84">
        <f t="shared" si="18"/>
        <v>4.1319999999999997</v>
      </c>
      <c r="AG250" s="84">
        <f t="shared" si="18"/>
        <v>4.1269999999999998</v>
      </c>
      <c r="AH250" s="84">
        <f t="shared" si="18"/>
        <v>4.1269999999999998</v>
      </c>
      <c r="AI250" s="84">
        <f t="shared" si="18"/>
        <v>4.1260000000000003</v>
      </c>
      <c r="AJ250" s="84">
        <f t="shared" si="18"/>
        <v>4.1260000000000003</v>
      </c>
      <c r="AK250" s="84">
        <f t="shared" si="18"/>
        <v>4.1280000000000001</v>
      </c>
      <c r="AL250" s="84">
        <f t="shared" si="18"/>
        <v>4.1319999999999997</v>
      </c>
      <c r="AM250" s="84">
        <f t="shared" si="18"/>
        <v>4.125</v>
      </c>
      <c r="AN250" s="84">
        <f t="shared" si="18"/>
        <v>4.1239999999999997</v>
      </c>
      <c r="AO250" s="84">
        <f t="shared" si="18"/>
        <v>0</v>
      </c>
      <c r="AP250" s="84">
        <f t="shared" si="18"/>
        <v>4.1230000000000002</v>
      </c>
      <c r="AQ250" s="84">
        <f t="shared" si="18"/>
        <v>4.1230000000000002</v>
      </c>
      <c r="AR250" s="84">
        <f t="shared" si="18"/>
        <v>4.1269999999999998</v>
      </c>
      <c r="AS250" s="84">
        <f t="shared" si="18"/>
        <v>4.1230000000000002</v>
      </c>
      <c r="AT250" s="84">
        <f t="shared" si="18"/>
        <v>4.1260000000000003</v>
      </c>
      <c r="AU250" s="84">
        <f t="shared" si="18"/>
        <v>4.1260000000000003</v>
      </c>
      <c r="AV250" s="84">
        <f t="shared" si="18"/>
        <v>4.1219999999999999</v>
      </c>
      <c r="AW250" s="84">
        <f t="shared" si="18"/>
        <v>4.125</v>
      </c>
    </row>
    <row r="251" spans="1:52" ht="18" customHeight="1">
      <c r="O251" s="83" t="s">
        <v>481</v>
      </c>
      <c r="Q251" s="84">
        <f t="shared" ref="Q251:AW251" si="19">Q40</f>
        <v>5.7000000000000002E-2</v>
      </c>
      <c r="R251" s="84">
        <f t="shared" si="19"/>
        <v>7.5999999999999998E-2</v>
      </c>
      <c r="S251" s="84">
        <f t="shared" si="19"/>
        <v>6.2E-2</v>
      </c>
      <c r="T251" s="84">
        <f t="shared" si="19"/>
        <v>5.6000000000000001E-2</v>
      </c>
      <c r="U251" s="84">
        <f t="shared" si="19"/>
        <v>6.0999999999999999E-2</v>
      </c>
      <c r="V251" s="84">
        <f t="shared" si="19"/>
        <v>5.8000000000000003E-2</v>
      </c>
      <c r="W251" s="84">
        <f t="shared" si="19"/>
        <v>7.0999999999999994E-2</v>
      </c>
      <c r="X251" s="84">
        <f t="shared" si="19"/>
        <v>5.8999999999999997E-2</v>
      </c>
      <c r="Y251" s="84">
        <f t="shared" si="19"/>
        <v>6.5000000000000002E-2</v>
      </c>
      <c r="Z251" s="84">
        <f t="shared" si="19"/>
        <v>5.8999999999999997E-2</v>
      </c>
      <c r="AA251" s="84">
        <f t="shared" si="19"/>
        <v>7.0999999999999994E-2</v>
      </c>
      <c r="AB251" s="84">
        <f t="shared" si="19"/>
        <v>6.0999999999999999E-2</v>
      </c>
      <c r="AC251" s="84">
        <f t="shared" si="19"/>
        <v>7.0000000000000007E-2</v>
      </c>
      <c r="AD251" s="84">
        <f t="shared" si="19"/>
        <v>6.0999999999999999E-2</v>
      </c>
      <c r="AE251" s="84">
        <f t="shared" si="19"/>
        <v>5.5E-2</v>
      </c>
      <c r="AF251" s="84">
        <f t="shared" si="19"/>
        <v>6.0999999999999999E-2</v>
      </c>
      <c r="AG251" s="84">
        <f t="shared" si="19"/>
        <v>6.4000000000000001E-2</v>
      </c>
      <c r="AH251" s="84">
        <f t="shared" si="19"/>
        <v>6.6000000000000003E-2</v>
      </c>
      <c r="AI251" s="84">
        <f t="shared" si="19"/>
        <v>5.6000000000000001E-2</v>
      </c>
      <c r="AJ251" s="84">
        <f t="shared" si="19"/>
        <v>6.8000000000000005E-2</v>
      </c>
      <c r="AK251" s="84">
        <f t="shared" si="19"/>
        <v>6.2E-2</v>
      </c>
      <c r="AL251" s="84">
        <f t="shared" si="19"/>
        <v>6.6000000000000003E-2</v>
      </c>
      <c r="AM251" s="84">
        <f t="shared" si="19"/>
        <v>6.4000000000000001E-2</v>
      </c>
      <c r="AN251" s="84">
        <f t="shared" si="19"/>
        <v>6.3E-2</v>
      </c>
      <c r="AO251" s="84">
        <f t="shared" si="19"/>
        <v>0</v>
      </c>
      <c r="AP251" s="84">
        <f t="shared" si="19"/>
        <v>5.3999999999999999E-2</v>
      </c>
      <c r="AQ251" s="84">
        <f t="shared" si="19"/>
        <v>5.8000000000000003E-2</v>
      </c>
      <c r="AR251" s="84">
        <f t="shared" si="19"/>
        <v>6.6000000000000003E-2</v>
      </c>
      <c r="AS251" s="84">
        <f t="shared" si="19"/>
        <v>5.8999999999999997E-2</v>
      </c>
      <c r="AT251" s="84">
        <f t="shared" si="19"/>
        <v>5.7000000000000002E-2</v>
      </c>
      <c r="AU251" s="84">
        <f t="shared" si="19"/>
        <v>0.06</v>
      </c>
      <c r="AV251" s="84">
        <f t="shared" si="19"/>
        <v>5.7000000000000002E-2</v>
      </c>
      <c r="AW251" s="84">
        <f t="shared" si="19"/>
        <v>0.05</v>
      </c>
    </row>
    <row r="252" spans="1:52" ht="18" customHeight="1">
      <c r="O252" s="83" t="s">
        <v>482</v>
      </c>
      <c r="Q252" s="84">
        <f t="shared" ref="Q252:AW252" si="20">Q102</f>
        <v>14.137587</v>
      </c>
      <c r="R252" s="84">
        <f t="shared" si="20"/>
        <v>14.155155000000001</v>
      </c>
      <c r="S252" s="84">
        <f t="shared" si="20"/>
        <v>14.151203000000001</v>
      </c>
      <c r="T252" s="84">
        <f t="shared" si="20"/>
        <v>14.139151</v>
      </c>
      <c r="U252" s="84">
        <f t="shared" si="20"/>
        <v>14.154513</v>
      </c>
      <c r="V252" s="84">
        <f t="shared" si="20"/>
        <v>14.154019999999999</v>
      </c>
      <c r="W252" s="84">
        <f t="shared" si="20"/>
        <v>14.151332999999999</v>
      </c>
      <c r="X252" s="84">
        <f t="shared" si="20"/>
        <v>14.15423</v>
      </c>
      <c r="Y252" s="84">
        <f t="shared" si="20"/>
        <v>14.155535</v>
      </c>
      <c r="Z252" s="84">
        <f t="shared" si="20"/>
        <v>14.149433</v>
      </c>
      <c r="AA252" s="84">
        <f t="shared" si="20"/>
        <v>14.149575</v>
      </c>
      <c r="AB252" s="84">
        <f t="shared" si="20"/>
        <v>14.150328999999999</v>
      </c>
      <c r="AC252" s="84">
        <f t="shared" si="20"/>
        <v>14.158764</v>
      </c>
      <c r="AD252" s="84">
        <f t="shared" si="20"/>
        <v>14.160215000000001</v>
      </c>
      <c r="AE252" s="84">
        <f t="shared" si="20"/>
        <v>14.157956</v>
      </c>
      <c r="AF252" s="84">
        <f t="shared" si="20"/>
        <v>14.156029</v>
      </c>
      <c r="AG252" s="84">
        <f t="shared" si="20"/>
        <v>14.153114</v>
      </c>
      <c r="AH252" s="84">
        <f t="shared" si="20"/>
        <v>14.148483000000001</v>
      </c>
      <c r="AI252" s="84">
        <f t="shared" si="20"/>
        <v>14.148603</v>
      </c>
      <c r="AJ252" s="84">
        <f t="shared" si="20"/>
        <v>14.145192</v>
      </c>
      <c r="AK252" s="84">
        <f t="shared" si="20"/>
        <v>14.153589</v>
      </c>
      <c r="AL252" s="84">
        <f t="shared" si="20"/>
        <v>14.148465</v>
      </c>
      <c r="AM252" s="84">
        <f t="shared" si="20"/>
        <v>14.14941</v>
      </c>
      <c r="AN252" s="84">
        <f t="shared" si="20"/>
        <v>14.132706000000001</v>
      </c>
      <c r="AO252" s="84">
        <f t="shared" si="20"/>
        <v>0</v>
      </c>
      <c r="AP252" s="84">
        <f t="shared" si="20"/>
        <v>14.132682000000001</v>
      </c>
      <c r="AQ252" s="84">
        <f t="shared" si="20"/>
        <v>14.127971000000001</v>
      </c>
      <c r="AR252" s="84">
        <f t="shared" si="20"/>
        <v>14.133706</v>
      </c>
      <c r="AS252" s="84">
        <f t="shared" si="20"/>
        <v>14.138961</v>
      </c>
      <c r="AT252" s="84">
        <f t="shared" si="20"/>
        <v>14.139461000000001</v>
      </c>
      <c r="AU252" s="84">
        <f t="shared" si="20"/>
        <v>14.127179999999999</v>
      </c>
      <c r="AV252" s="84">
        <f t="shared" si="20"/>
        <v>14.139843000000001</v>
      </c>
      <c r="AW252" s="84">
        <f t="shared" si="20"/>
        <v>14.144481000000001</v>
      </c>
    </row>
    <row r="253" spans="1:52" ht="18" customHeight="1">
      <c r="O253" s="83"/>
      <c r="Q253" s="84">
        <f t="shared" ref="Q253:AW253" si="21">Q128</f>
        <v>79.986999999999995</v>
      </c>
      <c r="R253" s="84">
        <f t="shared" si="21"/>
        <v>79.988</v>
      </c>
      <c r="S253" s="84">
        <f t="shared" si="21"/>
        <v>79.988</v>
      </c>
      <c r="T253" s="84">
        <f t="shared" si="21"/>
        <v>79.986999999999995</v>
      </c>
      <c r="U253" s="84">
        <f t="shared" si="21"/>
        <v>79.995000000000005</v>
      </c>
      <c r="V253" s="84">
        <f t="shared" si="21"/>
        <v>80.006</v>
      </c>
      <c r="W253" s="84">
        <f t="shared" si="21"/>
        <v>79.995999999999995</v>
      </c>
      <c r="X253" s="84">
        <f t="shared" si="21"/>
        <v>80</v>
      </c>
      <c r="Y253" s="84">
        <f t="shared" si="21"/>
        <v>80.010000000000005</v>
      </c>
      <c r="Z253" s="84">
        <f t="shared" si="21"/>
        <v>80.027000000000001</v>
      </c>
      <c r="AA253" s="84">
        <f t="shared" si="21"/>
        <v>80.007000000000005</v>
      </c>
      <c r="AB253" s="84">
        <f t="shared" si="21"/>
        <v>80.012</v>
      </c>
      <c r="AC253" s="84">
        <f t="shared" si="21"/>
        <v>80.015000000000001</v>
      </c>
      <c r="AD253" s="84">
        <f t="shared" si="21"/>
        <v>80.02</v>
      </c>
      <c r="AE253" s="84">
        <f t="shared" si="21"/>
        <v>80.013999999999996</v>
      </c>
      <c r="AF253" s="84">
        <f t="shared" si="21"/>
        <v>80.012</v>
      </c>
      <c r="AG253" s="84">
        <f t="shared" si="21"/>
        <v>80.010000000000005</v>
      </c>
      <c r="AH253" s="84">
        <f t="shared" si="21"/>
        <v>79.986999999999995</v>
      </c>
      <c r="AI253" s="84">
        <f t="shared" si="21"/>
        <v>80.003</v>
      </c>
      <c r="AJ253" s="84">
        <f t="shared" si="21"/>
        <v>79.992000000000004</v>
      </c>
      <c r="AK253" s="84">
        <f t="shared" si="21"/>
        <v>79.991</v>
      </c>
      <c r="AL253" s="84">
        <f t="shared" si="21"/>
        <v>80.007000000000005</v>
      </c>
      <c r="AM253" s="84">
        <f t="shared" si="21"/>
        <v>79.998999999999995</v>
      </c>
      <c r="AN253" s="84">
        <f t="shared" si="21"/>
        <v>80.043000000000006</v>
      </c>
      <c r="AO253" s="84">
        <f t="shared" si="21"/>
        <v>0</v>
      </c>
      <c r="AP253" s="84">
        <f t="shared" si="21"/>
        <v>80.022000000000006</v>
      </c>
      <c r="AQ253" s="84">
        <f t="shared" si="21"/>
        <v>80.034000000000006</v>
      </c>
      <c r="AR253" s="84">
        <f t="shared" si="21"/>
        <v>80.025999999999996</v>
      </c>
      <c r="AS253" s="84">
        <f t="shared" si="21"/>
        <v>80.037999999999997</v>
      </c>
      <c r="AT253" s="84">
        <f t="shared" si="21"/>
        <v>80.010000000000005</v>
      </c>
      <c r="AU253" s="84">
        <f t="shared" si="21"/>
        <v>80.052000000000007</v>
      </c>
      <c r="AV253" s="84">
        <f t="shared" si="21"/>
        <v>80.046999999999997</v>
      </c>
      <c r="AW253" s="84">
        <f t="shared" si="21"/>
        <v>80.033000000000001</v>
      </c>
    </row>
    <row r="254" spans="1:52" ht="18" customHeight="1">
      <c r="O254" s="83"/>
      <c r="Q254" s="84">
        <f t="shared" ref="Q254:AW254" si="22">Q138</f>
        <v>1.5720000000000001</v>
      </c>
      <c r="R254" s="84">
        <f t="shared" si="22"/>
        <v>1.5640000000000001</v>
      </c>
      <c r="S254" s="84">
        <f t="shared" si="22"/>
        <v>1.56</v>
      </c>
      <c r="T254" s="84">
        <f t="shared" si="22"/>
        <v>1.5660000000000001</v>
      </c>
      <c r="U254" s="84">
        <f t="shared" si="22"/>
        <v>1.5740000000000001</v>
      </c>
      <c r="V254" s="84">
        <f t="shared" si="22"/>
        <v>1.5609999999999999</v>
      </c>
      <c r="W254" s="84">
        <f t="shared" si="22"/>
        <v>1.5649999999999999</v>
      </c>
      <c r="X254" s="84">
        <f t="shared" si="22"/>
        <v>1.556</v>
      </c>
      <c r="Y254" s="84">
        <f t="shared" si="22"/>
        <v>1.5649999999999999</v>
      </c>
      <c r="Z254" s="84">
        <f t="shared" si="22"/>
        <v>1.5669999999999999</v>
      </c>
      <c r="AA254" s="84">
        <f t="shared" si="22"/>
        <v>1.5649999999999999</v>
      </c>
      <c r="AB254" s="84">
        <f t="shared" si="22"/>
        <v>1.5589999999999999</v>
      </c>
      <c r="AC254" s="84">
        <f t="shared" si="22"/>
        <v>1.5629999999999999</v>
      </c>
      <c r="AD254" s="84">
        <f t="shared" si="22"/>
        <v>1.5609999999999999</v>
      </c>
      <c r="AE254" s="84">
        <f t="shared" si="22"/>
        <v>1.5649999999999999</v>
      </c>
      <c r="AF254" s="84">
        <f t="shared" si="22"/>
        <v>1.5649999999999999</v>
      </c>
      <c r="AG254" s="84">
        <f t="shared" si="22"/>
        <v>1.5649999999999999</v>
      </c>
      <c r="AH254" s="84">
        <f t="shared" si="22"/>
        <v>1.571</v>
      </c>
      <c r="AI254" s="84">
        <f t="shared" si="22"/>
        <v>1.575</v>
      </c>
      <c r="AJ254" s="84">
        <f t="shared" si="22"/>
        <v>1.5569999999999999</v>
      </c>
      <c r="AK254" s="84">
        <f t="shared" si="22"/>
        <v>1.5649999999999999</v>
      </c>
      <c r="AL254" s="84">
        <f t="shared" si="22"/>
        <v>1.5669999999999999</v>
      </c>
      <c r="AM254" s="84">
        <f t="shared" si="22"/>
        <v>1.56</v>
      </c>
      <c r="AN254" s="84">
        <f t="shared" si="22"/>
        <v>1.5680000000000001</v>
      </c>
      <c r="AO254" s="84">
        <f t="shared" si="22"/>
        <v>0</v>
      </c>
      <c r="AP254" s="84">
        <f t="shared" si="22"/>
        <v>1.5660000000000001</v>
      </c>
      <c r="AQ254" s="84">
        <f t="shared" si="22"/>
        <v>1.5609999999999999</v>
      </c>
      <c r="AR254" s="84">
        <f t="shared" si="22"/>
        <v>1.5569999999999999</v>
      </c>
      <c r="AS254" s="84">
        <f t="shared" si="22"/>
        <v>1.5660000000000001</v>
      </c>
      <c r="AT254" s="84">
        <f t="shared" si="22"/>
        <v>1.556</v>
      </c>
      <c r="AU254" s="84">
        <f t="shared" si="22"/>
        <v>1.5669999999999999</v>
      </c>
      <c r="AV254" s="84">
        <f t="shared" si="22"/>
        <v>1.5640000000000001</v>
      </c>
      <c r="AW254" s="84">
        <f t="shared" si="22"/>
        <v>1.5589999999999999</v>
      </c>
    </row>
    <row r="255" spans="1:52" ht="18" customHeight="1">
      <c r="O255" s="83"/>
      <c r="Q255" s="84">
        <f t="shared" ref="Q255:AW255" si="23">Q148</f>
        <v>4.1609999999999996</v>
      </c>
      <c r="R255" s="84">
        <f t="shared" si="23"/>
        <v>4.149</v>
      </c>
      <c r="S255" s="84">
        <f t="shared" si="23"/>
        <v>4.1520000000000001</v>
      </c>
      <c r="T255" s="84">
        <f t="shared" si="23"/>
        <v>4.1479999999999997</v>
      </c>
      <c r="U255" s="84">
        <f t="shared" si="23"/>
        <v>4.1509999999999998</v>
      </c>
      <c r="V255" s="84">
        <f t="shared" si="23"/>
        <v>4.1520000000000001</v>
      </c>
      <c r="W255" s="84">
        <f t="shared" si="23"/>
        <v>4.1500000000000004</v>
      </c>
      <c r="X255" s="84">
        <f t="shared" si="23"/>
        <v>4.1500000000000004</v>
      </c>
      <c r="Y255" s="84">
        <f t="shared" si="23"/>
        <v>4.1520000000000001</v>
      </c>
      <c r="Z255" s="84">
        <f t="shared" si="23"/>
        <v>4.1539999999999999</v>
      </c>
      <c r="AA255" s="84">
        <f t="shared" si="23"/>
        <v>4.1479999999999997</v>
      </c>
      <c r="AB255" s="84">
        <f t="shared" si="23"/>
        <v>4.1550000000000002</v>
      </c>
      <c r="AC255" s="84">
        <f t="shared" si="23"/>
        <v>4.1500000000000004</v>
      </c>
      <c r="AD255" s="84">
        <f t="shared" si="23"/>
        <v>4.1500000000000004</v>
      </c>
      <c r="AE255" s="84">
        <f t="shared" si="23"/>
        <v>4.1529999999999996</v>
      </c>
      <c r="AF255" s="84">
        <f t="shared" si="23"/>
        <v>4.1500000000000004</v>
      </c>
      <c r="AG255" s="84">
        <f t="shared" si="23"/>
        <v>4.1479999999999997</v>
      </c>
      <c r="AH255" s="84">
        <f t="shared" si="23"/>
        <v>4.1479999999999997</v>
      </c>
      <c r="AI255" s="84">
        <f t="shared" si="23"/>
        <v>4.1420000000000003</v>
      </c>
      <c r="AJ255" s="84">
        <f t="shared" si="23"/>
        <v>4.1500000000000004</v>
      </c>
      <c r="AK255" s="84">
        <f t="shared" si="23"/>
        <v>4.1449999999999996</v>
      </c>
      <c r="AL255" s="84">
        <f t="shared" si="23"/>
        <v>4.1520000000000001</v>
      </c>
      <c r="AM255" s="84">
        <f t="shared" si="23"/>
        <v>4.1500000000000004</v>
      </c>
      <c r="AN255" s="84">
        <f t="shared" si="23"/>
        <v>4.1479999999999997</v>
      </c>
      <c r="AO255" s="84">
        <f t="shared" si="23"/>
        <v>0</v>
      </c>
      <c r="AP255" s="84">
        <f t="shared" si="23"/>
        <v>4.1459999999999999</v>
      </c>
      <c r="AQ255" s="84">
        <f t="shared" si="23"/>
        <v>4.1479999999999997</v>
      </c>
      <c r="AR255" s="84">
        <f t="shared" si="23"/>
        <v>4.1509999999999998</v>
      </c>
      <c r="AS255" s="84">
        <f t="shared" si="23"/>
        <v>4.1479999999999997</v>
      </c>
      <c r="AT255" s="84">
        <f t="shared" si="23"/>
        <v>4.1470000000000002</v>
      </c>
      <c r="AU255" s="84">
        <f t="shared" si="23"/>
        <v>4.149</v>
      </c>
      <c r="AV255" s="84">
        <f t="shared" si="23"/>
        <v>4.1459999999999999</v>
      </c>
      <c r="AW255" s="84">
        <f t="shared" si="23"/>
        <v>4.1459999999999999</v>
      </c>
    </row>
    <row r="256" spans="1:52" ht="18" customHeight="1">
      <c r="O256" s="83"/>
      <c r="Q256" s="84">
        <f t="shared" ref="Q256:AW256" si="24">Q160</f>
        <v>5.8000000000000003E-2</v>
      </c>
      <c r="R256" s="84">
        <f t="shared" si="24"/>
        <v>6.2E-2</v>
      </c>
      <c r="S256" s="84">
        <f t="shared" si="24"/>
        <v>5.8999999999999997E-2</v>
      </c>
      <c r="T256" s="84">
        <f t="shared" si="24"/>
        <v>6.5000000000000002E-2</v>
      </c>
      <c r="U256" s="84">
        <f t="shared" si="24"/>
        <v>0.06</v>
      </c>
      <c r="V256" s="84">
        <f t="shared" si="24"/>
        <v>0.06</v>
      </c>
      <c r="W256" s="84">
        <f t="shared" si="24"/>
        <v>6.2E-2</v>
      </c>
      <c r="X256" s="84">
        <f t="shared" si="24"/>
        <v>0.06</v>
      </c>
      <c r="Y256" s="84">
        <f t="shared" si="24"/>
        <v>0.06</v>
      </c>
      <c r="Z256" s="84">
        <f t="shared" si="24"/>
        <v>6.2E-2</v>
      </c>
      <c r="AA256" s="84">
        <f t="shared" si="24"/>
        <v>5.7000000000000002E-2</v>
      </c>
      <c r="AB256" s="84">
        <f t="shared" si="24"/>
        <v>5.8000000000000003E-2</v>
      </c>
      <c r="AC256" s="84">
        <f t="shared" si="24"/>
        <v>5.7000000000000002E-2</v>
      </c>
      <c r="AD256" s="84">
        <f t="shared" si="24"/>
        <v>6.6000000000000003E-2</v>
      </c>
      <c r="AE256" s="84">
        <f t="shared" si="24"/>
        <v>5.2999999999999999E-2</v>
      </c>
      <c r="AF256" s="84">
        <f t="shared" si="24"/>
        <v>5.6000000000000001E-2</v>
      </c>
      <c r="AG256" s="84">
        <f t="shared" si="24"/>
        <v>6.2E-2</v>
      </c>
      <c r="AH256" s="84">
        <f t="shared" si="24"/>
        <v>6.5000000000000002E-2</v>
      </c>
      <c r="AI256" s="84">
        <f t="shared" si="24"/>
        <v>6.4000000000000001E-2</v>
      </c>
      <c r="AJ256" s="84">
        <f t="shared" si="24"/>
        <v>6.5000000000000002E-2</v>
      </c>
      <c r="AK256" s="84">
        <f t="shared" si="24"/>
        <v>6.2E-2</v>
      </c>
      <c r="AL256" s="84">
        <f t="shared" si="24"/>
        <v>5.5E-2</v>
      </c>
      <c r="AM256" s="84">
        <f t="shared" si="24"/>
        <v>5.2999999999999999E-2</v>
      </c>
      <c r="AN256" s="84">
        <f t="shared" si="24"/>
        <v>5.2999999999999999E-2</v>
      </c>
      <c r="AO256" s="84">
        <f t="shared" si="24"/>
        <v>0</v>
      </c>
      <c r="AP256" s="84">
        <f t="shared" si="24"/>
        <v>5.7000000000000002E-2</v>
      </c>
      <c r="AQ256" s="84">
        <f t="shared" si="24"/>
        <v>5.2999999999999999E-2</v>
      </c>
      <c r="AR256" s="84">
        <f t="shared" si="24"/>
        <v>5.7000000000000002E-2</v>
      </c>
      <c r="AS256" s="84">
        <f t="shared" si="24"/>
        <v>6.3E-2</v>
      </c>
      <c r="AT256" s="84">
        <f t="shared" si="24"/>
        <v>5.8999999999999997E-2</v>
      </c>
      <c r="AU256" s="84">
        <f t="shared" si="24"/>
        <v>0.06</v>
      </c>
      <c r="AV256" s="84">
        <f t="shared" si="24"/>
        <v>0.06</v>
      </c>
      <c r="AW256" s="84">
        <f t="shared" si="24"/>
        <v>6.5000000000000002E-2</v>
      </c>
    </row>
    <row r="257" spans="15:49" ht="18" customHeight="1">
      <c r="O257" s="83"/>
      <c r="Q257" s="84">
        <f t="shared" ref="Q257:AW257" si="25">Q222</f>
        <v>14.151160000000001</v>
      </c>
      <c r="R257" s="84">
        <f t="shared" si="25"/>
        <v>14.16061</v>
      </c>
      <c r="S257" s="84">
        <f t="shared" si="25"/>
        <v>14.162369</v>
      </c>
      <c r="T257" s="84">
        <f t="shared" si="25"/>
        <v>14.155409000000001</v>
      </c>
      <c r="U257" s="84">
        <f t="shared" si="25"/>
        <v>14.162198</v>
      </c>
      <c r="V257" s="84">
        <f t="shared" si="25"/>
        <v>14.160938</v>
      </c>
      <c r="W257" s="84">
        <f t="shared" si="25"/>
        <v>14.156523</v>
      </c>
      <c r="X257" s="84">
        <f t="shared" si="25"/>
        <v>14.158244</v>
      </c>
      <c r="Y257" s="84">
        <f t="shared" si="25"/>
        <v>14.162419</v>
      </c>
      <c r="Z257" s="84">
        <f t="shared" si="25"/>
        <v>14.162786000000001</v>
      </c>
      <c r="AA257" s="84">
        <f t="shared" si="25"/>
        <v>14.162713999999999</v>
      </c>
      <c r="AB257" s="84">
        <f t="shared" si="25"/>
        <v>14.163187000000001</v>
      </c>
      <c r="AC257" s="84">
        <f t="shared" si="25"/>
        <v>14.163010999999999</v>
      </c>
      <c r="AD257" s="84">
        <f t="shared" si="25"/>
        <v>14.168042</v>
      </c>
      <c r="AE257" s="84">
        <f t="shared" si="25"/>
        <v>14.161336</v>
      </c>
      <c r="AF257" s="84">
        <f t="shared" si="25"/>
        <v>14.162769000000001</v>
      </c>
      <c r="AG257" s="84">
        <f t="shared" si="25"/>
        <v>14.166551999999999</v>
      </c>
      <c r="AH257" s="84">
        <f t="shared" si="25"/>
        <v>14.149642</v>
      </c>
      <c r="AI257" s="84">
        <f t="shared" si="25"/>
        <v>14.157615</v>
      </c>
      <c r="AJ257" s="84">
        <f t="shared" si="25"/>
        <v>14.146188</v>
      </c>
      <c r="AK257" s="84">
        <f t="shared" si="25"/>
        <v>14.162056</v>
      </c>
      <c r="AL257" s="84">
        <f t="shared" si="25"/>
        <v>14.157883999999999</v>
      </c>
      <c r="AM257" s="84">
        <f t="shared" si="25"/>
        <v>14.159221000000001</v>
      </c>
      <c r="AN257" s="84">
        <f t="shared" si="25"/>
        <v>14.140670999999999</v>
      </c>
      <c r="AO257" s="84">
        <f t="shared" si="25"/>
        <v>0</v>
      </c>
      <c r="AP257" s="84">
        <f t="shared" si="25"/>
        <v>14.149606</v>
      </c>
      <c r="AQ257" s="84">
        <f t="shared" si="25"/>
        <v>14.140995999999999</v>
      </c>
      <c r="AR257" s="84">
        <f t="shared" si="25"/>
        <v>14.143613</v>
      </c>
      <c r="AS257" s="84">
        <f t="shared" si="25"/>
        <v>14.153363000000001</v>
      </c>
      <c r="AT257" s="84">
        <f t="shared" si="25"/>
        <v>14.150135000000001</v>
      </c>
      <c r="AU257" s="84">
        <f t="shared" si="25"/>
        <v>14.153100999999999</v>
      </c>
      <c r="AV257" s="84">
        <f t="shared" si="25"/>
        <v>14.148731</v>
      </c>
      <c r="AW257" s="84">
        <f t="shared" si="25"/>
        <v>14.150296000000001</v>
      </c>
    </row>
    <row r="258" spans="15:49" ht="18" customHeight="1"/>
    <row r="259" spans="15:49" ht="18" customHeight="1"/>
    <row r="260" spans="15:49" ht="18" customHeight="1"/>
    <row r="261" spans="15:49" ht="18" customHeight="1"/>
    <row r="262" spans="15:49" ht="18" customHeight="1"/>
    <row r="263" spans="15:49" ht="18" customHeight="1"/>
    <row r="264" spans="15:49" ht="18" customHeight="1"/>
    <row r="265" spans="15:49" ht="18" customHeight="1"/>
    <row r="266" spans="15:49" ht="18" customHeight="1"/>
  </sheetData>
  <autoFilter ref="C1:C266" xr:uid="{00000000-0009-0000-0000-000002000000}"/>
  <mergeCells count="17">
    <mergeCell ref="AI2:AK2"/>
    <mergeCell ref="AL2:AN2"/>
    <mergeCell ref="AX2:AZ2"/>
    <mergeCell ref="AU2:AW2"/>
    <mergeCell ref="A125:A244"/>
    <mergeCell ref="B125:B244"/>
    <mergeCell ref="AO2:AQ2"/>
    <mergeCell ref="AR2:AT2"/>
    <mergeCell ref="A1:O2"/>
    <mergeCell ref="Q2:S2"/>
    <mergeCell ref="T2:V2"/>
    <mergeCell ref="W2:Y2"/>
    <mergeCell ref="Z2:AB2"/>
    <mergeCell ref="AC2:AE2"/>
    <mergeCell ref="A5:A124"/>
    <mergeCell ref="B5:B124"/>
    <mergeCell ref="AF2:AH2"/>
  </mergeCells>
  <phoneticPr fontId="1" type="noConversion"/>
  <conditionalFormatting sqref="AX5:AZ244">
    <cfRule type="containsBlanks" priority="1" stopIfTrue="1">
      <formula>LEN(TRIM(AX5))=0</formula>
    </cfRule>
    <cfRule type="cellIs" dxfId="6" priority="2" operator="notBetween">
      <formula>$G5+$J5</formula>
      <formula>$G5-$K5</formula>
    </cfRule>
    <cfRule type="cellIs" dxfId="5" priority="3" operator="notBetween">
      <formula>$G5+$H5</formula>
      <formula>$G5-$I5</formula>
    </cfRule>
    <cfRule type="expression" priority="4" stopIfTrue="1">
      <formula>AX5-AW5=AX5</formula>
    </cfRule>
    <cfRule type="expression" dxfId="4" priority="5">
      <formula>ABS(AX5-AW5)&gt;=($H5+$I5)*0.2999999</formula>
    </cfRule>
  </conditionalFormatting>
  <conditionalFormatting sqref="Q5:AW244">
    <cfRule type="containsBlanks" priority="6" stopIfTrue="1">
      <formula>LEN(TRIM(Q5))=0</formula>
    </cfRule>
    <cfRule type="cellIs" dxfId="3" priority="7" operator="notBetween">
      <formula>$G5+$J5</formula>
      <formula>$G5-$K5</formula>
    </cfRule>
    <cfRule type="cellIs" dxfId="2" priority="8" operator="notBetween">
      <formula>$G5+$H5</formula>
      <formula>$G5-$I5</formula>
    </cfRule>
    <cfRule type="expression" priority="9" stopIfTrue="1">
      <formula>Q5-P5=Q5</formula>
    </cfRule>
    <cfRule type="expression" dxfId="1" priority="10">
      <formula>ABS(Q5-P5)&gt;=($H5+$I5)*0.2999999</formula>
    </cfRule>
  </conditionalFormatting>
  <conditionalFormatting sqref="N5:N244">
    <cfRule type="cellIs" dxfId="0" priority="11" operator="greaterThan">
      <formula>0.05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A44" sqref="A44"/>
    </sheetView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1358</vt:lpstr>
      <vt:lpstr>1375</vt:lpstr>
      <vt:lpstr>1361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2019-08-06T04:37:38Z</dcterms:modified>
</cp:coreProperties>
</file>